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ctualización Dashboard\"/>
    </mc:Choice>
  </mc:AlternateContent>
  <xr:revisionPtr revIDLastSave="0" documentId="13_ncr:1_{5BA1F91D-95CC-44C1-B6BA-4A47464443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édicos" sheetId="4" r:id="rId1"/>
    <sheet name="Cuentas" sheetId="3" r:id="rId2"/>
    <sheet name="Bonos2" sheetId="10" r:id="rId3"/>
    <sheet name="Base_Precisa" sheetId="2" r:id="rId4"/>
    <sheet name="Cálculo_Categorías" sheetId="5" r:id="rId5"/>
    <sheet name="Categoría_Médicos" sheetId="8" state="hidden" r:id="rId6"/>
    <sheet name="Categoría_Institución" sheetId="9" state="hidden" r:id="rId7"/>
    <sheet name="Detalle" sheetId="11" state="hidden" r:id="rId8"/>
    <sheet name="GUIA_DASHBOARD" sheetId="12" r:id="rId9"/>
  </sheets>
  <definedNames>
    <definedName name="DatosExternos_1" localSheetId="3" hidden="1">Base_Precisa!$A$1:$AD$917</definedName>
    <definedName name="DatosExternos_2" localSheetId="2" hidden="1">Bonos2!$A$1:$B$18</definedName>
    <definedName name="DatosExternos_2" localSheetId="1" hidden="1">Cuentas!$A$1:$G$308</definedName>
    <definedName name="DatosExternos_3" localSheetId="0" hidden="1">Médicos!$A$1:$AB$917</definedName>
  </definedNames>
  <calcPr calcId="191029"/>
  <pivotCaches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N7" i="9" s="1"/>
  <c r="L7" i="9"/>
  <c r="H7" i="9"/>
  <c r="I7" i="9" s="1"/>
  <c r="G7" i="9"/>
  <c r="C7" i="9"/>
  <c r="D7" i="9" s="1"/>
  <c r="B7" i="9"/>
  <c r="M6" i="9"/>
  <c r="N6" i="9" s="1"/>
  <c r="L6" i="9"/>
  <c r="H6" i="9"/>
  <c r="I6" i="9" s="1"/>
  <c r="G6" i="9"/>
  <c r="C6" i="9"/>
  <c r="D6" i="9" s="1"/>
  <c r="B6" i="9"/>
  <c r="M5" i="9"/>
  <c r="N5" i="9" s="1"/>
  <c r="L5" i="9"/>
  <c r="H5" i="9"/>
  <c r="I5" i="9" s="1"/>
  <c r="G5" i="9"/>
  <c r="C5" i="9"/>
  <c r="D5" i="9" s="1"/>
  <c r="B5" i="9"/>
  <c r="M4" i="9"/>
  <c r="N4" i="9" s="1"/>
  <c r="L4" i="9"/>
  <c r="H4" i="9"/>
  <c r="I4" i="9" s="1"/>
  <c r="G4" i="9"/>
  <c r="C4" i="9"/>
  <c r="D4" i="9" s="1"/>
  <c r="B4" i="9"/>
  <c r="M3" i="9"/>
  <c r="N3" i="9" s="1"/>
  <c r="L3" i="9"/>
  <c r="H3" i="9"/>
  <c r="I3" i="9" s="1"/>
  <c r="G3" i="9"/>
  <c r="C3" i="9"/>
  <c r="D3" i="9" s="1"/>
  <c r="B3" i="9"/>
  <c r="R7" i="8"/>
  <c r="S7" i="8" s="1"/>
  <c r="Q7" i="8"/>
  <c r="R6" i="8"/>
  <c r="S6" i="8" s="1"/>
  <c r="Q6" i="8"/>
  <c r="M6" i="8"/>
  <c r="N6" i="8" s="1"/>
  <c r="L6" i="8"/>
  <c r="H6" i="8"/>
  <c r="I6" i="8" s="1"/>
  <c r="G6" i="8"/>
  <c r="C6" i="8"/>
  <c r="D6" i="8" s="1"/>
  <c r="B6" i="8"/>
  <c r="R5" i="8"/>
  <c r="S5" i="8" s="1"/>
  <c r="Q5" i="8"/>
  <c r="M5" i="8"/>
  <c r="N5" i="8" s="1"/>
  <c r="L5" i="8"/>
  <c r="H5" i="8"/>
  <c r="I5" i="8" s="1"/>
  <c r="G5" i="8"/>
  <c r="C5" i="8"/>
  <c r="D5" i="8" s="1"/>
  <c r="B5" i="8"/>
  <c r="R4" i="8"/>
  <c r="S4" i="8" s="1"/>
  <c r="Q4" i="8"/>
  <c r="M4" i="8"/>
  <c r="N4" i="8" s="1"/>
  <c r="L4" i="8"/>
  <c r="H4" i="8"/>
  <c r="I4" i="8" s="1"/>
  <c r="G4" i="8"/>
  <c r="C4" i="8"/>
  <c r="D4" i="8" s="1"/>
  <c r="B4" i="8"/>
  <c r="R3" i="8"/>
  <c r="S3" i="8" s="1"/>
  <c r="Q3" i="8"/>
  <c r="M3" i="8"/>
  <c r="N3" i="8" s="1"/>
  <c r="L3" i="8"/>
  <c r="H3" i="8"/>
  <c r="I3" i="8" s="1"/>
  <c r="G3" i="8"/>
  <c r="C3" i="8"/>
  <c r="D3" i="8" s="1"/>
  <c r="B3" i="8"/>
  <c r="B106" i="5"/>
  <c r="C106" i="5" s="1" a="1"/>
  <c r="B105" i="5"/>
  <c r="C105" i="5" s="1" a="1"/>
  <c r="B104" i="5"/>
  <c r="C104" i="5" s="1" a="1"/>
  <c r="B103" i="5"/>
  <c r="C103" i="5" s="1" a="1"/>
  <c r="B102" i="5"/>
  <c r="C102" i="5" s="1" a="1"/>
  <c r="B101" i="5"/>
  <c r="C101" i="5" s="1" a="1"/>
  <c r="B100" i="5"/>
  <c r="C100" i="5" s="1" a="1"/>
  <c r="B99" i="5"/>
  <c r="C99" i="5" s="1" a="1"/>
  <c r="B98" i="5"/>
  <c r="C98" i="5" s="1" a="1"/>
  <c r="B97" i="5"/>
  <c r="C97" i="5" s="1" a="1"/>
  <c r="B96" i="5"/>
  <c r="C96" i="5" s="1" a="1"/>
  <c r="B95" i="5"/>
  <c r="C95" i="5" s="1" a="1"/>
  <c r="B94" i="5"/>
  <c r="C94" i="5" s="1" a="1"/>
  <c r="B93" i="5"/>
  <c r="C93" i="5" s="1" a="1"/>
  <c r="B92" i="5"/>
  <c r="C92" i="5" s="1" a="1"/>
  <c r="B91" i="5"/>
  <c r="C91" i="5" s="1" a="1"/>
  <c r="B90" i="5"/>
  <c r="C90" i="5" s="1" a="1"/>
  <c r="B89" i="5"/>
  <c r="C89" i="5" s="1" a="1"/>
  <c r="B88" i="5"/>
  <c r="B87" i="5"/>
  <c r="C87" i="5" s="1" a="1"/>
  <c r="B86" i="5"/>
  <c r="C86" i="5" s="1" a="1"/>
  <c r="B85" i="5"/>
  <c r="C85" i="5" s="1" a="1"/>
  <c r="B84" i="5"/>
  <c r="C84" i="5" s="1" a="1"/>
  <c r="B83" i="5"/>
  <c r="C83" i="5" s="1" a="1"/>
  <c r="B82" i="5"/>
  <c r="C82" i="5" s="1" a="1"/>
  <c r="B81" i="5"/>
  <c r="C81" i="5" s="1" a="1"/>
  <c r="B80" i="5"/>
  <c r="C80" i="5" s="1" a="1"/>
  <c r="B79" i="5"/>
  <c r="C79" i="5" s="1" a="1"/>
  <c r="B78" i="5"/>
  <c r="C78" i="5" s="1" a="1"/>
  <c r="B77" i="5"/>
  <c r="C77" i="5" s="1" a="1"/>
  <c r="B76" i="5"/>
  <c r="C76" i="5" s="1" a="1"/>
  <c r="B75" i="5"/>
  <c r="C75" i="5" s="1" a="1"/>
  <c r="B74" i="5"/>
  <c r="C74" i="5" s="1" a="1"/>
  <c r="B73" i="5"/>
  <c r="C73" i="5" s="1" a="1"/>
  <c r="B72" i="5"/>
  <c r="C72" i="5" s="1" a="1"/>
  <c r="B71" i="5"/>
  <c r="C71" i="5" s="1" a="1"/>
  <c r="B70" i="5"/>
  <c r="C70" i="5" s="1" a="1"/>
  <c r="B69" i="5"/>
  <c r="C69" i="5" s="1" a="1"/>
  <c r="B68" i="5"/>
  <c r="C68" i="5" s="1" a="1"/>
  <c r="B67" i="5"/>
  <c r="C67" i="5" s="1" a="1"/>
  <c r="B66" i="5"/>
  <c r="C66" i="5" s="1" a="1"/>
  <c r="B65" i="5"/>
  <c r="C65" i="5" s="1" a="1"/>
  <c r="B64" i="5"/>
  <c r="C64" i="5" s="1" a="1"/>
  <c r="B63" i="5"/>
  <c r="C63" i="5" s="1" a="1"/>
  <c r="B62" i="5"/>
  <c r="C62" i="5" s="1" a="1"/>
  <c r="B61" i="5"/>
  <c r="C61" i="5" s="1" a="1"/>
  <c r="B60" i="5"/>
  <c r="C60" i="5" s="1" a="1"/>
  <c r="B59" i="5"/>
  <c r="C59" i="5" s="1" a="1"/>
  <c r="B58" i="5"/>
  <c r="C58" i="5" s="1" a="1"/>
  <c r="B57" i="5"/>
  <c r="C57" i="5" s="1" a="1"/>
  <c r="B56" i="5"/>
  <c r="C56" i="5" s="1" a="1"/>
  <c r="B55" i="5"/>
  <c r="C55" i="5" s="1" a="1"/>
  <c r="B54" i="5"/>
  <c r="C54" i="5" s="1" a="1"/>
  <c r="B53" i="5"/>
  <c r="C53" i="5" s="1" a="1"/>
  <c r="B52" i="5"/>
  <c r="C52" i="5" s="1" a="1"/>
  <c r="B51" i="5"/>
  <c r="C51" i="5" s="1" a="1"/>
  <c r="B50" i="5"/>
  <c r="C50" i="5" s="1" a="1"/>
  <c r="B49" i="5"/>
  <c r="C49" i="5" s="1" a="1"/>
  <c r="B48" i="5"/>
  <c r="C48" i="5" s="1" a="1"/>
  <c r="B47" i="5"/>
  <c r="C47" i="5" s="1" a="1"/>
  <c r="B46" i="5"/>
  <c r="C46" i="5" s="1" a="1"/>
  <c r="F45" i="5"/>
  <c r="G45" i="5" s="1" a="1"/>
  <c r="B45" i="5"/>
  <c r="C45" i="5" s="1" a="1"/>
  <c r="F44" i="5"/>
  <c r="G44" i="5" s="1" a="1"/>
  <c r="B44" i="5"/>
  <c r="C44" i="5" s="1" a="1"/>
  <c r="F43" i="5"/>
  <c r="G43" i="5" s="1" a="1"/>
  <c r="B43" i="5"/>
  <c r="C43" i="5" s="1" a="1"/>
  <c r="F42" i="5"/>
  <c r="G42" i="5" s="1" a="1"/>
  <c r="B42" i="5"/>
  <c r="C42" i="5" s="1" a="1"/>
  <c r="F41" i="5"/>
  <c r="G41" i="5" s="1" a="1"/>
  <c r="B41" i="5"/>
  <c r="C41" i="5" s="1" a="1"/>
  <c r="F40" i="5"/>
  <c r="G40" i="5" s="1" a="1"/>
  <c r="B40" i="5"/>
  <c r="C40" i="5" s="1" a="1"/>
  <c r="F39" i="5"/>
  <c r="G39" i="5" s="1" a="1"/>
  <c r="B39" i="5"/>
  <c r="C39" i="5" s="1" a="1"/>
  <c r="F38" i="5"/>
  <c r="G38" i="5" s="1" a="1"/>
  <c r="B38" i="5"/>
  <c r="C38" i="5" s="1" a="1"/>
  <c r="F37" i="5"/>
  <c r="G37" i="5" s="1" a="1"/>
  <c r="B37" i="5"/>
  <c r="C37" i="5" s="1" a="1"/>
  <c r="F36" i="5"/>
  <c r="G36" i="5" s="1" a="1"/>
  <c r="B36" i="5"/>
  <c r="C36" i="5" s="1" a="1"/>
  <c r="F35" i="5"/>
  <c r="G35" i="5" s="1" a="1"/>
  <c r="B35" i="5"/>
  <c r="C35" i="5" s="1" a="1"/>
  <c r="F34" i="5"/>
  <c r="G34" i="5" s="1" a="1"/>
  <c r="B34" i="5"/>
  <c r="C34" i="5" s="1" a="1"/>
  <c r="F33" i="5"/>
  <c r="G33" i="5" s="1" a="1"/>
  <c r="B33" i="5"/>
  <c r="C33" i="5" s="1" a="1"/>
  <c r="F32" i="5"/>
  <c r="G32" i="5" s="1" a="1"/>
  <c r="B32" i="5"/>
  <c r="C32" i="5" s="1" a="1"/>
  <c r="F31" i="5"/>
  <c r="G31" i="5" s="1" a="1"/>
  <c r="B31" i="5"/>
  <c r="C31" i="5" s="1" a="1"/>
  <c r="F30" i="5"/>
  <c r="G30" i="5" s="1" a="1"/>
  <c r="B30" i="5"/>
  <c r="C30" i="5" s="1" a="1"/>
  <c r="F29" i="5"/>
  <c r="G29" i="5" s="1" a="1"/>
  <c r="B29" i="5"/>
  <c r="C29" i="5" s="1" a="1"/>
  <c r="F28" i="5"/>
  <c r="G28" i="5" s="1" a="1"/>
  <c r="B28" i="5"/>
  <c r="C28" i="5" s="1" a="1"/>
  <c r="F27" i="5"/>
  <c r="G27" i="5" s="1" a="1"/>
  <c r="B27" i="5"/>
  <c r="C27" i="5" s="1" a="1"/>
  <c r="F26" i="5"/>
  <c r="G26" i="5" s="1" a="1"/>
  <c r="B26" i="5"/>
  <c r="C26" i="5" s="1" a="1"/>
  <c r="F25" i="5"/>
  <c r="G25" i="5" s="1" a="1"/>
  <c r="B25" i="5"/>
  <c r="C25" i="5" s="1" a="1"/>
  <c r="F24" i="5"/>
  <c r="G24" i="5" s="1" a="1"/>
  <c r="B24" i="5"/>
  <c r="C24" i="5" s="1" a="1"/>
  <c r="F23" i="5"/>
  <c r="G23" i="5" s="1" a="1"/>
  <c r="B23" i="5"/>
  <c r="C23" i="5" s="1" a="1"/>
  <c r="F22" i="5"/>
  <c r="G22" i="5" s="1" a="1"/>
  <c r="B22" i="5"/>
  <c r="C22" i="5" s="1" a="1"/>
  <c r="F21" i="5"/>
  <c r="G21" i="5" s="1" a="1"/>
  <c r="B21" i="5"/>
  <c r="C21" i="5" s="1" a="1"/>
  <c r="F20" i="5"/>
  <c r="G20" i="5" s="1" a="1"/>
  <c r="B20" i="5"/>
  <c r="C20" i="5" s="1" a="1"/>
  <c r="F19" i="5"/>
  <c r="G19" i="5" s="1" a="1"/>
  <c r="B19" i="5"/>
  <c r="C19" i="5" s="1" a="1"/>
  <c r="F18" i="5"/>
  <c r="G18" i="5" s="1" a="1"/>
  <c r="B18" i="5"/>
  <c r="C18" i="5" s="1" a="1"/>
  <c r="F17" i="5"/>
  <c r="G17" i="5" s="1" a="1"/>
  <c r="B17" i="5"/>
  <c r="C17" i="5" s="1" a="1"/>
  <c r="F16" i="5"/>
  <c r="G16" i="5" s="1" a="1"/>
  <c r="B16" i="5"/>
  <c r="C16" i="5" s="1" a="1"/>
  <c r="F15" i="5"/>
  <c r="G15" i="5" s="1" a="1"/>
  <c r="B15" i="5"/>
  <c r="C15" i="5" s="1" a="1"/>
  <c r="F14" i="5"/>
  <c r="G14" i="5" s="1" a="1"/>
  <c r="B14" i="5"/>
  <c r="C14" i="5" s="1" a="1"/>
  <c r="F13" i="5"/>
  <c r="G13" i="5" s="1" a="1"/>
  <c r="B13" i="5"/>
  <c r="C13" i="5" s="1" a="1"/>
  <c r="F12" i="5"/>
  <c r="G12" i="5" s="1" a="1"/>
  <c r="B12" i="5"/>
  <c r="C12" i="5" s="1" a="1"/>
  <c r="F11" i="5"/>
  <c r="G11" i="5" s="1" a="1"/>
  <c r="B11" i="5"/>
  <c r="C11" i="5" s="1" a="1"/>
  <c r="F10" i="5"/>
  <c r="G10" i="5" s="1" a="1"/>
  <c r="B10" i="5"/>
  <c r="C10" i="5" s="1" a="1"/>
  <c r="F9" i="5"/>
  <c r="G9" i="5" s="1" a="1"/>
  <c r="B9" i="5"/>
  <c r="C9" i="5" s="1" a="1"/>
  <c r="F8" i="5"/>
  <c r="B8" i="5"/>
  <c r="C8" i="5" s="1" a="1"/>
  <c r="C4" i="5" l="1"/>
  <c r="C88" i="5" a="1"/>
  <c r="G8" i="5" a="1"/>
  <c r="G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<sst xmlns="http://schemas.openxmlformats.org/spreadsheetml/2006/main" count="45446" uniqueCount="5441">
  <si>
    <t>FECHA</t>
  </si>
  <si>
    <t>INVNUM</t>
  </si>
  <si>
    <t>COMPROBANTE</t>
  </si>
  <si>
    <t>FACTURA</t>
  </si>
  <si>
    <t>TIPO PAGO</t>
  </si>
  <si>
    <t># DOC</t>
  </si>
  <si>
    <t>PACIENTE</t>
  </si>
  <si>
    <t>DNI</t>
  </si>
  <si>
    <t>MEDICO</t>
  </si>
  <si>
    <t>INSTITUCIÓN</t>
  </si>
  <si>
    <t>CARTERA</t>
  </si>
  <si>
    <t>HISTORIA</t>
  </si>
  <si>
    <t>TELEFONO</t>
  </si>
  <si>
    <t>RAZON SOCIAL</t>
  </si>
  <si>
    <t>PREFACTURA</t>
  </si>
  <si>
    <t>DESCRIPCION</t>
  </si>
  <si>
    <t>CANTIDAD</t>
  </si>
  <si>
    <t>DESCRIP PLAN</t>
  </si>
  <si>
    <t>CONTRATANTE</t>
  </si>
  <si>
    <t>ASEGURADORA</t>
  </si>
  <si>
    <t>SEDEXX</t>
  </si>
  <si>
    <t>FACTURADOR</t>
  </si>
  <si>
    <t>FAC TOTAL</t>
  </si>
  <si>
    <t>CENTRO_COSTO</t>
  </si>
  <si>
    <t>CONVENIO</t>
  </si>
  <si>
    <t>SEDE</t>
  </si>
  <si>
    <t>CELULAR</t>
  </si>
  <si>
    <t>CUENTA BANCARIA</t>
  </si>
  <si>
    <t>97734</t>
  </si>
  <si>
    <t>BO</t>
  </si>
  <si>
    <t>5483</t>
  </si>
  <si>
    <t>CO</t>
  </si>
  <si>
    <t>BO-5483</t>
  </si>
  <si>
    <t>MARIN DIAZ JORGE MARCIAL</t>
  </si>
  <si>
    <t>06105706</t>
  </si>
  <si>
    <t>ORNA ACOSTA JORGE AQUILES</t>
  </si>
  <si>
    <t>HOSPITAL LOAYZA</t>
  </si>
  <si>
    <t>CRISTINA</t>
  </si>
  <si>
    <t>0069701</t>
  </si>
  <si>
    <t>990056060</t>
  </si>
  <si>
    <t>85829</t>
  </si>
  <si>
    <t>OCT DE MACULA</t>
  </si>
  <si>
    <t>PRECISA</t>
  </si>
  <si>
    <t>POR ASIGNAR</t>
  </si>
  <si>
    <t>INSTITUTO MEDICO QUIRURGICO AREQUIPA S.A</t>
  </si>
  <si>
    <t>L.CENTRO</t>
  </si>
  <si>
    <t>ACABRERA</t>
  </si>
  <si>
    <t>LN. EXAMENES</t>
  </si>
  <si>
    <t>CIAS. DE SEGURO</t>
  </si>
  <si>
    <t>CENTRO</t>
  </si>
  <si>
    <t>052-7510523</t>
  </si>
  <si>
    <t>99046</t>
  </si>
  <si>
    <t>11571</t>
  </si>
  <si>
    <t>BO-11571</t>
  </si>
  <si>
    <t>AURIS ZENTENO DE TELLO ZENAIDA MARINA</t>
  </si>
  <si>
    <t>09212243</t>
  </si>
  <si>
    <t>0070254</t>
  </si>
  <si>
    <t>965361980</t>
  </si>
  <si>
    <t>86936</t>
  </si>
  <si>
    <t>USO DE EQUIPOS E INSUMO CAPSULOTOMIA</t>
  </si>
  <si>
    <t>LMAGAN</t>
  </si>
  <si>
    <t>LN. PROCEDIMIENTO</t>
  </si>
  <si>
    <t>100703</t>
  </si>
  <si>
    <t>4097</t>
  </si>
  <si>
    <t>BO-4097</t>
  </si>
  <si>
    <t>PAREDES BOREDO JUAN CARLOS</t>
  </si>
  <si>
    <t>47333051</t>
  </si>
  <si>
    <t>0070991</t>
  </si>
  <si>
    <t>963005687</t>
  </si>
  <si>
    <t>88209</t>
  </si>
  <si>
    <t>PRECISA LN</t>
  </si>
  <si>
    <t>L.NORTE</t>
  </si>
  <si>
    <t>BGALLOSA</t>
  </si>
  <si>
    <t>NORTE</t>
  </si>
  <si>
    <t>100707</t>
  </si>
  <si>
    <t>11866</t>
  </si>
  <si>
    <t>BO-11866</t>
  </si>
  <si>
    <t>PAREDES CHAPOÑAN CARMEN ROSA</t>
  </si>
  <si>
    <t>17524765</t>
  </si>
  <si>
    <t>0070990</t>
  </si>
  <si>
    <t>956186076</t>
  </si>
  <si>
    <t>88213</t>
  </si>
  <si>
    <t>97737</t>
  </si>
  <si>
    <t>5485</t>
  </si>
  <si>
    <t>BO-5485</t>
  </si>
  <si>
    <t>JIMENEZ BORCKARDT MARIA ELENA</t>
  </si>
  <si>
    <t>09175695</t>
  </si>
  <si>
    <t>0069704</t>
  </si>
  <si>
    <t>962711137</t>
  </si>
  <si>
    <t>85831</t>
  </si>
  <si>
    <t>ECOGRAFIA OCULAR GENERAL SCAN A,B</t>
  </si>
  <si>
    <t>97751</t>
  </si>
  <si>
    <t>11374</t>
  </si>
  <si>
    <t>BO-11374</t>
  </si>
  <si>
    <t>HERRERA GRANDA VANNIA LUZ</t>
  </si>
  <si>
    <t>77928579</t>
  </si>
  <si>
    <t>PEÑA CAMARGO CRISTOPHER OMAR</t>
  </si>
  <si>
    <t>HOSPITAL SERGIO BERNALES</t>
  </si>
  <si>
    <t>0067338</t>
  </si>
  <si>
    <t>953421025</t>
  </si>
  <si>
    <t>85844</t>
  </si>
  <si>
    <t>OCT DE NERVIO OPTICO  Y CELULAS GANGLION</t>
  </si>
  <si>
    <t>191-70241223029</t>
  </si>
  <si>
    <t>97768</t>
  </si>
  <si>
    <t>11380</t>
  </si>
  <si>
    <t>BO-11380</t>
  </si>
  <si>
    <t>DAVILA URIBE JOSELUIS FRANKLIN</t>
  </si>
  <si>
    <t>63710675</t>
  </si>
  <si>
    <t>0069713</t>
  </si>
  <si>
    <t>916691513</t>
  </si>
  <si>
    <t>85858</t>
  </si>
  <si>
    <t>97761</t>
  </si>
  <si>
    <t>11378</t>
  </si>
  <si>
    <t>BO-11378</t>
  </si>
  <si>
    <t>SANDOVAL SANTAMARIA ANTERO</t>
  </si>
  <si>
    <t>17562410</t>
  </si>
  <si>
    <t>HUARANGA RUIZ CORNEJO JORGE ERNESTO</t>
  </si>
  <si>
    <t>HOSPITAL MONGRUT</t>
  </si>
  <si>
    <t>0069712</t>
  </si>
  <si>
    <t>956259223</t>
  </si>
  <si>
    <t>85854</t>
  </si>
  <si>
    <t>194-94066798065</t>
  </si>
  <si>
    <t>100264</t>
  </si>
  <si>
    <t>11781</t>
  </si>
  <si>
    <t>BO-11781</t>
  </si>
  <si>
    <t>YUPANQUI HUAMAN DEREK DANIEL</t>
  </si>
  <si>
    <t>73166982</t>
  </si>
  <si>
    <t>0070767</t>
  </si>
  <si>
    <t>984171901</t>
  </si>
  <si>
    <t>87870</t>
  </si>
  <si>
    <t>TOPOGRAFIA CORNEAL</t>
  </si>
  <si>
    <t>97762</t>
  </si>
  <si>
    <t>3764</t>
  </si>
  <si>
    <t>BO-3764</t>
  </si>
  <si>
    <t>DIAZ DIAZ MARIA JUANA</t>
  </si>
  <si>
    <t>48820433</t>
  </si>
  <si>
    <t>AGRAMONTE ZEA EDILBERTO</t>
  </si>
  <si>
    <t>HOSPITAL DE LA SOLIDARIDAD SJL</t>
  </si>
  <si>
    <t>0068509</t>
  </si>
  <si>
    <t>980843789</t>
  </si>
  <si>
    <t>85855</t>
  </si>
  <si>
    <t>0011-0190-0200333106</t>
  </si>
  <si>
    <t>98036</t>
  </si>
  <si>
    <t>5516</t>
  </si>
  <si>
    <t>BO-5516</t>
  </si>
  <si>
    <t>PICO DE CRUZADO LUZ EMILIA</t>
  </si>
  <si>
    <t>16550311</t>
  </si>
  <si>
    <t>0069819</t>
  </si>
  <si>
    <t>985411444</t>
  </si>
  <si>
    <t>86087</t>
  </si>
  <si>
    <t>98957</t>
  </si>
  <si>
    <t>11554</t>
  </si>
  <si>
    <t>BO-11554</t>
  </si>
  <si>
    <t>CANCHAYA CAYO JULIO LEONCIO</t>
  </si>
  <si>
    <t>44212852</t>
  </si>
  <si>
    <t>0070227</t>
  </si>
  <si>
    <t>964246765</t>
  </si>
  <si>
    <t>86868</t>
  </si>
  <si>
    <t>PAQUIMETRIA</t>
  </si>
  <si>
    <t>CAMPIMETRIA (CAMPO VISUAL)</t>
  </si>
  <si>
    <t>99113</t>
  </si>
  <si>
    <t>11578</t>
  </si>
  <si>
    <t>BO-11578</t>
  </si>
  <si>
    <t>SACA TICONA NELSON</t>
  </si>
  <si>
    <t>42449449</t>
  </si>
  <si>
    <t>0070273</t>
  </si>
  <si>
    <t>945692301</t>
  </si>
  <si>
    <t>86964</t>
  </si>
  <si>
    <t>99698</t>
  </si>
  <si>
    <t>11711</t>
  </si>
  <si>
    <t>BO-11711</t>
  </si>
  <si>
    <t>ESTELA GIRALDO CARMEN AIDA</t>
  </si>
  <si>
    <t>07725003</t>
  </si>
  <si>
    <t>0070517</t>
  </si>
  <si>
    <t>989533922</t>
  </si>
  <si>
    <t>87451</t>
  </si>
  <si>
    <t>99853</t>
  </si>
  <si>
    <t>4446</t>
  </si>
  <si>
    <t>BO-4446</t>
  </si>
  <si>
    <t>VILLA GALVEZ MARIA ESPERANZA</t>
  </si>
  <si>
    <t>08462757</t>
  </si>
  <si>
    <t>0070015</t>
  </si>
  <si>
    <t>955008730</t>
  </si>
  <si>
    <t>87550</t>
  </si>
  <si>
    <t>AALARCON</t>
  </si>
  <si>
    <t>100473</t>
  </si>
  <si>
    <t>11808</t>
  </si>
  <si>
    <t>BO-11808</t>
  </si>
  <si>
    <t>VALDEZ QUEVEDO ILDA</t>
  </si>
  <si>
    <t>09201670</t>
  </si>
  <si>
    <t>0070852</t>
  </si>
  <si>
    <t>980872756</t>
  </si>
  <si>
    <t>88036</t>
  </si>
  <si>
    <t>100709</t>
  </si>
  <si>
    <t>11868</t>
  </si>
  <si>
    <t>BO-11868</t>
  </si>
  <si>
    <t>VEGA FERNANDEZ FILADELFO</t>
  </si>
  <si>
    <t>27253641</t>
  </si>
  <si>
    <t>0070993</t>
  </si>
  <si>
    <t>920086889</t>
  </si>
  <si>
    <t>88214</t>
  </si>
  <si>
    <t>BIOMETRIA IOL MASTER 700</t>
  </si>
  <si>
    <t>MICROSCOPIA ESPECULAR</t>
  </si>
  <si>
    <t>97877</t>
  </si>
  <si>
    <t>5505</t>
  </si>
  <si>
    <t>BO-5505</t>
  </si>
  <si>
    <t>REATEGUI VALLES REITER</t>
  </si>
  <si>
    <t>01092510</t>
  </si>
  <si>
    <t>MANSILLA JUAN JOSÉ</t>
  </si>
  <si>
    <t>CONSULTORIO PARTICULAR</t>
  </si>
  <si>
    <t>0069757</t>
  </si>
  <si>
    <t>931872630</t>
  </si>
  <si>
    <t>85945</t>
  </si>
  <si>
    <t>USO DE EQUIPOS E INSUMO AVASTIN</t>
  </si>
  <si>
    <t>99815</t>
  </si>
  <si>
    <t>11735</t>
  </si>
  <si>
    <t>BO-11735</t>
  </si>
  <si>
    <t>VILLANERA ESPINOZA NARCIZO</t>
  </si>
  <si>
    <t>31663264</t>
  </si>
  <si>
    <t>0070551</t>
  </si>
  <si>
    <t>938800746</t>
  </si>
  <si>
    <t>87531</t>
  </si>
  <si>
    <t>97907</t>
  </si>
  <si>
    <t>5506</t>
  </si>
  <si>
    <t>BO-5506</t>
  </si>
  <si>
    <t>MOTTA MARTINEZ JUSTINA OTILIA</t>
  </si>
  <si>
    <t>08795262</t>
  </si>
  <si>
    <t>CELIA RODRIGUEZ</t>
  </si>
  <si>
    <t>0054360</t>
  </si>
  <si>
    <t>901653281</t>
  </si>
  <si>
    <t>85960</t>
  </si>
  <si>
    <t>97912</t>
  </si>
  <si>
    <t>11395</t>
  </si>
  <si>
    <t>BO-11395</t>
  </si>
  <si>
    <t>MEDINA SILVESTRE GERONIMO</t>
  </si>
  <si>
    <t>06279020</t>
  </si>
  <si>
    <t>GUTARRA PAUCAR JULIA</t>
  </si>
  <si>
    <t>0069754</t>
  </si>
  <si>
    <t>997332688</t>
  </si>
  <si>
    <t>85967</t>
  </si>
  <si>
    <t>97956</t>
  </si>
  <si>
    <t>11402</t>
  </si>
  <si>
    <t>BO-11402</t>
  </si>
  <si>
    <t>GARCIA DE SANCHEZ MATILDE</t>
  </si>
  <si>
    <t>27062832</t>
  </si>
  <si>
    <t>0069790</t>
  </si>
  <si>
    <t>917095913</t>
  </si>
  <si>
    <t>86014</t>
  </si>
  <si>
    <t>100971</t>
  </si>
  <si>
    <t>5746</t>
  </si>
  <si>
    <t>BO-5746</t>
  </si>
  <si>
    <t>HERRERA PEREZ ZENAIDA VICTORIA</t>
  </si>
  <si>
    <t>06116479</t>
  </si>
  <si>
    <t>0071102</t>
  </si>
  <si>
    <t>914510803</t>
  </si>
  <si>
    <t>88423</t>
  </si>
  <si>
    <t>97979</t>
  </si>
  <si>
    <t>11406</t>
  </si>
  <si>
    <t>BO-11406</t>
  </si>
  <si>
    <t>PEREZ SANCHEZ GIOVANNA MARIELA</t>
  </si>
  <si>
    <t>25792949</t>
  </si>
  <si>
    <t>BOBBIO PEREZ MILKO</t>
  </si>
  <si>
    <t>CONSULTORIO</t>
  </si>
  <si>
    <t>0069797</t>
  </si>
  <si>
    <t>946068386</t>
  </si>
  <si>
    <t>86027</t>
  </si>
  <si>
    <t>191-98432106068</t>
  </si>
  <si>
    <t>98041</t>
  </si>
  <si>
    <t>FA</t>
  </si>
  <si>
    <t>1025</t>
  </si>
  <si>
    <t>FA-1025</t>
  </si>
  <si>
    <t>NUÑEZ ALTIS ANTONIO SALOMON</t>
  </si>
  <si>
    <t>09498424</t>
  </si>
  <si>
    <t>VILLAR CURAHUA MARCELA ALEJANDRA</t>
  </si>
  <si>
    <t>GAMARRA SALUD</t>
  </si>
  <si>
    <t>0069549</t>
  </si>
  <si>
    <t>928076253</t>
  </si>
  <si>
    <t>GAMARRA HEALTHCARE CENTER S.A.C.</t>
  </si>
  <si>
    <t>86093</t>
  </si>
  <si>
    <t>191-9953047026</t>
  </si>
  <si>
    <t>98051</t>
  </si>
  <si>
    <t>524</t>
  </si>
  <si>
    <t>FA-524</t>
  </si>
  <si>
    <t>GARCIA RICO ELVA JOSEFINA</t>
  </si>
  <si>
    <t>16408791</t>
  </si>
  <si>
    <t>0067849</t>
  </si>
  <si>
    <t>902449032</t>
  </si>
  <si>
    <t>85864</t>
  </si>
  <si>
    <t>CIRUGIA DE DIA</t>
  </si>
  <si>
    <t>LN. CIRUGIA</t>
  </si>
  <si>
    <t>FACOEMULSIFICACION PRIMIUM</t>
  </si>
  <si>
    <t>98052</t>
  </si>
  <si>
    <t>525</t>
  </si>
  <si>
    <t>FA-525</t>
  </si>
  <si>
    <t>85863</t>
  </si>
  <si>
    <t>98452</t>
  </si>
  <si>
    <t>532</t>
  </si>
  <si>
    <t>FA-532</t>
  </si>
  <si>
    <t>BENITES RAMOS ANTENOR HERMAN</t>
  </si>
  <si>
    <t>07187063</t>
  </si>
  <si>
    <t>0069415</t>
  </si>
  <si>
    <t>943410784</t>
  </si>
  <si>
    <t>86345</t>
  </si>
  <si>
    <t>98463</t>
  </si>
  <si>
    <t>533</t>
  </si>
  <si>
    <t>FA-533</t>
  </si>
  <si>
    <t>MAMANI SONCCO JUAN GREGORIO</t>
  </si>
  <si>
    <t>07314057</t>
  </si>
  <si>
    <t>0069158</t>
  </si>
  <si>
    <t>987411587</t>
  </si>
  <si>
    <t>86342</t>
  </si>
  <si>
    <t>99135</t>
  </si>
  <si>
    <t>5638</t>
  </si>
  <si>
    <t>BO-5638</t>
  </si>
  <si>
    <t>DIAZ ESCOBAL AUGUSTO</t>
  </si>
  <si>
    <t>08560804</t>
  </si>
  <si>
    <t>0070232</t>
  </si>
  <si>
    <t>923538499</t>
  </si>
  <si>
    <t>86977</t>
  </si>
  <si>
    <t>99721</t>
  </si>
  <si>
    <t>1051</t>
  </si>
  <si>
    <t>FA-1051</t>
  </si>
  <si>
    <t>CHUMBILE OROSCO OSCAR RENE</t>
  </si>
  <si>
    <t>28293097</t>
  </si>
  <si>
    <t>0070350</t>
  </si>
  <si>
    <t>998226950</t>
  </si>
  <si>
    <t>87294</t>
  </si>
  <si>
    <t>103234</t>
  </si>
  <si>
    <t>572</t>
  </si>
  <si>
    <t>FA-572</t>
  </si>
  <si>
    <t>QUIÑONES ROBLES BERNABE GREGORIO</t>
  </si>
  <si>
    <t>08739495</t>
  </si>
  <si>
    <t>0036451</t>
  </si>
  <si>
    <t>993223874</t>
  </si>
  <si>
    <t>90075</t>
  </si>
  <si>
    <t>103252</t>
  </si>
  <si>
    <t>1081</t>
  </si>
  <si>
    <t>FA-1081</t>
  </si>
  <si>
    <t>90297</t>
  </si>
  <si>
    <t>98044</t>
  </si>
  <si>
    <t>11419</t>
  </si>
  <si>
    <t>BO-11419</t>
  </si>
  <si>
    <t>SACHA NAVARRO GERARDO JUNIOR</t>
  </si>
  <si>
    <t>47180662</t>
  </si>
  <si>
    <t>CACERES PINTO ALVARO DANIEL</t>
  </si>
  <si>
    <t>HOSPITAL INO</t>
  </si>
  <si>
    <t>0069825</t>
  </si>
  <si>
    <t>958365826</t>
  </si>
  <si>
    <t>86096</t>
  </si>
  <si>
    <t>FOTOCLINICA EN MOSAICO</t>
  </si>
  <si>
    <t>0011-0184-0200649518</t>
  </si>
  <si>
    <t>98947</t>
  </si>
  <si>
    <t>11552</t>
  </si>
  <si>
    <t>BO-11552</t>
  </si>
  <si>
    <t>QUIPUSCO BERNAL MIGUEL WENCESLAO</t>
  </si>
  <si>
    <t>06057576</t>
  </si>
  <si>
    <t>0054107</t>
  </si>
  <si>
    <t>998759676</t>
  </si>
  <si>
    <t>86860</t>
  </si>
  <si>
    <t>99684</t>
  </si>
  <si>
    <t>1047</t>
  </si>
  <si>
    <t>FA-1047</t>
  </si>
  <si>
    <t>RODRIGUEZ MARTELL ROLANDO CHRISTIAN</t>
  </si>
  <si>
    <t>72739214</t>
  </si>
  <si>
    <t>FONTENLA SERNA DAVID IVAN</t>
  </si>
  <si>
    <t>HOSPITAL NAVAL</t>
  </si>
  <si>
    <t>0070113</t>
  </si>
  <si>
    <t>9982215445</t>
  </si>
  <si>
    <t>FONTENLA VISION E.I.R.L.</t>
  </si>
  <si>
    <t>87353</t>
  </si>
  <si>
    <t>0011-0117-0200577155</t>
  </si>
  <si>
    <t xml:space="preserve">CIRUGIA REFRACTIVA TRANS PRK </t>
  </si>
  <si>
    <t>99685</t>
  </si>
  <si>
    <t>1048</t>
  </si>
  <si>
    <t>FA-1048</t>
  </si>
  <si>
    <t>87439</t>
  </si>
  <si>
    <t>99687</t>
  </si>
  <si>
    <t>1049</t>
  </si>
  <si>
    <t>FA-1049</t>
  </si>
  <si>
    <t>87440</t>
  </si>
  <si>
    <t>EXAMENES AUXILIARES</t>
  </si>
  <si>
    <t>103152</t>
  </si>
  <si>
    <t>1077</t>
  </si>
  <si>
    <t>FA-1077</t>
  </si>
  <si>
    <t>SUAREZ CAVERO ALESSANDRA LUCIA</t>
  </si>
  <si>
    <t>73321033</t>
  </si>
  <si>
    <t>0071890</t>
  </si>
  <si>
    <t>913049629</t>
  </si>
  <si>
    <t>90137</t>
  </si>
  <si>
    <t xml:space="preserve">CIRUGIA REFRACTIVA LASIK  </t>
  </si>
  <si>
    <t>103156</t>
  </si>
  <si>
    <t>1078</t>
  </si>
  <si>
    <t>FA-1078</t>
  </si>
  <si>
    <t>90201</t>
  </si>
  <si>
    <t>103158</t>
  </si>
  <si>
    <t>12167</t>
  </si>
  <si>
    <t>BO-12167</t>
  </si>
  <si>
    <t>90202</t>
  </si>
  <si>
    <t>2423</t>
  </si>
  <si>
    <t>NC</t>
  </si>
  <si>
    <t>CR</t>
  </si>
  <si>
    <t>NC-12167</t>
  </si>
  <si>
    <t>103159</t>
  </si>
  <si>
    <t>1079</t>
  </si>
  <si>
    <t>FA-1079</t>
  </si>
  <si>
    <t>90204</t>
  </si>
  <si>
    <t>102882</t>
  </si>
  <si>
    <t>5976</t>
  </si>
  <si>
    <t>BO-5976</t>
  </si>
  <si>
    <t>AJEN LAVADO DE GARBAY ROSINA VICENTA</t>
  </si>
  <si>
    <t>06060326</t>
  </si>
  <si>
    <t>GUTARRA PAUCAR JULIA KARINA</t>
  </si>
  <si>
    <t>CLÍNICA SAN CAMILO</t>
  </si>
  <si>
    <t>0071980</t>
  </si>
  <si>
    <t>945334172</t>
  </si>
  <si>
    <t>89959</t>
  </si>
  <si>
    <t>0011-0353-0200308107</t>
  </si>
  <si>
    <t>103068</t>
  </si>
  <si>
    <t>4324</t>
  </si>
  <si>
    <t>BO-4324</t>
  </si>
  <si>
    <t>PANTOJA . JULIO SANTOS</t>
  </si>
  <si>
    <t>08655133</t>
  </si>
  <si>
    <t>0061063</t>
  </si>
  <si>
    <t>900215409</t>
  </si>
  <si>
    <t>90129</t>
  </si>
  <si>
    <t>103488</t>
  </si>
  <si>
    <t>12223</t>
  </si>
  <si>
    <t>BO-12223</t>
  </si>
  <si>
    <t>90491</t>
  </si>
  <si>
    <t>98035</t>
  </si>
  <si>
    <t>4221</t>
  </si>
  <si>
    <t>BO-4221</t>
  </si>
  <si>
    <t>PEÑA GARCIA BENIGNO OSCAR</t>
  </si>
  <si>
    <t>48945300</t>
  </si>
  <si>
    <t>RUIZ ROJAS PAUBLO ENRIQUE</t>
  </si>
  <si>
    <t>CONSULTORIO CUBANO COMAS</t>
  </si>
  <si>
    <t>0069818</t>
  </si>
  <si>
    <t>922009271</t>
  </si>
  <si>
    <t>86086</t>
  </si>
  <si>
    <t>191-91415089071</t>
  </si>
  <si>
    <t>98152</t>
  </si>
  <si>
    <t>4244</t>
  </si>
  <si>
    <t>BO-4244</t>
  </si>
  <si>
    <t>OLIVO CASTRO JULIA GLADYS</t>
  </si>
  <si>
    <t>15292242</t>
  </si>
  <si>
    <t>0069884</t>
  </si>
  <si>
    <t>952190646</t>
  </si>
  <si>
    <t>86190</t>
  </si>
  <si>
    <t>99177</t>
  </si>
  <si>
    <t>3911</t>
  </si>
  <si>
    <t>BO-3911</t>
  </si>
  <si>
    <t>ALANIA SUAREZ DE GIL DIONICIA</t>
  </si>
  <si>
    <t>07738357</t>
  </si>
  <si>
    <t>0070290</t>
  </si>
  <si>
    <t>991819463</t>
  </si>
  <si>
    <t>87014</t>
  </si>
  <si>
    <t>100416</t>
  </si>
  <si>
    <t>4505</t>
  </si>
  <si>
    <t>BO-4505</t>
  </si>
  <si>
    <t>VIRU DIAZ ROSA MARIA</t>
  </si>
  <si>
    <t>06163902</t>
  </si>
  <si>
    <t>0070824</t>
  </si>
  <si>
    <t>923775190</t>
  </si>
  <si>
    <t>87993</t>
  </si>
  <si>
    <t>103612</t>
  </si>
  <si>
    <t>4381</t>
  </si>
  <si>
    <t>BO-4381</t>
  </si>
  <si>
    <t>DEPAZ ASIS JOSE ENRIQUE</t>
  </si>
  <si>
    <t>07335374</t>
  </si>
  <si>
    <t>0072365</t>
  </si>
  <si>
    <t>933406869</t>
  </si>
  <si>
    <t>90582</t>
  </si>
  <si>
    <t>2353</t>
  </si>
  <si>
    <t>5527</t>
  </si>
  <si>
    <t>NC-5527</t>
  </si>
  <si>
    <t>BRAVO QUISPE VDA DE ANDIA ANGELICA RITA</t>
  </si>
  <si>
    <t>07412423</t>
  </si>
  <si>
    <t>FERNANDEZ GUTIERREZ OLGA PATRICIA</t>
  </si>
  <si>
    <t>0069850</t>
  </si>
  <si>
    <t>979750580</t>
  </si>
  <si>
    <t>86154</t>
  </si>
  <si>
    <t>USO DE EQUIPOS E INSUMO IRIDOTOMIA</t>
  </si>
  <si>
    <t>107-3174605363</t>
  </si>
  <si>
    <t>98110</t>
  </si>
  <si>
    <t>527</t>
  </si>
  <si>
    <t>FA-527</t>
  </si>
  <si>
    <t>VEFER OFTALMOLOGOS S.A.C.</t>
  </si>
  <si>
    <t>86155</t>
  </si>
  <si>
    <t>BO-5527</t>
  </si>
  <si>
    <t>99362</t>
  </si>
  <si>
    <t>1041</t>
  </si>
  <si>
    <t>FA-1041</t>
  </si>
  <si>
    <t>VENEGAS PUEMAPE NELLY EUFEMIA</t>
  </si>
  <si>
    <t>08581322</t>
  </si>
  <si>
    <t>0070348</t>
  </si>
  <si>
    <t>941382516</t>
  </si>
  <si>
    <t>87156</t>
  </si>
  <si>
    <t>98106</t>
  </si>
  <si>
    <t>5526</t>
  </si>
  <si>
    <t>BO-5526</t>
  </si>
  <si>
    <t>VALERA BAZAN LAURA PIERI</t>
  </si>
  <si>
    <t>08013693</t>
  </si>
  <si>
    <t>CASTRO TAMANAJA VANIA</t>
  </si>
  <si>
    <t>0056253</t>
  </si>
  <si>
    <t>4715484</t>
  </si>
  <si>
    <t>86151</t>
  </si>
  <si>
    <t>98108</t>
  </si>
  <si>
    <t>526</t>
  </si>
  <si>
    <t>FA-526</t>
  </si>
  <si>
    <t>ABAD OVALLE ARLINE MERCEDES</t>
  </si>
  <si>
    <t>25532349</t>
  </si>
  <si>
    <t>0069694</t>
  </si>
  <si>
    <t>999999452</t>
  </si>
  <si>
    <t>86152</t>
  </si>
  <si>
    <t>99250</t>
  </si>
  <si>
    <t>3916</t>
  </si>
  <si>
    <t>BO-3916</t>
  </si>
  <si>
    <t>ZAVALA MARTINEZ JORGE ALFONSO</t>
  </si>
  <si>
    <t>06134501</t>
  </si>
  <si>
    <t>0070311</t>
  </si>
  <si>
    <t>944326227</t>
  </si>
  <si>
    <t>87070</t>
  </si>
  <si>
    <t>99568</t>
  </si>
  <si>
    <t>153</t>
  </si>
  <si>
    <t>BO-153</t>
  </si>
  <si>
    <t>CARDEÑA LEON MARIA ALONDRA</t>
  </si>
  <si>
    <t>77490960</t>
  </si>
  <si>
    <t>0068091</t>
  </si>
  <si>
    <t>943956541</t>
  </si>
  <si>
    <t>87332</t>
  </si>
  <si>
    <t>CIPROFLOXACINO 500 MG TAB</t>
  </si>
  <si>
    <t>L.LINCE</t>
  </si>
  <si>
    <t>LQUISPE</t>
  </si>
  <si>
    <t>LN. FARMACIA</t>
  </si>
  <si>
    <t>LINCE</t>
  </si>
  <si>
    <t>PREDNISONA 20MG TABLETAS</t>
  </si>
  <si>
    <t>PARACETAMOL 500MG TABLETA</t>
  </si>
  <si>
    <t>100169</t>
  </si>
  <si>
    <t>4038</t>
  </si>
  <si>
    <t>BO-4038</t>
  </si>
  <si>
    <t>PARISACA MAMANI FRANCISCO</t>
  </si>
  <si>
    <t>09551435</t>
  </si>
  <si>
    <t>0070705</t>
  </si>
  <si>
    <t>+51980455062</t>
  </si>
  <si>
    <t>87779</t>
  </si>
  <si>
    <t>100394</t>
  </si>
  <si>
    <t>544</t>
  </si>
  <si>
    <t>FA-544</t>
  </si>
  <si>
    <t>CASTILLO ESPINOZA JUSTINA</t>
  </si>
  <si>
    <t>06653318</t>
  </si>
  <si>
    <t>0070787</t>
  </si>
  <si>
    <t>933738642</t>
  </si>
  <si>
    <t>GRACIA REY VALENTINA</t>
  </si>
  <si>
    <t>87959</t>
  </si>
  <si>
    <t>100773</t>
  </si>
  <si>
    <t>4549</t>
  </si>
  <si>
    <t>BO-4549</t>
  </si>
  <si>
    <t>VARGAS OLIVARES ALBERTINA</t>
  </si>
  <si>
    <t>31943028</t>
  </si>
  <si>
    <t>0071036</t>
  </si>
  <si>
    <t>916410304</t>
  </si>
  <si>
    <t>88275</t>
  </si>
  <si>
    <t>100853</t>
  </si>
  <si>
    <t>4562</t>
  </si>
  <si>
    <t>BO-4562</t>
  </si>
  <si>
    <t>ORELLANO ARBOLEDA ELVIS PERPETUA</t>
  </si>
  <si>
    <t>25775438</t>
  </si>
  <si>
    <t>0071058</t>
  </si>
  <si>
    <t>989642973</t>
  </si>
  <si>
    <t>88331</t>
  </si>
  <si>
    <t>100917</t>
  </si>
  <si>
    <t>4107</t>
  </si>
  <si>
    <t>BO-4107</t>
  </si>
  <si>
    <t>MAS MELENDEZ MILTON</t>
  </si>
  <si>
    <t>43271432</t>
  </si>
  <si>
    <t>0061826</t>
  </si>
  <si>
    <t>993546455</t>
  </si>
  <si>
    <t>88381</t>
  </si>
  <si>
    <t>100896</t>
  </si>
  <si>
    <t>4567</t>
  </si>
  <si>
    <t>BO-4567</t>
  </si>
  <si>
    <t>REYES HUAMANI SILVANA KEYLA</t>
  </si>
  <si>
    <t>71678236</t>
  </si>
  <si>
    <t>0024720</t>
  </si>
  <si>
    <t>994428828</t>
  </si>
  <si>
    <t>88359</t>
  </si>
  <si>
    <t>101011</t>
  </si>
  <si>
    <t>4118</t>
  </si>
  <si>
    <t>BO-4118</t>
  </si>
  <si>
    <t>BELLO PEJERREY OLGA MERY</t>
  </si>
  <si>
    <t>25822194</t>
  </si>
  <si>
    <t>0071116</t>
  </si>
  <si>
    <t>929409172</t>
  </si>
  <si>
    <t>88468</t>
  </si>
  <si>
    <t>101135</t>
  </si>
  <si>
    <t>4136</t>
  </si>
  <si>
    <t>BO-4136</t>
  </si>
  <si>
    <t>CASANOVA NAMOG DE LARREA ANDREA NINFA</t>
  </si>
  <si>
    <t>08077846</t>
  </si>
  <si>
    <t>0071146</t>
  </si>
  <si>
    <t>4820159</t>
  </si>
  <si>
    <t>88569</t>
  </si>
  <si>
    <t>103230</t>
  </si>
  <si>
    <t>1080</t>
  </si>
  <si>
    <t>FA-1080</t>
  </si>
  <si>
    <t>BAZALAR LAOS HECTOR RAUL</t>
  </si>
  <si>
    <t>15584530</t>
  </si>
  <si>
    <t>0072103</t>
  </si>
  <si>
    <t>999999999</t>
  </si>
  <si>
    <t>90278</t>
  </si>
  <si>
    <t>103737</t>
  </si>
  <si>
    <t>6068</t>
  </si>
  <si>
    <t>BO-6068</t>
  </si>
  <si>
    <t>GOMEZ MORGADO JEAN CARLO</t>
  </si>
  <si>
    <t>18617645</t>
  </si>
  <si>
    <t>0072436</t>
  </si>
  <si>
    <t>935418797</t>
  </si>
  <si>
    <t>90663</t>
  </si>
  <si>
    <t>HEMOGRAMA COMPLETO</t>
  </si>
  <si>
    <t>LN. LABORATORIO</t>
  </si>
  <si>
    <t>ORINA COMPLETO</t>
  </si>
  <si>
    <t>GLUCOSA</t>
  </si>
  <si>
    <t>TIEMPO DE COAGULACION Y SANGRIA</t>
  </si>
  <si>
    <t>98151</t>
  </si>
  <si>
    <t>11423</t>
  </si>
  <si>
    <t>BO-11423</t>
  </si>
  <si>
    <t>PACACHA FLORES BLANCA VALESKA</t>
  </si>
  <si>
    <t>91733805</t>
  </si>
  <si>
    <t>CRISPIN MORALES NANCY JENNY</t>
  </si>
  <si>
    <t>HOSPITAL ALMENARA</t>
  </si>
  <si>
    <t>0069883</t>
  </si>
  <si>
    <t>970593962</t>
  </si>
  <si>
    <t>86188</t>
  </si>
  <si>
    <t>193-90416675072</t>
  </si>
  <si>
    <t>103143</t>
  </si>
  <si>
    <t>6003</t>
  </si>
  <si>
    <t>BO-6003</t>
  </si>
  <si>
    <t>RAMIREZ VENTOCILLA NAHUD ROGATO</t>
  </si>
  <si>
    <t>08744883</t>
  </si>
  <si>
    <t>0071970</t>
  </si>
  <si>
    <t>90191</t>
  </si>
  <si>
    <t>PQ BIOMETRIA MICROSCOPIA</t>
  </si>
  <si>
    <t>103145</t>
  </si>
  <si>
    <t>6004</t>
  </si>
  <si>
    <t>BO-6004</t>
  </si>
  <si>
    <t>90141</t>
  </si>
  <si>
    <t>98176</t>
  </si>
  <si>
    <t>11428</t>
  </si>
  <si>
    <t>BO-11428</t>
  </si>
  <si>
    <t>REYES SANCHEZ OLGA EULALIA</t>
  </si>
  <si>
    <t>09330262</t>
  </si>
  <si>
    <t>LLERENA MORALES OSCAR ADOLFO</t>
  </si>
  <si>
    <t>SANNA SAN MIGUEL</t>
  </si>
  <si>
    <t>0069894</t>
  </si>
  <si>
    <t>947513770</t>
  </si>
  <si>
    <t>86218</t>
  </si>
  <si>
    <t>098-7304409</t>
  </si>
  <si>
    <t>98684</t>
  </si>
  <si>
    <t>11497</t>
  </si>
  <si>
    <t>BO-11497</t>
  </si>
  <si>
    <t>GUERRA VALLE LUZ MARGARITA</t>
  </si>
  <si>
    <t>06106322</t>
  </si>
  <si>
    <t>SAPAICO VICUÑA AUGUSTO RODRIGO</t>
  </si>
  <si>
    <t>0070101</t>
  </si>
  <si>
    <t>940296008</t>
  </si>
  <si>
    <t>86622</t>
  </si>
  <si>
    <t>0011-0189-0200496417</t>
  </si>
  <si>
    <t>98853</t>
  </si>
  <si>
    <t>5605</t>
  </si>
  <si>
    <t>BO-5605</t>
  </si>
  <si>
    <t>TORRELIO GUERRERO LIDIA ZOTICA</t>
  </si>
  <si>
    <t>06689006</t>
  </si>
  <si>
    <t>0070124</t>
  </si>
  <si>
    <t>999488621</t>
  </si>
  <si>
    <t>86768</t>
  </si>
  <si>
    <t>100431</t>
  </si>
  <si>
    <t>5708</t>
  </si>
  <si>
    <t>BO-5708</t>
  </si>
  <si>
    <t>ROJAS MENENDEZ CARMEN</t>
  </si>
  <si>
    <t>06632191</t>
  </si>
  <si>
    <t>0070829</t>
  </si>
  <si>
    <t>997239749</t>
  </si>
  <si>
    <t>88003</t>
  </si>
  <si>
    <t>100765</t>
  </si>
  <si>
    <t>11879</t>
  </si>
  <si>
    <t>BO-11879</t>
  </si>
  <si>
    <t>ARBAÑIL HUAMAN IRENE AGUSTINA</t>
  </si>
  <si>
    <t>06086351</t>
  </si>
  <si>
    <t>0058674</t>
  </si>
  <si>
    <t>975009671</t>
  </si>
  <si>
    <t>88261</t>
  </si>
  <si>
    <t>103590</t>
  </si>
  <si>
    <t>12235</t>
  </si>
  <si>
    <t>BO-12235</t>
  </si>
  <si>
    <t>PACHECO SAAVEDRA CARMEN</t>
  </si>
  <si>
    <t>08464237</t>
  </si>
  <si>
    <t>0072356</t>
  </si>
  <si>
    <t>941510805</t>
  </si>
  <si>
    <t>90567</t>
  </si>
  <si>
    <t>100399</t>
  </si>
  <si>
    <t>11802</t>
  </si>
  <si>
    <t>BO-11802</t>
  </si>
  <si>
    <t>DE LA CRUZ NAVARRO TANIA RUTH</t>
  </si>
  <si>
    <t>08062831</t>
  </si>
  <si>
    <t>LLERENA LOYOLA ELSA YESENIA</t>
  </si>
  <si>
    <t>CLINICA MAISON DE SANTE</t>
  </si>
  <si>
    <t>0070706</t>
  </si>
  <si>
    <t>980445719</t>
  </si>
  <si>
    <t>87976</t>
  </si>
  <si>
    <t>0011-0197-0200171031</t>
  </si>
  <si>
    <t>98167</t>
  </si>
  <si>
    <t>4250</t>
  </si>
  <si>
    <t>BO-4250</t>
  </si>
  <si>
    <t>RONCAL ROMERO FANNYNG EDITH</t>
  </si>
  <si>
    <t>44905743</t>
  </si>
  <si>
    <t>ROJAS AQUINO EVELING KARINA</t>
  </si>
  <si>
    <t>POLICLÍNICO ESPÍRITU SANTO</t>
  </si>
  <si>
    <t>0069844</t>
  </si>
  <si>
    <t>984441413</t>
  </si>
  <si>
    <t>86210</t>
  </si>
  <si>
    <t>009-3226956615</t>
  </si>
  <si>
    <t>98511</t>
  </si>
  <si>
    <t>3829</t>
  </si>
  <si>
    <t>BO-3829</t>
  </si>
  <si>
    <t>86473</t>
  </si>
  <si>
    <t>99428</t>
  </si>
  <si>
    <t>11650</t>
  </si>
  <si>
    <t>BO-11650</t>
  </si>
  <si>
    <t>MEZA RUBINA JILMER</t>
  </si>
  <si>
    <t>22865734</t>
  </si>
  <si>
    <t>0070376</t>
  </si>
  <si>
    <t>913757585</t>
  </si>
  <si>
    <t>87199</t>
  </si>
  <si>
    <t>99695</t>
  </si>
  <si>
    <t>4429</t>
  </si>
  <si>
    <t>BO-4429</t>
  </si>
  <si>
    <t>MORE MONASTERIO NILDA MARIA</t>
  </si>
  <si>
    <t>10291906</t>
  </si>
  <si>
    <t>0070515</t>
  </si>
  <si>
    <t>973822706</t>
  </si>
  <si>
    <t>87448</t>
  </si>
  <si>
    <t>100432</t>
  </si>
  <si>
    <t>4063</t>
  </si>
  <si>
    <t>BO-4063</t>
  </si>
  <si>
    <t>CUBAS FERNANDEZ EFIGENIO</t>
  </si>
  <si>
    <t>27256822</t>
  </si>
  <si>
    <t>0070830</t>
  </si>
  <si>
    <t>985974497</t>
  </si>
  <si>
    <t>88004</t>
  </si>
  <si>
    <t>100477</t>
  </si>
  <si>
    <t>4073</t>
  </si>
  <si>
    <t>BO-4073</t>
  </si>
  <si>
    <t>RAMIREZ BRONCANO LUCIO ROMULO</t>
  </si>
  <si>
    <t>15583459</t>
  </si>
  <si>
    <t>0070855</t>
  </si>
  <si>
    <t>930437406</t>
  </si>
  <si>
    <t>88043</t>
  </si>
  <si>
    <t>98440</t>
  </si>
  <si>
    <t>1028</t>
  </si>
  <si>
    <t>FA-1028</t>
  </si>
  <si>
    <t>MATEO EYZAGUIRRE MARCO IVART</t>
  </si>
  <si>
    <t>74312316</t>
  </si>
  <si>
    <t>ACOSTA VIERA ALVARO</t>
  </si>
  <si>
    <t>0069588</t>
  </si>
  <si>
    <t>921508096</t>
  </si>
  <si>
    <t>CENTRO CONTRA LA CEGUERA E.I.R.L.</t>
  </si>
  <si>
    <t>86415</t>
  </si>
  <si>
    <t>USO DE EQUIPOS E INSUMO BLEFAROPLASTIA</t>
  </si>
  <si>
    <t>0011-0814-0256063048</t>
  </si>
  <si>
    <t>98393</t>
  </si>
  <si>
    <t>5552</t>
  </si>
  <si>
    <t>BO-5552</t>
  </si>
  <si>
    <t>LAZARO CACHA JUAN CRISOSTOMO</t>
  </si>
  <si>
    <t>31633639</t>
  </si>
  <si>
    <t>FIERRO LEANDRO</t>
  </si>
  <si>
    <t>POLICLÍNICO DIVINO NIÑO JESÚS</t>
  </si>
  <si>
    <t>0069870</t>
  </si>
  <si>
    <t>928408508</t>
  </si>
  <si>
    <t>86371</t>
  </si>
  <si>
    <t>98395</t>
  </si>
  <si>
    <t>11467</t>
  </si>
  <si>
    <t>BO-11467</t>
  </si>
  <si>
    <t>MENDOZA REYES BRIGIDA</t>
  </si>
  <si>
    <t>08831402</t>
  </si>
  <si>
    <t>0069872</t>
  </si>
  <si>
    <t>941194643</t>
  </si>
  <si>
    <t>86373</t>
  </si>
  <si>
    <t>98399</t>
  </si>
  <si>
    <t>5555</t>
  </si>
  <si>
    <t>BO-5555</t>
  </si>
  <si>
    <t>TINOCO OBREGON LUIS ALBERTO</t>
  </si>
  <si>
    <t>15859654</t>
  </si>
  <si>
    <t>0069871</t>
  </si>
  <si>
    <t>997639449</t>
  </si>
  <si>
    <t>86378</t>
  </si>
  <si>
    <t>98449</t>
  </si>
  <si>
    <t>530</t>
  </si>
  <si>
    <t>FA-530</t>
  </si>
  <si>
    <t>GRUPO MEDICO INTEGRAL SOCIEDAD ANONIMA CERRADA</t>
  </si>
  <si>
    <t>86384</t>
  </si>
  <si>
    <t>98450</t>
  </si>
  <si>
    <t>531</t>
  </si>
  <si>
    <t>FA-531</t>
  </si>
  <si>
    <t>86385</t>
  </si>
  <si>
    <t>98476</t>
  </si>
  <si>
    <t>1029</t>
  </si>
  <si>
    <t>FA-1029</t>
  </si>
  <si>
    <t>86375</t>
  </si>
  <si>
    <t>98570</t>
  </si>
  <si>
    <t>5573</t>
  </si>
  <si>
    <t>BO-5573</t>
  </si>
  <si>
    <t>GAMARRA CHAVARRIA JUAN PASCUAL</t>
  </si>
  <si>
    <t>15447914</t>
  </si>
  <si>
    <t>0070007</t>
  </si>
  <si>
    <t>986955058</t>
  </si>
  <si>
    <t>86517</t>
  </si>
  <si>
    <t>98571</t>
  </si>
  <si>
    <t>11481</t>
  </si>
  <si>
    <t>BO-11481</t>
  </si>
  <si>
    <t>PASCO RAMOS DE HERRERA GLORIA ELISA</t>
  </si>
  <si>
    <t>07017191</t>
  </si>
  <si>
    <t>0070001</t>
  </si>
  <si>
    <t>997369213</t>
  </si>
  <si>
    <t>86520</t>
  </si>
  <si>
    <t>98572</t>
  </si>
  <si>
    <t>11482</t>
  </si>
  <si>
    <t>BO-11482</t>
  </si>
  <si>
    <t>86519</t>
  </si>
  <si>
    <t>ELECTROCARDIOGRAMA-EKG</t>
  </si>
  <si>
    <t>98573</t>
  </si>
  <si>
    <t>11483</t>
  </si>
  <si>
    <t>BO-11483</t>
  </si>
  <si>
    <t>86518</t>
  </si>
  <si>
    <t>HIV 1,2 (TEST RAPIDO)</t>
  </si>
  <si>
    <t>98577</t>
  </si>
  <si>
    <t>11486</t>
  </si>
  <si>
    <t>BO-11486</t>
  </si>
  <si>
    <t>SAUÑE AGUILAR MERCEDES</t>
  </si>
  <si>
    <t>31032400</t>
  </si>
  <si>
    <t>0069675</t>
  </si>
  <si>
    <t>940106575</t>
  </si>
  <si>
    <t>86525</t>
  </si>
  <si>
    <t>98578</t>
  </si>
  <si>
    <t>11487</t>
  </si>
  <si>
    <t>BO-11487</t>
  </si>
  <si>
    <t>86523</t>
  </si>
  <si>
    <t>98587</t>
  </si>
  <si>
    <t>5574</t>
  </si>
  <si>
    <t>BO-5574</t>
  </si>
  <si>
    <t>BARAHONA VERASTEGUI MEDARDO</t>
  </si>
  <si>
    <t>08834924</t>
  </si>
  <si>
    <t>0070031</t>
  </si>
  <si>
    <t>981607915</t>
  </si>
  <si>
    <t>86534</t>
  </si>
  <si>
    <t>98589</t>
  </si>
  <si>
    <t>11488</t>
  </si>
  <si>
    <t>BO-11488</t>
  </si>
  <si>
    <t>86536</t>
  </si>
  <si>
    <t>98697</t>
  </si>
  <si>
    <t>1032</t>
  </si>
  <si>
    <t>FA-1032</t>
  </si>
  <si>
    <t>86543</t>
  </si>
  <si>
    <t>98698</t>
  </si>
  <si>
    <t>1033</t>
  </si>
  <si>
    <t>FA-1033</t>
  </si>
  <si>
    <t>86542</t>
  </si>
  <si>
    <t>98965</t>
  </si>
  <si>
    <t>11556</t>
  </si>
  <si>
    <t>BO-11556</t>
  </si>
  <si>
    <t>RODRIGUEZ VELA KATHERINE FIORELLA</t>
  </si>
  <si>
    <t>76232484</t>
  </si>
  <si>
    <t>0070028</t>
  </si>
  <si>
    <t>906 777 340</t>
  </si>
  <si>
    <t>86877</t>
  </si>
  <si>
    <t>98996</t>
  </si>
  <si>
    <t>1037</t>
  </si>
  <si>
    <t>FA-1037</t>
  </si>
  <si>
    <t>86546</t>
  </si>
  <si>
    <t>99003</t>
  </si>
  <si>
    <t>1040</t>
  </si>
  <si>
    <t>FA-1040</t>
  </si>
  <si>
    <t>86827</t>
  </si>
  <si>
    <t>99136</t>
  </si>
  <si>
    <t>5639</t>
  </si>
  <si>
    <t>BO-5639</t>
  </si>
  <si>
    <t>86978</t>
  </si>
  <si>
    <t>99138</t>
  </si>
  <si>
    <t>5640</t>
  </si>
  <si>
    <t>BO-5640</t>
  </si>
  <si>
    <t>86979</t>
  </si>
  <si>
    <t>99219</t>
  </si>
  <si>
    <t>541</t>
  </si>
  <si>
    <t>FA-541</t>
  </si>
  <si>
    <t>87029</t>
  </si>
  <si>
    <t>99525</t>
  </si>
  <si>
    <t>11667</t>
  </si>
  <si>
    <t>BO-11667</t>
  </si>
  <si>
    <t>URTECHO VARGAS MARCELO BERARDO</t>
  </si>
  <si>
    <t>32807550</t>
  </si>
  <si>
    <t>0070330</t>
  </si>
  <si>
    <t>934254167</t>
  </si>
  <si>
    <t>87291</t>
  </si>
  <si>
    <t>99526</t>
  </si>
  <si>
    <t>11668</t>
  </si>
  <si>
    <t>BO-11668</t>
  </si>
  <si>
    <t>87290</t>
  </si>
  <si>
    <t>99527</t>
  </si>
  <si>
    <t>11669</t>
  </si>
  <si>
    <t>BO-11669</t>
  </si>
  <si>
    <t>87292</t>
  </si>
  <si>
    <t>99528</t>
  </si>
  <si>
    <t>11670</t>
  </si>
  <si>
    <t>BO-11670</t>
  </si>
  <si>
    <t>VILLARREAL AZAÑERO DE CHIRITO MARTINA CO</t>
  </si>
  <si>
    <t>15654650</t>
  </si>
  <si>
    <t>0070331</t>
  </si>
  <si>
    <t>920384829</t>
  </si>
  <si>
    <t>87295</t>
  </si>
  <si>
    <t>99561</t>
  </si>
  <si>
    <t>11679</t>
  </si>
  <si>
    <t>BO-11679</t>
  </si>
  <si>
    <t>LAZO LUYO ENRIQUE FELIX</t>
  </si>
  <si>
    <t>16150809</t>
  </si>
  <si>
    <t>0070454</t>
  </si>
  <si>
    <t>87325</t>
  </si>
  <si>
    <t>99598</t>
  </si>
  <si>
    <t>1044</t>
  </si>
  <si>
    <t>FA-1044</t>
  </si>
  <si>
    <t>87297</t>
  </si>
  <si>
    <t>99600</t>
  </si>
  <si>
    <t>1045</t>
  </si>
  <si>
    <t>FA-1045</t>
  </si>
  <si>
    <t>87326</t>
  </si>
  <si>
    <t>99601</t>
  </si>
  <si>
    <t>1046</t>
  </si>
  <si>
    <t>FA-1046</t>
  </si>
  <si>
    <t>87336</t>
  </si>
  <si>
    <t>100291</t>
  </si>
  <si>
    <t>5699</t>
  </si>
  <si>
    <t>BO-5699</t>
  </si>
  <si>
    <t>BALCAZAR SILVA ANTONIO LEONIDAS</t>
  </si>
  <si>
    <t>06796475</t>
  </si>
  <si>
    <t>0070727</t>
  </si>
  <si>
    <t>983835015</t>
  </si>
  <si>
    <t>87889</t>
  </si>
  <si>
    <t>100292</t>
  </si>
  <si>
    <t>5700</t>
  </si>
  <si>
    <t>BO-5700</t>
  </si>
  <si>
    <t>87890</t>
  </si>
  <si>
    <t>100293</t>
  </si>
  <si>
    <t>5701</t>
  </si>
  <si>
    <t>BO-5701</t>
  </si>
  <si>
    <t>87891</t>
  </si>
  <si>
    <t>100305</t>
  </si>
  <si>
    <t>11786</t>
  </si>
  <si>
    <t>BO-11786</t>
  </si>
  <si>
    <t>LUQUE DE SANCHEZ FLORENTINA</t>
  </si>
  <si>
    <t>28238776</t>
  </si>
  <si>
    <t>0070728</t>
  </si>
  <si>
    <t>953438570</t>
  </si>
  <si>
    <t>87901</t>
  </si>
  <si>
    <t>100324</t>
  </si>
  <si>
    <t>5702</t>
  </si>
  <si>
    <t>BO-5702</t>
  </si>
  <si>
    <t>BARRON HONORIO MILAGROS ROCIO</t>
  </si>
  <si>
    <t>46088575</t>
  </si>
  <si>
    <t>0065003</t>
  </si>
  <si>
    <t>990088810</t>
  </si>
  <si>
    <t>87926</t>
  </si>
  <si>
    <t>100441</t>
  </si>
  <si>
    <t>545</t>
  </si>
  <si>
    <t>FA-545</t>
  </si>
  <si>
    <t>87935</t>
  </si>
  <si>
    <t xml:space="preserve">CROSSLINKING CORNEAL </t>
  </si>
  <si>
    <t>100680</t>
  </si>
  <si>
    <t>1060</t>
  </si>
  <si>
    <t>FA-1060</t>
  </si>
  <si>
    <t>87922</t>
  </si>
  <si>
    <t>100885</t>
  </si>
  <si>
    <t>5739</t>
  </si>
  <si>
    <t>BO-5739</t>
  </si>
  <si>
    <t>AGUILAR BUENO JESUS AMELIA</t>
  </si>
  <si>
    <t>09808448</t>
  </si>
  <si>
    <t>0071027</t>
  </si>
  <si>
    <t>986800123</t>
  </si>
  <si>
    <t>88348</t>
  </si>
  <si>
    <t>100884</t>
  </si>
  <si>
    <t>5738</t>
  </si>
  <si>
    <t>BO-5738</t>
  </si>
  <si>
    <t>88347</t>
  </si>
  <si>
    <t>100921</t>
  </si>
  <si>
    <t>11898</t>
  </si>
  <si>
    <t>BO-11898</t>
  </si>
  <si>
    <t>OCHOA SALAS LUIS ALBERTO</t>
  </si>
  <si>
    <t>80162583</t>
  </si>
  <si>
    <t>0071029</t>
  </si>
  <si>
    <t>88383</t>
  </si>
  <si>
    <t>100886</t>
  </si>
  <si>
    <t>5740</t>
  </si>
  <si>
    <t>BO-5740</t>
  </si>
  <si>
    <t>88349</t>
  </si>
  <si>
    <t>100995</t>
  </si>
  <si>
    <t>1063</t>
  </si>
  <si>
    <t>FA-1063</t>
  </si>
  <si>
    <t>88384</t>
  </si>
  <si>
    <t>101009</t>
  </si>
  <si>
    <t>1064</t>
  </si>
  <si>
    <t>FA-1064</t>
  </si>
  <si>
    <t>88398</t>
  </si>
  <si>
    <t>102868</t>
  </si>
  <si>
    <t>5973</t>
  </si>
  <si>
    <t>BO-5973</t>
  </si>
  <si>
    <t>COMETIVOS PANDURO MIRIAM</t>
  </si>
  <si>
    <t>00865199</t>
  </si>
  <si>
    <t>0071944</t>
  </si>
  <si>
    <t>940163522</t>
  </si>
  <si>
    <t>89939</t>
  </si>
  <si>
    <t>102869</t>
  </si>
  <si>
    <t>5974</t>
  </si>
  <si>
    <t>BO-5974</t>
  </si>
  <si>
    <t>89940</t>
  </si>
  <si>
    <t>102870</t>
  </si>
  <si>
    <t>5975</t>
  </si>
  <si>
    <t>BO-5975</t>
  </si>
  <si>
    <t>89941</t>
  </si>
  <si>
    <t>103003</t>
  </si>
  <si>
    <t>5988</t>
  </si>
  <si>
    <t>BO-5988</t>
  </si>
  <si>
    <t>MERCEDES RODRIGUEZ MIGUEL DIONICIO</t>
  </si>
  <si>
    <t>07430013</t>
  </si>
  <si>
    <t>0072018</t>
  </si>
  <si>
    <t>912097149</t>
  </si>
  <si>
    <t>90064</t>
  </si>
  <si>
    <t>103004</t>
  </si>
  <si>
    <t>5989</t>
  </si>
  <si>
    <t>BO-5989</t>
  </si>
  <si>
    <t>90066</t>
  </si>
  <si>
    <t>103005</t>
  </si>
  <si>
    <t>5990</t>
  </si>
  <si>
    <t>BO-5990</t>
  </si>
  <si>
    <t>90068</t>
  </si>
  <si>
    <t>103432</t>
  </si>
  <si>
    <t>12213</t>
  </si>
  <si>
    <t>BO-12213</t>
  </si>
  <si>
    <t>LOAYZA LOAYZA DANIEL</t>
  </si>
  <si>
    <t>15640724</t>
  </si>
  <si>
    <t>0058677</t>
  </si>
  <si>
    <t>989493571</t>
  </si>
  <si>
    <t>90443</t>
  </si>
  <si>
    <t>98661</t>
  </si>
  <si>
    <t>11495</t>
  </si>
  <si>
    <t>BO-11495</t>
  </si>
  <si>
    <t>GALLEGOS BENAVIDES CRISTINA ANA</t>
  </si>
  <si>
    <t>07136272</t>
  </si>
  <si>
    <t>CARDENAS ORTEGA MARISA</t>
  </si>
  <si>
    <t>0070089</t>
  </si>
  <si>
    <t>979097585</t>
  </si>
  <si>
    <t>86601</t>
  </si>
  <si>
    <t>193-34139202041</t>
  </si>
  <si>
    <t>98616</t>
  </si>
  <si>
    <t>11491</t>
  </si>
  <si>
    <t>BO-11491</t>
  </si>
  <si>
    <t>MUÑOZ OCAÑO ARMANDO</t>
  </si>
  <si>
    <t>20976782</t>
  </si>
  <si>
    <t>SILVA</t>
  </si>
  <si>
    <t>0070068</t>
  </si>
  <si>
    <t>928786641</t>
  </si>
  <si>
    <t>86562</t>
  </si>
  <si>
    <t>2358</t>
  </si>
  <si>
    <t>11496</t>
  </si>
  <si>
    <t>NC-11496</t>
  </si>
  <si>
    <t>MONTALVO SUAREZ ESTHER ESPERANZA</t>
  </si>
  <si>
    <t>08507757</t>
  </si>
  <si>
    <t>HUAMAN RIOS LUIS ENRIQUE</t>
  </si>
  <si>
    <t>0070099</t>
  </si>
  <si>
    <t>990523847</t>
  </si>
  <si>
    <t>86611</t>
  </si>
  <si>
    <t>191-30583545068</t>
  </si>
  <si>
    <t>98676</t>
  </si>
  <si>
    <t>1030</t>
  </si>
  <si>
    <t>FA-1030</t>
  </si>
  <si>
    <t>VDAXIOM S.A.C.</t>
  </si>
  <si>
    <t>86613</t>
  </si>
  <si>
    <t>BO-11496</t>
  </si>
  <si>
    <t>100221</t>
  </si>
  <si>
    <t>11774</t>
  </si>
  <si>
    <t>BO-11774</t>
  </si>
  <si>
    <t>CERON HUAMANI FRANCISCA</t>
  </si>
  <si>
    <t>09471100</t>
  </si>
  <si>
    <t>0070736</t>
  </si>
  <si>
    <t>960127734</t>
  </si>
  <si>
    <t>87836</t>
  </si>
  <si>
    <t>98645</t>
  </si>
  <si>
    <t>5580</t>
  </si>
  <si>
    <t>BO-5580</t>
  </si>
  <si>
    <t>CUBA HIDALGO VDA DE TOSCA JULIA JESUS</t>
  </si>
  <si>
    <t>08052088</t>
  </si>
  <si>
    <t>DIANA DAVALOS SORIA</t>
  </si>
  <si>
    <t>HOSPITAL CAYETANO HEREDIA</t>
  </si>
  <si>
    <t>0070081</t>
  </si>
  <si>
    <t>955702271</t>
  </si>
  <si>
    <t>86587</t>
  </si>
  <si>
    <t>191-00494902000</t>
  </si>
  <si>
    <t>98694</t>
  </si>
  <si>
    <t>1031</t>
  </si>
  <si>
    <t>FA-1031</t>
  </si>
  <si>
    <t>CARAZAS CERRILLO DE APAZA GREGORIA</t>
  </si>
  <si>
    <t>08985710</t>
  </si>
  <si>
    <t>MANCHEGO LOMBARDI MICHAEL</t>
  </si>
  <si>
    <t>0070006</t>
  </si>
  <si>
    <t>NO TIENE</t>
  </si>
  <si>
    <t>CENTRO OFTALMOLOGICO OFTALMOCARE S.R.L.</t>
  </si>
  <si>
    <t>86633</t>
  </si>
  <si>
    <t>639-3004120188</t>
  </si>
  <si>
    <t>99631</t>
  </si>
  <si>
    <t>11693</t>
  </si>
  <si>
    <t>BO-11693</t>
  </si>
  <si>
    <t>CALVAY SAUSA LUIS ALBERTO</t>
  </si>
  <si>
    <t>10405367</t>
  </si>
  <si>
    <t>MENDOZA DIAZ NORA BEATRIZ</t>
  </si>
  <si>
    <t>ESSALUD ATE</t>
  </si>
  <si>
    <t>0070474</t>
  </si>
  <si>
    <t>95231065</t>
  </si>
  <si>
    <t>87381</t>
  </si>
  <si>
    <t>191-03554214014</t>
  </si>
  <si>
    <t>99632</t>
  </si>
  <si>
    <t>11694</t>
  </si>
  <si>
    <t>BO-11694</t>
  </si>
  <si>
    <t>87382</t>
  </si>
  <si>
    <t>99633</t>
  </si>
  <si>
    <t>11695</t>
  </si>
  <si>
    <t>BO-11695</t>
  </si>
  <si>
    <t>87380</t>
  </si>
  <si>
    <t>101072</t>
  </si>
  <si>
    <t>553</t>
  </si>
  <si>
    <t>FA-553</t>
  </si>
  <si>
    <t>88440</t>
  </si>
  <si>
    <t xml:space="preserve">MININUC </t>
  </si>
  <si>
    <t>100102</t>
  </si>
  <si>
    <t>1054</t>
  </si>
  <si>
    <t>FA-1054</t>
  </si>
  <si>
    <t>CUELLAR MONTERO HUGO VICTOR DOMINGO</t>
  </si>
  <si>
    <t>06044836</t>
  </si>
  <si>
    <t>ZELADA LORENZO ANGEL MIGUEL</t>
  </si>
  <si>
    <t>0070679</t>
  </si>
  <si>
    <t>9716122026</t>
  </si>
  <si>
    <t>87741</t>
  </si>
  <si>
    <t>191-14525587008</t>
  </si>
  <si>
    <t>100210</t>
  </si>
  <si>
    <t>11769</t>
  </si>
  <si>
    <t>BO-11769</t>
  </si>
  <si>
    <t>AZANI CHAVEZ PAULINA</t>
  </si>
  <si>
    <t>08934796</t>
  </si>
  <si>
    <t>DURAN ESPINOZA CESAR ARTURO</t>
  </si>
  <si>
    <t>CONSULTORIO LA MOLINA</t>
  </si>
  <si>
    <t>0070511</t>
  </si>
  <si>
    <t>87822</t>
  </si>
  <si>
    <t>ANGIOGRAFIA CON FLUORESCEINA</t>
  </si>
  <si>
    <t>191-92300592019</t>
  </si>
  <si>
    <t>98811</t>
  </si>
  <si>
    <t>11521</t>
  </si>
  <si>
    <t>BO-11521</t>
  </si>
  <si>
    <t>OCAS ROSALES RONALD JEANCARLOS</t>
  </si>
  <si>
    <t>45170637</t>
  </si>
  <si>
    <t>ALEMAÑY ERNESTO</t>
  </si>
  <si>
    <t>CLINICA LA LUZ</t>
  </si>
  <si>
    <t>0070158</t>
  </si>
  <si>
    <t>999322893</t>
  </si>
  <si>
    <t>86729</t>
  </si>
  <si>
    <t>0011-0732-0200152751</t>
  </si>
  <si>
    <t>103532</t>
  </si>
  <si>
    <t>12229</t>
  </si>
  <si>
    <t>BO-12229</t>
  </si>
  <si>
    <t>CHINCHIHUALPA GOZAR EDITH</t>
  </si>
  <si>
    <t>16121742</t>
  </si>
  <si>
    <t>0072339</t>
  </si>
  <si>
    <t>956293333</t>
  </si>
  <si>
    <t>90533</t>
  </si>
  <si>
    <t>OCT ANGIOGRAFIA MACULA</t>
  </si>
  <si>
    <t>98915</t>
  </si>
  <si>
    <t>11546</t>
  </si>
  <si>
    <t>BO-11546</t>
  </si>
  <si>
    <t>MANCO CESPEDES EMMA IMELDA</t>
  </si>
  <si>
    <t>08826096</t>
  </si>
  <si>
    <t>ESPEJO ALVA JULIO EDWIN</t>
  </si>
  <si>
    <t>0070206</t>
  </si>
  <si>
    <t>964035237</t>
  </si>
  <si>
    <t>86820</t>
  </si>
  <si>
    <t>087-3150119440</t>
  </si>
  <si>
    <t>103354</t>
  </si>
  <si>
    <t>12202</t>
  </si>
  <si>
    <t>BO-12202</t>
  </si>
  <si>
    <t>PEREZ BARTUREN MISAEL</t>
  </si>
  <si>
    <t>27378163</t>
  </si>
  <si>
    <t>0058546</t>
  </si>
  <si>
    <t>999251212</t>
  </si>
  <si>
    <t>90381</t>
  </si>
  <si>
    <t>98930</t>
  </si>
  <si>
    <t>5621</t>
  </si>
  <si>
    <t>BO-5621</t>
  </si>
  <si>
    <t>ESPINOZA BEDRIÑANA SUSANA</t>
  </si>
  <si>
    <t>08578137</t>
  </si>
  <si>
    <t>HUAMAN CUICAPUSA KELLY</t>
  </si>
  <si>
    <t>0070218</t>
  </si>
  <si>
    <t>991432739</t>
  </si>
  <si>
    <t>86839</t>
  </si>
  <si>
    <t>99095</t>
  </si>
  <si>
    <t>11575</t>
  </si>
  <si>
    <t>BO-11575</t>
  </si>
  <si>
    <t>BAUTISTA LOPEZ HERMINIA</t>
  </si>
  <si>
    <t>21840481</t>
  </si>
  <si>
    <t>SUAREZ ALVARADO SUSANA</t>
  </si>
  <si>
    <t>0044128</t>
  </si>
  <si>
    <t>999166413</t>
  </si>
  <si>
    <t>86938</t>
  </si>
  <si>
    <t xml:space="preserve">CONJUNTIVOPLASTIA </t>
  </si>
  <si>
    <t>99133</t>
  </si>
  <si>
    <t>5637</t>
  </si>
  <si>
    <t>BO-5637</t>
  </si>
  <si>
    <t>SALAS CABREJO NASARIO</t>
  </si>
  <si>
    <t>70358831</t>
  </si>
  <si>
    <t>SOTO IDROGO CLAUDIA</t>
  </si>
  <si>
    <t>CLÍNICA JESÚS DEL NORTE (JM)</t>
  </si>
  <si>
    <t>0070279</t>
  </si>
  <si>
    <t>969350781</t>
  </si>
  <si>
    <t>86975</t>
  </si>
  <si>
    <t>191-32083755032</t>
  </si>
  <si>
    <t>103299</t>
  </si>
  <si>
    <t>12193</t>
  </si>
  <si>
    <t>BO-12193</t>
  </si>
  <si>
    <t>MARTÍNEZ TRUJILLO NAPTHALY</t>
  </si>
  <si>
    <t xml:space="preserve">1026528 </t>
  </si>
  <si>
    <t>LOPEZ ESPINOZA JHON</t>
  </si>
  <si>
    <t>0072087</t>
  </si>
  <si>
    <t>+59169208603</t>
  </si>
  <si>
    <t>90330</t>
  </si>
  <si>
    <t>191-38880905040</t>
  </si>
  <si>
    <t>103673</t>
  </si>
  <si>
    <t>12241</t>
  </si>
  <si>
    <t>BO-12241</t>
  </si>
  <si>
    <t>CONDEZO GOMEZ MARIA</t>
  </si>
  <si>
    <t>06746640</t>
  </si>
  <si>
    <t>0072397</t>
  </si>
  <si>
    <t>933669092</t>
  </si>
  <si>
    <t>90611</t>
  </si>
  <si>
    <t>99814</t>
  </si>
  <si>
    <t>1053</t>
  </si>
  <si>
    <t>FA-1053</t>
  </si>
  <si>
    <t>ESCOBEDO LARA DE HERRERA NORBERTA</t>
  </si>
  <si>
    <t>09220286</t>
  </si>
  <si>
    <t>0070433</t>
  </si>
  <si>
    <t>GRUPO MVP S.A.C.</t>
  </si>
  <si>
    <t>87322</t>
  </si>
  <si>
    <t>193-95965374018</t>
  </si>
  <si>
    <t xml:space="preserve">CONJUNTIVOPLASTIA C/PEGAMENTO TISULAR </t>
  </si>
  <si>
    <t>100280</t>
  </si>
  <si>
    <t>1058</t>
  </si>
  <si>
    <t>FA-1058</t>
  </si>
  <si>
    <t>MEJIA VILLANUEVA ESTHER</t>
  </si>
  <si>
    <t>42243508</t>
  </si>
  <si>
    <t>0070699</t>
  </si>
  <si>
    <t>87773</t>
  </si>
  <si>
    <t>100495</t>
  </si>
  <si>
    <t>5709</t>
  </si>
  <si>
    <t>BO-5709</t>
  </si>
  <si>
    <t>CORREA ROSALES CARMEN</t>
  </si>
  <si>
    <t>20557709</t>
  </si>
  <si>
    <t>0070462</t>
  </si>
  <si>
    <t>88017</t>
  </si>
  <si>
    <t>100945</t>
  </si>
  <si>
    <t>552</t>
  </si>
  <si>
    <t>FA-552</t>
  </si>
  <si>
    <t>ALFARO LAURA OSCAR WALDIR</t>
  </si>
  <si>
    <t>71856112</t>
  </si>
  <si>
    <t>0070922</t>
  </si>
  <si>
    <t>88303</t>
  </si>
  <si>
    <t>103720</t>
  </si>
  <si>
    <t>407</t>
  </si>
  <si>
    <t>BO-407</t>
  </si>
  <si>
    <t>TITO MAYS FLOR JENNY</t>
  </si>
  <si>
    <t>22508164</t>
  </si>
  <si>
    <t>RODRIGUEZ RIVERO DARLEN</t>
  </si>
  <si>
    <t>0072407</t>
  </si>
  <si>
    <t>+51951321998</t>
  </si>
  <si>
    <t>90634</t>
  </si>
  <si>
    <t>MCARDENA</t>
  </si>
  <si>
    <t>191-06277655064</t>
  </si>
  <si>
    <t>99431</t>
  </si>
  <si>
    <t>11651</t>
  </si>
  <si>
    <t>BO-11651</t>
  </si>
  <si>
    <t>SECLEN LLONTOP DE TULLUME LIDIA LUZ</t>
  </si>
  <si>
    <t>08454992</t>
  </si>
  <si>
    <t>0070382</t>
  </si>
  <si>
    <t>999978226</t>
  </si>
  <si>
    <t>87202</t>
  </si>
  <si>
    <t>103669</t>
  </si>
  <si>
    <t>577</t>
  </si>
  <si>
    <t>FA-577</t>
  </si>
  <si>
    <t>GOMEZ RAMIREZ JEAN PIERO CHRISTOPH</t>
  </si>
  <si>
    <t>75857774</t>
  </si>
  <si>
    <t>RAMOS COOPER SHIRLEY IVONNE</t>
  </si>
  <si>
    <t>0072398</t>
  </si>
  <si>
    <t>949735823</t>
  </si>
  <si>
    <t>ANTOFE CONSTRUCCION &amp; SERVICIOS S.A.C.</t>
  </si>
  <si>
    <t>90609</t>
  </si>
  <si>
    <t>166-3067691171</t>
  </si>
  <si>
    <t>100650</t>
  </si>
  <si>
    <t>548</t>
  </si>
  <si>
    <t>FA-548</t>
  </si>
  <si>
    <t>GARAY CANELON ZENOBIA</t>
  </si>
  <si>
    <t>08608333</t>
  </si>
  <si>
    <t>TERAN SANCHEZ GUILLERMO ALFONSO</t>
  </si>
  <si>
    <t>0070944</t>
  </si>
  <si>
    <t>984299211</t>
  </si>
  <si>
    <t>T &amp; T OFTALMOLOGOS ASOCIADOS S.A.C.</t>
  </si>
  <si>
    <t>88163</t>
  </si>
  <si>
    <t>135-3012737506</t>
  </si>
  <si>
    <t>100247</t>
  </si>
  <si>
    <t>11778</t>
  </si>
  <si>
    <t>BO-11778</t>
  </si>
  <si>
    <t>TAVARA SILVA ABEL</t>
  </si>
  <si>
    <t>25827595</t>
  </si>
  <si>
    <t>JAVE ESCALANTE LIZETH</t>
  </si>
  <si>
    <t>0055542</t>
  </si>
  <si>
    <t>980663171</t>
  </si>
  <si>
    <t>87854</t>
  </si>
  <si>
    <t>200-3076497260</t>
  </si>
  <si>
    <t>102814</t>
  </si>
  <si>
    <t>5965</t>
  </si>
  <si>
    <t>BO-5965</t>
  </si>
  <si>
    <t>LOPEZ CALLE JOSE DE LA LUZ</t>
  </si>
  <si>
    <t>09211801</t>
  </si>
  <si>
    <t>0071949</t>
  </si>
  <si>
    <t>950681335</t>
  </si>
  <si>
    <t>89901</t>
  </si>
  <si>
    <t>99560</t>
  </si>
  <si>
    <t>11678</t>
  </si>
  <si>
    <t>BO-11678</t>
  </si>
  <si>
    <t>CORTEZ CANCHIS FLOR DE MARIA</t>
  </si>
  <si>
    <t>09738269</t>
  </si>
  <si>
    <t>MORALES</t>
  </si>
  <si>
    <t>0070447</t>
  </si>
  <si>
    <t>903052353</t>
  </si>
  <si>
    <t>87324</t>
  </si>
  <si>
    <t>103402</t>
  </si>
  <si>
    <t>12210</t>
  </si>
  <si>
    <t>BO-12210</t>
  </si>
  <si>
    <t>DAGA CABALLERO ROSALIA EYMI</t>
  </si>
  <si>
    <t>78558270</t>
  </si>
  <si>
    <t>POMAZONGO GOYAS MANUEL ALEJANDRO</t>
  </si>
  <si>
    <t>0072259</t>
  </si>
  <si>
    <t>963524828</t>
  </si>
  <si>
    <t>90426</t>
  </si>
  <si>
    <t>027-7601910</t>
  </si>
  <si>
    <t>99652</t>
  </si>
  <si>
    <t>11704</t>
  </si>
  <si>
    <t>BO-11704</t>
  </si>
  <si>
    <t>ZEGARRA MENDOZA CESAR AUGUSTO</t>
  </si>
  <si>
    <t>29484735</t>
  </si>
  <si>
    <t>CALCINA</t>
  </si>
  <si>
    <t>0070492</t>
  </si>
  <si>
    <t>979618340</t>
  </si>
  <si>
    <t>87401</t>
  </si>
  <si>
    <t>103459</t>
  </si>
  <si>
    <t>12218</t>
  </si>
  <si>
    <t>BO-12218</t>
  </si>
  <si>
    <t>VILCHEZ QUISPE TOMAS</t>
  </si>
  <si>
    <t>08314317</t>
  </si>
  <si>
    <t>TARAZONA CHAVEZ ROSAMARIA</t>
  </si>
  <si>
    <t>0072284</t>
  </si>
  <si>
    <t>941383018</t>
  </si>
  <si>
    <t>90471</t>
  </si>
  <si>
    <t>100237</t>
  </si>
  <si>
    <t>11776</t>
  </si>
  <si>
    <t>BO-11776</t>
  </si>
  <si>
    <t>SOLIS POMA LUCIA</t>
  </si>
  <si>
    <t>06309577</t>
  </si>
  <si>
    <t>ALDAVE</t>
  </si>
  <si>
    <t>0070746</t>
  </si>
  <si>
    <t>958964480</t>
  </si>
  <si>
    <t>87846</t>
  </si>
  <si>
    <t>102983</t>
  </si>
  <si>
    <t>5985</t>
  </si>
  <si>
    <t>BO-5985</t>
  </si>
  <si>
    <t>ANDAMAYO POPE ROCIO GISELA</t>
  </si>
  <si>
    <t>47014334</t>
  </si>
  <si>
    <t>PONCE TORRES YANISEY</t>
  </si>
  <si>
    <t>0065998</t>
  </si>
  <si>
    <t>945413137</t>
  </si>
  <si>
    <t>90045</t>
  </si>
  <si>
    <t>193-13173124085</t>
  </si>
  <si>
    <t>100315</t>
  </si>
  <si>
    <t>11788</t>
  </si>
  <si>
    <t>BO-11788</t>
  </si>
  <si>
    <t>SANCHEZ ORTEGA GUILLERMO ANTONIO</t>
  </si>
  <si>
    <t>02635978</t>
  </si>
  <si>
    <t>FERNANDEZ OLGA PATRICIA</t>
  </si>
  <si>
    <t>0070786</t>
  </si>
  <si>
    <t>933936240</t>
  </si>
  <si>
    <t>87918</t>
  </si>
  <si>
    <t>100451</t>
  </si>
  <si>
    <t>546</t>
  </si>
  <si>
    <t>FA-546</t>
  </si>
  <si>
    <t>LEON VELIZ DE HUATUCO LADY MARY</t>
  </si>
  <si>
    <t>06652711</t>
  </si>
  <si>
    <t>0042218</t>
  </si>
  <si>
    <t>981143710</t>
  </si>
  <si>
    <t>88016</t>
  </si>
  <si>
    <t>100368</t>
  </si>
  <si>
    <t>11798</t>
  </si>
  <si>
    <t>BO-11798</t>
  </si>
  <si>
    <t>ASMAD LOKUAN KATHERINE STEFANY</t>
  </si>
  <si>
    <t>44651542</t>
  </si>
  <si>
    <t>ROMERO EDUARDO</t>
  </si>
  <si>
    <t>0052353</t>
  </si>
  <si>
    <t>991967687</t>
  </si>
  <si>
    <t>87958</t>
  </si>
  <si>
    <t>100639</t>
  </si>
  <si>
    <t>1059</t>
  </si>
  <si>
    <t>FA-1059</t>
  </si>
  <si>
    <t>VEGA DIESTRA WALTER JULIAN</t>
  </si>
  <si>
    <t>06025532</t>
  </si>
  <si>
    <t>CHACÓN ENRIQUE</t>
  </si>
  <si>
    <t>HOSPITAL HIPOLITO UNANUE</t>
  </si>
  <si>
    <t>0070929</t>
  </si>
  <si>
    <t>934191688</t>
  </si>
  <si>
    <t>VEGA MUNASCA PAULO CESAR</t>
  </si>
  <si>
    <t>88151</t>
  </si>
  <si>
    <t>100536</t>
  </si>
  <si>
    <t>11824</t>
  </si>
  <si>
    <t>BO-11824</t>
  </si>
  <si>
    <t>ALVAREZ PORRAS YESSICA</t>
  </si>
  <si>
    <t>44893895</t>
  </si>
  <si>
    <t>GAMERO FERNANDEZ EBERTH</t>
  </si>
  <si>
    <t>0070635</t>
  </si>
  <si>
    <t>984776522</t>
  </si>
  <si>
    <t>88084</t>
  </si>
  <si>
    <t>100776</t>
  </si>
  <si>
    <t>11881</t>
  </si>
  <si>
    <t>BO-11881</t>
  </si>
  <si>
    <t>REYES DIAZ JORGE RICARDO</t>
  </si>
  <si>
    <t>88277</t>
  </si>
  <si>
    <t>193-05549355007</t>
  </si>
  <si>
    <t>100688</t>
  </si>
  <si>
    <t>11860</t>
  </si>
  <si>
    <t>BO-11860</t>
  </si>
  <si>
    <t>LLAXA ALAYA ALEXANDER</t>
  </si>
  <si>
    <t>45265851</t>
  </si>
  <si>
    <t>HUANAMPA CARLOS</t>
  </si>
  <si>
    <t>0070986</t>
  </si>
  <si>
    <t>923423466</t>
  </si>
  <si>
    <t>88195</t>
  </si>
  <si>
    <t>2394</t>
  </si>
  <si>
    <t>11913</t>
  </si>
  <si>
    <t>NC-11913</t>
  </si>
  <si>
    <t>CAYLLAHUA CHALCO MARCELO</t>
  </si>
  <si>
    <t>08301706</t>
  </si>
  <si>
    <t>SANCHEZ SERGIO</t>
  </si>
  <si>
    <t>0071117</t>
  </si>
  <si>
    <t>930723250</t>
  </si>
  <si>
    <t>88471</t>
  </si>
  <si>
    <t>BO-11913</t>
  </si>
  <si>
    <t>102964</t>
  </si>
  <si>
    <t>12132</t>
  </si>
  <si>
    <t>BO-12132</t>
  </si>
  <si>
    <t>VASQUEZ VELA ENEDINA</t>
  </si>
  <si>
    <t>05367935</t>
  </si>
  <si>
    <t>QUISPE BECERRA JOSUE</t>
  </si>
  <si>
    <t>0072032</t>
  </si>
  <si>
    <t>933336002</t>
  </si>
  <si>
    <t>90039</t>
  </si>
  <si>
    <t>102966</t>
  </si>
  <si>
    <t>12134</t>
  </si>
  <si>
    <t>BO-12134</t>
  </si>
  <si>
    <t>90043</t>
  </si>
  <si>
    <t>103313</t>
  </si>
  <si>
    <t>1082</t>
  </si>
  <si>
    <t>FA-1082</t>
  </si>
  <si>
    <t>CUEVA CHAVEZ POMPEYO ANTONIO</t>
  </si>
  <si>
    <t>32488966</t>
  </si>
  <si>
    <t>CHOQUE MILAGROS</t>
  </si>
  <si>
    <t>HOSPITAL SAN JUAN DE LURIGANCHO</t>
  </si>
  <si>
    <t>0071971</t>
  </si>
  <si>
    <t>OFTALMOLOGICA E.I.R.L.</t>
  </si>
  <si>
    <t>90286</t>
  </si>
  <si>
    <t>103028</t>
  </si>
  <si>
    <t>12152</t>
  </si>
  <si>
    <t>BO-12152</t>
  </si>
  <si>
    <t>RAMIREZ PENA GREGORIO JOSE</t>
  </si>
  <si>
    <t>07153375</t>
  </si>
  <si>
    <t>CESPEDES LANZA RENZO</t>
  </si>
  <si>
    <t>0072065</t>
  </si>
  <si>
    <t>990043862</t>
  </si>
  <si>
    <t>90101</t>
  </si>
  <si>
    <t>103219</t>
  </si>
  <si>
    <t>6008</t>
  </si>
  <si>
    <t>BO-6008</t>
  </si>
  <si>
    <t>GUADALUPE GONAS EDGARD</t>
  </si>
  <si>
    <t>07175080</t>
  </si>
  <si>
    <t>0072175</t>
  </si>
  <si>
    <t>945040645</t>
  </si>
  <si>
    <t>90265</t>
  </si>
  <si>
    <t>103367</t>
  </si>
  <si>
    <t>12204</t>
  </si>
  <si>
    <t>BO-12204</t>
  </si>
  <si>
    <t>ROMAN TORRES AMANCIA</t>
  </si>
  <si>
    <t>08083502</t>
  </si>
  <si>
    <t>LEON SUAREZ LUIS</t>
  </si>
  <si>
    <t>0062809</t>
  </si>
  <si>
    <t>960518706</t>
  </si>
  <si>
    <t>90373</t>
  </si>
  <si>
    <t>103452</t>
  </si>
  <si>
    <t>6037</t>
  </si>
  <si>
    <t>BO-6037</t>
  </si>
  <si>
    <t>AQUINO NICHO RAUL</t>
  </si>
  <si>
    <t>15692736</t>
  </si>
  <si>
    <t>ISABEL PALACIOS RAISA LORENA</t>
  </si>
  <si>
    <t>0072276</t>
  </si>
  <si>
    <t>935541651</t>
  </si>
  <si>
    <t>90462</t>
  </si>
  <si>
    <t>103738</t>
  </si>
  <si>
    <t>6069</t>
  </si>
  <si>
    <t>BO-6069</t>
  </si>
  <si>
    <t>90664</t>
  </si>
  <si>
    <t>103740</t>
  </si>
  <si>
    <t>6070</t>
  </si>
  <si>
    <t>BO-6070</t>
  </si>
  <si>
    <t>90665</t>
  </si>
  <si>
    <t>103774</t>
  </si>
  <si>
    <t>12258</t>
  </si>
  <si>
    <t>BO-12258</t>
  </si>
  <si>
    <t>LOYA JACO EUSTAQUIA</t>
  </si>
  <si>
    <t>07671188</t>
  </si>
  <si>
    <t>0072454</t>
  </si>
  <si>
    <t>999294782</t>
  </si>
  <si>
    <t>90700</t>
  </si>
  <si>
    <t>103785</t>
  </si>
  <si>
    <t>12260</t>
  </si>
  <si>
    <t>BO-12260</t>
  </si>
  <si>
    <t>NICHO CUICAPUSA NORMA ADELA</t>
  </si>
  <si>
    <t>08206206</t>
  </si>
  <si>
    <t>PACHAS CHURA LIDIA VANESSA</t>
  </si>
  <si>
    <t>HOSPITAL SABOGAL</t>
  </si>
  <si>
    <t>0072459</t>
  </si>
  <si>
    <t>948055810</t>
  </si>
  <si>
    <t>90705</t>
  </si>
  <si>
    <t>0011-0467-0200078608</t>
  </si>
  <si>
    <t>103787</t>
  </si>
  <si>
    <t>4402</t>
  </si>
  <si>
    <t>BO-4402</t>
  </si>
  <si>
    <t>FLORES MACEDO DE MARTINEZ AZALIA</t>
  </si>
  <si>
    <t>07569338</t>
  </si>
  <si>
    <t>0072462</t>
  </si>
  <si>
    <t>981557844</t>
  </si>
  <si>
    <t>90707</t>
  </si>
  <si>
    <t>103788</t>
  </si>
  <si>
    <t>1084</t>
  </si>
  <si>
    <t>FA-1084</t>
  </si>
  <si>
    <t>ORTIZ SANCHEZ VICENTE</t>
  </si>
  <si>
    <t>25812336</t>
  </si>
  <si>
    <t>TANAKA LUIS</t>
  </si>
  <si>
    <t>0072449</t>
  </si>
  <si>
    <t>988423138</t>
  </si>
  <si>
    <t>JDO INVERSIONES MEDICAS S.A.C.</t>
  </si>
  <si>
    <t>90708</t>
  </si>
  <si>
    <t>USO DE EQUIPOS E INSUMO FOTOCOAGULACION</t>
  </si>
  <si>
    <t>103793</t>
  </si>
  <si>
    <t>4403</t>
  </si>
  <si>
    <t>BO-4403</t>
  </si>
  <si>
    <t>VILLANUEVA VALVERDE ADRIANA CRISTINA</t>
  </si>
  <si>
    <t>25444469</t>
  </si>
  <si>
    <t>0072466</t>
  </si>
  <si>
    <t>999189335</t>
  </si>
  <si>
    <t>90710</t>
  </si>
  <si>
    <t>103854</t>
  </si>
  <si>
    <t>12267</t>
  </si>
  <si>
    <t>BO-12267</t>
  </si>
  <si>
    <t>QUIJANO MEJIA DE VIDAL RITA FAURA</t>
  </si>
  <si>
    <t>06185777</t>
  </si>
  <si>
    <t>0071397</t>
  </si>
  <si>
    <t>991456955</t>
  </si>
  <si>
    <t>89061</t>
  </si>
  <si>
    <t>103890</t>
  </si>
  <si>
    <t>12273</t>
  </si>
  <si>
    <t>BO-12273</t>
  </si>
  <si>
    <t>ALVAREZ CHAVEZ HUBERT</t>
  </si>
  <si>
    <t>40400731</t>
  </si>
  <si>
    <t>0050342</t>
  </si>
  <si>
    <t>959965071</t>
  </si>
  <si>
    <t>90769</t>
  </si>
  <si>
    <t>103927</t>
  </si>
  <si>
    <t>12276</t>
  </si>
  <si>
    <t>BO-12276</t>
  </si>
  <si>
    <t>ARANGO TABOADA EFE JUAN GUALBERTO</t>
  </si>
  <si>
    <t>06849741</t>
  </si>
  <si>
    <t>HUAMAN GONZALEZ JORGE ANTONIO</t>
  </si>
  <si>
    <t>POLICLINICO SAN JUAN DE MIRAFLORES</t>
  </si>
  <si>
    <t>0054184</t>
  </si>
  <si>
    <t>945060166</t>
  </si>
  <si>
    <t>90812</t>
  </si>
  <si>
    <t>193-76554045016</t>
  </si>
  <si>
    <t>103962</t>
  </si>
  <si>
    <t>6094</t>
  </si>
  <si>
    <t>BO-6094</t>
  </si>
  <si>
    <t>MARTINEZ SOPLIN MICAELA</t>
  </si>
  <si>
    <t>04522025</t>
  </si>
  <si>
    <t>BACA CHAVEZ MERCEDES</t>
  </si>
  <si>
    <t>0072518</t>
  </si>
  <si>
    <t>992267851</t>
  </si>
  <si>
    <t>90841</t>
  </si>
  <si>
    <t>103984</t>
  </si>
  <si>
    <t>4908</t>
  </si>
  <si>
    <t>BO-4908</t>
  </si>
  <si>
    <t>NEVES GARCIA JUAN FERNANDO</t>
  </si>
  <si>
    <t>08604575</t>
  </si>
  <si>
    <t>ENCISO QUILLA KARIN</t>
  </si>
  <si>
    <t>SISOL DE LOS OLIVOS</t>
  </si>
  <si>
    <t>0009916</t>
  </si>
  <si>
    <t>950418896</t>
  </si>
  <si>
    <t>90849</t>
  </si>
  <si>
    <t>INTERVENCIONES QUIRURGICAS</t>
  </si>
  <si>
    <t>104029</t>
  </si>
  <si>
    <t>6102</t>
  </si>
  <si>
    <t>BO-6102</t>
  </si>
  <si>
    <t>ACUÑA OROSCO DE GONZALES MARGARITA</t>
  </si>
  <si>
    <t>31123215</t>
  </si>
  <si>
    <t>0072500</t>
  </si>
  <si>
    <t>920185385</t>
  </si>
  <si>
    <t>90902</t>
  </si>
  <si>
    <t>104030</t>
  </si>
  <si>
    <t>6103</t>
  </si>
  <si>
    <t>BO-6103</t>
  </si>
  <si>
    <t>90903</t>
  </si>
  <si>
    <t>104031</t>
  </si>
  <si>
    <t>6104</t>
  </si>
  <si>
    <t>BO-6104</t>
  </si>
  <si>
    <t>90904</t>
  </si>
  <si>
    <t>104034</t>
  </si>
  <si>
    <t>12284</t>
  </si>
  <si>
    <t>BO-12284</t>
  </si>
  <si>
    <t>BAILON VASQUEZ BETSABE</t>
  </si>
  <si>
    <t>48619707</t>
  </si>
  <si>
    <t>0072549</t>
  </si>
  <si>
    <t>96972619</t>
  </si>
  <si>
    <t>90907</t>
  </si>
  <si>
    <t>104057</t>
  </si>
  <si>
    <t>6108</t>
  </si>
  <si>
    <t>BO-6108</t>
  </si>
  <si>
    <t>ARO RAFAELA DE PAZOS MAGDALENA JUSTINA</t>
  </si>
  <si>
    <t>15649921</t>
  </si>
  <si>
    <t>0072553</t>
  </si>
  <si>
    <t>985469921</t>
  </si>
  <si>
    <t>90925</t>
  </si>
  <si>
    <t>104061</t>
  </si>
  <si>
    <t>6110</t>
  </si>
  <si>
    <t>BO-6110</t>
  </si>
  <si>
    <t>TORRES BUSTAMANTE JUANA</t>
  </si>
  <si>
    <t>33782970</t>
  </si>
  <si>
    <t>0059021</t>
  </si>
  <si>
    <t>942278384</t>
  </si>
  <si>
    <t>90930</t>
  </si>
  <si>
    <t>104065</t>
  </si>
  <si>
    <t>12293</t>
  </si>
  <si>
    <t>BO-12293</t>
  </si>
  <si>
    <t>RUIZ PACCO ALBERTO</t>
  </si>
  <si>
    <t>00059278</t>
  </si>
  <si>
    <t>0072558</t>
  </si>
  <si>
    <t>947769091</t>
  </si>
  <si>
    <t>90932</t>
  </si>
  <si>
    <t>104071</t>
  </si>
  <si>
    <t>12294</t>
  </si>
  <si>
    <t>BO-12294</t>
  </si>
  <si>
    <t>LOPEZ SAAVEDRA KEVIN</t>
  </si>
  <si>
    <t>76775008</t>
  </si>
  <si>
    <t>MARIN CHAVEZ JUAN JOSE</t>
  </si>
  <si>
    <t>HOSPITAL DE LA MARINA</t>
  </si>
  <si>
    <t>0072560</t>
  </si>
  <si>
    <t>966356472</t>
  </si>
  <si>
    <t>90937</t>
  </si>
  <si>
    <t>104089</t>
  </si>
  <si>
    <t>6111</t>
  </si>
  <si>
    <t>BO-6111</t>
  </si>
  <si>
    <t>FRISANCHO HILARIO EDUARDO JAVIER</t>
  </si>
  <si>
    <t>77692774</t>
  </si>
  <si>
    <t>0072554</t>
  </si>
  <si>
    <t>963320418</t>
  </si>
  <si>
    <t>90927</t>
  </si>
  <si>
    <t>104133</t>
  </si>
  <si>
    <t>6112</t>
  </si>
  <si>
    <t>BO-6112</t>
  </si>
  <si>
    <t>PICHINI MULLUNI DIONICIA</t>
  </si>
  <si>
    <t>10375696</t>
  </si>
  <si>
    <t>0072585</t>
  </si>
  <si>
    <t>999505405</t>
  </si>
  <si>
    <t>90981</t>
  </si>
  <si>
    <t>104151</t>
  </si>
  <si>
    <t>12303</t>
  </si>
  <si>
    <t>BO-12303</t>
  </si>
  <si>
    <t>OCHOA QUIROZ GERSON ALDO</t>
  </si>
  <si>
    <t>75823130</t>
  </si>
  <si>
    <t>SANCHEZ CUEVA SERGIO</t>
  </si>
  <si>
    <t>0072591</t>
  </si>
  <si>
    <t>982917752</t>
  </si>
  <si>
    <t>91006</t>
  </si>
  <si>
    <t>104159</t>
  </si>
  <si>
    <t>585</t>
  </si>
  <si>
    <t>FA-585</t>
  </si>
  <si>
    <t>FLORES YANAVILCA MARILU</t>
  </si>
  <si>
    <t>16139638</t>
  </si>
  <si>
    <t>0064953</t>
  </si>
  <si>
    <t>47857854</t>
  </si>
  <si>
    <t>90713</t>
  </si>
  <si>
    <t>104162</t>
  </si>
  <si>
    <t>586</t>
  </si>
  <si>
    <t>FA-586</t>
  </si>
  <si>
    <t>90973</t>
  </si>
  <si>
    <t>104186</t>
  </si>
  <si>
    <t>6117</t>
  </si>
  <si>
    <t>BO-6117</t>
  </si>
  <si>
    <t>DE LA CRUZ YUPANQUI CARLOS LEONCIO</t>
  </si>
  <si>
    <t>42308337</t>
  </si>
  <si>
    <t>0072587</t>
  </si>
  <si>
    <t>958500043</t>
  </si>
  <si>
    <t>91032</t>
  </si>
  <si>
    <t>104293</t>
  </si>
  <si>
    <t>12327</t>
  </si>
  <si>
    <t>BO-12327</t>
  </si>
  <si>
    <t>LUNA LOVON GENARA</t>
  </si>
  <si>
    <t>48606629</t>
  </si>
  <si>
    <t>0072652</t>
  </si>
  <si>
    <t>987305241</t>
  </si>
  <si>
    <t>91117</t>
  </si>
  <si>
    <t>104337</t>
  </si>
  <si>
    <t>6132</t>
  </si>
  <si>
    <t>BO-6132</t>
  </si>
  <si>
    <t>RUIZ MARTINEZ JOSE DEL CARMEN</t>
  </si>
  <si>
    <t>06174846</t>
  </si>
  <si>
    <t>0072659</t>
  </si>
  <si>
    <t>941920004</t>
  </si>
  <si>
    <t>91151</t>
  </si>
  <si>
    <t>104339</t>
  </si>
  <si>
    <t>587</t>
  </si>
  <si>
    <t>FA-587</t>
  </si>
  <si>
    <t>CASAS CANA DE VILLAGOMEZ LAURA</t>
  </si>
  <si>
    <t>16142437</t>
  </si>
  <si>
    <t>0072637</t>
  </si>
  <si>
    <t>9321375556</t>
  </si>
  <si>
    <t>VISION SANTA LUCIA S.A.C.</t>
  </si>
  <si>
    <t>91153</t>
  </si>
  <si>
    <t>104403</t>
  </si>
  <si>
    <t>12341</t>
  </si>
  <si>
    <t>BO-12341</t>
  </si>
  <si>
    <t>ZARATE VASQUEZ ELSA</t>
  </si>
  <si>
    <t>08659968</t>
  </si>
  <si>
    <t>0072681</t>
  </si>
  <si>
    <t>945431392</t>
  </si>
  <si>
    <t>91207</t>
  </si>
  <si>
    <t>104409</t>
  </si>
  <si>
    <t>4470</t>
  </si>
  <si>
    <t>BO-4470</t>
  </si>
  <si>
    <t>ROSALES OCAÑA LUIS</t>
  </si>
  <si>
    <t>32485205</t>
  </si>
  <si>
    <t>0067201</t>
  </si>
  <si>
    <t>964597147</t>
  </si>
  <si>
    <t>91213</t>
  </si>
  <si>
    <t>104460</t>
  </si>
  <si>
    <t>12348</t>
  </si>
  <si>
    <t>BO-12348</t>
  </si>
  <si>
    <t>CURO CHIMAYCO MARIA SOCORRO</t>
  </si>
  <si>
    <t>28290838</t>
  </si>
  <si>
    <t>0072701</t>
  </si>
  <si>
    <t>944473366</t>
  </si>
  <si>
    <t>91239</t>
  </si>
  <si>
    <t>104467</t>
  </si>
  <si>
    <t>588</t>
  </si>
  <si>
    <t>FA-588</t>
  </si>
  <si>
    <t>FERNANDEZ CUADROS HUGO VALENTIN</t>
  </si>
  <si>
    <t>06917453</t>
  </si>
  <si>
    <t>0072702</t>
  </si>
  <si>
    <t>992083879</t>
  </si>
  <si>
    <t>91249</t>
  </si>
  <si>
    <t>104512</t>
  </si>
  <si>
    <t>12360</t>
  </si>
  <si>
    <t>BO-12360</t>
  </si>
  <si>
    <t>COLLANTES DE LOS SANTOS PEDRO PABLO</t>
  </si>
  <si>
    <t>15718176</t>
  </si>
  <si>
    <t>0072683</t>
  </si>
  <si>
    <t>91282</t>
  </si>
  <si>
    <t>104523</t>
  </si>
  <si>
    <t>12362</t>
  </si>
  <si>
    <t>BO-12362</t>
  </si>
  <si>
    <t>QUISPE RICRA MAGDALENA</t>
  </si>
  <si>
    <t>08556216</t>
  </si>
  <si>
    <t>0071181</t>
  </si>
  <si>
    <t>962629251</t>
  </si>
  <si>
    <t>91293</t>
  </si>
  <si>
    <t>104524</t>
  </si>
  <si>
    <t>12363</t>
  </si>
  <si>
    <t>BO-12363</t>
  </si>
  <si>
    <t>91294</t>
  </si>
  <si>
    <t>104528</t>
  </si>
  <si>
    <t>12365</t>
  </si>
  <si>
    <t>BO-12365</t>
  </si>
  <si>
    <t>MORON MEDINA JOEL NARCISO</t>
  </si>
  <si>
    <t>08795354</t>
  </si>
  <si>
    <t>0072729</t>
  </si>
  <si>
    <t>920656451</t>
  </si>
  <si>
    <t>91307</t>
  </si>
  <si>
    <t>104543</t>
  </si>
  <si>
    <t>12366</t>
  </si>
  <si>
    <t>BO-12366</t>
  </si>
  <si>
    <t>RAMOS MORALES ESTELA OLINDA</t>
  </si>
  <si>
    <t>22296854</t>
  </si>
  <si>
    <t>0072682</t>
  </si>
  <si>
    <t>950407513</t>
  </si>
  <si>
    <t>91313</t>
  </si>
  <si>
    <t>104544</t>
  </si>
  <si>
    <t>12367</t>
  </si>
  <si>
    <t>BO-12367</t>
  </si>
  <si>
    <t>ROSALES ESPINOZA MILCA LUCIA</t>
  </si>
  <si>
    <t>32122873</t>
  </si>
  <si>
    <t>0072731</t>
  </si>
  <si>
    <t>955005846</t>
  </si>
  <si>
    <t>91314</t>
  </si>
  <si>
    <t>104557</t>
  </si>
  <si>
    <t>12369</t>
  </si>
  <si>
    <t>BO-12369</t>
  </si>
  <si>
    <t>GIRAO RAMOS XIOMARA AYELEN</t>
  </si>
  <si>
    <t>73048925</t>
  </si>
  <si>
    <t>PEREZ MARTINOT MANUEL RAUL</t>
  </si>
  <si>
    <t>0072734</t>
  </si>
  <si>
    <t>91330</t>
  </si>
  <si>
    <t>194-25565979019</t>
  </si>
  <si>
    <t>104563</t>
  </si>
  <si>
    <t>589</t>
  </si>
  <si>
    <t>FA-589</t>
  </si>
  <si>
    <t>ALTAMIRANO HUERTO ALEJANDRO RAUL</t>
  </si>
  <si>
    <t>60003059</t>
  </si>
  <si>
    <t>0072668</t>
  </si>
  <si>
    <t>929234161</t>
  </si>
  <si>
    <t>OFTALMODOSIS E.I.R.L.</t>
  </si>
  <si>
    <t>91179</t>
  </si>
  <si>
    <t>104580</t>
  </si>
  <si>
    <t>1096</t>
  </si>
  <si>
    <t>FA-1096</t>
  </si>
  <si>
    <t>91324</t>
  </si>
  <si>
    <t>104582</t>
  </si>
  <si>
    <t>1097</t>
  </si>
  <si>
    <t>FA-1097</t>
  </si>
  <si>
    <t>91327</t>
  </si>
  <si>
    <t>104583</t>
  </si>
  <si>
    <t>1098</t>
  </si>
  <si>
    <t>FA-1098</t>
  </si>
  <si>
    <t>91329</t>
  </si>
  <si>
    <t>104584</t>
  </si>
  <si>
    <t>1099</t>
  </si>
  <si>
    <t>FA-1099</t>
  </si>
  <si>
    <t>91323</t>
  </si>
  <si>
    <t>104606</t>
  </si>
  <si>
    <t>12372</t>
  </si>
  <si>
    <t>BO-12372</t>
  </si>
  <si>
    <t>SALAZAR QUIROGA ELIO DAVID</t>
  </si>
  <si>
    <t>02891533</t>
  </si>
  <si>
    <t>RAMIREZ ORBE JOSÉ LUIS</t>
  </si>
  <si>
    <t>HOSPITAL DE LA POLICIA</t>
  </si>
  <si>
    <t>0072747</t>
  </si>
  <si>
    <t>969030503</t>
  </si>
  <si>
    <t>91360</t>
  </si>
  <si>
    <t>104622</t>
  </si>
  <si>
    <t>591</t>
  </si>
  <si>
    <t>FA-591</t>
  </si>
  <si>
    <t>QUISPE DE PACHECO LIDIA GLADYS</t>
  </si>
  <si>
    <t>22256334</t>
  </si>
  <si>
    <t>PAITAN QUISPE EMILYN</t>
  </si>
  <si>
    <t>0023698</t>
  </si>
  <si>
    <t>925808232</t>
  </si>
  <si>
    <t>IAFAS DE LA MARINA DE GUERRA DEL PERU</t>
  </si>
  <si>
    <t>90559</t>
  </si>
  <si>
    <t>104659</t>
  </si>
  <si>
    <t>6168</t>
  </si>
  <si>
    <t>BO-6168</t>
  </si>
  <si>
    <t>BENAVIDES JUAREZ CARMELA</t>
  </si>
  <si>
    <t>16579947</t>
  </si>
  <si>
    <t>0054796</t>
  </si>
  <si>
    <t>926056910</t>
  </si>
  <si>
    <t>91406</t>
  </si>
  <si>
    <t>104674</t>
  </si>
  <si>
    <t>594</t>
  </si>
  <si>
    <t>FA-594</t>
  </si>
  <si>
    <t>MENDOZA REYNA ALBERTO</t>
  </si>
  <si>
    <t>05581101</t>
  </si>
  <si>
    <t>CLÍNICA SAN FELIPE LA MOLINA</t>
  </si>
  <si>
    <t>0072772</t>
  </si>
  <si>
    <t>942513684</t>
  </si>
  <si>
    <t>CRIBILLERO ACHING SAMUEL RODOLFO</t>
  </si>
  <si>
    <t>91423</t>
  </si>
  <si>
    <t>104679</t>
  </si>
  <si>
    <t>12382</t>
  </si>
  <si>
    <t>BO-12382</t>
  </si>
  <si>
    <t>CHIROQUE CHUNGA NELIDA</t>
  </si>
  <si>
    <t>16624655</t>
  </si>
  <si>
    <t>0064670</t>
  </si>
  <si>
    <t>980842766</t>
  </si>
  <si>
    <t>91428</t>
  </si>
  <si>
    <t>104714</t>
  </si>
  <si>
    <t>4971</t>
  </si>
  <si>
    <t>BO-4971</t>
  </si>
  <si>
    <t>HUAMAN DE LA CRUZ LUIS DOMINIK</t>
  </si>
  <si>
    <t>74673771</t>
  </si>
  <si>
    <t>0014066</t>
  </si>
  <si>
    <t>943492121</t>
  </si>
  <si>
    <t>91459</t>
  </si>
  <si>
    <t>104713</t>
  </si>
  <si>
    <t>12389</t>
  </si>
  <si>
    <t>BO-12389</t>
  </si>
  <si>
    <t>PANEZ BLANCO DE BARRETO EVA CHACHITA</t>
  </si>
  <si>
    <t>06587087</t>
  </si>
  <si>
    <t>0072784</t>
  </si>
  <si>
    <t>987209441</t>
  </si>
  <si>
    <t>91458</t>
  </si>
  <si>
    <t>104719</t>
  </si>
  <si>
    <t>456</t>
  </si>
  <si>
    <t>BO-456</t>
  </si>
  <si>
    <t>CARRERA CABRACANCHA ESPERANZA GLORIA</t>
  </si>
  <si>
    <t>15644266</t>
  </si>
  <si>
    <t>0072786</t>
  </si>
  <si>
    <t>981502712</t>
  </si>
  <si>
    <t>91463</t>
  </si>
  <si>
    <t>104741</t>
  </si>
  <si>
    <t>1100</t>
  </si>
  <si>
    <t>FA-1100</t>
  </si>
  <si>
    <t>91480</t>
  </si>
  <si>
    <t>104756</t>
  </si>
  <si>
    <t>12398</t>
  </si>
  <si>
    <t>BO-12398</t>
  </si>
  <si>
    <t>TORRES ROSSELL JUAN CARLOS</t>
  </si>
  <si>
    <t>15845906</t>
  </si>
  <si>
    <t>0072770</t>
  </si>
  <si>
    <t>987045035</t>
  </si>
  <si>
    <t>91501</t>
  </si>
  <si>
    <t>104757</t>
  </si>
  <si>
    <t>12399</t>
  </si>
  <si>
    <t>BO-12399</t>
  </si>
  <si>
    <t>GARCIA GARAY DE ARROYO ELDER FRANCISCA</t>
  </si>
  <si>
    <t>07096755</t>
  </si>
  <si>
    <t>0072817</t>
  </si>
  <si>
    <t>941941047</t>
  </si>
  <si>
    <t>91503</t>
  </si>
  <si>
    <t>104758</t>
  </si>
  <si>
    <t>4976</t>
  </si>
  <si>
    <t>BO-4976</t>
  </si>
  <si>
    <t>TELLO BANDA ALEX IVAN</t>
  </si>
  <si>
    <t>75877805</t>
  </si>
  <si>
    <t>0071494</t>
  </si>
  <si>
    <t>998172241</t>
  </si>
  <si>
    <t>89233</t>
  </si>
  <si>
    <t>104791</t>
  </si>
  <si>
    <t>566</t>
  </si>
  <si>
    <t>BO-566</t>
  </si>
  <si>
    <t>HUARICACHA DE ZAPANA MERCEDES</t>
  </si>
  <si>
    <t>18190119</t>
  </si>
  <si>
    <t>RAMOS ALIAGA DAVID</t>
  </si>
  <si>
    <t>0072826</t>
  </si>
  <si>
    <t>959806615</t>
  </si>
  <si>
    <t>91519</t>
  </si>
  <si>
    <t>KESCUDERO</t>
  </si>
  <si>
    <t>104793</t>
  </si>
  <si>
    <t>4494</t>
  </si>
  <si>
    <t>BO-4494</t>
  </si>
  <si>
    <t>RAMIREZ DURAND BERNARDINO</t>
  </si>
  <si>
    <t>25608626</t>
  </si>
  <si>
    <t>0072830</t>
  </si>
  <si>
    <t>984570964</t>
  </si>
  <si>
    <t>91525</t>
  </si>
  <si>
    <t>104808</t>
  </si>
  <si>
    <t>1102</t>
  </si>
  <si>
    <t>FA-1102</t>
  </si>
  <si>
    <t>LAZO CABRERA SILVIA PILAR</t>
  </si>
  <si>
    <t>00845536</t>
  </si>
  <si>
    <t>0072622</t>
  </si>
  <si>
    <t>920300383</t>
  </si>
  <si>
    <t>91537</t>
  </si>
  <si>
    <t>104827</t>
  </si>
  <si>
    <t>4497</t>
  </si>
  <si>
    <t>BO-4497</t>
  </si>
  <si>
    <t>HUACCHA GRADOS SHEYLA ALEXANDRA</t>
  </si>
  <si>
    <t>73723023</t>
  </si>
  <si>
    <t>0072844</t>
  </si>
  <si>
    <t>937337809</t>
  </si>
  <si>
    <t>91551</t>
  </si>
  <si>
    <t>104838</t>
  </si>
  <si>
    <t>12407</t>
  </si>
  <si>
    <t>BO-12407</t>
  </si>
  <si>
    <t>SERNA LOAYZA DE VILLAR GUILLERMINA</t>
  </si>
  <si>
    <t>09192739</t>
  </si>
  <si>
    <t>0072849</t>
  </si>
  <si>
    <t>944393636</t>
  </si>
  <si>
    <t>91561</t>
  </si>
  <si>
    <t>104930</t>
  </si>
  <si>
    <t>6193</t>
  </si>
  <si>
    <t>BO-6193</t>
  </si>
  <si>
    <t>MECHAN CARMONA LIBIA FRANCISCA</t>
  </si>
  <si>
    <t>16475110</t>
  </si>
  <si>
    <t>0018027</t>
  </si>
  <si>
    <t>3488295/ 99909259</t>
  </si>
  <si>
    <t>91618</t>
  </si>
  <si>
    <t>104964</t>
  </si>
  <si>
    <t>12418</t>
  </si>
  <si>
    <t>BO-12418</t>
  </si>
  <si>
    <t>CHAVEZ ESPINOZA GABINO</t>
  </si>
  <si>
    <t>06823872</t>
  </si>
  <si>
    <t>0072919</t>
  </si>
  <si>
    <t>994761546</t>
  </si>
  <si>
    <t>91652</t>
  </si>
  <si>
    <t>104993</t>
  </si>
  <si>
    <t>BO-588</t>
  </si>
  <si>
    <t>91686</t>
  </si>
  <si>
    <t>CONSULTA DE OFTALMOLOGIA</t>
  </si>
  <si>
    <t>LN. CONSULTA</t>
  </si>
  <si>
    <t>105021</t>
  </si>
  <si>
    <t>12432</t>
  </si>
  <si>
    <t>BO-12432</t>
  </si>
  <si>
    <t>GASPAR ROJAS JOSE ANTONIO</t>
  </si>
  <si>
    <t>07631131</t>
  </si>
  <si>
    <t>CASTRO TAMANAJA VANIA VIVIAN</t>
  </si>
  <si>
    <t>HOSPITAL 2 DE MAYO</t>
  </si>
  <si>
    <t>0072935</t>
  </si>
  <si>
    <t>996054949</t>
  </si>
  <si>
    <t>91709</t>
  </si>
  <si>
    <t>0011-0354-0200096288</t>
  </si>
  <si>
    <t>105025</t>
  </si>
  <si>
    <t>6206</t>
  </si>
  <si>
    <t>BO-6206</t>
  </si>
  <si>
    <t>ZAVALA CUYA LAZARO</t>
  </si>
  <si>
    <t>08764780</t>
  </si>
  <si>
    <t>0041245</t>
  </si>
  <si>
    <t>967167309</t>
  </si>
  <si>
    <t>87845</t>
  </si>
  <si>
    <t>105027</t>
  </si>
  <si>
    <t>6207</t>
  </si>
  <si>
    <t>BO-6207</t>
  </si>
  <si>
    <t>ZAVALA MEDRANO YENNIFER SUSANA</t>
  </si>
  <si>
    <t>42812473</t>
  </si>
  <si>
    <t>0054220</t>
  </si>
  <si>
    <t>966167309</t>
  </si>
  <si>
    <t>87844</t>
  </si>
  <si>
    <t>105034</t>
  </si>
  <si>
    <t>12094</t>
  </si>
  <si>
    <t>BO-12094</t>
  </si>
  <si>
    <t>BARBOZA DE OCHOA ZENOBIA</t>
  </si>
  <si>
    <t>28586700</t>
  </si>
  <si>
    <t>0072663</t>
  </si>
  <si>
    <t>998850798</t>
  </si>
  <si>
    <t>91163</t>
  </si>
  <si>
    <t>SBRUNO</t>
  </si>
  <si>
    <t>105057</t>
  </si>
  <si>
    <t>4531</t>
  </si>
  <si>
    <t>BO-4531</t>
  </si>
  <si>
    <t>CEFERINO DIAZ MARINA</t>
  </si>
  <si>
    <t>07171213</t>
  </si>
  <si>
    <t>0072942</t>
  </si>
  <si>
    <t>927192309</t>
  </si>
  <si>
    <t>91738</t>
  </si>
  <si>
    <t>105059</t>
  </si>
  <si>
    <t>4532</t>
  </si>
  <si>
    <t>BO-4532</t>
  </si>
  <si>
    <t>REYES OLIVAS CARMEN ROSA</t>
  </si>
  <si>
    <t>09983051</t>
  </si>
  <si>
    <t>0063884</t>
  </si>
  <si>
    <t>931422659</t>
  </si>
  <si>
    <t>91740</t>
  </si>
  <si>
    <t>105085</t>
  </si>
  <si>
    <t>6214</t>
  </si>
  <si>
    <t>BO-6214</t>
  </si>
  <si>
    <t>RAMIREZ CHAVEZ ESTELISTO EMILIANO</t>
  </si>
  <si>
    <t>08341222</t>
  </si>
  <si>
    <t>0072950</t>
  </si>
  <si>
    <t>976172570</t>
  </si>
  <si>
    <t>91754</t>
  </si>
  <si>
    <t>105086</t>
  </si>
  <si>
    <t>6215</t>
  </si>
  <si>
    <t>BO-6215</t>
  </si>
  <si>
    <t>91755</t>
  </si>
  <si>
    <t>105089</t>
  </si>
  <si>
    <t>6216</t>
  </si>
  <si>
    <t>BO-6216</t>
  </si>
  <si>
    <t>HERMITAÑO CARO VDA DE ARROYO ANA MARIA</t>
  </si>
  <si>
    <t>08344377</t>
  </si>
  <si>
    <t>0072954</t>
  </si>
  <si>
    <t>983120608</t>
  </si>
  <si>
    <t>91758</t>
  </si>
  <si>
    <t>105091</t>
  </si>
  <si>
    <t>6217</t>
  </si>
  <si>
    <t>BO-6217</t>
  </si>
  <si>
    <t>VASQUEZ VASQUEZ JAVIER</t>
  </si>
  <si>
    <t>05390636</t>
  </si>
  <si>
    <t>0065606</t>
  </si>
  <si>
    <t>965930678</t>
  </si>
  <si>
    <t>91762</t>
  </si>
  <si>
    <t>105109</t>
  </si>
  <si>
    <t>6223</t>
  </si>
  <si>
    <t>BO-6223</t>
  </si>
  <si>
    <t>ALVARADO ALFARO DE PACHAS CECILIA</t>
  </si>
  <si>
    <t>09043163</t>
  </si>
  <si>
    <t>0072961</t>
  </si>
  <si>
    <t>980783885</t>
  </si>
  <si>
    <t>91786</t>
  </si>
  <si>
    <t>105131</t>
  </si>
  <si>
    <t>12102</t>
  </si>
  <si>
    <t>BO-12102</t>
  </si>
  <si>
    <t>CUACO SCHARFF WALBERTO OSWALDO</t>
  </si>
  <si>
    <t>08570843</t>
  </si>
  <si>
    <t>0072613</t>
  </si>
  <si>
    <t>992020655</t>
  </si>
  <si>
    <t>91523</t>
  </si>
  <si>
    <t>105138</t>
  </si>
  <si>
    <t>4539</t>
  </si>
  <si>
    <t>BO-4539</t>
  </si>
  <si>
    <t>CANAZA NINA ISIDORA</t>
  </si>
  <si>
    <t>06208454</t>
  </si>
  <si>
    <t>0072969</t>
  </si>
  <si>
    <t>980289026</t>
  </si>
  <si>
    <t>91812</t>
  </si>
  <si>
    <t>105140</t>
  </si>
  <si>
    <t>6235</t>
  </si>
  <si>
    <t>BO-6235</t>
  </si>
  <si>
    <t>ROMERO MEZARINA LUIS GERMAN</t>
  </si>
  <si>
    <t>41621650</t>
  </si>
  <si>
    <t>TUME JARA LUCIA MARIA</t>
  </si>
  <si>
    <t>0072971</t>
  </si>
  <si>
    <t>945940731</t>
  </si>
  <si>
    <t>91813</t>
  </si>
  <si>
    <t>105165</t>
  </si>
  <si>
    <t>4542</t>
  </si>
  <si>
    <t>BO-4542</t>
  </si>
  <si>
    <t>CARRANZA QUISPE ISMAEL</t>
  </si>
  <si>
    <t>10291579</t>
  </si>
  <si>
    <t>0072992</t>
  </si>
  <si>
    <t>996050251</t>
  </si>
  <si>
    <t>91836</t>
  </si>
  <si>
    <t>105181</t>
  </si>
  <si>
    <t>600</t>
  </si>
  <si>
    <t>FA-600</t>
  </si>
  <si>
    <t>HERVIAS PULACHE CARMEN ROSA</t>
  </si>
  <si>
    <t>08114148</t>
  </si>
  <si>
    <t>SONCCO HUISA BACILIO</t>
  </si>
  <si>
    <t>ECOCENTER</t>
  </si>
  <si>
    <t>0072994</t>
  </si>
  <si>
    <t>914302094</t>
  </si>
  <si>
    <t>CENTRO MEDICO OCUMED S.A.C.</t>
  </si>
  <si>
    <t>91849</t>
  </si>
  <si>
    <t>105206</t>
  </si>
  <si>
    <t>6250</t>
  </si>
  <si>
    <t>BO-6250</t>
  </si>
  <si>
    <t>BARRETO NIEVES DEYSI MARGARITA</t>
  </si>
  <si>
    <t>009591626</t>
  </si>
  <si>
    <t>0072980</t>
  </si>
  <si>
    <t>933975738</t>
  </si>
  <si>
    <t>91879</t>
  </si>
  <si>
    <t>105207</t>
  </si>
  <si>
    <t>6251</t>
  </si>
  <si>
    <t>BO-6251</t>
  </si>
  <si>
    <t>91880</t>
  </si>
  <si>
    <t>105233</t>
  </si>
  <si>
    <t>1107</t>
  </si>
  <si>
    <t>FA-1107</t>
  </si>
  <si>
    <t>QUISPE MENDOZA TEODOSIA</t>
  </si>
  <si>
    <t>06124376</t>
  </si>
  <si>
    <t>0073029</t>
  </si>
  <si>
    <t>976950984</t>
  </si>
  <si>
    <t>PERUVIAN EXPORT CRAFT S.A.C.</t>
  </si>
  <si>
    <t>91908</t>
  </si>
  <si>
    <t>105238</t>
  </si>
  <si>
    <t>1108</t>
  </si>
  <si>
    <t>FA-1108</t>
  </si>
  <si>
    <t>MENDOZA LLANOS CARMEN MATILDE</t>
  </si>
  <si>
    <t>32105472</t>
  </si>
  <si>
    <t>SALGADO CERRATE CARLOS</t>
  </si>
  <si>
    <t>0071966</t>
  </si>
  <si>
    <t>971484302</t>
  </si>
  <si>
    <t>UROPED E.I.R.L.</t>
  </si>
  <si>
    <t>91901</t>
  </si>
  <si>
    <t>105244</t>
  </si>
  <si>
    <t>601</t>
  </si>
  <si>
    <t>FA-601</t>
  </si>
  <si>
    <t>LOPEZ BENITO EULOGIA MAURICIA</t>
  </si>
  <si>
    <t>04075700</t>
  </si>
  <si>
    <t>0072575</t>
  </si>
  <si>
    <t>963945263</t>
  </si>
  <si>
    <t>91871</t>
  </si>
  <si>
    <t>105246</t>
  </si>
  <si>
    <t>602</t>
  </si>
  <si>
    <t>FA-602</t>
  </si>
  <si>
    <t>GUIMARAY SIALER ALEJANDRO HUMBERTO</t>
  </si>
  <si>
    <t>08353192</t>
  </si>
  <si>
    <t>0063491</t>
  </si>
  <si>
    <t>989454153</t>
  </si>
  <si>
    <t>91875</t>
  </si>
  <si>
    <t>105250</t>
  </si>
  <si>
    <t>1112</t>
  </si>
  <si>
    <t>FA-1112</t>
  </si>
  <si>
    <t>91917</t>
  </si>
  <si>
    <t>105263</t>
  </si>
  <si>
    <t>12108</t>
  </si>
  <si>
    <t>BO-12108</t>
  </si>
  <si>
    <t>SILVA CARRION DE GAMARRA MAXIMA DOMITILA</t>
  </si>
  <si>
    <t>06894192</t>
  </si>
  <si>
    <t>0072137</t>
  </si>
  <si>
    <t>941814011</t>
  </si>
  <si>
    <t>90317</t>
  </si>
  <si>
    <t>105312</t>
  </si>
  <si>
    <t>6255</t>
  </si>
  <si>
    <t>BO-6255</t>
  </si>
  <si>
    <t>TABRAJ CASTRO YOLANDA FORTUNATA</t>
  </si>
  <si>
    <t>19842268</t>
  </si>
  <si>
    <t>0048885</t>
  </si>
  <si>
    <t>935547077</t>
  </si>
  <si>
    <t>91110</t>
  </si>
  <si>
    <t>105336</t>
  </si>
  <si>
    <t>1113</t>
  </si>
  <si>
    <t>FA-1113</t>
  </si>
  <si>
    <t>TAIPE BALCAZAR MARINA ANTONIETA</t>
  </si>
  <si>
    <t>08308110</t>
  </si>
  <si>
    <t>CABRERA YAIMA</t>
  </si>
  <si>
    <t>0073057</t>
  </si>
  <si>
    <t>902818383</t>
  </si>
  <si>
    <t>CABRERA RUIZ YAIMA</t>
  </si>
  <si>
    <t>92000</t>
  </si>
  <si>
    <t>105351</t>
  </si>
  <si>
    <t>12462</t>
  </si>
  <si>
    <t>BO-12462</t>
  </si>
  <si>
    <t>GRADOS MARCOS DELIA FRANCISCA</t>
  </si>
  <si>
    <t>07375632</t>
  </si>
  <si>
    <t>0057588</t>
  </si>
  <si>
    <t>987972275</t>
  </si>
  <si>
    <t>91982</t>
  </si>
  <si>
    <t>105372</t>
  </si>
  <si>
    <t>6263</t>
  </si>
  <si>
    <t>BO-6263</t>
  </si>
  <si>
    <t>YARANGA LOAYZA OLGA MARCELINA</t>
  </si>
  <si>
    <t>28274485</t>
  </si>
  <si>
    <t>CAMPANA BELLOTA LUIS</t>
  </si>
  <si>
    <t>0073119</t>
  </si>
  <si>
    <t>966904959</t>
  </si>
  <si>
    <t>92034</t>
  </si>
  <si>
    <t>105377</t>
  </si>
  <si>
    <t>1114</t>
  </si>
  <si>
    <t>FA-1114</t>
  </si>
  <si>
    <t>GONZALES DIAZ MARINO</t>
  </si>
  <si>
    <t>01141467</t>
  </si>
  <si>
    <t>0072891</t>
  </si>
  <si>
    <t>942425498</t>
  </si>
  <si>
    <t>92035</t>
  </si>
  <si>
    <t>105386</t>
  </si>
  <si>
    <t>12468</t>
  </si>
  <si>
    <t>BO-12468</t>
  </si>
  <si>
    <t>ROCA FLORES DE ROMERO IRINEA SUSANA</t>
  </si>
  <si>
    <t>08047016</t>
  </si>
  <si>
    <t>0073082</t>
  </si>
  <si>
    <t>993468698</t>
  </si>
  <si>
    <t>92029</t>
  </si>
  <si>
    <t>105431</t>
  </si>
  <si>
    <t>4565</t>
  </si>
  <si>
    <t>BO-4565</t>
  </si>
  <si>
    <t>LAZO SALDARRIAGA MARIA MAGDALENA</t>
  </si>
  <si>
    <t>07010913</t>
  </si>
  <si>
    <t>0073161</t>
  </si>
  <si>
    <t>937173777</t>
  </si>
  <si>
    <t>92066</t>
  </si>
  <si>
    <t>OFTALMOSCOPÍA INDIRECTA (FONDO DE OJO)</t>
  </si>
  <si>
    <t>105459</t>
  </si>
  <si>
    <t>12480</t>
  </si>
  <si>
    <t>BO-12480</t>
  </si>
  <si>
    <t>CONTRERAS QUISPE CRISTINA</t>
  </si>
  <si>
    <t>06222362</t>
  </si>
  <si>
    <t>0073163</t>
  </si>
  <si>
    <t>982496631</t>
  </si>
  <si>
    <t>92075</t>
  </si>
  <si>
    <t>105466</t>
  </si>
  <si>
    <t>1115</t>
  </si>
  <si>
    <t>FA-1115</t>
  </si>
  <si>
    <t>BEJARANO DE CARO FELICITA</t>
  </si>
  <si>
    <t>15282332</t>
  </si>
  <si>
    <t>0073164</t>
  </si>
  <si>
    <t>982123330</t>
  </si>
  <si>
    <t>92079</t>
  </si>
  <si>
    <t>105489</t>
  </si>
  <si>
    <t>12486</t>
  </si>
  <si>
    <t>BO-12486</t>
  </si>
  <si>
    <t>SANDOVAL SANDOVAL JUAN ARTURO</t>
  </si>
  <si>
    <t>20523843</t>
  </si>
  <si>
    <t>BARZOLA CORDERO VIOLETA</t>
  </si>
  <si>
    <t>0067809</t>
  </si>
  <si>
    <t>990982791</t>
  </si>
  <si>
    <t>92110</t>
  </si>
  <si>
    <t>0011-0320-0200058577</t>
  </si>
  <si>
    <t>105494</t>
  </si>
  <si>
    <t>12487</t>
  </si>
  <si>
    <t>BO-12487</t>
  </si>
  <si>
    <t>GLAVE GARCIA PACHECO ROSANA ELENA FORTUN</t>
  </si>
  <si>
    <t>07237974</t>
  </si>
  <si>
    <t>PERES MARTINOC MANUEL</t>
  </si>
  <si>
    <t>0049566</t>
  </si>
  <si>
    <t>992352135</t>
  </si>
  <si>
    <t>92114</t>
  </si>
  <si>
    <t>105501</t>
  </si>
  <si>
    <t>624</t>
  </si>
  <si>
    <t>BO-624</t>
  </si>
  <si>
    <t>MEZA GAMARRA RENATO GIANCARLOS</t>
  </si>
  <si>
    <t>75877570</t>
  </si>
  <si>
    <t>SOTO REBECA</t>
  </si>
  <si>
    <t>HOSPITAL MILITAR</t>
  </si>
  <si>
    <t>0073174</t>
  </si>
  <si>
    <t>930877102</t>
  </si>
  <si>
    <t>92118</t>
  </si>
  <si>
    <t>105515</t>
  </si>
  <si>
    <t>6276</t>
  </si>
  <si>
    <t>BO-6276</t>
  </si>
  <si>
    <t>92123</t>
  </si>
  <si>
    <t>105528</t>
  </si>
  <si>
    <t>12490</t>
  </si>
  <si>
    <t>BO-12490</t>
  </si>
  <si>
    <t>VISO TOLEDO FREDESMINDA MATILDE</t>
  </si>
  <si>
    <t>06051472</t>
  </si>
  <si>
    <t>0040801</t>
  </si>
  <si>
    <t>970878098</t>
  </si>
  <si>
    <t>86019</t>
  </si>
  <si>
    <t>105529</t>
  </si>
  <si>
    <t>604</t>
  </si>
  <si>
    <t>FA-604</t>
  </si>
  <si>
    <t>GAMARRA OSCAR</t>
  </si>
  <si>
    <t>91923</t>
  </si>
  <si>
    <t>105530</t>
  </si>
  <si>
    <t>605</t>
  </si>
  <si>
    <t>FA-605</t>
  </si>
  <si>
    <t>SILVA ALVARADO SEBASTIAN</t>
  </si>
  <si>
    <t>06837208</t>
  </si>
  <si>
    <t>0072981</t>
  </si>
  <si>
    <t>91924</t>
  </si>
  <si>
    <t>105537</t>
  </si>
  <si>
    <t>6278</t>
  </si>
  <si>
    <t>BO-6278</t>
  </si>
  <si>
    <t>PEÑA TORRES MARIA</t>
  </si>
  <si>
    <t>27823999</t>
  </si>
  <si>
    <t>0073186</t>
  </si>
  <si>
    <t>961105049</t>
  </si>
  <si>
    <t>92143</t>
  </si>
  <si>
    <t>105538</t>
  </si>
  <si>
    <t>1117</t>
  </si>
  <si>
    <t>FA-1117</t>
  </si>
  <si>
    <t>91565</t>
  </si>
  <si>
    <t>105554</t>
  </si>
  <si>
    <t>1118</t>
  </si>
  <si>
    <t>FA-1118</t>
  </si>
  <si>
    <t>NAUPA ROSADO PATRICIA ADELA</t>
  </si>
  <si>
    <t>45875250</t>
  </si>
  <si>
    <t>0073068</t>
  </si>
  <si>
    <t>92067</t>
  </si>
  <si>
    <t xml:space="preserve">CHALAZIUM, BLEFAROTOMIA ABSCESO </t>
  </si>
  <si>
    <t>105555</t>
  </si>
  <si>
    <t>1119</t>
  </si>
  <si>
    <t>FA-1119</t>
  </si>
  <si>
    <t>LOPEZ CAVERO FELIX GABRIEL</t>
  </si>
  <si>
    <t>08089849</t>
  </si>
  <si>
    <t>0073062</t>
  </si>
  <si>
    <t>92164</t>
  </si>
  <si>
    <t>105569</t>
  </si>
  <si>
    <t>12497</t>
  </si>
  <si>
    <t>BO-12497</t>
  </si>
  <si>
    <t>CARTAGENA TORRES DE TENORIO AIDA ELIZABE</t>
  </si>
  <si>
    <t>21815510</t>
  </si>
  <si>
    <t>CLEMENTE RODRIGUEZ JOSÉ CARLOS</t>
  </si>
  <si>
    <t>0073193</t>
  </si>
  <si>
    <t>979689192</t>
  </si>
  <si>
    <t>92173</t>
  </si>
  <si>
    <t>105575</t>
  </si>
  <si>
    <t>607</t>
  </si>
  <si>
    <t>FA-607</t>
  </si>
  <si>
    <t>92129</t>
  </si>
  <si>
    <t xml:space="preserve">FACOEMULSIFICACION COMPLICADA </t>
  </si>
  <si>
    <t>105580</t>
  </si>
  <si>
    <t>12498</t>
  </si>
  <si>
    <t>BO-12498</t>
  </si>
  <si>
    <t>BEJARANO MARTELL HERRERA CESAR OCTAVIO</t>
  </si>
  <si>
    <t>07257400</t>
  </si>
  <si>
    <t>0051057</t>
  </si>
  <si>
    <t>985762261</t>
  </si>
  <si>
    <t>92186</t>
  </si>
  <si>
    <t>105664</t>
  </si>
  <si>
    <t>636</t>
  </si>
  <si>
    <t>BO-636</t>
  </si>
  <si>
    <t>ROJAS NIÑO KARINA YSABEL</t>
  </si>
  <si>
    <t>09937994</t>
  </si>
  <si>
    <t>0073140</t>
  </si>
  <si>
    <t>920888995</t>
  </si>
  <si>
    <t>92235</t>
  </si>
  <si>
    <t>105689</t>
  </si>
  <si>
    <t>12503</t>
  </si>
  <si>
    <t>BO-12503</t>
  </si>
  <si>
    <t>ESCOBAR CORIMAYA DE NEYRA LILI NANCY</t>
  </si>
  <si>
    <t>06173377</t>
  </si>
  <si>
    <t>CHAFLOQUE CERVANTES AUGUSTO BERNADINO</t>
  </si>
  <si>
    <t>0073300</t>
  </si>
  <si>
    <t>999006276</t>
  </si>
  <si>
    <t>92260</t>
  </si>
  <si>
    <t>191-18537427072</t>
  </si>
  <si>
    <t>105737</t>
  </si>
  <si>
    <t>5071</t>
  </si>
  <si>
    <t>BO-5071</t>
  </si>
  <si>
    <t>ARCA CHIROQUE CRISTOPHER DANGELO</t>
  </si>
  <si>
    <t>77725218</t>
  </si>
  <si>
    <t>0057360</t>
  </si>
  <si>
    <t>922631752</t>
  </si>
  <si>
    <t>92307</t>
  </si>
  <si>
    <t>105827</t>
  </si>
  <si>
    <t>611</t>
  </si>
  <si>
    <t>FA-611</t>
  </si>
  <si>
    <t>GAMBOA MALAGA JORGE ROGELIO</t>
  </si>
  <si>
    <t>07685303</t>
  </si>
  <si>
    <t>BERROCAL VIVIANA</t>
  </si>
  <si>
    <t>HOSPITAL MARIA AUXILIADORA</t>
  </si>
  <si>
    <t>0073297</t>
  </si>
  <si>
    <t>992962096</t>
  </si>
  <si>
    <t>92385</t>
  </si>
  <si>
    <t>105905</t>
  </si>
  <si>
    <t>6321</t>
  </si>
  <si>
    <t>BO-6321</t>
  </si>
  <si>
    <t>PEREZ ÑAUPA ROLANDO MELQUIADES</t>
  </si>
  <si>
    <t>19812331</t>
  </si>
  <si>
    <t>0073375</t>
  </si>
  <si>
    <t>963494526</t>
  </si>
  <si>
    <t>92442</t>
  </si>
  <si>
    <t>105914</t>
  </si>
  <si>
    <t>12539</t>
  </si>
  <si>
    <t>BO-12539</t>
  </si>
  <si>
    <t>SALAZAR SALAZAR RAUL</t>
  </si>
  <si>
    <t>43395296</t>
  </si>
  <si>
    <t>0073385</t>
  </si>
  <si>
    <t>924454968</t>
  </si>
  <si>
    <t>92459</t>
  </si>
  <si>
    <t>105939</t>
  </si>
  <si>
    <t>12542</t>
  </si>
  <si>
    <t>BO-12542</t>
  </si>
  <si>
    <t>OLIVERA SAMAME ROBERT EDINSON</t>
  </si>
  <si>
    <t>72367412</t>
  </si>
  <si>
    <t>0073392</t>
  </si>
  <si>
    <t>971278088</t>
  </si>
  <si>
    <t>92487</t>
  </si>
  <si>
    <t>105954</t>
  </si>
  <si>
    <t>6330</t>
  </si>
  <si>
    <t>BO-6330</t>
  </si>
  <si>
    <t>ESPICHAN AVALOS LAZARO FERNANDO</t>
  </si>
  <si>
    <t>15414846</t>
  </si>
  <si>
    <t>0071410</t>
  </si>
  <si>
    <t>998 467 0</t>
  </si>
  <si>
    <t>92496</t>
  </si>
  <si>
    <t>105955</t>
  </si>
  <si>
    <t>12545</t>
  </si>
  <si>
    <t>BO-12545</t>
  </si>
  <si>
    <t>MENDOZA DE LA CRUZ MARCOS ANTONIO</t>
  </si>
  <si>
    <t>40665334</t>
  </si>
  <si>
    <t>SALAZAR FUERTES JESUS ABEL</t>
  </si>
  <si>
    <t>0073401</t>
  </si>
  <si>
    <t>989560874</t>
  </si>
  <si>
    <t>92497</t>
  </si>
  <si>
    <t xml:space="preserve"> 0011-0115-0200235237</t>
  </si>
  <si>
    <t>105956</t>
  </si>
  <si>
    <t>6331</t>
  </si>
  <si>
    <t>BO-6331</t>
  </si>
  <si>
    <t>YAURIMO FERNANDEZ MARINO</t>
  </si>
  <si>
    <t>10498263</t>
  </si>
  <si>
    <t>0073357</t>
  </si>
  <si>
    <t>987424322</t>
  </si>
  <si>
    <t>92499</t>
  </si>
  <si>
    <t>105958</t>
  </si>
  <si>
    <t>6332</t>
  </si>
  <si>
    <t>BO-6332</t>
  </si>
  <si>
    <t>QUINTEROS BUSTAMANTE LUIS</t>
  </si>
  <si>
    <t>01026635</t>
  </si>
  <si>
    <t>0073366</t>
  </si>
  <si>
    <t>955140676</t>
  </si>
  <si>
    <t>92501</t>
  </si>
  <si>
    <t>105964</t>
  </si>
  <si>
    <t>6333</t>
  </si>
  <si>
    <t>BO-6333</t>
  </si>
  <si>
    <t>LEON TUFINIO JORGE LUIS</t>
  </si>
  <si>
    <t>70166072</t>
  </si>
  <si>
    <t>SOTOMAYOR SALAS JANETH LORENA</t>
  </si>
  <si>
    <t>0072791</t>
  </si>
  <si>
    <t>92429</t>
  </si>
  <si>
    <t>375-3027598410</t>
  </si>
  <si>
    <t>105970</t>
  </si>
  <si>
    <t>4612</t>
  </si>
  <si>
    <t>BO-4612</t>
  </si>
  <si>
    <t>40043626</t>
  </si>
  <si>
    <t>92490</t>
  </si>
  <si>
    <t>106029</t>
  </si>
  <si>
    <t>6337</t>
  </si>
  <si>
    <t>BO-6337</t>
  </si>
  <si>
    <t>92555</t>
  </si>
  <si>
    <t>106042</t>
  </si>
  <si>
    <t>612</t>
  </si>
  <si>
    <t>FA-612</t>
  </si>
  <si>
    <t>92493</t>
  </si>
  <si>
    <t>106095</t>
  </si>
  <si>
    <t>613</t>
  </si>
  <si>
    <t>FA-613</t>
  </si>
  <si>
    <t>92517</t>
  </si>
  <si>
    <t>106101</t>
  </si>
  <si>
    <t>614</t>
  </si>
  <si>
    <t>FA-614</t>
  </si>
  <si>
    <t>92510</t>
  </si>
  <si>
    <t>106103</t>
  </si>
  <si>
    <t>6345</t>
  </si>
  <si>
    <t>BO-6345</t>
  </si>
  <si>
    <t>DELGADO BLANCO CRISTINA</t>
  </si>
  <si>
    <t>09931535</t>
  </si>
  <si>
    <t>0073453</t>
  </si>
  <si>
    <t>990378975</t>
  </si>
  <si>
    <t>92632</t>
  </si>
  <si>
    <t>106106</t>
  </si>
  <si>
    <t>615</t>
  </si>
  <si>
    <t>FA-615</t>
  </si>
  <si>
    <t>92520</t>
  </si>
  <si>
    <t>106140</t>
  </si>
  <si>
    <t>4635</t>
  </si>
  <si>
    <t>BO-4635</t>
  </si>
  <si>
    <t>GUEVARA CASTILLO MAYRIOLITH</t>
  </si>
  <si>
    <t>10440720</t>
  </si>
  <si>
    <t>0073473</t>
  </si>
  <si>
    <t>902060976</t>
  </si>
  <si>
    <t>92665</t>
  </si>
  <si>
    <t>106159</t>
  </si>
  <si>
    <t>12567</t>
  </si>
  <si>
    <t>BO-12567</t>
  </si>
  <si>
    <t>BEJAR RIVERA HECTOR</t>
  </si>
  <si>
    <t>08784630</t>
  </si>
  <si>
    <t>0067334</t>
  </si>
  <si>
    <t>997819691</t>
  </si>
  <si>
    <t>92683</t>
  </si>
  <si>
    <t>106206</t>
  </si>
  <si>
    <t>1134</t>
  </si>
  <si>
    <t>FA-1134</t>
  </si>
  <si>
    <t>92684</t>
  </si>
  <si>
    <t>106221</t>
  </si>
  <si>
    <t>619</t>
  </si>
  <si>
    <t>FA-619</t>
  </si>
  <si>
    <t>PARI MAMANI LEANDRO</t>
  </si>
  <si>
    <t>10419517</t>
  </si>
  <si>
    <t>0073371</t>
  </si>
  <si>
    <t>985412589</t>
  </si>
  <si>
    <t>92463</t>
  </si>
  <si>
    <t>106222</t>
  </si>
  <si>
    <t>6352</t>
  </si>
  <si>
    <t>BO-6352</t>
  </si>
  <si>
    <t>SANTAMARIA TEJADA LUCILA</t>
  </si>
  <si>
    <t>08905427</t>
  </si>
  <si>
    <t>HERNANDEZ PEÑA ARTURO GABRIEL</t>
  </si>
  <si>
    <t>HOSPITAL DE POLICIA</t>
  </si>
  <si>
    <t>0073504</t>
  </si>
  <si>
    <t>947170721</t>
  </si>
  <si>
    <t>92736</t>
  </si>
  <si>
    <t>191-15421658031</t>
  </si>
  <si>
    <t>106223</t>
  </si>
  <si>
    <t>620</t>
  </si>
  <si>
    <t>FA-620</t>
  </si>
  <si>
    <t>92462</t>
  </si>
  <si>
    <t>106229</t>
  </si>
  <si>
    <t>1135</t>
  </si>
  <si>
    <t>FA-1135</t>
  </si>
  <si>
    <t>92744</t>
  </si>
  <si>
    <t>106288</t>
  </si>
  <si>
    <t>12577</t>
  </si>
  <si>
    <t>BO-12577</t>
  </si>
  <si>
    <t>RODRIGUEZ CHUQUIMANGO GIORGETTE GIOVANNI</t>
  </si>
  <si>
    <t>46680668</t>
  </si>
  <si>
    <t>0073538</t>
  </si>
  <si>
    <t>938128690</t>
  </si>
  <si>
    <t>92782</t>
  </si>
  <si>
    <t>106320</t>
  </si>
  <si>
    <t>134</t>
  </si>
  <si>
    <t>FA-134</t>
  </si>
  <si>
    <t>MUNASCA TORRES NANCY MAXIMINA</t>
  </si>
  <si>
    <t>06025531</t>
  </si>
  <si>
    <t>0051299</t>
  </si>
  <si>
    <t>998157351</t>
  </si>
  <si>
    <t>CARMELO VELASQUEZ ISABEL</t>
  </si>
  <si>
    <t>92803</t>
  </si>
  <si>
    <t>106334</t>
  </si>
  <si>
    <t>1136</t>
  </si>
  <si>
    <t>FA-1136</t>
  </si>
  <si>
    <t>CRISPIN TRAVEZAÑO ANTONIO OREB</t>
  </si>
  <si>
    <t>40886630</t>
  </si>
  <si>
    <t>0073499</t>
  </si>
  <si>
    <t>929579256</t>
  </si>
  <si>
    <t>92820</t>
  </si>
  <si>
    <t>106463</t>
  </si>
  <si>
    <t>5141</t>
  </si>
  <si>
    <t>BO-5141</t>
  </si>
  <si>
    <t>ALANIA MONTES DOMINGA FORTUNATA</t>
  </si>
  <si>
    <t>08500086</t>
  </si>
  <si>
    <t>0073600</t>
  </si>
  <si>
    <t>979075702</t>
  </si>
  <si>
    <t>92920</t>
  </si>
  <si>
    <t>106468</t>
  </si>
  <si>
    <t>5143</t>
  </si>
  <si>
    <t>BO-5143</t>
  </si>
  <si>
    <t>ZEVALLOS ZUNIGA DE MORENO MARGARITA RUBY</t>
  </si>
  <si>
    <t>06041866</t>
  </si>
  <si>
    <t>0073606</t>
  </si>
  <si>
    <t>999968835</t>
  </si>
  <si>
    <t>92926</t>
  </si>
  <si>
    <t>106529</t>
  </si>
  <si>
    <t>12610</t>
  </si>
  <si>
    <t>BO-12610</t>
  </si>
  <si>
    <t>CARDENAS OLMEDA CLAUDIO</t>
  </si>
  <si>
    <t>10371176</t>
  </si>
  <si>
    <t>0073636</t>
  </si>
  <si>
    <t>9151385318</t>
  </si>
  <si>
    <t>92982</t>
  </si>
  <si>
    <t>106603</t>
  </si>
  <si>
    <t>5171</t>
  </si>
  <si>
    <t>BO-5171</t>
  </si>
  <si>
    <t>LEON DONAIRES RAYMUNDO</t>
  </si>
  <si>
    <t>06916024</t>
  </si>
  <si>
    <t>0073668</t>
  </si>
  <si>
    <t>967222528</t>
  </si>
  <si>
    <t>93037</t>
  </si>
  <si>
    <t>106718</t>
  </si>
  <si>
    <t>12648</t>
  </si>
  <si>
    <t>BO-12648</t>
  </si>
  <si>
    <t>TORRES BUSTAMANTE SONNIA JULI</t>
  </si>
  <si>
    <t>06025459</t>
  </si>
  <si>
    <t>0073716</t>
  </si>
  <si>
    <t>949223453</t>
  </si>
  <si>
    <t>93123</t>
  </si>
  <si>
    <t>106735</t>
  </si>
  <si>
    <t>5191</t>
  </si>
  <si>
    <t>BO-5191</t>
  </si>
  <si>
    <t>93121</t>
  </si>
  <si>
    <t>106753</t>
  </si>
  <si>
    <t>6410</t>
  </si>
  <si>
    <t>BO-6410</t>
  </si>
  <si>
    <t>93004</t>
  </si>
  <si>
    <t>106755</t>
  </si>
  <si>
    <t>623</t>
  </si>
  <si>
    <t>FA-623</t>
  </si>
  <si>
    <t>SOTO FERNANDEZ FLORA</t>
  </si>
  <si>
    <t>31018493</t>
  </si>
  <si>
    <t>0073596</t>
  </si>
  <si>
    <t>93005</t>
  </si>
  <si>
    <t>106835</t>
  </si>
  <si>
    <t>6420</t>
  </si>
  <si>
    <t>BO-6420</t>
  </si>
  <si>
    <t>GARCIA TOMAIRO PEDRO</t>
  </si>
  <si>
    <t>15388544</t>
  </si>
  <si>
    <t>0073796</t>
  </si>
  <si>
    <t>999554178</t>
  </si>
  <si>
    <t>93211</t>
  </si>
  <si>
    <t>106854</t>
  </si>
  <si>
    <t>6421</t>
  </si>
  <si>
    <t>BO-6421</t>
  </si>
  <si>
    <t>MUÑOZ ESCALANTE TELMIRA</t>
  </si>
  <si>
    <t>06679500</t>
  </si>
  <si>
    <t>0054620</t>
  </si>
  <si>
    <t>9360006429</t>
  </si>
  <si>
    <t>93224</t>
  </si>
  <si>
    <t>106860</t>
  </si>
  <si>
    <t>6422</t>
  </si>
  <si>
    <t>BO-6422</t>
  </si>
  <si>
    <t>RAMOS LAGOS MARTHA</t>
  </si>
  <si>
    <t>06252964</t>
  </si>
  <si>
    <t>0073807</t>
  </si>
  <si>
    <t>989697721</t>
  </si>
  <si>
    <t>93232</t>
  </si>
  <si>
    <t>106943</t>
  </si>
  <si>
    <t>6428</t>
  </si>
  <si>
    <t>BO-6428</t>
  </si>
  <si>
    <t>DE LA CRUZ SALINAS MARIA ISABEL</t>
  </si>
  <si>
    <t>09265131</t>
  </si>
  <si>
    <t xml:space="preserve">ALBAN ZAPATA GUIDO </t>
  </si>
  <si>
    <t>0073840</t>
  </si>
  <si>
    <t>964333613</t>
  </si>
  <si>
    <t>93300</t>
  </si>
  <si>
    <t>193-15254018098</t>
  </si>
  <si>
    <t>106982</t>
  </si>
  <si>
    <t>6433</t>
  </si>
  <si>
    <t>BO-6433</t>
  </si>
  <si>
    <t>VALVERDE CUMPA SEGUNDO MISAEL</t>
  </si>
  <si>
    <t>10251130</t>
  </si>
  <si>
    <t>ZAMORA FALCON RUBEN HUGO</t>
  </si>
  <si>
    <t>HOSPITAL CARRION</t>
  </si>
  <si>
    <t>0073848</t>
  </si>
  <si>
    <t>955125393</t>
  </si>
  <si>
    <t>93339</t>
  </si>
  <si>
    <t>106986</t>
  </si>
  <si>
    <t>12683</t>
  </si>
  <si>
    <t>BO-12683</t>
  </si>
  <si>
    <t>ALLCCACO CANCHANYA KAROL LIZBETH</t>
  </si>
  <si>
    <t>47661526</t>
  </si>
  <si>
    <t>0073849</t>
  </si>
  <si>
    <t>945996823</t>
  </si>
  <si>
    <t>93343</t>
  </si>
  <si>
    <t>107078</t>
  </si>
  <si>
    <t>5224</t>
  </si>
  <si>
    <t>BO-5224</t>
  </si>
  <si>
    <t>RONCAL APARICIO CECILIA CLAUDIA</t>
  </si>
  <si>
    <t>0073870</t>
  </si>
  <si>
    <t>989059456</t>
  </si>
  <si>
    <t>93409</t>
  </si>
  <si>
    <t>107103</t>
  </si>
  <si>
    <t>4728</t>
  </si>
  <si>
    <t>BO-4728</t>
  </si>
  <si>
    <t>CHANDUVI ALFARO SONIA YSABEL</t>
  </si>
  <si>
    <t>08079079</t>
  </si>
  <si>
    <t>0073888</t>
  </si>
  <si>
    <t>982492043</t>
  </si>
  <si>
    <t>93436</t>
  </si>
  <si>
    <t>107105</t>
  </si>
  <si>
    <t>625</t>
  </si>
  <si>
    <t>FA-625</t>
  </si>
  <si>
    <t>AYLAS TRUJILLO YHAN FRANK</t>
  </si>
  <si>
    <t>62448662</t>
  </si>
  <si>
    <t>0073862</t>
  </si>
  <si>
    <t>985412595</t>
  </si>
  <si>
    <t>93395</t>
  </si>
  <si>
    <t>107118</t>
  </si>
  <si>
    <t>6449</t>
  </si>
  <si>
    <t>BO-6449</t>
  </si>
  <si>
    <t>CUBAS RAMON MELIDA VIRGINIA</t>
  </si>
  <si>
    <t>08049983</t>
  </si>
  <si>
    <t>0073766</t>
  </si>
  <si>
    <t>944452622</t>
  </si>
  <si>
    <t>93448</t>
  </si>
  <si>
    <t>107135</t>
  </si>
  <si>
    <t>1141</t>
  </si>
  <si>
    <t>FA-1141</t>
  </si>
  <si>
    <t>TUESTA SANTA CRUZ VALERIE ALESSANDRA</t>
  </si>
  <si>
    <t>72643022</t>
  </si>
  <si>
    <t>LEON SUAREZ LUIS NICOLAS</t>
  </si>
  <si>
    <t>0073787</t>
  </si>
  <si>
    <t>93346</t>
  </si>
  <si>
    <t>107183</t>
  </si>
  <si>
    <t>4737</t>
  </si>
  <si>
    <t>BO-4737</t>
  </si>
  <si>
    <t>VASQUEZ PALACIOS VDA DE VALD HERMELINDA</t>
  </si>
  <si>
    <t>32816323</t>
  </si>
  <si>
    <t>0073925</t>
  </si>
  <si>
    <t>995950844</t>
  </si>
  <si>
    <t>93499</t>
  </si>
  <si>
    <t>107203</t>
  </si>
  <si>
    <t>627</t>
  </si>
  <si>
    <t>FA-627</t>
  </si>
  <si>
    <t>PALOMINO ALCIDES RAFAELE</t>
  </si>
  <si>
    <t>09569006</t>
  </si>
  <si>
    <t>0073889</t>
  </si>
  <si>
    <t>950133748</t>
  </si>
  <si>
    <t>93477</t>
  </si>
  <si>
    <t>107204</t>
  </si>
  <si>
    <t>1142</t>
  </si>
  <si>
    <t>FA-1142</t>
  </si>
  <si>
    <t>CHAVEZ CORDOVA ROCIO LIZ</t>
  </si>
  <si>
    <t>71110674</t>
  </si>
  <si>
    <t>0073770</t>
  </si>
  <si>
    <t>991124259</t>
  </si>
  <si>
    <t>93295</t>
  </si>
  <si>
    <t>107205</t>
  </si>
  <si>
    <t>1143</t>
  </si>
  <si>
    <t>FA-1143</t>
  </si>
  <si>
    <t>93517</t>
  </si>
  <si>
    <t>107212</t>
  </si>
  <si>
    <t>1144</t>
  </si>
  <si>
    <t>FA-1144</t>
  </si>
  <si>
    <t>BELTRAN QUINTANA AYDEE MARGOT</t>
  </si>
  <si>
    <t>16176810</t>
  </si>
  <si>
    <t>0073839</t>
  </si>
  <si>
    <t>953731107</t>
  </si>
  <si>
    <t>93522</t>
  </si>
  <si>
    <t>107274</t>
  </si>
  <si>
    <t>1145</t>
  </si>
  <si>
    <t>FA-1145</t>
  </si>
  <si>
    <t>93577</t>
  </si>
  <si>
    <t>107282</t>
  </si>
  <si>
    <t>6464</t>
  </si>
  <si>
    <t>BO-6464</t>
  </si>
  <si>
    <t>CERON TELLO JOSE HERBERT</t>
  </si>
  <si>
    <t>40489371</t>
  </si>
  <si>
    <t>0073972</t>
  </si>
  <si>
    <t>924261883</t>
  </si>
  <si>
    <t>93586</t>
  </si>
  <si>
    <t>107336</t>
  </si>
  <si>
    <t>6470</t>
  </si>
  <si>
    <t>BO-6470</t>
  </si>
  <si>
    <t>NIETO CORONADO VANESSA ELAIZA</t>
  </si>
  <si>
    <t>003081424</t>
  </si>
  <si>
    <t>PALACIOS URIBE PAMELA CAROLINA</t>
  </si>
  <si>
    <t>0073992</t>
  </si>
  <si>
    <t>921639105</t>
  </si>
  <si>
    <t>93624</t>
  </si>
  <si>
    <t>2486</t>
  </si>
  <si>
    <t>NC-6470</t>
  </si>
  <si>
    <t>107381</t>
  </si>
  <si>
    <t>6475</t>
  </si>
  <si>
    <t>BO-6475</t>
  </si>
  <si>
    <t>PALACIOS VERGARA RAISA LORENA ISABEL</t>
  </si>
  <si>
    <t>46534632</t>
  </si>
  <si>
    <t>0068145</t>
  </si>
  <si>
    <t>947422476</t>
  </si>
  <si>
    <t>93662</t>
  </si>
  <si>
    <t>107388</t>
  </si>
  <si>
    <t>12729</t>
  </si>
  <si>
    <t>BO-12729</t>
  </si>
  <si>
    <t>VALENZUELA ESCALANTE ZENOBIA MARIA</t>
  </si>
  <si>
    <t>07009518</t>
  </si>
  <si>
    <t>0074023</t>
  </si>
  <si>
    <t>933383156</t>
  </si>
  <si>
    <t>93667</t>
  </si>
  <si>
    <t>107413</t>
  </si>
  <si>
    <t>4764</t>
  </si>
  <si>
    <t>BO-4764</t>
  </si>
  <si>
    <t>GONZAGA REQUENA ALEJANDRO ROFINO</t>
  </si>
  <si>
    <t>08608902</t>
  </si>
  <si>
    <t>0074036</t>
  </si>
  <si>
    <t>920492162</t>
  </si>
  <si>
    <t>93688</t>
  </si>
  <si>
    <t>107415</t>
  </si>
  <si>
    <t>1146</t>
  </si>
  <si>
    <t>FA-1146</t>
  </si>
  <si>
    <t>OROPEZA GOMEZ GIOVANNY JOSE</t>
  </si>
  <si>
    <t>007212628</t>
  </si>
  <si>
    <t>0073995</t>
  </si>
  <si>
    <t>917648860</t>
  </si>
  <si>
    <t>OCULIS S.A.C.</t>
  </si>
  <si>
    <t>93691</t>
  </si>
  <si>
    <t>107509</t>
  </si>
  <si>
    <t>4789</t>
  </si>
  <si>
    <t>BO-4789</t>
  </si>
  <si>
    <t>PAREDES MAGALLANES ANGEL GABRIEL</t>
  </si>
  <si>
    <t>63184263</t>
  </si>
  <si>
    <t>0074076</t>
  </si>
  <si>
    <t>960948467</t>
  </si>
  <si>
    <t>93766</t>
  </si>
  <si>
    <t>107547</t>
  </si>
  <si>
    <t>12755</t>
  </si>
  <si>
    <t>BO-12755</t>
  </si>
  <si>
    <t>HUACCACHE TAIPE CARMEN FLORINDA</t>
  </si>
  <si>
    <t>08176519</t>
  </si>
  <si>
    <t>0074088</t>
  </si>
  <si>
    <t>981962861</t>
  </si>
  <si>
    <t>93801</t>
  </si>
  <si>
    <t>107559</t>
  </si>
  <si>
    <t>12758</t>
  </si>
  <si>
    <t>BO-12758</t>
  </si>
  <si>
    <t>CASTAÑEDA QUIÑONEZ MAYSHA CATALEYA</t>
  </si>
  <si>
    <t>92360707</t>
  </si>
  <si>
    <t>0074090</t>
  </si>
  <si>
    <t>960223866</t>
  </si>
  <si>
    <t>93812</t>
  </si>
  <si>
    <t>107657</t>
  </si>
  <si>
    <t>12775</t>
  </si>
  <si>
    <t>BO-12775</t>
  </si>
  <si>
    <t>ZABALU NIZAMA SILVIA MARGOT</t>
  </si>
  <si>
    <t>32118229</t>
  </si>
  <si>
    <t>0074120</t>
  </si>
  <si>
    <t>915006721</t>
  </si>
  <si>
    <t>93870</t>
  </si>
  <si>
    <t>107667</t>
  </si>
  <si>
    <t>138</t>
  </si>
  <si>
    <t>FA-138</t>
  </si>
  <si>
    <t>CAMPOS CALIXTRO CARMEN MARIA</t>
  </si>
  <si>
    <t>10403296</t>
  </si>
  <si>
    <t>0074127</t>
  </si>
  <si>
    <t>9815593684</t>
  </si>
  <si>
    <t>DELVAMEC PERU E.I.R.L.</t>
  </si>
  <si>
    <t>93881</t>
  </si>
  <si>
    <t>OCT DE SEGMENTO ANTERIOR (ANGULOS)</t>
  </si>
  <si>
    <t>107678</t>
  </si>
  <si>
    <t>1147</t>
  </si>
  <si>
    <t>FA-1147</t>
  </si>
  <si>
    <t>SANTILLAN MOLINA MARITZA BRIZAIDA</t>
  </si>
  <si>
    <t>28316361</t>
  </si>
  <si>
    <t>0073536</t>
  </si>
  <si>
    <t>952672670</t>
  </si>
  <si>
    <t>93887</t>
  </si>
  <si>
    <t>107686</t>
  </si>
  <si>
    <t>4807</t>
  </si>
  <si>
    <t>BO-4807</t>
  </si>
  <si>
    <t>ULLAURI LEON FELICIANO PABLO</t>
  </si>
  <si>
    <t>06940771</t>
  </si>
  <si>
    <t>0074137</t>
  </si>
  <si>
    <t>994989557</t>
  </si>
  <si>
    <t>93894</t>
  </si>
  <si>
    <t>107703</t>
  </si>
  <si>
    <t>1148</t>
  </si>
  <si>
    <t>FA-1148</t>
  </si>
  <si>
    <t>SIALER MORENO VDA DE RIVERA MERY JOSEFIN</t>
  </si>
  <si>
    <t>25814685</t>
  </si>
  <si>
    <t>0028109</t>
  </si>
  <si>
    <t>991123897</t>
  </si>
  <si>
    <t>93910</t>
  </si>
  <si>
    <t>107712</t>
  </si>
  <si>
    <t>4814</t>
  </si>
  <si>
    <t>BO-4814</t>
  </si>
  <si>
    <t>VILLANUEVA ARMAS JAKQUELINE</t>
  </si>
  <si>
    <t>42211225</t>
  </si>
  <si>
    <t>0074148</t>
  </si>
  <si>
    <t>912483781</t>
  </si>
  <si>
    <t>93917</t>
  </si>
  <si>
    <t>107738</t>
  </si>
  <si>
    <t>6504</t>
  </si>
  <si>
    <t>BO-6504</t>
  </si>
  <si>
    <t>MOLERO VILLAFUERTE DE PORTA BRIGIDA ROSA</t>
  </si>
  <si>
    <t>07589196</t>
  </si>
  <si>
    <t>0074106</t>
  </si>
  <si>
    <t>997 292 731</t>
  </si>
  <si>
    <t>93937</t>
  </si>
  <si>
    <t>107739</t>
  </si>
  <si>
    <t>6505</t>
  </si>
  <si>
    <t>BO-6505</t>
  </si>
  <si>
    <t>93938</t>
  </si>
  <si>
    <t>107740</t>
  </si>
  <si>
    <t>6506</t>
  </si>
  <si>
    <t>BO-6506</t>
  </si>
  <si>
    <t>93939</t>
  </si>
  <si>
    <t>107753</t>
  </si>
  <si>
    <t>6511</t>
  </si>
  <si>
    <t>BO-6511</t>
  </si>
  <si>
    <t>MARIN NODA ZAIDEE ZARAMIT</t>
  </si>
  <si>
    <t>14566209</t>
  </si>
  <si>
    <t>0074173</t>
  </si>
  <si>
    <t>922232520</t>
  </si>
  <si>
    <t>93951</t>
  </si>
  <si>
    <t>107754</t>
  </si>
  <si>
    <t>6512</t>
  </si>
  <si>
    <t>BO-6512</t>
  </si>
  <si>
    <t>93952</t>
  </si>
  <si>
    <t>107756</t>
  </si>
  <si>
    <t>6513</t>
  </si>
  <si>
    <t>BO-6513</t>
  </si>
  <si>
    <t>93953</t>
  </si>
  <si>
    <t>107757</t>
  </si>
  <si>
    <t>12797</t>
  </si>
  <si>
    <t>BO-12797</t>
  </si>
  <si>
    <t>REYES DE GUADALUPE BERTILA VELDIANA</t>
  </si>
  <si>
    <t>21829013</t>
  </si>
  <si>
    <t>HUAMANI LEANDRO MILSSA</t>
  </si>
  <si>
    <t>HOSPITAL REBAGLEATI</t>
  </si>
  <si>
    <t>0041655</t>
  </si>
  <si>
    <t>996869410</t>
  </si>
  <si>
    <t>93955</t>
  </si>
  <si>
    <t>833-0433142</t>
  </si>
  <si>
    <t>107763</t>
  </si>
  <si>
    <t>6514</t>
  </si>
  <si>
    <t>BO-6514</t>
  </si>
  <si>
    <t>BRICEÑO IBARRA ISAAC ARMANDO</t>
  </si>
  <si>
    <t>07104698</t>
  </si>
  <si>
    <t>0074105</t>
  </si>
  <si>
    <t>989 712 379</t>
  </si>
  <si>
    <t>93960</t>
  </si>
  <si>
    <t>107789</t>
  </si>
  <si>
    <t>6515</t>
  </si>
  <si>
    <t>BO-6515</t>
  </si>
  <si>
    <t>RUBIO BAUTISTA MARTHA</t>
  </si>
  <si>
    <t>40248862</t>
  </si>
  <si>
    <t>0074146</t>
  </si>
  <si>
    <t>961897632</t>
  </si>
  <si>
    <t>93972</t>
  </si>
  <si>
    <t>107790</t>
  </si>
  <si>
    <t>12803</t>
  </si>
  <si>
    <t>BO-12803</t>
  </si>
  <si>
    <t>FLORES SALAZAR NORMA BEATRIZ</t>
  </si>
  <si>
    <t>07493552</t>
  </si>
  <si>
    <t>0050019</t>
  </si>
  <si>
    <t>971181409</t>
  </si>
  <si>
    <t>93973</t>
  </si>
  <si>
    <t>107829</t>
  </si>
  <si>
    <t>632</t>
  </si>
  <si>
    <t>FA-632</t>
  </si>
  <si>
    <t>93958</t>
  </si>
  <si>
    <t>107832</t>
  </si>
  <si>
    <t>633</t>
  </si>
  <si>
    <t>FA-633</t>
  </si>
  <si>
    <t>93975</t>
  </si>
  <si>
    <t>107844</t>
  </si>
  <si>
    <t>1149</t>
  </si>
  <si>
    <t>FA-1149</t>
  </si>
  <si>
    <t>93980</t>
  </si>
  <si>
    <t>107953</t>
  </si>
  <si>
    <t>5307</t>
  </si>
  <si>
    <t>BO-5307</t>
  </si>
  <si>
    <t>ALVA CASTRO ADRIANO ANGELO</t>
  </si>
  <si>
    <t>71674965</t>
  </si>
  <si>
    <t>0074292</t>
  </si>
  <si>
    <t>992129405</t>
  </si>
  <si>
    <t>94101</t>
  </si>
  <si>
    <t>107955</t>
  </si>
  <si>
    <t>5308</t>
  </si>
  <si>
    <t>BO-5308</t>
  </si>
  <si>
    <t>CASTRO CHUÑOCCA ROSA AUGUSTA</t>
  </si>
  <si>
    <t>41779924</t>
  </si>
  <si>
    <t>0074294</t>
  </si>
  <si>
    <t>94103</t>
  </si>
  <si>
    <t>2494</t>
  </si>
  <si>
    <t>NC-5307</t>
  </si>
  <si>
    <t>Médico</t>
  </si>
  <si>
    <t>Celular</t>
  </si>
  <si>
    <t>Banco</t>
  </si>
  <si>
    <t># Cuenta</t>
  </si>
  <si>
    <t># CCI</t>
  </si>
  <si>
    <t>Institución</t>
  </si>
  <si>
    <t>Columna1</t>
  </si>
  <si>
    <t>CASTILLO JAVE NANDY</t>
  </si>
  <si>
    <t>BANCO DE LA NACIÓN</t>
  </si>
  <si>
    <t>04-531049328</t>
  </si>
  <si>
    <t>018-53100453104932848</t>
  </si>
  <si>
    <t>LINO LARREA CARLOS  ENRIQUE</t>
  </si>
  <si>
    <t>04-261072713</t>
  </si>
  <si>
    <t>018-26100426107271385</t>
  </si>
  <si>
    <t>ZEBALLOS AYQUIPA MISHELLY JOHANA</t>
  </si>
  <si>
    <t>04-021092202</t>
  </si>
  <si>
    <t>018-00000402109220203</t>
  </si>
  <si>
    <t>TRINIDAD MOLINA ZOSIMO</t>
  </si>
  <si>
    <t>04-042865309</t>
  </si>
  <si>
    <t>018-00000404286530907</t>
  </si>
  <si>
    <t>VES</t>
  </si>
  <si>
    <t>ENTENZA NALIA</t>
  </si>
  <si>
    <t>BBVA</t>
  </si>
  <si>
    <t>0011-0814-0245234827</t>
  </si>
  <si>
    <t>011-814-000245234827-15</t>
  </si>
  <si>
    <t>UNIDERMA JESUS MARÍA</t>
  </si>
  <si>
    <t>ESPINOZA LAVALLE CESAR FRANKZ</t>
  </si>
  <si>
    <t>0011-0057-0229787021</t>
  </si>
  <si>
    <t>011-057-000229787021-70</t>
  </si>
  <si>
    <t>CLINICA DIVINO NIÑO JESÚS</t>
  </si>
  <si>
    <t>BARRANTES RAMIREZ ELENA JESUS AMERICA</t>
  </si>
  <si>
    <t>0011-0616-0200286900</t>
  </si>
  <si>
    <t>011-616-000200286900-02</t>
  </si>
  <si>
    <t>OPELUCE LINCE</t>
  </si>
  <si>
    <t>HUAMAN MENDEZ NATHALY VANESSA</t>
  </si>
  <si>
    <t>0011-0186-0200772531</t>
  </si>
  <si>
    <t>CASAVERDE VILLACORTA CARLOS ALBERTO</t>
  </si>
  <si>
    <t>0011-0486-0200014689</t>
  </si>
  <si>
    <t>011-486-000200014689-80</t>
  </si>
  <si>
    <t>HOSPITAL GRAU</t>
  </si>
  <si>
    <t>PEREZ PRADO WILSON</t>
  </si>
  <si>
    <t>0011-0814-0238585177</t>
  </si>
  <si>
    <t>011-814-000238585177-15</t>
  </si>
  <si>
    <t>GAMERO FERNANDEZ EBERTH LELYS</t>
  </si>
  <si>
    <t>0011-0057-0209443814</t>
  </si>
  <si>
    <t>011-057-000209443814-76</t>
  </si>
  <si>
    <t>NUÑEZ DEL PRADO CUADROS MARIELA DIANA</t>
  </si>
  <si>
    <t>0011-0180-0200473345</t>
  </si>
  <si>
    <t>011-180-000200473345-73</t>
  </si>
  <si>
    <t>RIVERA FERNANDEZ JORGE GUSTAVO</t>
  </si>
  <si>
    <t xml:space="preserve"> 0011-0148-0200516341</t>
  </si>
  <si>
    <t>011-148-000200516341-41</t>
  </si>
  <si>
    <t>CLINICA VER</t>
  </si>
  <si>
    <t>MONTOYA DELGADO MANUEL JESUS</t>
  </si>
  <si>
    <t>0011-0115-0100070311</t>
  </si>
  <si>
    <t>011-115-000100070311-34</t>
  </si>
  <si>
    <t>011-184-000200649518-94</t>
  </si>
  <si>
    <t>GARRO ROSAS LUCIA</t>
  </si>
  <si>
    <t>0011-0148-0200614041</t>
  </si>
  <si>
    <t>011-148-000200614041-48</t>
  </si>
  <si>
    <t>011-117-000200577155-91</t>
  </si>
  <si>
    <t xml:space="preserve">ALCOCER DE LA CRUZ REGINA ROCIO </t>
  </si>
  <si>
    <t>0011-0190-0200562504</t>
  </si>
  <si>
    <t>011-190-000200562504-67</t>
  </si>
  <si>
    <t>0113-5300-0200308107-08</t>
  </si>
  <si>
    <t>ZUÑIGA SANCHEZ MARIA DEL PILAR</t>
  </si>
  <si>
    <t>0011-0057-0233799581</t>
  </si>
  <si>
    <t>011-057-000233799581-71</t>
  </si>
  <si>
    <t>MUNAYCO GUILLEN FERNANDO</t>
  </si>
  <si>
    <t>0011-0178-0200623168</t>
  </si>
  <si>
    <t>011-178-000200623168-18</t>
  </si>
  <si>
    <t>MENDOZA YAYA WILDE LUIS</t>
  </si>
  <si>
    <t>0011-0131-0200209640</t>
  </si>
  <si>
    <t>011-131-000200209640-08</t>
  </si>
  <si>
    <t>011-354-000200096288-82</t>
  </si>
  <si>
    <t xml:space="preserve">SILVA IZAGUIRRE JORGE GONZALO </t>
  </si>
  <si>
    <t>0011-0139-0200873668</t>
  </si>
  <si>
    <t>011-139-000200873668-34</t>
  </si>
  <si>
    <t>HOSPITAL ATE VITARTE MINSA</t>
  </si>
  <si>
    <t>FERNANDEZ LARA MANUEL JESUS</t>
  </si>
  <si>
    <t>0011-0131-0200382636</t>
  </si>
  <si>
    <t>011-131-000200382636</t>
  </si>
  <si>
    <t>HOSPITAL NEGREIROS</t>
  </si>
  <si>
    <t>BAUMAN RIVERA ASTRID KATHERIN ENRIQUETA</t>
  </si>
  <si>
    <t>0011-0152-0200640850</t>
  </si>
  <si>
    <t>011-152-000200640850-60</t>
  </si>
  <si>
    <t>HOSPITAL DE LA FAP</t>
  </si>
  <si>
    <t>011-467-000200078608-83</t>
  </si>
  <si>
    <t>ALANIA MUÑOZ ADA MAGALY</t>
  </si>
  <si>
    <t>0011-0814-0250111164</t>
  </si>
  <si>
    <t>011-814-000250111164-11</t>
  </si>
  <si>
    <t>011-115-000200235237-31</t>
  </si>
  <si>
    <t>FERNANDEZ LEÓN LYNDA PAOLA</t>
  </si>
  <si>
    <t>0011-0115-0200272116</t>
  </si>
  <si>
    <t>011-115-000200272116-31</t>
  </si>
  <si>
    <t>OFTALMOPED LINCE</t>
  </si>
  <si>
    <t>ÑAUPARI SULLCA RAUL MOISES</t>
  </si>
  <si>
    <t>0011-0341-0200314292</t>
  </si>
  <si>
    <t>011-341-000200314292-50</t>
  </si>
  <si>
    <t>HUAMAN RIOS ROSA BERTHA TEOFILA</t>
  </si>
  <si>
    <t>0011-0184-0200012889</t>
  </si>
  <si>
    <t>011-184-000200012889-98</t>
  </si>
  <si>
    <t>011-189-000200496417-83</t>
  </si>
  <si>
    <t>LY MALDONADO JUAN CARLOS</t>
  </si>
  <si>
    <t>0011-0814-0272789024</t>
  </si>
  <si>
    <t>011-814-000272789024-12</t>
  </si>
  <si>
    <t>011-197-000200171031-14</t>
  </si>
  <si>
    <t>011-814-000256063048-11</t>
  </si>
  <si>
    <t>011-190-000200333106-69</t>
  </si>
  <si>
    <t>AQUINO CORVERA LUIS MANUEL</t>
  </si>
  <si>
    <t>0011-0579-0223992470</t>
  </si>
  <si>
    <t>011-579-000223992470-00</t>
  </si>
  <si>
    <t>BARRETO VIRTO JOSE EMMANUEL</t>
  </si>
  <si>
    <t>0011-0057-0223462767</t>
  </si>
  <si>
    <t>011-057-000223462700-00</t>
  </si>
  <si>
    <t>BERMUDEZ MALDONADO IVAN ROGER</t>
  </si>
  <si>
    <t>0011-0115-0200164224</t>
  </si>
  <si>
    <t>011-115-000200164224-34</t>
  </si>
  <si>
    <t>CONTRERAS SILVA ÁNGEL ALFREDO</t>
  </si>
  <si>
    <t>0011-0118-0200430370</t>
  </si>
  <si>
    <t>011-118-000200430370-73</t>
  </si>
  <si>
    <t>MEDRANO GUILLERMO LISSET</t>
  </si>
  <si>
    <t>0011-0189-0200431226</t>
  </si>
  <si>
    <t>HOSPITAL DE LA SOLIDARIDAD</t>
  </si>
  <si>
    <t>LOPEZ MARTINEZ ALEXANDRA</t>
  </si>
  <si>
    <t>0011-0153-0200750511</t>
  </si>
  <si>
    <t>011-153-000200750511-44</t>
  </si>
  <si>
    <t>RISCO CHANG ROXANA</t>
  </si>
  <si>
    <t>0011-0122-0200631866</t>
  </si>
  <si>
    <t>011-122-000200631866-97</t>
  </si>
  <si>
    <t>CLINICA SAN GABRIEL</t>
  </si>
  <si>
    <t>SAAVEDRA ESPINOZA DARIELA MARIEL</t>
  </si>
  <si>
    <t>0011-0320-0200072928</t>
  </si>
  <si>
    <t>011-320-000200072928-91</t>
  </si>
  <si>
    <t>SANDOVAL ERQUINEO JHOVANA LICED</t>
  </si>
  <si>
    <t>0011-0057-0219092475</t>
  </si>
  <si>
    <t>011-057-000219092475-79</t>
  </si>
  <si>
    <t>YOVERA LEYVA ELSA MARIANELA</t>
  </si>
  <si>
    <t>0011-0320-0200277139</t>
  </si>
  <si>
    <t xml:space="preserve"> 011-320-000200277139-98</t>
  </si>
  <si>
    <t>ÑAUPARI MEZA BRENNER ALBERTO</t>
  </si>
  <si>
    <t>0011-0712-0200343264</t>
  </si>
  <si>
    <t>011-712-000200343264-74</t>
  </si>
  <si>
    <t>ALVARO TAMBRA WENDY CAROLA</t>
  </si>
  <si>
    <t>0011-0320-0200061187</t>
  </si>
  <si>
    <t>011-320-000200061187-97</t>
  </si>
  <si>
    <t>POLICLÍNICO PABLO BERMUDEZ</t>
  </si>
  <si>
    <t>PUICAN NAVARRO GUIDO ALFREDO</t>
  </si>
  <si>
    <t>0011-0286-0200053326</t>
  </si>
  <si>
    <t>011-286-000200053326-21</t>
  </si>
  <si>
    <t>JANAMPA CAMPOS WILSON ALEXANDER</t>
  </si>
  <si>
    <t>BCP</t>
  </si>
  <si>
    <t>315-99346437032</t>
  </si>
  <si>
    <t>00231519934643703204</t>
  </si>
  <si>
    <t xml:space="preserve">HOSPITAL SAN JOSE </t>
  </si>
  <si>
    <t>QUIROZ MONTOYA CLAUDIA MICHAEL</t>
  </si>
  <si>
    <t>191-14161745092</t>
  </si>
  <si>
    <t>00219111416174509250</t>
  </si>
  <si>
    <t>SANTE MORALES JOEL EDMUNDO</t>
  </si>
  <si>
    <t>430-32526176035</t>
  </si>
  <si>
    <t>00243013252617603579</t>
  </si>
  <si>
    <t>BARREDA FUENTES ANDRES DANIEL</t>
  </si>
  <si>
    <t>193-36174976078</t>
  </si>
  <si>
    <t>00219313617497607000</t>
  </si>
  <si>
    <t>GALINDO SIHUIN YOSELL RAFAEL</t>
  </si>
  <si>
    <t>192-99257733034</t>
  </si>
  <si>
    <t>00219219925773303430</t>
  </si>
  <si>
    <t>CARDENAS ROLANDO</t>
  </si>
  <si>
    <t>193-04298551069</t>
  </si>
  <si>
    <t>00219310429855106913</t>
  </si>
  <si>
    <t>HOYOS SAENZ ANGELA</t>
  </si>
  <si>
    <t>245-99508929094</t>
  </si>
  <si>
    <t>00224519950892909494</t>
  </si>
  <si>
    <t>00219313413920204000</t>
  </si>
  <si>
    <t>00219111542165803150</t>
  </si>
  <si>
    <t>00219100995304702651</t>
  </si>
  <si>
    <t>MARCHENA SOSA CAROLINA VIRGINIA</t>
  </si>
  <si>
    <t>191-02898958038</t>
  </si>
  <si>
    <t>00219110289895803000</t>
  </si>
  <si>
    <t>HOSPITAL DEL NIÑO</t>
  </si>
  <si>
    <t>ESPINOZA OSTOS MEIDA ANAMITH</t>
  </si>
  <si>
    <t>193-94591868039</t>
  </si>
  <si>
    <t>00219319459186803913</t>
  </si>
  <si>
    <t>HOSPITAL DE LA SOLIDARIDAD CAMANA</t>
  </si>
  <si>
    <t>SANCHEZ ORTIZ JOANA PAMELA</t>
  </si>
  <si>
    <t>193-29575027063</t>
  </si>
  <si>
    <t>00219312957502706000</t>
  </si>
  <si>
    <t>00219117024122302954</t>
  </si>
  <si>
    <t>MENDOZA VASQUEZ HERNAN MARCO</t>
  </si>
  <si>
    <t>193-91671252022</t>
  </si>
  <si>
    <t>00219319167125202000</t>
  </si>
  <si>
    <t>00219119843210606000</t>
  </si>
  <si>
    <t>00219111853742707254</t>
  </si>
  <si>
    <t>00219311525401809819</t>
  </si>
  <si>
    <t>ESPINOZA HUMAREDA IVAN</t>
  </si>
  <si>
    <t>191-23580691078</t>
  </si>
  <si>
    <t>00219112358069107853</t>
  </si>
  <si>
    <t>DULANTO REINOSO VICTOR CHRISTIAN</t>
  </si>
  <si>
    <t>193-2438485060</t>
  </si>
  <si>
    <t>00219300243848506018</t>
  </si>
  <si>
    <t>CLINICA DULANTO</t>
  </si>
  <si>
    <t>REYES CUBAS MARIA MANUELA</t>
  </si>
  <si>
    <t>191-24412701093</t>
  </si>
  <si>
    <t>00219112441270109000</t>
  </si>
  <si>
    <t>PAREDES ARAMBURU NANCY</t>
  </si>
  <si>
    <t>193-36243352045</t>
  </si>
  <si>
    <t>00219313624335204000</t>
  </si>
  <si>
    <t>CORNEJO ZAGA MAX JOSE</t>
  </si>
  <si>
    <t>194-99321092033</t>
  </si>
  <si>
    <t>00219419932109203391</t>
  </si>
  <si>
    <t>00219119141508907154</t>
  </si>
  <si>
    <t>ALVA FLORES VICTOR MANUEL</t>
  </si>
  <si>
    <t>193-17207029036</t>
  </si>
  <si>
    <t>00219311720702903000</t>
  </si>
  <si>
    <t>00219110355421401000</t>
  </si>
  <si>
    <t>GISMONDI ALEGRE JUAN ALBERTO</t>
  </si>
  <si>
    <t>192-01819241015</t>
  </si>
  <si>
    <t>00219210181924101538</t>
  </si>
  <si>
    <t>00219111452558700000</t>
  </si>
  <si>
    <t>00219119230059201956</t>
  </si>
  <si>
    <t>DIAZ ZARATE ELIZA MARIELA</t>
  </si>
  <si>
    <t>193-91363094051</t>
  </si>
  <si>
    <t>00219319136309405111</t>
  </si>
  <si>
    <t>GUZMAN ARENAS HUMBERTO</t>
  </si>
  <si>
    <t>191-36065527024</t>
  </si>
  <si>
    <t>00219113606552702454</t>
  </si>
  <si>
    <t>DELGADO MESIAS HECTOR MARTIN</t>
  </si>
  <si>
    <t>193-17018359060</t>
  </si>
  <si>
    <t>00219311701835906013</t>
  </si>
  <si>
    <t>CALDERON MAMANI NELSON</t>
  </si>
  <si>
    <t>191-97244381045</t>
  </si>
  <si>
    <t>00219119724438104000</t>
  </si>
  <si>
    <t>BARRIGA SALVERRY GUILLERMO CLAUDIO</t>
  </si>
  <si>
    <t>191-04867305068</t>
  </si>
  <si>
    <t>00219110486730506856</t>
  </si>
  <si>
    <t>00219412556597901000</t>
  </si>
  <si>
    <t>00219113058354506857</t>
  </si>
  <si>
    <t>MAYTA CARCAUSTO AGUSTIN ABEL</t>
  </si>
  <si>
    <t>191-00611167039</t>
  </si>
  <si>
    <t>00219110061116703950</t>
  </si>
  <si>
    <t>PADILLA MONTORO ANGELA</t>
  </si>
  <si>
    <t>191-05174320085</t>
  </si>
  <si>
    <t>00219110517432008000</t>
  </si>
  <si>
    <t>ARELLANO CARO KARIN</t>
  </si>
  <si>
    <t>193-92293650007</t>
  </si>
  <si>
    <t>00219319229365000717</t>
  </si>
  <si>
    <t>BORDA BELIZARIO VLADIMIR</t>
  </si>
  <si>
    <t>191-97537801029</t>
  </si>
  <si>
    <t>00219119753780102954</t>
  </si>
  <si>
    <t>POLICLINICO JESUS MARIA</t>
  </si>
  <si>
    <t>CARDENAS MERINO ALFONSO</t>
  </si>
  <si>
    <t>191-38554880021</t>
  </si>
  <si>
    <t>00219113855488002152</t>
  </si>
  <si>
    <t>CASTRO PEREZ ALEJANDRA</t>
  </si>
  <si>
    <t>193-99668100046</t>
  </si>
  <si>
    <t>00219319966810004617</t>
  </si>
  <si>
    <t>DAVILA AYVAR OMAR MIJAIL</t>
  </si>
  <si>
    <t>194-34553964092</t>
  </si>
  <si>
    <t>00219413455396409000</t>
  </si>
  <si>
    <t>GUTIERREZ ZEVALLOS PAOLA</t>
  </si>
  <si>
    <t>191-04990406013</t>
  </si>
  <si>
    <t>00219110499040601350</t>
  </si>
  <si>
    <t>00219317655404501617</t>
  </si>
  <si>
    <t>00219419406679806596</t>
  </si>
  <si>
    <t>LLACCTARIMAY SANCHEZ CALEB</t>
  </si>
  <si>
    <t>191-35576688046</t>
  </si>
  <si>
    <t>00219113557668804659</t>
  </si>
  <si>
    <t>HOSPITAL DE SJL</t>
  </si>
  <si>
    <t>00219113888090504052</t>
  </si>
  <si>
    <t xml:space="preserve">PALACIOS URIBE PAMELA CAROLINA </t>
  </si>
  <si>
    <t>00219319596537401819</t>
  </si>
  <si>
    <t>PINEDA SANCHEZ MAYKOL JUNIORS</t>
  </si>
  <si>
    <t>193-04276035026</t>
  </si>
  <si>
    <t>00219310427603502615</t>
  </si>
  <si>
    <t>HOSPITAL B. LEGUIA</t>
  </si>
  <si>
    <t>POVIS JUYO STEVEN</t>
  </si>
  <si>
    <t>194-37627087056</t>
  </si>
  <si>
    <t>00219413762708705694</t>
  </si>
  <si>
    <t>HOSPITAL DE PUENTE PIEDRA</t>
  </si>
  <si>
    <t>REGALADO GUTIERREZ EVELYN JOSSY</t>
  </si>
  <si>
    <t>194-92762725020</t>
  </si>
  <si>
    <t>00219419276272502095</t>
  </si>
  <si>
    <t>POLICLÍNICO MUNICIPAL LOS OLIVOS</t>
  </si>
  <si>
    <t>RIOS DIONICIO GARY</t>
  </si>
  <si>
    <t>191-98745615043</t>
  </si>
  <si>
    <t>00219119874561504000</t>
  </si>
  <si>
    <t>00219110627765506000</t>
  </si>
  <si>
    <t>ROMANI FLORES LILIA</t>
  </si>
  <si>
    <t>191-74255909067</t>
  </si>
  <si>
    <t>00219117425590906000</t>
  </si>
  <si>
    <t>00219113208375503257</t>
  </si>
  <si>
    <t>VERA AVELINO NILO FRANCISCO</t>
  </si>
  <si>
    <t>00219319179265805000</t>
  </si>
  <si>
    <t>002-19319041667507211</t>
  </si>
  <si>
    <t>MERA BARBOZA MARCO</t>
  </si>
  <si>
    <t>INTERBANK</t>
  </si>
  <si>
    <t>166-3412325450</t>
  </si>
  <si>
    <t>00316601341232545067</t>
  </si>
  <si>
    <t>ROLDAN CORNEJO EILEEN SONIA</t>
  </si>
  <si>
    <t>378-3066335363</t>
  </si>
  <si>
    <t>00337801306633536374</t>
  </si>
  <si>
    <t>00300901322695661585</t>
  </si>
  <si>
    <t>ALMANZA CANO RONAL ATILIO</t>
  </si>
  <si>
    <t>122-3132001695</t>
  </si>
  <si>
    <t>00312201313200169592</t>
  </si>
  <si>
    <t>LEE VILLACORTA LOLA CRISTINA</t>
  </si>
  <si>
    <t>269-3164494303</t>
  </si>
  <si>
    <t>00326901316449430380</t>
  </si>
  <si>
    <t>00363900300412018827</t>
  </si>
  <si>
    <t>00316601306769117167</t>
  </si>
  <si>
    <t>00308701315011944044</t>
  </si>
  <si>
    <t>00313501301273750616</t>
  </si>
  <si>
    <t>00320001307649726035</t>
  </si>
  <si>
    <t>APAZA AVILA ADA CAROL</t>
  </si>
  <si>
    <t>479-3077340084</t>
  </si>
  <si>
    <t>00347901307734008436</t>
  </si>
  <si>
    <t>CONSULTORIO CUBA</t>
  </si>
  <si>
    <t>00310701317460536309</t>
  </si>
  <si>
    <t xml:space="preserve">MONTERO PACORA YHASSER ZOSIMO </t>
  </si>
  <si>
    <t>643-3097470870</t>
  </si>
  <si>
    <t>00364301309747087048</t>
  </si>
  <si>
    <t>MONTESINOS ROJAS GERARDO</t>
  </si>
  <si>
    <t>047-3124600552</t>
  </si>
  <si>
    <t>00304701312460055287</t>
  </si>
  <si>
    <t>00337501302759841037</t>
  </si>
  <si>
    <t>TELLO ARQUIÑEGO JAHANS NEIL</t>
  </si>
  <si>
    <t>289-3185896475</t>
  </si>
  <si>
    <t>00328901318589647565</t>
  </si>
  <si>
    <t>TORRES INUMA JOSY ALEXIS</t>
  </si>
  <si>
    <t>898 3427810358</t>
  </si>
  <si>
    <t>00389801342781035000</t>
  </si>
  <si>
    <t>TORRES FELIX</t>
  </si>
  <si>
    <t>00389801342781035842</t>
  </si>
  <si>
    <t>LAU CUBA LUIS ALBERTO</t>
  </si>
  <si>
    <t>PICHINCHA</t>
  </si>
  <si>
    <t>000-14-3049933</t>
  </si>
  <si>
    <t>035-00000014304993393</t>
  </si>
  <si>
    <t>MOYA AYRE EUGENIO FRANCKLIN</t>
  </si>
  <si>
    <t>SCOTIABANK</t>
  </si>
  <si>
    <t>691-0437489</t>
  </si>
  <si>
    <t>009-69120691043748970</t>
  </si>
  <si>
    <t>009-21920027760191075</t>
  </si>
  <si>
    <t>009-09120098730440902</t>
  </si>
  <si>
    <t>009-72420833043314268</t>
  </si>
  <si>
    <t>LATOCHE ROJAS CONRAD EDWARD</t>
  </si>
  <si>
    <t>027-7291225</t>
  </si>
  <si>
    <t>009-21920027729122573</t>
  </si>
  <si>
    <t>009-05520052751052354</t>
  </si>
  <si>
    <t>VILLA CABRERA LUIS ALEJANDRO</t>
  </si>
  <si>
    <t>157-0441152</t>
  </si>
  <si>
    <t>009-05720157044115215</t>
  </si>
  <si>
    <t>INGA CARHUAMACA</t>
  </si>
  <si>
    <t>NIETO ASTETE MARITZA ISABEL</t>
  </si>
  <si>
    <t>CERPA SILVA ARTURO</t>
  </si>
  <si>
    <t>ROJAS GAVILAN OSCAR EUSEBIO</t>
  </si>
  <si>
    <t>MARTINEZ QUIJANDRIA JUAN CARLOS</t>
  </si>
  <si>
    <t>VALDERRAMA LOAYZA MIREYA ELIZABETH</t>
  </si>
  <si>
    <t>POLICLINICO IZAGUIRRE</t>
  </si>
  <si>
    <t>VASQUEZ MORENO LUIS ENRIQUE</t>
  </si>
  <si>
    <t>CLINICA CENTENARIO</t>
  </si>
  <si>
    <t>CABANILLAS PEREZ ROSAMARIE MILAGROS</t>
  </si>
  <si>
    <t>RONDON SANCHEZ MIGUEL ANGEL</t>
  </si>
  <si>
    <t>CLÍNICA SAN VICENTE</t>
  </si>
  <si>
    <t>GOMEZ SANCHEZ MATEO DOMINGO</t>
  </si>
  <si>
    <t>BARRON ARTOLA ZULY JANETH</t>
  </si>
  <si>
    <t>SERPA FRIAS SOLON</t>
  </si>
  <si>
    <t xml:space="preserve">MALLAUPOMA POVEZ ANGELA </t>
  </si>
  <si>
    <t>CHEA WOO CARLOS GUILLERMO</t>
  </si>
  <si>
    <t>DAVILA OLIVARES ANA MELBA</t>
  </si>
  <si>
    <t>MANTILLA TIRADO EMERSON</t>
  </si>
  <si>
    <t>MAITA ANCIETA YVETTE</t>
  </si>
  <si>
    <t>BALTAZAR VARGAS JORGE LUIS</t>
  </si>
  <si>
    <t>CACERES MUÑOZ JOSE MANUEL</t>
  </si>
  <si>
    <t>ZEGARRA ROBLES ANGELICA</t>
  </si>
  <si>
    <t xml:space="preserve">GONZALES EDGAR CARLOS </t>
  </si>
  <si>
    <t>KAREN GUZMAN SONCO</t>
  </si>
  <si>
    <t>MARTINEZ CRISTINA</t>
  </si>
  <si>
    <t>PAREDES FELIPE</t>
  </si>
  <si>
    <t xml:space="preserve">PORTUGAL BARDALES JOSE LUIS </t>
  </si>
  <si>
    <t>ROLDAN BELTRAN JAVIER ALEXANDER</t>
  </si>
  <si>
    <t>SEMINARIO DIAZ RICARDO ERICK</t>
  </si>
  <si>
    <t>TORRES LEAL ADOLFO LEON</t>
  </si>
  <si>
    <t xml:space="preserve">ULLOA BERAUN RICARDO </t>
  </si>
  <si>
    <t>VELASQUEZ LOPEZ JULIO CESAR</t>
  </si>
  <si>
    <t>002-19311317312408511</t>
  </si>
  <si>
    <t>VIVANCO HERNÁN</t>
  </si>
  <si>
    <t>GARCÍA CLAUDIA</t>
  </si>
  <si>
    <t>PEREZ CARMEN</t>
  </si>
  <si>
    <t>CALDERÓN PAOLA</t>
  </si>
  <si>
    <t>ROJAS MARCELO</t>
  </si>
  <si>
    <t>ERNESTO ISA</t>
  </si>
  <si>
    <t>CONSULTORIO PLAZA VEA</t>
  </si>
  <si>
    <t>LEÓN ALEXIS</t>
  </si>
  <si>
    <t>HOSPITAL DE LA SOLIDARIDAD CANEVARO</t>
  </si>
  <si>
    <t>PARODI JAIME</t>
  </si>
  <si>
    <t>CEVALLOS LETICIA</t>
  </si>
  <si>
    <t>CLÍNICA SAN JUDAS TADEO</t>
  </si>
  <si>
    <t>TÁVARA HÉCTOR</t>
  </si>
  <si>
    <t>MUIÑO ELADIO</t>
  </si>
  <si>
    <t>POLICLÍNICO SAN MIGUEL</t>
  </si>
  <si>
    <t>JIMENEZ CLAUDIA</t>
  </si>
  <si>
    <t>MOLINA JANETH</t>
  </si>
  <si>
    <t>HOSPITAL DE LA SOLIDARIDAD CAMANÁ</t>
  </si>
  <si>
    <t>ROBLES CARLOS</t>
  </si>
  <si>
    <t>CLINICA INTERNACIONAL</t>
  </si>
  <si>
    <t>ACHAR MIGUEL</t>
  </si>
  <si>
    <t>PALOMINO HUGO</t>
  </si>
  <si>
    <t>DIAZ MIRIAM</t>
  </si>
  <si>
    <t>UGARTE CARLOS</t>
  </si>
  <si>
    <t>ARÉVALO LUIS</t>
  </si>
  <si>
    <t>CHAU CARLOS</t>
  </si>
  <si>
    <t>SILVA MELINA</t>
  </si>
  <si>
    <t>PRONTO SALUD</t>
  </si>
  <si>
    <t>URARI JULIO</t>
  </si>
  <si>
    <t>ABANTO LUIS</t>
  </si>
  <si>
    <t>POLICLÍNICO MUNICIPAL EL AGUSTINO</t>
  </si>
  <si>
    <t>ÁVALOS CARLOS</t>
  </si>
  <si>
    <t>CENTRO MATERNO INFANTIL SAN FERNANDO</t>
  </si>
  <si>
    <t>SUCARI JOSÉ</t>
  </si>
  <si>
    <t>RODRIGUEZ LESLIE</t>
  </si>
  <si>
    <t>AVENDAÑO CARLA</t>
  </si>
  <si>
    <t>LOPEZ LUIS</t>
  </si>
  <si>
    <t>PAUCARÁ JULIA</t>
  </si>
  <si>
    <t>URIARTE MARLENI</t>
  </si>
  <si>
    <t>002-19310554935500716</t>
  </si>
  <si>
    <t>Cuenta de Nadeira Roel Barahona (esposa)</t>
  </si>
  <si>
    <t>00219110049490200053</t>
  </si>
  <si>
    <t>LIMA HERNANI</t>
  </si>
  <si>
    <t>LEYVA KEVIN</t>
  </si>
  <si>
    <t>SILVA FERNIN</t>
  </si>
  <si>
    <t>CHAVEZ FRANCISCO</t>
  </si>
  <si>
    <t>CONSULTORIO OFTALMOLÓGICO AV. PERÚ</t>
  </si>
  <si>
    <t>MESIAS LUIS</t>
  </si>
  <si>
    <t>SALAVARRIA JEFERSON</t>
  </si>
  <si>
    <t>REATEGUI GUILLERMO</t>
  </si>
  <si>
    <t>SUAREZ SOLEDAD</t>
  </si>
  <si>
    <t>CLÍNICA STELLA MARIS</t>
  </si>
  <si>
    <t>BOZA TATIANA</t>
  </si>
  <si>
    <t>QUIÑONES ENRIQUE</t>
  </si>
  <si>
    <t>CLÍNICA PERUANO-JAPONÉS</t>
  </si>
  <si>
    <t>PEREZ JOSÉ</t>
  </si>
  <si>
    <t>RAMOS FÁTIMA</t>
  </si>
  <si>
    <t>TEJADA ROXANA</t>
  </si>
  <si>
    <t>HERNÁNDEZ ARTURO</t>
  </si>
  <si>
    <t>PERALTA LILI</t>
  </si>
  <si>
    <t>VILLA SALUD SJM</t>
  </si>
  <si>
    <t>CONDE CHARLES</t>
  </si>
  <si>
    <t>CLÍNICA SAGRADA FAMILIA DEL SUR</t>
  </si>
  <si>
    <t>RODRIGUEZ CELIA</t>
  </si>
  <si>
    <t>DIANA VALLEJOS</t>
  </si>
  <si>
    <t>VASQUEZ ANDREA</t>
  </si>
  <si>
    <t>FARFAN FIORELLA</t>
  </si>
  <si>
    <t>ATOCHE DAIGORO</t>
  </si>
  <si>
    <t>ZAPANA FELIX</t>
  </si>
  <si>
    <t>BENAVIDES ERIKA</t>
  </si>
  <si>
    <t>TORRES FELIPE</t>
  </si>
  <si>
    <t>CONSULTORIO BRASIL</t>
  </si>
  <si>
    <t>MELCHOR JANET</t>
  </si>
  <si>
    <t>PEREZ CAROLINA</t>
  </si>
  <si>
    <t>CORONADO</t>
  </si>
  <si>
    <t>ACUÑA MARIA LUISA</t>
  </si>
  <si>
    <t>CARLOS AYALA</t>
  </si>
  <si>
    <t>CARTY MARIO</t>
  </si>
  <si>
    <t>AGUINAGA LITA</t>
  </si>
  <si>
    <t>CLINICA AUNA</t>
  </si>
  <si>
    <t>MERINO OSCAR</t>
  </si>
  <si>
    <t>IBARCENA DENISSE</t>
  </si>
  <si>
    <t>CABRERA ALEJANDRO</t>
  </si>
  <si>
    <t>PAREDES LORENA</t>
  </si>
  <si>
    <t>DIANA FUENTES</t>
  </si>
  <si>
    <t>01173200020015275150</t>
  </si>
  <si>
    <t>CALCINE CONDORI RAMIRO</t>
  </si>
  <si>
    <t>CASTILLO OSMAR</t>
  </si>
  <si>
    <t>POLICLÍNICO NTRA. SRA. DE LA PAZ</t>
  </si>
  <si>
    <t>VASQUEZ ELINA</t>
  </si>
  <si>
    <t>VASQUEZ ELIZABETH</t>
  </si>
  <si>
    <t>TRELLES FABIO</t>
  </si>
  <si>
    <t>VASQUEZ HUAMAN JOSÉ FELIX</t>
  </si>
  <si>
    <t>ESSALUD LA MOLINA</t>
  </si>
  <si>
    <t>ALTAMIRANO LUIS</t>
  </si>
  <si>
    <t>CLÍNICA MONTEFIORI LA MOLINA</t>
  </si>
  <si>
    <t>ANDRADE ANTONIO</t>
  </si>
  <si>
    <t>DEL VALLE MARIA CORINA</t>
  </si>
  <si>
    <t>HOYLE CONAN</t>
  </si>
  <si>
    <t>JOCKEY SALUD</t>
  </si>
  <si>
    <t>OJEDA OSCAR</t>
  </si>
  <si>
    <t>RUIZ JORGE</t>
  </si>
  <si>
    <t>CLÍNICA SAN PABLO SURCO</t>
  </si>
  <si>
    <t>BURGA JUAN</t>
  </si>
  <si>
    <t>ARENAS FLOR</t>
  </si>
  <si>
    <t>CLÍNICA TESSA</t>
  </si>
  <si>
    <t>LEÓN ANY</t>
  </si>
  <si>
    <t>CLÍNICA MONTESUR LA MOLINA</t>
  </si>
  <si>
    <t>PALACIOS MARIA</t>
  </si>
  <si>
    <t>HINOSTROZA FELIX</t>
  </si>
  <si>
    <t>REINOSO CRISTINA</t>
  </si>
  <si>
    <t>CLÍNICA SAN JUAN BAUTISTA</t>
  </si>
  <si>
    <t>ROSALES ANDY</t>
  </si>
  <si>
    <t>GERIÁTRICO MILITAR CHORRILLOS</t>
  </si>
  <si>
    <t>MALQUI EVELYN</t>
  </si>
  <si>
    <t>HOSPITAL DE LA SOLIDARIDAD CHORRILLOS</t>
  </si>
  <si>
    <t>GUERRA ADA</t>
  </si>
  <si>
    <t>RUIZ GILMER</t>
  </si>
  <si>
    <t>CHORRISALUD</t>
  </si>
  <si>
    <t>CAJO JESÚS</t>
  </si>
  <si>
    <t>CLÍNICA GUADALUPE CHORRILLOS</t>
  </si>
  <si>
    <t>MARTINEZ LUIS</t>
  </si>
  <si>
    <t>CARRION CARLOS</t>
  </si>
  <si>
    <t>HOSPITAL CHALACO</t>
  </si>
  <si>
    <t>HUILCA JOSÉ</t>
  </si>
  <si>
    <t>OFTALMOLÓGICA QUILCA</t>
  </si>
  <si>
    <t>LOZANO RICARDO</t>
  </si>
  <si>
    <t>POLICLÍNICO ESPECIALIZADO NEGREIROS</t>
  </si>
  <si>
    <t>FLORES ABEL</t>
  </si>
  <si>
    <t>MATTOS VICTORIA</t>
  </si>
  <si>
    <t>CLÍNICA VIRGEN DEL ROSARIO</t>
  </si>
  <si>
    <t>MONTES ROLANDO</t>
  </si>
  <si>
    <t>CARRION GIOVANNA</t>
  </si>
  <si>
    <t>DENEGRI CESAR</t>
  </si>
  <si>
    <t>APAZA ALLISON SUSSY</t>
  </si>
  <si>
    <t>HOSPITAL BARTON</t>
  </si>
  <si>
    <t>CHIRINOS ROSSANA</t>
  </si>
  <si>
    <t>POLICLÍNICO REINA DE LA PAZ</t>
  </si>
  <si>
    <t>GUTIERREZ JORGE</t>
  </si>
  <si>
    <t>CASTRO JOSE</t>
  </si>
  <si>
    <t>DULANTO CARLOS</t>
  </si>
  <si>
    <t>RODRIGUEZ GONZALES LUZ VICTORIA</t>
  </si>
  <si>
    <t>ROMERO WALTER EDUARDO</t>
  </si>
  <si>
    <t>011-320-000200058577-94</t>
  </si>
  <si>
    <t>DEL PIELAGO PETRO LUIS GUILLERMO</t>
  </si>
  <si>
    <t>TANAKA</t>
  </si>
  <si>
    <t>HANAMPA ROQUE CARLOS</t>
  </si>
  <si>
    <t>RETINA Y VITREO</t>
  </si>
  <si>
    <t>ROMAN FRANCISCO</t>
  </si>
  <si>
    <t>Servicios</t>
  </si>
  <si>
    <t>Precio Bono</t>
  </si>
  <si>
    <t>OCT ANGIOGRAFIA NERVIO OPTICO</t>
  </si>
  <si>
    <t>OCT SEGMENTO ANTERIOR (CORNEA)</t>
  </si>
  <si>
    <t>FOTO CLINICA DE MACULA</t>
  </si>
  <si>
    <t>FOTO CLINICA DE NERVIO OPTICO</t>
  </si>
  <si>
    <t>ECOBIOMETRIA OCULAR UNILATERAL O BILATER</t>
  </si>
  <si>
    <t>MES</t>
  </si>
  <si>
    <t>Bono</t>
  </si>
  <si>
    <t>Junio</t>
  </si>
  <si>
    <t>RODRIGUEZ CECILIA</t>
  </si>
  <si>
    <t>CLINICA INTERNACIONAL SURCO</t>
  </si>
  <si>
    <t>Julio</t>
  </si>
  <si>
    <t>ALDAVE ANTHONY</t>
  </si>
  <si>
    <t>CLINICA SAN PABLO SURCO</t>
  </si>
  <si>
    <t>ESSALUD GRAU</t>
  </si>
  <si>
    <t>101014</t>
  </si>
  <si>
    <t>101168</t>
  </si>
  <si>
    <t>555</t>
  </si>
  <si>
    <t>FA-555</t>
  </si>
  <si>
    <t>LARA VALER ALBERTO</t>
  </si>
  <si>
    <t>43908772</t>
  </si>
  <si>
    <t>0071173</t>
  </si>
  <si>
    <t>920626730</t>
  </si>
  <si>
    <t>88598</t>
  </si>
  <si>
    <t>101140</t>
  </si>
  <si>
    <t>5762</t>
  </si>
  <si>
    <t>BO-5762</t>
  </si>
  <si>
    <t>RODRIGUEZ DE ARBILDO MARIA CLAUDINA</t>
  </si>
  <si>
    <t>25466693</t>
  </si>
  <si>
    <t>0071162</t>
  </si>
  <si>
    <t>987114412</t>
  </si>
  <si>
    <t>88571</t>
  </si>
  <si>
    <t>101161</t>
  </si>
  <si>
    <t>11927</t>
  </si>
  <si>
    <t>BO-11927</t>
  </si>
  <si>
    <t>BRAVO YAYA JOSE ANTONIO</t>
  </si>
  <si>
    <t>09218651</t>
  </si>
  <si>
    <t>0053635</t>
  </si>
  <si>
    <t>996299409</t>
  </si>
  <si>
    <t>88592</t>
  </si>
  <si>
    <t>101163</t>
  </si>
  <si>
    <t>5764</t>
  </si>
  <si>
    <t>BO-5764</t>
  </si>
  <si>
    <t>LAZARES DE LA CRUZ ELIZABETH</t>
  </si>
  <si>
    <t>20060778</t>
  </si>
  <si>
    <t>0071183</t>
  </si>
  <si>
    <t>961670005</t>
  </si>
  <si>
    <t>88595</t>
  </si>
  <si>
    <t>101178</t>
  </si>
  <si>
    <t>11930</t>
  </si>
  <si>
    <t>BO-11930</t>
  </si>
  <si>
    <t>88607</t>
  </si>
  <si>
    <t>101181</t>
  </si>
  <si>
    <t>5769</t>
  </si>
  <si>
    <t>BO-5769</t>
  </si>
  <si>
    <t>VALENTINO HUAMAN VDA DE MAYTA LUISA TEOD</t>
  </si>
  <si>
    <t>09420060</t>
  </si>
  <si>
    <t>0071194</t>
  </si>
  <si>
    <t>966511609</t>
  </si>
  <si>
    <t>88610</t>
  </si>
  <si>
    <t>101279</t>
  </si>
  <si>
    <t>556</t>
  </si>
  <si>
    <t>FA-556</t>
  </si>
  <si>
    <t>FALLA SARFATY ANTONIO JESUS MANUEL</t>
  </si>
  <si>
    <t>07815723</t>
  </si>
  <si>
    <t>0071224</t>
  </si>
  <si>
    <t>961765198</t>
  </si>
  <si>
    <t>FALLA SARFATY VDA DE VICICH MARITZA</t>
  </si>
  <si>
    <t>88685</t>
  </si>
  <si>
    <t>101222</t>
  </si>
  <si>
    <t>11935</t>
  </si>
  <si>
    <t>BO-11935</t>
  </si>
  <si>
    <t>ARMAS TORRES ONOLITH</t>
  </si>
  <si>
    <t>01097607</t>
  </si>
  <si>
    <t>0071135</t>
  </si>
  <si>
    <t>997325804</t>
  </si>
  <si>
    <t>88643</t>
  </si>
  <si>
    <t>101228</t>
  </si>
  <si>
    <t>5777</t>
  </si>
  <si>
    <t>BO-5777</t>
  </si>
  <si>
    <t>RODRIGUEZ PEREZ JOSE TOMAS</t>
  </si>
  <si>
    <t>06148717</t>
  </si>
  <si>
    <t>0071134</t>
  </si>
  <si>
    <t>939515680</t>
  </si>
  <si>
    <t>88648</t>
  </si>
  <si>
    <t>101229</t>
  </si>
  <si>
    <t>5778</t>
  </si>
  <si>
    <t>BO-5778</t>
  </si>
  <si>
    <t>88649</t>
  </si>
  <si>
    <t>101230</t>
  </si>
  <si>
    <t>5779</t>
  </si>
  <si>
    <t>BO-5779</t>
  </si>
  <si>
    <t>88650</t>
  </si>
  <si>
    <t>101242</t>
  </si>
  <si>
    <t>ZERPA ALVARADO SUSANA FAUSTA</t>
  </si>
  <si>
    <t>32883554</t>
  </si>
  <si>
    <t>0071136</t>
  </si>
  <si>
    <t>938255321</t>
  </si>
  <si>
    <t>88660</t>
  </si>
  <si>
    <t>MS.BASP.HO.AT.AR6224</t>
  </si>
  <si>
    <t>DGIRALDO</t>
  </si>
  <si>
    <t>LN. OPTICA</t>
  </si>
  <si>
    <t>101258</t>
  </si>
  <si>
    <t>11945</t>
  </si>
  <si>
    <t>BO-11945</t>
  </si>
  <si>
    <t>FARFAN SAIRITUPA JOSE FERNANDO</t>
  </si>
  <si>
    <t>06884348</t>
  </si>
  <si>
    <t>0071133</t>
  </si>
  <si>
    <t>987132568</t>
  </si>
  <si>
    <t>88676</t>
  </si>
  <si>
    <t>101299</t>
  </si>
  <si>
    <t>1066</t>
  </si>
  <si>
    <t>FA-1066</t>
  </si>
  <si>
    <t>88667</t>
  </si>
  <si>
    <t>101300</t>
  </si>
  <si>
    <t>1067</t>
  </si>
  <si>
    <t>FA-1067</t>
  </si>
  <si>
    <t>88668</t>
  </si>
  <si>
    <t>101301</t>
  </si>
  <si>
    <t>1068</t>
  </si>
  <si>
    <t>FA-1068</t>
  </si>
  <si>
    <t>88679</t>
  </si>
  <si>
    <t>101302</t>
  </si>
  <si>
    <t>11950</t>
  </si>
  <si>
    <t>BO-11950</t>
  </si>
  <si>
    <t>88700</t>
  </si>
  <si>
    <t>101370</t>
  </si>
  <si>
    <t>558</t>
  </si>
  <si>
    <t>FA-558</t>
  </si>
  <si>
    <t>88772</t>
  </si>
  <si>
    <t>101426</t>
  </si>
  <si>
    <t>5797</t>
  </si>
  <si>
    <t>BO-5797</t>
  </si>
  <si>
    <t>CAYCHO TORRES OLGA ESTHER</t>
  </si>
  <si>
    <t>09865602</t>
  </si>
  <si>
    <t>0071271</t>
  </si>
  <si>
    <t>991737507</t>
  </si>
  <si>
    <t>88820</t>
  </si>
  <si>
    <t>101456</t>
  </si>
  <si>
    <t>5804</t>
  </si>
  <si>
    <t>BO-5804</t>
  </si>
  <si>
    <t>CASTILLO SOTO DE MONTOYA FLOR DEL ROCIO</t>
  </si>
  <si>
    <t>07783843</t>
  </si>
  <si>
    <t>0054793</t>
  </si>
  <si>
    <t>983818294</t>
  </si>
  <si>
    <t>88844</t>
  </si>
  <si>
    <t>101451</t>
  </si>
  <si>
    <t>4161</t>
  </si>
  <si>
    <t>BO-4161</t>
  </si>
  <si>
    <t>AGUEDO HUAMANCHUMO DE ROJAS GLORIA</t>
  </si>
  <si>
    <t>09031014</t>
  </si>
  <si>
    <t>0071288</t>
  </si>
  <si>
    <t>999063472</t>
  </si>
  <si>
    <t>88838</t>
  </si>
  <si>
    <t>101419</t>
  </si>
  <si>
    <t>559</t>
  </si>
  <si>
    <t>FA-559</t>
  </si>
  <si>
    <t>MALCA COBA NILA</t>
  </si>
  <si>
    <t>10135276</t>
  </si>
  <si>
    <t>0071264</t>
  </si>
  <si>
    <t>979935897</t>
  </si>
  <si>
    <t>88814</t>
  </si>
  <si>
    <t>101557</t>
  </si>
  <si>
    <t>11970</t>
  </si>
  <si>
    <t>BO-11970</t>
  </si>
  <si>
    <t>DIAZ CANTURIN ISAAC ANIBAL</t>
  </si>
  <si>
    <t>40750638</t>
  </si>
  <si>
    <t>0071319</t>
  </si>
  <si>
    <t>949464428</t>
  </si>
  <si>
    <t>88916</t>
  </si>
  <si>
    <t>101643</t>
  </si>
  <si>
    <t>11986</t>
  </si>
  <si>
    <t>BO-11986</t>
  </si>
  <si>
    <t>ALMONACID SUAREZ JIM EDWARD</t>
  </si>
  <si>
    <t>41808272</t>
  </si>
  <si>
    <t>0071365</t>
  </si>
  <si>
    <t>926587211</t>
  </si>
  <si>
    <t>88987</t>
  </si>
  <si>
    <t>101808</t>
  </si>
  <si>
    <t>4194</t>
  </si>
  <si>
    <t>BO-4194</t>
  </si>
  <si>
    <t>VALLEJOS SALAZAR ANA MARIA</t>
  </si>
  <si>
    <t>08113467</t>
  </si>
  <si>
    <t>0071424</t>
  </si>
  <si>
    <t>980814191</t>
  </si>
  <si>
    <t>89101</t>
  </si>
  <si>
    <t>101702</t>
  </si>
  <si>
    <t>5828</t>
  </si>
  <si>
    <t>BO-5828</t>
  </si>
  <si>
    <t>SANTOS VALENTIN ROBERTO</t>
  </si>
  <si>
    <t>07404651</t>
  </si>
  <si>
    <t>0071385</t>
  </si>
  <si>
    <t>971144460</t>
  </si>
  <si>
    <t>89023</t>
  </si>
  <si>
    <t>101890</t>
  </si>
  <si>
    <t>562</t>
  </si>
  <si>
    <t>FA-562</t>
  </si>
  <si>
    <t>89116</t>
  </si>
  <si>
    <t>101892</t>
  </si>
  <si>
    <t>1070</t>
  </si>
  <si>
    <t>FA-1070</t>
  </si>
  <si>
    <t>89176</t>
  </si>
  <si>
    <t>101830</t>
  </si>
  <si>
    <t>5843</t>
  </si>
  <si>
    <t>BO-5843</t>
  </si>
  <si>
    <t>ROMERO MEZA VDA D PALLAROSO ANITA JUDITH</t>
  </si>
  <si>
    <t>07202039</t>
  </si>
  <si>
    <t>0043602</t>
  </si>
  <si>
    <t>997156394</t>
  </si>
  <si>
    <t>89117</t>
  </si>
  <si>
    <t>101839</t>
  </si>
  <si>
    <t>12018</t>
  </si>
  <si>
    <t>BO-12018</t>
  </si>
  <si>
    <t>GUILLERMO CALERO DE CARBAJAL TEODORA JUL</t>
  </si>
  <si>
    <t>15699810</t>
  </si>
  <si>
    <t>0071388</t>
  </si>
  <si>
    <t>948050520</t>
  </si>
  <si>
    <t>89133</t>
  </si>
  <si>
    <t>101849</t>
  </si>
  <si>
    <t>5846</t>
  </si>
  <si>
    <t>BO-5846</t>
  </si>
  <si>
    <t>89138</t>
  </si>
  <si>
    <t>101882</t>
  </si>
  <si>
    <t>10241</t>
  </si>
  <si>
    <t>BO-10241</t>
  </si>
  <si>
    <t>89168</t>
  </si>
  <si>
    <t>PROTECTOR OCULAR ESTERIL</t>
  </si>
  <si>
    <t>LROSALES</t>
  </si>
  <si>
    <t>101889</t>
  </si>
  <si>
    <t>1069</t>
  </si>
  <si>
    <t>FA-1069</t>
  </si>
  <si>
    <t>89144</t>
  </si>
  <si>
    <t>101863</t>
  </si>
  <si>
    <t>12023</t>
  </si>
  <si>
    <t>BO-12023</t>
  </si>
  <si>
    <t>ROJAS CASTAÑEDA ANSELMO VIDAL</t>
  </si>
  <si>
    <t>22071798</t>
  </si>
  <si>
    <t>0071458</t>
  </si>
  <si>
    <t>941339376</t>
  </si>
  <si>
    <t>89148</t>
  </si>
  <si>
    <t>101946</t>
  </si>
  <si>
    <t>12034</t>
  </si>
  <si>
    <t>BO-12034</t>
  </si>
  <si>
    <t>ESTRADA PACHERRE JOSE SANTOS</t>
  </si>
  <si>
    <t>08737645</t>
  </si>
  <si>
    <t>0071387</t>
  </si>
  <si>
    <t>89218</t>
  </si>
  <si>
    <t>101949</t>
  </si>
  <si>
    <t>12035</t>
  </si>
  <si>
    <t>BO-12035</t>
  </si>
  <si>
    <t>MANCILLA DE LA CRUZ JOSE PERCY</t>
  </si>
  <si>
    <t>40908536</t>
  </si>
  <si>
    <t>0071420</t>
  </si>
  <si>
    <t>989312010</t>
  </si>
  <si>
    <t>89159</t>
  </si>
  <si>
    <t>101955</t>
  </si>
  <si>
    <t>12036</t>
  </si>
  <si>
    <t>BO-12036</t>
  </si>
  <si>
    <t>89145</t>
  </si>
  <si>
    <t>101983</t>
  </si>
  <si>
    <t>1071</t>
  </si>
  <si>
    <t>FA-1071</t>
  </si>
  <si>
    <t>CARDENAS DEL PINO MARIA LUISA</t>
  </si>
  <si>
    <t>10478873</t>
  </si>
  <si>
    <t>0071419</t>
  </si>
  <si>
    <t>989821523</t>
  </si>
  <si>
    <t>89161</t>
  </si>
  <si>
    <t>101984</t>
  </si>
  <si>
    <t>1072</t>
  </si>
  <si>
    <t>FA-1072</t>
  </si>
  <si>
    <t>89162</t>
  </si>
  <si>
    <t>102044</t>
  </si>
  <si>
    <t>4220</t>
  </si>
  <si>
    <t>BO-4220</t>
  </si>
  <si>
    <t>ALEGRE ZEA JORGE ANTONY</t>
  </si>
  <si>
    <t>76903875</t>
  </si>
  <si>
    <t>0071545</t>
  </si>
  <si>
    <t>964332546</t>
  </si>
  <si>
    <t>89297</t>
  </si>
  <si>
    <t>101972</t>
  </si>
  <si>
    <t>12038</t>
  </si>
  <si>
    <t>BO-12038</t>
  </si>
  <si>
    <t>SUAREZ BANOS JOSE MIGUEL ISRAEL</t>
  </si>
  <si>
    <t>78068688</t>
  </si>
  <si>
    <t>0071516</t>
  </si>
  <si>
    <t>966353089</t>
  </si>
  <si>
    <t>89243</t>
  </si>
  <si>
    <t>101980</t>
  </si>
  <si>
    <t>12039</t>
  </si>
  <si>
    <t>BO-12039</t>
  </si>
  <si>
    <t>ROJAS VALENZUELA ISMAEL ZACARIAS</t>
  </si>
  <si>
    <t>20649998</t>
  </si>
  <si>
    <t>VELIZ AMERICO</t>
  </si>
  <si>
    <t>0071505</t>
  </si>
  <si>
    <t>964494343</t>
  </si>
  <si>
    <t>89250</t>
  </si>
  <si>
    <t>102071</t>
  </si>
  <si>
    <t>12051</t>
  </si>
  <si>
    <t>BO-12051</t>
  </si>
  <si>
    <t>NECIOSUP CARVALLO ROSA DEL PILAR</t>
  </si>
  <si>
    <t>10441168</t>
  </si>
  <si>
    <t>0071364</t>
  </si>
  <si>
    <t>956449330</t>
  </si>
  <si>
    <t>89314</t>
  </si>
  <si>
    <t>102117</t>
  </si>
  <si>
    <t>12054</t>
  </si>
  <si>
    <t>BO-12054</t>
  </si>
  <si>
    <t>SANCHEZ CABANILLAS DAGOBERTO RICARDO</t>
  </si>
  <si>
    <t>08841761</t>
  </si>
  <si>
    <t>0070862</t>
  </si>
  <si>
    <t>+584126215514</t>
  </si>
  <si>
    <t>89355</t>
  </si>
  <si>
    <t>102134</t>
  </si>
  <si>
    <t>1073</t>
  </si>
  <si>
    <t>FA-1073</t>
  </si>
  <si>
    <t>PRADO LARRAIN ALBERTO</t>
  </si>
  <si>
    <t>07755903</t>
  </si>
  <si>
    <t>0071591</t>
  </si>
  <si>
    <t>922973385</t>
  </si>
  <si>
    <t>89367</t>
  </si>
  <si>
    <t>102217</t>
  </si>
  <si>
    <t>1074</t>
  </si>
  <si>
    <t>FA-1074</t>
  </si>
  <si>
    <t>89379</t>
  </si>
  <si>
    <t>102253</t>
  </si>
  <si>
    <t>12068</t>
  </si>
  <si>
    <t>BO-12068</t>
  </si>
  <si>
    <t>MONTENEGRO TUESTA KEVIN ANTONY</t>
  </si>
  <si>
    <t>74390894</t>
  </si>
  <si>
    <t>0063418</t>
  </si>
  <si>
    <t>973914900</t>
  </si>
  <si>
    <t>89399</t>
  </si>
  <si>
    <t>102257</t>
  </si>
  <si>
    <t>12069</t>
  </si>
  <si>
    <t>BO-12069</t>
  </si>
  <si>
    <t>VILCA SANCHEZ CARLOS RICARDO</t>
  </si>
  <si>
    <t>18211536</t>
  </si>
  <si>
    <t>0071650</t>
  </si>
  <si>
    <t>940412185</t>
  </si>
  <si>
    <t>89477</t>
  </si>
  <si>
    <t>102340</t>
  </si>
  <si>
    <t>4706</t>
  </si>
  <si>
    <t>BO-4706</t>
  </si>
  <si>
    <t>HUAMAN SANCHEZ WILFREDO</t>
  </si>
  <si>
    <t>09030972</t>
  </si>
  <si>
    <t>0071678</t>
  </si>
  <si>
    <t>980470455</t>
  </si>
  <si>
    <t>89526</t>
  </si>
  <si>
    <t>102391</t>
  </si>
  <si>
    <t>12086</t>
  </si>
  <si>
    <t>BO-12086</t>
  </si>
  <si>
    <t>MELENDEZ VILLANUEVA YULISA EDITH</t>
  </si>
  <si>
    <t>15641029</t>
  </si>
  <si>
    <t>0071692</t>
  </si>
  <si>
    <t>989823153</t>
  </si>
  <si>
    <t>89570</t>
  </si>
  <si>
    <t>102396</t>
  </si>
  <si>
    <t>12089</t>
  </si>
  <si>
    <t>BO-12089</t>
  </si>
  <si>
    <t>LAINEZ CHAVEZ JAMES ALEXANDER</t>
  </si>
  <si>
    <t>76180568</t>
  </si>
  <si>
    <t>0071729</t>
  </si>
  <si>
    <t>980843472</t>
  </si>
  <si>
    <t>89574</t>
  </si>
  <si>
    <t>2412</t>
  </si>
  <si>
    <t>NC-12089</t>
  </si>
  <si>
    <t>102432</t>
  </si>
  <si>
    <t>12103</t>
  </si>
  <si>
    <t>BO-12103</t>
  </si>
  <si>
    <t>SAAVEDRA SICCHA LUIS ALBERTO</t>
  </si>
  <si>
    <t>60502334</t>
  </si>
  <si>
    <t>0071744</t>
  </si>
  <si>
    <t>930100290</t>
  </si>
  <si>
    <t>89611</t>
  </si>
  <si>
    <t>102466</t>
  </si>
  <si>
    <t>4730</t>
  </si>
  <si>
    <t>BO-4730</t>
  </si>
  <si>
    <t>SEBASTIANI RONQUILLO MARIA LUISA</t>
  </si>
  <si>
    <t>43708195</t>
  </si>
  <si>
    <t>0056308</t>
  </si>
  <si>
    <t>989427258</t>
  </si>
  <si>
    <t>89638</t>
  </si>
  <si>
    <t>102485</t>
  </si>
  <si>
    <t>5899</t>
  </si>
  <si>
    <t>BO-5899</t>
  </si>
  <si>
    <t>CASTILLO CHAVEZ VDA DE MOLLAN ANTONIA</t>
  </si>
  <si>
    <t>07394459</t>
  </si>
  <si>
    <t>0066488</t>
  </si>
  <si>
    <t>901164946</t>
  </si>
  <si>
    <t>89653</t>
  </si>
  <si>
    <t>102502</t>
  </si>
  <si>
    <t>4733</t>
  </si>
  <si>
    <t>BO-4733</t>
  </si>
  <si>
    <t>QUIROZ CABRERA JUANA YSIDORA</t>
  </si>
  <si>
    <t>16698130</t>
  </si>
  <si>
    <t>0058152</t>
  </si>
  <si>
    <t>929362094</t>
  </si>
  <si>
    <t>89662</t>
  </si>
  <si>
    <t>102563</t>
  </si>
  <si>
    <t>5914</t>
  </si>
  <si>
    <t>BO-5914</t>
  </si>
  <si>
    <t>CORNEJO PEREZ TEODORO INOCENTE</t>
  </si>
  <si>
    <t>09169334</t>
  </si>
  <si>
    <t>0071866</t>
  </si>
  <si>
    <t>999339954</t>
  </si>
  <si>
    <t>89704</t>
  </si>
  <si>
    <t>102647</t>
  </si>
  <si>
    <t>5928</t>
  </si>
  <si>
    <t>BO-5928</t>
  </si>
  <si>
    <t>MARIGORDA EFFIO VICTOR JESUS</t>
  </si>
  <si>
    <t>25445114</t>
  </si>
  <si>
    <t>0071899</t>
  </si>
  <si>
    <t>923623147</t>
  </si>
  <si>
    <t>89784</t>
  </si>
  <si>
    <t>102680</t>
  </si>
  <si>
    <t>5931</t>
  </si>
  <si>
    <t>BO-5931</t>
  </si>
  <si>
    <t>NINAQUISPE MARCELO APARICIO</t>
  </si>
  <si>
    <t>32530490</t>
  </si>
  <si>
    <t>0071909</t>
  </si>
  <si>
    <t>952658266</t>
  </si>
  <si>
    <t>89808</t>
  </si>
  <si>
    <t>102682</t>
  </si>
  <si>
    <t>4283</t>
  </si>
  <si>
    <t>BO-4283</t>
  </si>
  <si>
    <t>SUXE FERNANDEZ AMADOR</t>
  </si>
  <si>
    <t>01051967</t>
  </si>
  <si>
    <t>0071911</t>
  </si>
  <si>
    <t>900298154</t>
  </si>
  <si>
    <t>89810</t>
  </si>
  <si>
    <t>102684</t>
  </si>
  <si>
    <t>5933</t>
  </si>
  <si>
    <t>BO-5933</t>
  </si>
  <si>
    <t>TAMAYO TORRES DE BOCANEGRA GREGORIA</t>
  </si>
  <si>
    <t>06253775</t>
  </si>
  <si>
    <t>0071918</t>
  </si>
  <si>
    <t>983546661</t>
  </si>
  <si>
    <t>89811</t>
  </si>
  <si>
    <t>102687</t>
  </si>
  <si>
    <t>565</t>
  </si>
  <si>
    <t>FA-565</t>
  </si>
  <si>
    <t>89632</t>
  </si>
  <si>
    <t>102689</t>
  </si>
  <si>
    <t>FA-566</t>
  </si>
  <si>
    <t>DURAND VALDIVIA DE LINO DORA ESPERANZA</t>
  </si>
  <si>
    <t>15685693</t>
  </si>
  <si>
    <t>0009791</t>
  </si>
  <si>
    <t>97224389</t>
  </si>
  <si>
    <t>89813</t>
  </si>
  <si>
    <t>102692</t>
  </si>
  <si>
    <t>567</t>
  </si>
  <si>
    <t>FA-567</t>
  </si>
  <si>
    <t>ORTEGA PEREZ JHON ROSEL</t>
  </si>
  <si>
    <t>76308330</t>
  </si>
  <si>
    <t>0071921</t>
  </si>
  <si>
    <t>985425896</t>
  </si>
  <si>
    <t>89815</t>
  </si>
  <si>
    <t>102698</t>
  </si>
  <si>
    <t>5936</t>
  </si>
  <si>
    <t>BO-5936</t>
  </si>
  <si>
    <t>MEDINA PRIETO DE RIOS ELSA ARIELA</t>
  </si>
  <si>
    <t>08286513</t>
  </si>
  <si>
    <t>0071924</t>
  </si>
  <si>
    <t>985412585</t>
  </si>
  <si>
    <t>89822</t>
  </si>
  <si>
    <t>Agosto</t>
  </si>
  <si>
    <t>OFTALMOMEDIC</t>
  </si>
  <si>
    <t>Setiembre</t>
  </si>
  <si>
    <t>HUAMAN ROQUE CARLOS</t>
  </si>
  <si>
    <t>SISOL LIMA</t>
  </si>
  <si>
    <t>106008</t>
  </si>
  <si>
    <t>672</t>
  </si>
  <si>
    <t>BO-672</t>
  </si>
  <si>
    <t>GARCIA ROQUE INGRID MELISSA</t>
  </si>
  <si>
    <t>47205181</t>
  </si>
  <si>
    <t>0073387</t>
  </si>
  <si>
    <t>991020326</t>
  </si>
  <si>
    <t>92521</t>
  </si>
  <si>
    <t>106054</t>
  </si>
  <si>
    <t>4621</t>
  </si>
  <si>
    <t>BO-4621</t>
  </si>
  <si>
    <t>MAGUINA VARGAS DE ARANDA MIRTHA BELISA</t>
  </si>
  <si>
    <t>08043386</t>
  </si>
  <si>
    <t>0071906</t>
  </si>
  <si>
    <t>989547202</t>
  </si>
  <si>
    <t>92585</t>
  </si>
  <si>
    <t>106077</t>
  </si>
  <si>
    <t>5097</t>
  </si>
  <si>
    <t>BO-5097</t>
  </si>
  <si>
    <t>CABRERA VIGIL ROSA ESPERANZA</t>
  </si>
  <si>
    <t>06542920</t>
  </si>
  <si>
    <t>0073446</t>
  </si>
  <si>
    <t>955013669</t>
  </si>
  <si>
    <t>92615</t>
  </si>
  <si>
    <t>106157</t>
  </si>
  <si>
    <t>12133</t>
  </si>
  <si>
    <t>BO-12133</t>
  </si>
  <si>
    <t>PALACIOS RUIZ MIGUEL ANGEL</t>
  </si>
  <si>
    <t>43315807</t>
  </si>
  <si>
    <t>0073432</t>
  </si>
  <si>
    <t>+51981538677</t>
  </si>
  <si>
    <t>92676</t>
  </si>
  <si>
    <t>106277</t>
  </si>
  <si>
    <t>472</t>
  </si>
  <si>
    <t>BO-472</t>
  </si>
  <si>
    <t>SANTIN ZAPATA VDA DE PRADO NELLY YOLANDA</t>
  </si>
  <si>
    <t>16720575</t>
  </si>
  <si>
    <t>0062457</t>
  </si>
  <si>
    <t>988362277</t>
  </si>
  <si>
    <t>92771</t>
  </si>
  <si>
    <t>SMORENO</t>
  </si>
  <si>
    <t>106352</t>
  </si>
  <si>
    <t>484</t>
  </si>
  <si>
    <t>BO-484</t>
  </si>
  <si>
    <t>HUAPAYA BARREDA ADRIANA MICAELA</t>
  </si>
  <si>
    <t>78325575</t>
  </si>
  <si>
    <t>0073531</t>
  </si>
  <si>
    <t>+51943499354</t>
  </si>
  <si>
    <t>92809</t>
  </si>
  <si>
    <t>106387</t>
  </si>
  <si>
    <t>726</t>
  </si>
  <si>
    <t>BO-726</t>
  </si>
  <si>
    <t>GALARZA ROJAS ANGELICA CELEDONIA</t>
  </si>
  <si>
    <t>08829378</t>
  </si>
  <si>
    <t>0071328</t>
  </si>
  <si>
    <t>962603623</t>
  </si>
  <si>
    <t>92853</t>
  </si>
  <si>
    <t>106391</t>
  </si>
  <si>
    <t>5132</t>
  </si>
  <si>
    <t>BO-5132</t>
  </si>
  <si>
    <t>NEIRA TREBEJO DE LEON CARMEN</t>
  </si>
  <si>
    <t>06853316</t>
  </si>
  <si>
    <t>0073559</t>
  </si>
  <si>
    <t>961719937</t>
  </si>
  <si>
    <t>92852</t>
  </si>
  <si>
    <t>106409</t>
  </si>
  <si>
    <t>10</t>
  </si>
  <si>
    <t>FA-10</t>
  </si>
  <si>
    <t>SINCLAIR REJAS PATRICIA VICTORIA</t>
  </si>
  <si>
    <t>45635460</t>
  </si>
  <si>
    <t>0073539</t>
  </si>
  <si>
    <t>936131340</t>
  </si>
  <si>
    <t>92787</t>
  </si>
  <si>
    <t>106454</t>
  </si>
  <si>
    <t>4668</t>
  </si>
  <si>
    <t>BO-4668</t>
  </si>
  <si>
    <t>CASQUIÑO DE AVENDAÑO ROSAURA</t>
  </si>
  <si>
    <t>15412642</t>
  </si>
  <si>
    <t>0073533</t>
  </si>
  <si>
    <t>910 864 168</t>
  </si>
  <si>
    <t>92892</t>
  </si>
  <si>
    <t>106484</t>
  </si>
  <si>
    <t>12598</t>
  </si>
  <si>
    <t>BO-12598</t>
  </si>
  <si>
    <t>MONTENEGRO LOPEZ CHRISTIAN</t>
  </si>
  <si>
    <t>43909751</t>
  </si>
  <si>
    <t>0055493</t>
  </si>
  <si>
    <t>951769089</t>
  </si>
  <si>
    <t>92938</t>
  </si>
  <si>
    <t>106530</t>
  </si>
  <si>
    <t>12611</t>
  </si>
  <si>
    <t>BO-12611</t>
  </si>
  <si>
    <t>SIMON VELITA CONRADO</t>
  </si>
  <si>
    <t>71772606</t>
  </si>
  <si>
    <t>0073334</t>
  </si>
  <si>
    <t>+51901526567</t>
  </si>
  <si>
    <t>92957</t>
  </si>
  <si>
    <t>106531</t>
  </si>
  <si>
    <t>12612</t>
  </si>
  <si>
    <t>BO-12612</t>
  </si>
  <si>
    <t>MERINO MERINO MAYLIN RAQUEL</t>
  </si>
  <si>
    <t>75397288</t>
  </si>
  <si>
    <t>0073603</t>
  </si>
  <si>
    <t>943424880</t>
  </si>
  <si>
    <t>92975</t>
  </si>
  <si>
    <t>106535</t>
  </si>
  <si>
    <t>12614</t>
  </si>
  <si>
    <t>BO-12614</t>
  </si>
  <si>
    <t>CASTREJÓN MIRANDA HENDER YONEL</t>
  </si>
  <si>
    <t>71733325</t>
  </si>
  <si>
    <t>0073590</t>
  </si>
  <si>
    <t>921855429</t>
  </si>
  <si>
    <t>92966</t>
  </si>
  <si>
    <t>106585</t>
  </si>
  <si>
    <t>5166</t>
  </si>
  <si>
    <t>BO-5166</t>
  </si>
  <si>
    <t>RAMBLA DE RODRIGUEZ GABY LUZ</t>
  </si>
  <si>
    <t>25492367</t>
  </si>
  <si>
    <t>0073653</t>
  </si>
  <si>
    <t>966139518</t>
  </si>
  <si>
    <t>93013</t>
  </si>
  <si>
    <t>106587</t>
  </si>
  <si>
    <t>12630</t>
  </si>
  <si>
    <t>BO-12630</t>
  </si>
  <si>
    <t>HUANCA RIVERA LIZETH YENY</t>
  </si>
  <si>
    <t>48545473</t>
  </si>
  <si>
    <t>0051471</t>
  </si>
  <si>
    <t>924540033</t>
  </si>
  <si>
    <t>93002</t>
  </si>
  <si>
    <t>106630</t>
  </si>
  <si>
    <t>496</t>
  </si>
  <si>
    <t>BO-496</t>
  </si>
  <si>
    <t>CABRERA ALVA FLORA ISOLDA</t>
  </si>
  <si>
    <t>10588128</t>
  </si>
  <si>
    <t>0073641</t>
  </si>
  <si>
    <t>943510849</t>
  </si>
  <si>
    <t>93050</t>
  </si>
  <si>
    <t>106635</t>
  </si>
  <si>
    <t>5181</t>
  </si>
  <si>
    <t>BO-5181</t>
  </si>
  <si>
    <t>GUSMAN CURO DENISSE VANESSA</t>
  </si>
  <si>
    <t>75346669</t>
  </si>
  <si>
    <t>0073677</t>
  </si>
  <si>
    <t>943568911</t>
  </si>
  <si>
    <t>93059</t>
  </si>
  <si>
    <t>106644</t>
  </si>
  <si>
    <t>498</t>
  </si>
  <si>
    <t>BO-498</t>
  </si>
  <si>
    <t>106661</t>
  </si>
  <si>
    <t>4682</t>
  </si>
  <si>
    <t>BO-4682</t>
  </si>
  <si>
    <t>GUTIERREZ PULTAY PAULINA</t>
  </si>
  <si>
    <t>06065150</t>
  </si>
  <si>
    <t>0073689</t>
  </si>
  <si>
    <t>+51981243092</t>
  </si>
  <si>
    <t>93081</t>
  </si>
  <si>
    <t>106686</t>
  </si>
  <si>
    <t>502</t>
  </si>
  <si>
    <t>BO-502</t>
  </si>
  <si>
    <t>TALAVERANO NAVARRO ROSA SALOME</t>
  </si>
  <si>
    <t>10561537</t>
  </si>
  <si>
    <t>0073702</t>
  </si>
  <si>
    <t>994914602</t>
  </si>
  <si>
    <t>93103</t>
  </si>
  <si>
    <t>106691</t>
  </si>
  <si>
    <t>5188</t>
  </si>
  <si>
    <t>BO-5188</t>
  </si>
  <si>
    <t>ESCALANTE ANGULO MARIA FELICITA</t>
  </si>
  <si>
    <t>41480528</t>
  </si>
  <si>
    <t>0073671</t>
  </si>
  <si>
    <t>996699900</t>
  </si>
  <si>
    <t>93084</t>
  </si>
  <si>
    <t>106713</t>
  </si>
  <si>
    <t>1138</t>
  </si>
  <si>
    <t>FA-1138</t>
  </si>
  <si>
    <t>CORNEJO CALVO DE FERRO MIRTHA ROSA MARIA</t>
  </si>
  <si>
    <t>07835036</t>
  </si>
  <si>
    <t>0073476</t>
  </si>
  <si>
    <t>947675431</t>
  </si>
  <si>
    <t>PACIFICO S.A. ENT. PRESTADORA DE SALUD</t>
  </si>
  <si>
    <t>93110</t>
  </si>
  <si>
    <t>106745</t>
  </si>
  <si>
    <t>12651</t>
  </si>
  <si>
    <t>BO-12651</t>
  </si>
  <si>
    <t>CORNEJO CHAUCA JORDAN WALTER JUNIOR</t>
  </si>
  <si>
    <t>47686410</t>
  </si>
  <si>
    <t>0067234</t>
  </si>
  <si>
    <t>981126347</t>
  </si>
  <si>
    <t>93133</t>
  </si>
  <si>
    <t>106790</t>
  </si>
  <si>
    <t>4691</t>
  </si>
  <si>
    <t>BO-4691</t>
  </si>
  <si>
    <t>ZEÑA VASQUEZ KEVIN FABIANO</t>
  </si>
  <si>
    <t>61842994</t>
  </si>
  <si>
    <t>0073649</t>
  </si>
  <si>
    <t>93016</t>
  </si>
  <si>
    <t>106803</t>
  </si>
  <si>
    <t>4693</t>
  </si>
  <si>
    <t>BO-4693</t>
  </si>
  <si>
    <t>COANQUI QUISPE FRANCISCO</t>
  </si>
  <si>
    <t>07954010</t>
  </si>
  <si>
    <t>0073768</t>
  </si>
  <si>
    <t>972000902</t>
  </si>
  <si>
    <t>93182</t>
  </si>
  <si>
    <t>106855</t>
  </si>
  <si>
    <t>4699</t>
  </si>
  <si>
    <t>BO-4699</t>
  </si>
  <si>
    <t>92738</t>
  </si>
  <si>
    <t>106898</t>
  </si>
  <si>
    <t>4709</t>
  </si>
  <si>
    <t>BO-4709</t>
  </si>
  <si>
    <t>ROCA HENRIQUEZ VICTOR AUGUSTO</t>
  </si>
  <si>
    <t>15600267</t>
  </si>
  <si>
    <t>0073810</t>
  </si>
  <si>
    <t>926386518</t>
  </si>
  <si>
    <t>93245</t>
  </si>
  <si>
    <t>106901</t>
  </si>
  <si>
    <t>12662</t>
  </si>
  <si>
    <t>BO-12662</t>
  </si>
  <si>
    <t>MARIN RAMOS FILOMENA</t>
  </si>
  <si>
    <t>10364747</t>
  </si>
  <si>
    <t>0073819</t>
  </si>
  <si>
    <t>979890566</t>
  </si>
  <si>
    <t>93255</t>
  </si>
  <si>
    <t>106947</t>
  </si>
  <si>
    <t>4713</t>
  </si>
  <si>
    <t>BO-4713</t>
  </si>
  <si>
    <t>MONTOYA PASTOR CLAUDIO</t>
  </si>
  <si>
    <t>06151324</t>
  </si>
  <si>
    <t>0073680</t>
  </si>
  <si>
    <t>+51973523301</t>
  </si>
  <si>
    <t>93308</t>
  </si>
  <si>
    <t>107016</t>
  </si>
  <si>
    <t>12686</t>
  </si>
  <si>
    <t>BO-12686</t>
  </si>
  <si>
    <t>GONZALES GARCIA CARMEN DEL ROSARIO</t>
  </si>
  <si>
    <t>08606982</t>
  </si>
  <si>
    <t>0033183</t>
  </si>
  <si>
    <t>4587858</t>
  </si>
  <si>
    <t>93337</t>
  </si>
  <si>
    <t>107021</t>
  </si>
  <si>
    <t>5221</t>
  </si>
  <si>
    <t>BO-5221</t>
  </si>
  <si>
    <t>JARA VITATE NICO ALEXSANDER</t>
  </si>
  <si>
    <t>91523011</t>
  </si>
  <si>
    <t>0073776</t>
  </si>
  <si>
    <t xml:space="preserve">986 261 363 </t>
  </si>
  <si>
    <t>93379</t>
  </si>
  <si>
    <t>10619105</t>
  </si>
  <si>
    <t>107088</t>
  </si>
  <si>
    <t>12698</t>
  </si>
  <si>
    <t>BO-12698</t>
  </si>
  <si>
    <t>HUARANGA HUARACA FLORA LUCILA</t>
  </si>
  <si>
    <t>06813680</t>
  </si>
  <si>
    <t>0014405</t>
  </si>
  <si>
    <t>999516833</t>
  </si>
  <si>
    <t>93390</t>
  </si>
  <si>
    <t>107155</t>
  </si>
  <si>
    <t>540</t>
  </si>
  <si>
    <t>BO-540</t>
  </si>
  <si>
    <t>SICCHE PINEDO ZOILA</t>
  </si>
  <si>
    <t>18024803</t>
  </si>
  <si>
    <t>0073904</t>
  </si>
  <si>
    <t>949754928</t>
  </si>
  <si>
    <t>93465</t>
  </si>
  <si>
    <t>107284</t>
  </si>
  <si>
    <t>12716</t>
  </si>
  <si>
    <t>BO-12716</t>
  </si>
  <si>
    <t>MEGO BECERRA PEDRO</t>
  </si>
  <si>
    <t>01011352</t>
  </si>
  <si>
    <t>0018191</t>
  </si>
  <si>
    <t>947633613</t>
  </si>
  <si>
    <t>93579</t>
  </si>
  <si>
    <t>TELMA MESA EDITH</t>
  </si>
  <si>
    <t>107450</t>
  </si>
  <si>
    <t>4774</t>
  </si>
  <si>
    <t>BO-4774</t>
  </si>
  <si>
    <t>CRUZADO DIAZ ROSA</t>
  </si>
  <si>
    <t>47517262</t>
  </si>
  <si>
    <t>0074040</t>
  </si>
  <si>
    <t>929483131</t>
  </si>
  <si>
    <t>93697</t>
  </si>
  <si>
    <t>107477</t>
  </si>
  <si>
    <t>4780</t>
  </si>
  <si>
    <t>BO-4780</t>
  </si>
  <si>
    <t>SUCASAIRE INFANTES DELCI YANINA</t>
  </si>
  <si>
    <t>70202159</t>
  </si>
  <si>
    <t>0067005</t>
  </si>
  <si>
    <t xml:space="preserve"> 970175745</t>
  </si>
  <si>
    <t>93734</t>
  </si>
  <si>
    <t>107524</t>
  </si>
  <si>
    <t>295</t>
  </si>
  <si>
    <t>FA-295</t>
  </si>
  <si>
    <t>EVANGELISTA RODRIGUEZ MARIAFE OLENKA</t>
  </si>
  <si>
    <t>75423022</t>
  </si>
  <si>
    <t>0074068</t>
  </si>
  <si>
    <t>+51997225099</t>
  </si>
  <si>
    <t>EVANGELISTA PASTOR CESAR</t>
  </si>
  <si>
    <t>93761</t>
  </si>
  <si>
    <t>107543</t>
  </si>
  <si>
    <t>805</t>
  </si>
  <si>
    <t>BO-805</t>
  </si>
  <si>
    <t>MCCORD MCCORD JAMES THEODORT</t>
  </si>
  <si>
    <t>595465475</t>
  </si>
  <si>
    <t>0074073</t>
  </si>
  <si>
    <t>986788412</t>
  </si>
  <si>
    <t>93759</t>
  </si>
  <si>
    <t>107593</t>
  </si>
  <si>
    <t>12768</t>
  </si>
  <si>
    <t>BO-12768</t>
  </si>
  <si>
    <t>RIVADENEIRA DE VIDAL ENCARNACION</t>
  </si>
  <si>
    <t>17587243</t>
  </si>
  <si>
    <t>0062310</t>
  </si>
  <si>
    <t>988603417</t>
  </si>
  <si>
    <t>93787</t>
  </si>
  <si>
    <t>107601</t>
  </si>
  <si>
    <t>12771</t>
  </si>
  <si>
    <t>BO-12771</t>
  </si>
  <si>
    <t>MANDUJANO QUIROZ FLORENCIA ZOILA</t>
  </si>
  <si>
    <t>10496297</t>
  </si>
  <si>
    <t>0074083</t>
  </si>
  <si>
    <t>+51907236888</t>
  </si>
  <si>
    <t>93828</t>
  </si>
  <si>
    <t>107607</t>
  </si>
  <si>
    <t>809</t>
  </si>
  <si>
    <t>BO-809</t>
  </si>
  <si>
    <t>LLANOS SILVA FERNANDO</t>
  </si>
  <si>
    <t>73068046</t>
  </si>
  <si>
    <t>0074079</t>
  </si>
  <si>
    <t>+51902826252</t>
  </si>
  <si>
    <t>93829</t>
  </si>
  <si>
    <t>107669</t>
  </si>
  <si>
    <t>5282</t>
  </si>
  <si>
    <t>BO-5282</t>
  </si>
  <si>
    <t>PUENTE BLANCO STEVE JESUS</t>
  </si>
  <si>
    <t>71217456</t>
  </si>
  <si>
    <t>0074118</t>
  </si>
  <si>
    <t>991633023</t>
  </si>
  <si>
    <t>93868</t>
  </si>
  <si>
    <t>107699</t>
  </si>
  <si>
    <t>12784</t>
  </si>
  <si>
    <t>BO-12784</t>
  </si>
  <si>
    <t>TALAVERA DE LA VEGA EUGENIA</t>
  </si>
  <si>
    <t>06594275</t>
  </si>
  <si>
    <t>0074125</t>
  </si>
  <si>
    <t>900 541 123</t>
  </si>
  <si>
    <t>93891</t>
  </si>
  <si>
    <t>107720</t>
  </si>
  <si>
    <t>12788</t>
  </si>
  <si>
    <t>BO-12788</t>
  </si>
  <si>
    <t>VILCA QUISPE EUSEBIO</t>
  </si>
  <si>
    <t>02424637</t>
  </si>
  <si>
    <t>0074141</t>
  </si>
  <si>
    <t>923632310</t>
  </si>
  <si>
    <t>93904</t>
  </si>
  <si>
    <t>107735</t>
  </si>
  <si>
    <t>6502</t>
  </si>
  <si>
    <t>BO-6502</t>
  </si>
  <si>
    <t>TAFUR LÓPEZ ROSA ALCIRA</t>
  </si>
  <si>
    <t>33940447</t>
  </si>
  <si>
    <t>0074136</t>
  </si>
  <si>
    <t>999975704</t>
  </si>
  <si>
    <t>93893</t>
  </si>
  <si>
    <t>107749</t>
  </si>
  <si>
    <t>6510</t>
  </si>
  <si>
    <t>BO-6510</t>
  </si>
  <si>
    <t>ATANACIO CALATAYUD ENITH MERIAT</t>
  </si>
  <si>
    <t>72973383</t>
  </si>
  <si>
    <t>0074150</t>
  </si>
  <si>
    <t>994058761</t>
  </si>
  <si>
    <t>93941</t>
  </si>
  <si>
    <t>107786</t>
  </si>
  <si>
    <t>12802</t>
  </si>
  <si>
    <t>BO-12802</t>
  </si>
  <si>
    <t>LUQUE PARIAPAZA FLORA MARIA</t>
  </si>
  <si>
    <t>01213009</t>
  </si>
  <si>
    <t>0074161</t>
  </si>
  <si>
    <t>920759561</t>
  </si>
  <si>
    <t>93947</t>
  </si>
  <si>
    <t>107803</t>
  </si>
  <si>
    <t>4823</t>
  </si>
  <si>
    <t>BO-4823</t>
  </si>
  <si>
    <t>BURGOS CRUZADO STEFANY MIRTHA</t>
  </si>
  <si>
    <t>40207653</t>
  </si>
  <si>
    <t>0074162</t>
  </si>
  <si>
    <t>906734025</t>
  </si>
  <si>
    <t>93964</t>
  </si>
  <si>
    <t>107826</t>
  </si>
  <si>
    <t>12805</t>
  </si>
  <si>
    <t>BO-12805</t>
  </si>
  <si>
    <t>ANCHANTE BERNAL CARLOS ERICK</t>
  </si>
  <si>
    <t>09413694</t>
  </si>
  <si>
    <t>0039209</t>
  </si>
  <si>
    <t>993447646</t>
  </si>
  <si>
    <t>93931</t>
  </si>
  <si>
    <t>ARAMBURU CASTRO HUGO ANIBAL</t>
  </si>
  <si>
    <t>107850</t>
  </si>
  <si>
    <t>12807</t>
  </si>
  <si>
    <t>BO-12807</t>
  </si>
  <si>
    <t>CARBAJAL CAJAS DARIO EDUARDO</t>
  </si>
  <si>
    <t>08074108</t>
  </si>
  <si>
    <t>0074004</t>
  </si>
  <si>
    <t>989329577</t>
  </si>
  <si>
    <t>93647</t>
  </si>
  <si>
    <t>107950</t>
  </si>
  <si>
    <t>606</t>
  </si>
  <si>
    <t>BO-606</t>
  </si>
  <si>
    <t>MCMAHAN . MONICA PATRICIA</t>
  </si>
  <si>
    <t>A79581721</t>
  </si>
  <si>
    <t>0074289</t>
  </si>
  <si>
    <t>943619485</t>
  </si>
  <si>
    <t>94098</t>
  </si>
  <si>
    <t>107971</t>
  </si>
  <si>
    <t>635</t>
  </si>
  <si>
    <t>FA-635</t>
  </si>
  <si>
    <t>93933</t>
  </si>
  <si>
    <t>107991</t>
  </si>
  <si>
    <t>1152</t>
  </si>
  <si>
    <t>FA-1152</t>
  </si>
  <si>
    <t>GENG CHIONG JAVIER</t>
  </si>
  <si>
    <t>07922805</t>
  </si>
  <si>
    <t>0053297</t>
  </si>
  <si>
    <t>940220575</t>
  </si>
  <si>
    <t>94139</t>
  </si>
  <si>
    <t>107999</t>
  </si>
  <si>
    <t>FA-636</t>
  </si>
  <si>
    <t>CHUGNAS GALAN ANTONIO</t>
  </si>
  <si>
    <t>06837782</t>
  </si>
  <si>
    <t>0074123</t>
  </si>
  <si>
    <t>993955341</t>
  </si>
  <si>
    <t>93934</t>
  </si>
  <si>
    <t>108011</t>
  </si>
  <si>
    <t>5311</t>
  </si>
  <si>
    <t>BO-5311</t>
  </si>
  <si>
    <t>RAMOS DAMASO JAVIER</t>
  </si>
  <si>
    <t>09787417</t>
  </si>
  <si>
    <t>0074314</t>
  </si>
  <si>
    <t>990590084</t>
  </si>
  <si>
    <t>94153</t>
  </si>
  <si>
    <t>107979</t>
  </si>
  <si>
    <t>1150</t>
  </si>
  <si>
    <t>FA-1150</t>
  </si>
  <si>
    <t>VEGA DE CAYLLAHUA JUANA ISIDORA</t>
  </si>
  <si>
    <t>10071840</t>
  </si>
  <si>
    <t>0074274</t>
  </si>
  <si>
    <t>981 349 937</t>
  </si>
  <si>
    <t>C &amp; E CONTROL ELECTRIC S.A.C.</t>
  </si>
  <si>
    <t>94093</t>
  </si>
  <si>
    <t>108004</t>
  </si>
  <si>
    <t>12834</t>
  </si>
  <si>
    <t>BO-12834</t>
  </si>
  <si>
    <t>CASTAÑEDA SANCHEZ JOSELITO</t>
  </si>
  <si>
    <t>42488186</t>
  </si>
  <si>
    <t>0073965</t>
  </si>
  <si>
    <t>982 711 959</t>
  </si>
  <si>
    <t>94133</t>
  </si>
  <si>
    <t>108028</t>
  </si>
  <si>
    <t>BO-612</t>
  </si>
  <si>
    <t>GUTIERREZ ANDRADE XIOMARA NAOMI ITZAYA</t>
  </si>
  <si>
    <t>78038675</t>
  </si>
  <si>
    <t>0073859</t>
  </si>
  <si>
    <t>9921263522</t>
  </si>
  <si>
    <t>93503</t>
  </si>
  <si>
    <t>108072</t>
  </si>
  <si>
    <t>4852</t>
  </si>
  <si>
    <t>BO-4852</t>
  </si>
  <si>
    <t>GRANADOS LASTRA MIGUEL FABRIZZIO</t>
  </si>
  <si>
    <t>71017687</t>
  </si>
  <si>
    <t>CERNA TAFUR ELAR LALO</t>
  </si>
  <si>
    <t>0074302</t>
  </si>
  <si>
    <t>940171092</t>
  </si>
  <si>
    <t>94192</t>
  </si>
  <si>
    <t>108091</t>
  </si>
  <si>
    <t>621</t>
  </si>
  <si>
    <t>BO-621</t>
  </si>
  <si>
    <t>MARTINEZ SEDANO JUAN ANTONIO</t>
  </si>
  <si>
    <t>48281746</t>
  </si>
  <si>
    <t>0074334</t>
  </si>
  <si>
    <t>994148960</t>
  </si>
  <si>
    <t>94195</t>
  </si>
  <si>
    <t>108092</t>
  </si>
  <si>
    <t>622</t>
  </si>
  <si>
    <t>BO-622</t>
  </si>
  <si>
    <t>94221</t>
  </si>
  <si>
    <t>108115</t>
  </si>
  <si>
    <t>4860</t>
  </si>
  <si>
    <t>BO-4860</t>
  </si>
  <si>
    <t>PEREZ VARGAS DE CERVANTES CATALINA</t>
  </si>
  <si>
    <t>10290922</t>
  </si>
  <si>
    <t>0073998</t>
  </si>
  <si>
    <t>906788510</t>
  </si>
  <si>
    <t>93770</t>
  </si>
  <si>
    <t>108234</t>
  </si>
  <si>
    <t>6552</t>
  </si>
  <si>
    <t>BO-6552</t>
  </si>
  <si>
    <t>99999999</t>
  </si>
  <si>
    <t>94119</t>
  </si>
  <si>
    <t>108170</t>
  </si>
  <si>
    <t>631</t>
  </si>
  <si>
    <t>BO-631</t>
  </si>
  <si>
    <t>ROJAS LOBO ISABEL</t>
  </si>
  <si>
    <t>28800154</t>
  </si>
  <si>
    <t>0074253</t>
  </si>
  <si>
    <t>996627600</t>
  </si>
  <si>
    <t>94261</t>
  </si>
  <si>
    <t>108210</t>
  </si>
  <si>
    <t>638</t>
  </si>
  <si>
    <t>BO-638</t>
  </si>
  <si>
    <t>COHELO MEDINA SADITH</t>
  </si>
  <si>
    <t>10367024</t>
  </si>
  <si>
    <t>0074370</t>
  </si>
  <si>
    <t>993364279</t>
  </si>
  <si>
    <t>94291</t>
  </si>
  <si>
    <t>108218</t>
  </si>
  <si>
    <t>1154</t>
  </si>
  <si>
    <t>FA-1154</t>
  </si>
  <si>
    <t>MAYNETTO VILCHEZ BRENDA DANIELA</t>
  </si>
  <si>
    <t>72404326</t>
  </si>
  <si>
    <t>0074244</t>
  </si>
  <si>
    <t>956249011</t>
  </si>
  <si>
    <t>ECOBEBIDAS E INFUSIONES PERUANAS S.A.C.</t>
  </si>
  <si>
    <t>94308</t>
  </si>
  <si>
    <t>108276</t>
  </si>
  <si>
    <t>5329</t>
  </si>
  <si>
    <t>BO-5329</t>
  </si>
  <si>
    <t>VILLANUEVA CASTRO TEODORO RICARDO</t>
  </si>
  <si>
    <t>15975868</t>
  </si>
  <si>
    <t>0074385</t>
  </si>
  <si>
    <t>985631014</t>
  </si>
  <si>
    <t>94358</t>
  </si>
  <si>
    <t>108288</t>
  </si>
  <si>
    <t>5331</t>
  </si>
  <si>
    <t>BO-5331</t>
  </si>
  <si>
    <t>VERDE VARA ROBERTA LICARIA</t>
  </si>
  <si>
    <t>08171858</t>
  </si>
  <si>
    <t>0074397</t>
  </si>
  <si>
    <t>995486216</t>
  </si>
  <si>
    <t>94369</t>
  </si>
  <si>
    <t>108315</t>
  </si>
  <si>
    <t>4889</t>
  </si>
  <si>
    <t>BO-4889</t>
  </si>
  <si>
    <t>GARCIA ESCOBEDO ANA SOLEDAD</t>
  </si>
  <si>
    <t>06061002</t>
  </si>
  <si>
    <t>0074417</t>
  </si>
  <si>
    <t>957732218</t>
  </si>
  <si>
    <t>94396</t>
  </si>
  <si>
    <t>108327</t>
  </si>
  <si>
    <t>12865</t>
  </si>
  <si>
    <t>BO-12865</t>
  </si>
  <si>
    <t>PASACHE HUAMAN PEGGY</t>
  </si>
  <si>
    <t>10719214</t>
  </si>
  <si>
    <t>0074427</t>
  </si>
  <si>
    <t>942117814</t>
  </si>
  <si>
    <t>94409</t>
  </si>
  <si>
    <t>108332</t>
  </si>
  <si>
    <t>4890</t>
  </si>
  <si>
    <t>BO-4890</t>
  </si>
  <si>
    <t>ALMONTE MENESES VIRGINIA PILAR</t>
  </si>
  <si>
    <t>09169699</t>
  </si>
  <si>
    <t>0074428</t>
  </si>
  <si>
    <t>912150343</t>
  </si>
  <si>
    <t>94412</t>
  </si>
  <si>
    <t>108319</t>
  </si>
  <si>
    <t>849</t>
  </si>
  <si>
    <t>BO-849</t>
  </si>
  <si>
    <t>OCAS AJIFF MELVIN MANUEL</t>
  </si>
  <si>
    <t>47715986</t>
  </si>
  <si>
    <t>0074420</t>
  </si>
  <si>
    <t>976389748</t>
  </si>
  <si>
    <t>94401</t>
  </si>
  <si>
    <t>108269</t>
  </si>
  <si>
    <t>12166</t>
  </si>
  <si>
    <t>BO-12166</t>
  </si>
  <si>
    <t>ZUÑIGA DURAN JORGE DAVID</t>
  </si>
  <si>
    <t>09462964</t>
  </si>
  <si>
    <t>0074282</t>
  </si>
  <si>
    <t>969797807</t>
  </si>
  <si>
    <t>94164</t>
  </si>
  <si>
    <t>108297</t>
  </si>
  <si>
    <t>12862</t>
  </si>
  <si>
    <t>BO-12862</t>
  </si>
  <si>
    <t>GONZALES ALANIA BRUCE LEONCIO</t>
  </si>
  <si>
    <t>74099027</t>
  </si>
  <si>
    <t>0073643</t>
  </si>
  <si>
    <t>+51961863546</t>
  </si>
  <si>
    <t>93156</t>
  </si>
  <si>
    <t>108381</t>
  </si>
  <si>
    <t>6570</t>
  </si>
  <si>
    <t>BO-6570</t>
  </si>
  <si>
    <t>PITTMAN PARDO JORGE LUIS</t>
  </si>
  <si>
    <t>15704241</t>
  </si>
  <si>
    <t>0074333</t>
  </si>
  <si>
    <t>977907788</t>
  </si>
  <si>
    <t>94459</t>
  </si>
  <si>
    <t>108393</t>
  </si>
  <si>
    <t>12877</t>
  </si>
  <si>
    <t>BO-12877</t>
  </si>
  <si>
    <t>SIFUENTES AYVAR MIGUEL GUSTAVO</t>
  </si>
  <si>
    <t>09116590</t>
  </si>
  <si>
    <t>0074332</t>
  </si>
  <si>
    <t>986900490</t>
  </si>
  <si>
    <t>94467</t>
  </si>
  <si>
    <t>108418</t>
  </si>
  <si>
    <t>12879</t>
  </si>
  <si>
    <t>BO-12879</t>
  </si>
  <si>
    <t>PILLCO CONDORI FRANCISCA</t>
  </si>
  <si>
    <t>09959719</t>
  </si>
  <si>
    <t>0074461</t>
  </si>
  <si>
    <t>992298304</t>
  </si>
  <si>
    <t>94485</t>
  </si>
  <si>
    <t>108456</t>
  </si>
  <si>
    <t>639</t>
  </si>
  <si>
    <t>FA-639</t>
  </si>
  <si>
    <t>SOTO AMARO EDGAR MELGAR</t>
  </si>
  <si>
    <t>21087147</t>
  </si>
  <si>
    <t>0074405</t>
  </si>
  <si>
    <t>94434</t>
  </si>
  <si>
    <t>108457</t>
  </si>
  <si>
    <t>640</t>
  </si>
  <si>
    <t>FA-640</t>
  </si>
  <si>
    <t>94468</t>
  </si>
  <si>
    <t>108460</t>
  </si>
  <si>
    <t>641</t>
  </si>
  <si>
    <t>FA-641</t>
  </si>
  <si>
    <t>GIRON OSORIO JESUS ABILENE</t>
  </si>
  <si>
    <t>15217255</t>
  </si>
  <si>
    <t>0074474</t>
  </si>
  <si>
    <t>991914556</t>
  </si>
  <si>
    <t>EMPRESA DE TRANSPORTES Y SERVICIOS EL CASHI S.A.C.</t>
  </si>
  <si>
    <t>94516</t>
  </si>
  <si>
    <t>2499</t>
  </si>
  <si>
    <t>NC-641</t>
  </si>
  <si>
    <t>108461</t>
  </si>
  <si>
    <t>6579</t>
  </si>
  <si>
    <t>BO-6579</t>
  </si>
  <si>
    <t>PENAS CARBONEL YVAN</t>
  </si>
  <si>
    <t>72602441</t>
  </si>
  <si>
    <t>0074471</t>
  </si>
  <si>
    <t>994042823</t>
  </si>
  <si>
    <t>94511</t>
  </si>
  <si>
    <t>108555</t>
  </si>
  <si>
    <t>642</t>
  </si>
  <si>
    <t>FA-642</t>
  </si>
  <si>
    <t>CHILCA CORCINA ALEJANDRA VICTORIA</t>
  </si>
  <si>
    <t>33336194</t>
  </si>
  <si>
    <t>0074541</t>
  </si>
  <si>
    <t>959586293</t>
  </si>
  <si>
    <t>CORPORACION EMPRESARIAL CREATIV3 PUBLICIDAD &amp; MARKETING E.I.R.L.</t>
  </si>
  <si>
    <t>94606</t>
  </si>
  <si>
    <t>108553</t>
  </si>
  <si>
    <t>5366</t>
  </si>
  <si>
    <t>BO-5366</t>
  </si>
  <si>
    <t>VEGAZO LEON FRANCISCO JAVIER</t>
  </si>
  <si>
    <t>43385399</t>
  </si>
  <si>
    <t>0068862</t>
  </si>
  <si>
    <t>968150435</t>
  </si>
  <si>
    <t>94597</t>
  </si>
  <si>
    <t>Octubre</t>
  </si>
  <si>
    <t>108641</t>
  </si>
  <si>
    <t>5375</t>
  </si>
  <si>
    <t>BO-5375</t>
  </si>
  <si>
    <t>MIÑANO DE VALDERRAMA EMPERATRIZ REYNALDA</t>
  </si>
  <si>
    <t>32804300</t>
  </si>
  <si>
    <t>0074581</t>
  </si>
  <si>
    <t>965739583</t>
  </si>
  <si>
    <t>94658</t>
  </si>
  <si>
    <t>108642</t>
  </si>
  <si>
    <t>6605</t>
  </si>
  <si>
    <t>BO-6605</t>
  </si>
  <si>
    <t>COATA CHACA DE CRISOSTOMO JUANA FRANCISC</t>
  </si>
  <si>
    <t>08031684</t>
  </si>
  <si>
    <t>RAMIREZ ORBE JOSE LUIS</t>
  </si>
  <si>
    <t>0074580</t>
  </si>
  <si>
    <t>953030347</t>
  </si>
  <si>
    <t>94660</t>
  </si>
  <si>
    <t>108679</t>
  </si>
  <si>
    <t>6615</t>
  </si>
  <si>
    <t>BO-6615</t>
  </si>
  <si>
    <t>FEBRES DE GONZALES MIREYA JOSEFINA</t>
  </si>
  <si>
    <t>0067774000</t>
  </si>
  <si>
    <t>ZUAMETA DIAZ JOHNNY</t>
  </si>
  <si>
    <t>CLINICA VISUAL CENTER</t>
  </si>
  <si>
    <t>0074601</t>
  </si>
  <si>
    <t>952086245</t>
  </si>
  <si>
    <t>94695</t>
  </si>
  <si>
    <t>108686</t>
  </si>
  <si>
    <t>644</t>
  </si>
  <si>
    <t>FA-644</t>
  </si>
  <si>
    <t>94523</t>
  </si>
  <si>
    <t>108713</t>
  </si>
  <si>
    <t>645</t>
  </si>
  <si>
    <t>FA-645</t>
  </si>
  <si>
    <t>SANCHEZ MACIAS MILAGROS EFIGENIA</t>
  </si>
  <si>
    <t>0074605</t>
  </si>
  <si>
    <t>991826691</t>
  </si>
  <si>
    <t>94718</t>
  </si>
  <si>
    <t>108714</t>
  </si>
  <si>
    <t>646</t>
  </si>
  <si>
    <t>FA-646</t>
  </si>
  <si>
    <t>HIDALGO GALLO LUIS</t>
  </si>
  <si>
    <t>0074608</t>
  </si>
  <si>
    <t>902484097</t>
  </si>
  <si>
    <t>94719</t>
  </si>
  <si>
    <t>108773</t>
  </si>
  <si>
    <t>4942</t>
  </si>
  <si>
    <t>BO-4942</t>
  </si>
  <si>
    <t>VERA ALVAREZ LUIS MANUEL</t>
  </si>
  <si>
    <t>008280364</t>
  </si>
  <si>
    <t>0074649</t>
  </si>
  <si>
    <t>914026217</t>
  </si>
  <si>
    <t>94753</t>
  </si>
  <si>
    <t>108785</t>
  </si>
  <si>
    <t>5392</t>
  </si>
  <si>
    <t>BO-5392</t>
  </si>
  <si>
    <t>RAMIREZ FLORES JESUS</t>
  </si>
  <si>
    <t>01060530</t>
  </si>
  <si>
    <t>0074650</t>
  </si>
  <si>
    <t>951567713</t>
  </si>
  <si>
    <t>94763</t>
  </si>
  <si>
    <t>108784</t>
  </si>
  <si>
    <t>6630</t>
  </si>
  <si>
    <t>BO-6630</t>
  </si>
  <si>
    <t>ALVAREZ PALOMARES DE BALVIN VICTORIA FEL</t>
  </si>
  <si>
    <t>10515124</t>
  </si>
  <si>
    <t>0035336</t>
  </si>
  <si>
    <t>990072135</t>
  </si>
  <si>
    <t>94768</t>
  </si>
  <si>
    <t>108805</t>
  </si>
  <si>
    <t>6638</t>
  </si>
  <si>
    <t>BO-6638</t>
  </si>
  <si>
    <t>JIMENEZ SOSA PAULA</t>
  </si>
  <si>
    <t>33324952</t>
  </si>
  <si>
    <t>0074659</t>
  </si>
  <si>
    <t>932494908</t>
  </si>
  <si>
    <t>94788</t>
  </si>
  <si>
    <t>108809</t>
  </si>
  <si>
    <t>6640</t>
  </si>
  <si>
    <t>BO-6640</t>
  </si>
  <si>
    <t>CAMACHO TORRES ZACARIAS</t>
  </si>
  <si>
    <t>06943709</t>
  </si>
  <si>
    <t>0074660</t>
  </si>
  <si>
    <t>969197974</t>
  </si>
  <si>
    <t>94791</t>
  </si>
  <si>
    <t>108828</t>
  </si>
  <si>
    <t>677</t>
  </si>
  <si>
    <t>BO-677</t>
  </si>
  <si>
    <t>YAÑEZ CHUMBIAUCA CARMEN ROSA</t>
  </si>
  <si>
    <t>06134096</t>
  </si>
  <si>
    <t>0059771</t>
  </si>
  <si>
    <t>999978719</t>
  </si>
  <si>
    <t>94809</t>
  </si>
  <si>
    <t>108841</t>
  </si>
  <si>
    <t>4956</t>
  </si>
  <si>
    <t>BO-4956</t>
  </si>
  <si>
    <t>ZETA MEL JENNIFFER JACKELINNE</t>
  </si>
  <si>
    <t>43795973</t>
  </si>
  <si>
    <t>0074665</t>
  </si>
  <si>
    <t>980531832</t>
  </si>
  <si>
    <t>94814</t>
  </si>
  <si>
    <t>108844</t>
  </si>
  <si>
    <t>6646</t>
  </si>
  <si>
    <t>BO-6646</t>
  </si>
  <si>
    <t>SICHA MALDONADO AURELIA</t>
  </si>
  <si>
    <t>09316262</t>
  </si>
  <si>
    <t>0074662</t>
  </si>
  <si>
    <t>912229041</t>
  </si>
  <si>
    <t>94816</t>
  </si>
  <si>
    <t>108895</t>
  </si>
  <si>
    <t>6653</t>
  </si>
  <si>
    <t>BO-6653</t>
  </si>
  <si>
    <t>CARHUAS ZEVALLOS DE SOSA EUGRACIA</t>
  </si>
  <si>
    <t>10656308</t>
  </si>
  <si>
    <t>0039700</t>
  </si>
  <si>
    <t>972900016</t>
  </si>
  <si>
    <t>94853</t>
  </si>
  <si>
    <t>108899</t>
  </si>
  <si>
    <t>6656</t>
  </si>
  <si>
    <t>BO-6656</t>
  </si>
  <si>
    <t>HUANCA SOTO VILMA ELENA</t>
  </si>
  <si>
    <t>29591602</t>
  </si>
  <si>
    <t>0074683</t>
  </si>
  <si>
    <t>934077074</t>
  </si>
  <si>
    <t>94856</t>
  </si>
  <si>
    <t>108900</t>
  </si>
  <si>
    <t>6657</t>
  </si>
  <si>
    <t>BO-6657</t>
  </si>
  <si>
    <t>GONZALES DIAZ FLOR DE MARIA</t>
  </si>
  <si>
    <t>18167802</t>
  </si>
  <si>
    <t>0074594</t>
  </si>
  <si>
    <t>969902425</t>
  </si>
  <si>
    <t>94858</t>
  </si>
  <si>
    <t>108904</t>
  </si>
  <si>
    <t>6658</t>
  </si>
  <si>
    <t>BO-6658</t>
  </si>
  <si>
    <t>GONZALES LOPEZ DODITH</t>
  </si>
  <si>
    <t>22962666</t>
  </si>
  <si>
    <t>0074685</t>
  </si>
  <si>
    <t>991682385</t>
  </si>
  <si>
    <t>94860</t>
  </si>
  <si>
    <t>108943</t>
  </si>
  <si>
    <t>4973</t>
  </si>
  <si>
    <t>BO-4973</t>
  </si>
  <si>
    <t>LEON ALFARO FELIPE LEOVIGILDO</t>
  </si>
  <si>
    <t>06087395</t>
  </si>
  <si>
    <t>0074706</t>
  </si>
  <si>
    <t>994395210</t>
  </si>
  <si>
    <t>94892</t>
  </si>
  <si>
    <t>2504</t>
  </si>
  <si>
    <t>NC-4973</t>
  </si>
  <si>
    <t>109052</t>
  </si>
  <si>
    <t>12887</t>
  </si>
  <si>
    <t>BO-12887</t>
  </si>
  <si>
    <t>VILCHEZ CASTRO PORFIRIA</t>
  </si>
  <si>
    <t>21110329</t>
  </si>
  <si>
    <t>0074749</t>
  </si>
  <si>
    <t>949533549</t>
  </si>
  <si>
    <t>94977</t>
  </si>
  <si>
    <t>109057</t>
  </si>
  <si>
    <t>6668</t>
  </si>
  <si>
    <t>BO-6668</t>
  </si>
  <si>
    <t>94867</t>
  </si>
  <si>
    <t xml:space="preserve">CICLOFOTOCOAGULACION  </t>
  </si>
  <si>
    <t>109059</t>
  </si>
  <si>
    <t>648</t>
  </si>
  <si>
    <t>FA-648</t>
  </si>
  <si>
    <t>94983</t>
  </si>
  <si>
    <t>109060</t>
  </si>
  <si>
    <t>12888</t>
  </si>
  <si>
    <t>BO-12888</t>
  </si>
  <si>
    <t>CABANILLAS GUARNIZ MAGNA ROSA</t>
  </si>
  <si>
    <t>07810131</t>
  </si>
  <si>
    <t>0074755</t>
  </si>
  <si>
    <t>999795662</t>
  </si>
  <si>
    <t>94985</t>
  </si>
  <si>
    <t>109062</t>
  </si>
  <si>
    <t>6669</t>
  </si>
  <si>
    <t>BO-6669</t>
  </si>
  <si>
    <t>CHIROQUE GONZALES JUAN ALBERTO</t>
  </si>
  <si>
    <t>0057121</t>
  </si>
  <si>
    <t>945882132</t>
  </si>
  <si>
    <t>94990</t>
  </si>
  <si>
    <t>109073</t>
  </si>
  <si>
    <t>12891</t>
  </si>
  <si>
    <t>BO-12891</t>
  </si>
  <si>
    <t>VASQUEZ ROJAS WALTER</t>
  </si>
  <si>
    <t>09939737</t>
  </si>
  <si>
    <t>LUNA MAGGI</t>
  </si>
  <si>
    <t>0074758</t>
  </si>
  <si>
    <t>998963245</t>
  </si>
  <si>
    <t>95001</t>
  </si>
  <si>
    <t>109122</t>
  </si>
  <si>
    <t>651</t>
  </si>
  <si>
    <t>FA-651</t>
  </si>
  <si>
    <t>94900</t>
  </si>
  <si>
    <t>109123</t>
  </si>
  <si>
    <t>652</t>
  </si>
  <si>
    <t>FA-652</t>
  </si>
  <si>
    <t>GRANDE ESPINOZA ANA MARIA</t>
  </si>
  <si>
    <t>0074663</t>
  </si>
  <si>
    <t>94899</t>
  </si>
  <si>
    <t>109125</t>
  </si>
  <si>
    <t>653</t>
  </si>
  <si>
    <t>FA-653</t>
  </si>
  <si>
    <t>ARTICA SALCEDO ANGELA RUBY</t>
  </si>
  <si>
    <t>0074270</t>
  </si>
  <si>
    <t>94237</t>
  </si>
  <si>
    <t>109126</t>
  </si>
  <si>
    <t>654</t>
  </si>
  <si>
    <t>FA-654</t>
  </si>
  <si>
    <t>95040</t>
  </si>
  <si>
    <t>109138</t>
  </si>
  <si>
    <t>1155</t>
  </si>
  <si>
    <t>FA-1155</t>
  </si>
  <si>
    <t>RIVAS LOPEZ GABRIELA</t>
  </si>
  <si>
    <t>0074733</t>
  </si>
  <si>
    <t>95025</t>
  </si>
  <si>
    <t>109219</t>
  </si>
  <si>
    <t>655</t>
  </si>
  <si>
    <t>FA-655</t>
  </si>
  <si>
    <t>95105</t>
  </si>
  <si>
    <t>109221</t>
  </si>
  <si>
    <t>656</t>
  </si>
  <si>
    <t>FA-656</t>
  </si>
  <si>
    <t>94906</t>
  </si>
  <si>
    <t>109243</t>
  </si>
  <si>
    <t>6685</t>
  </si>
  <si>
    <t>BO-6685</t>
  </si>
  <si>
    <t>TORRES POVIS JORGE EDUARDO</t>
  </si>
  <si>
    <t>07650246</t>
  </si>
  <si>
    <t>0074828</t>
  </si>
  <si>
    <t>953906910</t>
  </si>
  <si>
    <t>95116</t>
  </si>
  <si>
    <t>109349</t>
  </si>
  <si>
    <t>5029</t>
  </si>
  <si>
    <t>BO-5029</t>
  </si>
  <si>
    <t>LUCAS VARGAS MARYORI BRAYIT</t>
  </si>
  <si>
    <t>74526831</t>
  </si>
  <si>
    <t>0074857</t>
  </si>
  <si>
    <t>910088155</t>
  </si>
  <si>
    <t>95205</t>
  </si>
  <si>
    <t>109352</t>
  </si>
  <si>
    <t>12950</t>
  </si>
  <si>
    <t>BO-12950</t>
  </si>
  <si>
    <t>CARDENAS RAMIREZ VICTORIA EUSTAQUIA</t>
  </si>
  <si>
    <t>06282971</t>
  </si>
  <si>
    <t>0053305</t>
  </si>
  <si>
    <t>986843273</t>
  </si>
  <si>
    <t>95206</t>
  </si>
  <si>
    <t>109402</t>
  </si>
  <si>
    <t>5035</t>
  </si>
  <si>
    <t>BO-5035</t>
  </si>
  <si>
    <t>TRUJILLO ESPINOZA AGUSTIN</t>
  </si>
  <si>
    <t>32283126</t>
  </si>
  <si>
    <t>0074877</t>
  </si>
  <si>
    <t>931742908</t>
  </si>
  <si>
    <t>95240</t>
  </si>
  <si>
    <t>109481</t>
  </si>
  <si>
    <t>1156</t>
  </si>
  <si>
    <t>FA-1156</t>
  </si>
  <si>
    <t>DEL VALLE RODRIGUEZ NERIALIS</t>
  </si>
  <si>
    <t>SOTOMAYOR MAGUIÑA EFREN</t>
  </si>
  <si>
    <t>0074858</t>
  </si>
  <si>
    <t>967897928</t>
  </si>
  <si>
    <t>INSTITUTO DE OJOS MULTIVISION SOCIEDAD ANONIMA</t>
  </si>
  <si>
    <t>95277</t>
  </si>
  <si>
    <t>REPORTE DE FACTURACIÓN Y CATEGORIZACIÓN MÉDICO/INSTITUCIÓN</t>
  </si>
  <si>
    <t>Filtro de Mes</t>
  </si>
  <si>
    <t>S/.</t>
  </si>
  <si>
    <t>Mes</t>
  </si>
  <si>
    <t>TODOS</t>
  </si>
  <si>
    <t>REPORTE DE MÉDICOS Y CATEGORIZACIÓN</t>
  </si>
  <si>
    <t>REPORTE DE INSTITUCIONES Y CATEGORIZACIÓN</t>
  </si>
  <si>
    <t>FACTURACIÓN</t>
  </si>
  <si>
    <t>CATEGORÍA</t>
  </si>
  <si>
    <t>OCTUBRE</t>
  </si>
  <si>
    <t>SETIEMBRE</t>
  </si>
  <si>
    <t>AGOSTO</t>
  </si>
  <si>
    <t>JULIO</t>
  </si>
  <si>
    <t>DETALLE</t>
  </si>
  <si>
    <t>#</t>
  </si>
  <si>
    <t>%</t>
  </si>
  <si>
    <t>AAA</t>
  </si>
  <si>
    <t>AA</t>
  </si>
  <si>
    <t>A</t>
  </si>
  <si>
    <t>Total</t>
  </si>
  <si>
    <t>Sin Categoría</t>
  </si>
  <si>
    <t>Etiquetas de fila</t>
  </si>
  <si>
    <t>S/. Imp.</t>
  </si>
  <si>
    <t># Cant.</t>
  </si>
  <si>
    <t>Total general</t>
  </si>
  <si>
    <t>PRECISA | GUÍA PARA ACTUALIZACIÓN MENSUAL</t>
  </si>
  <si>
    <t>OBJETIVO</t>
  </si>
  <si>
    <t>Conservar las bases y cinco hojas principales para consultar en el dashboard.</t>
  </si>
  <si>
    <t>HOJA</t>
  </si>
  <si>
    <t>QUÉ HACER CADA MES</t>
  </si>
  <si>
    <t>Base_Precisa</t>
  </si>
  <si>
    <t>Pegar nuevas filas al final, sin borrar meses anteriores. Completar la columna MES.</t>
  </si>
  <si>
    <t>Cálculo_Categorías</t>
  </si>
  <si>
    <t>Vista de cálculos; no pegar encima de las fórmulas. Revisar mes seleccionado.</t>
  </si>
  <si>
    <t>Categoría_Médicos</t>
  </si>
  <si>
    <t>Vista de indicadores por mes; revisar el nuevo corte y sus referencias.</t>
  </si>
  <si>
    <t>Categoría_Institución</t>
  </si>
  <si>
    <t>Detalle</t>
  </si>
  <si>
    <t>Vista por servicio; actualizar o regenerar el detalle del mes.</t>
  </si>
  <si>
    <t>HOJAS DE APOYO</t>
  </si>
  <si>
    <t>Médicos</t>
  </si>
  <si>
    <t>Registro operativo: confirmar si alimenta Base_Precisa para no duplicar registros.</t>
  </si>
  <si>
    <t>Cuentas</t>
  </si>
  <si>
    <t>Actualizar solo si cambian datos bancarios. Mantener permisos restringidos.</t>
  </si>
  <si>
    <t>Bonos2</t>
  </si>
  <si>
    <t>Actualizar solo cuando cambien tarifas/bonos.</t>
  </si>
  <si>
    <t>PROCEDIMIENTO</t>
  </si>
  <si>
    <t>1</t>
  </si>
  <si>
    <t>Realiza una copia de seguridad del archivo antes del cierre mensual.</t>
  </si>
  <si>
    <t>2</t>
  </si>
  <si>
    <t>Agrega los nuevos registros en la base correspondiente sin modificar encabezados.</t>
  </si>
  <si>
    <t>3</t>
  </si>
  <si>
    <t>Verifica fechas, MES, importes, nombres e identificadores para evitar duplicados.</t>
  </si>
  <si>
    <t>4</t>
  </si>
  <si>
    <t>Revisa fórmulas y totales de las vistas de cálculo; no sobreescribas fórmulas.</t>
  </si>
  <si>
    <t>5</t>
  </si>
  <si>
    <t>Usa las hojas de reporte como origen para visualizar resultados en el dashboard.</t>
  </si>
  <si>
    <t>IMPORTANTE</t>
  </si>
  <si>
    <t>Subir este Excel a Drive no conecta automáticamente el dashboard HTML. Requiere una conexión/importación de datos independiente.</t>
  </si>
  <si>
    <t>108666</t>
  </si>
  <si>
    <t>5379</t>
  </si>
  <si>
    <t>BO-5379</t>
  </si>
  <si>
    <t>REYES CHICANA JOSE MIGUEL</t>
  </si>
  <si>
    <t>70353759</t>
  </si>
  <si>
    <t>0068439</t>
  </si>
  <si>
    <t>94676</t>
  </si>
  <si>
    <t>20600994302</t>
  </si>
  <si>
    <t>20603892829</t>
  </si>
  <si>
    <t>RIOS FLORES ALDO ADOLFO</t>
  </si>
  <si>
    <t>108928</t>
  </si>
  <si>
    <t>5407</t>
  </si>
  <si>
    <t>BO-5407</t>
  </si>
  <si>
    <t>GUTIERREZ MUÑOZ ANGEL JAVIER</t>
  </si>
  <si>
    <t>09513532</t>
  </si>
  <si>
    <t>0060456</t>
  </si>
  <si>
    <t>941852029</t>
  </si>
  <si>
    <t>94079</t>
  </si>
  <si>
    <t>108993</t>
  </si>
  <si>
    <t>12883</t>
  </si>
  <si>
    <t>BO-12883</t>
  </si>
  <si>
    <t>ROMAN CHUMACERO SILVIA ROXANA</t>
  </si>
  <si>
    <t>41433064</t>
  </si>
  <si>
    <t>0064508</t>
  </si>
  <si>
    <t>986983380</t>
  </si>
  <si>
    <t>94933</t>
  </si>
  <si>
    <t>109039</t>
  </si>
  <si>
    <t>4983</t>
  </si>
  <si>
    <t>BO-4983</t>
  </si>
  <si>
    <t>CHILCA VARILLAS LUCIA YOVANNA</t>
  </si>
  <si>
    <t>15851814</t>
  </si>
  <si>
    <t>0074444</t>
  </si>
  <si>
    <t>926454924</t>
  </si>
  <si>
    <t>94619</t>
  </si>
  <si>
    <t>109042</t>
  </si>
  <si>
    <t>16</t>
  </si>
  <si>
    <t>FA-16</t>
  </si>
  <si>
    <t>HONOR ORTIZ JORGE BARTOLOME</t>
  </si>
  <si>
    <t>08529519</t>
  </si>
  <si>
    <t>0074686</t>
  </si>
  <si>
    <t>991651401</t>
  </si>
  <si>
    <t>OLAZABAL CARRASCO KATHERINE ELIZABETH</t>
  </si>
  <si>
    <t>94968</t>
  </si>
  <si>
    <t>109045</t>
  </si>
  <si>
    <t>6665</t>
  </si>
  <si>
    <t>BO-6665</t>
  </si>
  <si>
    <t>SOSA CHAVEZ ALBINO</t>
  </si>
  <si>
    <t>21250215</t>
  </si>
  <si>
    <t>0074509</t>
  </si>
  <si>
    <t>960753893</t>
  </si>
  <si>
    <t>94790</t>
  </si>
  <si>
    <t>20609126010</t>
  </si>
  <si>
    <t>109100</t>
  </si>
  <si>
    <t>12894</t>
  </si>
  <si>
    <t>BO-12894</t>
  </si>
  <si>
    <t>ANTAURCO CARBAJAL DOROTEA ALEJANDRINA</t>
  </si>
  <si>
    <t>31920869</t>
  </si>
  <si>
    <t>0074684</t>
  </si>
  <si>
    <t>977 515 895</t>
  </si>
  <si>
    <t>94993</t>
  </si>
  <si>
    <t>109106</t>
  </si>
  <si>
    <t>4990</t>
  </si>
  <si>
    <t>BO-4990</t>
  </si>
  <si>
    <t>CUEVA GONZALES SONIA DEL PILAR</t>
  </si>
  <si>
    <t>45133382</t>
  </si>
  <si>
    <t>0074766</t>
  </si>
  <si>
    <t>950601522</t>
  </si>
  <si>
    <t>95022</t>
  </si>
  <si>
    <t>20609755301</t>
  </si>
  <si>
    <t>109259</t>
  </si>
  <si>
    <t>710</t>
  </si>
  <si>
    <t>BO-710</t>
  </si>
  <si>
    <t>95115</t>
  </si>
  <si>
    <t>20344492108</t>
  </si>
  <si>
    <t>109505</t>
  </si>
  <si>
    <t>5049</t>
  </si>
  <si>
    <t>BO-5049</t>
  </si>
  <si>
    <t>TEJADA DIAZ BELEN</t>
  </si>
  <si>
    <t>06078715</t>
  </si>
  <si>
    <t>0066394</t>
  </si>
  <si>
    <t>923670661</t>
  </si>
  <si>
    <t>95319</t>
  </si>
  <si>
    <t>109511</t>
  </si>
  <si>
    <t>12978</t>
  </si>
  <si>
    <t>BO-12978</t>
  </si>
  <si>
    <t>BALDEON QUISPE DONATILDA</t>
  </si>
  <si>
    <t>28446197</t>
  </si>
  <si>
    <t>0074762</t>
  </si>
  <si>
    <t>941828550</t>
  </si>
  <si>
    <t>95325</t>
  </si>
  <si>
    <t>109514</t>
  </si>
  <si>
    <t>12980</t>
  </si>
  <si>
    <t>BO-12980</t>
  </si>
  <si>
    <t>FELIX FLORES VDA. DE UTIA ILADIA</t>
  </si>
  <si>
    <t>20531233</t>
  </si>
  <si>
    <t>0074761</t>
  </si>
  <si>
    <t>943632894</t>
  </si>
  <si>
    <t>95328</t>
  </si>
  <si>
    <t>109538</t>
  </si>
  <si>
    <t>12983</t>
  </si>
  <si>
    <t>BO-12983</t>
  </si>
  <si>
    <t>GARRIDO ALVAREZ ZOILA ELVIRA</t>
  </si>
  <si>
    <t>08731077</t>
  </si>
  <si>
    <t>0074945</t>
  </si>
  <si>
    <t>985172850</t>
  </si>
  <si>
    <t>95349</t>
  </si>
  <si>
    <t>109546</t>
  </si>
  <si>
    <t>12985</t>
  </si>
  <si>
    <t>BO-12985</t>
  </si>
  <si>
    <t>SAENZ HUAMANCHUMO ROBERT DANIEL</t>
  </si>
  <si>
    <t>32979722</t>
  </si>
  <si>
    <t>0074950</t>
  </si>
  <si>
    <t>943497488</t>
  </si>
  <si>
    <t>95354</t>
  </si>
  <si>
    <t>109550</t>
  </si>
  <si>
    <t>5052</t>
  </si>
  <si>
    <t>BO-5052</t>
  </si>
  <si>
    <t>ROJO OCHARAN DORA PATRICIA</t>
  </si>
  <si>
    <t>06544973</t>
  </si>
  <si>
    <t>0074952</t>
  </si>
  <si>
    <t>984393831</t>
  </si>
  <si>
    <t>95358</t>
  </si>
  <si>
    <t>109557</t>
  </si>
  <si>
    <t>1157</t>
  </si>
  <si>
    <t>FA-1157</t>
  </si>
  <si>
    <t>20603985339</t>
  </si>
  <si>
    <t>95327</t>
  </si>
  <si>
    <t>109558</t>
  </si>
  <si>
    <t>1158</t>
  </si>
  <si>
    <t>FA-1158</t>
  </si>
  <si>
    <t>95334</t>
  </si>
  <si>
    <t>109564</t>
  </si>
  <si>
    <t>1159</t>
  </si>
  <si>
    <t>FA-1159</t>
  </si>
  <si>
    <t>95324</t>
  </si>
  <si>
    <t>109567</t>
  </si>
  <si>
    <t>1160</t>
  </si>
  <si>
    <t>FA-1160</t>
  </si>
  <si>
    <t>CUZCO VALLE CLAUDIO</t>
  </si>
  <si>
    <t>0074880</t>
  </si>
  <si>
    <t>95299</t>
  </si>
  <si>
    <t>109570</t>
  </si>
  <si>
    <t>1161</t>
  </si>
  <si>
    <t>FA-1161</t>
  </si>
  <si>
    <t>VARGAS ICHPAS EDWIN RUSBEL</t>
  </si>
  <si>
    <t>0074935</t>
  </si>
  <si>
    <t>931378477</t>
  </si>
  <si>
    <t>95371</t>
  </si>
  <si>
    <t>109572</t>
  </si>
  <si>
    <t>5449</t>
  </si>
  <si>
    <t>BO-5449</t>
  </si>
  <si>
    <t>95373</t>
  </si>
  <si>
    <t>109598</t>
  </si>
  <si>
    <t>5056</t>
  </si>
  <si>
    <t>BO-5056</t>
  </si>
  <si>
    <t>HUERTAS RAMIREZ MARIA ISABEL</t>
  </si>
  <si>
    <t>08591650</t>
  </si>
  <si>
    <t>0074976</t>
  </si>
  <si>
    <t>945606660</t>
  </si>
  <si>
    <t>95394</t>
  </si>
  <si>
    <t>109620</t>
  </si>
  <si>
    <t>5454</t>
  </si>
  <si>
    <t>BO-5454</t>
  </si>
  <si>
    <t>FIGUEROA CAYETANO ABIGAIL ANAHI</t>
  </si>
  <si>
    <t>79926099</t>
  </si>
  <si>
    <t>0074988</t>
  </si>
  <si>
    <t>932574638</t>
  </si>
  <si>
    <t>95411</t>
  </si>
  <si>
    <t>109641</t>
  </si>
  <si>
    <t>12996</t>
  </si>
  <si>
    <t>BO-12996</t>
  </si>
  <si>
    <t>RODRIGUEZ QUISPE LEONOR</t>
  </si>
  <si>
    <t>06197040</t>
  </si>
  <si>
    <t>0054465</t>
  </si>
  <si>
    <t>957861266</t>
  </si>
  <si>
    <t>95429</t>
  </si>
  <si>
    <t>109661</t>
  </si>
  <si>
    <t>13000</t>
  </si>
  <si>
    <t>BO-13000</t>
  </si>
  <si>
    <t>95446</t>
  </si>
  <si>
    <t>109663</t>
  </si>
  <si>
    <t>1162</t>
  </si>
  <si>
    <t>FA-1162</t>
  </si>
  <si>
    <t>95298</t>
  </si>
  <si>
    <t>109664</t>
  </si>
  <si>
    <t>1163</t>
  </si>
  <si>
    <t>FA-1163</t>
  </si>
  <si>
    <t>95297</t>
  </si>
  <si>
    <t>109704</t>
  </si>
  <si>
    <t>13006</t>
  </si>
  <si>
    <t>BO-13006</t>
  </si>
  <si>
    <t>RUIZ ZELADA RODOLFO EUGENIO</t>
  </si>
  <si>
    <t>02658095</t>
  </si>
  <si>
    <t>0075036</t>
  </si>
  <si>
    <t>986401216</t>
  </si>
  <si>
    <t>95478</t>
  </si>
  <si>
    <t>109717</t>
  </si>
  <si>
    <t>13009</t>
  </si>
  <si>
    <t>BO-13009</t>
  </si>
  <si>
    <t>RENGIFO PANDURO FERNANDO</t>
  </si>
  <si>
    <t>25739214</t>
  </si>
  <si>
    <t>0074878</t>
  </si>
  <si>
    <t>95392</t>
  </si>
  <si>
    <t>109722</t>
  </si>
  <si>
    <t>13010</t>
  </si>
  <si>
    <t>BO-13010</t>
  </si>
  <si>
    <t>IBARRA RICALDI ROSA ELENA</t>
  </si>
  <si>
    <t>03576551</t>
  </si>
  <si>
    <t>0075044</t>
  </si>
  <si>
    <t>945335404</t>
  </si>
  <si>
    <t>95495</t>
  </si>
  <si>
    <t>109773</t>
  </si>
  <si>
    <t>5084</t>
  </si>
  <si>
    <t>BO-5084</t>
  </si>
  <si>
    <t>LAZO RONDON FELIX ELADIO</t>
  </si>
  <si>
    <t>19830383</t>
  </si>
  <si>
    <t>0075056</t>
  </si>
  <si>
    <t>998453206</t>
  </si>
  <si>
    <t>95535</t>
  </si>
  <si>
    <t>109897</t>
  </si>
  <si>
    <t>5484</t>
  </si>
  <si>
    <t>BO-5484</t>
  </si>
  <si>
    <t>ALVARADO SANCHEZ JESUS ANTONIO</t>
  </si>
  <si>
    <t>74071983</t>
  </si>
  <si>
    <t>0075129</t>
  </si>
  <si>
    <t>992857674</t>
  </si>
  <si>
    <t>95627</t>
  </si>
  <si>
    <t>109899</t>
  </si>
  <si>
    <t>LLERENA MOGROVEJO FERNANDO LUIS</t>
  </si>
  <si>
    <t>08575185</t>
  </si>
  <si>
    <t>0075130</t>
  </si>
  <si>
    <t>974623770</t>
  </si>
  <si>
    <t>95628</t>
  </si>
  <si>
    <t>109904</t>
  </si>
  <si>
    <t>13048</t>
  </si>
  <si>
    <t>BO-13048</t>
  </si>
  <si>
    <t>BRENIS PEREYRA RONALD GERALDO</t>
  </si>
  <si>
    <t>06057510</t>
  </si>
  <si>
    <t>0075133</t>
  </si>
  <si>
    <t>919651251</t>
  </si>
  <si>
    <t>95631</t>
  </si>
  <si>
    <t>109905</t>
  </si>
  <si>
    <t>13049</t>
  </si>
  <si>
    <t>BO-13049</t>
  </si>
  <si>
    <t>CARDENAS POMA MARY</t>
  </si>
  <si>
    <t>08285425</t>
  </si>
  <si>
    <t>0075120</t>
  </si>
  <si>
    <t>901526001</t>
  </si>
  <si>
    <t>95612</t>
  </si>
  <si>
    <t>109913</t>
  </si>
  <si>
    <t>13050</t>
  </si>
  <si>
    <t>BO-13050</t>
  </si>
  <si>
    <t>COLLAZOS MOLINA MARIA ANGELA</t>
  </si>
  <si>
    <t>08345176</t>
  </si>
  <si>
    <t>CARRANZA MENDIZABAL SARITA</t>
  </si>
  <si>
    <t>0075127</t>
  </si>
  <si>
    <t>992521796</t>
  </si>
  <si>
    <t>95636</t>
  </si>
  <si>
    <t>109978</t>
  </si>
  <si>
    <t>13068</t>
  </si>
  <si>
    <t>BO-13068</t>
  </si>
  <si>
    <t>TORREALVA ROSAS DE GIRON UDELIA</t>
  </si>
  <si>
    <t>07217162</t>
  </si>
  <si>
    <t>0075154</t>
  </si>
  <si>
    <t>987738090</t>
  </si>
  <si>
    <t>95693</t>
  </si>
  <si>
    <t>109993</t>
  </si>
  <si>
    <t>13073</t>
  </si>
  <si>
    <t>BO-13073</t>
  </si>
  <si>
    <t>QUISPE HUAMANI JOSE</t>
  </si>
  <si>
    <t>08864294</t>
  </si>
  <si>
    <t>MATOS BARBAS VICTORIA</t>
  </si>
  <si>
    <t>0075164</t>
  </si>
  <si>
    <t>991671608</t>
  </si>
  <si>
    <t>95706</t>
  </si>
  <si>
    <t>2519</t>
  </si>
  <si>
    <t>NC-13073</t>
  </si>
  <si>
    <t>110008</t>
  </si>
  <si>
    <t>13078</t>
  </si>
  <si>
    <t>BO-13078</t>
  </si>
  <si>
    <t>95715</t>
  </si>
  <si>
    <t>110013</t>
  </si>
  <si>
    <t>13080</t>
  </si>
  <si>
    <t>BO-13080</t>
  </si>
  <si>
    <t>YEP WONG ANDREW SIGONG</t>
  </si>
  <si>
    <t>47959078</t>
  </si>
  <si>
    <t>0075168</t>
  </si>
  <si>
    <t>988833330</t>
  </si>
  <si>
    <t>95720</t>
  </si>
  <si>
    <t>110044</t>
  </si>
  <si>
    <t>6689</t>
  </si>
  <si>
    <t>BO-6689</t>
  </si>
  <si>
    <t>PAULLO JORDAN GREGORIO</t>
  </si>
  <si>
    <t>07845125</t>
  </si>
  <si>
    <t>0074887</t>
  </si>
  <si>
    <t>993990487</t>
  </si>
  <si>
    <t>95326</t>
  </si>
  <si>
    <t>110168</t>
  </si>
  <si>
    <t>750</t>
  </si>
  <si>
    <t>BO-750</t>
  </si>
  <si>
    <t>ROQUE HUAMAN ROBERTINA</t>
  </si>
  <si>
    <t>25187583</t>
  </si>
  <si>
    <t>0075214</t>
  </si>
  <si>
    <t>994013915</t>
  </si>
  <si>
    <t>95811</t>
  </si>
  <si>
    <t>110200</t>
  </si>
  <si>
    <t>6728</t>
  </si>
  <si>
    <t>BO-6728</t>
  </si>
  <si>
    <t>CALDERON NIEVA ROLANDO RIGOBERTO</t>
  </si>
  <si>
    <t>09809341</t>
  </si>
  <si>
    <t>0075143</t>
  </si>
  <si>
    <t>+51947142879</t>
  </si>
  <si>
    <t>95803</t>
  </si>
  <si>
    <t>110202</t>
  </si>
  <si>
    <t>6730</t>
  </si>
  <si>
    <t>BO-6730</t>
  </si>
  <si>
    <t>PARIONA MEZA ELSA ALEJANDRINA</t>
  </si>
  <si>
    <t>19838285</t>
  </si>
  <si>
    <t>0075090</t>
  </si>
  <si>
    <t>962893685</t>
  </si>
  <si>
    <t>95852</t>
  </si>
  <si>
    <t>110203</t>
  </si>
  <si>
    <t>6731</t>
  </si>
  <si>
    <t>BO-6731</t>
  </si>
  <si>
    <t>95853</t>
  </si>
  <si>
    <t>110204</t>
  </si>
  <si>
    <t>6732</t>
  </si>
  <si>
    <t>BO-6732</t>
  </si>
  <si>
    <t>95851</t>
  </si>
  <si>
    <t>110227</t>
  </si>
  <si>
    <t>6737</t>
  </si>
  <si>
    <t>BO-6737</t>
  </si>
  <si>
    <t>AGRAMONTE BERMEJO JORGE ADALBERTO</t>
  </si>
  <si>
    <t>09177169</t>
  </si>
  <si>
    <t>0075242</t>
  </si>
  <si>
    <t>990116070</t>
  </si>
  <si>
    <t>95870</t>
  </si>
  <si>
    <t>110233</t>
  </si>
  <si>
    <t>6739</t>
  </si>
  <si>
    <t>BO-6739</t>
  </si>
  <si>
    <t>TALLEDO SALDARRIAGA ANDRES RIGOBERTO</t>
  </si>
  <si>
    <t>03477129</t>
  </si>
  <si>
    <t>0075089</t>
  </si>
  <si>
    <t>95873</t>
  </si>
  <si>
    <t>110274</t>
  </si>
  <si>
    <t>658</t>
  </si>
  <si>
    <t>FA-658</t>
  </si>
  <si>
    <t>95882</t>
  </si>
  <si>
    <t>110297</t>
  </si>
  <si>
    <t>659</t>
  </si>
  <si>
    <t>FA-659</t>
  </si>
  <si>
    <t>95600</t>
  </si>
  <si>
    <t>110306</t>
  </si>
  <si>
    <t>6749</t>
  </si>
  <si>
    <t>BO-6749</t>
  </si>
  <si>
    <t>MENDOZA RODRIGUEZ SILVIA CESARINA</t>
  </si>
  <si>
    <t>43186515</t>
  </si>
  <si>
    <t>LOO CUBA ALBERTO</t>
  </si>
  <si>
    <t>0075288</t>
  </si>
  <si>
    <t>992789965</t>
  </si>
  <si>
    <t>95942</t>
  </si>
  <si>
    <t>110341</t>
  </si>
  <si>
    <t>6755</t>
  </si>
  <si>
    <t>BO-6755</t>
  </si>
  <si>
    <t>95977</t>
  </si>
  <si>
    <t>110376</t>
  </si>
  <si>
    <t>6765</t>
  </si>
  <si>
    <t>BO-6765</t>
  </si>
  <si>
    <t>HUAMANI YSASSI HORTENCIA PORFIRIA</t>
  </si>
  <si>
    <t>00046437</t>
  </si>
  <si>
    <t>0075280</t>
  </si>
  <si>
    <t>96021</t>
  </si>
  <si>
    <t>110377</t>
  </si>
  <si>
    <t>6766</t>
  </si>
  <si>
    <t>BO-6766</t>
  </si>
  <si>
    <t>VASQUEZ PARIONA MARUJA</t>
  </si>
  <si>
    <t>28600323</t>
  </si>
  <si>
    <t>0075335</t>
  </si>
  <si>
    <t>949840852</t>
  </si>
  <si>
    <t>96022</t>
  </si>
  <si>
    <t>110390</t>
  </si>
  <si>
    <t>6767</t>
  </si>
  <si>
    <t>BO-6767</t>
  </si>
  <si>
    <t>ZARATE DOLORES GLADYS CECILIA</t>
  </si>
  <si>
    <t>44015627</t>
  </si>
  <si>
    <t>0075340</t>
  </si>
  <si>
    <t>918874505</t>
  </si>
  <si>
    <t>96029</t>
  </si>
  <si>
    <t>110396</t>
  </si>
  <si>
    <t>6770</t>
  </si>
  <si>
    <t>BO-6770</t>
  </si>
  <si>
    <t>OBREGON OLORTEGUI FREDY NOEL</t>
  </si>
  <si>
    <t>40039882</t>
  </si>
  <si>
    <t>0075347</t>
  </si>
  <si>
    <t>952816597</t>
  </si>
  <si>
    <t>96039</t>
  </si>
  <si>
    <t>110400</t>
  </si>
  <si>
    <t>6772</t>
  </si>
  <si>
    <t>BO-6772</t>
  </si>
  <si>
    <t>SALVATIERRA ANCCO EVER</t>
  </si>
  <si>
    <t>47929578</t>
  </si>
  <si>
    <t>0075353</t>
  </si>
  <si>
    <t>994770176</t>
  </si>
  <si>
    <t>96044</t>
  </si>
  <si>
    <t>110434</t>
  </si>
  <si>
    <t>6778</t>
  </si>
  <si>
    <t>BO-6778</t>
  </si>
  <si>
    <t>QUISPE MITMA EIDA AGRIPINA</t>
  </si>
  <si>
    <t>48187904</t>
  </si>
  <si>
    <t>0075361</t>
  </si>
  <si>
    <t>914989789</t>
  </si>
  <si>
    <t>96072</t>
  </si>
  <si>
    <t>110438</t>
  </si>
  <si>
    <t>6779</t>
  </si>
  <si>
    <t>BO-6779</t>
  </si>
  <si>
    <t>MOREANO MIRANDA MARLENE MARISOL</t>
  </si>
  <si>
    <t>10014140</t>
  </si>
  <si>
    <t>0075176</t>
  </si>
  <si>
    <t>96024</t>
  </si>
  <si>
    <t>110439</t>
  </si>
  <si>
    <t>6780</t>
  </si>
  <si>
    <t>BO-6780</t>
  </si>
  <si>
    <t>VALENCIA POSTIGO DE HERRERA VICENTA MERC</t>
  </si>
  <si>
    <t>06054924</t>
  </si>
  <si>
    <t>0075177</t>
  </si>
  <si>
    <t>96031</t>
  </si>
  <si>
    <t>110484</t>
  </si>
  <si>
    <t>5208</t>
  </si>
  <si>
    <t>BO-5208</t>
  </si>
  <si>
    <t>96112</t>
  </si>
  <si>
    <t>110523</t>
  </si>
  <si>
    <t>6786</t>
  </si>
  <si>
    <t>BO-6786</t>
  </si>
  <si>
    <t>MEDRANO ARANGO JUSTO</t>
  </si>
  <si>
    <t>31025906</t>
  </si>
  <si>
    <t>0075391</t>
  </si>
  <si>
    <t>935790872</t>
  </si>
  <si>
    <t>96141</t>
  </si>
  <si>
    <t>110603</t>
  </si>
  <si>
    <t>5510</t>
  </si>
  <si>
    <t>BO-5510</t>
  </si>
  <si>
    <t>ALOR HUARACA ILLARY MICAELA</t>
  </si>
  <si>
    <t>43452622</t>
  </si>
  <si>
    <t>0075107</t>
  </si>
  <si>
    <t>999954156</t>
  </si>
  <si>
    <t>HUARACA BRUNO KARINA MILAGROS</t>
  </si>
  <si>
    <t>96208</t>
  </si>
  <si>
    <t>CCARRAZCO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</si>
</sst>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1" x14ac:knownFonts="1">
    <font>
      <sz val="11"/>
      <color theme="1"/>
      <name val="Aptos Narrow"/>
    </font>
    <font>
      <sz val="11"/>
      <color theme="1"/>
      <name val="Aptos Narrow"/>
    </font>
    <font>
      <b/>
      <sz val="11"/>
      <color theme="0"/>
      <name val="Aptos Narrow"/>
    </font>
    <font>
      <sz val="8"/>
      <name val="Aptos Narrow"/>
    </font>
    <font>
      <b/>
      <sz val="11"/>
      <color theme="9" tint="0.59996337778862885"/>
      <name val="Aptos Narrow"/>
    </font>
    <font>
      <b/>
      <sz val="16"/>
      <color theme="9" tint="0.59996337778862885"/>
      <name val="Aptos Narrow"/>
    </font>
    <font>
      <b/>
      <sz val="11"/>
      <color theme="1"/>
      <name val="Aptos Narrow"/>
    </font>
    <font>
      <b/>
      <sz val="14"/>
      <color theme="1"/>
      <name val="Aptos Narrow"/>
    </font>
    <font>
      <b/>
      <sz val="14"/>
      <color theme="0"/>
      <name val="Aptos Narrow"/>
    </font>
    <font>
      <b/>
      <sz val="11"/>
      <color rgb="FFFFFFFF"/>
      <name val="Aptos Narrow"/>
    </font>
    <font>
      <b/>
      <sz val="11"/>
      <color rgb="FF134534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-0.49995422223578601"/>
        <bgColor indexed="65"/>
      </patternFill>
    </fill>
    <fill>
      <patternFill patternType="solid">
        <fgColor rgb="FF176B52"/>
      </patternFill>
    </fill>
    <fill>
      <patternFill patternType="solid">
        <fgColor rgb="FFDDEFE5"/>
      </patternFill>
    </fill>
  </fills>
  <borders count="31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44" fontId="0" fillId="0" borderId="0" xfId="1" applyFont="1"/>
    <xf numFmtId="0" fontId="4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7" xfId="0" applyBorder="1"/>
    <xf numFmtId="0" fontId="0" fillId="0" borderId="10" xfId="0" applyBorder="1"/>
    <xf numFmtId="0" fontId="7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44" fontId="0" fillId="0" borderId="11" xfId="1" applyFont="1" applyBorder="1"/>
    <xf numFmtId="44" fontId="0" fillId="0" borderId="2" xfId="1" applyFont="1" applyBorder="1"/>
    <xf numFmtId="44" fontId="0" fillId="0" borderId="21" xfId="1" applyFont="1" applyBorder="1"/>
    <xf numFmtId="44" fontId="0" fillId="0" borderId="2" xfId="1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4" fontId="1" fillId="0" borderId="2" xfId="1" applyFont="1" applyFill="1" applyBorder="1"/>
    <xf numFmtId="0" fontId="0" fillId="0" borderId="6" xfId="0" applyBorder="1"/>
    <xf numFmtId="0" fontId="6" fillId="0" borderId="26" xfId="0" applyFont="1" applyBorder="1" applyAlignment="1">
      <alignment horizontal="center"/>
    </xf>
    <xf numFmtId="44" fontId="6" fillId="0" borderId="27" xfId="1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4" fontId="1" fillId="0" borderId="4" xfId="1" applyFont="1" applyFill="1" applyBorder="1"/>
    <xf numFmtId="0" fontId="0" fillId="0" borderId="4" xfId="0" applyBorder="1"/>
    <xf numFmtId="9" fontId="1" fillId="0" borderId="5" xfId="2" applyFont="1" applyBorder="1"/>
    <xf numFmtId="9" fontId="1" fillId="0" borderId="7" xfId="0" applyNumberFormat="1" applyFont="1" applyBorder="1"/>
    <xf numFmtId="0" fontId="6" fillId="0" borderId="8" xfId="0" applyFont="1" applyBorder="1" applyAlignment="1">
      <alignment horizontal="center"/>
    </xf>
    <xf numFmtId="44" fontId="6" fillId="0" borderId="9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9" fontId="1" fillId="0" borderId="10" xfId="0" applyNumberFormat="1" applyFont="1" applyBorder="1"/>
    <xf numFmtId="0" fontId="0" fillId="0" borderId="29" xfId="0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44" fontId="0" fillId="0" borderId="4" xfId="1" applyFont="1" applyBorder="1"/>
    <xf numFmtId="0" fontId="0" fillId="0" borderId="5" xfId="0" applyBorder="1"/>
    <xf numFmtId="0" fontId="0" fillId="0" borderId="8" xfId="0" applyBorder="1"/>
    <xf numFmtId="44" fontId="0" fillId="0" borderId="9" xfId="1" applyFont="1" applyBorder="1"/>
    <xf numFmtId="9" fontId="1" fillId="0" borderId="5" xfId="2" applyFont="1" applyFill="1" applyBorder="1"/>
    <xf numFmtId="0" fontId="0" fillId="0" borderId="30" xfId="0" applyBorder="1"/>
    <xf numFmtId="44" fontId="0" fillId="0" borderId="0" xfId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/>
    <xf numFmtId="0" fontId="9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5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NumberFormat="1"/>
  </cellXfs>
  <cellStyles count="3">
    <cellStyle name="Moneda" xfId="1" xr:uid="{00000000-0005-0000-0000-000000000000}"/>
    <cellStyle name="Normal" xfId="0" builtinId="0"/>
    <cellStyle name="Porcentaje" xfId="2" xr:uid="{00000000-0005-0000-0000-000002000000}"/>
  </cellStyles>
  <dxfs count="1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S/&quot;\ * #,##0.00_-;\-&quot;S/&quot;\ * #,##0.00_-;_-&quot;S/&quot;\ * &quot;-&quot;??_-;_-@_-"/>
    </dxf>
    <dxf>
      <font>
        <u val="none"/>
        <sz val="11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>
        <bottom style="medium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numFmt numFmtId="13" formatCode="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bottom style="medium">
          <color indexed="64"/>
        </bottom>
      </border>
    </dxf>
    <dxf>
      <font>
        <b/>
        <u val="none"/>
        <sz val="14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13" formatCode="0%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indexed="65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numFmt numFmtId="0" formatCode="General"/>
    </dxf>
    <dxf>
      <border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font>
        <u val="none"/>
        <sz val="11"/>
        <color theme="1"/>
        <name val="Aptos Narrow"/>
        <family val="2"/>
        <scheme val="minor"/>
      </font>
    </dxf>
    <dxf>
      <fill>
        <patternFill patternType="solid">
          <bgColor auto="1"/>
        </patternFill>
      </fill>
      <border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01.480277430557" createdVersion="8" refreshedVersion="8" minRefreshableVersion="3" recordCount="779" xr:uid="{00000000-000A-0000-FFFF-FFFF00000000}">
  <cacheSource type="worksheet">
    <worksheetSource name="Ventas_Precisa"/>
  </cacheSource>
  <cacheFields count="30">
    <cacheField name="FECHA" numFmtId="14">
      <sharedItems containsSemiMixedTypes="0" containsNonDate="0" containsDate="1" containsString="0" minDate="2026-06-01T00:00:00" maxDate="2026-10-01T00:00:00"/>
    </cacheField>
    <cacheField name="MES" numFmtId="0">
      <sharedItems count="4">
        <s v="Junio"/>
        <s v="Julio"/>
        <s v="Agosto"/>
        <s v="Setiembre"/>
      </sharedItems>
    </cacheField>
    <cacheField name="INVNUM" numFmtId="0">
      <sharedItems/>
    </cacheField>
    <cacheField name="COMPROBANTE" numFmtId="0">
      <sharedItems/>
    </cacheField>
    <cacheField name="FACTURA" numFmtId="0">
      <sharedItems/>
    </cacheField>
    <cacheField name="TIPO PAGO" numFmtId="0">
      <sharedItems/>
    </cacheField>
    <cacheField name="# DOC" numFmtId="0">
      <sharedItems/>
    </cacheField>
    <cacheField name="PACIENTE" numFmtId="0">
      <sharedItems/>
    </cacheField>
    <cacheField name="DNI" numFmtId="0">
      <sharedItems/>
    </cacheField>
    <cacheField name="MEDICO" numFmtId="0">
      <sharedItems containsBlank="1"/>
    </cacheField>
    <cacheField name="INSTITUCIÓN" numFmtId="0">
      <sharedItems containsBlank="1"/>
    </cacheField>
    <cacheField name="CARTERA" numFmtId="0">
      <sharedItems/>
    </cacheField>
    <cacheField name="HISTORIA" numFmtId="0">
      <sharedItems/>
    </cacheField>
    <cacheField name="TELEFONO" numFmtId="0">
      <sharedItems/>
    </cacheField>
    <cacheField name="RAZON SOCIAL" numFmtId="0">
      <sharedItems/>
    </cacheField>
    <cacheField name="PREFACTURA" numFmtId="0">
      <sharedItems/>
    </cacheField>
    <cacheField name="DESCRIPCION" numFmtId="0">
      <sharedItems count="44">
        <s v="OCT DE MACULA"/>
        <s v="ECOGRAFIA OCULAR GENERAL SCAN A,B"/>
        <s v="OCT DE NERVIO OPTICO  Y CELULAS GANGLION"/>
        <s v="USO DE EQUIPOS E INSUMO AVASTIN"/>
        <s v="CAMPIMETRIA (CAMPO VISUAL)"/>
        <s v="PAQUIMETRIA"/>
        <s v="FOTOCLINICA EN MOSAICO"/>
        <s v="BIOMETRIA IOL MASTER 700"/>
        <s v="MICROSCOPIA ESPECULAR"/>
        <s v="CIRUGIA DE DIA"/>
        <s v="FACOEMULSIFICACION PRIMIUM"/>
        <s v="USO DE EQUIPOS E INSUMO IRIDOTOMIA"/>
        <s v="TOPOGRAFIA CORNEAL"/>
        <s v="USO DE EQUIPOS E INSUMO BLEFAROPLASTIA"/>
        <s v="PQ BIOMETRIA MICROSCOPIA"/>
        <s v="ELECTROCARDIOGRAMA-EKG"/>
        <s v="HEMOGRAMA COMPLETO"/>
        <s v="ORINA COMPLETO"/>
        <s v="GLUCOSA"/>
        <s v="TIEMPO DE COAGULACION Y SANGRIA"/>
        <s v="HIV 1,2 (TEST RAPIDO)"/>
        <s v="ANGIOGRAFIA CON FLUORESCEINA"/>
        <s v="USO DE EQUIPOS E INSUMO CAPSULOTOMIA"/>
        <s v="CIRUGIA REFRACTIVA TRANS PRK "/>
        <s v="CONJUNTIVOPLASTIA "/>
        <s v="CIPROFLOXACINO 500 MG TAB"/>
        <s v="PREDNISONA 20MG TABLETAS"/>
        <s v="PARACETAMOL 500MG TABLETA"/>
        <s v="EXAMENES AUXILIARES"/>
        <s v="CONJUNTIVOPLASTIA C/PEGAMENTO TISULAR "/>
        <s v="INTERVENCIONES QUIRURGICAS"/>
        <s v="MS.BASP.HO.AT.AR6224"/>
        <s v="PROTECTOR OCULAR ESTERIL"/>
        <s v="USO DE EQUIPOS E INSUMO FOTOCOAGULACION"/>
        <s v="CIRUGIA REFRACTIVA LASIK  "/>
        <s v="OCT ANGIOGRAFIA MACULA"/>
        <s v="CROSSLINKING CORNEAL "/>
        <s v="CONSULTA DE OFTALMOLOGIA"/>
        <s v="OFTALMOSCOPÍA INDIRECTA (FONDO DE OJO)"/>
        <s v="MININUC "/>
        <s v="CHALAZIUM, BLEFAROTOMIA ABSCESO "/>
        <s v="FACOEMULSIFICACION COMPLICADA "/>
        <s v="OCT DE SEGMENTO ANTERIOR (ANGULOS)"/>
        <s v="OCT SEGMENTO ANTERIOR (CORNEA)"/>
      </sharedItems>
    </cacheField>
    <cacheField name="CANTIDAD" numFmtId="0">
      <sharedItems containsSemiMixedTypes="0" containsString="0" containsNumber="1" containsInteger="1" minValue="1" maxValue="2"/>
    </cacheField>
    <cacheField name="DESCRIP PLAN" numFmtId="0">
      <sharedItems/>
    </cacheField>
    <cacheField name="CONTRATANTE" numFmtId="0">
      <sharedItems/>
    </cacheField>
    <cacheField name="ASEGURADORA" numFmtId="0">
      <sharedItems/>
    </cacheField>
    <cacheField name="SEDEXX" numFmtId="0">
      <sharedItems/>
    </cacheField>
    <cacheField name="FACTURADOR" numFmtId="0">
      <sharedItems/>
    </cacheField>
    <cacheField name="FAC TOTAL" numFmtId="0">
      <sharedItems containsSemiMixedTypes="0" containsString="0" containsNumber="1" minValue="-203.39" maxValue="3508.47"/>
    </cacheField>
    <cacheField name="CENTRO_COSTO" numFmtId="0">
      <sharedItems/>
    </cacheField>
    <cacheField name="CONVENIO" numFmtId="0">
      <sharedItems/>
    </cacheField>
    <cacheField name="SEDE" numFmtId="0">
      <sharedItems/>
    </cacheField>
    <cacheField name="CELULAR" numFmtId="0">
      <sharedItems containsString="0" containsBlank="1" containsNumber="1" containsInteger="1" minValue="901918745" maxValue="999996347"/>
    </cacheField>
    <cacheField name="CUENTA BANCARIA" numFmtId="0">
      <sharedItems containsBlank="1"/>
    </cacheField>
    <cacheField name="Bono" numFmtId="0">
      <sharedItems containsString="0" containsBlank="1" containsNumber="1" containsInteger="1" minValue="30" maxValue="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x:pivotCacheRecords xmlns:x="http://schemas.openxmlformats.org/spreadsheetml/2006/main" count="779">
  <x:r>
    <x:d v="2026-06-01T00:00:00Z"/>
    <x:x v="0"/>
    <x:s v="97734"/>
    <x:s v="BO"/>
    <x:s v="5483"/>
    <x:s v="CO"/>
    <x:s v="BO-5483"/>
    <x:s v="MARIN DIAZ JORGE MARCIAL"/>
    <x:s v="06105706"/>
    <x:s v="ORNA ACOSTA JORGE AQUILES"/>
    <x:s v="HOSPITAL LOAYZA"/>
    <x:s v="CRISTINA"/>
    <x:s v="0069701"/>
    <x:s v="990056060"/>
    <x:s v="MARIN DIAZ JORGE MARCIAL"/>
    <x:s v="85829"/>
    <x:x v="0"/>
    <x:n v="1"/>
    <x:s v="PRECISA"/>
    <x:s v="POR ASIGNAR"/>
    <x:s v="INSTITUTO MEDICO QUIRURGICO AREQUIPA S.A"/>
    <x:s v="L.CENTRO"/>
    <x:s v="ACABRERA"/>
    <x:n v="186.44"/>
    <x:s v="LN. EXAMENES"/>
    <x:s v="CIAS. DE SEGURO"/>
    <x:s v="CENTRO"/>
    <x:n v="999996347"/>
    <x:s v="052-7510523"/>
    <x:n v="50"/>
  </x:r>
  <x:r>
    <x:d v="2026-06-01T00:00:00Z"/>
    <x:x v="0"/>
    <x:s v="97768"/>
    <x:s v="BO"/>
    <x:s v="11380"/>
    <x:s v="CO"/>
    <x:s v="BO-11380"/>
    <x:s v="DAVILA URIBE JOSELUIS FRANKLIN"/>
    <x:s v="63710675"/>
    <x:s v="PEÑA CAMARGO CRISTOPHER OMAR"/>
    <x:s v="HOSPITAL SERGIO BERNALES"/>
    <x:s v="CRISTINA"/>
    <x:s v="0069713"/>
    <x:s v="916691513"/>
    <x:s v="DAVILA URIBE JOSELUIS FRANKLIN"/>
    <x:s v="85858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64328569"/>
    <x:s v="191-70241223029"/>
    <x:n v="50"/>
  </x:r>
  <x:r>
    <x:d v="2026-06-01T00:00:00Z"/>
    <x:x v="0"/>
    <x:s v="97737"/>
    <x:s v="BO"/>
    <x:s v="5485"/>
    <x:s v="CO"/>
    <x:s v="BO-5485"/>
    <x:s v="JIMENEZ BORCKARDT MARIA ELENA"/>
    <x:s v="09175695"/>
    <x:s v="TORRES LEAL ADOLFO LEON"/>
    <x:s v="CLÍNICA SAN FELIPE LA MOLINA"/>
    <x:s v="CRISTINA"/>
    <x:s v="0069704"/>
    <x:s v="962711137"/>
    <x:s v="JIMENEZ BORCKARDT MARIA ELENA"/>
    <x:s v="85831"/>
    <x:x v="1"/>
    <x:n v="1"/>
    <x:s v="PRECISA"/>
    <x:s v="POR ASIGNAR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6-01T00:00:00Z"/>
    <x:x v="0"/>
    <x:s v="97761"/>
    <x:s v="BO"/>
    <x:s v="11378"/>
    <x:s v="CO"/>
    <x:s v="BO-11378"/>
    <x:s v="SANDOVAL SANTAMARIA ANTERO"/>
    <x:s v="17562410"/>
    <x:s v="HUARANGA RUIZ CORNEJO JORGE ERNESTO"/>
    <x:s v="HOSPITAL MONGRUT"/>
    <x:s v="CRISTINA"/>
    <x:s v="0069712"/>
    <x:s v="956259223"/>
    <x:s v="SANDOVAL SANTAMARIA ANTERO"/>
    <x:s v="85854"/>
    <x:x v="1"/>
    <x:n v="1"/>
    <x:s v="PRECISA"/>
    <x:s v="POR ASIGNAR"/>
    <x:s v="INSTITUTO MEDICO QUIRURGICO AREQUIPA S.A"/>
    <x:s v="L.CENTRO"/>
    <x:s v="LMAGAN"/>
    <x:n v="135.59"/>
    <x:s v="LN. EXAMENES"/>
    <x:s v="CIAS. DE SEGURO"/>
    <x:s v="CENTRO"/>
    <x:n v="945319366"/>
    <x:s v="194-94066798065"/>
    <x:n v="30"/>
  </x:r>
  <x:r>
    <x:d v="2026-06-01T00:00:00Z"/>
    <x:x v="0"/>
    <x:s v="97762"/>
    <x:s v="BO"/>
    <x:s v="3764"/>
    <x:s v="CO"/>
    <x:s v="BO-3764"/>
    <x:s v="DIAZ DIAZ MARIA JUANA"/>
    <x:s v="48820433"/>
    <x:s v="AGRAMONTE ZEA EDILBERTO"/>
    <x:s v="HOSPITAL DE LA SOLIDARIDAD SJL"/>
    <x:s v="CRISTINA"/>
    <x:s v="0068509"/>
    <x:s v="980843789"/>
    <x:s v="DIAZ DIAZ MARIA JUANA"/>
    <x:s v="85855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87407712"/>
    <x:s v="0011-0190-0200333106"/>
    <x:n v="30"/>
  </x:r>
  <x:r>
    <x:d v="2026-06-01T00:00:00Z"/>
    <x:x v="0"/>
    <x:s v="97751"/>
    <x:s v="BO"/>
    <x:s v="11374"/>
    <x:s v="CO"/>
    <x:s v="BO-11374"/>
    <x:s v="HERRERA GRANDA VANNIA LUZ"/>
    <x:s v="77928579"/>
    <x:s v="PEÑA CAMARGO CRISTOPHER OMAR"/>
    <x:s v="HOSPITAL SERGIO BERNALES"/>
    <x:s v="CRISTINA"/>
    <x:s v="0067338"/>
    <x:s v="953421025"/>
    <x:s v="HERRERA GRANDA VANNIA LUZ"/>
    <x:s v="85844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64328569"/>
    <x:s v="191-70241223029"/>
    <x:n v="50"/>
  </x:r>
  <x:r>
    <x:d v="2026-06-02T00:00:00Z"/>
    <x:x v="0"/>
    <x:s v="97877"/>
    <x:s v="BO"/>
    <x:s v="5505"/>
    <x:s v="CO"/>
    <x:s v="BO-5505"/>
    <x:s v="REATEGUI VALLES REITER"/>
    <x:s v="01092510"/>
    <x:s v="MANSILLA JUAN JOSÉ"/>
    <x:s v="CONSULTORIO PARTICULAR"/>
    <x:s v="CRISTINA"/>
    <x:s v="0069757"/>
    <x:s v="931872630"/>
    <x:s v="REATEGUI VALLES REITER"/>
    <x:s v="85945"/>
    <x:x v="3"/>
    <x:n v="1"/>
    <x:s v="PRECISA"/>
    <x:s v="POR ASIGNAR"/>
    <x:s v="INSTITUTO MEDICO QUIRURGICO AREQUIPA S.A"/>
    <x:s v="L.CENTRO"/>
    <x:s v="ACABRERA"/>
    <x:n v="254.24"/>
    <x:s v="LN. PROCEDIMIENTO"/>
    <x:s v="CIAS. DE SEGURO"/>
    <x:s v="CENTRO"/>
    <x:m/>
    <x:m/>
    <x:m/>
  </x:r>
  <x:r>
    <x:d v="2026-06-03T00:00:00Z"/>
    <x:x v="0"/>
    <x:s v="97907"/>
    <x:s v="BO"/>
    <x:s v="5506"/>
    <x:s v="CO"/>
    <x:s v="BO-5506"/>
    <x:s v="MOTTA MARTINEZ JUSTINA OTILIA"/>
    <x:s v="08795262"/>
    <x:s v="CELIA RODRIGUEZ"/>
    <x:m/>
    <x:s v="CRISTINA"/>
    <x:s v="0054360"/>
    <x:s v="901653281"/>
    <x:s v="MOTTA MARTINEZ JUSTINA OTILIA"/>
    <x:s v="85960"/>
    <x:x v="4"/>
    <x:n v="1"/>
    <x:s v="PRECISA"/>
    <x:s v="POR ASIGNAR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6-03T00:00:00Z"/>
    <x:x v="0"/>
    <x:s v="97912"/>
    <x:s v="BO"/>
    <x:s v="11395"/>
    <x:s v="CO"/>
    <x:s v="BO-11395"/>
    <x:s v="MEDINA SILVESTRE GERONIMO"/>
    <x:s v="06279020"/>
    <x:s v="GUTARRA PAUCAR JULIA KARINA"/>
    <x:s v="CLÍNICA SAN CAMILO"/>
    <x:s v="CRISTINA"/>
    <x:s v="0069754"/>
    <x:s v="997332688"/>
    <x:s v="MEDINA SILVESTRE GERONIMO"/>
    <x:s v="85967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6-03T00:00:00Z"/>
    <x:x v="0"/>
    <x:s v="97912"/>
    <x:s v="BO"/>
    <x:s v="11395"/>
    <x:s v="CO"/>
    <x:s v="BO-11395"/>
    <x:s v="MEDINA SILVESTRE GERONIMO"/>
    <x:s v="06279020"/>
    <x:s v="GUTARRA PAUCAR JULIA KARINA"/>
    <x:s v="CLÍNICA SAN CAMILO"/>
    <x:s v="CRISTINA"/>
    <x:s v="0069754"/>
    <x:s v="997332688"/>
    <x:s v="MEDINA SILVESTRE GERONIMO"/>
    <x:s v="85967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6-03T00:00:00Z"/>
    <x:x v="0"/>
    <x:s v="97956"/>
    <x:s v="BO"/>
    <x:s v="11402"/>
    <x:s v="CO"/>
    <x:s v="BO-11402"/>
    <x:s v="GARCIA DE SANCHEZ MATILDE"/>
    <x:s v="27062832"/>
    <x:s v="GUTARRA PAUCAR JULIA KARINA"/>
    <x:s v="CLÍNICA SAN CAMILO"/>
    <x:s v="CRISTINA"/>
    <x:s v="0069790"/>
    <x:s v="917095913"/>
    <x:s v="GARCIA DE SANCHEZ MATILDE"/>
    <x:s v="86014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6-03T00:00:00Z"/>
    <x:x v="0"/>
    <x:s v="97956"/>
    <x:s v="BO"/>
    <x:s v="11402"/>
    <x:s v="CO"/>
    <x:s v="BO-11402"/>
    <x:s v="GARCIA DE SANCHEZ MATILDE"/>
    <x:s v="27062832"/>
    <x:s v="GUTARRA PAUCAR JULIA KARINA"/>
    <x:s v="CLÍNICA SAN CAMILO"/>
    <x:s v="CRISTINA"/>
    <x:s v="0069790"/>
    <x:s v="917095913"/>
    <x:s v="GARCIA DE SANCHEZ MATILDE"/>
    <x:s v="86014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6-03T00:00:00Z"/>
    <x:x v="0"/>
    <x:s v="97979"/>
    <x:s v="BO"/>
    <x:s v="11406"/>
    <x:s v="CO"/>
    <x:s v="BO-11406"/>
    <x:s v="PEREZ SANCHEZ GIOVANNA MARIELA"/>
    <x:s v="25792949"/>
    <x:s v="BOBBIO PEREZ MILKO"/>
    <x:s v="CONSULTORIO"/>
    <x:s v="CRISTINA"/>
    <x:s v="0069797"/>
    <x:s v="946068386"/>
    <x:s v="PEREZ SANCHEZ GIOVANNA MARIELA"/>
    <x:s v="86027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1214114"/>
    <x:s v="191-98432106068"/>
    <x:n v="50"/>
  </x:r>
  <x:r>
    <x:d v="2026-06-03T00:00:00Z"/>
    <x:x v="0"/>
    <x:s v="97979"/>
    <x:s v="BO"/>
    <x:s v="11406"/>
    <x:s v="CO"/>
    <x:s v="BO-11406"/>
    <x:s v="PEREZ SANCHEZ GIOVANNA MARIELA"/>
    <x:s v="25792949"/>
    <x:s v="BOBBIO PEREZ MILKO"/>
    <x:s v="CONSULTORIO"/>
    <x:s v="CRISTINA"/>
    <x:s v="0069797"/>
    <x:s v="946068386"/>
    <x:s v="PEREZ SANCHEZ GIOVANNA MARIELA"/>
    <x:s v="86027"/>
    <x:x v="5"/>
    <x:n v="1"/>
    <x:s v="PRECISA"/>
    <x:s v="POR ASIGNAR"/>
    <x:s v="INSTITUTO MEDICO QUIRURGICO AREQUIPA S.A"/>
    <x:s v="L.CENTRO"/>
    <x:s v="LMAGAN"/>
    <x:n v="152.54"/>
    <x:s v="LN. EXAMENES"/>
    <x:s v="CIAS. DE SEGURO"/>
    <x:s v="CENTRO"/>
    <x:n v="981214114"/>
    <x:s v="191-98432106068"/>
    <x:n v="30"/>
  </x:r>
  <x:r>
    <x:d v="2026-06-04T00:00:00Z"/>
    <x:x v="0"/>
    <x:s v="98036"/>
    <x:s v="BO"/>
    <x:s v="5516"/>
    <x:s v="CO"/>
    <x:s v="BO-5516"/>
    <x:s v="PICO DE CRUZADO LUZ EMILIA"/>
    <x:s v="16550311"/>
    <x:s v="AGRAMONTE ZEA EDILBERTO"/>
    <x:s v="HOSPITAL DE LA SOLIDARIDAD SJL"/>
    <x:s v="CRISTINA"/>
    <x:s v="0069819"/>
    <x:s v="985411444"/>
    <x:s v="PICO DE CRUZADO LUZ EMILIA"/>
    <x:s v="86087"/>
    <x:x v="0"/>
    <x:n v="1"/>
    <x:s v="PRECISA"/>
    <x:s v="POR ASIGNAR"/>
    <x:s v="INSTITUTO MEDICO QUIRURGICO AREQUIPA S.A"/>
    <x:s v="L.CENTRO"/>
    <x:s v="ACABRERA"/>
    <x:n v="186.44"/>
    <x:s v="LN. EXAMENES"/>
    <x:s v="CIAS. DE SEGURO"/>
    <x:s v="CENTRO"/>
    <x:n v="987407712"/>
    <x:s v="0011-0190-0200333106"/>
    <x:n v="50"/>
  </x:r>
  <x:r>
    <x:d v="2026-06-04T00:00:00Z"/>
    <x:x v="0"/>
    <x:s v="98044"/>
    <x:s v="BO"/>
    <x:s v="11419"/>
    <x:s v="CO"/>
    <x:s v="BO-11419"/>
    <x:s v="SACHA NAVARRO GERARDO JUNIOR"/>
    <x:s v="47180662"/>
    <x:s v="CACERES PINTO ALVARO DANIEL"/>
    <x:s v="HOSPITAL INO"/>
    <x:s v="CRISTINA"/>
    <x:s v="0069825"/>
    <x:s v="958365826"/>
    <x:s v="SACHA NAVARRO GERARDO JUNIOR"/>
    <x:s v="86096"/>
    <x:x v="6"/>
    <x:n v="1"/>
    <x:s v="PRECISA"/>
    <x:s v="POR ASIGNAR"/>
    <x:s v="INSTITUTO MEDICO QUIRURGICO AREQUIPA S.A"/>
    <x:s v="L.CENTRO"/>
    <x:s v="LMAGAN"/>
    <x:n v="169.49"/>
    <x:s v="LN. EXAMENES"/>
    <x:s v="CIAS. DE SEGURO"/>
    <x:s v="CENTRO"/>
    <x:n v="966697811"/>
    <x:s v="0011-0184-0200649518"/>
    <x:n v="50"/>
  </x:r>
  <x:r>
    <x:d v="2026-06-04T00:00:00Z"/>
    <x:x v="0"/>
    <x:s v="98044"/>
    <x:s v="BO"/>
    <x:s v="11419"/>
    <x:s v="CO"/>
    <x:s v="BO-11419"/>
    <x:s v="SACHA NAVARRO GERARDO JUNIOR"/>
    <x:s v="47180662"/>
    <x:s v="CACERES PINTO ALVARO DANIEL"/>
    <x:s v="HOSPITAL INO"/>
    <x:s v="CRISTINA"/>
    <x:s v="0069825"/>
    <x:s v="958365826"/>
    <x:s v="SACHA NAVARRO GERARDO JUNIOR"/>
    <x:s v="86096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66697811"/>
    <x:s v="0011-0184-0200649518"/>
    <x:n v="50"/>
  </x:r>
  <x:r>
    <x:d v="2026-06-04T00:00:00Z"/>
    <x:x v="0"/>
    <x:s v="98044"/>
    <x:s v="BO"/>
    <x:s v="11419"/>
    <x:s v="CO"/>
    <x:s v="BO-11419"/>
    <x:s v="SACHA NAVARRO GERARDO JUNIOR"/>
    <x:s v="47180662"/>
    <x:s v="CACERES PINTO ALVARO DANIEL"/>
    <x:s v="HOSPITAL INO"/>
    <x:s v="CRISTINA"/>
    <x:s v="0069825"/>
    <x:s v="958365826"/>
    <x:s v="SACHA NAVARRO GERARDO JUNIOR"/>
    <x:s v="86096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66697811"/>
    <x:s v="0011-0184-0200649518"/>
    <x:n v="50"/>
  </x:r>
  <x:r>
    <x:d v="2026-06-04T00:00:00Z"/>
    <x:x v="0"/>
    <x:s v="98041"/>
    <x:s v="FA"/>
    <x:s v="1025"/>
    <x:s v="CO"/>
    <x:s v="FA-1025"/>
    <x:s v="NUÑEZ ALTIS ANTONIO SALOMON"/>
    <x:s v="09498424"/>
    <x:s v="VILLAR CURAHUA MARCELA ALEJANDRA"/>
    <x:s v="GAMARRA SALUD"/>
    <x:s v="CRISTINA"/>
    <x:s v="0069549"/>
    <x:s v="928076253"/>
    <x:s v="GAMARRA HEALTHCARE CENTER S.A.C."/>
    <x:s v="86093"/>
    <x:x v="7"/>
    <x:n v="1"/>
    <x:s v="PRECISA"/>
    <x:s v="POR ASIGNAR"/>
    <x:s v="INSTITUTO MEDICO QUIRURGICO AREQUIPA S.A"/>
    <x:s v="L.CENTRO"/>
    <x:s v="LMAGAN"/>
    <x:n v="152.54"/>
    <x:s v="LN. EXAMENES"/>
    <x:s v="CIAS. DE SEGURO"/>
    <x:s v="CENTRO"/>
    <x:n v="950133748"/>
    <x:s v="191-9953047026"/>
    <x:n v="30"/>
  </x:r>
  <x:r>
    <x:d v="2026-06-04T00:00:00Z"/>
    <x:x v="0"/>
    <x:s v="98041"/>
    <x:s v="FA"/>
    <x:s v="1025"/>
    <x:s v="CO"/>
    <x:s v="FA-1025"/>
    <x:s v="NUÑEZ ALTIS ANTONIO SALOMON"/>
    <x:s v="09498424"/>
    <x:s v="VILLAR CURAHUA MARCELA ALEJANDRA"/>
    <x:s v="GAMARRA SALUD"/>
    <x:s v="CRISTINA"/>
    <x:s v="0069549"/>
    <x:s v="928076253"/>
    <x:s v="GAMARRA HEALTHCARE CENTER S.A.C."/>
    <x:s v="86093"/>
    <x:x v="8"/>
    <x:n v="1"/>
    <x:s v="PRECISA"/>
    <x:s v="POR ASIGNAR"/>
    <x:s v="INSTITUTO MEDICO QUIRURGICO AREQUIPA S.A"/>
    <x:s v="L.CENTRO"/>
    <x:s v="LMAGAN"/>
    <x:n v="135.59"/>
    <x:s v="LN. EXAMENES"/>
    <x:s v="CIAS. DE SEGURO"/>
    <x:s v="CENTRO"/>
    <x:n v="950133748"/>
    <x:s v="191-9953047026"/>
    <x:n v="30"/>
  </x:r>
  <x:r>
    <x:d v="2026-06-04T00:00:00Z"/>
    <x:x v="0"/>
    <x:s v="98051"/>
    <x:s v="FA"/>
    <x:s v="524"/>
    <x:s v="CO"/>
    <x:s v="FA-524"/>
    <x:s v="GARCIA RICO ELVA JOSEFINA"/>
    <x:s v="16408791"/>
    <x:s v="VILLAR CURAHUA MARCELA ALEJANDRA"/>
    <x:s v="GAMARRA SALUD"/>
    <x:s v="CRISTINA"/>
    <x:s v="0067849"/>
    <x:s v="902449032"/>
    <x:s v="GAMARRA HEALTHCARE CENTER S.A.C."/>
    <x:s v="85864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6-04T00:00:00Z"/>
    <x:x v="0"/>
    <x:s v="98051"/>
    <x:s v="FA"/>
    <x:s v="524"/>
    <x:s v="CO"/>
    <x:s v="FA-524"/>
    <x:s v="GARCIA RICO ELVA JOSEFINA"/>
    <x:s v="16408791"/>
    <x:s v="VILLAR CURAHUA MARCELA ALEJANDRA"/>
    <x:s v="GAMARRA SALUD"/>
    <x:s v="CRISTINA"/>
    <x:s v="0067849"/>
    <x:s v="902449032"/>
    <x:s v="GAMARRA HEALTHCARE CENTER S.A.C."/>
    <x:s v="85864"/>
    <x:x v="10"/>
    <x:n v="1"/>
    <x:s v="PRECISA"/>
    <x:s v="POR ASIGNAR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6-04T00:00:00Z"/>
    <x:x v="0"/>
    <x:s v="98052"/>
    <x:s v="FA"/>
    <x:s v="525"/>
    <x:s v="CO"/>
    <x:s v="FA-525"/>
    <x:s v="NUÑEZ ALTIS ANTONIO SALOMON"/>
    <x:s v="09498424"/>
    <x:s v="VILLAR CURAHUA MARCELA ALEJANDRA"/>
    <x:s v="GAMARRA SALUD"/>
    <x:s v="CRISTINA"/>
    <x:s v="0069549"/>
    <x:s v="928076253"/>
    <x:s v="GAMARRA HEALTHCARE CENTER S.A.C."/>
    <x:s v="85863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6-04T00:00:00Z"/>
    <x:x v="0"/>
    <x:s v="98052"/>
    <x:s v="FA"/>
    <x:s v="525"/>
    <x:s v="CO"/>
    <x:s v="FA-525"/>
    <x:s v="NUÑEZ ALTIS ANTONIO SALOMON"/>
    <x:s v="09498424"/>
    <x:s v="VILLAR CURAHUA MARCELA ALEJANDRA"/>
    <x:s v="GAMARRA SALUD"/>
    <x:s v="CRISTINA"/>
    <x:s v="0069549"/>
    <x:s v="928076253"/>
    <x:s v="GAMARRA HEALTHCARE CENTER S.A.C."/>
    <x:s v="85863"/>
    <x:x v="10"/>
    <x:n v="1"/>
    <x:s v="PRECISA"/>
    <x:s v="POR ASIGNAR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6-04T00:00:00Z"/>
    <x:x v="0"/>
    <x:s v="98035"/>
    <x:s v="BO"/>
    <x:s v="4221"/>
    <x:s v="CO"/>
    <x:s v="BO-4221"/>
    <x:s v="PEÑA GARCIA BENIGNO OSCAR"/>
    <x:s v="48945300"/>
    <x:s v="RUIZ ROJAS PAUBLO ENRIQUE"/>
    <x:s v="CONSULTORIO CUBANO COMAS"/>
    <x:s v="CRISTINA"/>
    <x:s v="0069818"/>
    <x:s v="922009271"/>
    <x:s v="PEÑA GARCIA BENIGNO OSCAR"/>
    <x:s v="86086"/>
    <x:x v="0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92903716"/>
    <x:s v="191-91415089071"/>
    <x:n v="50"/>
  </x:r>
  <x:r>
    <x:d v="2026-06-04T00:00:00Z"/>
    <x:x v="0"/>
    <x:s v="98035"/>
    <x:s v="BO"/>
    <x:s v="4221"/>
    <x:s v="CO"/>
    <x:s v="BO-4221"/>
    <x:s v="PEÑA GARCIA BENIGNO OSCAR"/>
    <x:s v="48945300"/>
    <x:s v="RUIZ ROJAS PAUBLO ENRIQUE"/>
    <x:s v="CONSULTORIO CUBANO COMAS"/>
    <x:s v="CRISTINA"/>
    <x:s v="0069818"/>
    <x:s v="922009271"/>
    <x:s v="PEÑA GARCIA BENIGNO OSCAR"/>
    <x:s v="86086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92903716"/>
    <x:s v="191-91415089071"/>
    <x:n v="50"/>
  </x:r>
  <x:r>
    <x:d v="2026-06-05T00:00:00Z"/>
    <x:x v="0"/>
    <x:s v="98106"/>
    <x:s v="BO"/>
    <x:s v="5526"/>
    <x:s v="CO"/>
    <x:s v="BO-5526"/>
    <x:s v="VALERA BAZAN LAURA PIERI"/>
    <x:s v="08013693"/>
    <x:s v="CASTRO TAMANAJA VANIA VIVIAN"/>
    <x:s v="HOSPITAL 2 DE MAYO"/>
    <x:s v="CRISTINA"/>
    <x:s v="0056253"/>
    <x:s v="4715484"/>
    <x:s v="VALERA BAZAN LAURA PIERI"/>
    <x:s v="86151"/>
    <x:x v="2"/>
    <x:n v="1"/>
    <x:s v="PRECISA"/>
    <x:s v="POR ASIGNAR"/>
    <x:s v="INSTITUTO MEDICO QUIRURGICO AREQUIPA S.A"/>
    <x:s v="L.CENTRO"/>
    <x:s v="ACABRERA"/>
    <x:n v="186.44"/>
    <x:s v="LN. EXAMENES"/>
    <x:s v="CIAS. DE SEGURO"/>
    <x:s v="CENTRO"/>
    <x:n v="986661693"/>
    <x:s v="0011-0354-0200096288"/>
    <x:n v="50"/>
  </x:r>
  <x:r>
    <x:d v="2026-06-05T00:00:00Z"/>
    <x:x v="0"/>
    <x:s v="2353"/>
    <x:s v="NC"/>
    <x:s v="5527"/>
    <x:s v="CR"/>
    <x:s v="NC-5527"/>
    <x:s v="BRAVO QUISPE VDA DE ANDIA ANGELICA RITA"/>
    <x:s v="07412423"/>
    <x:s v="FERNANDEZ GUTIERREZ OLGA PATRICIA"/>
    <x:s v="CONSULTORIO PARTICULAR"/>
    <x:s v="CR"/>
    <x:s v="0069850"/>
    <x:s v="979750580"/>
    <x:s v="BRAVO QUISPE VDA DE ANDIA ANGELICA RITA"/>
    <x:s v="86154"/>
    <x:x v="11"/>
    <x:n v="2"/>
    <x:s v="PRECISA"/>
    <x:s v="POR ASIGNAR"/>
    <x:s v="INSTITUTO MEDICO QUIRURGICO AREQUIPA S.A"/>
    <x:s v="L.CENTRO"/>
    <x:s v="ACABRERA"/>
    <x:n v="-203.39"/>
    <x:s v="LN. PROCEDIMIENTO"/>
    <x:s v="CIAS. DE SEGURO"/>
    <x:s v="CENTRO"/>
    <x:n v="982536223"/>
    <x:s v="107-3174605363"/>
    <x:m/>
  </x:r>
  <x:r>
    <x:d v="2026-06-05T00:00:00Z"/>
    <x:x v="0"/>
    <x:s v="98110"/>
    <x:s v="FA"/>
    <x:s v="527"/>
    <x:s v="CO"/>
    <x:s v="FA-527"/>
    <x:s v="BRAVO QUISPE VDA DE ANDIA ANGELICA RITA"/>
    <x:s v="07412423"/>
    <x:s v="FERNANDEZ GUTIERREZ OLGA PATRICIA"/>
    <x:s v="CONSULTORIO PARTICULAR"/>
    <x:s v="CRISTINA"/>
    <x:s v="0069850"/>
    <x:s v="979750580"/>
    <x:s v="VEFER OFTALMOLOGOS S.A.C."/>
    <x:s v="86155"/>
    <x:x v="11"/>
    <x:n v="2"/>
    <x:s v="PRECISA"/>
    <x:s v="POR ASIGNAR"/>
    <x:s v="INSTITUTO MEDICO QUIRURGICO AREQUIPA S.A"/>
    <x:s v="L.CENTRO"/>
    <x:s v="ACABRERA"/>
    <x:n v="203.39"/>
    <x:s v="LN. PROCEDIMIENTO"/>
    <x:s v="CIAS. DE SEGURO"/>
    <x:s v="CENTRO"/>
    <x:n v="982536223"/>
    <x:s v="107-3174605363"/>
    <x:m/>
  </x:r>
  <x:r>
    <x:d v="2026-06-05T00:00:00Z"/>
    <x:x v="0"/>
    <x:s v="2353"/>
    <x:s v="BO"/>
    <x:s v="5527"/>
    <x:s v="CR"/>
    <x:s v="BO-5527"/>
    <x:s v="BRAVO QUISPE VDA DE ANDIA ANGELICA RITA"/>
    <x:s v="07412423"/>
    <x:s v="FERNANDEZ GUTIERREZ OLGA PATRICIA"/>
    <x:s v="CONSULTORIO PARTICULAR"/>
    <x:s v="CR"/>
    <x:s v="0069850"/>
    <x:s v="979750580"/>
    <x:s v="BRAVO QUISPE VDA DE ANDIA ANGELICA RITA"/>
    <x:s v="86154"/>
    <x:x v="11"/>
    <x:n v="2"/>
    <x:s v="PRECISA"/>
    <x:s v="POR ASIGNAR"/>
    <x:s v="INSTITUTO MEDICO QUIRURGICO AREQUIPA S.A"/>
    <x:s v="L.CENTRO"/>
    <x:s v="ACABRERA"/>
    <x:n v="203.39"/>
    <x:s v="LN. PROCEDIMIENTO"/>
    <x:s v="CIAS. DE SEGURO"/>
    <x:s v="CENTRO"/>
    <x:n v="982536223"/>
    <x:s v="107-3174605363"/>
    <x:m/>
  </x:r>
  <x:r>
    <x:d v="2026-06-05T00:00:00Z"/>
    <x:x v="0"/>
    <x:s v="98108"/>
    <x:s v="FA"/>
    <x:s v="526"/>
    <x:s v="CO"/>
    <x:s v="FA-526"/>
    <x:s v="ABAD OVALLE ARLINE MERCEDES"/>
    <x:s v="25532349"/>
    <x:m/>
    <x:m/>
    <x:s v="CRISTINA"/>
    <x:s v="0069694"/>
    <x:s v="999999452"/>
    <x:s v="VEFER OFTALMOLOGOS S.A.C."/>
    <x:s v="86152"/>
    <x:x v="11"/>
    <x:n v="2"/>
    <x:s v="PRECISA"/>
    <x:s v="POR ASIGNAR"/>
    <x:s v="INSTITUTO MEDICO QUIRURGICO AREQUIPA S.A"/>
    <x:s v="L.CENTRO"/>
    <x:s v="ACABRERA"/>
    <x:n v="203.39"/>
    <x:s v="LN. PROCEDIMIENTO"/>
    <x:s v="CIAS. DE SEGURO"/>
    <x:s v="CENTRO"/>
    <x:m/>
    <x:m/>
    <x:m/>
  </x:r>
  <x:r>
    <x:d v="2026-06-06T00:00:00Z"/>
    <x:x v="0"/>
    <x:s v="98152"/>
    <x:s v="BO"/>
    <x:s v="4244"/>
    <x:s v="CO"/>
    <x:s v="BO-4244"/>
    <x:s v="OLIVO CASTRO JULIA GLADYS"/>
    <x:s v="15292242"/>
    <x:s v="RUIZ ROJAS PAUBLO ENRIQUE"/>
    <x:s v="CONSULTORIO CUBANO COMAS"/>
    <x:s v="CRISTINA"/>
    <x:s v="0069884"/>
    <x:s v="952190646"/>
    <x:s v="OLIVO CASTRO JULIA GLADYS"/>
    <x:s v="86190"/>
    <x:x v="0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92903716"/>
    <x:s v="191-91415089071"/>
    <x:n v="50"/>
  </x:r>
  <x:r>
    <x:d v="2026-06-06T00:00:00Z"/>
    <x:x v="0"/>
    <x:s v="98151"/>
    <x:s v="BO"/>
    <x:s v="11423"/>
    <x:s v="CO"/>
    <x:s v="BO-11423"/>
    <x:s v="PACACHA FLORES BLANCA VALESKA"/>
    <x:s v="91733805"/>
    <x:s v="CRISPIN MORALES NANCY JENNY"/>
    <x:s v="HOSPITAL ALMENARA"/>
    <x:s v="CRISTINA"/>
    <x:s v="0069883"/>
    <x:s v="970593962"/>
    <x:s v="PACACHA FLORES BLANCA VALESKA"/>
    <x:s v="86188"/>
    <x:x v="12"/>
    <x:n v="1"/>
    <x:s v="PRECISA"/>
    <x:s v="POR ASIGNAR"/>
    <x:s v="INSTITUTO MEDICO QUIRURGICO AREQUIPA S.A"/>
    <x:s v="L.CENTRO"/>
    <x:s v="LMAGAN"/>
    <x:n v="152.54"/>
    <x:s v="LN. EXAMENES"/>
    <x:s v="CIAS. DE SEGURO"/>
    <x:s v="CENTRO"/>
    <x:n v="978789268"/>
    <x:s v="193-90416675072"/>
    <x:n v="30"/>
  </x:r>
  <x:r>
    <x:d v="2026-06-06T00:00:00Z"/>
    <x:x v="0"/>
    <x:s v="98176"/>
    <x:s v="BO"/>
    <x:s v="11428"/>
    <x:s v="CO"/>
    <x:s v="BO-11428"/>
    <x:s v="REYES SANCHEZ OLGA EULALIA"/>
    <x:s v="09330262"/>
    <x:s v="LLERENA MORALES OSCAR ADOLFO"/>
    <x:s v="SANNA SAN MIGUEL"/>
    <x:s v="CRISTINA"/>
    <x:s v="0069894"/>
    <x:s v="947513770"/>
    <x:s v="REYES SANCHEZ OLGA EULALIA"/>
    <x:s v="86218"/>
    <x:x v="4"/>
    <x:n v="1"/>
    <x:s v="PRECISA"/>
    <x:s v="POR ASIGNAR"/>
    <x:s v="INSTITUTO MEDICO QUIRURGICO AREQUIPA S.A"/>
    <x:s v="L.CENTRO"/>
    <x:s v="LMAGAN"/>
    <x:n v="135.59"/>
    <x:s v="LN. EXAMENES"/>
    <x:s v="CIAS. DE SEGURO"/>
    <x:s v="CENTRO"/>
    <x:n v="987552890"/>
    <x:s v="098-7304409"/>
    <x:n v="30"/>
  </x:r>
  <x:r>
    <x:d v="2026-06-06T00:00:00Z"/>
    <x:x v="0"/>
    <x:s v="98176"/>
    <x:s v="BO"/>
    <x:s v="11428"/>
    <x:s v="CO"/>
    <x:s v="BO-11428"/>
    <x:s v="REYES SANCHEZ OLGA EULALIA"/>
    <x:s v="09330262"/>
    <x:s v="LLERENA MORALES OSCAR ADOLFO"/>
    <x:s v="SANNA SAN MIGUEL"/>
    <x:s v="CRISTINA"/>
    <x:s v="0069894"/>
    <x:s v="947513770"/>
    <x:s v="REYES SANCHEZ OLGA EULALIA"/>
    <x:s v="86218"/>
    <x:x v="5"/>
    <x:n v="1"/>
    <x:s v="PRECISA"/>
    <x:s v="POR ASIGNAR"/>
    <x:s v="INSTITUTO MEDICO QUIRURGICO AREQUIPA S.A"/>
    <x:s v="L.CENTRO"/>
    <x:s v="LMAGAN"/>
    <x:n v="152.54"/>
    <x:s v="LN. EXAMENES"/>
    <x:s v="CIAS. DE SEGURO"/>
    <x:s v="CENTRO"/>
    <x:n v="987552890"/>
    <x:s v="098-7304409"/>
    <x:n v="30"/>
  </x:r>
  <x:r>
    <x:d v="2026-06-06T00:00:00Z"/>
    <x:x v="0"/>
    <x:s v="98176"/>
    <x:s v="BO"/>
    <x:s v="11428"/>
    <x:s v="CO"/>
    <x:s v="BO-11428"/>
    <x:s v="REYES SANCHEZ OLGA EULALIA"/>
    <x:s v="09330262"/>
    <x:s v="LLERENA MORALES OSCAR ADOLFO"/>
    <x:s v="SANNA SAN MIGUEL"/>
    <x:s v="CRISTINA"/>
    <x:s v="0069894"/>
    <x:s v="947513770"/>
    <x:s v="REYES SANCHEZ OLGA EULALIA"/>
    <x:s v="86218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7552890"/>
    <x:s v="098-7304409"/>
    <x:n v="50"/>
  </x:r>
  <x:r>
    <x:d v="2026-06-06T00:00:00Z"/>
    <x:x v="0"/>
    <x:s v="98167"/>
    <x:s v="BO"/>
    <x:s v="4250"/>
    <x:s v="CO"/>
    <x:s v="BO-4250"/>
    <x:s v="RONCAL ROMERO FANNYNG EDITH"/>
    <x:s v="44905743"/>
    <x:s v="ROJAS AQUINO EVELING KARINA"/>
    <x:s v="POLICLÍNICO ESPÍRITU SANTO"/>
    <x:s v="CRISTINA"/>
    <x:s v="0069844"/>
    <x:s v="984441413"/>
    <x:s v="RONCAL ROMERO FANNYNG EDITH"/>
    <x:s v="86210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55356636"/>
    <x:s v="009-3226956615"/>
    <x:n v="50"/>
  </x:r>
  <x:r>
    <x:d v="2026-06-09T00:00:00Z"/>
    <x:x v="0"/>
    <x:s v="98452"/>
    <x:s v="FA"/>
    <x:s v="532"/>
    <x:s v="CO"/>
    <x:s v="FA-532"/>
    <x:s v="BENITES RAMOS ANTENOR HERMAN"/>
    <x:s v="07187063"/>
    <x:s v="VILLAR CURAHUA MARCELA ALEJANDRA"/>
    <x:s v="GAMARRA SALUD"/>
    <x:s v="CRISTINA"/>
    <x:s v="0069415"/>
    <x:s v="943410784"/>
    <x:s v="GAMARRA HEALTHCARE CENTER S.A.C."/>
    <x:s v="86345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6-09T00:00:00Z"/>
    <x:x v="0"/>
    <x:s v="98452"/>
    <x:s v="FA"/>
    <x:s v="532"/>
    <x:s v="CO"/>
    <x:s v="FA-532"/>
    <x:s v="BENITES RAMOS ANTENOR HERMAN"/>
    <x:s v="07187063"/>
    <x:s v="VILLAR CURAHUA MARCELA ALEJANDRA"/>
    <x:s v="GAMARRA SALUD"/>
    <x:s v="CRISTINA"/>
    <x:s v="0069415"/>
    <x:s v="943410784"/>
    <x:s v="GAMARRA HEALTHCARE CENTER S.A.C."/>
    <x:s v="86345"/>
    <x:x v="10"/>
    <x:n v="1"/>
    <x:s v="PRECISA"/>
    <x:s v="POR ASIGNAR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6-09T00:00:00Z"/>
    <x:x v="0"/>
    <x:s v="98463"/>
    <x:s v="FA"/>
    <x:s v="533"/>
    <x:s v="CO"/>
    <x:s v="FA-533"/>
    <x:s v="MAMANI SONCCO JUAN GREGORIO"/>
    <x:s v="07314057"/>
    <x:s v="VILLAR CURAHUA MARCELA ALEJANDRA"/>
    <x:s v="GAMARRA SALUD"/>
    <x:s v="CRISTINA"/>
    <x:s v="0069158"/>
    <x:s v="987411587"/>
    <x:s v="GAMARRA HEALTHCARE CENTER S.A.C."/>
    <x:s v="86342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6-09T00:00:00Z"/>
    <x:x v="0"/>
    <x:s v="98463"/>
    <x:s v="FA"/>
    <x:s v="533"/>
    <x:s v="CO"/>
    <x:s v="FA-533"/>
    <x:s v="MAMANI SONCCO JUAN GREGORIO"/>
    <x:s v="07314057"/>
    <x:s v="VILLAR CURAHUA MARCELA ALEJANDRA"/>
    <x:s v="GAMARRA SALUD"/>
    <x:s v="CRISTINA"/>
    <x:s v="0069158"/>
    <x:s v="987411587"/>
    <x:s v="GAMARRA HEALTHCARE CENTER S.A.C."/>
    <x:s v="86342"/>
    <x:x v="10"/>
    <x:n v="1"/>
    <x:s v="PRECISA"/>
    <x:s v="POR ASIGNAR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6-09T00:00:00Z"/>
    <x:x v="0"/>
    <x:s v="98440"/>
    <x:s v="FA"/>
    <x:s v="1028"/>
    <x:s v="CO"/>
    <x:s v="FA-1028"/>
    <x:s v="MATEO EYZAGUIRRE MARCO IVART"/>
    <x:s v="74312316"/>
    <x:s v="ACOSTA VIERA ALVARO"/>
    <x:s v="CONSULTORIO PARTICULAR"/>
    <x:s v="CRISTINA"/>
    <x:s v="0069588"/>
    <x:s v="921508096"/>
    <x:s v="CENTRO CONTRA LA CEGUERA E.I.R.L."/>
    <x:s v="86415"/>
    <x:x v="13"/>
    <x:n v="1"/>
    <x:s v="PRECISA"/>
    <x:s v="POR ASIGNAR"/>
    <x:s v="INSTITUTO MEDICO QUIRURGICO AREQUIPA S.A"/>
    <x:s v="L.CENTRO"/>
    <x:s v="LMAGAN"/>
    <x:n v="169.49"/>
    <x:s v="LN. PROCEDIMIENTO"/>
    <x:s v="CIAS. DE SEGURO"/>
    <x:s v="CENTRO"/>
    <x:n v="969791876"/>
    <x:s v="0011-0814-0256063048"/>
    <x:m/>
  </x:r>
  <x:r>
    <x:d v="2026-06-09T00:00:00Z"/>
    <x:x v="0"/>
    <x:s v="98393"/>
    <x:s v="BO"/>
    <x:s v="5552"/>
    <x:s v="CO"/>
    <x:s v="BO-5552"/>
    <x:s v="LAZARO CACHA JUAN CRISOSTOMO"/>
    <x:s v="31633639"/>
    <x:s v="FIERRO LEANDRO"/>
    <x:s v="POLICLÍNICO DIVINO NIÑO JESÚS"/>
    <x:s v="CRISTINA"/>
    <x:s v="0069870"/>
    <x:s v="928408508"/>
    <x:s v="LAZARO CACHA JUAN CRISOSTOMO"/>
    <x:s v="86371"/>
    <x:x v="14"/>
    <x:n v="1"/>
    <x:s v="PRECISA"/>
    <x:s v="POR ASIGNAR"/>
    <x:s v="INSTITUTO MEDICO QUIRURGICO AREQUIPA S.A"/>
    <x:s v="L.CENTRO"/>
    <x:s v="ACABRERA"/>
    <x:n v="84.75"/>
    <x:s v="LN. EXAMENES"/>
    <x:s v="CIAS. DE SEGURO"/>
    <x:s v="CENTRO"/>
    <x:m/>
    <x:m/>
    <x:m/>
  </x:r>
  <x:r>
    <x:d v="2026-06-09T00:00:00Z"/>
    <x:x v="0"/>
    <x:s v="98395"/>
    <x:s v="BO"/>
    <x:s v="11467"/>
    <x:s v="CO"/>
    <x:s v="BO-11467"/>
    <x:s v="MENDOZA REYES BRIGIDA"/>
    <x:s v="08831402"/>
    <x:s v="FIERRO LEANDRO"/>
    <x:s v="POLICLÍNICO DIVINO NIÑO JESÚS"/>
    <x:s v="CRISTINA"/>
    <x:s v="0069872"/>
    <x:s v="941194643"/>
    <x:s v="MENDOZA REYES BRIGIDA"/>
    <x:s v="86373"/>
    <x:x v="14"/>
    <x:n v="1"/>
    <x:s v="PRECISA"/>
    <x:s v="POR ASIGNAR"/>
    <x:s v="INSTITUTO MEDICO QUIRURGICO AREQUIPA S.A"/>
    <x:s v="L.CENTRO"/>
    <x:s v="LMAGAN"/>
    <x:n v="84.75"/>
    <x:s v="LN. EXAMENES"/>
    <x:s v="CIAS. DE SEGURO"/>
    <x:s v="CENTRO"/>
    <x:m/>
    <x:m/>
    <x:m/>
  </x:r>
  <x:r>
    <x:d v="2026-06-09T00:00:00Z"/>
    <x:x v="0"/>
    <x:s v="98399"/>
    <x:s v="BO"/>
    <x:s v="5555"/>
    <x:s v="CO"/>
    <x:s v="BO-5555"/>
    <x:s v="TINOCO OBREGON LUIS ALBERTO"/>
    <x:s v="15859654"/>
    <x:s v="FIERRO LEANDRO"/>
    <x:s v="POLICLÍNICO DIVINO NIÑO JESÚS"/>
    <x:s v="CRISTINA"/>
    <x:s v="0069871"/>
    <x:s v="997639449"/>
    <x:s v="TINOCO OBREGON LUIS ALBERTO"/>
    <x:s v="86378"/>
    <x:x v="14"/>
    <x:n v="1"/>
    <x:s v="PRECISA"/>
    <x:s v="POR ASIGNAR"/>
    <x:s v="INSTITUTO MEDICO QUIRURGICO AREQUIPA S.A"/>
    <x:s v="L.CENTRO"/>
    <x:s v="ACABRERA"/>
    <x:n v="84.75"/>
    <x:s v="LN. EXAMENES"/>
    <x:s v="CIAS. DE SEGURO"/>
    <x:s v="CENTRO"/>
    <x:m/>
    <x:m/>
    <x:m/>
  </x:r>
  <x:r>
    <x:d v="2026-06-09T00:00:00Z"/>
    <x:x v="0"/>
    <x:s v="98449"/>
    <x:s v="FA"/>
    <x:s v="530"/>
    <x:s v="CO"/>
    <x:s v="FA-530"/>
    <x:s v="LAZARO CACHA JUAN CRISOSTOMO"/>
    <x:s v="31633639"/>
    <x:s v="FIERRO LEANDRO"/>
    <x:s v="POLICLÍNICO DIVINO NIÑO JESÚS"/>
    <x:s v="CRISTINA"/>
    <x:s v="0069870"/>
    <x:s v="928408508"/>
    <x:s v="GRUPO MEDICO INTEGRAL SOCIEDAD ANONIMA CERRADA"/>
    <x:s v="86384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m/>
    <x:m/>
    <x:m/>
  </x:r>
  <x:r>
    <x:d v="2026-06-09T00:00:00Z"/>
    <x:x v="0"/>
    <x:s v="98449"/>
    <x:s v="FA"/>
    <x:s v="530"/>
    <x:s v="CO"/>
    <x:s v="FA-530"/>
    <x:s v="LAZARO CACHA JUAN CRISOSTOMO"/>
    <x:s v="31633639"/>
    <x:s v="FIERRO LEANDRO"/>
    <x:s v="POLICLÍNICO DIVINO NIÑO JESÚS"/>
    <x:s v="CRISTINA"/>
    <x:s v="0069870"/>
    <x:s v="928408508"/>
    <x:s v="GRUPO MEDICO INTEGRAL SOCIEDAD ANONIMA CERRADA"/>
    <x:s v="86384"/>
    <x:x v="10"/>
    <x:n v="1"/>
    <x:s v="PRECISA"/>
    <x:s v="POR ASIGNAR"/>
    <x:s v="INSTITUTO MEDICO QUIRURGICO AREQUIPA S.A"/>
    <x:s v="L.CENTRO"/>
    <x:s v="ACABRERA"/>
    <x:n v="1525.42"/>
    <x:s v="LN. CIRUGIA"/>
    <x:s v="CIAS. DE SEGURO"/>
    <x:s v="CENTRO"/>
    <x:m/>
    <x:m/>
    <x:m/>
  </x:r>
  <x:r>
    <x:d v="2026-06-09T00:00:00Z"/>
    <x:x v="0"/>
    <x:s v="98450"/>
    <x:s v="FA"/>
    <x:s v="531"/>
    <x:s v="CO"/>
    <x:s v="FA-531"/>
    <x:s v="TINOCO OBREGON LUIS ALBERTO"/>
    <x:s v="15859654"/>
    <x:s v="FIERRO LEANDRO"/>
    <x:s v="POLICLÍNICO DIVINO NIÑO JESÚS"/>
    <x:s v="CRISTINA"/>
    <x:s v="0069871"/>
    <x:s v="997639449"/>
    <x:s v="GRUPO MEDICO INTEGRAL SOCIEDAD ANONIMA CERRADA"/>
    <x:s v="86385"/>
    <x:x v="9"/>
    <x:n v="1"/>
    <x:s v="PRECISA"/>
    <x:s v="POR ASIGNAR"/>
    <x:s v="INSTITUTO MEDICO QUIRURGICO AREQUIPA S.A"/>
    <x:s v="L.CENTRO"/>
    <x:s v="ACABRERA"/>
    <x:n v="0"/>
    <x:s v="LN. CIRUGIA"/>
    <x:s v="CIAS. DE SEGURO"/>
    <x:s v="CENTRO"/>
    <x:m/>
    <x:m/>
    <x:m/>
  </x:r>
  <x:r>
    <x:d v="2026-06-09T00:00:00Z"/>
    <x:x v="0"/>
    <x:s v="98450"/>
    <x:s v="FA"/>
    <x:s v="531"/>
    <x:s v="CO"/>
    <x:s v="FA-531"/>
    <x:s v="TINOCO OBREGON LUIS ALBERTO"/>
    <x:s v="15859654"/>
    <x:s v="FIERRO LEANDRO"/>
    <x:s v="POLICLÍNICO DIVINO NIÑO JESÚS"/>
    <x:s v="CRISTINA"/>
    <x:s v="0069871"/>
    <x:s v="997639449"/>
    <x:s v="GRUPO MEDICO INTEGRAL SOCIEDAD ANONIMA CERRADA"/>
    <x:s v="86385"/>
    <x:x v="10"/>
    <x:n v="1"/>
    <x:s v="PRECISA"/>
    <x:s v="POR ASIGNAR"/>
    <x:s v="INSTITUTO MEDICO QUIRURGICO AREQUIPA S.A"/>
    <x:s v="L.CENTRO"/>
    <x:s v="ACABRERA"/>
    <x:n v="1525.42"/>
    <x:s v="LN. CIRUGIA"/>
    <x:s v="CIAS. DE SEGURO"/>
    <x:s v="CENTRO"/>
    <x:m/>
    <x:m/>
    <x:m/>
  </x:r>
  <x:r>
    <x:d v="2026-06-09T00:00:00Z"/>
    <x:x v="0"/>
    <x:s v="98476"/>
    <x:s v="FA"/>
    <x:s v="1029"/>
    <x:s v="CO"/>
    <x:s v="FA-1029"/>
    <x:s v="MENDOZA REYES BRIGIDA"/>
    <x:s v="08831402"/>
    <x:s v="FIERRO LEANDRO"/>
    <x:s v="POLICLÍNICO DIVINO NIÑO JESÚS"/>
    <x:s v="CRISTINA"/>
    <x:s v="0069872"/>
    <x:s v="941194643"/>
    <x:s v="GRUPO MEDICO INTEGRAL SOCIEDAD ANONIMA CERRADA"/>
    <x:s v="86375"/>
    <x:x v="9"/>
    <x:n v="1"/>
    <x:s v="PRECISA"/>
    <x:s v="POR ASIGNAR"/>
    <x:s v="INSTITUTO MEDICO QUIRURGICO AREQUIPA S.A"/>
    <x:s v="L.CENTRO"/>
    <x:s v="LMAGAN"/>
    <x:n v="0"/>
    <x:s v="LN. CIRUGIA"/>
    <x:s v="CIAS. DE SEGURO"/>
    <x:s v="CENTRO"/>
    <x:m/>
    <x:m/>
    <x:m/>
  </x:r>
  <x:r>
    <x:d v="2026-06-09T00:00:00Z"/>
    <x:x v="0"/>
    <x:s v="98476"/>
    <x:s v="FA"/>
    <x:s v="1029"/>
    <x:s v="CO"/>
    <x:s v="FA-1029"/>
    <x:s v="MENDOZA REYES BRIGIDA"/>
    <x:s v="08831402"/>
    <x:s v="FIERRO LEANDRO"/>
    <x:s v="POLICLÍNICO DIVINO NIÑO JESÚS"/>
    <x:s v="CRISTINA"/>
    <x:s v="0069872"/>
    <x:s v="941194643"/>
    <x:s v="GRUPO MEDICO INTEGRAL SOCIEDAD ANONIMA CERRADA"/>
    <x:s v="86375"/>
    <x:x v="10"/>
    <x:n v="1"/>
    <x:s v="PRECISA"/>
    <x:s v="POR ASIGNAR"/>
    <x:s v="INSTITUTO MEDICO QUIRURGICO AREQUIPA S.A"/>
    <x:s v="L.CENTRO"/>
    <x:s v="LMAGAN"/>
    <x:n v="762.71"/>
    <x:s v="LN. CIRUGIA"/>
    <x:s v="CIAS. DE SEGURO"/>
    <x:s v="CENTRO"/>
    <x:m/>
    <x:m/>
    <x:m/>
  </x:r>
  <x:r>
    <x:d v="2026-06-10T00:00:00Z"/>
    <x:x v="0"/>
    <x:s v="98511"/>
    <x:s v="BO"/>
    <x:s v="3829"/>
    <x:s v="CO"/>
    <x:s v="BO-3829"/>
    <x:s v="VILLA GALVEZ MARIA ESPERANZA"/>
    <x:s v="08462757"/>
    <x:s v="ROJAS AQUINO EVELING KARINA"/>
    <x:s v="POLICLÍNICO ESPÍRITU SANTO"/>
    <x:s v="CRISTINA"/>
    <x:s v="0070015"/>
    <x:s v="955008730"/>
    <x:s v="VILLA GALVEZ MARIA ESPERANZA"/>
    <x:s v="86473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55356636"/>
    <x:s v="009-3226956615"/>
    <x:n v="30"/>
  </x:r>
  <x:r>
    <x:d v="2026-06-11T00:00:00Z"/>
    <x:x v="0"/>
    <x:s v="98570"/>
    <x:s v="BO"/>
    <x:s v="5573"/>
    <x:s v="CO"/>
    <x:s v="BO-5573"/>
    <x:s v="GAMARRA CHAVARRIA JUAN PASCUAL"/>
    <x:s v="15447914"/>
    <x:s v="FIERRO LEANDRO"/>
    <x:s v="POLICLÍNICO DIVINO NIÑO JESÚS"/>
    <x:s v="CRISTINA"/>
    <x:s v="0070007"/>
    <x:s v="986955058"/>
    <x:s v="GAMARRA CHAVARRIA JUAN PASCUAL"/>
    <x:s v="86517"/>
    <x:x v="14"/>
    <x:n v="1"/>
    <x:s v="PRECISA"/>
    <x:s v="POR ASIGNAR"/>
    <x:s v="INSTITUTO MEDICO QUIRURGICO AREQUIPA S.A"/>
    <x:s v="L.CENTRO"/>
    <x:s v="ACABRERA"/>
    <x:n v="84.75"/>
    <x:s v="LN. EXAMENES"/>
    <x:s v="CIAS. DE SEGURO"/>
    <x:s v="CENTRO"/>
    <x:m/>
    <x:m/>
    <x:m/>
  </x:r>
  <x:r>
    <x:d v="2026-06-11T00:00:00Z"/>
    <x:x v="0"/>
    <x:s v="98571"/>
    <x:s v="BO"/>
    <x:s v="11481"/>
    <x:s v="CO"/>
    <x:s v="BO-11481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20"/>
    <x:x v="14"/>
    <x:n v="1"/>
    <x:s v="PRECISA"/>
    <x:s v="POR ASIGNAR"/>
    <x:s v="INSTITUTO MEDICO QUIRURGICO AREQUIPA S.A"/>
    <x:s v="L.CENTRO"/>
    <x:s v="LMAGAN"/>
    <x:n v="84.75"/>
    <x:s v="LN. EXAMENES"/>
    <x:s v="CIAS. DE SEGURO"/>
    <x:s v="CENTRO"/>
    <x:m/>
    <x:m/>
    <x:m/>
  </x:r>
  <x:r>
    <x:d v="2026-06-11T00:00:00Z"/>
    <x:x v="0"/>
    <x:s v="98572"/>
    <x:s v="BO"/>
    <x:s v="11482"/>
    <x:s v="CO"/>
    <x:s v="BO-11482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9"/>
    <x:x v="15"/>
    <x:n v="1"/>
    <x:s v="PRECISA"/>
    <x:s v="POR ASIGNAR"/>
    <x:s v="INSTITUTO MEDICO QUIRURGICO AREQUIPA S.A"/>
    <x:s v="L.CENTRO"/>
    <x:s v="LMAGAN"/>
    <x:n v="127.12"/>
    <x:s v="LN. EXAMENES"/>
    <x:s v="CIAS. DE SEGURO"/>
    <x:s v="CENTRO"/>
    <x:m/>
    <x:m/>
    <x:m/>
  </x:r>
  <x:r>
    <x:d v="2026-06-11T00:00:00Z"/>
    <x:x v="0"/>
    <x:s v="98573"/>
    <x:s v="BO"/>
    <x:s v="11483"/>
    <x:s v="CO"/>
    <x:s v="BO-11483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8"/>
    <x:x v="16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3"/>
    <x:s v="BO"/>
    <x:s v="11483"/>
    <x:s v="CO"/>
    <x:s v="BO-11483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8"/>
    <x:x v="17"/>
    <x:n v="1"/>
    <x:s v="PRECISA"/>
    <x:s v="POR ASIGNAR"/>
    <x:s v="INSTITUTO MEDICO QUIRURGICO AREQUIPA S.A"/>
    <x:s v="L.CENTRO"/>
    <x:s v="LMAGAN"/>
    <x:n v="21.19"/>
    <x:s v="LN. LABORATORIO"/>
    <x:s v="CIAS. DE SEGURO"/>
    <x:s v="CENTRO"/>
    <x:m/>
    <x:m/>
    <x:m/>
  </x:r>
  <x:r>
    <x:d v="2026-06-11T00:00:00Z"/>
    <x:x v="0"/>
    <x:s v="98573"/>
    <x:s v="BO"/>
    <x:s v="11483"/>
    <x:s v="CO"/>
    <x:s v="BO-11483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8"/>
    <x:x v="18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3"/>
    <x:s v="BO"/>
    <x:s v="11483"/>
    <x:s v="CO"/>
    <x:s v="BO-11483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8"/>
    <x:x v="19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3"/>
    <x:s v="BO"/>
    <x:s v="11483"/>
    <x:s v="CO"/>
    <x:s v="BO-11483"/>
    <x:s v="PASCO RAMOS DE HERRERA GLORIA ELISA"/>
    <x:s v="07017191"/>
    <x:s v="FIERRO LEANDRO"/>
    <x:s v="POLICLÍNICO DIVINO NIÑO JESÚS"/>
    <x:s v="CRISTINA"/>
    <x:s v="0070001"/>
    <x:s v="997369213"/>
    <x:s v="PASCO RAMOS DE HERRERA GLORIA ELISA"/>
    <x:s v="86518"/>
    <x:x v="20"/>
    <x:n v="1"/>
    <x:s v="PRECISA"/>
    <x:s v="POR ASIGNAR"/>
    <x:s v="INSTITUTO MEDICO QUIRURGICO AREQUIPA S.A"/>
    <x:s v="L.CENTRO"/>
    <x:s v="LMAGAN"/>
    <x:n v="50.85"/>
    <x:s v="LN. LABORATORIO"/>
    <x:s v="CIAS. DE SEGURO"/>
    <x:s v="CENTRO"/>
    <x:m/>
    <x:m/>
    <x:m/>
  </x:r>
  <x:r>
    <x:d v="2026-06-11T00:00:00Z"/>
    <x:x v="0"/>
    <x:s v="98577"/>
    <x:s v="BO"/>
    <x:s v="11486"/>
    <x:s v="CO"/>
    <x:s v="BO-11486"/>
    <x:s v="SAUÑE AGUILAR MERCEDES"/>
    <x:s v="31032400"/>
    <x:s v="FIERRO LEANDRO"/>
    <x:s v="POLICLÍNICO DIVINO NIÑO JESÚS"/>
    <x:s v="CRISTINA"/>
    <x:s v="0069675"/>
    <x:s v="940106575"/>
    <x:s v="SAUÑE AGUILAR MERCEDES"/>
    <x:s v="86525"/>
    <x:x v="16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7"/>
    <x:s v="BO"/>
    <x:s v="11486"/>
    <x:s v="CO"/>
    <x:s v="BO-11486"/>
    <x:s v="SAUÑE AGUILAR MERCEDES"/>
    <x:s v="31032400"/>
    <x:s v="FIERRO LEANDRO"/>
    <x:s v="POLICLÍNICO DIVINO NIÑO JESÚS"/>
    <x:s v="CRISTINA"/>
    <x:s v="0069675"/>
    <x:s v="940106575"/>
    <x:s v="SAUÑE AGUILAR MERCEDES"/>
    <x:s v="86525"/>
    <x:x v="17"/>
    <x:n v="1"/>
    <x:s v="PRECISA"/>
    <x:s v="POR ASIGNAR"/>
    <x:s v="INSTITUTO MEDICO QUIRURGICO AREQUIPA S.A"/>
    <x:s v="L.CENTRO"/>
    <x:s v="LMAGAN"/>
    <x:n v="21.19"/>
    <x:s v="LN. LABORATORIO"/>
    <x:s v="CIAS. DE SEGURO"/>
    <x:s v="CENTRO"/>
    <x:m/>
    <x:m/>
    <x:m/>
  </x:r>
  <x:r>
    <x:d v="2026-06-11T00:00:00Z"/>
    <x:x v="0"/>
    <x:s v="98577"/>
    <x:s v="BO"/>
    <x:s v="11486"/>
    <x:s v="CO"/>
    <x:s v="BO-11486"/>
    <x:s v="SAUÑE AGUILAR MERCEDES"/>
    <x:s v="31032400"/>
    <x:s v="FIERRO LEANDRO"/>
    <x:s v="POLICLÍNICO DIVINO NIÑO JESÚS"/>
    <x:s v="CRISTINA"/>
    <x:s v="0069675"/>
    <x:s v="940106575"/>
    <x:s v="SAUÑE AGUILAR MERCEDES"/>
    <x:s v="86525"/>
    <x:x v="18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7"/>
    <x:s v="BO"/>
    <x:s v="11486"/>
    <x:s v="CO"/>
    <x:s v="BO-11486"/>
    <x:s v="SAUÑE AGUILAR MERCEDES"/>
    <x:s v="31032400"/>
    <x:s v="FIERRO LEANDRO"/>
    <x:s v="POLICLÍNICO DIVINO NIÑO JESÚS"/>
    <x:s v="CRISTINA"/>
    <x:s v="0069675"/>
    <x:s v="940106575"/>
    <x:s v="SAUÑE AGUILAR MERCEDES"/>
    <x:s v="86525"/>
    <x:x v="19"/>
    <x:n v="1"/>
    <x:s v="PRECISA"/>
    <x:s v="POR ASIGNAR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11T00:00:00Z"/>
    <x:x v="0"/>
    <x:s v="98577"/>
    <x:s v="BO"/>
    <x:s v="11486"/>
    <x:s v="CO"/>
    <x:s v="BO-11486"/>
    <x:s v="SAUÑE AGUILAR MERCEDES"/>
    <x:s v="31032400"/>
    <x:s v="FIERRO LEANDRO"/>
    <x:s v="POLICLÍNICO DIVINO NIÑO JESÚS"/>
    <x:s v="CRISTINA"/>
    <x:s v="0069675"/>
    <x:s v="940106575"/>
    <x:s v="SAUÑE AGUILAR MERCEDES"/>
    <x:s v="86525"/>
    <x:x v="20"/>
    <x:n v="1"/>
    <x:s v="PRECISA"/>
    <x:s v="POR ASIGNAR"/>
    <x:s v="INSTITUTO MEDICO QUIRURGICO AREQUIPA S.A"/>
    <x:s v="L.CENTRO"/>
    <x:s v="LMAGAN"/>
    <x:n v="50.85"/>
    <x:s v="LN. LABORATORIO"/>
    <x:s v="CIAS. DE SEGURO"/>
    <x:s v="CENTRO"/>
    <x:m/>
    <x:m/>
    <x:m/>
  </x:r>
  <x:r>
    <x:d v="2026-06-11T00:00:00Z"/>
    <x:x v="0"/>
    <x:s v="98578"/>
    <x:s v="BO"/>
    <x:s v="11487"/>
    <x:s v="CO"/>
    <x:s v="BO-11487"/>
    <x:s v="SAUÑE AGUILAR MERCEDES"/>
    <x:s v="31032400"/>
    <x:s v="FIERRO LEANDRO"/>
    <x:s v="POLICLÍNICO DIVINO NIÑO JESÚS"/>
    <x:s v="CRISTINA"/>
    <x:s v="0069675"/>
    <x:s v="940106575"/>
    <x:s v="SAUÑE AGUILAR MERCEDES"/>
    <x:s v="86523"/>
    <x:x v="15"/>
    <x:n v="1"/>
    <x:s v="PRECISA"/>
    <x:s v="POR ASIGNAR"/>
    <x:s v="INSTITUTO MEDICO QUIRURGICO AREQUIPA S.A"/>
    <x:s v="L.CENTRO"/>
    <x:s v="LMAGAN"/>
    <x:n v="127.12"/>
    <x:s v="LN. EXAMENES"/>
    <x:s v="CIAS. DE SEGURO"/>
    <x:s v="CENTRO"/>
    <x:m/>
    <x:m/>
    <x:m/>
  </x:r>
  <x:r>
    <x:d v="2026-06-11T00:00:00Z"/>
    <x:x v="0"/>
    <x:s v="98587"/>
    <x:s v="BO"/>
    <x:s v="5574"/>
    <x:s v="CO"/>
    <x:s v="BO-5574"/>
    <x:s v="BARAHONA VERASTEGUI MEDARDO"/>
    <x:s v="08834924"/>
    <x:s v="FIERRO LEANDRO"/>
    <x:s v="POLICLÍNICO DIVINO NIÑO JESÚS"/>
    <x:s v="CRISTINA"/>
    <x:s v="0070031"/>
    <x:s v="981607915"/>
    <x:s v="BARAHONA VERASTEGUI MEDARDO"/>
    <x:s v="86534"/>
    <x:x v="14"/>
    <x:n v="1"/>
    <x:s v="PRECISA"/>
    <x:s v="POR ASIGNAR"/>
    <x:s v="INSTITUTO MEDICO QUIRURGICO AREQUIPA S.A"/>
    <x:s v="L.CENTRO"/>
    <x:s v="ACABRERA"/>
    <x:n v="84.75"/>
    <x:s v="LN. EXAMENES"/>
    <x:s v="CIAS. DE SEGURO"/>
    <x:s v="CENTRO"/>
    <x:m/>
    <x:m/>
    <x:m/>
  </x:r>
  <x:r>
    <x:d v="2026-06-11T00:00:00Z"/>
    <x:x v="0"/>
    <x:s v="98589"/>
    <x:s v="BO"/>
    <x:s v="11488"/>
    <x:s v="CO"/>
    <x:s v="BO-11488"/>
    <x:s v="SAUÑE AGUILAR MERCEDES"/>
    <x:s v="31032400"/>
    <x:s v="FIERRO LEANDRO"/>
    <x:s v="POLICLÍNICO DIVINO NIÑO JESÚS"/>
    <x:s v="CRISTINA"/>
    <x:s v="0069675"/>
    <x:s v="940106575"/>
    <x:s v="SAUÑE AGUILAR MERCEDES"/>
    <x:s v="86536"/>
    <x:x v="14"/>
    <x:n v="1"/>
    <x:s v="PRECISA"/>
    <x:s v="POR ASIGNAR"/>
    <x:s v="INSTITUTO MEDICO QUIRURGICO AREQUIPA S.A"/>
    <x:s v="L.CENTRO"/>
    <x:s v="LMAGAN"/>
    <x:n v="84.75"/>
    <x:s v="LN. EXAMENES"/>
    <x:s v="CIAS. DE SEGURO"/>
    <x:s v="CENTRO"/>
    <x:m/>
    <x:m/>
    <x:m/>
  </x:r>
  <x:r>
    <x:d v="2026-06-11T00:00:00Z"/>
    <x:x v="0"/>
    <x:s v="98616"/>
    <x:s v="BO"/>
    <x:s v="11491"/>
    <x:s v="CO"/>
    <x:s v="BO-11491"/>
    <x:s v="MUÑOZ OCAÑO ARMANDO"/>
    <x:s v="20976782"/>
    <x:s v="SILVA"/>
    <x:m/>
    <x:s v="CRISTINA"/>
    <x:s v="0070068"/>
    <x:s v="928786641"/>
    <x:s v="MUÑOZ OCAÑO ARMANDO"/>
    <x:s v="86562"/>
    <x:x v="1"/>
    <x:n v="1"/>
    <x:s v="PRECISA"/>
    <x:s v="POR ASIGNAR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6-12T00:00:00Z"/>
    <x:x v="0"/>
    <x:s v="98684"/>
    <x:s v="BO"/>
    <x:s v="11497"/>
    <x:s v="CO"/>
    <x:s v="BO-11497"/>
    <x:s v="GUERRA VALLE LUZ MARGARITA"/>
    <x:s v="06106322"/>
    <x:s v="SAPAICO VICUÑA AUGUSTO RODRIGO"/>
    <x:s v="HOSPITAL LOAYZA"/>
    <x:s v="CRISTINA"/>
    <x:s v="0070101"/>
    <x:s v="940296008"/>
    <x:s v="GUERRA VALLE LUZ MARGARITA"/>
    <x:s v="86622"/>
    <x:x v="11"/>
    <x:n v="2"/>
    <x:s v="PRECISA"/>
    <x:s v="POR ASIGNAR"/>
    <x:s v="INSTITUTO MEDICO QUIRURGICO AREQUIPA S.A"/>
    <x:s v="L.CENTRO"/>
    <x:s v="LMAGAN"/>
    <x:n v="203.39"/>
    <x:s v="LN. PROCEDIMIENTO"/>
    <x:s v="CIAS. DE SEGURO"/>
    <x:s v="CENTRO"/>
    <x:n v="997145685"/>
    <x:s v="0011-0189-0200496417"/>
    <x:m/>
  </x:r>
  <x:r>
    <x:d v="2026-06-12T00:00:00Z"/>
    <x:x v="0"/>
    <x:s v="98697"/>
    <x:s v="FA"/>
    <x:s v="1032"/>
    <x:s v="CO"/>
    <x:s v="FA-1032"/>
    <x:s v="SAUÑE AGUILAR MERCEDES"/>
    <x:s v="31032400"/>
    <x:s v="FIERRO LEANDRO"/>
    <x:s v="POLICLÍNICO DIVINO NIÑO JESÚS"/>
    <x:s v="CRISTINA"/>
    <x:s v="0069675"/>
    <x:s v="940106575"/>
    <x:s v="GRUPO MEDICO INTEGRAL SOCIEDAD ANONIMA CERRADA"/>
    <x:s v="86543"/>
    <x:x v="9"/>
    <x:n v="1"/>
    <x:s v="PRECISA"/>
    <x:s v="POR ASIGNAR"/>
    <x:s v="INSTITUTO MEDICO QUIRURGICO AREQUIPA S.A"/>
    <x:s v="L.CENTRO"/>
    <x:s v="LMAGAN"/>
    <x:n v="0"/>
    <x:s v="LN. CIRUGIA"/>
    <x:s v="CIAS. DE SEGURO"/>
    <x:s v="CENTRO"/>
    <x:m/>
    <x:m/>
    <x:m/>
  </x:r>
  <x:r>
    <x:d v="2026-06-12T00:00:00Z"/>
    <x:x v="0"/>
    <x:s v="98697"/>
    <x:s v="FA"/>
    <x:s v="1032"/>
    <x:s v="CO"/>
    <x:s v="FA-1032"/>
    <x:s v="SAUÑE AGUILAR MERCEDES"/>
    <x:s v="31032400"/>
    <x:s v="FIERRO LEANDRO"/>
    <x:s v="POLICLÍNICO DIVINO NIÑO JESÚS"/>
    <x:s v="CRISTINA"/>
    <x:s v="0069675"/>
    <x:s v="940106575"/>
    <x:s v="GRUPO MEDICO INTEGRAL SOCIEDAD ANONIMA CERRADA"/>
    <x:s v="86543"/>
    <x:x v="10"/>
    <x:n v="1"/>
    <x:s v="PRECISA"/>
    <x:s v="POR ASIGNAR"/>
    <x:s v="INSTITUTO MEDICO QUIRURGICO AREQUIPA S.A"/>
    <x:s v="L.CENTRO"/>
    <x:s v="LMAGAN"/>
    <x:n v="762.71"/>
    <x:s v="LN. CIRUGIA"/>
    <x:s v="CIAS. DE SEGURO"/>
    <x:s v="CENTRO"/>
    <x:m/>
    <x:m/>
    <x:m/>
  </x:r>
  <x:r>
    <x:d v="2026-06-12T00:00:00Z"/>
    <x:x v="0"/>
    <x:s v="98698"/>
    <x:s v="FA"/>
    <x:s v="1033"/>
    <x:s v="CO"/>
    <x:s v="FA-1033"/>
    <x:s v="PASCO RAMOS DE HERRERA GLORIA ELISA"/>
    <x:s v="07017191"/>
    <x:s v="FIERRO LEANDRO"/>
    <x:s v="POLICLÍNICO DIVINO NIÑO JESÚS"/>
    <x:s v="CRISTINA"/>
    <x:s v="0070001"/>
    <x:s v="997369213"/>
    <x:s v="GRUPO MEDICO INTEGRAL SOCIEDAD ANONIMA CERRADA"/>
    <x:s v="86542"/>
    <x:x v="9"/>
    <x:n v="1"/>
    <x:s v="PRECISA"/>
    <x:s v="POR ASIGNAR"/>
    <x:s v="INSTITUTO MEDICO QUIRURGICO AREQUIPA S.A"/>
    <x:s v="L.CENTRO"/>
    <x:s v="LMAGAN"/>
    <x:n v="0"/>
    <x:s v="LN. CIRUGIA"/>
    <x:s v="CIAS. DE SEGURO"/>
    <x:s v="CENTRO"/>
    <x:m/>
    <x:m/>
    <x:m/>
  </x:r>
  <x:r>
    <x:d v="2026-06-12T00:00:00Z"/>
    <x:x v="0"/>
    <x:s v="98698"/>
    <x:s v="FA"/>
    <x:s v="1033"/>
    <x:s v="CO"/>
    <x:s v="FA-1033"/>
    <x:s v="PASCO RAMOS DE HERRERA GLORIA ELISA"/>
    <x:s v="07017191"/>
    <x:s v="FIERRO LEANDRO"/>
    <x:s v="POLICLÍNICO DIVINO NIÑO JESÚS"/>
    <x:s v="CRISTINA"/>
    <x:s v="0070001"/>
    <x:s v="997369213"/>
    <x:s v="GRUPO MEDICO INTEGRAL SOCIEDAD ANONIMA CERRADA"/>
    <x:s v="86542"/>
    <x:x v="10"/>
    <x:n v="1"/>
    <x:s v="PRECISA"/>
    <x:s v="POR ASIGNAR"/>
    <x:s v="INSTITUTO MEDICO QUIRURGICO AREQUIPA S.A"/>
    <x:s v="L.CENTRO"/>
    <x:s v="LMAGAN"/>
    <x:n v="1525.42"/>
    <x:s v="LN. CIRUGIA"/>
    <x:s v="CIAS. DE SEGURO"/>
    <x:s v="CENTRO"/>
    <x:m/>
    <x:m/>
    <x:m/>
  </x:r>
  <x:r>
    <x:d v="2026-06-12T00:00:00Z"/>
    <x:x v="0"/>
    <x:s v="98661"/>
    <x:s v="BO"/>
    <x:s v="11495"/>
    <x:s v="CO"/>
    <x:s v="BO-11495"/>
    <x:s v="GALLEGOS BENAVIDES CRISTINA ANA"/>
    <x:s v="07136272"/>
    <x:s v="CARDENAS ORTEGA MARISA"/>
    <x:s v="CONSULTORIO"/>
    <x:s v="CRISTINA"/>
    <x:s v="0070089"/>
    <x:s v="979097585"/>
    <x:s v="GALLEGOS BENAVIDES CRISTINA ANA"/>
    <x:s v="86601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47054605"/>
    <x:s v="193-34139202041"/>
    <x:n v="50"/>
  </x:r>
  <x:r>
    <x:d v="2026-06-12T00:00:00Z"/>
    <x:x v="0"/>
    <x:s v="2358"/>
    <x:s v="NC"/>
    <x:s v="11496"/>
    <x:s v="CR"/>
    <x:s v="NC-11496"/>
    <x:s v="MONTALVO SUAREZ ESTHER ESPERANZA"/>
    <x:s v="08507757"/>
    <x:s v="HUAMAN RIOS LUIS ENRIQUE"/>
    <x:s v="HOSPITAL SERGIO BERNALES"/>
    <x:s v="CR"/>
    <x:s v="0070099"/>
    <x:s v="990523847"/>
    <x:s v="MONTALVO SUAREZ ESTHER ESPERANZA"/>
    <x:s v="86611"/>
    <x:x v="2"/>
    <x:n v="1"/>
    <x:s v="PRECISA"/>
    <x:s v="POR ASIGNAR"/>
    <x:s v="INSTITUTO MEDICO QUIRURGICO AREQUIPA S.A"/>
    <x:s v="L.CENTRO"/>
    <x:s v="LMAGAN"/>
    <x:n v="-186.44"/>
    <x:s v="LN. EXAMENES"/>
    <x:s v="CIAS. DE SEGURO"/>
    <x:s v="CENTRO"/>
    <x:n v="999986041"/>
    <x:s v="191-30583545068"/>
    <x:n v="50"/>
  </x:r>
  <x:r>
    <x:d v="2026-06-12T00:00:00Z"/>
    <x:x v="0"/>
    <x:s v="98676"/>
    <x:s v="FA"/>
    <x:s v="1030"/>
    <x:s v="CO"/>
    <x:s v="FA-1030"/>
    <x:s v="MONTALVO SUAREZ ESTHER ESPERANZA"/>
    <x:s v="08507757"/>
    <x:s v="HUAMAN RIOS LUIS ENRIQUE"/>
    <x:s v="HOSPITAL SERGIO BERNALES"/>
    <x:s v="CRISTINA"/>
    <x:s v="0070099"/>
    <x:s v="990523847"/>
    <x:s v="VDAXIOM S.A.C."/>
    <x:s v="86613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99986041"/>
    <x:s v="191-30583545068"/>
    <x:n v="50"/>
  </x:r>
  <x:r>
    <x:d v="2026-06-12T00:00:00Z"/>
    <x:x v="0"/>
    <x:s v="2358"/>
    <x:s v="BO"/>
    <x:s v="11496"/>
    <x:s v="CR"/>
    <x:s v="BO-11496"/>
    <x:s v="MONTALVO SUAREZ ESTHER ESPERANZA"/>
    <x:s v="08507757"/>
    <x:s v="HUAMAN RIOS LUIS ENRIQUE"/>
    <x:s v="HOSPITAL SERGIO BERNALES"/>
    <x:s v="CR"/>
    <x:s v="0070099"/>
    <x:s v="990523847"/>
    <x:s v="MONTALVO SUAREZ ESTHER ESPERANZA"/>
    <x:s v="86611"/>
    <x:x v="2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99986041"/>
    <x:s v="191-30583545068"/>
    <x:n v="50"/>
  </x:r>
  <x:r>
    <x:d v="2026-06-12T00:00:00Z"/>
    <x:x v="0"/>
    <x:s v="98645"/>
    <x:s v="BO"/>
    <x:s v="5580"/>
    <x:s v="CO"/>
    <x:s v="BO-5580"/>
    <x:s v="CUBA HIDALGO VDA DE TOSCA JULIA JESUS"/>
    <x:s v="08052088"/>
    <x:s v="DIANA DAVALOS SORIA"/>
    <x:s v="HOSPITAL CAYETANO HEREDIA"/>
    <x:s v="CRISTINA"/>
    <x:s v="0070081"/>
    <x:s v="955702271"/>
    <x:s v="CUBA HIDALGO VDA DE TOSCA JULIA JESUS"/>
    <x:s v="86587"/>
    <x:x v="4"/>
    <x:n v="1"/>
    <x:s v="PRECISA"/>
    <x:s v="POR ASIGNAR"/>
    <x:s v="INSTITUTO MEDICO QUIRURGICO AREQUIPA S.A"/>
    <x:s v="L.CENTRO"/>
    <x:s v="ACABRERA"/>
    <x:n v="135.59"/>
    <x:s v="LN. EXAMENES"/>
    <x:s v="CIAS. DE SEGURO"/>
    <x:s v="CENTRO"/>
    <x:m/>
    <x:s v="191-00494902000"/>
    <x:n v="30"/>
  </x:r>
  <x:r>
    <x:d v="2026-06-12T00:00:00Z"/>
    <x:x v="0"/>
    <x:s v="98694"/>
    <x:s v="FA"/>
    <x:s v="1031"/>
    <x:s v="CO"/>
    <x:s v="FA-1031"/>
    <x:s v="CARAZAS CERRILLO DE APAZA GREGORIA"/>
    <x:s v="08985710"/>
    <x:s v="MANCHEGO LOMBARDI MICHAEL"/>
    <x:s v="CONSULTORIO PARTICULAR"/>
    <x:s v="CRISTINA"/>
    <x:s v="0070006"/>
    <x:s v="NO TIENE"/>
    <x:s v="CENTRO OFTALMOLOGICO OFTALMOCARE S.R.L."/>
    <x:s v="86633"/>
    <x:x v="3"/>
    <x:n v="1"/>
    <x:s v="PRECISA"/>
    <x:s v="POR ASIGNAR"/>
    <x:s v="INSTITUTO MEDICO QUIRURGICO AREQUIPA S.A"/>
    <x:s v="L.CENTRO"/>
    <x:s v="LMAGAN"/>
    <x:n v="254.24"/>
    <x:s v="LN. PROCEDIMIENTO"/>
    <x:s v="CIAS. DE SEGURO"/>
    <x:s v="CENTRO"/>
    <x:n v="970582106"/>
    <x:s v="639-3004120188"/>
    <x:m/>
  </x:r>
  <x:r>
    <x:d v="2026-06-15T00:00:00Z"/>
    <x:x v="0"/>
    <x:s v="98853"/>
    <x:s v="BO"/>
    <x:s v="5605"/>
    <x:s v="CO"/>
    <x:s v="BO-5605"/>
    <x:s v="TORRELIO GUERRERO LIDIA ZOTICA"/>
    <x:s v="06689006"/>
    <x:s v="SAPAICO VICUÑA AUGUSTO RODRIGO"/>
    <x:s v="HOSPITAL LOAYZA"/>
    <x:s v="CRISTINA"/>
    <x:s v="0070124"/>
    <x:s v="999488621"/>
    <x:s v="TORRELIO GUERRERO LIDIA ZOTICA"/>
    <x:s v="86768"/>
    <x:x v="7"/>
    <x:n v="1"/>
    <x:s v="PRECISA"/>
    <x:s v="POR ASIGNAR"/>
    <x:s v="INSTITUTO MEDICO QUIRURGICO AREQUIPA S.A"/>
    <x:s v="L.CENTRO"/>
    <x:s v="ACABRERA"/>
    <x:n v="152.54"/>
    <x:s v="LN. EXAMENES"/>
    <x:s v="CIAS. DE SEGURO"/>
    <x:s v="CENTRO"/>
    <x:n v="997145685"/>
    <x:s v="0011-0189-0200496417"/>
    <x:n v="30"/>
  </x:r>
  <x:r>
    <x:d v="2026-06-15T00:00:00Z"/>
    <x:x v="0"/>
    <x:s v="98811"/>
    <x:s v="BO"/>
    <x:s v="11521"/>
    <x:s v="CO"/>
    <x:s v="BO-11521"/>
    <x:s v="OCAS ROSALES RONALD JEANCARLOS"/>
    <x:s v="45170637"/>
    <x:s v="ALEMAÑY ERNESTO"/>
    <x:s v="CLINICA LA LUZ"/>
    <x:s v="CRISTINA"/>
    <x:s v="0070158"/>
    <x:s v="999322893"/>
    <x:s v="OCAS ROSALES RONALD JEANCARLOS"/>
    <x:s v="86729"/>
    <x:x v="21"/>
    <x:n v="1"/>
    <x:s v="PRECISA"/>
    <x:s v="POR ASIGNAR"/>
    <x:s v="INSTITUTO MEDICO QUIRURGICO AREQUIPA S.A"/>
    <x:s v="L.CENTRO"/>
    <x:s v="LMAGAN"/>
    <x:n v="338.98"/>
    <x:s v="LN. EXAMENES"/>
    <x:s v="CIAS. DE SEGURO"/>
    <x:s v="CENTRO"/>
    <x:n v="978548687"/>
    <x:s v="0011-0732-0200152751"/>
    <x:n v="100"/>
  </x:r>
  <x:r>
    <x:d v="2026-06-16T00:00:00Z"/>
    <x:x v="0"/>
    <x:s v="98957"/>
    <x:s v="BO"/>
    <x:s v="11554"/>
    <x:s v="CO"/>
    <x:s v="BO-11554"/>
    <x:s v="CANCHAYA CAYO JULIO LEONCIO"/>
    <x:s v="44212852"/>
    <x:s v="AGRAMONTE ZEA EDILBERTO"/>
    <x:s v="HOSPITAL DE LA SOLIDARIDAD SJL"/>
    <x:s v="CRISTINA"/>
    <x:s v="0070227"/>
    <x:s v="964246765"/>
    <x:s v="CANCHAYA CAYO JULIO LEONCIO"/>
    <x:s v="86868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7407712"/>
    <x:s v="0011-0190-0200333106"/>
    <x:n v="30"/>
  </x:r>
  <x:r>
    <x:d v="2026-06-16T00:00:00Z"/>
    <x:x v="0"/>
    <x:s v="98957"/>
    <x:s v="BO"/>
    <x:s v="11554"/>
    <x:s v="CO"/>
    <x:s v="BO-11554"/>
    <x:s v="CANCHAYA CAYO JULIO LEONCIO"/>
    <x:s v="44212852"/>
    <x:s v="AGRAMONTE ZEA EDILBERTO"/>
    <x:s v="HOSPITAL DE LA SOLIDARIDAD SJL"/>
    <x:s v="CRISTINA"/>
    <x:s v="0070227"/>
    <x:s v="964246765"/>
    <x:s v="CANCHAYA CAYO JULIO LEONCIO"/>
    <x:s v="86868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6-16T00:00:00Z"/>
    <x:x v="0"/>
    <x:s v="98957"/>
    <x:s v="BO"/>
    <x:s v="11554"/>
    <x:s v="CO"/>
    <x:s v="BO-11554"/>
    <x:s v="CANCHAYA CAYO JULIO LEONCIO"/>
    <x:s v="44212852"/>
    <x:s v="AGRAMONTE ZEA EDILBERTO"/>
    <x:s v="HOSPITAL DE LA SOLIDARIDAD SJL"/>
    <x:s v="CRISTINA"/>
    <x:s v="0070227"/>
    <x:s v="964246765"/>
    <x:s v="CANCHAYA CAYO JULIO LEONCIO"/>
    <x:s v="86868"/>
    <x:x v="5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7407712"/>
    <x:s v="0011-0190-0200333106"/>
    <x:n v="30"/>
  </x:r>
  <x:r>
    <x:d v="2026-06-16T00:00:00Z"/>
    <x:x v="0"/>
    <x:s v="98947"/>
    <x:s v="BO"/>
    <x:s v="11552"/>
    <x:s v="CO"/>
    <x:s v="BO-11552"/>
    <x:s v="QUIPUSCO BERNAL MIGUEL WENCESLAO"/>
    <x:s v="06057576"/>
    <x:s v="CACERES PINTO ALVARO DANIEL"/>
    <x:s v="HOSPITAL INO"/>
    <x:s v="CRISTINA"/>
    <x:s v="0054107"/>
    <x:s v="998759676"/>
    <x:s v="QUIPUSCO BERNAL MIGUEL WENCESLAO"/>
    <x:s v="86860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66697811"/>
    <x:s v="0011-0184-0200649518"/>
    <x:n v="50"/>
  </x:r>
  <x:r>
    <x:d v="2026-06-16T00:00:00Z"/>
    <x:x v="0"/>
    <x:s v="98965"/>
    <x:s v="BO"/>
    <x:s v="11556"/>
    <x:s v="CO"/>
    <x:s v="BO-11556"/>
    <x:s v="RODRIGUEZ VELA KATHERINE FIORELLA"/>
    <x:s v="76232484"/>
    <x:s v="FIERRO LEANDRO"/>
    <x:s v="POLICLÍNICO DIVINO NIÑO JESÚS"/>
    <x:s v="CRISTINA"/>
    <x:s v="0070028"/>
    <x:s v="906 777 340"/>
    <x:s v="RODRIGUEZ VELA KATHERINE FIORELLA"/>
    <x:s v="86877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16T00:00:00Z"/>
    <x:x v="0"/>
    <x:s v="98965"/>
    <x:s v="BO"/>
    <x:s v="11556"/>
    <x:s v="CO"/>
    <x:s v="BO-11556"/>
    <x:s v="RODRIGUEZ VELA KATHERINE FIORELLA"/>
    <x:s v="76232484"/>
    <x:s v="FIERRO LEANDRO"/>
    <x:s v="POLICLÍNICO DIVINO NIÑO JESÚS"/>
    <x:s v="CRISTINA"/>
    <x:s v="0070028"/>
    <x:s v="906 777 340"/>
    <x:s v="RODRIGUEZ VELA KATHERINE FIORELLA"/>
    <x:s v="86877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16T00:00:00Z"/>
    <x:x v="0"/>
    <x:s v="98915"/>
    <x:s v="BO"/>
    <x:s v="11546"/>
    <x:s v="CO"/>
    <x:s v="BO-11546"/>
    <x:s v="MANCO CESPEDES EMMA IMELDA"/>
    <x:s v="08826096"/>
    <x:s v="ESPEJO ALVA JULIO EDWIN"/>
    <x:s v="CONSULTORIO PARTICULAR"/>
    <x:s v="CRISTINA"/>
    <x:s v="0070206"/>
    <x:s v="964035237"/>
    <x:s v="MANCO CESPEDES EMMA IMELDA"/>
    <x:s v="86820"/>
    <x:x v="0"/>
    <x:n v="1"/>
    <x:s v="PRECISA"/>
    <x:s v="POR ASIGNAR"/>
    <x:s v="INSTITUTO MEDICO QUIRURGICO AREQUIPA S.A"/>
    <x:s v="L.CENTRO"/>
    <x:s v="LMAGAN"/>
    <x:n v="186.44"/>
    <x:s v="LN. EXAMENES"/>
    <x:s v="CIAS. DE SEGURO"/>
    <x:s v="CENTRO"/>
    <x:n v="981227454"/>
    <x:s v="087-3150119440"/>
    <x:n v="50"/>
  </x:r>
  <x:r>
    <x:d v="2026-06-16T00:00:00Z"/>
    <x:x v="0"/>
    <x:s v="98930"/>
    <x:s v="BO"/>
    <x:s v="5621"/>
    <x:s v="CO"/>
    <x:s v="BO-5621"/>
    <x:s v="ESPINOZA BEDRIÑANA SUSANA"/>
    <x:s v="08578137"/>
    <x:s v="HUAMAN CUICAPUSA KELLY"/>
    <x:m/>
    <x:s v="CRISTINA"/>
    <x:s v="0070218"/>
    <x:s v="991432739"/>
    <x:s v="ESPINOZA BEDRIÑANA SUSANA"/>
    <x:s v="86839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6-17T00:00:00Z"/>
    <x:x v="0"/>
    <x:s v="99046"/>
    <x:s v="BO"/>
    <x:s v="11571"/>
    <x:s v="CO"/>
    <x:s v="BO-11571"/>
    <x:s v="AURIS ZENTENO DE TELLO ZENAIDA MARINA"/>
    <x:s v="09212243"/>
    <x:s v="ORNA ACOSTA JORGE AQUILES"/>
    <x:s v="HOSPITAL LOAYZA"/>
    <x:s v="CRISTINA"/>
    <x:s v="0070254"/>
    <x:s v="965361980"/>
    <x:s v="AURIS ZENTENO DE TELLO ZENAIDA MARINA"/>
    <x:s v="86936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n v="999996347"/>
    <x:s v="052-7510523"/>
    <x:m/>
  </x:r>
  <x:r>
    <x:d v="2026-06-17T00:00:00Z"/>
    <x:x v="0"/>
    <x:s v="99113"/>
    <x:s v="BO"/>
    <x:s v="11578"/>
    <x:s v="CO"/>
    <x:s v="BO-11578"/>
    <x:s v="SACA TICONA NELSON"/>
    <x:s v="42449449"/>
    <x:s v="AGRAMONTE ZEA EDILBERTO"/>
    <x:s v="HOSPITAL DE LA SOLIDARIDAD SJL"/>
    <x:s v="CRISTINA"/>
    <x:s v="0070273"/>
    <x:s v="945692301"/>
    <x:s v="SACA TICONA NELSON"/>
    <x:s v="86964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6-17T00:00:00Z"/>
    <x:x v="0"/>
    <x:s v="98996"/>
    <x:s v="FA"/>
    <x:s v="1037"/>
    <x:s v="CO"/>
    <x:s v="FA-1037"/>
    <x:s v="BARAHONA VERASTEGUI MEDARDO"/>
    <x:s v="08834924"/>
    <x:s v="FIERRO LEANDRO"/>
    <x:s v="POLICLÍNICO DIVINO NIÑO JESÚS"/>
    <x:s v="CRISTINA"/>
    <x:s v="0070031"/>
    <x:s v="981607915"/>
    <x:s v="GRUPO MEDICO INTEGRAL SOCIEDAD ANONIMA CERRADA"/>
    <x:s v="86546"/>
    <x:x v="9"/>
    <x:n v="1"/>
    <x:s v="PRECISA"/>
    <x:s v="POR ASIGNAR"/>
    <x:s v="INSTITUTO MEDICO QUIRURGICO AREQUIPA S.A"/>
    <x:s v="L.CENTRO"/>
    <x:s v="LMAGAN"/>
    <x:n v="0"/>
    <x:s v="LN. CIRUGIA"/>
    <x:s v="CIAS. DE SEGURO"/>
    <x:s v="CENTRO"/>
    <x:m/>
    <x:m/>
    <x:m/>
  </x:r>
  <x:r>
    <x:d v="2026-06-17T00:00:00Z"/>
    <x:x v="0"/>
    <x:s v="98996"/>
    <x:s v="FA"/>
    <x:s v="1037"/>
    <x:s v="CO"/>
    <x:s v="FA-1037"/>
    <x:s v="BARAHONA VERASTEGUI MEDARDO"/>
    <x:s v="08834924"/>
    <x:s v="FIERRO LEANDRO"/>
    <x:s v="POLICLÍNICO DIVINO NIÑO JESÚS"/>
    <x:s v="CRISTINA"/>
    <x:s v="0070031"/>
    <x:s v="981607915"/>
    <x:s v="GRUPO MEDICO INTEGRAL SOCIEDAD ANONIMA CERRADA"/>
    <x:s v="86546"/>
    <x:x v="10"/>
    <x:n v="1"/>
    <x:s v="PRECISA"/>
    <x:s v="POR ASIGNAR"/>
    <x:s v="INSTITUTO MEDICO QUIRURGICO AREQUIPA S.A"/>
    <x:s v="L.CENTRO"/>
    <x:s v="LMAGAN"/>
    <x:n v="762.71"/>
    <x:s v="LN. CIRUGIA"/>
    <x:s v="CIAS. DE SEGURO"/>
    <x:s v="CENTRO"/>
    <x:m/>
    <x:m/>
    <x:m/>
  </x:r>
  <x:r>
    <x:d v="2026-06-17T00:00:00Z"/>
    <x:x v="0"/>
    <x:s v="99003"/>
    <x:s v="FA"/>
    <x:s v="1040"/>
    <x:s v="CO"/>
    <x:s v="FA-1040"/>
    <x:s v="RODRIGUEZ VELA KATHERINE FIORELLA"/>
    <x:s v="76232484"/>
    <x:s v="FIERRO LEANDRO"/>
    <x:s v="POLICLÍNICO DIVINO NIÑO JESÚS"/>
    <x:s v="CRISTINA"/>
    <x:s v="0070028"/>
    <x:s v="906 777 340"/>
    <x:s v="GRUPO MEDICO INTEGRAL SOCIEDAD ANONIMA CERRADA"/>
    <x:s v="86827"/>
    <x:x v="9"/>
    <x:n v="1"/>
    <x:s v="PRECISA"/>
    <x:s v="POR ASIGNAR"/>
    <x:s v="INSTITUTO MEDICO QUIRURGICO AREQUIPA S.A"/>
    <x:s v="L.CENTRO"/>
    <x:s v="LMAGAN"/>
    <x:n v="0"/>
    <x:s v="LN. CIRUGIA"/>
    <x:s v="CIAS. DE SEGURO"/>
    <x:s v="CENTRO"/>
    <x:m/>
    <x:m/>
    <x:m/>
  </x:r>
  <x:r>
    <x:d v="2026-06-17T00:00:00Z"/>
    <x:x v="0"/>
    <x:s v="99003"/>
    <x:s v="FA"/>
    <x:s v="1040"/>
    <x:s v="CO"/>
    <x:s v="FA-1040"/>
    <x:s v="RODRIGUEZ VELA KATHERINE FIORELLA"/>
    <x:s v="76232484"/>
    <x:s v="FIERRO LEANDRO"/>
    <x:s v="POLICLÍNICO DIVINO NIÑO JESÚS"/>
    <x:s v="CRISTINA"/>
    <x:s v="0070028"/>
    <x:s v="906 777 340"/>
    <x:s v="GRUPO MEDICO INTEGRAL SOCIEDAD ANONIMA CERRADA"/>
    <x:s v="86827"/>
    <x:x v="23"/>
    <x:n v="1"/>
    <x:s v="PRECISA"/>
    <x:s v="POR ASIGNAR"/>
    <x:s v="INSTITUTO MEDICO QUIRURGICO AREQUIPA S.A"/>
    <x:s v="L.CENTRO"/>
    <x:s v="LMAGAN"/>
    <x:n v="550.85"/>
    <x:s v="LN. CIRUGIA"/>
    <x:s v="CIAS. DE SEGURO"/>
    <x:s v="CENTRO"/>
    <x:m/>
    <x:m/>
    <x:m/>
  </x:r>
  <x:r>
    <x:d v="2026-06-17T00:00:00Z"/>
    <x:x v="0"/>
    <x:s v="99095"/>
    <x:s v="BO"/>
    <x:s v="11575"/>
    <x:s v="CO"/>
    <x:s v="BO-11575"/>
    <x:s v="BAUTISTA LOPEZ HERMINIA"/>
    <x:s v="21840481"/>
    <x:s v="SUAREZ ALVARADO SUSANA"/>
    <x:m/>
    <x:s v="CRISTINA"/>
    <x:s v="0044128"/>
    <x:s v="999166413"/>
    <x:s v="BAUTISTA LOPEZ HERMINIA"/>
    <x:s v="86938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6-17T00:00:00Z"/>
    <x:x v="0"/>
    <x:s v="99095"/>
    <x:s v="BO"/>
    <x:s v="11575"/>
    <x:s v="CO"/>
    <x:s v="BO-11575"/>
    <x:s v="BAUTISTA LOPEZ HERMINIA"/>
    <x:s v="21840481"/>
    <x:s v="SUAREZ ALVARADO SUSANA"/>
    <x:m/>
    <x:s v="CRISTINA"/>
    <x:s v="0044128"/>
    <x:s v="999166413"/>
    <x:s v="BAUTISTA LOPEZ HERMINIA"/>
    <x:s v="86938"/>
    <x:x v="24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m/>
    <x:m/>
    <x:m/>
  </x:r>
  <x:r>
    <x:d v="2026-06-18T00:00:00Z"/>
    <x:x v="0"/>
    <x:s v="99135"/>
    <x:s v="BO"/>
    <x:s v="5638"/>
    <x:s v="CO"/>
    <x:s v="BO-5638"/>
    <x:s v="DIAZ ESCOBAL AUGUSTO"/>
    <x:s v="08560804"/>
    <x:s v="VILLAR CURAHUA MARCELA ALEJANDRA"/>
    <x:s v="GAMARRA SALUD"/>
    <x:s v="CRISTINA"/>
    <x:s v="0070232"/>
    <x:s v="923538499"/>
    <x:s v="DIAZ ESCOBAL AUGUSTO"/>
    <x:s v="86977"/>
    <x:x v="7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n v="950133748"/>
    <x:s v="191-9953047026"/>
    <x:n v="30"/>
  </x:r>
  <x:r>
    <x:d v="2026-06-18T00:00:00Z"/>
    <x:x v="0"/>
    <x:s v="99135"/>
    <x:s v="BO"/>
    <x:s v="5638"/>
    <x:s v="CO"/>
    <x:s v="BO-5638"/>
    <x:s v="DIAZ ESCOBAL AUGUSTO"/>
    <x:s v="08560804"/>
    <x:s v="VILLAR CURAHUA MARCELA ALEJANDRA"/>
    <x:s v="GAMARRA SALUD"/>
    <x:s v="CRISTINA"/>
    <x:s v="0070232"/>
    <x:s v="923538499"/>
    <x:s v="DIAZ ESCOBAL AUGUSTO"/>
    <x:s v="86977"/>
    <x:x v="8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n v="950133748"/>
    <x:s v="191-9953047026"/>
    <x:n v="30"/>
  </x:r>
  <x:r>
    <x:d v="2026-06-18T00:00:00Z"/>
    <x:x v="0"/>
    <x:s v="99177"/>
    <x:s v="BO"/>
    <x:s v="3911"/>
    <x:s v="CO"/>
    <x:s v="BO-3911"/>
    <x:s v="ALANIA SUAREZ DE GIL DIONICIA"/>
    <x:s v="07738357"/>
    <x:s v="RUIZ ROJAS PAUBLO ENRIQUE"/>
    <x:s v="CONSULTORIO CUBANO COMAS"/>
    <x:s v="CRISTINA"/>
    <x:s v="0070290"/>
    <x:s v="991819463"/>
    <x:s v="ALANIA SUAREZ DE GIL DIONICIA"/>
    <x:s v="87014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2903716"/>
    <x:s v="191-91415089071"/>
    <x:n v="50"/>
  </x:r>
  <x:r>
    <x:d v="2026-06-18T00:00:00Z"/>
    <x:x v="0"/>
    <x:s v="99136"/>
    <x:s v="BO"/>
    <x:s v="5639"/>
    <x:s v="CO"/>
    <x:s v="BO-5639"/>
    <x:s v="DIAZ ESCOBAL AUGUSTO"/>
    <x:s v="08560804"/>
    <x:s v="FIERRO LEANDRO"/>
    <x:s v="POLICLÍNICO DIVINO NIÑO JESÚS"/>
    <x:s v="CRISTINA"/>
    <x:s v="0070232"/>
    <x:s v="923538499"/>
    <x:s v="DIAZ ESCOBAL AUGUSTO"/>
    <x:s v="86978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6-18T00:00:00Z"/>
    <x:x v="0"/>
    <x:s v="99136"/>
    <x:s v="BO"/>
    <x:s v="5639"/>
    <x:s v="CO"/>
    <x:s v="BO-5639"/>
    <x:s v="DIAZ ESCOBAL AUGUSTO"/>
    <x:s v="08560804"/>
    <x:s v="FIERRO LEANDRO"/>
    <x:s v="POLICLÍNICO DIVINO NIÑO JESÚS"/>
    <x:s v="CRISTINA"/>
    <x:s v="0070232"/>
    <x:s v="923538499"/>
    <x:s v="DIAZ ESCOBAL AUGUSTO"/>
    <x:s v="86978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6-18T00:00:00Z"/>
    <x:x v="0"/>
    <x:s v="99136"/>
    <x:s v="BO"/>
    <x:s v="5639"/>
    <x:s v="CO"/>
    <x:s v="BO-5639"/>
    <x:s v="DIAZ ESCOBAL AUGUSTO"/>
    <x:s v="08560804"/>
    <x:s v="FIERRO LEANDRO"/>
    <x:s v="POLICLÍNICO DIVINO NIÑO JESÚS"/>
    <x:s v="CRISTINA"/>
    <x:s v="0070232"/>
    <x:s v="923538499"/>
    <x:s v="DIAZ ESCOBAL AUGUSTO"/>
    <x:s v="86978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6-18T00:00:00Z"/>
    <x:x v="0"/>
    <x:s v="99136"/>
    <x:s v="BO"/>
    <x:s v="5639"/>
    <x:s v="CO"/>
    <x:s v="BO-5639"/>
    <x:s v="DIAZ ESCOBAL AUGUSTO"/>
    <x:s v="08560804"/>
    <x:s v="FIERRO LEANDRO"/>
    <x:s v="POLICLÍNICO DIVINO NIÑO JESÚS"/>
    <x:s v="CRISTINA"/>
    <x:s v="0070232"/>
    <x:s v="923538499"/>
    <x:s v="DIAZ ESCOBAL AUGUSTO"/>
    <x:s v="86978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6-18T00:00:00Z"/>
    <x:x v="0"/>
    <x:s v="99136"/>
    <x:s v="BO"/>
    <x:s v="5639"/>
    <x:s v="CO"/>
    <x:s v="BO-5639"/>
    <x:s v="DIAZ ESCOBAL AUGUSTO"/>
    <x:s v="08560804"/>
    <x:s v="FIERRO LEANDRO"/>
    <x:s v="POLICLÍNICO DIVINO NIÑO JESÚS"/>
    <x:s v="CRISTINA"/>
    <x:s v="0070232"/>
    <x:s v="923538499"/>
    <x:s v="DIAZ ESCOBAL AUGUSTO"/>
    <x:s v="86978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6-18T00:00:00Z"/>
    <x:x v="0"/>
    <x:s v="99138"/>
    <x:s v="BO"/>
    <x:s v="5640"/>
    <x:s v="CO"/>
    <x:s v="BO-5640"/>
    <x:s v="DIAZ ESCOBAL AUGUSTO"/>
    <x:s v="08560804"/>
    <x:s v="FIERRO LEANDRO"/>
    <x:s v="POLICLÍNICO DIVINO NIÑO JESÚS"/>
    <x:s v="CRISTINA"/>
    <x:s v="0070232"/>
    <x:s v="923538499"/>
    <x:s v="DIAZ ESCOBAL AUGUSTO"/>
    <x:s v="86979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6-18T00:00:00Z"/>
    <x:x v="0"/>
    <x:s v="99219"/>
    <x:s v="FA"/>
    <x:s v="541"/>
    <x:s v="CO"/>
    <x:s v="FA-541"/>
    <x:s v="DIAZ ESCOBAL AUGUSTO"/>
    <x:s v="08560804"/>
    <x:s v="FIERRO LEANDRO"/>
    <x:s v="POLICLÍNICO DIVINO NIÑO JESÚS"/>
    <x:s v="CRISTINA"/>
    <x:s v="0070232"/>
    <x:s v="923538499"/>
    <x:s v="GRUPO MEDICO INTEGRAL SOCIEDAD ANONIMA CERRADA"/>
    <x:s v="8702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6-18T00:00:00Z"/>
    <x:x v="0"/>
    <x:s v="99219"/>
    <x:s v="FA"/>
    <x:s v="541"/>
    <x:s v="CO"/>
    <x:s v="FA-541"/>
    <x:s v="DIAZ ESCOBAL AUGUSTO"/>
    <x:s v="08560804"/>
    <x:s v="FIERRO LEANDRO"/>
    <x:s v="POLICLÍNICO DIVINO NIÑO JESÚS"/>
    <x:s v="CRISTINA"/>
    <x:s v="0070232"/>
    <x:s v="923538499"/>
    <x:s v="GRUPO MEDICO INTEGRAL SOCIEDAD ANONIMA CERRADA"/>
    <x:s v="87029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6-18T00:00:00Z"/>
    <x:x v="0"/>
    <x:s v="99133"/>
    <x:s v="BO"/>
    <x:s v="5637"/>
    <x:s v="CO"/>
    <x:s v="BO-5637"/>
    <x:s v="SALAS CABREJO NASARIO"/>
    <x:s v="70358831"/>
    <x:s v="SOTO IDROGO CLAUDIA"/>
    <x:s v="CLÍNICA JESÚS DEL NORTE (JM)"/>
    <x:s v="CRISTINA"/>
    <x:s v="0070279"/>
    <x:s v="969350781"/>
    <x:s v="SALAS CABREJO NASARIO"/>
    <x:s v="86975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86089286"/>
    <x:s v="191-32083755032"/>
    <x:n v="30"/>
  </x:r>
  <x:r>
    <x:d v="2026-06-19T00:00:00Z"/>
    <x:x v="0"/>
    <x:s v="99250"/>
    <x:s v="BO"/>
    <x:s v="3916"/>
    <x:s v="CO"/>
    <x:s v="BO-3916"/>
    <x:s v="ZAVALA MARTINEZ JORGE ALFONSO"/>
    <x:s v="06134501"/>
    <x:m/>
    <x:m/>
    <x:s v="CRISTINA"/>
    <x:s v="0070311"/>
    <x:s v="944326227"/>
    <x:s v="ZAVALA MARTINEZ JORGE ALFONSO"/>
    <x:s v="87070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6-19T00:00:00Z"/>
    <x:x v="0"/>
    <x:s v="99250"/>
    <x:s v="BO"/>
    <x:s v="3916"/>
    <x:s v="CO"/>
    <x:s v="BO-3916"/>
    <x:s v="ZAVALA MARTINEZ JORGE ALFONSO"/>
    <x:s v="06134501"/>
    <x:m/>
    <x:m/>
    <x:s v="CRISTINA"/>
    <x:s v="0070311"/>
    <x:s v="944326227"/>
    <x:s v="ZAVALA MARTINEZ JORGE ALFONSO"/>
    <x:s v="87070"/>
    <x:x v="5"/>
    <x:n v="1"/>
    <x:s v="PRECISA LN"/>
    <x:s v="POR ASIGNAR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6-19T00:00:00Z"/>
    <x:x v="0"/>
    <x:s v="99250"/>
    <x:s v="BO"/>
    <x:s v="3916"/>
    <x:s v="CO"/>
    <x:s v="BO-3916"/>
    <x:s v="ZAVALA MARTINEZ JORGE ALFONSO"/>
    <x:s v="06134501"/>
    <x:m/>
    <x:m/>
    <x:s v="CRISTINA"/>
    <x:s v="0070311"/>
    <x:s v="944326227"/>
    <x:s v="ZAVALA MARTINEZ JORGE ALFONSO"/>
    <x:s v="87070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6-20T00:00:00Z"/>
    <x:x v="0"/>
    <x:s v="99362"/>
    <x:s v="FA"/>
    <x:s v="1041"/>
    <x:s v="CO"/>
    <x:s v="FA-1041"/>
    <x:s v="VENEGAS PUEMAPE NELLY EUFEMIA"/>
    <x:s v="08581322"/>
    <x:s v="FERNANDEZ GUTIERREZ OLGA PATRICIA"/>
    <x:s v="CONSULTORIO PARTICULAR"/>
    <x:s v="CRISTINA"/>
    <x:s v="0070348"/>
    <x:s v="941382516"/>
    <x:s v="VEFER OFTALMOLOGOS S.A.C."/>
    <x:s v="87156"/>
    <x:x v="22"/>
    <x:n v="2"/>
    <x:s v="PRECISA"/>
    <x:s v="INSTITUTO MEDICO QUIRURGICO AREQUIPA S.A"/>
    <x:s v="INSTITUTO MEDICO QUIRURGICO AREQUIPA S.A"/>
    <x:s v="L.CENTRO"/>
    <x:s v="LMAGAN"/>
    <x:n v="203.39"/>
    <x:s v="LN. PROCEDIMIENTO"/>
    <x:s v="CIAS. DE SEGURO"/>
    <x:s v="CENTRO"/>
    <x:n v="982536223"/>
    <x:s v="107-3174605363"/>
    <x:m/>
  </x:r>
  <x:r>
    <x:d v="2026-06-22T00:00:00Z"/>
    <x:x v="0"/>
    <x:s v="99428"/>
    <x:s v="BO"/>
    <x:s v="11650"/>
    <x:s v="CO"/>
    <x:s v="BO-11650"/>
    <x:s v="MEZA RUBINA JILMER"/>
    <x:s v="22865734"/>
    <x:s v="ROJAS AQUINO EVELING KARINA"/>
    <x:s v="POLICLÍNICO ESPÍRITU SANTO"/>
    <x:s v="CRISTINA"/>
    <x:s v="0070376"/>
    <x:s v="913757585"/>
    <x:s v="MEZA RUBINA JILMER"/>
    <x:s v="87199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55356636"/>
    <x:s v="009-3226956615"/>
    <x:n v="50"/>
  </x:r>
  <x:r>
    <x:d v="2026-06-22T00:00:00Z"/>
    <x:x v="0"/>
    <x:s v="99431"/>
    <x:s v="BO"/>
    <x:s v="11651"/>
    <x:s v="CO"/>
    <x:s v="BO-11651"/>
    <x:s v="SECLEN LLONTOP DE TULLUME LIDIA LUZ"/>
    <x:s v="08454992"/>
    <x:s v="REYES DIAZ JORGE RICARDO"/>
    <x:s v="HOSPITAL CAYETANO HEREDIA"/>
    <x:s v="CRISTINA"/>
    <x:s v="0070382"/>
    <x:s v="999978226"/>
    <x:s v="SECLEN LLONTOP DE TULLUME LIDIA LUZ"/>
    <x:s v="87202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9418834"/>
    <x:s v="193-05549355007"/>
    <x:n v="30"/>
  </x:r>
  <x:r>
    <x:d v="2026-06-23T00:00:00Z"/>
    <x:x v="0"/>
    <x:s v="99568"/>
    <x:s v="BO"/>
    <x:s v="153"/>
    <x:s v="CO"/>
    <x:s v="BO-153"/>
    <x:s v="CARDEÑA LEON MARIA ALONDRA"/>
    <x:s v="77490960"/>
    <x:m/>
    <x:m/>
    <x:s v="CRISTINA"/>
    <x:s v="0068091"/>
    <x:s v="943956541"/>
    <x:s v="CARDEÑA LEON MARIA ALONDRA"/>
    <x:s v="87332"/>
    <x:x v="25"/>
    <x:n v="1"/>
    <x:s v="PRECISA"/>
    <x:s v="INSTITUTO MEDICO QUIRURGICO AREQUIPA S.A"/>
    <x:s v="INSTITUTO MEDICO QUIRURGICO AREQUIPA S.A"/>
    <x:s v="L.LINCE"/>
    <x:s v="LQUISPE"/>
    <x:n v="0.21"/>
    <x:s v="LN. FARMACIA"/>
    <x:s v="CIAS. DE SEGURO"/>
    <x:s v="LINCE"/>
    <x:m/>
    <x:m/>
    <x:m/>
  </x:r>
  <x:r>
    <x:d v="2026-06-23T00:00:00Z"/>
    <x:x v="0"/>
    <x:s v="99568"/>
    <x:s v="BO"/>
    <x:s v="153"/>
    <x:s v="CO"/>
    <x:s v="BO-153"/>
    <x:s v="CARDEÑA LEON MARIA ALONDRA"/>
    <x:s v="77490960"/>
    <x:m/>
    <x:m/>
    <x:s v="CRISTINA"/>
    <x:s v="0068091"/>
    <x:s v="943956541"/>
    <x:s v="CARDEÑA LEON MARIA ALONDRA"/>
    <x:s v="87332"/>
    <x:x v="26"/>
    <x:n v="1"/>
    <x:s v="PRECISA"/>
    <x:s v="INSTITUTO MEDICO QUIRURGICO AREQUIPA S.A"/>
    <x:s v="INSTITUTO MEDICO QUIRURGICO AREQUIPA S.A"/>
    <x:s v="L.LINCE"/>
    <x:s v="LQUISPE"/>
    <x:n v="0.68"/>
    <x:s v="LN. FARMACIA"/>
    <x:s v="CIAS. DE SEGURO"/>
    <x:s v="LINCE"/>
    <x:m/>
    <x:m/>
    <x:m/>
  </x:r>
  <x:r>
    <x:d v="2026-06-23T00:00:00Z"/>
    <x:x v="0"/>
    <x:s v="99568"/>
    <x:s v="BO"/>
    <x:s v="153"/>
    <x:s v="CO"/>
    <x:s v="BO-153"/>
    <x:s v="CARDEÑA LEON MARIA ALONDRA"/>
    <x:s v="77490960"/>
    <x:m/>
    <x:m/>
    <x:s v="CRISTINA"/>
    <x:s v="0068091"/>
    <x:s v="943956541"/>
    <x:s v="CARDEÑA LEON MARIA ALONDRA"/>
    <x:s v="87332"/>
    <x:x v="27"/>
    <x:n v="1"/>
    <x:s v="PRECISA"/>
    <x:s v="INSTITUTO MEDICO QUIRURGICO AREQUIPA S.A"/>
    <x:s v="INSTITUTO MEDICO QUIRURGICO AREQUIPA S.A"/>
    <x:s v="L.LINCE"/>
    <x:s v="LQUISPE"/>
    <x:n v="0.42"/>
    <x:s v="LN. FARMACIA"/>
    <x:s v="CIAS. DE SEGURO"/>
    <x:s v="LINCE"/>
    <x:m/>
    <x:m/>
    <x:m/>
  </x:r>
  <x:r>
    <x:d v="2026-06-23T00:00:00Z"/>
    <x:x v="0"/>
    <x:s v="99525"/>
    <x:s v="BO"/>
    <x:s v="11667"/>
    <x:s v="CO"/>
    <x:s v="BO-11667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1"/>
    <x:x v="15"/>
    <x:n v="1"/>
    <x:s v="PRECISA"/>
    <x:s v="INSTITUTO MEDICO QUIRURGICO AREQUIPA S.A"/>
    <x:s v="INSTITUTO MEDICO QUIRURGICO AREQUIPA S.A"/>
    <x:s v="L.CENTRO"/>
    <x:s v="LMAGAN"/>
    <x:n v="127.12"/>
    <x:s v="LN. EXAMENES"/>
    <x:s v="CIAS. DE SEGURO"/>
    <x:s v="CENTRO"/>
    <x:m/>
    <x:m/>
    <x:m/>
  </x:r>
  <x:r>
    <x:d v="2026-06-23T00:00:00Z"/>
    <x:x v="0"/>
    <x:s v="99526"/>
    <x:s v="BO"/>
    <x:s v="11668"/>
    <x:s v="CO"/>
    <x:s v="BO-11668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0"/>
    <x:x v="16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23T00:00:00Z"/>
    <x:x v="0"/>
    <x:s v="99526"/>
    <x:s v="BO"/>
    <x:s v="11668"/>
    <x:s v="CO"/>
    <x:s v="BO-11668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0"/>
    <x:x v="17"/>
    <x:n v="1"/>
    <x:s v="PRECISA"/>
    <x:s v="INSTITUTO MEDICO QUIRURGICO AREQUIPA S.A"/>
    <x:s v="INSTITUTO MEDICO QUIRURGICO AREQUIPA S.A"/>
    <x:s v="L.CENTRO"/>
    <x:s v="LMAGAN"/>
    <x:n v="21.19"/>
    <x:s v="LN. LABORATORIO"/>
    <x:s v="CIAS. DE SEGURO"/>
    <x:s v="CENTRO"/>
    <x:m/>
    <x:m/>
    <x:m/>
  </x:r>
  <x:r>
    <x:d v="2026-06-23T00:00:00Z"/>
    <x:x v="0"/>
    <x:s v="99526"/>
    <x:s v="BO"/>
    <x:s v="11668"/>
    <x:s v="CO"/>
    <x:s v="BO-11668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0"/>
    <x:x v="18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23T00:00:00Z"/>
    <x:x v="0"/>
    <x:s v="99526"/>
    <x:s v="BO"/>
    <x:s v="11668"/>
    <x:s v="CO"/>
    <x:s v="BO-11668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0"/>
    <x:x v="19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6-23T00:00:00Z"/>
    <x:x v="0"/>
    <x:s v="99526"/>
    <x:s v="BO"/>
    <x:s v="11668"/>
    <x:s v="CO"/>
    <x:s v="BO-11668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0"/>
    <x:x v="20"/>
    <x:n v="1"/>
    <x:s v="PRECISA"/>
    <x:s v="INSTITUTO MEDICO QUIRURGICO AREQUIPA S.A"/>
    <x:s v="INSTITUTO MEDICO QUIRURGICO AREQUIPA S.A"/>
    <x:s v="L.CENTRO"/>
    <x:s v="LMAGAN"/>
    <x:n v="50.85"/>
    <x:s v="LN. LABORATORIO"/>
    <x:s v="CIAS. DE SEGURO"/>
    <x:s v="CENTRO"/>
    <x:m/>
    <x:m/>
    <x:m/>
  </x:r>
  <x:r>
    <x:d v="2026-06-23T00:00:00Z"/>
    <x:x v="0"/>
    <x:s v="99527"/>
    <x:s v="BO"/>
    <x:s v="11669"/>
    <x:s v="CO"/>
    <x:s v="BO-11669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2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27"/>
    <x:s v="BO"/>
    <x:s v="11669"/>
    <x:s v="CO"/>
    <x:s v="BO-11669"/>
    <x:s v="URTECHO VARGAS MARCELO BERARDO"/>
    <x:s v="32807550"/>
    <x:s v="FIERRO LEANDRO"/>
    <x:s v="POLICLÍNICO DIVINO NIÑO JESÚS"/>
    <x:s v="CRISTINA"/>
    <x:s v="0070330"/>
    <x:s v="934254167"/>
    <x:s v="URTECHO VARGAS MARCELO BERARDO"/>
    <x:s v="87292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28"/>
    <x:s v="BO"/>
    <x:s v="11670"/>
    <x:s v="CO"/>
    <x:s v="BO-11670"/>
    <x:s v="VILLARREAL AZAÑERO DE CHIRITO MARTINA CO"/>
    <x:s v="15654650"/>
    <x:s v="FIERRO LEANDRO"/>
    <x:s v="POLICLÍNICO DIVINO NIÑO JESÚS"/>
    <x:s v="CRISTINA"/>
    <x:s v="0070331"/>
    <x:s v="920384829"/>
    <x:s v="VILLARREAL AZAÑERO DE CHIRITO MARTINA CO"/>
    <x:s v="87295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28"/>
    <x:s v="BO"/>
    <x:s v="11670"/>
    <x:s v="CO"/>
    <x:s v="BO-11670"/>
    <x:s v="VILLARREAL AZAÑERO DE CHIRITO MARTINA CO"/>
    <x:s v="15654650"/>
    <x:s v="FIERRO LEANDRO"/>
    <x:s v="POLICLÍNICO DIVINO NIÑO JESÚS"/>
    <x:s v="CRISTINA"/>
    <x:s v="0070331"/>
    <x:s v="920384829"/>
    <x:s v="VILLARREAL AZAÑERO DE CHIRITO MARTINA CO"/>
    <x:s v="87295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61"/>
    <x:s v="BO"/>
    <x:s v="11679"/>
    <x:s v="CO"/>
    <x:s v="BO-11679"/>
    <x:s v="LAZO LUYO ENRIQUE FELIX"/>
    <x:s v="16150809"/>
    <x:s v="FIERRO LEANDRO"/>
    <x:s v="POLICLÍNICO DIVINO NIÑO JESÚS"/>
    <x:s v="CRISTINA"/>
    <x:s v="0070454"/>
    <x:s v="999999999"/>
    <x:s v="LAZO LUYO ENRIQUE FELIX"/>
    <x:s v="87325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61"/>
    <x:s v="BO"/>
    <x:s v="11679"/>
    <x:s v="CO"/>
    <x:s v="BO-11679"/>
    <x:s v="LAZO LUYO ENRIQUE FELIX"/>
    <x:s v="16150809"/>
    <x:s v="FIERRO LEANDRO"/>
    <x:s v="POLICLÍNICO DIVINO NIÑO JESÚS"/>
    <x:s v="CRISTINA"/>
    <x:s v="0070454"/>
    <x:s v="999999999"/>
    <x:s v="LAZO LUYO ENRIQUE FELIX"/>
    <x:s v="87325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6-23T00:00:00Z"/>
    <x:x v="0"/>
    <x:s v="99598"/>
    <x:s v="FA"/>
    <x:s v="1044"/>
    <x:s v="CO"/>
    <x:s v="FA-1044"/>
    <x:s v="VILLARREAL AZAÑERO DE CHIRITO MARTINA CO"/>
    <x:s v="15654650"/>
    <x:s v="FIERRO LEANDRO"/>
    <x:s v="POLICLÍNICO DIVINO NIÑO JESÚS"/>
    <x:s v="CRISTINA"/>
    <x:s v="0070331"/>
    <x:s v="920384829"/>
    <x:s v="GRUPO MEDICO INTEGRAL SOCIEDAD ANONIMA CERRADA"/>
    <x:s v="87297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6-23T00:00:00Z"/>
    <x:x v="0"/>
    <x:s v="99598"/>
    <x:s v="FA"/>
    <x:s v="1044"/>
    <x:s v="CO"/>
    <x:s v="FA-1044"/>
    <x:s v="VILLARREAL AZAÑERO DE CHIRITO MARTINA CO"/>
    <x:s v="15654650"/>
    <x:s v="FIERRO LEANDRO"/>
    <x:s v="POLICLÍNICO DIVINO NIÑO JESÚS"/>
    <x:s v="CRISTINA"/>
    <x:s v="0070331"/>
    <x:s v="920384829"/>
    <x:s v="GRUPO MEDICO INTEGRAL SOCIEDAD ANONIMA CERRADA"/>
    <x:s v="87297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6-23T00:00:00Z"/>
    <x:x v="0"/>
    <x:s v="99600"/>
    <x:s v="FA"/>
    <x:s v="1045"/>
    <x:s v="CO"/>
    <x:s v="FA-1045"/>
    <x:s v="LAZO LUYO ENRIQUE FELIX"/>
    <x:s v="16150809"/>
    <x:s v="FIERRO LEANDRO"/>
    <x:s v="POLICLÍNICO DIVINO NIÑO JESÚS"/>
    <x:s v="CRISTINA"/>
    <x:s v="0070454"/>
    <x:s v="999999999"/>
    <x:s v="GRUPO MEDICO INTEGRAL SOCIEDAD ANONIMA CERRADA"/>
    <x:s v="87326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6-23T00:00:00Z"/>
    <x:x v="0"/>
    <x:s v="99600"/>
    <x:s v="FA"/>
    <x:s v="1045"/>
    <x:s v="CO"/>
    <x:s v="FA-1045"/>
    <x:s v="LAZO LUYO ENRIQUE FELIX"/>
    <x:s v="16150809"/>
    <x:s v="FIERRO LEANDRO"/>
    <x:s v="POLICLÍNICO DIVINO NIÑO JESÚS"/>
    <x:s v="CRISTINA"/>
    <x:s v="0070454"/>
    <x:s v="999999999"/>
    <x:s v="GRUPO MEDICO INTEGRAL SOCIEDAD ANONIMA CERRADA"/>
    <x:s v="87326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6-23T00:00:00Z"/>
    <x:x v="0"/>
    <x:s v="99601"/>
    <x:s v="FA"/>
    <x:s v="1046"/>
    <x:s v="CO"/>
    <x:s v="FA-1046"/>
    <x:s v="URTECHO VARGAS MARCELO BERARDO"/>
    <x:s v="32807550"/>
    <x:s v="FIERRO LEANDRO"/>
    <x:s v="POLICLÍNICO DIVINO NIÑO JESÚS"/>
    <x:s v="CRISTINA"/>
    <x:s v="0070330"/>
    <x:s v="934254167"/>
    <x:s v="GRUPO MEDICO INTEGRAL SOCIEDAD ANONIMA CERRADA"/>
    <x:s v="87336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6-23T00:00:00Z"/>
    <x:x v="0"/>
    <x:s v="99601"/>
    <x:s v="FA"/>
    <x:s v="1046"/>
    <x:s v="CO"/>
    <x:s v="FA-1046"/>
    <x:s v="URTECHO VARGAS MARCELO BERARDO"/>
    <x:s v="32807550"/>
    <x:s v="FIERRO LEANDRO"/>
    <x:s v="POLICLÍNICO DIVINO NIÑO JESÚS"/>
    <x:s v="CRISTINA"/>
    <x:s v="0070330"/>
    <x:s v="934254167"/>
    <x:s v="GRUPO MEDICO INTEGRAL SOCIEDAD ANONIMA CERRADA"/>
    <x:s v="87336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6-23T00:00:00Z"/>
    <x:x v="0"/>
    <x:s v="99560"/>
    <x:s v="BO"/>
    <x:s v="11678"/>
    <x:s v="CO"/>
    <x:s v="BO-11678"/>
    <x:s v="CORTEZ CANCHIS FLOR DE MARIA"/>
    <x:s v="09738269"/>
    <x:s v="MORALES"/>
    <x:m/>
    <x:s v="CRISTINA"/>
    <x:s v="0070447"/>
    <x:s v="903052353"/>
    <x:s v="CORTEZ CANCHIS FLOR DE MARIA"/>
    <x:s v="87324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6-24T00:00:00Z"/>
    <x:x v="0"/>
    <x:s v="99698"/>
    <x:s v="BO"/>
    <x:s v="11711"/>
    <x:s v="CO"/>
    <x:s v="BO-11711"/>
    <x:s v="ESTELA GIRALDO CARMEN AIDA"/>
    <x:s v="07725003"/>
    <x:s v="AGRAMONTE ZEA EDILBERTO"/>
    <x:s v="HOSPITAL DE LA SOLIDARIDAD SJL"/>
    <x:s v="CRISTINA"/>
    <x:s v="0070517"/>
    <x:s v="989533922"/>
    <x:s v="ESTELA GIRALDO CARMEN AIDA"/>
    <x:s v="87451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6-24T00:00:00Z"/>
    <x:x v="0"/>
    <x:s v="99721"/>
    <x:s v="FA"/>
    <x:s v="1051"/>
    <x:s v="CO"/>
    <x:s v="FA-1051"/>
    <x:s v="CHUMBILE OROSCO OSCAR RENE"/>
    <x:s v="28293097"/>
    <x:s v="VILLAR CURAHUA MARCELA ALEJANDRA"/>
    <x:s v="GAMARRA SALUD"/>
    <x:s v="CRISTINA"/>
    <x:s v="0070350"/>
    <x:s v="998226950"/>
    <x:s v="GAMARRA HEALTHCARE CENTER S.A.C."/>
    <x:s v="87294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50133748"/>
    <x:s v="191-9953047026"/>
    <x:m/>
  </x:r>
  <x:r>
    <x:d v="2026-06-24T00:00:00Z"/>
    <x:x v="0"/>
    <x:s v="99721"/>
    <x:s v="FA"/>
    <x:s v="1051"/>
    <x:s v="CO"/>
    <x:s v="FA-1051"/>
    <x:s v="CHUMBILE OROSCO OSCAR RENE"/>
    <x:s v="28293097"/>
    <x:s v="VILLAR CURAHUA MARCELA ALEJANDRA"/>
    <x:s v="GAMARRA SALUD"/>
    <x:s v="CRISTINA"/>
    <x:s v="0070350"/>
    <x:s v="998226950"/>
    <x:s v="GAMARRA HEALTHCARE CENTER S.A.C."/>
    <x:s v="87294"/>
    <x:x v="10"/>
    <x:n v="1"/>
    <x:s v="PRECISA"/>
    <x:s v="INSTITUTO MEDICO QUIRURGICO AREQUIPA S.A"/>
    <x:s v="INSTITUTO MEDICO QUIRURGICO AREQUIPA S.A"/>
    <x:s v="L.CENTRO"/>
    <x:s v="LMAGAN"/>
    <x:n v="3211.86"/>
    <x:s v="LN. CIRUGIA"/>
    <x:s v="CIAS. DE SEGURO"/>
    <x:s v="CENTRO"/>
    <x:n v="950133748"/>
    <x:s v="191-9953047026"/>
    <x:m/>
  </x:r>
  <x:r>
    <x:d v="2026-06-24T00:00:00Z"/>
    <x:x v="0"/>
    <x:s v="99684"/>
    <x:s v="FA"/>
    <x:s v="1047"/>
    <x:s v="CO"/>
    <x:s v="FA-1047"/>
    <x:s v="RODRIGUEZ MARTELL ROLANDO CHRISTIAN"/>
    <x:s v="72739214"/>
    <x:s v="FONTENLA SERNA DAVID IVAN"/>
    <x:s v="HOSPITAL NAVAL"/>
    <x:s v="CRISTINA"/>
    <x:s v="0070113"/>
    <x:s v="9982215445"/>
    <x:s v="FONTENLA VISION E.I.R.L."/>
    <x:s v="87353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6922608"/>
    <x:s v="0011-0117-0200577155"/>
    <x:m/>
  </x:r>
  <x:r>
    <x:d v="2026-06-24T00:00:00Z"/>
    <x:x v="0"/>
    <x:s v="99684"/>
    <x:s v="FA"/>
    <x:s v="1047"/>
    <x:s v="CO"/>
    <x:s v="FA-1047"/>
    <x:s v="RODRIGUEZ MARTELL ROLANDO CHRISTIAN"/>
    <x:s v="72739214"/>
    <x:s v="FONTENLA SERNA DAVID IVAN"/>
    <x:s v="HOSPITAL NAVAL"/>
    <x:s v="CRISTINA"/>
    <x:s v="0070113"/>
    <x:s v="9982215445"/>
    <x:s v="FONTENLA VISION E.I.R.L."/>
    <x:s v="87353"/>
    <x:x v="23"/>
    <x:n v="1"/>
    <x:s v="PRECISA"/>
    <x:s v="INSTITUTO MEDICO QUIRURGICO AREQUIPA S.A"/>
    <x:s v="INSTITUTO MEDICO QUIRURGICO AREQUIPA S.A"/>
    <x:s v="L.CENTRO"/>
    <x:s v="LMAGAN"/>
    <x:n v="550.85"/>
    <x:s v="LN. CIRUGIA"/>
    <x:s v="CIAS. DE SEGURO"/>
    <x:s v="CENTRO"/>
    <x:n v="976922608"/>
    <x:s v="0011-0117-0200577155"/>
    <x:m/>
  </x:r>
  <x:r>
    <x:d v="2026-06-24T00:00:00Z"/>
    <x:x v="0"/>
    <x:s v="99685"/>
    <x:s v="FA"/>
    <x:s v="1048"/>
    <x:s v="CO"/>
    <x:s v="FA-1048"/>
    <x:s v="RODRIGUEZ MARTELL ROLANDO CHRISTIAN"/>
    <x:s v="72739214"/>
    <x:s v="FONTENLA SERNA DAVID IVAN"/>
    <x:s v="HOSPITAL NAVAL"/>
    <x:s v="CRISTINA"/>
    <x:s v="0070113"/>
    <x:s v="9982215445"/>
    <x:s v="FONTENLA VISION E.I.R.L."/>
    <x:s v="87439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76922608"/>
    <x:s v="0011-0117-0200577155"/>
    <x:n v="30"/>
  </x:r>
  <x:r>
    <x:d v="2026-06-24T00:00:00Z"/>
    <x:x v="0"/>
    <x:s v="99687"/>
    <x:s v="FA"/>
    <x:s v="1049"/>
    <x:s v="CO"/>
    <x:s v="FA-1049"/>
    <x:s v="RODRIGUEZ MARTELL ROLANDO CHRISTIAN"/>
    <x:s v="72739214"/>
    <x:s v="FONTENLA SERNA DAVID IVAN"/>
    <x:s v="HOSPITAL NAVAL"/>
    <x:s v="CRISTINA"/>
    <x:s v="0070113"/>
    <x:s v="9982215445"/>
    <x:s v="FONTENLA VISION E.I.R.L."/>
    <x:s v="87440"/>
    <x:x v="28"/>
    <x:n v="1"/>
    <x:s v="PRECISA"/>
    <x:s v="INSTITUTO MEDICO QUIRURGICO AREQUIPA S.A"/>
    <x:s v="INSTITUTO MEDICO QUIRURGICO AREQUIPA S.A"/>
    <x:s v="L.CENTRO"/>
    <x:s v="LMAGAN"/>
    <x:n v="33.9"/>
    <x:s v="LN. EXAMENES"/>
    <x:s v="CIAS. DE SEGURO"/>
    <x:s v="CENTRO"/>
    <x:n v="976922608"/>
    <x:s v="0011-0117-0200577155"/>
    <x:m/>
  </x:r>
  <x:r>
    <x:d v="2026-06-24T00:00:00Z"/>
    <x:x v="0"/>
    <x:s v="99695"/>
    <x:s v="BO"/>
    <x:s v="4429"/>
    <x:s v="CO"/>
    <x:s v="BO-4429"/>
    <x:s v="MORE MONASTERIO NILDA MARIA"/>
    <x:s v="10291906"/>
    <x:s v="ROJAS AQUINO EVELING KARINA"/>
    <x:s v="POLICLÍNICO ESPÍRITU SANTO"/>
    <x:s v="CRISTINA"/>
    <x:s v="0070515"/>
    <x:s v="973822706"/>
    <x:s v="MORE MONASTERIO NILDA MARIA"/>
    <x:s v="87448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55356636"/>
    <x:s v="009-3226956615"/>
    <x:n v="50"/>
  </x:r>
  <x:r>
    <x:d v="2026-06-24T00:00:00Z"/>
    <x:x v="0"/>
    <x:s v="99695"/>
    <x:s v="BO"/>
    <x:s v="4429"/>
    <x:s v="CO"/>
    <x:s v="BO-4429"/>
    <x:s v="MORE MONASTERIO NILDA MARIA"/>
    <x:s v="10291906"/>
    <x:s v="ROJAS AQUINO EVELING KARINA"/>
    <x:s v="POLICLÍNICO ESPÍRITU SANTO"/>
    <x:s v="CRISTINA"/>
    <x:s v="0070515"/>
    <x:s v="973822706"/>
    <x:s v="MORE MONASTERIO NILDA MARIA"/>
    <x:s v="87448"/>
    <x:x v="4"/>
    <x:n v="1"/>
    <x:s v="PRECISA LN"/>
    <x:s v="POR ASIGNAR"/>
    <x:s v="INSTITUTO MEDICO QUIRURGICO AREQUIPA S.A"/>
    <x:s v="L.NORTE"/>
    <x:s v="AALARCON"/>
    <x:n v="135.59"/>
    <x:s v="LN. EXAMENES"/>
    <x:s v="CIAS. DE SEGURO"/>
    <x:s v="NORTE"/>
    <x:n v="955356636"/>
    <x:s v="009-3226956615"/>
    <x:n v="30"/>
  </x:r>
  <x:r>
    <x:d v="2026-06-24T00:00:00Z"/>
    <x:x v="0"/>
    <x:s v="99631"/>
    <x:s v="BO"/>
    <x:s v="11693"/>
    <x:s v="CO"/>
    <x:s v="BO-11693"/>
    <x:s v="CALVAY SAUSA LUIS ALBERTO"/>
    <x:s v="10405367"/>
    <x:s v="MENDOZA DIAZ NORA BEATRIZ"/>
    <x:s v="ESSALUD ATE"/>
    <x:s v="CRISTINA"/>
    <x:s v="0070474"/>
    <x:s v="95231065"/>
    <x:s v="CALVAY SAUSA LUIS ALBERTO"/>
    <x:s v="87381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n v="993540760"/>
    <x:s v="191-03554214014"/>
    <x:n v="30"/>
  </x:r>
  <x:r>
    <x:d v="2026-06-24T00:00:00Z"/>
    <x:x v="0"/>
    <x:s v="99631"/>
    <x:s v="BO"/>
    <x:s v="11693"/>
    <x:s v="CO"/>
    <x:s v="BO-11693"/>
    <x:s v="CALVAY SAUSA LUIS ALBERTO"/>
    <x:s v="10405367"/>
    <x:s v="MENDOZA DIAZ NORA BEATRIZ"/>
    <x:s v="ESSALUD ATE"/>
    <x:s v="CRISTINA"/>
    <x:s v="0070474"/>
    <x:s v="95231065"/>
    <x:s v="CALVAY SAUSA LUIS ALBERTO"/>
    <x:s v="87381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n v="993540760"/>
    <x:s v="191-03554214014"/>
    <x:n v="30"/>
  </x:r>
  <x:r>
    <x:d v="2026-06-24T00:00:00Z"/>
    <x:x v="0"/>
    <x:s v="99632"/>
    <x:s v="BO"/>
    <x:s v="11694"/>
    <x:s v="CO"/>
    <x:s v="BO-11694"/>
    <x:s v="CALVAY SAUSA LUIS ALBERTO"/>
    <x:s v="10405367"/>
    <x:s v="MENDOZA DIAZ NORA BEATRIZ"/>
    <x:s v="ESSALUD ATE"/>
    <x:s v="CRISTINA"/>
    <x:s v="0070474"/>
    <x:s v="95231065"/>
    <x:s v="CALVAY SAUSA LUIS ALBERTO"/>
    <x:s v="87382"/>
    <x:x v="16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n v="993540760"/>
    <x:s v="191-03554214014"/>
    <x:m/>
  </x:r>
  <x:r>
    <x:d v="2026-06-24T00:00:00Z"/>
    <x:x v="0"/>
    <x:s v="99632"/>
    <x:s v="BO"/>
    <x:s v="11694"/>
    <x:s v="CO"/>
    <x:s v="BO-11694"/>
    <x:s v="CALVAY SAUSA LUIS ALBERTO"/>
    <x:s v="10405367"/>
    <x:s v="MENDOZA DIAZ NORA BEATRIZ"/>
    <x:s v="ESSALUD ATE"/>
    <x:s v="CRISTINA"/>
    <x:s v="0070474"/>
    <x:s v="95231065"/>
    <x:s v="CALVAY SAUSA LUIS ALBERTO"/>
    <x:s v="87382"/>
    <x:x v="17"/>
    <x:n v="1"/>
    <x:s v="PRECISA"/>
    <x:s v="INSTITUTO MEDICO QUIRURGICO AREQUIPA S.A"/>
    <x:s v="INSTITUTO MEDICO QUIRURGICO AREQUIPA S.A"/>
    <x:s v="L.CENTRO"/>
    <x:s v="LMAGAN"/>
    <x:n v="21.19"/>
    <x:s v="LN. LABORATORIO"/>
    <x:s v="CIAS. DE SEGURO"/>
    <x:s v="CENTRO"/>
    <x:n v="993540760"/>
    <x:s v="191-03554214014"/>
    <x:m/>
  </x:r>
  <x:r>
    <x:d v="2026-06-24T00:00:00Z"/>
    <x:x v="0"/>
    <x:s v="99632"/>
    <x:s v="BO"/>
    <x:s v="11694"/>
    <x:s v="CO"/>
    <x:s v="BO-11694"/>
    <x:s v="CALVAY SAUSA LUIS ALBERTO"/>
    <x:s v="10405367"/>
    <x:s v="MENDOZA DIAZ NORA BEATRIZ"/>
    <x:s v="ESSALUD ATE"/>
    <x:s v="CRISTINA"/>
    <x:s v="0070474"/>
    <x:s v="95231065"/>
    <x:s v="CALVAY SAUSA LUIS ALBERTO"/>
    <x:s v="87382"/>
    <x:x v="18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n v="993540760"/>
    <x:s v="191-03554214014"/>
    <x:m/>
  </x:r>
  <x:r>
    <x:d v="2026-06-24T00:00:00Z"/>
    <x:x v="0"/>
    <x:s v="99632"/>
    <x:s v="BO"/>
    <x:s v="11694"/>
    <x:s v="CO"/>
    <x:s v="BO-11694"/>
    <x:s v="CALVAY SAUSA LUIS ALBERTO"/>
    <x:s v="10405367"/>
    <x:s v="MENDOZA DIAZ NORA BEATRIZ"/>
    <x:s v="ESSALUD ATE"/>
    <x:s v="CRISTINA"/>
    <x:s v="0070474"/>
    <x:s v="95231065"/>
    <x:s v="CALVAY SAUSA LUIS ALBERTO"/>
    <x:s v="87382"/>
    <x:x v="19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n v="993540760"/>
    <x:s v="191-03554214014"/>
    <x:m/>
  </x:r>
  <x:r>
    <x:d v="2026-06-24T00:00:00Z"/>
    <x:x v="0"/>
    <x:s v="99632"/>
    <x:s v="BO"/>
    <x:s v="11694"/>
    <x:s v="CO"/>
    <x:s v="BO-11694"/>
    <x:s v="CALVAY SAUSA LUIS ALBERTO"/>
    <x:s v="10405367"/>
    <x:s v="MENDOZA DIAZ NORA BEATRIZ"/>
    <x:s v="ESSALUD ATE"/>
    <x:s v="CRISTINA"/>
    <x:s v="0070474"/>
    <x:s v="95231065"/>
    <x:s v="CALVAY SAUSA LUIS ALBERTO"/>
    <x:s v="87382"/>
    <x:x v="20"/>
    <x:n v="1"/>
    <x:s v="PRECISA"/>
    <x:s v="INSTITUTO MEDICO QUIRURGICO AREQUIPA S.A"/>
    <x:s v="INSTITUTO MEDICO QUIRURGICO AREQUIPA S.A"/>
    <x:s v="L.CENTRO"/>
    <x:s v="LMAGAN"/>
    <x:n v="50.85"/>
    <x:s v="LN. LABORATORIO"/>
    <x:s v="CIAS. DE SEGURO"/>
    <x:s v="CENTRO"/>
    <x:n v="993540760"/>
    <x:s v="191-03554214014"/>
    <x:m/>
  </x:r>
  <x:r>
    <x:d v="2026-06-24T00:00:00Z"/>
    <x:x v="0"/>
    <x:s v="99633"/>
    <x:s v="BO"/>
    <x:s v="11695"/>
    <x:s v="CO"/>
    <x:s v="BO-11695"/>
    <x:s v="CALVAY SAUSA LUIS ALBERTO"/>
    <x:s v="10405367"/>
    <x:s v="MENDOZA DIAZ NORA BEATRIZ"/>
    <x:s v="ESSALUD ATE"/>
    <x:s v="CRISTINA"/>
    <x:s v="0070474"/>
    <x:s v="95231065"/>
    <x:s v="CALVAY SAUSA LUIS ALBERTO"/>
    <x:s v="87380"/>
    <x:x v="15"/>
    <x:n v="1"/>
    <x:s v="PRECISA"/>
    <x:s v="INSTITUTO MEDICO QUIRURGICO AREQUIPA S.A"/>
    <x:s v="INSTITUTO MEDICO QUIRURGICO AREQUIPA S.A"/>
    <x:s v="L.CENTRO"/>
    <x:s v="LMAGAN"/>
    <x:n v="127.12"/>
    <x:s v="LN. EXAMENES"/>
    <x:s v="CIAS. DE SEGURO"/>
    <x:s v="CENTRO"/>
    <x:n v="993540760"/>
    <x:s v="191-03554214014"/>
    <x:m/>
  </x:r>
  <x:r>
    <x:d v="2026-06-24T00:00:00Z"/>
    <x:x v="0"/>
    <x:s v="99652"/>
    <x:s v="BO"/>
    <x:s v="11704"/>
    <x:s v="CO"/>
    <x:s v="BO-11704"/>
    <x:s v="ZEGARRA MENDOZA CESAR AUGUSTO"/>
    <x:s v="29484735"/>
    <x:s v="CALCINA"/>
    <x:m/>
    <x:s v="CRISTINA"/>
    <x:s v="0070492"/>
    <x:s v="979618340"/>
    <x:s v="ZEGARRA MENDOZA CESAR AUGUSTO"/>
    <x:s v="87401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6-25T00:00:00Z"/>
    <x:x v="0"/>
    <x:s v="99853"/>
    <x:s v="BO"/>
    <x:s v="4446"/>
    <x:s v="CO"/>
    <x:s v="BO-4446"/>
    <x:s v="VILLA GALVEZ MARIA ESPERANZA"/>
    <x:s v="08462757"/>
    <x:s v="AGRAMONTE ZEA EDILBERTO"/>
    <x:s v="HOSPITAL DE LA SOLIDARIDAD SJL"/>
    <x:s v="CRISTINA"/>
    <x:s v="0070015"/>
    <x:s v="955008730"/>
    <x:s v="VILLA GALVEZ MARIA ESPERANZA"/>
    <x:s v="87550"/>
    <x:x v="1"/>
    <x:n v="1"/>
    <x:s v="PRECISA LN"/>
    <x:s v="POR ASIGNAR"/>
    <x:s v="INSTITUTO MEDICO QUIRURGICO AREQUIPA S.A"/>
    <x:s v="L.NORTE"/>
    <x:s v="AALARCON"/>
    <x:n v="135.59"/>
    <x:s v="LN. EXAMENES"/>
    <x:s v="CIAS. DE SEGURO"/>
    <x:s v="NORTE"/>
    <x:n v="987407712"/>
    <x:s v="0011-0190-0200333106"/>
    <x:n v="30"/>
  </x:r>
  <x:r>
    <x:d v="2026-06-25T00:00:00Z"/>
    <x:x v="0"/>
    <x:s v="99815"/>
    <x:s v="BO"/>
    <x:s v="11735"/>
    <x:s v="CO"/>
    <x:s v="BO-11735"/>
    <x:s v="VILLANERA ESPINOZA NARCIZO"/>
    <x:s v="31663264"/>
    <x:s v="MANSILLA JUAN JOSÉ"/>
    <x:s v="CONSULTORIO PARTICULAR"/>
    <x:s v="CRISTINA"/>
    <x:s v="0070551"/>
    <x:s v="938800746"/>
    <x:s v="VILLANERA ESPINOZA NARCIZO"/>
    <x:s v="87531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m/>
    <x:m/>
    <x:m/>
  </x:r>
  <x:r>
    <x:d v="2026-06-25T00:00:00Z"/>
    <x:x v="0"/>
    <x:s v="99814"/>
    <x:s v="FA"/>
    <x:s v="1053"/>
    <x:s v="CO"/>
    <x:s v="FA-1053"/>
    <x:s v="ESCOBEDO LARA DE HERRERA NORBERTA"/>
    <x:s v="09220286"/>
    <x:s v="PALACIOS URIBE PAMELA CAROLINA"/>
    <x:m/>
    <x:s v="CRISTINA"/>
    <x:s v="0070433"/>
    <x:s v="999999999"/>
    <x:s v="GRUPO MVP S.A.C."/>
    <x:s v="87322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6-25T00:00:00Z"/>
    <x:x v="0"/>
    <x:s v="99814"/>
    <x:s v="FA"/>
    <x:s v="1053"/>
    <x:s v="CO"/>
    <x:s v="FA-1053"/>
    <x:s v="ESCOBEDO LARA DE HERRERA NORBERTA"/>
    <x:s v="09220286"/>
    <x:s v="PALACIOS URIBE PAMELA CAROLINA"/>
    <x:m/>
    <x:s v="CRISTINA"/>
    <x:s v="0070433"/>
    <x:s v="999999999"/>
    <x:s v="GRUPO MVP S.A.C."/>
    <x:s v="87322"/>
    <x:x v="29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m/>
    <x:m/>
    <x:m/>
  </x:r>
  <x:r>
    <x:d v="2026-06-30T00:00:00Z"/>
    <x:x v="0"/>
    <x:s v="100169"/>
    <x:s v="BO"/>
    <x:s v="4038"/>
    <x:s v="CO"/>
    <x:s v="BO-4038"/>
    <x:s v="PARISACA MAMANI FRANCISCO"/>
    <x:s v="09551435"/>
    <x:m/>
    <x:m/>
    <x:s v="CRISTINA"/>
    <x:s v="0070705"/>
    <x:s v="+51980455062"/>
    <x:s v="PARISACA MAMANI FRANCISCO"/>
    <x:s v="87779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6-30T00:00:00Z"/>
    <x:x v="0"/>
    <x:s v="100102"/>
    <x:s v="FA"/>
    <x:s v="1054"/>
    <x:s v="CO"/>
    <x:s v="FA-1054"/>
    <x:s v="CUELLAR MONTERO HUGO VICTOR DOMINGO"/>
    <x:s v="06044836"/>
    <x:s v="ZELADA LORENZO ANGEL MIGUEL"/>
    <x:s v="HOSPITAL NAVAL"/>
    <x:s v="CRISTINA"/>
    <x:s v="0070679"/>
    <x:s v="9716122026"/>
    <x:s v="CUELLAR MONTERO HUGO VICTOR DOMINGO"/>
    <x:s v="87741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5833213"/>
    <x:s v="191-14525587008"/>
    <x:n v="50"/>
  </x:r>
  <x:r>
    <x:d v="2026-07-01T00:00:00Z"/>
    <x:x v="1"/>
    <x:s v="100264"/>
    <x:s v="BO"/>
    <x:s v="11781"/>
    <x:s v="CO"/>
    <x:s v="BO-11781"/>
    <x:s v="YUPANQUI HUAMAN DEREK DANIEL"/>
    <x:s v="73166982"/>
    <x:s v="HUARANGA RUIZ CORNEJO JORGE ERNESTO"/>
    <x:s v="HOSPITAL MONGRUT"/>
    <x:s v="CRISTINA"/>
    <x:s v="0070767"/>
    <x:s v="984171901"/>
    <x:s v="YUPANQUI HUAMAN DEREK DANIEL"/>
    <x:s v="87870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45319366"/>
    <x:s v="194-94066798065"/>
    <x:n v="30"/>
  </x:r>
  <x:r>
    <x:d v="2026-07-01T00:00:00Z"/>
    <x:x v="1"/>
    <x:s v="100221"/>
    <x:s v="BO"/>
    <x:s v="11774"/>
    <x:s v="CO"/>
    <x:s v="BO-11774"/>
    <x:s v="CERON HUAMANI FRANCISCA"/>
    <x:s v="09471100"/>
    <x:s v="HUAMAN RIOS LUIS ENRIQUE"/>
    <x:s v="HOSPITAL SERGIO BERNALES"/>
    <x:s v="CRISTINA"/>
    <x:s v="0070736"/>
    <x:s v="960127734"/>
    <x:s v="CERON HUAMANI FRANCISCA"/>
    <x:s v="87836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9986041"/>
    <x:s v="191-30583545068"/>
    <x:n v="30"/>
  </x:r>
  <x:r>
    <x:d v="2026-07-01T00:00:00Z"/>
    <x:x v="1"/>
    <x:s v="100210"/>
    <x:s v="BO"/>
    <x:s v="11769"/>
    <x:s v="CO"/>
    <x:s v="BO-11769"/>
    <x:s v="AZANI CHAVEZ PAULINA"/>
    <x:s v="08934796"/>
    <x:s v="DURAN ESPINOZA CESAR ARTURO"/>
    <x:s v="CONSULTORIO LA MOLINA"/>
    <x:s v="CRISTINA"/>
    <x:s v="0070511"/>
    <x:s v="999999999"/>
    <x:s v="AZANI CHAVEZ PAULINA"/>
    <x:s v="87822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n v="995868651"/>
    <x:s v="191-92300592019"/>
    <x:n v="100"/>
  </x:r>
  <x:r>
    <x:d v="2026-07-01T00:00:00Z"/>
    <x:x v="1"/>
    <x:s v="100280"/>
    <x:s v="FA"/>
    <x:s v="1058"/>
    <x:s v="CO"/>
    <x:s v="FA-1058"/>
    <x:s v="MEJIA VILLANUEVA ESTHER"/>
    <x:s v="42243508"/>
    <x:s v="PALACIOS URIBE PAMELA CAROLINA "/>
    <x:s v="CONSULTORIO PARTICULAR"/>
    <x:s v="CRISTINA"/>
    <x:s v="0070699"/>
    <x:s v="999999999"/>
    <x:s v="GRUPO MVP S.A.C."/>
    <x:s v="87773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94872106"/>
    <x:s v="193-95965374018"/>
    <x:m/>
  </x:r>
  <x:r>
    <x:d v="2026-07-01T00:00:00Z"/>
    <x:x v="1"/>
    <x:s v="100280"/>
    <x:s v="FA"/>
    <x:s v="1058"/>
    <x:s v="CO"/>
    <x:s v="FA-1058"/>
    <x:s v="MEJIA VILLANUEVA ESTHER"/>
    <x:s v="42243508"/>
    <x:s v="PALACIOS URIBE PAMELA CAROLINA "/>
    <x:s v="CONSULTORIO PARTICULAR"/>
    <x:s v="CRISTINA"/>
    <x:s v="0070699"/>
    <x:s v="999999999"/>
    <x:s v="GRUPO MVP S.A.C."/>
    <x:s v="87773"/>
    <x:x v="30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n v="994872106"/>
    <x:s v="193-95965374018"/>
    <x:m/>
  </x:r>
  <x:r>
    <x:d v="2026-07-01T00:00:00Z"/>
    <x:x v="1"/>
    <x:s v="100247"/>
    <x:s v="BO"/>
    <x:s v="11778"/>
    <x:s v="CO"/>
    <x:s v="BO-11778"/>
    <x:s v="TAVARA SILVA ABEL"/>
    <x:s v="25827595"/>
    <x:s v="JAVE ESCALANTE LIZETH"/>
    <x:s v="HOSPITAL LOAYZA"/>
    <x:s v="CRISTINA"/>
    <x:s v="0055542"/>
    <x:s v="980663171"/>
    <x:s v="TAVARA SILVA ABEL"/>
    <x:s v="87854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111362"/>
    <x:s v="200-3076497260"/>
    <x:n v="50"/>
  </x:r>
  <x:r>
    <x:d v="2026-07-01T00:00:00Z"/>
    <x:x v="1"/>
    <x:s v="100237"/>
    <x:s v="BO"/>
    <x:s v="11776"/>
    <x:s v="CO"/>
    <x:s v="BO-11776"/>
    <x:s v="SOLIS POMA LUCIA"/>
    <x:s v="06309577"/>
    <x:s v="ALDAVE"/>
    <x:m/>
    <x:s v="CRISTINA"/>
    <x:s v="0070746"/>
    <x:s v="958964480"/>
    <x:s v="SOLIS POMA LUCIA"/>
    <x:s v="87846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02T00:00:00Z"/>
    <x:x v="1"/>
    <x:s v="100315"/>
    <x:s v="BO"/>
    <x:s v="11788"/>
    <x:s v="CO"/>
    <x:s v="BO-11788"/>
    <x:s v="SANCHEZ ORTEGA GUILLERMO ANTONIO"/>
    <x:s v="02635978"/>
    <x:s v="FERNANDEZ GUTIERREZ OLGA PATRICIA"/>
    <x:s v="CONSULTORIO PARTICULAR"/>
    <x:s v="CRISTINA"/>
    <x:s v="0070786"/>
    <x:s v="933936240"/>
    <x:s v="SANCHEZ ORTEGA GUILLERMO ANTONIO"/>
    <x:s v="87918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2536223"/>
    <x:s v="107-3174605363"/>
    <x:n v="30"/>
  </x:r>
  <x:r>
    <x:d v="2026-07-02T00:00:00Z"/>
    <x:x v="1"/>
    <x:s v="100315"/>
    <x:s v="BO"/>
    <x:s v="11788"/>
    <x:s v="CO"/>
    <x:s v="BO-11788"/>
    <x:s v="SANCHEZ ORTEGA GUILLERMO ANTONIO"/>
    <x:s v="02635978"/>
    <x:s v="FERNANDEZ GUTIERREZ OLGA PATRICIA"/>
    <x:s v="CONSULTORIO PARTICULAR"/>
    <x:s v="CRISTINA"/>
    <x:s v="0070786"/>
    <x:s v="933936240"/>
    <x:s v="SANCHEZ ORTEGA GUILLERMO ANTONIO"/>
    <x:s v="87918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2536223"/>
    <x:s v="107-3174605363"/>
    <x:n v="50"/>
  </x:r>
  <x:r>
    <x:d v="2026-07-02T00:00:00Z"/>
    <x:x v="1"/>
    <x:s v="100315"/>
    <x:s v="BO"/>
    <x:s v="11788"/>
    <x:s v="CO"/>
    <x:s v="BO-11788"/>
    <x:s v="SANCHEZ ORTEGA GUILLERMO ANTONIO"/>
    <x:s v="02635978"/>
    <x:s v="FERNANDEZ GUTIERREZ OLGA PATRICIA"/>
    <x:s v="CONSULTORIO PARTICULAR"/>
    <x:s v="CRISTINA"/>
    <x:s v="0070786"/>
    <x:s v="933936240"/>
    <x:s v="SANCHEZ ORTEGA GUILLERMO ANTONIO"/>
    <x:s v="87918"/>
    <x:x v="5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2536223"/>
    <x:s v="107-3174605363"/>
    <x:n v="30"/>
  </x:r>
  <x:r>
    <x:d v="2026-07-02T00:00:00Z"/>
    <x:x v="1"/>
    <x:s v="100291"/>
    <x:s v="BO"/>
    <x:s v="5699"/>
    <x:s v="CO"/>
    <x:s v="BO-5699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89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2T00:00:00Z"/>
    <x:x v="1"/>
    <x:s v="100291"/>
    <x:s v="BO"/>
    <x:s v="5699"/>
    <x:s v="CO"/>
    <x:s v="BO-5699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89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7-02T00:00:00Z"/>
    <x:x v="1"/>
    <x:s v="100291"/>
    <x:s v="BO"/>
    <x:s v="5699"/>
    <x:s v="CO"/>
    <x:s v="BO-5699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89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2T00:00:00Z"/>
    <x:x v="1"/>
    <x:s v="100291"/>
    <x:s v="BO"/>
    <x:s v="5699"/>
    <x:s v="CO"/>
    <x:s v="BO-5699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89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2T00:00:00Z"/>
    <x:x v="1"/>
    <x:s v="100291"/>
    <x:s v="BO"/>
    <x:s v="5699"/>
    <x:s v="CO"/>
    <x:s v="BO-5699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89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7-02T00:00:00Z"/>
    <x:x v="1"/>
    <x:s v="100292"/>
    <x:s v="BO"/>
    <x:s v="5700"/>
    <x:s v="CO"/>
    <x:s v="BO-5700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90"/>
    <x:x v="7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m/>
    <x:m/>
    <x:n v="30"/>
  </x:r>
  <x:r>
    <x:d v="2026-07-02T00:00:00Z"/>
    <x:x v="1"/>
    <x:s v="100292"/>
    <x:s v="BO"/>
    <x:s v="5700"/>
    <x:s v="CO"/>
    <x:s v="BO-5700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90"/>
    <x:x v="8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m/>
    <x:m/>
    <x:n v="30"/>
  </x:r>
  <x:r>
    <x:d v="2026-07-02T00:00:00Z"/>
    <x:x v="1"/>
    <x:s v="100293"/>
    <x:s v="BO"/>
    <x:s v="5701"/>
    <x:s v="CO"/>
    <x:s v="BO-5701"/>
    <x:s v="BALCAZAR SILVA ANTONIO LEONIDAS"/>
    <x:s v="06796475"/>
    <x:s v="FIERRO LEANDRO"/>
    <x:s v="POLICLÍNICO DIVINO NIÑO JESÚS"/>
    <x:s v="CRISTINA"/>
    <x:s v="0070727"/>
    <x:s v="983835015"/>
    <x:s v="BALCAZAR SILVA ANTONIO LEONIDAS"/>
    <x:s v="87891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7-02T00:00:00Z"/>
    <x:x v="1"/>
    <x:s v="100305"/>
    <x:s v="BO"/>
    <x:s v="11786"/>
    <x:s v="CO"/>
    <x:s v="BO-11786"/>
    <x:s v="LUQUE DE SANCHEZ FLORENTINA"/>
    <x:s v="28238776"/>
    <x:s v="FIERRO LEANDRO"/>
    <x:s v="POLICLÍNICO DIVINO NIÑO JESÚS"/>
    <x:s v="CRISTINA"/>
    <x:s v="0070728"/>
    <x:s v="953438570"/>
    <x:s v="LUQUE DE SANCHEZ FLORENTINA"/>
    <x:s v="87901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7-02T00:00:00Z"/>
    <x:x v="1"/>
    <x:s v="100305"/>
    <x:s v="BO"/>
    <x:s v="11786"/>
    <x:s v="CO"/>
    <x:s v="BO-11786"/>
    <x:s v="LUQUE DE SANCHEZ FLORENTINA"/>
    <x:s v="28238776"/>
    <x:s v="FIERRO LEANDRO"/>
    <x:s v="POLICLÍNICO DIVINO NIÑO JESÚS"/>
    <x:s v="CRISTINA"/>
    <x:s v="0070728"/>
    <x:s v="953438570"/>
    <x:s v="LUQUE DE SANCHEZ FLORENTINA"/>
    <x:s v="87901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7-02T00:00:00Z"/>
    <x:x v="1"/>
    <x:s v="100324"/>
    <x:s v="BO"/>
    <x:s v="5702"/>
    <x:s v="CO"/>
    <x:s v="BO-5702"/>
    <x:s v="BARRON HONORIO MILAGROS ROCIO"/>
    <x:s v="46088575"/>
    <x:s v="FIERRO LEANDRO"/>
    <x:s v="POLICLÍNICO DIVINO NIÑO JESÚS"/>
    <x:s v="CRISTINA"/>
    <x:s v="0065003"/>
    <x:s v="990088810"/>
    <x:s v="BARRON HONORIO MILAGROS ROCIO"/>
    <x:s v="87926"/>
    <x:x v="7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m/>
    <x:m/>
    <x:n v="30"/>
  </x:r>
  <x:r>
    <x:d v="2026-07-02T00:00:00Z"/>
    <x:x v="1"/>
    <x:s v="100324"/>
    <x:s v="BO"/>
    <x:s v="5702"/>
    <x:s v="CO"/>
    <x:s v="BO-5702"/>
    <x:s v="BARRON HONORIO MILAGROS ROCIO"/>
    <x:s v="46088575"/>
    <x:s v="FIERRO LEANDRO"/>
    <x:s v="POLICLÍNICO DIVINO NIÑO JESÚS"/>
    <x:s v="CRISTINA"/>
    <x:s v="0065003"/>
    <x:s v="990088810"/>
    <x:s v="BARRON HONORIO MILAGROS ROCIO"/>
    <x:s v="87926"/>
    <x:x v="8"/>
    <x:n v="1"/>
    <x:s v="PRECISA"/>
    <x:s v="INSTITUTO MEDICO QUIRURGICO AREQUIPA S.A"/>
    <x:s v="INSTITUTO MEDICO QUIRURGICO AREQUIPA S.A"/>
    <x:s v="L.CENTRO"/>
    <x:s v="ACABRERA"/>
    <x:n v="42.37"/>
    <x:s v="LN. EXAMENES"/>
    <x:s v="CIAS. DE SEGURO"/>
    <x:s v="CENTRO"/>
    <x:m/>
    <x:m/>
    <x:n v="30"/>
  </x:r>
  <x:r>
    <x:d v="2026-07-02T00:00:00Z"/>
    <x:x v="1"/>
    <x:s v="100368"/>
    <x:s v="BO"/>
    <x:s v="11798"/>
    <x:s v="CO"/>
    <x:s v="BO-11798"/>
    <x:s v="ASMAD LOKUAN KATHERINE STEFANY"/>
    <x:s v="44651542"/>
    <x:s v="ROMERO EDUARDO"/>
    <x:m/>
    <x:s v="CRISTINA"/>
    <x:s v="0052353"/>
    <x:s v="991967687"/>
    <x:s v="ASMAD LOKUAN KATHERINE STEFANY"/>
    <x:s v="87958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03T00:00:00Z"/>
    <x:x v="1"/>
    <x:s v="100473"/>
    <x:s v="BO"/>
    <x:s v="11808"/>
    <x:s v="CO"/>
    <x:s v="BO-11808"/>
    <x:s v="VALDEZ QUEVEDO ILDA"/>
    <x:s v="09201670"/>
    <x:s v="AGRAMONTE ZEA EDILBERTO"/>
    <x:s v="HOSPITAL DE LA SOLIDARIDAD SJL"/>
    <x:s v="CRISTINA"/>
    <x:s v="0070852"/>
    <x:s v="980872756"/>
    <x:s v="VALDEZ QUEVEDO ILDA"/>
    <x:s v="88036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7-03T00:00:00Z"/>
    <x:x v="1"/>
    <x:s v="100416"/>
    <x:s v="BO"/>
    <x:s v="4505"/>
    <x:s v="CO"/>
    <x:s v="BO-4505"/>
    <x:s v="VIRU DIAZ ROSA MARIA"/>
    <x:s v="06163902"/>
    <x:s v="RUIZ ROJAS PAUBLO ENRIQUE"/>
    <x:s v="CONSULTORIO CUBANO COMAS"/>
    <x:s v="CRISTINA"/>
    <x:s v="0070824"/>
    <x:s v="923775190"/>
    <x:s v="VIRU DIAZ ROSA MARIA"/>
    <x:s v="87993"/>
    <x:x v="2"/>
    <x:n v="1"/>
    <x:s v="PRECISA"/>
    <x:s v="INSTITUTO MEDICO QUIRURGICO AREQUIPA S.A"/>
    <x:s v="INSTITUTO MEDICO QUIRURGICO AREQUIPA S.A"/>
    <x:s v="L.NORTE"/>
    <x:s v="AALARCON"/>
    <x:n v="186.44"/>
    <x:s v="LN. EXAMENES"/>
    <x:s v="CIAS. DE SEGURO"/>
    <x:s v="NORTE"/>
    <x:n v="992903716"/>
    <x:s v="191-91415089071"/>
    <x:n v="50"/>
  </x:r>
  <x:r>
    <x:d v="2026-07-03T00:00:00Z"/>
    <x:x v="1"/>
    <x:s v="100416"/>
    <x:s v="BO"/>
    <x:s v="4505"/>
    <x:s v="CO"/>
    <x:s v="BO-4505"/>
    <x:s v="VIRU DIAZ ROSA MARIA"/>
    <x:s v="06163902"/>
    <x:s v="RUIZ ROJAS PAUBLO ENRIQUE"/>
    <x:s v="CONSULTORIO CUBANO COMAS"/>
    <x:s v="CRISTINA"/>
    <x:s v="0070824"/>
    <x:s v="923775190"/>
    <x:s v="VIRU DIAZ ROSA MARIA"/>
    <x:s v="87993"/>
    <x:x v="4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n v="992903716"/>
    <x:s v="191-91415089071"/>
    <x:n v="30"/>
  </x:r>
  <x:r>
    <x:d v="2026-07-03T00:00:00Z"/>
    <x:x v="1"/>
    <x:s v="100416"/>
    <x:s v="BO"/>
    <x:s v="4505"/>
    <x:s v="CO"/>
    <x:s v="BO-4505"/>
    <x:s v="VIRU DIAZ ROSA MARIA"/>
    <x:s v="06163902"/>
    <x:s v="RUIZ ROJAS PAUBLO ENRIQUE"/>
    <x:s v="CONSULTORIO CUBANO COMAS"/>
    <x:s v="CRISTINA"/>
    <x:s v="0070824"/>
    <x:s v="923775190"/>
    <x:s v="VIRU DIAZ ROSA MARIA"/>
    <x:s v="87993"/>
    <x:x v="5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n v="992903716"/>
    <x:s v="191-91415089071"/>
    <x:n v="30"/>
  </x:r>
  <x:r>
    <x:d v="2026-07-03T00:00:00Z"/>
    <x:x v="1"/>
    <x:s v="100451"/>
    <x:s v="FA"/>
    <x:s v="546"/>
    <x:s v="CO"/>
    <x:s v="FA-546"/>
    <x:s v="LEON VELIZ DE HUATUCO LADY MARY"/>
    <x:s v="06652711"/>
    <x:s v="FERNANDEZ GUTIERREZ OLGA PATRICIA"/>
    <x:s v="CONSULTORIO PARTICULAR"/>
    <x:s v="CRISTINA"/>
    <x:s v="0042218"/>
    <x:s v="981143710"/>
    <x:s v="VEFER OFTALMOLOGOS S.A.C."/>
    <x:s v="88016"/>
    <x:x v="11"/>
    <x:n v="2"/>
    <x:s v="PRECISA"/>
    <x:s v="INSTITUTO MEDICO QUIRURGICO AREQUIPA S.A"/>
    <x:s v="INSTITUTO MEDICO QUIRURGICO AREQUIPA S.A"/>
    <x:s v="L.CENTRO"/>
    <x:s v="ACABRERA"/>
    <x:n v="203.39"/>
    <x:s v="LN. PROCEDIMIENTO"/>
    <x:s v="CIAS. DE SEGURO"/>
    <x:s v="CENTRO"/>
    <x:n v="982536223"/>
    <x:s v="107-3174605363"/>
    <x:m/>
  </x:r>
  <x:r>
    <x:d v="2026-07-03T00:00:00Z"/>
    <x:x v="1"/>
    <x:s v="100394"/>
    <x:s v="FA"/>
    <x:s v="544"/>
    <x:s v="CO"/>
    <x:s v="FA-544"/>
    <x:s v="CASTILLO ESPINOZA JUSTINA"/>
    <x:s v="06653318"/>
    <x:m/>
    <x:m/>
    <x:s v="CRISTINA"/>
    <x:s v="0070787"/>
    <x:s v="933738642"/>
    <x:s v="GRACIA REY VALENTINA"/>
    <x:s v="8795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7-03T00:00:00Z"/>
    <x:x v="1"/>
    <x:s v="100394"/>
    <x:s v="FA"/>
    <x:s v="544"/>
    <x:s v="CO"/>
    <x:s v="FA-544"/>
    <x:s v="CASTILLO ESPINOZA JUSTINA"/>
    <x:s v="06653318"/>
    <x:m/>
    <x:m/>
    <x:s v="CRISTINA"/>
    <x:s v="0070787"/>
    <x:s v="933738642"/>
    <x:s v="GRACIA REY VALENTINA"/>
    <x:s v="87959"/>
    <x:x v="30"/>
    <x:n v="1"/>
    <x:s v="PRECISA"/>
    <x:s v="INSTITUTO MEDICO QUIRURGICO AREQUIPA S.A"/>
    <x:s v="INSTITUTO MEDICO QUIRURGICO AREQUIPA S.A"/>
    <x:s v="L.CENTRO"/>
    <x:s v="ACABRERA"/>
    <x:n v="847.46"/>
    <x:s v="LN. CIRUGIA"/>
    <x:s v="CIAS. DE SEGURO"/>
    <x:s v="CENTRO"/>
    <x:m/>
    <x:m/>
    <x:m/>
  </x:r>
  <x:r>
    <x:d v="2026-07-03T00:00:00Z"/>
    <x:x v="1"/>
    <x:s v="100431"/>
    <x:s v="BO"/>
    <x:s v="5708"/>
    <x:s v="CO"/>
    <x:s v="BO-5708"/>
    <x:s v="ROJAS MENENDEZ CARMEN"/>
    <x:s v="06632191"/>
    <x:s v="SAPAICO VICUÑA AUGUSTO RODRIGO"/>
    <x:s v="HOSPITAL LOAYZA"/>
    <x:s v="CRISTINA"/>
    <x:s v="0070829"/>
    <x:s v="997239749"/>
    <x:s v="ROJAS MENENDEZ CARMEN"/>
    <x:s v="88003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7145685"/>
    <x:s v="0011-0189-0200496417"/>
    <x:n v="30"/>
  </x:r>
  <x:r>
    <x:d v="2026-07-03T00:00:00Z"/>
    <x:x v="1"/>
    <x:s v="100399"/>
    <x:s v="BO"/>
    <x:s v="11802"/>
    <x:s v="CO"/>
    <x:s v="BO-11802"/>
    <x:s v="DE LA CRUZ NAVARRO TANIA RUTH"/>
    <x:s v="08062831"/>
    <x:s v="LLERENA LOYOLA ELSA YESENIA"/>
    <x:s v="CLINICA MAISON DE SANTE"/>
    <x:s v="CRISTINA"/>
    <x:s v="0070706"/>
    <x:s v="980445719"/>
    <x:s v="DE LA CRUZ NAVARRO TANIA RUTH"/>
    <x:s v="87976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8418895"/>
    <x:s v="0011-0197-0200171031"/>
    <x:n v="30"/>
  </x:r>
  <x:r>
    <x:d v="2026-07-03T00:00:00Z"/>
    <x:x v="1"/>
    <x:s v="100399"/>
    <x:s v="BO"/>
    <x:s v="11802"/>
    <x:s v="CO"/>
    <x:s v="BO-11802"/>
    <x:s v="DE LA CRUZ NAVARRO TANIA RUTH"/>
    <x:s v="08062831"/>
    <x:s v="LLERENA LOYOLA ELSA YESENIA"/>
    <x:s v="CLINICA MAISON DE SANTE"/>
    <x:s v="CRISTINA"/>
    <x:s v="0070706"/>
    <x:s v="980445719"/>
    <x:s v="DE LA CRUZ NAVARRO TANIA RUTH"/>
    <x:s v="87976"/>
    <x:x v="5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8418895"/>
    <x:s v="0011-0197-0200171031"/>
    <x:n v="30"/>
  </x:r>
  <x:r>
    <x:d v="2026-07-03T00:00:00Z"/>
    <x:x v="1"/>
    <x:s v="100399"/>
    <x:s v="BO"/>
    <x:s v="11802"/>
    <x:s v="CO"/>
    <x:s v="BO-11802"/>
    <x:s v="DE LA CRUZ NAVARRO TANIA RUTH"/>
    <x:s v="08062831"/>
    <x:s v="LLERENA LOYOLA ELSA YESENIA"/>
    <x:s v="CLINICA MAISON DE SANTE"/>
    <x:s v="CRISTINA"/>
    <x:s v="0070706"/>
    <x:s v="980445719"/>
    <x:s v="DE LA CRUZ NAVARRO TANIA RUTH"/>
    <x:s v="87976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8418895"/>
    <x:s v="0011-0197-0200171031"/>
    <x:n v="50"/>
  </x:r>
  <x:r>
    <x:d v="2026-07-03T00:00:00Z"/>
    <x:x v="1"/>
    <x:s v="100432"/>
    <x:s v="BO"/>
    <x:s v="4063"/>
    <x:s v="CO"/>
    <x:s v="BO-4063"/>
    <x:s v="CUBAS FERNANDEZ EFIGENIO"/>
    <x:s v="27256822"/>
    <x:s v="ROJAS AQUINO EVELING KARINA"/>
    <x:s v="POLICLÍNICO ESPÍRITU SANTO"/>
    <x:s v="CRISTINA"/>
    <x:s v="0070830"/>
    <x:s v="985974497"/>
    <x:s v="CUBAS FERNANDEZ EFIGENIO"/>
    <x:s v="88004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55356636"/>
    <x:s v="009-3226956615"/>
    <x:n v="50"/>
  </x:r>
  <x:r>
    <x:d v="2026-07-03T00:00:00Z"/>
    <x:x v="1"/>
    <x:s v="100477"/>
    <x:s v="BO"/>
    <x:s v="4073"/>
    <x:s v="CO"/>
    <x:s v="BO-4073"/>
    <x:s v="RAMIREZ BRONCANO LUCIO ROMULO"/>
    <x:s v="15583459"/>
    <x:s v="ROJAS AQUINO EVELING KARINA"/>
    <x:s v="POLICLÍNICO ESPÍRITU SANTO"/>
    <x:s v="CRISTINA"/>
    <x:s v="0070855"/>
    <x:s v="930437406"/>
    <x:s v="RAMIREZ BRONCANO LUCIO ROMULO"/>
    <x:s v="88043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55356636"/>
    <x:s v="009-3226956615"/>
    <x:n v="50"/>
  </x:r>
  <x:r>
    <x:d v="2026-07-03T00:00:00Z"/>
    <x:x v="1"/>
    <x:s v="100477"/>
    <x:s v="BO"/>
    <x:s v="4073"/>
    <x:s v="CO"/>
    <x:s v="BO-4073"/>
    <x:s v="RAMIREZ BRONCANO LUCIO ROMULO"/>
    <x:s v="15583459"/>
    <x:s v="ROJAS AQUINO EVELING KARINA"/>
    <x:s v="POLICLÍNICO ESPÍRITU SANTO"/>
    <x:s v="CRISTINA"/>
    <x:s v="0070855"/>
    <x:s v="930437406"/>
    <x:s v="RAMIREZ BRONCANO LUCIO ROMULO"/>
    <x:s v="88043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55356636"/>
    <x:s v="009-3226956615"/>
    <x:n v="50"/>
  </x:r>
  <x:r>
    <x:d v="2026-07-03T00:00:00Z"/>
    <x:x v="1"/>
    <x:s v="100441"/>
    <x:s v="FA"/>
    <x:s v="545"/>
    <x:s v="CO"/>
    <x:s v="FA-545"/>
    <x:s v="BARRON HONORIO MILAGROS ROCIO"/>
    <x:s v="46088575"/>
    <x:s v="FIERRO LEANDRO"/>
    <x:s v="POLICLÍNICO DIVINO NIÑO JESÚS"/>
    <x:s v="CRISTINA"/>
    <x:s v="0065003"/>
    <x:s v="990088810"/>
    <x:s v="GRUPO MEDICO INTEGRAL SOCIEDAD ANONIMA CERRADA"/>
    <x:s v="8793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7-03T00:00:00Z"/>
    <x:x v="1"/>
    <x:s v="100441"/>
    <x:s v="FA"/>
    <x:s v="545"/>
    <x:s v="CO"/>
    <x:s v="FA-545"/>
    <x:s v="BARRON HONORIO MILAGROS ROCIO"/>
    <x:s v="46088575"/>
    <x:s v="FIERRO LEANDRO"/>
    <x:s v="POLICLÍNICO DIVINO NIÑO JESÚS"/>
    <x:s v="CRISTINA"/>
    <x:s v="0065003"/>
    <x:s v="990088810"/>
    <x:s v="GRUPO MEDICO INTEGRAL SOCIEDAD ANONIMA CERRADA"/>
    <x:s v="87935"/>
    <x:x v="30"/>
    <x:n v="1"/>
    <x:s v="PRECISA"/>
    <x:s v="INSTITUTO MEDICO QUIRURGICO AREQUIPA S.A"/>
    <x:s v="INSTITUTO MEDICO QUIRURGICO AREQUIPA S.A"/>
    <x:s v="L.CENTRO"/>
    <x:s v="ACABRERA"/>
    <x:n v="1483.05"/>
    <x:s v="LN. CIRUGIA"/>
    <x:s v="CIAS. DE SEGURO"/>
    <x:s v="CENTRO"/>
    <x:m/>
    <x:m/>
    <x:m/>
  </x:r>
  <x:r>
    <x:d v="2026-07-03T00:00:00Z"/>
    <x:x v="1"/>
    <x:s v="100495"/>
    <x:s v="BO"/>
    <x:s v="5709"/>
    <x:s v="CO"/>
    <x:s v="BO-5709"/>
    <x:s v="CORREA ROSALES CARMEN"/>
    <x:s v="20557709"/>
    <x:s v="PALACIOS URIBE PAMELA CAROLINA "/>
    <x:s v="CONSULTORIO PARTICULAR"/>
    <x:s v="CRISTINA"/>
    <x:s v="0070462"/>
    <x:s v="999999999"/>
    <x:s v="CORREA ROSALES CARMEN"/>
    <x:s v="88017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94872106"/>
    <x:s v="193-95965374018"/>
    <x:m/>
  </x:r>
  <x:r>
    <x:d v="2026-07-03T00:00:00Z"/>
    <x:x v="1"/>
    <x:s v="100495"/>
    <x:s v="BO"/>
    <x:s v="5709"/>
    <x:s v="CO"/>
    <x:s v="BO-5709"/>
    <x:s v="CORREA ROSALES CARMEN"/>
    <x:s v="20557709"/>
    <x:s v="PALACIOS URIBE PAMELA CAROLINA "/>
    <x:s v="CONSULTORIO PARTICULAR"/>
    <x:s v="CRISTINA"/>
    <x:s v="0070462"/>
    <x:s v="999999999"/>
    <x:s v="CORREA ROSALES CARMEN"/>
    <x:s v="88017"/>
    <x:x v="30"/>
    <x:n v="1"/>
    <x:s v="PRECISA"/>
    <x:s v="INSTITUTO MEDICO QUIRURGICO AREQUIPA S.A"/>
    <x:s v="INSTITUTO MEDICO QUIRURGICO AREQUIPA S.A"/>
    <x:s v="L.CENTRO"/>
    <x:s v="ACABRERA"/>
    <x:n v="139.83"/>
    <x:s v="LN. CIRUGIA"/>
    <x:s v="CIAS. DE SEGURO"/>
    <x:s v="CENTRO"/>
    <x:n v="994872106"/>
    <x:s v="193-95965374018"/>
    <x:m/>
  </x:r>
  <x:r>
    <x:d v="2026-07-04T00:00:00Z"/>
    <x:x v="1"/>
    <x:s v="100536"/>
    <x:s v="BO"/>
    <x:s v="11824"/>
    <x:s v="CO"/>
    <x:s v="BO-11824"/>
    <x:s v="ALVAREZ PORRAS YESSICA"/>
    <x:s v="44893895"/>
    <x:s v="GAMERO FERNANDEZ EBERTH"/>
    <x:m/>
    <x:s v="CRISTINA"/>
    <x:s v="0070635"/>
    <x:s v="984776522"/>
    <x:s v="ALVAREZ PORRAS YESSICA"/>
    <x:s v="88084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04T00:00:00Z"/>
    <x:x v="1"/>
    <x:s v="100536"/>
    <x:s v="BO"/>
    <x:s v="11824"/>
    <x:s v="CO"/>
    <x:s v="BO-11824"/>
    <x:s v="ALVAREZ PORRAS YESSICA"/>
    <x:s v="44893895"/>
    <x:s v="GAMERO FERNANDEZ EBERTH"/>
    <x:m/>
    <x:s v="CRISTINA"/>
    <x:s v="0070635"/>
    <x:s v="984776522"/>
    <x:s v="ALVAREZ PORRAS YESSICA"/>
    <x:s v="88084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04T00:00:00Z"/>
    <x:x v="1"/>
    <x:s v="100536"/>
    <x:s v="BO"/>
    <x:s v="11824"/>
    <x:s v="CO"/>
    <x:s v="BO-11824"/>
    <x:s v="ALVAREZ PORRAS YESSICA"/>
    <x:s v="44893895"/>
    <x:s v="GAMERO FERNANDEZ EBERTH"/>
    <x:m/>
    <x:s v="CRISTINA"/>
    <x:s v="0070635"/>
    <x:s v="984776522"/>
    <x:s v="ALVAREZ PORRAS YESSICA"/>
    <x:s v="88084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06T00:00:00Z"/>
    <x:x v="1"/>
    <x:s v="100650"/>
    <x:s v="FA"/>
    <x:s v="548"/>
    <x:s v="CO"/>
    <x:s v="FA-548"/>
    <x:s v="GARAY CANELON ZENOBIA"/>
    <x:s v="08608333"/>
    <x:s v="TERAN SANCHEZ GUILLERMO ALFONSO"/>
    <x:s v="HOSPITAL LOAYZA"/>
    <x:s v="CRISTINA"/>
    <x:s v="0070944"/>
    <x:s v="984299211"/>
    <x:s v="T &amp; T OFTALMOLOGOS ASOCIADOS S.A.C."/>
    <x:s v="88163"/>
    <x:x v="22"/>
    <x:n v="1"/>
    <x:s v="PRECISA"/>
    <x:s v="INSTITUTO MEDICO QUIRURGICO AREQUIPA S.A"/>
    <x:s v="INSTITUTO MEDICO QUIRURGICO AREQUIPA S.A"/>
    <x:s v="L.CENTRO"/>
    <x:s v="ACABRERA"/>
    <x:n v="101.69"/>
    <x:s v="LN. PROCEDIMIENTO"/>
    <x:s v="CIAS. DE SEGURO"/>
    <x:s v="CENTRO"/>
    <x:n v="993496032"/>
    <x:s v="135-3012737506"/>
    <x:m/>
  </x:r>
  <x:r>
    <x:d v="2026-07-06T00:00:00Z"/>
    <x:x v="1"/>
    <x:s v="100639"/>
    <x:s v="FA"/>
    <x:s v="1059"/>
    <x:s v="CO"/>
    <x:s v="FA-1059"/>
    <x:s v="VEGA DIESTRA WALTER JULIAN"/>
    <x:s v="06025532"/>
    <x:s v="CHACÓN ENRIQUE"/>
    <x:s v="HOSPITAL HIPOLITO UNANUE"/>
    <x:s v="CRISTINA"/>
    <x:s v="0070929"/>
    <x:s v="934191688"/>
    <x:s v="VEGA MUNASCA PAULO CESAR"/>
    <x:s v="88151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06T00:00:00Z"/>
    <x:x v="1"/>
    <x:s v="100639"/>
    <x:s v="FA"/>
    <x:s v="1059"/>
    <x:s v="CO"/>
    <x:s v="FA-1059"/>
    <x:s v="VEGA DIESTRA WALTER JULIAN"/>
    <x:s v="06025532"/>
    <x:s v="CHACÓN ENRIQUE"/>
    <x:s v="HOSPITAL HIPOLITO UNANUE"/>
    <x:s v="CRISTINA"/>
    <x:s v="0070929"/>
    <x:s v="934191688"/>
    <x:s v="VEGA MUNASCA PAULO CESAR"/>
    <x:s v="88151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06T00:00:00Z"/>
    <x:x v="1"/>
    <x:s v="100639"/>
    <x:s v="FA"/>
    <x:s v="1059"/>
    <x:s v="CO"/>
    <x:s v="FA-1059"/>
    <x:s v="VEGA DIESTRA WALTER JULIAN"/>
    <x:s v="06025532"/>
    <x:s v="CHACÓN ENRIQUE"/>
    <x:s v="HOSPITAL HIPOLITO UNANUE"/>
    <x:s v="CRISTINA"/>
    <x:s v="0070929"/>
    <x:s v="934191688"/>
    <x:s v="VEGA MUNASCA PAULO CESAR"/>
    <x:s v="88151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06T00:00:00Z"/>
    <x:x v="1"/>
    <x:s v="100639"/>
    <x:s v="FA"/>
    <x:s v="1059"/>
    <x:s v="CO"/>
    <x:s v="FA-1059"/>
    <x:s v="VEGA DIESTRA WALTER JULIAN"/>
    <x:s v="06025532"/>
    <x:s v="CHACÓN ENRIQUE"/>
    <x:s v="HOSPITAL HIPOLITO UNANUE"/>
    <x:s v="CRISTINA"/>
    <x:s v="0070929"/>
    <x:s v="934191688"/>
    <x:s v="VEGA MUNASCA PAULO CESAR"/>
    <x:s v="88151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06T00:00:00Z"/>
    <x:x v="1"/>
    <x:s v="100639"/>
    <x:s v="FA"/>
    <x:s v="1059"/>
    <x:s v="CO"/>
    <x:s v="FA-1059"/>
    <x:s v="VEGA DIESTRA WALTER JULIAN"/>
    <x:s v="06025532"/>
    <x:s v="CHACÓN ENRIQUE"/>
    <x:s v="HOSPITAL HIPOLITO UNANUE"/>
    <x:s v="CRISTINA"/>
    <x:s v="0070929"/>
    <x:s v="934191688"/>
    <x:s v="VEGA MUNASCA PAULO CESAR"/>
    <x:s v="88151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7-07T00:00:00Z"/>
    <x:x v="1"/>
    <x:s v="100703"/>
    <x:s v="BO"/>
    <x:s v="4097"/>
    <x:s v="CO"/>
    <x:s v="BO-4097"/>
    <x:s v="PAREDES BOREDO JUAN CARLOS"/>
    <x:s v="47333051"/>
    <x:s v="ORNA ACOSTA JORGE AQUILES"/>
    <x:s v="HOSPITAL LOAYZA"/>
    <x:s v="CRISTINA"/>
    <x:s v="0070991"/>
    <x:s v="963005687"/>
    <x:s v="PAREDES BOREDO JUAN CARLOS"/>
    <x:s v="88209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9996347"/>
    <x:s v="052-7510523"/>
    <x:n v="50"/>
  </x:r>
  <x:r>
    <x:d v="2026-07-07T00:00:00Z"/>
    <x:x v="1"/>
    <x:s v="100707"/>
    <x:s v="BO"/>
    <x:s v="11866"/>
    <x:s v="CO"/>
    <x:s v="BO-11866"/>
    <x:s v="PAREDES CHAPOÑAN CARMEN ROSA"/>
    <x:s v="17524765"/>
    <x:s v="ORNA ACOSTA JORGE AQUILES"/>
    <x:s v="HOSPITAL LOAYZA"/>
    <x:s v="CRISTINA"/>
    <x:s v="0070990"/>
    <x:s v="956186076"/>
    <x:s v="PAREDES CHAPOÑAN CARMEN ROSA"/>
    <x:s v="88213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n v="999996347"/>
    <x:s v="052-7510523"/>
    <x:m/>
  </x:r>
  <x:r>
    <x:d v="2026-07-07T00:00:00Z"/>
    <x:x v="1"/>
    <x:s v="100709"/>
    <x:s v="BO"/>
    <x:s v="11868"/>
    <x:s v="CO"/>
    <x:s v="BO-11868"/>
    <x:s v="VEGA FERNANDEZ FILADELFO"/>
    <x:s v="27253641"/>
    <x:s v="AGRAMONTE ZEA EDILBERTO"/>
    <x:s v="HOSPITAL DE LA SOLIDARIDAD SJL"/>
    <x:s v="CRISTINA"/>
    <x:s v="0070993"/>
    <x:s v="920086889"/>
    <x:s v="VEGA FERNANDEZ FILADELFO"/>
    <x:s v="88214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7407712"/>
    <x:s v="0011-0190-0200333106"/>
    <x:n v="30"/>
  </x:r>
  <x:r>
    <x:d v="2026-07-07T00:00:00Z"/>
    <x:x v="1"/>
    <x:s v="100709"/>
    <x:s v="BO"/>
    <x:s v="11868"/>
    <x:s v="CO"/>
    <x:s v="BO-11868"/>
    <x:s v="VEGA FERNANDEZ FILADELFO"/>
    <x:s v="27253641"/>
    <x:s v="AGRAMONTE ZEA EDILBERTO"/>
    <x:s v="HOSPITAL DE LA SOLIDARIDAD SJL"/>
    <x:s v="CRISTINA"/>
    <x:s v="0070993"/>
    <x:s v="920086889"/>
    <x:s v="VEGA FERNANDEZ FILADELFO"/>
    <x:s v="88214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7407712"/>
    <x:s v="0011-0190-0200333106"/>
    <x:n v="30"/>
  </x:r>
  <x:r>
    <x:d v="2026-07-07T00:00:00Z"/>
    <x:x v="1"/>
    <x:s v="100680"/>
    <x:s v="FA"/>
    <x:s v="1060"/>
    <x:s v="CO"/>
    <x:s v="FA-1060"/>
    <x:s v="LUQUE DE SANCHEZ FLORENTINA"/>
    <x:s v="28238776"/>
    <x:s v="FIERRO LEANDRO"/>
    <x:s v="POLICLÍNICO DIVINO NIÑO JESÚS"/>
    <x:s v="CRISTINA"/>
    <x:s v="0070728"/>
    <x:s v="953438570"/>
    <x:s v="GRUPO MEDICO INTEGRAL SOCIEDAD ANONIMA CERRADA"/>
    <x:s v="87922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07T00:00:00Z"/>
    <x:x v="1"/>
    <x:s v="100680"/>
    <x:s v="FA"/>
    <x:s v="1060"/>
    <x:s v="CO"/>
    <x:s v="FA-1060"/>
    <x:s v="LUQUE DE SANCHEZ FLORENTINA"/>
    <x:s v="28238776"/>
    <x:s v="FIERRO LEANDRO"/>
    <x:s v="POLICLÍNICO DIVINO NIÑO JESÚS"/>
    <x:s v="CRISTINA"/>
    <x:s v="0070728"/>
    <x:s v="953438570"/>
    <x:s v="GRUPO MEDICO INTEGRAL SOCIEDAD ANONIMA CERRADA"/>
    <x:s v="87922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07T00:00:00Z"/>
    <x:x v="1"/>
    <x:s v="100688"/>
    <x:s v="BO"/>
    <x:s v="11860"/>
    <x:s v="CO"/>
    <x:s v="BO-11860"/>
    <x:s v="LLAXA ALAYA ALEXANDER"/>
    <x:s v="45265851"/>
    <x:s v="HUANAMPA CARLOS"/>
    <x:m/>
    <x:s v="CRISTINA"/>
    <x:s v="0070986"/>
    <x:s v="923423466"/>
    <x:s v="LLAXA ALAYA ALEXANDER"/>
    <x:s v="88195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7-08T00:00:00Z"/>
    <x:x v="1"/>
    <x:s v="100773"/>
    <x:s v="BO"/>
    <x:s v="4549"/>
    <x:s v="CO"/>
    <x:s v="BO-4549"/>
    <x:s v="VARGAS OLIVARES ALBERTINA"/>
    <x:s v="31943028"/>
    <x:m/>
    <x:m/>
    <x:s v="CRISTINA"/>
    <x:s v="0071036"/>
    <x:s v="916410304"/>
    <x:s v="VARGAS OLIVARES ALBERTINA"/>
    <x:s v="88275"/>
    <x:x v="1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7-08T00:00:00Z"/>
    <x:x v="1"/>
    <x:s v="100853"/>
    <x:s v="BO"/>
    <x:s v="4562"/>
    <x:s v="CO"/>
    <x:s v="BO-4562"/>
    <x:s v="ORELLANO ARBOLEDA ELVIS PERPETUA"/>
    <x:s v="25775438"/>
    <x:m/>
    <x:m/>
    <x:s v="CRISTINA"/>
    <x:s v="0071058"/>
    <x:s v="989642973"/>
    <x:s v="ORELLANO ARBOLEDA ELVIS PERPETUA"/>
    <x:s v="88331"/>
    <x:x v="1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7-08T00:00:00Z"/>
    <x:x v="1"/>
    <x:s v="100765"/>
    <x:s v="BO"/>
    <x:s v="11879"/>
    <x:s v="CO"/>
    <x:s v="BO-11879"/>
    <x:s v="ARBAÑIL HUAMAN IRENE AGUSTINA"/>
    <x:s v="06086351"/>
    <x:s v="SAPAICO VICUÑA AUGUSTO RODRIGO"/>
    <x:s v="HOSPITAL LOAYZA"/>
    <x:s v="CRISTINA"/>
    <x:s v="0058674"/>
    <x:s v="975009671"/>
    <x:s v="ARBAÑIL HUAMAN IRENE AGUSTINA"/>
    <x:s v="88261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7145685"/>
    <x:s v="0011-0189-0200496417"/>
    <x:n v="50"/>
  </x:r>
  <x:r>
    <x:d v="2026-07-08T00:00:00Z"/>
    <x:x v="1"/>
    <x:s v="100776"/>
    <x:s v="BO"/>
    <x:s v="11881"/>
    <x:s v="CO"/>
    <x:s v="BO-11881"/>
    <x:s v="SECLEN LLONTOP DE TULLUME LIDIA LUZ"/>
    <x:s v="08454992"/>
    <x:s v="REYES DIAZ JORGE RICARDO"/>
    <x:s v="HOSPITAL CAYETANO HEREDIA"/>
    <x:s v="CRISTINA"/>
    <x:s v="0070382"/>
    <x:s v="999978226"/>
    <x:s v="SECLEN LLONTOP DE TULLUME LIDIA LUZ"/>
    <x:s v="88277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418834"/>
    <x:s v="193-05549355007"/>
    <x:n v="50"/>
  </x:r>
  <x:r>
    <x:d v="2026-07-08T00:00:00Z"/>
    <x:x v="1"/>
    <x:s v="100776"/>
    <x:s v="BO"/>
    <x:s v="11881"/>
    <x:s v="CO"/>
    <x:s v="BO-11881"/>
    <x:s v="SECLEN LLONTOP DE TULLUME LIDIA LUZ"/>
    <x:s v="08454992"/>
    <x:s v="REYES DIAZ JORGE RICARDO"/>
    <x:s v="HOSPITAL CAYETANO HEREDIA"/>
    <x:s v="CRISTINA"/>
    <x:s v="0070382"/>
    <x:s v="999978226"/>
    <x:s v="SECLEN LLONTOP DE TULLUME LIDIA LUZ"/>
    <x:s v="88277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418834"/>
    <x:s v="193-05549355007"/>
    <x:n v="50"/>
  </x:r>
  <x:r>
    <x:d v="2026-07-09T00:00:00Z"/>
    <x:x v="1"/>
    <x:s v="100971"/>
    <x:s v="BO"/>
    <x:s v="5746"/>
    <x:s v="CO"/>
    <x:s v="BO-5746"/>
    <x:s v="HERRERA PEREZ ZENAIDA VICTORIA"/>
    <x:s v="06116479"/>
    <x:s v="GUTARRA PAUCAR JULIA KARINA"/>
    <x:s v="CLÍNICA SAN CAMILO"/>
    <x:s v="CRISTINA"/>
    <x:s v="0071102"/>
    <x:s v="914510803"/>
    <x:s v="HERRERA PEREZ ZENAIDA VICTORIA"/>
    <x:s v="88423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2673362"/>
    <x:s v="0011-0353-0200308107"/>
    <x:n v="50"/>
  </x:r>
  <x:r>
    <x:d v="2026-07-09T00:00:00Z"/>
    <x:x v="1"/>
    <x:s v="100971"/>
    <x:s v="BO"/>
    <x:s v="5746"/>
    <x:s v="CO"/>
    <x:s v="BO-5746"/>
    <x:s v="HERRERA PEREZ ZENAIDA VICTORIA"/>
    <x:s v="06116479"/>
    <x:s v="GUTARRA PAUCAR JULIA KARINA"/>
    <x:s v="CLÍNICA SAN CAMILO"/>
    <x:s v="CRISTINA"/>
    <x:s v="0071102"/>
    <x:s v="914510803"/>
    <x:s v="HERRERA PEREZ ZENAIDA VICTORIA"/>
    <x:s v="88423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2673362"/>
    <x:s v="0011-0353-0200308107"/>
    <x:n v="50"/>
  </x:r>
  <x:r>
    <x:d v="2026-07-09T00:00:00Z"/>
    <x:x v="1"/>
    <x:s v="100896"/>
    <x:s v="BO"/>
    <x:s v="4567"/>
    <x:s v="CO"/>
    <x:s v="BO-4567"/>
    <x:s v="REYES HUAMANI SILVANA KEYLA"/>
    <x:s v="71678236"/>
    <x:s v="RUIZ ROJAS PAUBLO ENRIQUE"/>
    <x:s v="CONSULTORIO CUBANO COMAS"/>
    <x:s v="CRISTINA"/>
    <x:s v="0024720"/>
    <x:s v="994428828"/>
    <x:s v="REYES HUAMANI SILVANA KEYLA"/>
    <x:s v="88359"/>
    <x:x v="12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n v="992903716"/>
    <x:s v="191-91415089071"/>
    <x:n v="30"/>
  </x:r>
  <x:r>
    <x:d v="2026-07-09T00:00:00Z"/>
    <x:x v="1"/>
    <x:s v="100917"/>
    <x:s v="BO"/>
    <x:s v="4107"/>
    <x:s v="CO"/>
    <x:s v="BO-4107"/>
    <x:s v="MAS MELENDEZ MILTON"/>
    <x:s v="43271432"/>
    <x:s v="ROJAS AQUINO EVELING KARINA"/>
    <x:s v="POLICLÍNICO ESPÍRITU SANTO"/>
    <x:s v="CRISTINA"/>
    <x:s v="0061826"/>
    <x:s v="993546455"/>
    <x:s v="MAS MELENDEZ MILTON"/>
    <x:s v="88381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55356636"/>
    <x:s v="009-3226956615"/>
    <x:n v="30"/>
  </x:r>
  <x:r>
    <x:d v="2026-07-09T00:00:00Z"/>
    <x:x v="1"/>
    <x:s v="100884"/>
    <x:s v="BO"/>
    <x:s v="5738"/>
    <x:s v="CO"/>
    <x:s v="BO-5738"/>
    <x:s v="AGUILAR BUENO JESUS AMELIA"/>
    <x:s v="09808448"/>
    <x:s v="FIERRO LEANDRO"/>
    <x:s v="POLICLÍNICO DIVINO NIÑO JESÚS"/>
    <x:s v="CRISTINA"/>
    <x:s v="0071027"/>
    <x:s v="986800123"/>
    <x:s v="AGUILAR BUENO JESUS AMELIA"/>
    <x:s v="88347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7-09T00:00:00Z"/>
    <x:x v="1"/>
    <x:s v="100885"/>
    <x:s v="BO"/>
    <x:s v="5739"/>
    <x:s v="CO"/>
    <x:s v="BO-5739"/>
    <x:s v="AGUILAR BUENO JESUS AMELIA"/>
    <x:s v="09808448"/>
    <x:s v="FIERRO LEANDRO"/>
    <x:s v="POLICLÍNICO DIVINO NIÑO JESÚS"/>
    <x:s v="CRISTINA"/>
    <x:s v="0071027"/>
    <x:s v="986800123"/>
    <x:s v="AGUILAR BUENO JESUS AMELIA"/>
    <x:s v="88348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9T00:00:00Z"/>
    <x:x v="1"/>
    <x:s v="100885"/>
    <x:s v="BO"/>
    <x:s v="5739"/>
    <x:s v="CO"/>
    <x:s v="BO-5739"/>
    <x:s v="AGUILAR BUENO JESUS AMELIA"/>
    <x:s v="09808448"/>
    <x:s v="FIERRO LEANDRO"/>
    <x:s v="POLICLÍNICO DIVINO NIÑO JESÚS"/>
    <x:s v="CRISTINA"/>
    <x:s v="0071027"/>
    <x:s v="986800123"/>
    <x:s v="AGUILAR BUENO JESUS AMELIA"/>
    <x:s v="88348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7-09T00:00:00Z"/>
    <x:x v="1"/>
    <x:s v="100885"/>
    <x:s v="BO"/>
    <x:s v="5739"/>
    <x:s v="CO"/>
    <x:s v="BO-5739"/>
    <x:s v="AGUILAR BUENO JESUS AMELIA"/>
    <x:s v="09808448"/>
    <x:s v="FIERRO LEANDRO"/>
    <x:s v="POLICLÍNICO DIVINO NIÑO JESÚS"/>
    <x:s v="CRISTINA"/>
    <x:s v="0071027"/>
    <x:s v="986800123"/>
    <x:s v="AGUILAR BUENO JESUS AMELIA"/>
    <x:s v="88348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9T00:00:00Z"/>
    <x:x v="1"/>
    <x:s v="100885"/>
    <x:s v="BO"/>
    <x:s v="5739"/>
    <x:s v="CO"/>
    <x:s v="BO-5739"/>
    <x:s v="AGUILAR BUENO JESUS AMELIA"/>
    <x:s v="09808448"/>
    <x:s v="FIERRO LEANDRO"/>
    <x:s v="POLICLÍNICO DIVINO NIÑO JESÚS"/>
    <x:s v="CRISTINA"/>
    <x:s v="0071027"/>
    <x:s v="986800123"/>
    <x:s v="AGUILAR BUENO JESUS AMELIA"/>
    <x:s v="88348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09T00:00:00Z"/>
    <x:x v="1"/>
    <x:s v="100885"/>
    <x:s v="BO"/>
    <x:s v="5739"/>
    <x:s v="CO"/>
    <x:s v="BO-5739"/>
    <x:s v="AGUILAR BUENO JESUS AMELIA"/>
    <x:s v="09808448"/>
    <x:s v="FIERRO LEANDRO"/>
    <x:s v="POLICLÍNICO DIVINO NIÑO JESÚS"/>
    <x:s v="CRISTINA"/>
    <x:s v="0071027"/>
    <x:s v="986800123"/>
    <x:s v="AGUILAR BUENO JESUS AMELIA"/>
    <x:s v="88348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7-09T00:00:00Z"/>
    <x:x v="1"/>
    <x:s v="100886"/>
    <x:s v="BO"/>
    <x:s v="5740"/>
    <x:s v="CO"/>
    <x:s v="BO-5740"/>
    <x:s v="AGUILAR BUENO JESUS AMELIA"/>
    <x:s v="09808448"/>
    <x:s v="FIERRO LEANDRO"/>
    <x:s v="POLICLÍNICO DIVINO NIÑO JESÚS"/>
    <x:s v="CRISTINA"/>
    <x:s v="0071027"/>
    <x:s v="986800123"/>
    <x:s v="AGUILAR BUENO JESUS AMELIA"/>
    <x:s v="88349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7-09T00:00:00Z"/>
    <x:x v="1"/>
    <x:s v="100921"/>
    <x:s v="BO"/>
    <x:s v="11898"/>
    <x:s v="CO"/>
    <x:s v="BO-11898"/>
    <x:s v="OCHOA SALAS LUIS ALBERTO"/>
    <x:s v="80162583"/>
    <x:s v="FIERRO LEANDRO"/>
    <x:s v="POLICLÍNICO DIVINO NIÑO JESÚS"/>
    <x:s v="CRISTINA"/>
    <x:s v="0071029"/>
    <x:s v="986800123"/>
    <x:s v="OCHOA SALAS LUIS ALBERTO"/>
    <x:s v="88383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09T00:00:00Z"/>
    <x:x v="1"/>
    <x:s v="100945"/>
    <x:s v="FA"/>
    <x:s v="552"/>
    <x:s v="CO"/>
    <x:s v="FA-552"/>
    <x:s v="ALFARO LAURA OSCAR WALDIR"/>
    <x:s v="71856112"/>
    <x:s v="PALACIOS URIBE PAMELA CAROLINA "/>
    <x:s v="CONSULTORIO PARTICULAR"/>
    <x:s v="CRISTINA"/>
    <x:s v="0070922"/>
    <x:s v="999999999"/>
    <x:s v="GRUPO MVP S.A.C."/>
    <x:s v="8830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94872106"/>
    <x:s v="193-95965374018"/>
    <x:m/>
  </x:r>
  <x:r>
    <x:d v="2026-07-09T00:00:00Z"/>
    <x:x v="1"/>
    <x:s v="100945"/>
    <x:s v="FA"/>
    <x:s v="552"/>
    <x:s v="CO"/>
    <x:s v="FA-552"/>
    <x:s v="ALFARO LAURA OSCAR WALDIR"/>
    <x:s v="71856112"/>
    <x:s v="PALACIOS URIBE PAMELA CAROLINA "/>
    <x:s v="CONSULTORIO PARTICULAR"/>
    <x:s v="CRISTINA"/>
    <x:s v="0070922"/>
    <x:s v="999999999"/>
    <x:s v="GRUPO MVP S.A.C."/>
    <x:s v="88303"/>
    <x:x v="30"/>
    <x:n v="1"/>
    <x:s v="PRECISA"/>
    <x:s v="INSTITUTO MEDICO QUIRURGICO AREQUIPA S.A"/>
    <x:s v="INSTITUTO MEDICO QUIRURGICO AREQUIPA S.A"/>
    <x:s v="L.CENTRO"/>
    <x:s v="ACABRERA"/>
    <x:n v="279.66"/>
    <x:s v="LN. CIRUGIA"/>
    <x:s v="CIAS. DE SEGURO"/>
    <x:s v="CENTRO"/>
    <x:n v="994872106"/>
    <x:s v="193-95965374018"/>
    <x:m/>
  </x:r>
  <x:r>
    <x:d v="2026-07-10T00:00:00Z"/>
    <x:x v="1"/>
    <x:s v="100995"/>
    <x:s v="FA"/>
    <x:s v="1063"/>
    <x:s v="CO"/>
    <x:s v="FA-1063"/>
    <x:s v="OCHOA SALAS LUIS ALBERTO"/>
    <x:s v="80162583"/>
    <x:s v="FIERRO LEANDRO"/>
    <x:s v="POLICLÍNICO DIVINO NIÑO JESÚS"/>
    <x:s v="CRISTINA"/>
    <x:s v="0071029"/>
    <x:s v="986800123"/>
    <x:s v="GRUPO MEDICO INTEGRAL SOCIEDAD ANONIMA CERRADA"/>
    <x:s v="88384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10T00:00:00Z"/>
    <x:x v="1"/>
    <x:s v="100995"/>
    <x:s v="FA"/>
    <x:s v="1063"/>
    <x:s v="CO"/>
    <x:s v="FA-1063"/>
    <x:s v="OCHOA SALAS LUIS ALBERTO"/>
    <x:s v="80162583"/>
    <x:s v="FIERRO LEANDRO"/>
    <x:s v="POLICLÍNICO DIVINO NIÑO JESÚS"/>
    <x:s v="CRISTINA"/>
    <x:s v="0071029"/>
    <x:s v="986800123"/>
    <x:s v="GRUPO MEDICO INTEGRAL SOCIEDAD ANONIMA CERRADA"/>
    <x:s v="88384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10T00:00:00Z"/>
    <x:x v="1"/>
    <x:s v="101009"/>
    <x:s v="FA"/>
    <x:s v="1064"/>
    <x:s v="CO"/>
    <x:s v="FA-1064"/>
    <x:s v="AGUILAR BUENO JESUS AMELIA"/>
    <x:s v="09808448"/>
    <x:s v="FIERRO LEANDRO"/>
    <x:s v="POLICLÍNICO DIVINO NIÑO JESÚS"/>
    <x:s v="CRISTINA"/>
    <x:s v="0071027"/>
    <x:s v="986800123"/>
    <x:s v="GRUPO MEDICO INTEGRAL SOCIEDAD ANONIMA CERRADA"/>
    <x:s v="88398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10T00:00:00Z"/>
    <x:x v="1"/>
    <x:s v="101009"/>
    <x:s v="FA"/>
    <x:s v="1064"/>
    <x:s v="CO"/>
    <x:s v="FA-1064"/>
    <x:s v="AGUILAR BUENO JESUS AMELIA"/>
    <x:s v="09808448"/>
    <x:s v="FIERRO LEANDRO"/>
    <x:s v="POLICLÍNICO DIVINO NIÑO JESÚS"/>
    <x:s v="CRISTINA"/>
    <x:s v="0071027"/>
    <x:s v="986800123"/>
    <x:s v="GRUPO MEDICO INTEGRAL SOCIEDAD ANONIMA CERRADA"/>
    <x:s v="88398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10T00:00:00Z"/>
    <x:x v="1"/>
    <x:s v="101011"/>
    <x:s v="BO"/>
    <x:s v="4118"/>
    <x:s v="CO"/>
    <x:s v="BO-4118"/>
    <x:s v="BELLO PEJERREY OLGA MERY"/>
    <x:s v="25822194"/>
    <x:s v="HUAMAN RIOS LUIS ENRIQUE"/>
    <x:s v="HOSPITAL SERGIO BERNALES"/>
    <x:s v="CRISTINA"/>
    <x:s v="0071116"/>
    <x:s v="929409172"/>
    <x:s v="BELLO PEJERREY OLGA MERY"/>
    <x:s v="88468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99986041"/>
    <x:s v="191-30583545068"/>
    <x:n v="30"/>
  </x:r>
  <x:r>
    <x:d v="2026-07-10T00:00:00Z"/>
    <x:x v="1"/>
    <x:s v="101014"/>
    <x:s v="BO"/>
    <x:s v="11913"/>
    <x:s v="CO"/>
    <x:s v="BO-11913"/>
    <x:s v="CAYLLAHUA CHALCO MARCELO"/>
    <x:s v="08301706"/>
    <x:s v="SANCHEZ CUEVA SERGIO"/>
    <x:m/>
    <x:s v="CRISTINA"/>
    <x:s v="0071117"/>
    <x:s v="930723250"/>
    <x:s v="CAYLLAHUA CHALCO MARCELO"/>
    <x:s v="88471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10T00:00:00Z"/>
    <x:x v="1"/>
    <x:s v="2394"/>
    <x:s v="NC"/>
    <x:s v="11913"/>
    <x:s v="CR"/>
    <x:s v="NC-11913"/>
    <x:s v="CAYLLAHUA CHALCO MARCELO"/>
    <x:s v="08301706"/>
    <x:s v="SANCHEZ CUEVA SERGIO"/>
    <x:m/>
    <x:s v="CR"/>
    <x:s v="0071117"/>
    <x:s v="930723250"/>
    <x:s v="CAYLLAHUA CHALCO MARCELO"/>
    <x:s v="88471"/>
    <x:x v="4"/>
    <x:n v="1"/>
    <x:s v="PRECISA"/>
    <x:s v="INSTITUTO MEDICO QUIRURGICO AREQUIPA S.A"/>
    <x:s v="INSTITUTO MEDICO QUIRURGICO AREQUIPA S.A"/>
    <x:s v="L.CENTRO"/>
    <x:s v="LMAGAN"/>
    <x:n v="-135.59"/>
    <x:s v="LN. EXAMENES"/>
    <x:s v="CIAS. DE SEGURO"/>
    <x:s v="CENTRO"/>
    <x:m/>
    <x:m/>
    <x:n v="30"/>
  </x:r>
  <x:r>
    <x:d v="2026-07-11T00:00:00Z"/>
    <x:x v="1"/>
    <x:s v="101135"/>
    <x:s v="BO"/>
    <x:s v="4136"/>
    <x:s v="CO"/>
    <x:s v="BO-4136"/>
    <x:s v="CASANOVA NAMOG DE LARREA ANDREA NINFA"/>
    <x:s v="08077846"/>
    <x:s v="RUIZ ROJAS PAUBLO ENRIQUE"/>
    <x:s v="CONSULTORIO CUBANO COMAS"/>
    <x:s v="CRISTINA"/>
    <x:s v="0071146"/>
    <x:s v="4820159"/>
    <x:s v="CASANOVA NAMOG DE LARREA ANDREA NINFA"/>
    <x:s v="88569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92903716"/>
    <x:s v="191-91415089071"/>
    <x:n v="30"/>
  </x:r>
  <x:r>
    <x:d v="2026-07-11T00:00:00Z"/>
    <x:x v="1"/>
    <x:s v="101135"/>
    <x:s v="BO"/>
    <x:s v="4136"/>
    <x:s v="CO"/>
    <x:s v="BO-4136"/>
    <x:s v="CASANOVA NAMOG DE LARREA ANDREA NINFA"/>
    <x:s v="08077846"/>
    <x:s v="RUIZ ROJAS PAUBLO ENRIQUE"/>
    <x:s v="CONSULTORIO CUBANO COMAS"/>
    <x:s v="CRISTINA"/>
    <x:s v="0071146"/>
    <x:s v="4820159"/>
    <x:s v="CASANOVA NAMOG DE LARREA ANDREA NINFA"/>
    <x:s v="88569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2903716"/>
    <x:s v="191-91415089071"/>
    <x:n v="50"/>
  </x:r>
  <x:r>
    <x:d v="2026-07-11T00:00:00Z"/>
    <x:x v="1"/>
    <x:s v="101072"/>
    <x:s v="FA"/>
    <x:s v="553"/>
    <x:s v="CO"/>
    <x:s v="FA-553"/>
    <x:s v="CALVAY SAUSA LUIS ALBERTO"/>
    <x:s v="10405367"/>
    <x:s v="MENDOZA DIAZ NORA BEATRIZ"/>
    <x:s v="ESSALUD ATE"/>
    <x:s v="CRISTINA"/>
    <x:s v="0070474"/>
    <x:s v="95231065"/>
    <x:s v="GRACIA REY VALENTINA"/>
    <x:s v="88440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93540760"/>
    <x:s v="191-03554214014"/>
    <x:m/>
  </x:r>
  <x:r>
    <x:d v="2026-07-11T00:00:00Z"/>
    <x:x v="1"/>
    <x:s v="101072"/>
    <x:s v="FA"/>
    <x:s v="553"/>
    <x:s v="CO"/>
    <x:s v="FA-553"/>
    <x:s v="CALVAY SAUSA LUIS ALBERTO"/>
    <x:s v="10405367"/>
    <x:s v="MENDOZA DIAZ NORA BEATRIZ"/>
    <x:s v="ESSALUD ATE"/>
    <x:s v="CRISTINA"/>
    <x:s v="0070474"/>
    <x:s v="95231065"/>
    <x:s v="GRACIA REY VALENTINA"/>
    <x:s v="88440"/>
    <x:x v="30"/>
    <x:n v="1"/>
    <x:s v="PRECISA"/>
    <x:s v="INSTITUTO MEDICO QUIRURGICO AREQUIPA S.A"/>
    <x:s v="INSTITUTO MEDICO QUIRURGICO AREQUIPA S.A"/>
    <x:s v="L.CENTRO"/>
    <x:s v="ACABRERA"/>
    <x:n v="550.85"/>
    <x:s v="LN. CIRUGIA"/>
    <x:s v="CIAS. DE SEGURO"/>
    <x:s v="CENTRO"/>
    <x:n v="993540760"/>
    <x:s v="191-03554214014"/>
    <x:m/>
  </x:r>
  <x:r>
    <x:d v="2026-07-13T00:00:00Z"/>
    <x:x v="1"/>
    <x:s v="101168"/>
    <x:s v="FA"/>
    <x:s v="555"/>
    <x:s v="CO"/>
    <x:s v="FA-555"/>
    <x:s v="LARA VALER ALBERTO"/>
    <x:s v="43908772"/>
    <x:s v="FERNANDEZ GUTIERREZ OLGA PATRICIA"/>
    <x:s v="CONSULTORIO PARTICULAR"/>
    <x:s v="CRISTINA"/>
    <x:s v="0071173"/>
    <x:s v="920626730"/>
    <x:s v="VEFER OFTALMOLOGOS S.A.C."/>
    <x:s v="88598"/>
    <x:x v="22"/>
    <x:n v="1"/>
    <x:s v="PRECISA"/>
    <x:s v="INSTITUTO MEDICO QUIRURGICO AREQUIPA S.A"/>
    <x:s v="INSTITUTO MEDICO QUIRURGICO AREQUIPA S.A"/>
    <x:s v="L.CENTRO"/>
    <x:s v="ACABRERA"/>
    <x:n v="101.69"/>
    <x:s v="LN. PROCEDIMIENTO"/>
    <x:s v="CIAS. DE SEGURO"/>
    <x:s v="CENTRO"/>
    <x:n v="982536223"/>
    <x:s v="107-3174605363"/>
    <x:m/>
  </x:r>
  <x:r>
    <x:d v="2026-07-13T00:00:00Z"/>
    <x:x v="1"/>
    <x:s v="101140"/>
    <x:s v="BO"/>
    <x:s v="5762"/>
    <x:s v="CO"/>
    <x:s v="BO-5762"/>
    <x:s v="RODRIGUEZ DE ARBILDO MARIA CLAUDINA"/>
    <x:s v="25466693"/>
    <x:m/>
    <x:m/>
    <x:s v="CRISTINA"/>
    <x:s v="0071162"/>
    <x:s v="987114412"/>
    <x:s v="RODRIGUEZ DE ARBILDO MARIA CLAUDINA"/>
    <x:s v="88571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7-13T00:00:00Z"/>
    <x:x v="1"/>
    <x:s v="101161"/>
    <x:s v="BO"/>
    <x:s v="11927"/>
    <x:s v="CO"/>
    <x:s v="BO-11927"/>
    <x:s v="BRAVO YAYA JOSE ANTONIO"/>
    <x:s v="09218651"/>
    <x:m/>
    <x:m/>
    <x:s v="CRISTINA"/>
    <x:s v="0053635"/>
    <x:s v="996299409"/>
    <x:s v="BRAVO YAYA JOSE ANTONIO"/>
    <x:s v="88592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13T00:00:00Z"/>
    <x:x v="1"/>
    <x:s v="101161"/>
    <x:s v="BO"/>
    <x:s v="11927"/>
    <x:s v="CO"/>
    <x:s v="BO-11927"/>
    <x:s v="BRAVO YAYA JOSE ANTONIO"/>
    <x:s v="09218651"/>
    <x:m/>
    <x:m/>
    <x:s v="CRISTINA"/>
    <x:s v="0053635"/>
    <x:s v="996299409"/>
    <x:s v="BRAVO YAYA JOSE ANTONIO"/>
    <x:s v="88592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13T00:00:00Z"/>
    <x:x v="1"/>
    <x:s v="101163"/>
    <x:s v="BO"/>
    <x:s v="5764"/>
    <x:s v="CO"/>
    <x:s v="BO-5764"/>
    <x:s v="LAZARES DE LA CRUZ ELIZABETH"/>
    <x:s v="20060778"/>
    <x:m/>
    <x:m/>
    <x:s v="CRISTINA"/>
    <x:s v="0071183"/>
    <x:s v="961670005"/>
    <x:s v="LAZARES DE LA CRUZ ELIZABETH"/>
    <x:s v="88595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7-13T00:00:00Z"/>
    <x:x v="1"/>
    <x:s v="101178"/>
    <x:s v="BO"/>
    <x:s v="11930"/>
    <x:s v="CO"/>
    <x:s v="BO-11930"/>
    <x:s v="QUIPUSCO BERNAL MIGUEL WENCESLAO"/>
    <x:s v="06057576"/>
    <x:m/>
    <x:m/>
    <x:s v="CRISTINA"/>
    <x:s v="0054107"/>
    <x:s v="998759676"/>
    <x:s v="QUIPUSCO BERNAL MIGUEL WENCESLAO"/>
    <x:s v="88607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13T00:00:00Z"/>
    <x:x v="1"/>
    <x:s v="101181"/>
    <x:s v="BO"/>
    <x:s v="5769"/>
    <x:s v="CO"/>
    <x:s v="BO-5769"/>
    <x:s v="VALENTINO HUAMAN VDA DE MAYTA LUISA TEOD"/>
    <x:s v="09420060"/>
    <x:m/>
    <x:m/>
    <x:s v="CRISTINA"/>
    <x:s v="0071194"/>
    <x:s v="966511609"/>
    <x:s v="VALENTINO HUAMAN VDA DE MAYTA LUISA TEOD"/>
    <x:s v="88610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7-14T00:00:00Z"/>
    <x:x v="1"/>
    <x:s v="101279"/>
    <x:s v="FA"/>
    <x:s v="556"/>
    <x:s v="CO"/>
    <x:s v="FA-556"/>
    <x:s v="FALLA SARFATY ANTONIO JESUS MANUEL"/>
    <x:s v="07815723"/>
    <x:m/>
    <x:m/>
    <x:s v="CRISTINA"/>
    <x:s v="0071224"/>
    <x:s v="961765198"/>
    <x:s v="FALLA SARFATY VDA DE VICICH MARITZA"/>
    <x:s v="88685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7-14T00:00:00Z"/>
    <x:x v="1"/>
    <x:s v="101222"/>
    <x:s v="BO"/>
    <x:s v="11935"/>
    <x:s v="CO"/>
    <x:s v="BO-11935"/>
    <x:s v="ARMAS TORRES ONOLITH"/>
    <x:s v="01097607"/>
    <x:s v="FIERRO LEANDRO"/>
    <x:s v="POLICLÍNICO DIVINO NIÑO JESÚS"/>
    <x:s v="CRISTINA"/>
    <x:s v="0071135"/>
    <x:s v="997325804"/>
    <x:s v="ARMAS TORRES ONOLITH"/>
    <x:s v="88643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14T00:00:00Z"/>
    <x:x v="1"/>
    <x:s v="101228"/>
    <x:s v="BO"/>
    <x:s v="5777"/>
    <x:s v="CO"/>
    <x:s v="BO-5777"/>
    <x:s v="RODRIGUEZ PEREZ JOSE TOMAS"/>
    <x:s v="06148717"/>
    <x:s v="FIERRO LEANDRO"/>
    <x:s v="POLICLÍNICO DIVINO NIÑO JESÚS"/>
    <x:s v="CRISTINA"/>
    <x:s v="0071134"/>
    <x:s v="939515680"/>
    <x:s v="RODRIGUEZ PEREZ JOSE TOMAS"/>
    <x:s v="88648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14T00:00:00Z"/>
    <x:x v="1"/>
    <x:s v="101228"/>
    <x:s v="BO"/>
    <x:s v="5777"/>
    <x:s v="CO"/>
    <x:s v="BO-5777"/>
    <x:s v="RODRIGUEZ PEREZ JOSE TOMAS"/>
    <x:s v="06148717"/>
    <x:s v="FIERRO LEANDRO"/>
    <x:s v="POLICLÍNICO DIVINO NIÑO JESÚS"/>
    <x:s v="CRISTINA"/>
    <x:s v="0071134"/>
    <x:s v="939515680"/>
    <x:s v="RODRIGUEZ PEREZ JOSE TOMAS"/>
    <x:s v="88648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7-14T00:00:00Z"/>
    <x:x v="1"/>
    <x:s v="101228"/>
    <x:s v="BO"/>
    <x:s v="5777"/>
    <x:s v="CO"/>
    <x:s v="BO-5777"/>
    <x:s v="RODRIGUEZ PEREZ JOSE TOMAS"/>
    <x:s v="06148717"/>
    <x:s v="FIERRO LEANDRO"/>
    <x:s v="POLICLÍNICO DIVINO NIÑO JESÚS"/>
    <x:s v="CRISTINA"/>
    <x:s v="0071134"/>
    <x:s v="939515680"/>
    <x:s v="RODRIGUEZ PEREZ JOSE TOMAS"/>
    <x:s v="88648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14T00:00:00Z"/>
    <x:x v="1"/>
    <x:s v="101228"/>
    <x:s v="BO"/>
    <x:s v="5777"/>
    <x:s v="CO"/>
    <x:s v="BO-5777"/>
    <x:s v="RODRIGUEZ PEREZ JOSE TOMAS"/>
    <x:s v="06148717"/>
    <x:s v="FIERRO LEANDRO"/>
    <x:s v="POLICLÍNICO DIVINO NIÑO JESÚS"/>
    <x:s v="CRISTINA"/>
    <x:s v="0071134"/>
    <x:s v="939515680"/>
    <x:s v="RODRIGUEZ PEREZ JOSE TOMAS"/>
    <x:s v="88648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7-14T00:00:00Z"/>
    <x:x v="1"/>
    <x:s v="101228"/>
    <x:s v="BO"/>
    <x:s v="5777"/>
    <x:s v="CO"/>
    <x:s v="BO-5777"/>
    <x:s v="RODRIGUEZ PEREZ JOSE TOMAS"/>
    <x:s v="06148717"/>
    <x:s v="FIERRO LEANDRO"/>
    <x:s v="POLICLÍNICO DIVINO NIÑO JESÚS"/>
    <x:s v="CRISTINA"/>
    <x:s v="0071134"/>
    <x:s v="939515680"/>
    <x:s v="RODRIGUEZ PEREZ JOSE TOMAS"/>
    <x:s v="88648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7-14T00:00:00Z"/>
    <x:x v="1"/>
    <x:s v="101229"/>
    <x:s v="BO"/>
    <x:s v="5778"/>
    <x:s v="CO"/>
    <x:s v="BO-5778"/>
    <x:s v="RODRIGUEZ PEREZ JOSE TOMAS"/>
    <x:s v="06148717"/>
    <x:s v="FIERRO LEANDRO"/>
    <x:s v="POLICLÍNICO DIVINO NIÑO JESÚS"/>
    <x:s v="CRISTINA"/>
    <x:s v="0071134"/>
    <x:s v="939515680"/>
    <x:s v="RODRIGUEZ PEREZ JOSE TOMAS"/>
    <x:s v="88649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7-14T00:00:00Z"/>
    <x:x v="1"/>
    <x:s v="101230"/>
    <x:s v="BO"/>
    <x:s v="5779"/>
    <x:s v="CO"/>
    <x:s v="BO-5779"/>
    <x:s v="RODRIGUEZ PEREZ JOSE TOMAS"/>
    <x:s v="06148717"/>
    <x:s v="FIERRO LEANDRO"/>
    <x:s v="POLICLÍNICO DIVINO NIÑO JESÚS"/>
    <x:s v="CRISTINA"/>
    <x:s v="0071134"/>
    <x:s v="939515680"/>
    <x:s v="RODRIGUEZ PEREZ JOSE TOMAS"/>
    <x:s v="88650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7-14T00:00:00Z"/>
    <x:x v="1"/>
    <x:s v="101242"/>
    <x:s v="BO"/>
    <x:s v="11419"/>
    <x:s v="CO"/>
    <x:s v="BO-11419"/>
    <x:s v="ZERPA ALVARADO SUSANA FAUSTA"/>
    <x:s v="32883554"/>
    <x:s v="FIERRO LEANDRO"/>
    <x:s v="POLICLÍNICO DIVINO NIÑO JESÚS"/>
    <x:s v="CRISTINA"/>
    <x:s v="0071136"/>
    <x:s v="938255321"/>
    <x:s v="ZERPA ALVARADO SUSANA FAUSTA"/>
    <x:s v="88660"/>
    <x:x v="31"/>
    <x:n v="1"/>
    <x:s v="PRECISA"/>
    <x:s v="INSTITUTO MEDICO QUIRURGICO AREQUIPA S.A"/>
    <x:s v="INSTITUTO MEDICO QUIRURGICO AREQUIPA S.A"/>
    <x:s v="L.CENTRO"/>
    <x:s v="DGIRALDO"/>
    <x:n v="84.75"/>
    <x:s v="LN. OPTICA"/>
    <x:s v="CIAS. DE SEGURO"/>
    <x:s v="CENTRO"/>
    <x:m/>
    <x:m/>
    <x:m/>
  </x:r>
  <x:r>
    <x:d v="2026-07-14T00:00:00Z"/>
    <x:x v="1"/>
    <x:s v="101258"/>
    <x:s v="BO"/>
    <x:s v="11945"/>
    <x:s v="CO"/>
    <x:s v="BO-11945"/>
    <x:s v="FARFAN SAIRITUPA JOSE FERNANDO"/>
    <x:s v="06884348"/>
    <x:s v="FIERRO LEANDRO"/>
    <x:s v="POLICLÍNICO DIVINO NIÑO JESÚS"/>
    <x:s v="CRISTINA"/>
    <x:s v="0071133"/>
    <x:s v="987132568"/>
    <x:s v="FARFAN SAIRITUPA JOSE FERNANDO"/>
    <x:s v="88676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14T00:00:00Z"/>
    <x:x v="1"/>
    <x:s v="101299"/>
    <x:s v="FA"/>
    <x:s v="1066"/>
    <x:s v="CO"/>
    <x:s v="FA-1066"/>
    <x:s v="ARMAS TORRES ONOLITH"/>
    <x:s v="01097607"/>
    <x:s v="FIERRO LEANDRO"/>
    <x:s v="POLICLÍNICO DIVINO NIÑO JESÚS"/>
    <x:s v="CRISTINA"/>
    <x:s v="0071135"/>
    <x:s v="997325804"/>
    <x:s v="GRUPO MEDICO INTEGRAL SOCIEDAD ANONIMA CERRADA"/>
    <x:s v="88667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14T00:00:00Z"/>
    <x:x v="1"/>
    <x:s v="101299"/>
    <x:s v="FA"/>
    <x:s v="1066"/>
    <x:s v="CO"/>
    <x:s v="FA-1066"/>
    <x:s v="ARMAS TORRES ONOLITH"/>
    <x:s v="01097607"/>
    <x:s v="FIERRO LEANDRO"/>
    <x:s v="POLICLÍNICO DIVINO NIÑO JESÚS"/>
    <x:s v="CRISTINA"/>
    <x:s v="0071135"/>
    <x:s v="997325804"/>
    <x:s v="GRUPO MEDICO INTEGRAL SOCIEDAD ANONIMA CERRADA"/>
    <x:s v="88667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14T00:00:00Z"/>
    <x:x v="1"/>
    <x:s v="101300"/>
    <x:s v="FA"/>
    <x:s v="1067"/>
    <x:s v="CO"/>
    <x:s v="FA-1067"/>
    <x:s v="ZERPA ALVARADO SUSANA FAUSTA"/>
    <x:s v="32883554"/>
    <x:s v="FIERRO LEANDRO"/>
    <x:s v="POLICLÍNICO DIVINO NIÑO JESÚS"/>
    <x:s v="CRISTINA"/>
    <x:s v="0071136"/>
    <x:s v="938255321"/>
    <x:s v="GRUPO MEDICO INTEGRAL SOCIEDAD ANONIMA CERRADA"/>
    <x:s v="88668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14T00:00:00Z"/>
    <x:x v="1"/>
    <x:s v="101300"/>
    <x:s v="FA"/>
    <x:s v="1067"/>
    <x:s v="CO"/>
    <x:s v="FA-1067"/>
    <x:s v="ZERPA ALVARADO SUSANA FAUSTA"/>
    <x:s v="32883554"/>
    <x:s v="FIERRO LEANDRO"/>
    <x:s v="POLICLÍNICO DIVINO NIÑO JESÚS"/>
    <x:s v="CRISTINA"/>
    <x:s v="0071136"/>
    <x:s v="938255321"/>
    <x:s v="GRUPO MEDICO INTEGRAL SOCIEDAD ANONIMA CERRADA"/>
    <x:s v="88668"/>
    <x:x v="3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7-14T00:00:00Z"/>
    <x:x v="1"/>
    <x:s v="101301"/>
    <x:s v="FA"/>
    <x:s v="1068"/>
    <x:s v="CO"/>
    <x:s v="FA-1068"/>
    <x:s v="FARFAN SAIRITUPA JOSE FERNANDO"/>
    <x:s v="06884348"/>
    <x:s v="FIERRO LEANDRO"/>
    <x:s v="POLICLÍNICO DIVINO NIÑO JESÚS"/>
    <x:s v="CRISTINA"/>
    <x:s v="0071133"/>
    <x:s v="987132568"/>
    <x:s v="GRUPO MEDICO INTEGRAL SOCIEDAD ANONIMA CERRADA"/>
    <x:s v="88679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14T00:00:00Z"/>
    <x:x v="1"/>
    <x:s v="101301"/>
    <x:s v="FA"/>
    <x:s v="1068"/>
    <x:s v="CO"/>
    <x:s v="FA-1068"/>
    <x:s v="FARFAN SAIRITUPA JOSE FERNANDO"/>
    <x:s v="06884348"/>
    <x:s v="FIERRO LEANDRO"/>
    <x:s v="POLICLÍNICO DIVINO NIÑO JESÚS"/>
    <x:s v="CRISTINA"/>
    <x:s v="0071133"/>
    <x:s v="987132568"/>
    <x:s v="GRUPO MEDICO INTEGRAL SOCIEDAD ANONIMA CERRADA"/>
    <x:s v="88679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14T00:00:00Z"/>
    <x:x v="1"/>
    <x:s v="101302"/>
    <x:s v="BO"/>
    <x:s v="11950"/>
    <x:s v="CO"/>
    <x:s v="BO-11950"/>
    <x:s v="ZERPA ALVARADO SUSANA FAUSTA"/>
    <x:s v="32883554"/>
    <x:s v="FIERRO LEANDRO"/>
    <x:s v="POLICLÍNICO DIVINO NIÑO JESÚS"/>
    <x:s v="CRISTINA"/>
    <x:s v="0071136"/>
    <x:s v="938255321"/>
    <x:s v="ZERPA ALVARADO SUSANA FAUSTA"/>
    <x:s v="88700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15T00:00:00Z"/>
    <x:x v="1"/>
    <x:s v="101370"/>
    <x:s v="FA"/>
    <x:s v="558"/>
    <x:s v="CO"/>
    <x:s v="FA-558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88772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50133748"/>
    <x:s v="191-9953047026"/>
    <x:n v="30"/>
  </x:r>
  <x:r>
    <x:d v="2026-07-16T00:00:00Z"/>
    <x:x v="1"/>
    <x:s v="101426"/>
    <x:s v="BO"/>
    <x:s v="5797"/>
    <x:s v="CO"/>
    <x:s v="BO-5797"/>
    <x:s v="CAYCHO TORRES OLGA ESTHER"/>
    <x:s v="09865602"/>
    <x:s v="GUTARRA PAUCAR JULIA KARINA"/>
    <x:s v="CLÍNICA SAN CAMILO"/>
    <x:s v="CRISTINA"/>
    <x:s v="0071271"/>
    <x:s v="991737507"/>
    <x:s v="CAYCHO TORRES OLGA ESTHER"/>
    <x:s v="88820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82673362"/>
    <x:s v="0011-0353-0200308107"/>
    <x:n v="30"/>
  </x:r>
  <x:r>
    <x:d v="2026-07-16T00:00:00Z"/>
    <x:x v="1"/>
    <x:s v="101456"/>
    <x:s v="BO"/>
    <x:s v="5804"/>
    <x:s v="CO"/>
    <x:s v="BO-5804"/>
    <x:s v="CASTILLO SOTO DE MONTOYA FLOR DEL ROCIO"/>
    <x:s v="07783843"/>
    <x:s v="CASTRO TAMANAJA VANIA VIVIAN"/>
    <x:s v="HOSPITAL 2 DE MAYO"/>
    <x:s v="CRISTINA"/>
    <x:s v="0054793"/>
    <x:s v="983818294"/>
    <x:s v="CASTILLO SOTO DE MONTOYA FLOR DEL ROCIO"/>
    <x:s v="88844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6661693"/>
    <x:s v="0011-0354-0200096288"/>
    <x:n v="50"/>
  </x:r>
  <x:r>
    <x:d v="2026-07-16T00:00:00Z"/>
    <x:x v="1"/>
    <x:s v="101451"/>
    <x:s v="BO"/>
    <x:s v="4161"/>
    <x:s v="CO"/>
    <x:s v="BO-4161"/>
    <x:s v="AGUEDO HUAMANCHUMO DE ROJAS GLORIA"/>
    <x:s v="09031014"/>
    <x:s v="HUAMAN RIOS LUIS ENRIQUE"/>
    <x:s v="HOSPITAL SERGIO BERNALES"/>
    <x:s v="CRISTINA"/>
    <x:s v="0071288"/>
    <x:s v="999063472"/>
    <x:s v="AGUEDO HUAMANCHUMO DE ROJAS GLORIA"/>
    <x:s v="88838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99986041"/>
    <x:s v="191-30583545068"/>
    <x:n v="30"/>
  </x:r>
  <x:r>
    <x:d v="2026-07-16T00:00:00Z"/>
    <x:x v="1"/>
    <x:s v="101419"/>
    <x:s v="FA"/>
    <x:s v="559"/>
    <x:s v="CO"/>
    <x:s v="FA-559"/>
    <x:s v="MALCA COBA NILA"/>
    <x:s v="10135276"/>
    <x:s v="CABRERA YAIMA"/>
    <x:m/>
    <x:s v="CRISTINA"/>
    <x:s v="0071264"/>
    <x:s v="979935897"/>
    <x:s v="CABRERA RUIZ YAIMA"/>
    <x:s v="88814"/>
    <x:x v="11"/>
    <x:n v="2"/>
    <x:s v="PRECISA"/>
    <x:s v="INSTITUTO MEDICO QUIRURGICO AREQUIPA S.A"/>
    <x:s v="INSTITUTO MEDICO QUIRURGICO AREQUIPA S.A"/>
    <x:s v="L.CENTRO"/>
    <x:s v="ACABRERA"/>
    <x:n v="203.39"/>
    <x:s v="LN. PROCEDIMIENTO"/>
    <x:s v="CIAS. DE SEGURO"/>
    <x:s v="CENTRO"/>
    <x:m/>
    <x:m/>
    <x:m/>
  </x:r>
  <x:r>
    <x:d v="2026-07-17T00:00:00Z"/>
    <x:x v="1"/>
    <x:s v="101557"/>
    <x:s v="BO"/>
    <x:s v="11970"/>
    <x:s v="CO"/>
    <x:s v="BO-11970"/>
    <x:s v="DIAZ CANTURIN ISAAC ANIBAL"/>
    <x:s v="40750638"/>
    <x:m/>
    <x:m/>
    <x:s v="CRISTINA"/>
    <x:s v="0071319"/>
    <x:s v="949464428"/>
    <x:s v="DIAZ CANTURIN ISAAC ANIBAL"/>
    <x:s v="88916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18T00:00:00Z"/>
    <x:x v="1"/>
    <x:s v="101643"/>
    <x:s v="BO"/>
    <x:s v="11986"/>
    <x:s v="CO"/>
    <x:s v="BO-11986"/>
    <x:s v="ALMONACID SUAREZ JIM EDWARD"/>
    <x:s v="41808272"/>
    <x:s v="BARRANTES RAMIREZ ELENA JESUS AMERICA"/>
    <x:s v="OPELUCE LINCE"/>
    <x:s v="CRISTINA"/>
    <x:s v="0071365"/>
    <x:s v="926587211"/>
    <x:s v="ALMONACID SUAREZ JIM EDWARD"/>
    <x:s v="88987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40621858"/>
    <x:s v="0011-0616-0200286900"/>
    <x:n v="30"/>
  </x:r>
  <x:r>
    <x:d v="2026-07-18T00:00:00Z"/>
    <x:x v="1"/>
    <x:s v="101643"/>
    <x:s v="BO"/>
    <x:s v="11986"/>
    <x:s v="CO"/>
    <x:s v="BO-11986"/>
    <x:s v="ALMONACID SUAREZ JIM EDWARD"/>
    <x:s v="41808272"/>
    <x:s v="BARRANTES RAMIREZ ELENA JESUS AMERICA"/>
    <x:s v="OPELUCE LINCE"/>
    <x:s v="CRISTINA"/>
    <x:s v="0071365"/>
    <x:s v="926587211"/>
    <x:s v="ALMONACID SUAREZ JIM EDWARD"/>
    <x:s v="8898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40621858"/>
    <x:s v="0011-0616-0200286900"/>
    <x:n v="30"/>
  </x:r>
  <x:r>
    <x:d v="2026-07-20T00:00:00Z"/>
    <x:x v="1"/>
    <x:s v="101808"/>
    <x:s v="BO"/>
    <x:s v="4194"/>
    <x:s v="CO"/>
    <x:s v="BO-4194"/>
    <x:s v="VALLEJOS SALAZAR ANA MARIA"/>
    <x:s v="08113467"/>
    <x:s v="RUIZ ROJAS PAUBLO ENRIQUE"/>
    <x:s v="CONSULTORIO CUBANO COMAS"/>
    <x:s v="CRISTINA"/>
    <x:s v="0071424"/>
    <x:s v="980814191"/>
    <x:s v="VALLEJOS SALAZAR ANA MARIA"/>
    <x:s v="89101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2903716"/>
    <x:s v="191-91415089071"/>
    <x:n v="50"/>
  </x:r>
  <x:r>
    <x:d v="2026-07-20T00:00:00Z"/>
    <x:x v="1"/>
    <x:s v="101702"/>
    <x:s v="BO"/>
    <x:s v="5828"/>
    <x:s v="CO"/>
    <x:s v="BO-5828"/>
    <x:s v="SANTOS VALENTIN ROBERTO"/>
    <x:s v="07404651"/>
    <x:s v="LLERENA LOYOLA ELSA YESENIA"/>
    <x:s v="CLINICA MAISON DE SANTE"/>
    <x:s v="CRISTINA"/>
    <x:s v="0071385"/>
    <x:s v="971144460"/>
    <x:s v="SANTOS VALENTIN ROBERTO"/>
    <x:s v="89023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8418895"/>
    <x:s v="0011-0197-0200171031"/>
    <x:n v="30"/>
  </x:r>
  <x:r>
    <x:d v="2026-07-20T00:00:00Z"/>
    <x:x v="1"/>
    <x:s v="101702"/>
    <x:s v="BO"/>
    <x:s v="5828"/>
    <x:s v="CO"/>
    <x:s v="BO-5828"/>
    <x:s v="SANTOS VALENTIN ROBERTO"/>
    <x:s v="07404651"/>
    <x:s v="LLERENA LOYOLA ELSA YESENIA"/>
    <x:s v="CLINICA MAISON DE SANTE"/>
    <x:s v="CRISTINA"/>
    <x:s v="0071385"/>
    <x:s v="971144460"/>
    <x:s v="SANTOS VALENTIN ROBERTO"/>
    <x:s v="89023"/>
    <x:x v="5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8418895"/>
    <x:s v="0011-0197-0200171031"/>
    <x:n v="30"/>
  </x:r>
  <x:r>
    <x:d v="2026-07-20T00:00:00Z"/>
    <x:x v="1"/>
    <x:s v="101702"/>
    <x:s v="BO"/>
    <x:s v="5828"/>
    <x:s v="CO"/>
    <x:s v="BO-5828"/>
    <x:s v="SANTOS VALENTIN ROBERTO"/>
    <x:s v="07404651"/>
    <x:s v="LLERENA LOYOLA ELSA YESENIA"/>
    <x:s v="CLINICA MAISON DE SANTE"/>
    <x:s v="CRISTINA"/>
    <x:s v="0071385"/>
    <x:s v="971144460"/>
    <x:s v="SANTOS VALENTIN ROBERTO"/>
    <x:s v="89023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8418895"/>
    <x:s v="0011-0197-0200171031"/>
    <x:n v="50"/>
  </x:r>
  <x:r>
    <x:d v="2026-07-21T00:00:00Z"/>
    <x:x v="1"/>
    <x:s v="101890"/>
    <x:s v="FA"/>
    <x:s v="562"/>
    <x:s v="CO"/>
    <x:s v="FA-562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89116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7-21T00:00:00Z"/>
    <x:x v="1"/>
    <x:s v="101890"/>
    <x:s v="FA"/>
    <x:s v="562"/>
    <x:s v="CO"/>
    <x:s v="FA-562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89116"/>
    <x:x v="30"/>
    <x:n v="1"/>
    <x:s v="PRECISA"/>
    <x:s v="INSTITUTO MEDICO QUIRURGICO AREQUIPA S.A"/>
    <x:s v="INSTITUTO MEDICO QUIRURGICO AREQUIPA S.A"/>
    <x:s v="L.CENTRO"/>
    <x:s v="ACABRERA"/>
    <x:n v="1305.08"/>
    <x:s v="LN. CIRUGIA"/>
    <x:s v="CIAS. DE SEGURO"/>
    <x:s v="CENTRO"/>
    <x:n v="950133748"/>
    <x:s v="191-9953047026"/>
    <x:m/>
  </x:r>
  <x:r>
    <x:d v="2026-07-21T00:00:00Z"/>
    <x:x v="1"/>
    <x:s v="101892"/>
    <x:s v="FA"/>
    <x:s v="1070"/>
    <x:s v="CO"/>
    <x:s v="FA-1070"/>
    <x:s v="QUIÑONES ROBLES BERNABE GREGORIO"/>
    <x:s v="08739495"/>
    <x:s v="VILLAR CURAHUA MARCELA ALEJANDRA"/>
    <x:s v="GAMARRA SALUD"/>
    <x:s v="CRISTINA"/>
    <x:s v="0036451"/>
    <x:s v="993223874"/>
    <x:s v="GAMARRA HEALTHCARE CENTER S.A.C."/>
    <x:s v="89176"/>
    <x:x v="11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n v="950133748"/>
    <x:s v="191-9953047026"/>
    <x:m/>
  </x:r>
  <x:r>
    <x:d v="2026-07-21T00:00:00Z"/>
    <x:x v="1"/>
    <x:s v="101830"/>
    <x:s v="BO"/>
    <x:s v="5843"/>
    <x:s v="CO"/>
    <x:s v="BO-5843"/>
    <x:s v="ROMERO MEZA VDA D PALLAROSO ANITA JUDITH"/>
    <x:s v="07202039"/>
    <x:s v="SAPAICO VICUÑA AUGUSTO RODRIGO"/>
    <x:s v="HOSPITAL LOAYZA"/>
    <x:s v="CRISTINA"/>
    <x:s v="0043602"/>
    <x:s v="997156394"/>
    <x:s v="ROMERO MEZA VDA D PALLAROSO ANITA JUDITH"/>
    <x:s v="89117"/>
    <x:x v="7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7145685"/>
    <x:s v="0011-0189-0200496417"/>
    <x:n v="30"/>
  </x:r>
  <x:r>
    <x:d v="2026-07-21T00:00:00Z"/>
    <x:x v="1"/>
    <x:s v="101830"/>
    <x:s v="BO"/>
    <x:s v="5843"/>
    <x:s v="CO"/>
    <x:s v="BO-5843"/>
    <x:s v="ROMERO MEZA VDA D PALLAROSO ANITA JUDITH"/>
    <x:s v="07202039"/>
    <x:s v="SAPAICO VICUÑA AUGUSTO RODRIGO"/>
    <x:s v="HOSPITAL LOAYZA"/>
    <x:s v="CRISTINA"/>
    <x:s v="0043602"/>
    <x:s v="997156394"/>
    <x:s v="ROMERO MEZA VDA D PALLAROSO ANITA JUDITH"/>
    <x:s v="89117"/>
    <x:x v="8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7145685"/>
    <x:s v="0011-0189-0200496417"/>
    <x:n v="30"/>
  </x:r>
  <x:r>
    <x:d v="2026-07-21T00:00:00Z"/>
    <x:x v="1"/>
    <x:s v="101830"/>
    <x:s v="BO"/>
    <x:s v="5843"/>
    <x:s v="CO"/>
    <x:s v="BO-5843"/>
    <x:s v="ROMERO MEZA VDA D PALLAROSO ANITA JUDITH"/>
    <x:s v="07202039"/>
    <x:s v="SAPAICO VICUÑA AUGUSTO RODRIGO"/>
    <x:s v="HOSPITAL LOAYZA"/>
    <x:s v="CRISTINA"/>
    <x:s v="0043602"/>
    <x:s v="997156394"/>
    <x:s v="ROMERO MEZA VDA D PALLAROSO ANITA JUDITH"/>
    <x:s v="89117"/>
    <x:x v="12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7145685"/>
    <x:s v="0011-0189-0200496417"/>
    <x:n v="30"/>
  </x:r>
  <x:r>
    <x:d v="2026-07-21T00:00:00Z"/>
    <x:x v="1"/>
    <x:s v="101839"/>
    <x:s v="BO"/>
    <x:s v="12018"/>
    <x:s v="CO"/>
    <x:s v="BO-12018"/>
    <x:s v="GUILLERMO CALERO DE CARBAJAL TEODORA JUL"/>
    <x:s v="15699810"/>
    <x:s v="FIERRO LEANDRO"/>
    <x:s v="POLICLÍNICO DIVINO NIÑO JESÚS"/>
    <x:s v="CRISTINA"/>
    <x:s v="0071388"/>
    <x:s v="948050520"/>
    <x:s v="GUILLERMO CALERO DE CARBAJAL TEODORA JUL"/>
    <x:s v="89133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21T00:00:00Z"/>
    <x:x v="1"/>
    <x:s v="101849"/>
    <x:s v="BO"/>
    <x:s v="5846"/>
    <x:s v="CO"/>
    <x:s v="BO-5846"/>
    <x:s v="ESPICHAN AVALOS LAZARO FERNANDO"/>
    <x:s v="15414846"/>
    <x:s v="FIERRO LEANDRO"/>
    <x:s v="POLICLÍNICO DIVINO NIÑO JESÚS"/>
    <x:s v="CRISTINA"/>
    <x:s v="0071410"/>
    <x:s v="998 467 0"/>
    <x:s v="ESPICHAN AVALOS LAZARO FERNANDO"/>
    <x:s v="89138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7-21T00:00:00Z"/>
    <x:x v="1"/>
    <x:s v="101882"/>
    <x:s v="BO"/>
    <x:s v="10241"/>
    <x:s v="CO"/>
    <x:s v="BO-10241"/>
    <x:s v="GUILLERMO CALERO DE CARBAJAL TEODORA JUL"/>
    <x:s v="15699810"/>
    <x:s v="FIERRO LEANDRO"/>
    <x:s v="POLICLÍNICO DIVINO NIÑO JESÚS"/>
    <x:s v="CRISTINA"/>
    <x:s v="0071388"/>
    <x:s v="948050520"/>
    <x:s v="GUILLERMO CALERO DE CARBAJAL TEODORA JUL"/>
    <x:s v="89168"/>
    <x:x v="32"/>
    <x:n v="2"/>
    <x:s v="PRECISA"/>
    <x:s v="INSTITUTO MEDICO QUIRURGICO AREQUIPA S.A"/>
    <x:s v="INSTITUTO MEDICO QUIRURGICO AREQUIPA S.A"/>
    <x:s v="L.CENTRO"/>
    <x:s v="LROSALES"/>
    <x:n v="4.24"/>
    <x:s v="LN. FARMACIA"/>
    <x:s v="CIAS. DE SEGURO"/>
    <x:s v="CENTRO"/>
    <x:m/>
    <x:m/>
    <x:m/>
  </x:r>
  <x:r>
    <x:d v="2026-07-21T00:00:00Z"/>
    <x:x v="1"/>
    <x:s v="101889"/>
    <x:s v="FA"/>
    <x:s v="1069"/>
    <x:s v="CO"/>
    <x:s v="FA-1069"/>
    <x:s v="GUILLERMO CALERO DE CARBAJAL TEODORA JUL"/>
    <x:s v="15699810"/>
    <x:s v="FIERRO LEANDRO"/>
    <x:s v="POLICLÍNICO DIVINO NIÑO JESÚS"/>
    <x:s v="CRISTINA"/>
    <x:s v="0071388"/>
    <x:s v="948050520"/>
    <x:s v="GRUPO MEDICO INTEGRAL SOCIEDAD ANONIMA CERRADA"/>
    <x:s v="89144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21T00:00:00Z"/>
    <x:x v="1"/>
    <x:s v="101889"/>
    <x:s v="FA"/>
    <x:s v="1069"/>
    <x:s v="CO"/>
    <x:s v="FA-1069"/>
    <x:s v="GUILLERMO CALERO DE CARBAJAL TEODORA JUL"/>
    <x:s v="15699810"/>
    <x:s v="FIERRO LEANDRO"/>
    <x:s v="POLICLÍNICO DIVINO NIÑO JESÚS"/>
    <x:s v="CRISTINA"/>
    <x:s v="0071388"/>
    <x:s v="948050520"/>
    <x:s v="GRUPO MEDICO INTEGRAL SOCIEDAD ANONIMA CERRADA"/>
    <x:s v="89144"/>
    <x:x v="3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7-21T00:00:00Z"/>
    <x:x v="1"/>
    <x:s v="101863"/>
    <x:s v="BO"/>
    <x:s v="12023"/>
    <x:s v="CO"/>
    <x:s v="BO-12023"/>
    <x:s v="ROJAS CASTAÑEDA ANSELMO VIDAL"/>
    <x:s v="22071798"/>
    <x:s v="DULANTO CARLOS"/>
    <x:s v="CONSULTORIO PARTICULAR"/>
    <x:s v="CRISTINA"/>
    <x:s v="0071458"/>
    <x:s v="941339376"/>
    <x:s v="ROJAS CASTAÑEDA ANSELMO VIDAL"/>
    <x:s v="89148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71430775"/>
    <x:m/>
    <x:n v="30"/>
  </x:r>
  <x:r>
    <x:d v="2026-07-21T00:00:00Z"/>
    <x:x v="1"/>
    <x:s v="101863"/>
    <x:s v="BO"/>
    <x:s v="12023"/>
    <x:s v="CO"/>
    <x:s v="BO-12023"/>
    <x:s v="ROJAS CASTAÑEDA ANSELMO VIDAL"/>
    <x:s v="22071798"/>
    <x:s v="DULANTO CARLOS"/>
    <x:s v="CONSULTORIO PARTICULAR"/>
    <x:s v="CRISTINA"/>
    <x:s v="0071458"/>
    <x:s v="941339376"/>
    <x:s v="ROJAS CASTAÑEDA ANSELMO VIDAL"/>
    <x:s v="89148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71430775"/>
    <x:m/>
    <x:n v="30"/>
  </x:r>
  <x:r>
    <x:d v="2026-07-22T00:00:00Z"/>
    <x:x v="1"/>
    <x:s v="101946"/>
    <x:s v="BO"/>
    <x:s v="12034"/>
    <x:s v="CO"/>
    <x:s v="BO-12034"/>
    <x:s v="ESTRADA PACHERRE JOSE SANTOS"/>
    <x:s v="08737645"/>
    <x:s v="CRISPIN MORALES NANCY JENNY"/>
    <x:s v="HOSPITAL ALMENARA"/>
    <x:s v="CRISTINA"/>
    <x:s v="0071387"/>
    <x:s v="999999999"/>
    <x:s v="ESTRADA PACHERRE JOSE SANTOS"/>
    <x:s v="89218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n v="978789268"/>
    <x:s v="193-90416675072"/>
    <x:m/>
  </x:r>
  <x:r>
    <x:d v="2026-07-22T00:00:00Z"/>
    <x:x v="1"/>
    <x:s v="101949"/>
    <x:s v="BO"/>
    <x:s v="12035"/>
    <x:s v="CO"/>
    <x:s v="BO-12035"/>
    <x:s v="MANCILLA DE LA CRUZ JOSE PERCY"/>
    <x:s v="40908536"/>
    <x:s v="CRISPIN MORALES NANCY JENNY"/>
    <x:s v="HOSPITAL ALMENARA"/>
    <x:s v="CRISTINA"/>
    <x:s v="0071420"/>
    <x:s v="989312010"/>
    <x:s v="MANCILLA DE LA CRUZ JOSE PERCY"/>
    <x:s v="89159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8789268"/>
    <x:s v="193-90416675072"/>
    <x:m/>
  </x:r>
  <x:r>
    <x:d v="2026-07-22T00:00:00Z"/>
    <x:x v="1"/>
    <x:s v="101949"/>
    <x:s v="BO"/>
    <x:s v="12035"/>
    <x:s v="CO"/>
    <x:s v="BO-12035"/>
    <x:s v="MANCILLA DE LA CRUZ JOSE PERCY"/>
    <x:s v="40908536"/>
    <x:s v="CRISPIN MORALES NANCY JENNY"/>
    <x:s v="HOSPITAL ALMENARA"/>
    <x:s v="CRISTINA"/>
    <x:s v="0071420"/>
    <x:s v="989312010"/>
    <x:s v="MANCILLA DE LA CRUZ JOSE PERCY"/>
    <x:s v="89159"/>
    <x:x v="30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n v="978789268"/>
    <x:s v="193-90416675072"/>
    <x:m/>
  </x:r>
  <x:r>
    <x:d v="2026-07-22T00:00:00Z"/>
    <x:x v="1"/>
    <x:s v="101955"/>
    <x:s v="BO"/>
    <x:s v="12036"/>
    <x:s v="CO"/>
    <x:s v="BO-12036"/>
    <x:s v="ESTRADA PACHERRE JOSE SANTOS"/>
    <x:s v="08737645"/>
    <x:s v="CRISPIN MORALES NANCY JENNY"/>
    <x:s v="HOSPITAL ALMENARA"/>
    <x:s v="CRISTINA"/>
    <x:s v="0071387"/>
    <x:s v="999999999"/>
    <x:s v="ESTRADA PACHERRE JOSE SANTOS"/>
    <x:s v="89145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8789268"/>
    <x:s v="193-90416675072"/>
    <x:m/>
  </x:r>
  <x:r>
    <x:d v="2026-07-22T00:00:00Z"/>
    <x:x v="1"/>
    <x:s v="101955"/>
    <x:s v="BO"/>
    <x:s v="12036"/>
    <x:s v="CO"/>
    <x:s v="BO-12036"/>
    <x:s v="ESTRADA PACHERRE JOSE SANTOS"/>
    <x:s v="08737645"/>
    <x:s v="CRISPIN MORALES NANCY JENNY"/>
    <x:s v="HOSPITAL ALMENARA"/>
    <x:s v="CRISTINA"/>
    <x:s v="0071387"/>
    <x:s v="999999999"/>
    <x:s v="ESTRADA PACHERRE JOSE SANTOS"/>
    <x:s v="89145"/>
    <x:x v="30"/>
    <x:n v="1"/>
    <x:s v="PRECISA"/>
    <x:s v="INSTITUTO MEDICO QUIRURGICO AREQUIPA S.A"/>
    <x:s v="INSTITUTO MEDICO QUIRURGICO AREQUIPA S.A"/>
    <x:s v="L.CENTRO"/>
    <x:s v="LMAGAN"/>
    <x:n v="1050.85"/>
    <x:s v="LN. CIRUGIA"/>
    <x:s v="CIAS. DE SEGURO"/>
    <x:s v="CENTRO"/>
    <x:n v="978789268"/>
    <x:s v="193-90416675072"/>
    <x:m/>
  </x:r>
  <x:r>
    <x:d v="2026-07-22T00:00:00Z"/>
    <x:x v="1"/>
    <x:s v="101983"/>
    <x:s v="FA"/>
    <x:s v="1071"/>
    <x:s v="CO"/>
    <x:s v="FA-1071"/>
    <x:s v="CARDENAS DEL PINO MARIA LUISA"/>
    <x:s v="10478873"/>
    <x:s v="PALACIOS URIBE PAMELA CAROLINA "/>
    <x:s v="CONSULTORIO PARTICULAR"/>
    <x:s v="CRISTINA"/>
    <x:s v="0071419"/>
    <x:s v="989821523"/>
    <x:s v="GRUPO MVP S.A.C."/>
    <x:s v="89161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94872106"/>
    <x:s v="193-95965374018"/>
    <x:m/>
  </x:r>
  <x:r>
    <x:d v="2026-07-22T00:00:00Z"/>
    <x:x v="1"/>
    <x:s v="101983"/>
    <x:s v="FA"/>
    <x:s v="1071"/>
    <x:s v="CO"/>
    <x:s v="FA-1071"/>
    <x:s v="CARDENAS DEL PINO MARIA LUISA"/>
    <x:s v="10478873"/>
    <x:s v="PALACIOS URIBE PAMELA CAROLINA "/>
    <x:s v="CONSULTORIO PARTICULAR"/>
    <x:s v="CRISTINA"/>
    <x:s v="0071419"/>
    <x:s v="989821523"/>
    <x:s v="GRUPO MVP S.A.C."/>
    <x:s v="89161"/>
    <x:x v="30"/>
    <x:n v="1"/>
    <x:s v="PRECISA"/>
    <x:s v="INSTITUTO MEDICO QUIRURGICO AREQUIPA S.A"/>
    <x:s v="INSTITUTO MEDICO QUIRURGICO AREQUIPA S.A"/>
    <x:s v="L.CENTRO"/>
    <x:s v="LMAGAN"/>
    <x:n v="279.66"/>
    <x:s v="LN. CIRUGIA"/>
    <x:s v="CIAS. DE SEGURO"/>
    <x:s v="CENTRO"/>
    <x:n v="994872106"/>
    <x:s v="193-95965374018"/>
    <x:m/>
  </x:r>
  <x:r>
    <x:d v="2026-07-22T00:00:00Z"/>
    <x:x v="1"/>
    <x:s v="101972"/>
    <x:s v="BO"/>
    <x:s v="12038"/>
    <x:s v="CO"/>
    <x:s v="BO-12038"/>
    <x:s v="SUAREZ BANOS JOSE MIGUEL ISRAEL"/>
    <x:s v="78068688"/>
    <x:s v="RODRIGUEZ GONZALES LUZ VICTORIA"/>
    <x:s v="HOSPITAL ALMENARA"/>
    <x:s v="CRISTINA"/>
    <x:s v="0071516"/>
    <x:s v="966353089"/>
    <x:s v="SUAREZ BANOS JOSE MIGUEL ISRAEL"/>
    <x:s v="89243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0440701"/>
    <x:m/>
    <x:n v="50"/>
  </x:r>
  <x:r>
    <x:d v="2026-07-22T00:00:00Z"/>
    <x:x v="1"/>
    <x:s v="101980"/>
    <x:s v="BO"/>
    <x:s v="12039"/>
    <x:s v="CO"/>
    <x:s v="BO-12039"/>
    <x:s v="ROJAS VALENZUELA ISMAEL ZACARIAS"/>
    <x:s v="20649998"/>
    <x:s v="VELIZ AMERICO"/>
    <x:m/>
    <x:s v="CRISTINA"/>
    <x:s v="0071505"/>
    <x:s v="964494343"/>
    <x:s v="ROJAS VALENZUELA ISMAEL ZACARIAS"/>
    <x:s v="89250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22T00:00:00Z"/>
    <x:x v="1"/>
    <x:s v="101984"/>
    <x:s v="FA"/>
    <x:s v="1072"/>
    <x:s v="CO"/>
    <x:s v="FA-1072"/>
    <x:s v="ESCOBEDO LARA DE HERRERA NORBERTA"/>
    <x:s v="09220286"/>
    <x:s v="PALACIOS URIBE PAMELA CAROLINA "/>
    <x:s v="CONSULTORIO PARTICULAR"/>
    <x:s v="CRISTINA"/>
    <x:s v="0070433"/>
    <x:s v="999999999"/>
    <x:s v="GRUPO MVP S.A.C."/>
    <x:s v="89162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94872106"/>
    <x:s v="193-95965374018"/>
    <x:m/>
  </x:r>
  <x:r>
    <x:d v="2026-07-22T00:00:00Z"/>
    <x:x v="1"/>
    <x:s v="101984"/>
    <x:s v="FA"/>
    <x:s v="1072"/>
    <x:s v="CO"/>
    <x:s v="FA-1072"/>
    <x:s v="ESCOBEDO LARA DE HERRERA NORBERTA"/>
    <x:s v="09220286"/>
    <x:s v="PALACIOS URIBE PAMELA CAROLINA "/>
    <x:s v="CONSULTORIO PARTICULAR"/>
    <x:s v="CRISTINA"/>
    <x:s v="0070433"/>
    <x:s v="999999999"/>
    <x:s v="GRUPO MVP S.A.C."/>
    <x:s v="89162"/>
    <x:x v="30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n v="994872106"/>
    <x:s v="193-95965374018"/>
    <x:m/>
  </x:r>
  <x:r>
    <x:d v="2026-07-22T00:00:00Z"/>
    <x:x v="1"/>
    <x:s v="102044"/>
    <x:s v="BO"/>
    <x:s v="4220"/>
    <x:s v="CO"/>
    <x:s v="BO-4220"/>
    <x:s v="ALEGRE ZEA JORGE ANTONY"/>
    <x:s v="76903875"/>
    <x:s v="JAVE ESCALANTE LIZETH"/>
    <x:s v="HOSPITAL LOAYZA"/>
    <x:s v="CRISTINA"/>
    <x:s v="0071545"/>
    <x:s v="964332546"/>
    <x:s v="ALEGRE ZEA JORGE ANTONY"/>
    <x:s v="89297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9111362"/>
    <x:s v="200-3076497260"/>
    <x:n v="50"/>
  </x:r>
  <x:r>
    <x:d v="2026-07-24T00:00:00Z"/>
    <x:x v="1"/>
    <x:s v="102071"/>
    <x:s v="BO"/>
    <x:s v="12051"/>
    <x:s v="CO"/>
    <x:s v="BO-12051"/>
    <x:s v="NECIOSUP CARVALLO ROSA DEL PILAR"/>
    <x:s v="10441168"/>
    <x:s v="SANCHEZ CUEVA SERGIO"/>
    <x:m/>
    <x:s v="CRISTINA"/>
    <x:s v="0071364"/>
    <x:s v="956449330"/>
    <x:s v="NECIOSUP CARVALLO ROSA DEL PILAR"/>
    <x:s v="89314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7-24T00:00:00Z"/>
    <x:x v="1"/>
    <x:s v="102117"/>
    <x:s v="BO"/>
    <x:s v="12054"/>
    <x:s v="CO"/>
    <x:s v="BO-12054"/>
    <x:s v="SANCHEZ CABANILLAS DAGOBERTO RICARDO"/>
    <x:s v="08841761"/>
    <x:s v="FIERRO LEANDRO"/>
    <x:s v="POLICLÍNICO DIVINO NIÑO JESÚS"/>
    <x:s v="CRISTINA"/>
    <x:s v="0070862"/>
    <x:s v="+584126215514"/>
    <x:s v="SANCHEZ CABANILLAS DAGOBERTO RICARDO"/>
    <x:s v="89355"/>
    <x:x v="14"/>
    <x:n v="1"/>
    <x:s v="PRECISA"/>
    <x:s v="INSTITUTO MEDICO QUIRURGICO AREQUIPA S.A"/>
    <x:s v="INSTITUTO MEDICO QUIRURGICO AREQUIPA S.A"/>
    <x:s v="L.CENTRO"/>
    <x:s v="LMAGAN"/>
    <x:n v="84.75"/>
    <x:s v="LN. EXAMENES"/>
    <x:s v="CIAS. DE SEGURO"/>
    <x:s v="CENTRO"/>
    <x:m/>
    <x:m/>
    <x:m/>
  </x:r>
  <x:r>
    <x:d v="2026-07-24T00:00:00Z"/>
    <x:x v="1"/>
    <x:s v="102134"/>
    <x:s v="FA"/>
    <x:s v="1073"/>
    <x:s v="CO"/>
    <x:s v="FA-1073"/>
    <x:s v="PRADO LARRAIN ALBERTO"/>
    <x:s v="07755903"/>
    <x:s v="FERNANDEZ GUTIERREZ OLGA PATRICIA"/>
    <x:s v="CONSULTORIO PARTICULAR"/>
    <x:s v="CRISTINA"/>
    <x:s v="0071591"/>
    <x:s v="922973385"/>
    <x:s v="VEFER OFTALMOLOGOS S.A.C."/>
    <x:s v="89367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n v="982536223"/>
    <x:s v="107-3174605363"/>
    <x:m/>
  </x:r>
  <x:r>
    <x:d v="2026-07-25T00:00:00Z"/>
    <x:x v="1"/>
    <x:s v="102217"/>
    <x:s v="FA"/>
    <x:s v="1074"/>
    <x:s v="CO"/>
    <x:s v="FA-1074"/>
    <x:s v="SANCHEZ CABANILLAS DAGOBERTO RICARDO"/>
    <x:s v="08841761"/>
    <x:s v="FIERRO LEANDRO"/>
    <x:s v="POLICLÍNICO DIVINO NIÑO JESÚS"/>
    <x:s v="CRISTINA"/>
    <x:s v="0070862"/>
    <x:s v="+584126215514"/>
    <x:s v="GRUPO MEDICO INTEGRAL SOCIEDAD ANONIMA CERRADA"/>
    <x:s v="89379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7-25T00:00:00Z"/>
    <x:x v="1"/>
    <x:s v="102217"/>
    <x:s v="FA"/>
    <x:s v="1074"/>
    <x:s v="CO"/>
    <x:s v="FA-1074"/>
    <x:s v="SANCHEZ CABANILLAS DAGOBERTO RICARDO"/>
    <x:s v="08841761"/>
    <x:s v="FIERRO LEANDRO"/>
    <x:s v="POLICLÍNICO DIVINO NIÑO JESÚS"/>
    <x:s v="CRISTINA"/>
    <x:s v="0070862"/>
    <x:s v="+584126215514"/>
    <x:s v="GRUPO MEDICO INTEGRAL SOCIEDAD ANONIMA CERRADA"/>
    <x:s v="89379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7-25T00:00:00Z"/>
    <x:x v="1"/>
    <x:s v="102253"/>
    <x:s v="BO"/>
    <x:s v="12068"/>
    <x:s v="CO"/>
    <x:s v="BO-12068"/>
    <x:s v="MONTENEGRO TUESTA KEVIN ANTONY"/>
    <x:s v="74390894"/>
    <x:s v="BARRETO VIRTO JOSE EMMANUEL"/>
    <x:s v="HOSPITAL DE POLICIA"/>
    <x:s v="CRISTINA"/>
    <x:s v="0063418"/>
    <x:s v="973914900"/>
    <x:s v="MONTENEGRO TUESTA KEVIN ANTONY"/>
    <x:s v="89399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3914900"/>
    <x:s v="0011-0057-0223462767"/>
    <x:m/>
  </x:r>
  <x:r>
    <x:d v="2026-07-25T00:00:00Z"/>
    <x:x v="1"/>
    <x:s v="102253"/>
    <x:s v="BO"/>
    <x:s v="12068"/>
    <x:s v="CO"/>
    <x:s v="BO-12068"/>
    <x:s v="MONTENEGRO TUESTA KEVIN ANTONY"/>
    <x:s v="74390894"/>
    <x:s v="BARRETO VIRTO JOSE EMMANUEL"/>
    <x:s v="HOSPITAL DE POLICIA"/>
    <x:s v="CRISTINA"/>
    <x:s v="0063418"/>
    <x:s v="973914900"/>
    <x:s v="MONTENEGRO TUESTA KEVIN ANTONY"/>
    <x:s v="89399"/>
    <x:x v="3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n v="973914900"/>
    <x:s v="0011-0057-0223462767"/>
    <x:m/>
  </x:r>
  <x:r>
    <x:d v="2026-07-25T00:00:00Z"/>
    <x:x v="1"/>
    <x:s v="102257"/>
    <x:s v="BO"/>
    <x:s v="12069"/>
    <x:s v="CO"/>
    <x:s v="BO-12069"/>
    <x:s v="VILCA SANCHEZ CARLOS RICARDO"/>
    <x:s v="18211536"/>
    <x:m/>
    <x:m/>
    <x:s v="CRISTINA"/>
    <x:s v="0071650"/>
    <x:s v="940412185"/>
    <x:s v="VILCA SANCHEZ CARLOS RICARDO"/>
    <x:s v="89477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7-27T00:00:00Z"/>
    <x:x v="1"/>
    <x:s v="102340"/>
    <x:s v="BO"/>
    <x:s v="4706"/>
    <x:s v="CO"/>
    <x:s v="BO-4706"/>
    <x:s v="HUAMAN SANCHEZ WILFREDO"/>
    <x:s v="09030972"/>
    <x:m/>
    <x:m/>
    <x:s v="CRISTINA"/>
    <x:s v="0071678"/>
    <x:s v="980470455"/>
    <x:s v="HUAMAN SANCHEZ WILFREDO"/>
    <x:s v="89526"/>
    <x:x v="1"/>
    <x:n v="1"/>
    <x:s v="PRECISA LN"/>
    <x:s v="POR ASIGNAR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7-27T00:00:00Z"/>
    <x:x v="1"/>
    <x:s v="102391"/>
    <x:s v="BO"/>
    <x:s v="12086"/>
    <x:s v="CO"/>
    <x:s v="BO-12086"/>
    <x:s v="MELENDEZ VILLANUEVA YULISA EDITH"/>
    <x:s v="15641029"/>
    <x:m/>
    <x:m/>
    <x:s v="CRISTINA"/>
    <x:s v="0071692"/>
    <x:s v="989823153"/>
    <x:s v="MELENDEZ VILLANUEVA YULISA EDITH"/>
    <x:s v="89570"/>
    <x:x v="33"/>
    <x:n v="1"/>
    <x:s v="PRECISA"/>
    <x:s v="INSTITUTO MEDICO QUIRURGICO AREQUIPA S.A"/>
    <x:s v="INSTITUTO MEDICO QUIRURGICO AREQUIPA S.A"/>
    <x:s v="L.CENTRO"/>
    <x:s v="LMAGAN"/>
    <x:n v="152.54"/>
    <x:s v="LN. PROCEDIMIENTO"/>
    <x:s v="CIAS. DE SEGURO"/>
    <x:s v="CENTRO"/>
    <x:m/>
    <x:m/>
    <x:m/>
  </x:r>
  <x:r>
    <x:d v="2026-07-27T00:00:00Z"/>
    <x:x v="1"/>
    <x:s v="102396"/>
    <x:s v="BO"/>
    <x:s v="12089"/>
    <x:s v="CO"/>
    <x:s v="BO-12089"/>
    <x:s v="LAINEZ CHAVEZ JAMES ALEXANDER"/>
    <x:s v="76180568"/>
    <x:m/>
    <x:m/>
    <x:s v="CRISTINA"/>
    <x:s v="0071729"/>
    <x:s v="980843472"/>
    <x:s v="LAINEZ CHAVEZ JAMES ALEXANDER"/>
    <x:s v="89574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7-27T00:00:00Z"/>
    <x:x v="1"/>
    <x:s v="2412"/>
    <x:s v="NC"/>
    <x:s v="12089"/>
    <x:s v="CR"/>
    <x:s v="NC-12089"/>
    <x:s v="LAINEZ CHAVEZ JAMES ALEXANDER"/>
    <x:s v="76180568"/>
    <x:m/>
    <x:m/>
    <x:s v="CR"/>
    <x:s v="0071729"/>
    <x:s v="980843472"/>
    <x:s v="LAINEZ CHAVEZ JAMES ALEXANDER"/>
    <x:s v="89574"/>
    <x:x v="12"/>
    <x:n v="1"/>
    <x:s v="PRECISA"/>
    <x:s v="INSTITUTO MEDICO QUIRURGICO AREQUIPA S.A"/>
    <x:s v="INSTITUTO MEDICO QUIRURGICO AREQUIPA S.A"/>
    <x:s v="L.CENTRO"/>
    <x:s v="LMAGAN"/>
    <x:n v="-152.54"/>
    <x:s v="LN. EXAMENES"/>
    <x:s v="CIAS. DE SEGURO"/>
    <x:s v="CENTRO"/>
    <x:m/>
    <x:m/>
    <x:n v="30"/>
  </x:r>
  <x:r>
    <x:d v="2026-07-27T00:00:00Z"/>
    <x:x v="1"/>
    <x:s v="102432"/>
    <x:s v="BO"/>
    <x:s v="12103"/>
    <x:s v="CO"/>
    <x:s v="BO-12103"/>
    <x:s v="SAAVEDRA SICCHA LUIS ALBERTO"/>
    <x:s v="60502334"/>
    <x:m/>
    <x:m/>
    <x:s v="CRISTINA"/>
    <x:s v="0071744"/>
    <x:s v="930100290"/>
    <x:s v="SAAVEDRA SICCHA LUIS ALBERTO"/>
    <x:s v="89611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27T00:00:00Z"/>
    <x:x v="1"/>
    <x:s v="102432"/>
    <x:s v="BO"/>
    <x:s v="12103"/>
    <x:s v="CO"/>
    <x:s v="BO-12103"/>
    <x:s v="SAAVEDRA SICCHA LUIS ALBERTO"/>
    <x:s v="60502334"/>
    <x:m/>
    <x:m/>
    <x:s v="CRISTINA"/>
    <x:s v="0071744"/>
    <x:s v="930100290"/>
    <x:s v="SAAVEDRA SICCHA LUIS ALBERTO"/>
    <x:s v="89611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7-30T00:00:00Z"/>
    <x:x v="1"/>
    <x:s v="102466"/>
    <x:s v="BO"/>
    <x:s v="4730"/>
    <x:s v="CO"/>
    <x:s v="BO-4730"/>
    <x:s v="SEBASTIANI RONQUILLO MARIA LUISA"/>
    <x:s v="43708195"/>
    <x:m/>
    <x:m/>
    <x:s v="CRISTINA"/>
    <x:s v="0056308"/>
    <x:s v="989427258"/>
    <x:s v="SEBASTIANI RONQUILLO MARIA LUISA"/>
    <x:s v="89638"/>
    <x:x v="12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m/>
    <x:m/>
    <x:n v="30"/>
  </x:r>
  <x:r>
    <x:d v="2026-07-30T00:00:00Z"/>
    <x:x v="1"/>
    <x:s v="102485"/>
    <x:s v="BO"/>
    <x:s v="5899"/>
    <x:s v="CO"/>
    <x:s v="BO-5899"/>
    <x:s v="CASTILLO CHAVEZ VDA DE MOLLAN ANTONIA"/>
    <x:s v="07394459"/>
    <x:m/>
    <x:m/>
    <x:s v="CRISTINA"/>
    <x:s v="0066488"/>
    <x:s v="901164946"/>
    <x:s v="CASTILLO CHAVEZ VDA DE MOLLAN ANTONIA"/>
    <x:s v="89653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7-30T00:00:00Z"/>
    <x:x v="1"/>
    <x:s v="102502"/>
    <x:s v="BO"/>
    <x:s v="4733"/>
    <x:s v="CO"/>
    <x:s v="BO-4733"/>
    <x:s v="QUIROZ CABRERA JUANA YSIDORA"/>
    <x:s v="16698130"/>
    <x:m/>
    <x:m/>
    <x:s v="CRISTINA"/>
    <x:s v="0058152"/>
    <x:s v="929362094"/>
    <x:s v="QUIROZ CABRERA JUANA YSIDORA"/>
    <x:s v="89662"/>
    <x:x v="2"/>
    <x:n v="1"/>
    <x:s v="PRECISA"/>
    <x:s v="INSTITUTO MEDICO QUIRURGICO AREQUIPA S.A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7-30T00:00:00Z"/>
    <x:x v="1"/>
    <x:s v="102563"/>
    <x:s v="BO"/>
    <x:s v="5914"/>
    <x:s v="CO"/>
    <x:s v="BO-5914"/>
    <x:s v="CORNEJO PEREZ TEODORO INOCENTE"/>
    <x:s v="09169334"/>
    <x:m/>
    <x:m/>
    <x:s v="CRISTINA"/>
    <x:s v="0071866"/>
    <x:s v="999339954"/>
    <x:s v="CORNEJO PEREZ TEODORO INOCENTE"/>
    <x:s v="89704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7-31T00:00:00Z"/>
    <x:x v="1"/>
    <x:s v="102647"/>
    <x:s v="BO"/>
    <x:s v="5928"/>
    <x:s v="CO"/>
    <x:s v="BO-5928"/>
    <x:s v="MARIGORDA EFFIO VICTOR JESUS"/>
    <x:s v="25445114"/>
    <x:m/>
    <x:m/>
    <x:s v="CRISTINA"/>
    <x:s v="0071899"/>
    <x:s v="923623147"/>
    <x:s v="MARIGORDA EFFIO VICTOR JESUS"/>
    <x:s v="89784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7-31T00:00:00Z"/>
    <x:x v="1"/>
    <x:s v="102680"/>
    <x:s v="BO"/>
    <x:s v="5931"/>
    <x:s v="CO"/>
    <x:s v="BO-5931"/>
    <x:s v="NINAQUISPE MARCELO APARICIO"/>
    <x:s v="32530490"/>
    <x:m/>
    <x:m/>
    <x:s v="CRISTINA"/>
    <x:s v="0071909"/>
    <x:s v="952658266"/>
    <x:s v="NINAQUISPE MARCELO APARICIO"/>
    <x:s v="89808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7-31T00:00:00Z"/>
    <x:x v="1"/>
    <x:s v="102682"/>
    <x:s v="BO"/>
    <x:s v="4283"/>
    <x:s v="CO"/>
    <x:s v="BO-4283"/>
    <x:s v="SUXE FERNANDEZ AMADOR"/>
    <x:s v="01051967"/>
    <x:m/>
    <x:m/>
    <x:s v="CRISTINA"/>
    <x:s v="0071911"/>
    <x:s v="900298154"/>
    <x:s v="SUXE FERNANDEZ AMADOR"/>
    <x:s v="89810"/>
    <x:x v="6"/>
    <x:n v="1"/>
    <x:s v="PRECISA LN"/>
    <x:s v="POR ASIGNAR"/>
    <x:s v="INSTITUTO MEDICO QUIRURGICO AREQUIPA S.A"/>
    <x:s v="L.NORTE"/>
    <x:s v="BGALLOSA"/>
    <x:n v="169.49"/>
    <x:s v="LN. EXAMENES"/>
    <x:s v="CIAS. DE SEGURO"/>
    <x:s v="NORTE"/>
    <x:m/>
    <x:m/>
    <x:n v="50"/>
  </x:r>
  <x:r>
    <x:d v="2026-07-31T00:00:00Z"/>
    <x:x v="1"/>
    <x:s v="102684"/>
    <x:s v="BO"/>
    <x:s v="5933"/>
    <x:s v="CO"/>
    <x:s v="BO-5933"/>
    <x:s v="TAMAYO TORRES DE BOCANEGRA GREGORIA"/>
    <x:s v="06253775"/>
    <x:m/>
    <x:m/>
    <x:s v="CRISTINA"/>
    <x:s v="0071918"/>
    <x:s v="983546661"/>
    <x:s v="TAMAYO TORRES DE BOCANEGRA GREGORIA"/>
    <x:s v="89811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7-31T00:00:00Z"/>
    <x:x v="1"/>
    <x:s v="102687"/>
    <x:s v="FA"/>
    <x:s v="565"/>
    <x:s v="CO"/>
    <x:s v="FA-565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89632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7-31T00:00:00Z"/>
    <x:x v="1"/>
    <x:s v="102687"/>
    <x:s v="FA"/>
    <x:s v="565"/>
    <x:s v="CO"/>
    <x:s v="FA-565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89632"/>
    <x:x v="30"/>
    <x:n v="1"/>
    <x:s v="PRECISA"/>
    <x:s v="INSTITUTO MEDICO QUIRURGICO AREQUIPA S.A"/>
    <x:s v="INSTITUTO MEDICO QUIRURGICO AREQUIPA S.A"/>
    <x:s v="L.CENTRO"/>
    <x:s v="ACABRERA"/>
    <x:n v="3508.47"/>
    <x:s v="LN. CIRUGIA"/>
    <x:s v="CIAS. DE SEGURO"/>
    <x:s v="CENTRO"/>
    <x:n v="950133748"/>
    <x:s v="191-9953047026"/>
    <x:m/>
  </x:r>
  <x:r>
    <x:d v="2026-07-31T00:00:00Z"/>
    <x:x v="1"/>
    <x:s v="102689"/>
    <x:s v="FA"/>
    <x:s v="566"/>
    <x:s v="CO"/>
    <x:s v="FA-566"/>
    <x:s v="DURAND VALDIVIA DE LINO DORA ESPERANZA"/>
    <x:s v="15685693"/>
    <x:m/>
    <x:m/>
    <x:s v="CRISTINA"/>
    <x:s v="0009791"/>
    <x:s v="97224389"/>
    <x:s v="GAMARRA HEALTHCARE CENTER S.A.C."/>
    <x:s v="89813"/>
    <x:x v="22"/>
    <x:n v="1"/>
    <x:s v="PRECISA"/>
    <x:s v="INSTITUTO MEDICO QUIRURGICO AREQUIPA S.A"/>
    <x:s v="INSTITUTO MEDICO QUIRURGICO AREQUIPA S.A"/>
    <x:s v="L.CENTRO"/>
    <x:s v="ACABRERA"/>
    <x:n v="101.69"/>
    <x:s v="LN. PROCEDIMIENTO"/>
    <x:s v="CIAS. DE SEGURO"/>
    <x:s v="CENTRO"/>
    <x:m/>
    <x:m/>
    <x:m/>
  </x:r>
  <x:r>
    <x:d v="2026-07-31T00:00:00Z"/>
    <x:x v="1"/>
    <x:s v="102692"/>
    <x:s v="FA"/>
    <x:s v="567"/>
    <x:s v="CO"/>
    <x:s v="FA-567"/>
    <x:s v="ORTEGA PEREZ JHON ROSEL"/>
    <x:s v="76308330"/>
    <x:m/>
    <x:m/>
    <x:s v="CRISTINA"/>
    <x:s v="0071921"/>
    <x:s v="985425896"/>
    <x:s v="GAMARRA HEALTHCARE CENTER S.A.C."/>
    <x:s v="89815"/>
    <x:x v="12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7-31T00:00:00Z"/>
    <x:x v="1"/>
    <x:s v="102698"/>
    <x:s v="BO"/>
    <x:s v="5936"/>
    <x:s v="CO"/>
    <x:s v="BO-5936"/>
    <x:s v="MEDINA PRIETO DE RIOS ELSA ARIELA"/>
    <x:s v="08286513"/>
    <x:s v="SAPAICO VICUÑA AUGUSTO RODRIGO"/>
    <x:s v="HOSPITAL LOAYZA"/>
    <x:s v="CRISTINA"/>
    <x:s v="0071924"/>
    <x:s v="985412585"/>
    <x:s v="MEDINA PRIETO DE RIOS ELSA ARIELA"/>
    <x:s v="89822"/>
    <x:x v="22"/>
    <x:n v="2"/>
    <x:s v="PRECISA"/>
    <x:s v="INSTITUTO MEDICO QUIRURGICO AREQUIPA S.A"/>
    <x:s v="INSTITUTO MEDICO QUIRURGICO AREQUIPA S.A"/>
    <x:s v="L.CENTRO"/>
    <x:s v="ACABRERA"/>
    <x:n v="203.39"/>
    <x:s v="LN. PROCEDIMIENTO"/>
    <x:s v="CIAS. DE SEGURO"/>
    <x:s v="CENTRO"/>
    <x:n v="997145685"/>
    <x:s v="0011-0189-0200496417"/>
    <x:m/>
  </x:r>
  <x:r>
    <x:d v="2026-08-01T00:00:00Z"/>
    <x:x v="2"/>
    <x:s v="102814"/>
    <x:s v="BO"/>
    <x:s v="5965"/>
    <x:s v="CO"/>
    <x:s v="BO-5965"/>
    <x:s v="LOPEZ CALLE JOSE DE LA LUZ"/>
    <x:s v="09211801"/>
    <x:s v="JAVE ESCALANTE LIZETH"/>
    <x:s v="HOSPITAL LOAYZA"/>
    <x:s v="CRISTINA"/>
    <x:s v="0071949"/>
    <x:s v="950681335"/>
    <x:s v="LOPEZ CALLE JOSE DE LA LUZ"/>
    <x:s v="89901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9111362"/>
    <x:s v="200-3076497260"/>
    <x:n v="30"/>
  </x:r>
  <x:r>
    <x:d v="2026-08-03T00:00:00Z"/>
    <x:x v="2"/>
    <x:s v="102868"/>
    <x:s v="BO"/>
    <x:s v="5973"/>
    <x:s v="CO"/>
    <x:s v="BO-5973"/>
    <x:s v="COMETIVOS PANDURO MIRIAM"/>
    <x:s v="00865199"/>
    <x:s v="FIERRO LEANDRO"/>
    <x:s v="POLICLÍNICO DIVINO NIÑO JESÚS"/>
    <x:s v="CRISTINA"/>
    <x:s v="0071944"/>
    <x:s v="940163522"/>
    <x:s v="COMETIVOS PANDURO MIRIAM"/>
    <x:s v="89939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3T00:00:00Z"/>
    <x:x v="2"/>
    <x:s v="102868"/>
    <x:s v="BO"/>
    <x:s v="5973"/>
    <x:s v="CO"/>
    <x:s v="BO-5973"/>
    <x:s v="COMETIVOS PANDURO MIRIAM"/>
    <x:s v="00865199"/>
    <x:s v="FIERRO LEANDRO"/>
    <x:s v="POLICLÍNICO DIVINO NIÑO JESÚS"/>
    <x:s v="CRISTINA"/>
    <x:s v="0071944"/>
    <x:s v="940163522"/>
    <x:s v="COMETIVOS PANDURO MIRIAM"/>
    <x:s v="89939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8-03T00:00:00Z"/>
    <x:x v="2"/>
    <x:s v="102868"/>
    <x:s v="BO"/>
    <x:s v="5973"/>
    <x:s v="CO"/>
    <x:s v="BO-5973"/>
    <x:s v="COMETIVOS PANDURO MIRIAM"/>
    <x:s v="00865199"/>
    <x:s v="FIERRO LEANDRO"/>
    <x:s v="POLICLÍNICO DIVINO NIÑO JESÚS"/>
    <x:s v="CRISTINA"/>
    <x:s v="0071944"/>
    <x:s v="940163522"/>
    <x:s v="COMETIVOS PANDURO MIRIAM"/>
    <x:s v="89939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3T00:00:00Z"/>
    <x:x v="2"/>
    <x:s v="102868"/>
    <x:s v="BO"/>
    <x:s v="5973"/>
    <x:s v="CO"/>
    <x:s v="BO-5973"/>
    <x:s v="COMETIVOS PANDURO MIRIAM"/>
    <x:s v="00865199"/>
    <x:s v="FIERRO LEANDRO"/>
    <x:s v="POLICLÍNICO DIVINO NIÑO JESÚS"/>
    <x:s v="CRISTINA"/>
    <x:s v="0071944"/>
    <x:s v="940163522"/>
    <x:s v="COMETIVOS PANDURO MIRIAM"/>
    <x:s v="89939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3T00:00:00Z"/>
    <x:x v="2"/>
    <x:s v="102868"/>
    <x:s v="BO"/>
    <x:s v="5973"/>
    <x:s v="CO"/>
    <x:s v="BO-5973"/>
    <x:s v="COMETIVOS PANDURO MIRIAM"/>
    <x:s v="00865199"/>
    <x:s v="FIERRO LEANDRO"/>
    <x:s v="POLICLÍNICO DIVINO NIÑO JESÚS"/>
    <x:s v="CRISTINA"/>
    <x:s v="0071944"/>
    <x:s v="940163522"/>
    <x:s v="COMETIVOS PANDURO MIRIAM"/>
    <x:s v="89939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8-03T00:00:00Z"/>
    <x:x v="2"/>
    <x:s v="102869"/>
    <x:s v="BO"/>
    <x:s v="5974"/>
    <x:s v="CO"/>
    <x:s v="BO-5974"/>
    <x:s v="COMETIVOS PANDURO MIRIAM"/>
    <x:s v="00865199"/>
    <x:s v="FIERRO LEANDRO"/>
    <x:s v="POLICLÍNICO DIVINO NIÑO JESÚS"/>
    <x:s v="CRISTINA"/>
    <x:s v="0071944"/>
    <x:s v="940163522"/>
    <x:s v="COMETIVOS PANDURO MIRIAM"/>
    <x:s v="89940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8-03T00:00:00Z"/>
    <x:x v="2"/>
    <x:s v="102870"/>
    <x:s v="BO"/>
    <x:s v="5975"/>
    <x:s v="CO"/>
    <x:s v="BO-5975"/>
    <x:s v="COMETIVOS PANDURO MIRIAM"/>
    <x:s v="00865199"/>
    <x:s v="FIERRO LEANDRO"/>
    <x:s v="POLICLÍNICO DIVINO NIÑO JESÚS"/>
    <x:s v="CRISTINA"/>
    <x:s v="0071944"/>
    <x:s v="940163522"/>
    <x:s v="COMETIVOS PANDURO MIRIAM"/>
    <x:s v="89941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03T00:00:00Z"/>
    <x:x v="2"/>
    <x:s v="102882"/>
    <x:s v="BO"/>
    <x:s v="5976"/>
    <x:s v="CO"/>
    <x:s v="BO-5976"/>
    <x:s v="AJEN LAVADO DE GARBAY ROSINA VICENTA"/>
    <x:s v="06060326"/>
    <x:s v="GUTARRA PAUCAR JULIA KARINA"/>
    <x:s v="CLÍNICA SAN CAMILO"/>
    <x:s v="CRISTINA"/>
    <x:s v="0071980"/>
    <x:s v="945334172"/>
    <x:s v="AJEN LAVADO DE GARBAY ROSINA VICENTA"/>
    <x:s v="89959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82673362"/>
    <x:s v="0011-0353-0200308107"/>
    <x:n v="30"/>
  </x:r>
  <x:r>
    <x:d v="2026-08-03T00:00:00Z"/>
    <x:x v="2"/>
    <x:s v="102964"/>
    <x:s v="BO"/>
    <x:s v="12132"/>
    <x:s v="CO"/>
    <x:s v="BO-12132"/>
    <x:s v="VASQUEZ VELA ENEDINA"/>
    <x:s v="05367935"/>
    <x:s v="QUISPE BECERRA JOSUE"/>
    <x:s v="HOSPITAL ALMENARA"/>
    <x:s v="CRISTINA"/>
    <x:s v="0072032"/>
    <x:s v="933336002"/>
    <x:s v="VASQUEZ VELA ENEDINA"/>
    <x:s v="90039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46789080"/>
    <x:m/>
    <x:n v="50"/>
  </x:r>
  <x:r>
    <x:d v="2026-08-03T00:00:00Z"/>
    <x:x v="2"/>
    <x:s v="102966"/>
    <x:s v="BO"/>
    <x:s v="12134"/>
    <x:s v="CO"/>
    <x:s v="BO-12134"/>
    <x:s v="VASQUEZ VELA ENEDINA"/>
    <x:s v="05367935"/>
    <x:s v="QUISPE BECERRA JOSUE"/>
    <x:s v="HOSPITAL ALMENARA"/>
    <x:s v="CRISTINA"/>
    <x:s v="0072032"/>
    <x:s v="933336002"/>
    <x:s v="VASQUEZ VELA ENEDINA"/>
    <x:s v="90043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46789080"/>
    <x:m/>
    <x:n v="30"/>
  </x:r>
  <x:r>
    <x:d v="2026-08-03T00:00:00Z"/>
    <x:x v="2"/>
    <x:s v="102983"/>
    <x:s v="BO"/>
    <x:s v="5985"/>
    <x:s v="CO"/>
    <x:s v="BO-5985"/>
    <x:s v="ANDAMAYO POPE ROCIO GISELA"/>
    <x:s v="47014334"/>
    <x:s v="PONCE TORRES YANISEY"/>
    <x:m/>
    <x:s v="CRISTINA"/>
    <x:s v="0065998"/>
    <x:s v="945413137"/>
    <x:s v="ANDAMAYO POPE ROCIO GISELA"/>
    <x:s v="90045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s v="193-13173124085"/>
    <x:n v="30"/>
  </x:r>
  <x:r>
    <x:d v="2026-08-04T00:00:00Z"/>
    <x:x v="2"/>
    <x:s v="103003"/>
    <x:s v="BO"/>
    <x:s v="5988"/>
    <x:s v="CO"/>
    <x:s v="BO-5988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4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8-04T00:00:00Z"/>
    <x:x v="2"/>
    <x:s v="103004"/>
    <x:s v="BO"/>
    <x:s v="5989"/>
    <x:s v="CO"/>
    <x:s v="BO-5989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6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4T00:00:00Z"/>
    <x:x v="2"/>
    <x:s v="103004"/>
    <x:s v="BO"/>
    <x:s v="5989"/>
    <x:s v="CO"/>
    <x:s v="BO-5989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6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8-04T00:00:00Z"/>
    <x:x v="2"/>
    <x:s v="103004"/>
    <x:s v="BO"/>
    <x:s v="5989"/>
    <x:s v="CO"/>
    <x:s v="BO-5989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6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4T00:00:00Z"/>
    <x:x v="2"/>
    <x:s v="103004"/>
    <x:s v="BO"/>
    <x:s v="5989"/>
    <x:s v="CO"/>
    <x:s v="BO-5989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6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04T00:00:00Z"/>
    <x:x v="2"/>
    <x:s v="103004"/>
    <x:s v="BO"/>
    <x:s v="5989"/>
    <x:s v="CO"/>
    <x:s v="BO-5989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6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8-04T00:00:00Z"/>
    <x:x v="2"/>
    <x:s v="103005"/>
    <x:s v="BO"/>
    <x:s v="5990"/>
    <x:s v="CO"/>
    <x:s v="BO-5990"/>
    <x:s v="MERCEDES RODRIGUEZ MIGUEL DIONICIO"/>
    <x:s v="07430013"/>
    <x:s v="FIERRO LEANDRO"/>
    <x:s v="POLICLÍNICO DIVINO NIÑO JESÚS"/>
    <x:s v="CRISTINA"/>
    <x:s v="0072018"/>
    <x:s v="912097149"/>
    <x:s v="MERCEDES RODRIGUEZ MIGUEL DIONICIO"/>
    <x:s v="90068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04T00:00:00Z"/>
    <x:x v="2"/>
    <x:s v="103028"/>
    <x:s v="BO"/>
    <x:s v="12152"/>
    <x:s v="CO"/>
    <x:s v="BO-12152"/>
    <x:s v="RAMIREZ PENA GREGORIO JOSE"/>
    <x:s v="07153375"/>
    <x:s v="CESPEDES LANZA RENZO"/>
    <x:s v="HOSPITAL INO"/>
    <x:s v="CRISTINA"/>
    <x:s v="0072065"/>
    <x:s v="990043862"/>
    <x:s v="RAMIREZ PENA GREGORIO JOSE"/>
    <x:s v="90101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75750204"/>
    <x:m/>
    <x:n v="30"/>
  </x:r>
  <x:r>
    <x:d v="2026-08-04T00:00:00Z"/>
    <x:x v="2"/>
    <x:s v="103068"/>
    <x:s v="BO"/>
    <x:s v="4324"/>
    <x:s v="CO"/>
    <x:s v="BO-4324"/>
    <x:s v="PANTOJA . JULIO SANTOS"/>
    <x:s v="08655133"/>
    <x:s v="GUTARRA PAUCAR JULIA KARINA"/>
    <x:s v="CLÍNICA SAN CAMILO"/>
    <x:s v="CRISTINA"/>
    <x:s v="0061063"/>
    <x:s v="900215409"/>
    <x:s v="PANTOJA . JULIO SANTOS"/>
    <x:s v="90129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82673362"/>
    <x:s v="0011-0353-0200308107"/>
    <x:n v="50"/>
  </x:r>
  <x:r>
    <x:d v="2026-08-04T00:00:00Z"/>
    <x:x v="2"/>
    <x:s v="103068"/>
    <x:s v="BO"/>
    <x:s v="4324"/>
    <x:s v="CO"/>
    <x:s v="BO-4324"/>
    <x:s v="PANTOJA . JULIO SANTOS"/>
    <x:s v="08655133"/>
    <x:s v="GUTARRA PAUCAR JULIA KARINA"/>
    <x:s v="CLÍNICA SAN CAMILO"/>
    <x:s v="CRISTINA"/>
    <x:s v="0061063"/>
    <x:s v="900215409"/>
    <x:s v="PANTOJA . JULIO SANTOS"/>
    <x:s v="90129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82673362"/>
    <x:s v="0011-0353-0200308107"/>
    <x:n v="30"/>
  </x:r>
  <x:r>
    <x:d v="2026-08-05T00:00:00Z"/>
    <x:x v="2"/>
    <x:s v="103143"/>
    <x:s v="BO"/>
    <x:s v="6003"/>
    <x:s v="CO"/>
    <x:s v="BO-6003"/>
    <x:s v="RAMIREZ VENTOCILLA NAHUD ROGATO"/>
    <x:s v="08744883"/>
    <x:s v="CRISPIN MORALES NANCY JENNY"/>
    <x:s v="HOSPITAL ALMENARA"/>
    <x:s v="CRISTINA"/>
    <x:s v="0071970"/>
    <x:s v="999999999"/>
    <x:s v="RAMIREZ VENTOCILLA NAHUD ROGATO"/>
    <x:s v="90191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n v="978789268"/>
    <x:s v="193-90416675072"/>
    <x:m/>
  </x:r>
  <x:r>
    <x:d v="2026-08-05T00:00:00Z"/>
    <x:x v="2"/>
    <x:s v="103145"/>
    <x:s v="BO"/>
    <x:s v="6004"/>
    <x:s v="CO"/>
    <x:s v="BO-6004"/>
    <x:s v="RAMIREZ VENTOCILLA NAHUD ROGATO"/>
    <x:s v="08744883"/>
    <x:s v="CRISPIN MORALES NANCY JENNY"/>
    <x:s v="HOSPITAL ALMENARA"/>
    <x:s v="CRISTINA"/>
    <x:s v="0071970"/>
    <x:s v="999999999"/>
    <x:s v="RAMIREZ VENTOCILLA NAHUD ROGATO"/>
    <x:s v="90141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78789268"/>
    <x:s v="193-90416675072"/>
    <x:m/>
  </x:r>
  <x:r>
    <x:d v="2026-08-05T00:00:00Z"/>
    <x:x v="2"/>
    <x:s v="103145"/>
    <x:s v="BO"/>
    <x:s v="6004"/>
    <x:s v="CO"/>
    <x:s v="BO-6004"/>
    <x:s v="RAMIREZ VENTOCILLA NAHUD ROGATO"/>
    <x:s v="08744883"/>
    <x:s v="CRISPIN MORALES NANCY JENNY"/>
    <x:s v="HOSPITAL ALMENARA"/>
    <x:s v="CRISTINA"/>
    <x:s v="0071970"/>
    <x:s v="999999999"/>
    <x:s v="RAMIREZ VENTOCILLA NAHUD ROGATO"/>
    <x:s v="90141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n v="978789268"/>
    <x:s v="193-90416675072"/>
    <x:m/>
  </x:r>
  <x:r>
    <x:d v="2026-08-05T00:00:00Z"/>
    <x:x v="2"/>
    <x:s v="103152"/>
    <x:s v="FA"/>
    <x:s v="1077"/>
    <x:s v="CO"/>
    <x:s v="FA-1077"/>
    <x:s v="SUAREZ CAVERO ALESSANDRA LUCIA"/>
    <x:s v="73321033"/>
    <x:s v="FONTENLA SERNA DAVID IVAN"/>
    <x:s v="HOSPITAL NAVAL"/>
    <x:s v="CRISTINA"/>
    <x:s v="0071890"/>
    <x:s v="913049629"/>
    <x:s v="FONTENLA VISION E.I.R.L."/>
    <x:s v="90137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6922608"/>
    <x:s v="0011-0117-0200577155"/>
    <x:m/>
  </x:r>
  <x:r>
    <x:d v="2026-08-05T00:00:00Z"/>
    <x:x v="2"/>
    <x:s v="103152"/>
    <x:s v="FA"/>
    <x:s v="1077"/>
    <x:s v="CO"/>
    <x:s v="FA-1077"/>
    <x:s v="SUAREZ CAVERO ALESSANDRA LUCIA"/>
    <x:s v="73321033"/>
    <x:s v="FONTENLA SERNA DAVID IVAN"/>
    <x:s v="HOSPITAL NAVAL"/>
    <x:s v="CRISTINA"/>
    <x:s v="0071890"/>
    <x:s v="913049629"/>
    <x:s v="FONTENLA VISION E.I.R.L."/>
    <x:s v="90137"/>
    <x:x v="34"/>
    <x:n v="1"/>
    <x:s v="PRECISA"/>
    <x:s v="INSTITUTO MEDICO QUIRURGICO AREQUIPA S.A"/>
    <x:s v="INSTITUTO MEDICO QUIRURGICO AREQUIPA S.A"/>
    <x:s v="L.CENTRO"/>
    <x:s v="LMAGAN"/>
    <x:n v="550.85"/>
    <x:s v="LN. CIRUGIA"/>
    <x:s v="CIAS. DE SEGURO"/>
    <x:s v="CENTRO"/>
    <x:n v="976922608"/>
    <x:s v="0011-0117-0200577155"/>
    <x:m/>
  </x:r>
  <x:r>
    <x:d v="2026-08-05T00:00:00Z"/>
    <x:x v="2"/>
    <x:s v="103156"/>
    <x:s v="FA"/>
    <x:s v="1078"/>
    <x:s v="CO"/>
    <x:s v="FA-1078"/>
    <x:s v="SUAREZ CAVERO ALESSANDRA LUCIA"/>
    <x:s v="73321033"/>
    <x:s v="FONTENLA SERNA DAVID IVAN"/>
    <x:s v="HOSPITAL NAVAL"/>
    <x:s v="CRISTINA"/>
    <x:s v="0071890"/>
    <x:s v="913049629"/>
    <x:s v="FONTENLA VISION E.I.R.L."/>
    <x:s v="90201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76922608"/>
    <x:s v="0011-0117-0200577155"/>
    <x:n v="30"/>
  </x:r>
  <x:r>
    <x:d v="2026-08-05T00:00:00Z"/>
    <x:x v="2"/>
    <x:s v="103158"/>
    <x:s v="BO"/>
    <x:s v="12167"/>
    <x:s v="CO"/>
    <x:s v="BO-12167"/>
    <x:s v="SUAREZ CAVERO ALESSANDRA LUCIA"/>
    <x:s v="73321033"/>
    <x:s v="FONTENLA SERNA DAVID IVAN"/>
    <x:s v="HOSPITAL NAVAL"/>
    <x:s v="CRISTINA"/>
    <x:s v="0071890"/>
    <x:s v="913049629"/>
    <x:s v="FONTENLA VISION E.I.R.L."/>
    <x:s v="90202"/>
    <x:x v="28"/>
    <x:n v="1"/>
    <x:s v="PRECISA"/>
    <x:s v="INSTITUTO MEDICO QUIRURGICO AREQUIPA S.A"/>
    <x:s v="INSTITUTO MEDICO QUIRURGICO AREQUIPA S.A"/>
    <x:s v="L.CENTRO"/>
    <x:s v="LMAGAN"/>
    <x:n v="33.9"/>
    <x:s v="LN. EXAMENES"/>
    <x:s v="CIAS. DE SEGURO"/>
    <x:s v="CENTRO"/>
    <x:n v="976922608"/>
    <x:s v="0011-0117-0200577155"/>
    <x:m/>
  </x:r>
  <x:r>
    <x:d v="2026-08-05T00:00:00Z"/>
    <x:x v="2"/>
    <x:s v="2423"/>
    <x:s v="NC"/>
    <x:s v="12167"/>
    <x:s v="CR"/>
    <x:s v="NC-12167"/>
    <x:s v="SUAREZ CAVERO ALESSANDRA LUCIA"/>
    <x:s v="73321033"/>
    <x:s v="FONTENLA SERNA DAVID IVAN"/>
    <x:s v="HOSPITAL NAVAL"/>
    <x:s v="CR"/>
    <x:s v="0071890"/>
    <x:s v="913049629"/>
    <x:s v="FONTENLA VISION E.I.R.L."/>
    <x:s v="90202"/>
    <x:x v="28"/>
    <x:n v="1"/>
    <x:s v="PRECISA"/>
    <x:s v="INSTITUTO MEDICO QUIRURGICO AREQUIPA S.A"/>
    <x:s v="INSTITUTO MEDICO QUIRURGICO AREQUIPA S.A"/>
    <x:s v="L.CENTRO"/>
    <x:s v="LMAGAN"/>
    <x:n v="-33.9"/>
    <x:s v="LN. EXAMENES"/>
    <x:s v="CIAS. DE SEGURO"/>
    <x:s v="CENTRO"/>
    <x:n v="976922608"/>
    <x:s v="0011-0117-0200577155"/>
    <x:m/>
  </x:r>
  <x:r>
    <x:d v="2026-08-05T00:00:00Z"/>
    <x:x v="2"/>
    <x:s v="103159"/>
    <x:s v="FA"/>
    <x:s v="1079"/>
    <x:s v="CO"/>
    <x:s v="FA-1079"/>
    <x:s v="SUAREZ CAVERO ALESSANDRA LUCIA"/>
    <x:s v="73321033"/>
    <x:s v="FONTENLA SERNA DAVID IVAN"/>
    <x:s v="HOSPITAL NAVAL"/>
    <x:s v="CRISTINA"/>
    <x:s v="0071890"/>
    <x:s v="913049629"/>
    <x:s v="FONTENLA VISION E.I.R.L."/>
    <x:s v="90204"/>
    <x:x v="28"/>
    <x:n v="1"/>
    <x:s v="PRECISA"/>
    <x:s v="INSTITUTO MEDICO QUIRURGICO AREQUIPA S.A"/>
    <x:s v="INSTITUTO MEDICO QUIRURGICO AREQUIPA S.A"/>
    <x:s v="L.CENTRO"/>
    <x:s v="LMAGAN"/>
    <x:n v="33.9"/>
    <x:s v="LN. EXAMENES"/>
    <x:s v="CIAS. DE SEGURO"/>
    <x:s v="CENTRO"/>
    <x:n v="976922608"/>
    <x:s v="0011-0117-0200577155"/>
    <x:m/>
  </x:r>
  <x:r>
    <x:d v="2026-08-05T00:00:00Z"/>
    <x:x v="2"/>
    <x:s v="103219"/>
    <x:s v="BO"/>
    <x:s v="6008"/>
    <x:s v="CO"/>
    <x:s v="BO-6008"/>
    <x:s v="GUADALUPE GONAS EDGARD"/>
    <x:s v="07175080"/>
    <x:s v="CESPEDES LANZA RENZO"/>
    <x:s v="HOSPITAL INO"/>
    <x:s v="CRISTINA"/>
    <x:s v="0072175"/>
    <x:s v="945040645"/>
    <x:s v="GUADALUPE GONAS EDGARD"/>
    <x:s v="90265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75750204"/>
    <x:m/>
    <x:n v="30"/>
  </x:r>
  <x:r>
    <x:d v="2026-08-05T00:00:00Z"/>
    <x:x v="2"/>
    <x:s v="103230"/>
    <x:s v="FA"/>
    <x:s v="1080"/>
    <x:s v="CO"/>
    <x:s v="FA-1080"/>
    <x:s v="BAZALAR LAOS HECTOR RAUL"/>
    <x:s v="15584530"/>
    <x:m/>
    <x:m/>
    <x:s v="CRISTINA"/>
    <x:s v="0072103"/>
    <x:s v="999999999"/>
    <x:s v="GAMARRA HEALTHCARE CENTER S.A.C."/>
    <x:s v="90278"/>
    <x:x v="3"/>
    <x:n v="1"/>
    <x:s v="PRECISA"/>
    <x:s v="INSTITUTO MEDICO QUIRURGICO AREQUIPA S.A"/>
    <x:s v="INSTITUTO MEDICO QUIRURGICO AREQUIPA S.A"/>
    <x:s v="L.CENTRO"/>
    <x:s v="LMAGAN"/>
    <x:n v="254.24"/>
    <x:s v="LN. PROCEDIMIENTO"/>
    <x:s v="CIAS. DE SEGURO"/>
    <x:s v="CENTRO"/>
    <x:m/>
    <x:m/>
    <x:m/>
  </x:r>
  <x:r>
    <x:d v="2026-08-05T00:00:00Z"/>
    <x:x v="2"/>
    <x:s v="103234"/>
    <x:s v="FA"/>
    <x:s v="572"/>
    <x:s v="CO"/>
    <x:s v="FA-572"/>
    <x:s v="QUIÑONES ROBLES BERNABE GREGORIO"/>
    <x:s v="08739495"/>
    <x:s v="VILLAR CURAHUA MARCELA ALEJANDRA"/>
    <x:s v="GAMARRA SALUD"/>
    <x:s v="CRISTINA"/>
    <x:s v="0036451"/>
    <x:s v="993223874"/>
    <x:s v="GAMARRA HEALTHCARE CENTER S.A.C."/>
    <x:s v="9007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8-05T00:00:00Z"/>
    <x:x v="2"/>
    <x:s v="103234"/>
    <x:s v="FA"/>
    <x:s v="572"/>
    <x:s v="CO"/>
    <x:s v="FA-572"/>
    <x:s v="QUIÑONES ROBLES BERNABE GREGORIO"/>
    <x:s v="08739495"/>
    <x:s v="VILLAR CURAHUA MARCELA ALEJANDRA"/>
    <x:s v="GAMARRA SALUD"/>
    <x:s v="CRISTINA"/>
    <x:s v="0036451"/>
    <x:s v="993223874"/>
    <x:s v="GAMARRA HEALTHCARE CENTER S.A.C."/>
    <x:s v="90075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8-05T00:00:00Z"/>
    <x:x v="2"/>
    <x:s v="103252"/>
    <x:s v="FA"/>
    <x:s v="1081"/>
    <x:s v="CO"/>
    <x:s v="FA-1081"/>
    <x:s v="QUIÑONES ROBLES BERNABE GREGORIO"/>
    <x:s v="08739495"/>
    <x:s v="VILLAR CURAHUA MARCELA ALEJANDRA"/>
    <x:s v="GAMARRA SALUD"/>
    <x:s v="CRISTINA"/>
    <x:s v="0036451"/>
    <x:s v="993223874"/>
    <x:s v="GAMARRA HEALTHCARE CENTER S.A.C."/>
    <x:s v="9029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50133748"/>
    <x:s v="191-9953047026"/>
    <x:n v="30"/>
  </x:r>
  <x:r>
    <x:d v="2026-08-05T00:00:00Z"/>
    <x:x v="2"/>
    <x:s v="103299"/>
    <x:s v="BO"/>
    <x:s v="12193"/>
    <x:s v="CO"/>
    <x:s v="BO-12193"/>
    <x:s v="MARTÍNEZ TRUJILLO NAPTHALY"/>
    <x:s v="1026528 "/>
    <x:s v="LOPEZ ESPINOZA JHON"/>
    <x:m/>
    <x:s v="CRISTINA"/>
    <x:s v="0072087"/>
    <x:s v="+59169208603"/>
    <x:s v="MARTÍNEZ TRUJILLO NAPTHALY"/>
    <x:s v="90330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s v="191-38880905040"/>
    <x:n v="30"/>
  </x:r>
  <x:r>
    <x:d v="2026-08-05T00:00:00Z"/>
    <x:x v="2"/>
    <x:s v="103313"/>
    <x:s v="FA"/>
    <x:s v="1082"/>
    <x:s v="CO"/>
    <x:s v="FA-1082"/>
    <x:s v="CUEVA CHAVEZ POMPEYO ANTONIO"/>
    <x:s v="32488966"/>
    <x:s v="CHOQUE MILAGROS"/>
    <x:s v="HOSPITAL SAN JUAN DE LURIGANCHO"/>
    <x:s v="CRISTINA"/>
    <x:s v="0071971"/>
    <x:s v="999999999"/>
    <x:s v="OFTALMOLOGICA E.I.R.L."/>
    <x:s v="90286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05T00:00:00Z"/>
    <x:x v="2"/>
    <x:s v="103313"/>
    <x:s v="FA"/>
    <x:s v="1082"/>
    <x:s v="CO"/>
    <x:s v="FA-1082"/>
    <x:s v="CUEVA CHAVEZ POMPEYO ANTONIO"/>
    <x:s v="32488966"/>
    <x:s v="CHOQUE MILAGROS"/>
    <x:s v="HOSPITAL SAN JUAN DE LURIGANCHO"/>
    <x:s v="CRISTINA"/>
    <x:s v="0071971"/>
    <x:s v="999999999"/>
    <x:s v="OFTALMOLOGICA E.I.R.L."/>
    <x:s v="90286"/>
    <x:x v="29"/>
    <x:n v="1"/>
    <x:s v="PRECISA"/>
    <x:s v="INSTITUTO MEDICO QUIRURGICO AREQUIPA S.A"/>
    <x:s v="INSTITUTO MEDICO QUIRURGICO AREQUIPA S.A"/>
    <x:s v="L.CENTRO"/>
    <x:s v="LMAGAN"/>
    <x:n v="563.56"/>
    <x:s v="LN. CIRUGIA"/>
    <x:s v="CIAS. DE SEGURO"/>
    <x:s v="CENTRO"/>
    <x:m/>
    <x:m/>
    <x:m/>
  </x:r>
  <x:r>
    <x:d v="2026-08-07T00:00:00Z"/>
    <x:x v="2"/>
    <x:s v="103354"/>
    <x:s v="BO"/>
    <x:s v="12202"/>
    <x:s v="CO"/>
    <x:s v="BO-12202"/>
    <x:s v="PEREZ BARTUREN MISAEL"/>
    <x:s v="27378163"/>
    <x:s v="ESPEJO ALVA JULIO EDWIN"/>
    <x:s v="CONSULTORIO PARTICULAR"/>
    <x:s v="CRISTINA"/>
    <x:s v="0058546"/>
    <x:s v="999251212"/>
    <x:s v="PEREZ BARTUREN MISAEL"/>
    <x:s v="90381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1227454"/>
    <x:s v="087-3150119440"/>
    <x:n v="30"/>
  </x:r>
  <x:r>
    <x:d v="2026-08-07T00:00:00Z"/>
    <x:x v="2"/>
    <x:s v="103367"/>
    <x:s v="BO"/>
    <x:s v="12204"/>
    <x:s v="CO"/>
    <x:s v="BO-12204"/>
    <x:s v="ROMAN TORRES AMANCIA"/>
    <x:s v="08083502"/>
    <x:s v="LEON SUAREZ LUIS"/>
    <x:m/>
    <x:s v="CRISTINA"/>
    <x:s v="0062809"/>
    <x:s v="960518706"/>
    <x:s v="ROMAN TORRES AMANCIA"/>
    <x:s v="90373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07T00:00:00Z"/>
    <x:x v="2"/>
    <x:s v="103402"/>
    <x:s v="BO"/>
    <x:s v="12210"/>
    <x:s v="CO"/>
    <x:s v="BO-12210"/>
    <x:s v="DAGA CABALLERO ROSALIA EYMI"/>
    <x:s v="78558270"/>
    <x:s v="POMAZONGO GOYAS MANUEL ALEJANDRO"/>
    <x:s v="CONSULTORIO PARTICULAR"/>
    <x:s v="CRISTINA"/>
    <x:s v="0072259"/>
    <x:s v="963524828"/>
    <x:s v="DAGA CABALLERO ROSALIA EYMI"/>
    <x:s v="90426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0030101"/>
    <x:s v="027-7601910"/>
    <x:n v="30"/>
  </x:r>
  <x:r>
    <x:d v="2026-08-07T00:00:00Z"/>
    <x:x v="2"/>
    <x:s v="103432"/>
    <x:s v="BO"/>
    <x:s v="12213"/>
    <x:s v="CO"/>
    <x:s v="BO-12213"/>
    <x:s v="LOAYZA LOAYZA DANIEL"/>
    <x:s v="15640724"/>
    <x:s v="FIERRO LEANDRO"/>
    <x:s v="POLICLÍNICO DIVINO NIÑO JESÚS"/>
    <x:s v="CRISTINA"/>
    <x:s v="0058677"/>
    <x:s v="989493571"/>
    <x:s v="LOAYZA LOAYZA DANIEL"/>
    <x:s v="90443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07T00:00:00Z"/>
    <x:x v="2"/>
    <x:s v="103452"/>
    <x:s v="BO"/>
    <x:s v="6037"/>
    <x:s v="CO"/>
    <x:s v="BO-6037"/>
    <x:s v="AQUINO NICHO RAUL"/>
    <x:s v="15692736"/>
    <x:s v="ISABEL PALACIOS RAISA LORENA"/>
    <x:s v="HOSPITAL ALMENARA"/>
    <x:s v="CRISTINA"/>
    <x:s v="0072276"/>
    <x:s v="935541651"/>
    <x:s v="AQUINO NICHO RAUL"/>
    <x:s v="90462"/>
    <x:x v="11"/>
    <x:n v="2"/>
    <x:s v="PRECISA"/>
    <x:s v="INSTITUTO MEDICO QUIRURGICO AREQUIPA S.A"/>
    <x:s v="INSTITUTO MEDICO QUIRURGICO AREQUIPA S.A"/>
    <x:s v="L.CENTRO"/>
    <x:s v="ACABRERA"/>
    <x:n v="203.39"/>
    <x:s v="LN. PROCEDIMIENTO"/>
    <x:s v="CIAS. DE SEGURO"/>
    <x:s v="CENTRO"/>
    <x:n v="947422476"/>
    <x:m/>
    <x:m/>
  </x:r>
  <x:r>
    <x:d v="2026-08-07T00:00:00Z"/>
    <x:x v="2"/>
    <x:s v="103459"/>
    <x:s v="BO"/>
    <x:s v="12218"/>
    <x:s v="CO"/>
    <x:s v="BO-12218"/>
    <x:s v="VILCHEZ QUISPE TOMAS"/>
    <x:s v="08314317"/>
    <x:s v="TARAZONA CHAVEZ ROSAMARIA"/>
    <x:m/>
    <x:s v="CRISTINA"/>
    <x:s v="0072284"/>
    <x:s v="941383018"/>
    <x:s v="VILCHEZ QUISPE TOMAS"/>
    <x:s v="90471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4336842"/>
    <x:m/>
    <x:n v="30"/>
  </x:r>
  <x:r>
    <x:d v="2026-08-08T00:00:00Z"/>
    <x:x v="2"/>
    <x:s v="103488"/>
    <x:s v="BO"/>
    <x:s v="12223"/>
    <x:s v="CO"/>
    <x:s v="BO-12223"/>
    <x:s v="AJEN LAVADO DE GARBAY ROSINA VICENTA"/>
    <x:s v="06060326"/>
    <x:s v="GUTARRA PAUCAR JULIA KARINA"/>
    <x:s v="CLÍNICA SAN CAMILO"/>
    <x:s v="CRISTINA"/>
    <x:s v="0071980"/>
    <x:s v="945334172"/>
    <x:s v="AJEN LAVADO DE GARBAY ROSINA VICENTA"/>
    <x:s v="90491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8-08T00:00:00Z"/>
    <x:x v="2"/>
    <x:s v="103488"/>
    <x:s v="BO"/>
    <x:s v="12223"/>
    <x:s v="CO"/>
    <x:s v="BO-12223"/>
    <x:s v="AJEN LAVADO DE GARBAY ROSINA VICENTA"/>
    <x:s v="06060326"/>
    <x:s v="GUTARRA PAUCAR JULIA KARINA"/>
    <x:s v="CLÍNICA SAN CAMILO"/>
    <x:s v="CRISTINA"/>
    <x:s v="0071980"/>
    <x:s v="945334172"/>
    <x:s v="AJEN LAVADO DE GARBAY ROSINA VICENTA"/>
    <x:s v="90491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8-08T00:00:00Z"/>
    <x:x v="2"/>
    <x:s v="103532"/>
    <x:s v="BO"/>
    <x:s v="12229"/>
    <x:s v="CO"/>
    <x:s v="BO-12229"/>
    <x:s v="CHINCHIHUALPA GOZAR EDITH"/>
    <x:s v="16121742"/>
    <x:s v="ALEMAÑY ERNESTO"/>
    <x:s v="CLINICA LA LUZ"/>
    <x:s v="CRISTINA"/>
    <x:s v="0072339"/>
    <x:s v="956293333"/>
    <x:s v="CHINCHIHUALPA GOZAR EDITH"/>
    <x:s v="90533"/>
    <x:x v="35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78548687"/>
    <x:s v="0011-0732-0200152751"/>
    <x:n v="50"/>
  </x:r>
  <x:r>
    <x:d v="2026-08-10T00:00:00Z"/>
    <x:x v="2"/>
    <x:s v="103590"/>
    <x:s v="BO"/>
    <x:s v="12235"/>
    <x:s v="CO"/>
    <x:s v="BO-12235"/>
    <x:s v="PACHECO SAAVEDRA CARMEN"/>
    <x:s v="08464237"/>
    <x:s v="SAPAICO VICUÑA AUGUSTO RODRIGO"/>
    <x:s v="HOSPITAL LOAYZA"/>
    <x:s v="CRISTINA"/>
    <x:s v="0072356"/>
    <x:s v="941510805"/>
    <x:s v="PACHECO SAAVEDRA CARMEN"/>
    <x:s v="9056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7145685"/>
    <x:s v="0011-0189-0200496417"/>
    <x:n v="30"/>
  </x:r>
  <x:r>
    <x:d v="2026-08-10T00:00:00Z"/>
    <x:x v="2"/>
    <x:s v="103612"/>
    <x:s v="BO"/>
    <x:s v="4381"/>
    <x:s v="CO"/>
    <x:s v="BO-4381"/>
    <x:s v="DEPAZ ASIS JOSE ENRIQUE"/>
    <x:s v="07335374"/>
    <x:s v="RUIZ ROJAS PAUBLO ENRIQUE"/>
    <x:s v="CONSULTORIO CUBANO COMAS"/>
    <x:s v="CRISTINA"/>
    <x:s v="0072365"/>
    <x:s v="933406869"/>
    <x:s v="DEPAZ ASIS JOSE ENRIQUE"/>
    <x:s v="90582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92903716"/>
    <x:s v="191-91415089071"/>
    <x:n v="30"/>
  </x:r>
  <x:r>
    <x:d v="2026-08-10T00:00:00Z"/>
    <x:x v="2"/>
    <x:s v="103669"/>
    <x:s v="FA"/>
    <x:s v="577"/>
    <x:s v="CO"/>
    <x:s v="FA-577"/>
    <x:s v="GOMEZ RAMIREZ JEAN PIERO CHRISTOPH"/>
    <x:s v="75857774"/>
    <x:s v="RAMOS COOPER SHIRLEY IVONNE"/>
    <x:s v="HOSPITAL NAVAL"/>
    <x:s v="CRISTINA"/>
    <x:s v="0072398"/>
    <x:s v="949735823"/>
    <x:s v="ANTOFE CONSTRUCCION &amp; SERVICIOS S.A.C."/>
    <x:s v="90609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80702810"/>
    <x:s v="166-3067691171"/>
    <x:n v="30"/>
  </x:r>
  <x:r>
    <x:d v="2026-08-10T00:00:00Z"/>
    <x:x v="2"/>
    <x:s v="103673"/>
    <x:s v="BO"/>
    <x:s v="12241"/>
    <x:s v="CO"/>
    <x:s v="BO-12241"/>
    <x:s v="CONDEZO GOMEZ MARIA"/>
    <x:s v="06746640"/>
    <x:s v="LOPEZ ESPINOZA JHON"/>
    <x:m/>
    <x:s v="CRISTINA"/>
    <x:s v="0072397"/>
    <x:s v="933669092"/>
    <x:s v="CONDEZO GOMEZ MARIA"/>
    <x:s v="90611"/>
    <x:x v="0"/>
    <x:n v="1"/>
    <x:s v="PRECISA"/>
    <x:s v="INSTITUTO MEDICO QUIRURGICO AREQUIPA S.A"/>
    <x:s v="INSTITUTO MEDICO QUIRURGICO AREQUIPA S.A"/>
    <x:s v="L.CENTRO"/>
    <x:s v="LMAGAN"/>
    <x:n v="169.49"/>
    <x:s v="LN. EXAMENES"/>
    <x:s v="CIAS. DE SEGURO"/>
    <x:s v="CENTRO"/>
    <x:m/>
    <x:s v="191-38880905040"/>
    <x:n v="50"/>
  </x:r>
  <x:r>
    <x:d v="2026-08-10T00:00:00Z"/>
    <x:x v="2"/>
    <x:s v="103720"/>
    <x:s v="BO"/>
    <x:s v="407"/>
    <x:s v="CO"/>
    <x:s v="BO-407"/>
    <x:s v="TITO MAYS FLOR JENNY"/>
    <x:s v="22508164"/>
    <x:s v="RODRIGUEZ RIVERO DARLEN"/>
    <x:s v="HOSPITAL CAYETANO HEREDIA"/>
    <x:s v="CRISTINA"/>
    <x:s v="0072407"/>
    <x:s v="+51951321998"/>
    <x:s v="TITO MAYS FLOR JENNY"/>
    <x:s v="90634"/>
    <x:x v="4"/>
    <x:n v="1"/>
    <x:s v="PRECISA"/>
    <x:s v="INSTITUTO MEDICO QUIRURGICO AREQUIPA S.A"/>
    <x:s v="INSTITUTO MEDICO QUIRURGICO AREQUIPA S.A"/>
    <x:s v="L.LINCE"/>
    <x:s v="MCARDENA"/>
    <x:n v="135.59"/>
    <x:s v="LN. EXAMENES"/>
    <x:s v="CIAS. DE SEGURO"/>
    <x:s v="LINCE"/>
    <x:n v="983837511"/>
    <x:s v="191-06277655064"/>
    <x:n v="30"/>
  </x:r>
  <x:r>
    <x:d v="2026-08-11T00:00:00Z"/>
    <x:x v="2"/>
    <x:s v="103737"/>
    <x:s v="BO"/>
    <x:s v="6068"/>
    <x:s v="CO"/>
    <x:s v="BO-6068"/>
    <x:s v="GOMEZ MORGADO JEAN CARLO"/>
    <x:s v="18617645"/>
    <x:m/>
    <x:m/>
    <x:s v="CRISTINA"/>
    <x:s v="0072436"/>
    <x:s v="935418797"/>
    <x:s v="GOMEZ MORGADO JEAN CARLO"/>
    <x:s v="90663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1T00:00:00Z"/>
    <x:x v="2"/>
    <x:s v="103737"/>
    <x:s v="BO"/>
    <x:s v="6068"/>
    <x:s v="CO"/>
    <x:s v="BO-6068"/>
    <x:s v="GOMEZ MORGADO JEAN CARLO"/>
    <x:s v="18617645"/>
    <x:m/>
    <x:m/>
    <x:s v="CRISTINA"/>
    <x:s v="0072436"/>
    <x:s v="935418797"/>
    <x:s v="GOMEZ MORGADO JEAN CARLO"/>
    <x:s v="90663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8-11T00:00:00Z"/>
    <x:x v="2"/>
    <x:s v="103737"/>
    <x:s v="BO"/>
    <x:s v="6068"/>
    <x:s v="CO"/>
    <x:s v="BO-6068"/>
    <x:s v="GOMEZ MORGADO JEAN CARLO"/>
    <x:s v="18617645"/>
    <x:m/>
    <x:m/>
    <x:s v="CRISTINA"/>
    <x:s v="0072436"/>
    <x:s v="935418797"/>
    <x:s v="GOMEZ MORGADO JEAN CARLO"/>
    <x:s v="90663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1T00:00:00Z"/>
    <x:x v="2"/>
    <x:s v="103737"/>
    <x:s v="BO"/>
    <x:s v="6068"/>
    <x:s v="CO"/>
    <x:s v="BO-6068"/>
    <x:s v="GOMEZ MORGADO JEAN CARLO"/>
    <x:s v="18617645"/>
    <x:m/>
    <x:m/>
    <x:s v="CRISTINA"/>
    <x:s v="0072436"/>
    <x:s v="935418797"/>
    <x:s v="GOMEZ MORGADO JEAN CARLO"/>
    <x:s v="90663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1T00:00:00Z"/>
    <x:x v="2"/>
    <x:s v="103737"/>
    <x:s v="BO"/>
    <x:s v="6068"/>
    <x:s v="CO"/>
    <x:s v="BO-6068"/>
    <x:s v="GOMEZ MORGADO JEAN CARLO"/>
    <x:s v="18617645"/>
    <x:m/>
    <x:m/>
    <x:s v="CRISTINA"/>
    <x:s v="0072436"/>
    <x:s v="935418797"/>
    <x:s v="GOMEZ MORGADO JEAN CARLO"/>
    <x:s v="90663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8-11T00:00:00Z"/>
    <x:x v="2"/>
    <x:s v="103738"/>
    <x:s v="BO"/>
    <x:s v="6069"/>
    <x:s v="CO"/>
    <x:s v="BO-6069"/>
    <x:s v="GOMEZ MORGADO JEAN CARLO"/>
    <x:s v="18617645"/>
    <x:m/>
    <x:m/>
    <x:s v="CRISTINA"/>
    <x:s v="0072436"/>
    <x:s v="935418797"/>
    <x:s v="GOMEZ MORGADO JEAN CARLO"/>
    <x:s v="90664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8-11T00:00:00Z"/>
    <x:x v="2"/>
    <x:s v="103740"/>
    <x:s v="BO"/>
    <x:s v="6070"/>
    <x:s v="CO"/>
    <x:s v="BO-6070"/>
    <x:s v="GOMEZ MORGADO JEAN CARLO"/>
    <x:s v="18617645"/>
    <x:m/>
    <x:m/>
    <x:s v="CRISTINA"/>
    <x:s v="0072436"/>
    <x:s v="935418797"/>
    <x:s v="GOMEZ MORGADO JEAN CARLO"/>
    <x:s v="90665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11T00:00:00Z"/>
    <x:x v="2"/>
    <x:s v="103774"/>
    <x:s v="BO"/>
    <x:s v="12258"/>
    <x:s v="CO"/>
    <x:s v="BO-12258"/>
    <x:s v="LOYA JACO EUSTAQUIA"/>
    <x:s v="07671188"/>
    <x:s v="HUAMAN RIOS LUIS ENRIQUE"/>
    <x:s v="HOSPITAL SERGIO BERNALES"/>
    <x:s v="CRISTINA"/>
    <x:s v="0072454"/>
    <x:s v="999294782"/>
    <x:s v="LOYA JACO EUSTAQUIA"/>
    <x:s v="90700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9986041"/>
    <x:s v="191-30583545068"/>
    <x:n v="30"/>
  </x:r>
  <x:r>
    <x:d v="2026-08-11T00:00:00Z"/>
    <x:x v="2"/>
    <x:s v="103774"/>
    <x:s v="BO"/>
    <x:s v="12258"/>
    <x:s v="CO"/>
    <x:s v="BO-12258"/>
    <x:s v="LOYA JACO EUSTAQUIA"/>
    <x:s v="07671188"/>
    <x:s v="HUAMAN RIOS LUIS ENRIQUE"/>
    <x:s v="HOSPITAL SERGIO BERNALES"/>
    <x:s v="CRISTINA"/>
    <x:s v="0072454"/>
    <x:s v="999294782"/>
    <x:s v="LOYA JACO EUSTAQUIA"/>
    <x:s v="90700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9986041"/>
    <x:s v="191-30583545068"/>
    <x:n v="30"/>
  </x:r>
  <x:r>
    <x:d v="2026-08-11T00:00:00Z"/>
    <x:x v="2"/>
    <x:s v="103785"/>
    <x:s v="BO"/>
    <x:s v="12260"/>
    <x:s v="CO"/>
    <x:s v="BO-12260"/>
    <x:s v="NICHO CUICAPUSA NORMA ADELA"/>
    <x:s v="08206206"/>
    <x:s v="PACHAS CHURA LIDIA VANESSA"/>
    <x:s v="HOSPITAL SABOGAL"/>
    <x:s v="CRISTINA"/>
    <x:s v="0072459"/>
    <x:s v="948055810"/>
    <x:s v="NICHO CUICAPUSA NORMA ADELA"/>
    <x:s v="90705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0080724"/>
    <x:s v="0011-0467-0200078608"/>
    <x:n v="30"/>
  </x:r>
  <x:r>
    <x:d v="2026-08-11T00:00:00Z"/>
    <x:x v="2"/>
    <x:s v="103785"/>
    <x:s v="BO"/>
    <x:s v="12260"/>
    <x:s v="CO"/>
    <x:s v="BO-12260"/>
    <x:s v="NICHO CUICAPUSA NORMA ADELA"/>
    <x:s v="08206206"/>
    <x:s v="PACHAS CHURA LIDIA VANESSA"/>
    <x:s v="HOSPITAL SABOGAL"/>
    <x:s v="CRISTINA"/>
    <x:s v="0072459"/>
    <x:s v="948055810"/>
    <x:s v="NICHO CUICAPUSA NORMA ADELA"/>
    <x:s v="90705"/>
    <x:x v="5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0080724"/>
    <x:s v="0011-0467-0200078608"/>
    <x:n v="30"/>
  </x:r>
  <x:r>
    <x:d v="2026-08-11T00:00:00Z"/>
    <x:x v="2"/>
    <x:s v="103787"/>
    <x:s v="BO"/>
    <x:s v="4402"/>
    <x:s v="CO"/>
    <x:s v="BO-4402"/>
    <x:s v="FLORES MACEDO DE MARTINEZ AZALIA"/>
    <x:s v="07569338"/>
    <x:s v="ROJAS AQUINO EVELING KARINA"/>
    <x:s v="POLICLÍNICO ESPÍRITU SANTO"/>
    <x:s v="CRISTINA"/>
    <x:s v="0072462"/>
    <x:s v="981557844"/>
    <x:s v="FLORES MACEDO DE MARTINEZ AZALIA"/>
    <x:s v="90707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55356636"/>
    <x:s v="009-3226956615"/>
    <x:n v="50"/>
  </x:r>
  <x:r>
    <x:d v="2026-08-11T00:00:00Z"/>
    <x:x v="2"/>
    <x:s v="103788"/>
    <x:s v="FA"/>
    <x:s v="1084"/>
    <x:s v="CO"/>
    <x:s v="FA-1084"/>
    <x:s v="ORTIZ SANCHEZ VICENTE"/>
    <x:s v="25812336"/>
    <x:s v="TANAKA LUIS"/>
    <x:m/>
    <x:s v="CRISTINA"/>
    <x:s v="0072449"/>
    <x:s v="988423138"/>
    <x:s v="JDO INVERSIONES MEDICAS S.A.C."/>
    <x:s v="90708"/>
    <x:x v="33"/>
    <x:n v="1"/>
    <x:s v="PRECISA"/>
    <x:s v="INSTITUTO MEDICO QUIRURGICO AREQUIPA S.A"/>
    <x:s v="INSTITUTO MEDICO QUIRURGICO AREQUIPA S.A"/>
    <x:s v="L.CENTRO"/>
    <x:s v="LMAGAN"/>
    <x:n v="152.54"/>
    <x:s v="LN. PROCEDIMIENTO"/>
    <x:s v="CIAS. DE SEGURO"/>
    <x:s v="CENTRO"/>
    <x:m/>
    <x:m/>
    <x:m/>
  </x:r>
  <x:r>
    <x:d v="2026-08-11T00:00:00Z"/>
    <x:x v="2"/>
    <x:s v="103793"/>
    <x:s v="BO"/>
    <x:s v="4403"/>
    <x:s v="CO"/>
    <x:s v="BO-4403"/>
    <x:s v="VILLANUEVA VALVERDE ADRIANA CRISTINA"/>
    <x:s v="25444469"/>
    <x:s v="JAVE ESCALANTE LIZETH"/>
    <x:s v="HOSPITAL LOAYZA"/>
    <x:s v="CRISTINA"/>
    <x:s v="0072466"/>
    <x:s v="999189335"/>
    <x:s v="VILLANUEVA VALVERDE ADRIANA CRISTINA"/>
    <x:s v="90710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9111362"/>
    <x:s v="200-3076497260"/>
    <x:n v="50"/>
  </x:r>
  <x:r>
    <x:d v="2026-08-11T00:00:00Z"/>
    <x:x v="2"/>
    <x:s v="103854"/>
    <x:s v="BO"/>
    <x:s v="12267"/>
    <x:s v="CO"/>
    <x:s v="BO-12267"/>
    <x:s v="QUIJANO MEJIA DE VIDAL RITA FAURA"/>
    <x:s v="06185777"/>
    <x:s v="PONCE TORRES YANISEY"/>
    <x:m/>
    <x:s v="CRISTINA"/>
    <x:s v="0071397"/>
    <x:s v="991456955"/>
    <x:s v="QUIJANO MEJIA DE VIDAL RITA FAURA"/>
    <x:s v="89061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s v="193-13173124085"/>
    <x:n v="30"/>
  </x:r>
  <x:r>
    <x:d v="2026-08-12T00:00:00Z"/>
    <x:x v="2"/>
    <x:s v="103890"/>
    <x:s v="BO"/>
    <x:s v="12273"/>
    <x:s v="CO"/>
    <x:s v="BO-12273"/>
    <x:s v="ALVAREZ CHAVEZ HUBERT"/>
    <x:s v="40400731"/>
    <x:s v="LEON SUAREZ LUIS"/>
    <x:m/>
    <x:s v="CRISTINA"/>
    <x:s v="0050342"/>
    <x:s v="959965071"/>
    <x:s v="ALVAREZ CHAVEZ HUBERT"/>
    <x:s v="90769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12T00:00:00Z"/>
    <x:x v="2"/>
    <x:s v="103927"/>
    <x:s v="BO"/>
    <x:s v="12276"/>
    <x:s v="CO"/>
    <x:s v="BO-12276"/>
    <x:s v="ARANGO TABOADA EFE JUAN GUALBERTO"/>
    <x:s v="06849741"/>
    <x:s v="HUAMAN GONZALEZ JORGE ANTONIO"/>
    <x:s v="POLICLINICO SAN JUAN DE MIRAFLORES"/>
    <x:s v="CRISTINA"/>
    <x:s v="0054184"/>
    <x:s v="945060166"/>
    <x:s v="ARANGO TABOADA EFE JUAN GUALBERTO"/>
    <x:s v="90812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0543337"/>
    <x:s v="193-76554045016"/>
    <x:n v="30"/>
  </x:r>
  <x:r>
    <x:d v="2026-08-12T00:00:00Z"/>
    <x:x v="2"/>
    <x:s v="103927"/>
    <x:s v="BO"/>
    <x:s v="12276"/>
    <x:s v="CO"/>
    <x:s v="BO-12276"/>
    <x:s v="ARANGO TABOADA EFE JUAN GUALBERTO"/>
    <x:s v="06849741"/>
    <x:s v="HUAMAN GONZALEZ JORGE ANTONIO"/>
    <x:s v="POLICLINICO SAN JUAN DE MIRAFLORES"/>
    <x:s v="CRISTINA"/>
    <x:s v="0054184"/>
    <x:s v="945060166"/>
    <x:s v="ARANGO TABOADA EFE JUAN GUALBERTO"/>
    <x:s v="90812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0543337"/>
    <x:s v="193-76554045016"/>
    <x:n v="30"/>
  </x:r>
  <x:r>
    <x:d v="2026-08-12T00:00:00Z"/>
    <x:x v="2"/>
    <x:s v="103962"/>
    <x:s v="BO"/>
    <x:s v="6094"/>
    <x:s v="CO"/>
    <x:s v="BO-6094"/>
    <x:s v="MARTINEZ SOPLIN MICAELA"/>
    <x:s v="04522025"/>
    <x:s v="BACA CHAVEZ MERCEDES"/>
    <x:s v="CONSULTORIO PARTICULAR"/>
    <x:s v="CRISTINA"/>
    <x:s v="0072518"/>
    <x:s v="992267851"/>
    <x:s v="MARTINEZ SOPLIN MICAELA"/>
    <x:s v="90841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44212985"/>
    <x:m/>
    <x:n v="30"/>
  </x:r>
  <x:r>
    <x:d v="2026-08-12T00:00:00Z"/>
    <x:x v="2"/>
    <x:s v="103984"/>
    <x:s v="BO"/>
    <x:s v="4908"/>
    <x:s v="CO"/>
    <x:s v="BO-4908"/>
    <x:s v="NEVES GARCIA JUAN FERNANDO"/>
    <x:s v="08604575"/>
    <x:s v="ENCISO QUILLA KARIN"/>
    <x:s v="SISOL DE LOS OLIVOS"/>
    <x:s v="CRISTINA"/>
    <x:s v="0009916"/>
    <x:s v="950418896"/>
    <x:s v="ENCISO QUILLA KARIN"/>
    <x:s v="90849"/>
    <x:x v="9"/>
    <x:n v="1"/>
    <x:s v="PRECISA LN"/>
    <x:s v="POR ASIGNAR"/>
    <x:s v="INSTITUTO MEDICO QUIRURGICO AREQUIPA S.A"/>
    <x:s v="L.NORTE"/>
    <x:s v="AALARCON"/>
    <x:n v="0"/>
    <x:s v="LN. CIRUGIA"/>
    <x:s v="CIAS. DE SEGURO"/>
    <x:s v="NORTE"/>
    <x:n v="950418896"/>
    <x:m/>
    <x:m/>
  </x:r>
  <x:r>
    <x:d v="2026-08-12T00:00:00Z"/>
    <x:x v="2"/>
    <x:s v="103984"/>
    <x:s v="BO"/>
    <x:s v="4908"/>
    <x:s v="CO"/>
    <x:s v="BO-4908"/>
    <x:s v="NEVES GARCIA JUAN FERNANDO"/>
    <x:s v="08604575"/>
    <x:s v="ENCISO QUILLA KARIN"/>
    <x:s v="SISOL DE LOS OLIVOS"/>
    <x:s v="CRISTINA"/>
    <x:s v="0009916"/>
    <x:s v="950418896"/>
    <x:s v="ENCISO QUILLA KARIN"/>
    <x:s v="90849"/>
    <x:x v="30"/>
    <x:n v="1"/>
    <x:s v="PRECISA LN"/>
    <x:s v="POR ASIGNAR"/>
    <x:s v="INSTITUTO MEDICO QUIRURGICO AREQUIPA S.A"/>
    <x:s v="L.NORTE"/>
    <x:s v="AALARCON"/>
    <x:n v="139.83"/>
    <x:s v="LN. CIRUGIA"/>
    <x:s v="CIAS. DE SEGURO"/>
    <x:s v="NORTE"/>
    <x:n v="950418896"/>
    <x:m/>
    <x:m/>
  </x:r>
  <x:r>
    <x:d v="2026-08-13T00:00:00Z"/>
    <x:x v="2"/>
    <x:s v="104029"/>
    <x:s v="BO"/>
    <x:s v="6102"/>
    <x:s v="CO"/>
    <x:s v="BO-6102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2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3T00:00:00Z"/>
    <x:x v="2"/>
    <x:s v="104029"/>
    <x:s v="BO"/>
    <x:s v="6102"/>
    <x:s v="CO"/>
    <x:s v="BO-6102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2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8-13T00:00:00Z"/>
    <x:x v="2"/>
    <x:s v="104029"/>
    <x:s v="BO"/>
    <x:s v="6102"/>
    <x:s v="CO"/>
    <x:s v="BO-6102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2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3T00:00:00Z"/>
    <x:x v="2"/>
    <x:s v="104029"/>
    <x:s v="BO"/>
    <x:s v="6102"/>
    <x:s v="CO"/>
    <x:s v="BO-6102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2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8-13T00:00:00Z"/>
    <x:x v="2"/>
    <x:s v="104029"/>
    <x:s v="BO"/>
    <x:s v="6102"/>
    <x:s v="CO"/>
    <x:s v="BO-6102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2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8-13T00:00:00Z"/>
    <x:x v="2"/>
    <x:s v="104030"/>
    <x:s v="BO"/>
    <x:s v="6103"/>
    <x:s v="CO"/>
    <x:s v="BO-6103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3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8-13T00:00:00Z"/>
    <x:x v="2"/>
    <x:s v="104031"/>
    <x:s v="BO"/>
    <x:s v="6104"/>
    <x:s v="CO"/>
    <x:s v="BO-6104"/>
    <x:s v="ACUÑA OROSCO DE GONZALES MARGARITA"/>
    <x:s v="31123215"/>
    <x:s v="FIERRO LEANDRO"/>
    <x:s v="POLICLÍNICO DIVINO NIÑO JESÚS"/>
    <x:s v="CRISTINA"/>
    <x:s v="0072500"/>
    <x:s v="920185385"/>
    <x:s v="ACUÑA OROSCO DE GONZALES MARGARITA"/>
    <x:s v="90904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13T00:00:00Z"/>
    <x:x v="2"/>
    <x:s v="104034"/>
    <x:s v="BO"/>
    <x:s v="12284"/>
    <x:s v="CO"/>
    <x:s v="BO-12284"/>
    <x:s v="BAILON VASQUEZ BETSABE"/>
    <x:s v="48619707"/>
    <x:s v="ORNA ACOSTA JORGE AQUILES"/>
    <x:s v="HOSPITAL LOAYZA"/>
    <x:s v="CRISTINA"/>
    <x:s v="0072549"/>
    <x:s v="96972619"/>
    <x:s v="BAILON VASQUEZ BETSABE"/>
    <x:s v="90907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996347"/>
    <x:s v="052-7510523"/>
    <x:n v="50"/>
  </x:r>
  <x:r>
    <x:d v="2026-08-13T00:00:00Z"/>
    <x:x v="2"/>
    <x:s v="104057"/>
    <x:s v="BO"/>
    <x:s v="6108"/>
    <x:s v="CO"/>
    <x:s v="BO-6108"/>
    <x:s v="ARO RAFAELA DE PAZOS MAGDALENA JUSTINA"/>
    <x:s v="15649921"/>
    <x:m/>
    <x:m/>
    <x:s v="CRISTINA"/>
    <x:s v="0072553"/>
    <x:s v="985469921"/>
    <x:s v="ARO RAFAELA DE PAZOS MAGDALENA JUSTINA"/>
    <x:s v="90925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13T00:00:00Z"/>
    <x:x v="2"/>
    <x:s v="104061"/>
    <x:s v="BO"/>
    <x:s v="6110"/>
    <x:s v="CO"/>
    <x:s v="BO-6110"/>
    <x:s v="TORRES BUSTAMANTE JUANA"/>
    <x:s v="33782970"/>
    <x:s v="AGRAMONTE ZEA EDILBERTO"/>
    <x:s v="HOSPITAL DE LA SOLIDARIDAD SJL"/>
    <x:s v="CRISTINA"/>
    <x:s v="0059021"/>
    <x:s v="942278384"/>
    <x:s v="TORRES BUSTAMANTE JUANA"/>
    <x:s v="90930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7407712"/>
    <x:s v="0011-0190-0200333106"/>
    <x:n v="50"/>
  </x:r>
  <x:r>
    <x:d v="2026-08-13T00:00:00Z"/>
    <x:x v="2"/>
    <x:s v="104065"/>
    <x:s v="BO"/>
    <x:s v="12293"/>
    <x:s v="CO"/>
    <x:s v="BO-12293"/>
    <x:s v="RUIZ PACCO ALBERTO"/>
    <x:s v="00059278"/>
    <x:s v="HUARANGA RUIZ CORNEJO JORGE ERNESTO"/>
    <x:s v="HOSPITAL MONGRUT"/>
    <x:s v="CRISTINA"/>
    <x:s v="0072558"/>
    <x:s v="947769091"/>
    <x:s v="RUIZ PACCO ALBERTO"/>
    <x:s v="90932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45319366"/>
    <x:s v="194-94066798065"/>
    <x:n v="30"/>
  </x:r>
  <x:r>
    <x:d v="2026-08-13T00:00:00Z"/>
    <x:x v="2"/>
    <x:s v="104071"/>
    <x:s v="BO"/>
    <x:s v="12294"/>
    <x:s v="CO"/>
    <x:s v="BO-12294"/>
    <x:s v="LOPEZ SAAVEDRA KEVIN"/>
    <x:s v="76775008"/>
    <x:s v="MARIN CHAVEZ JUAN JOSE"/>
    <x:s v="HOSPITAL DE LA MARINA"/>
    <x:s v="CRISTINA"/>
    <x:s v="0072560"/>
    <x:s v="966356472"/>
    <x:s v="LOPEZ SAAVEDRA KEVIN"/>
    <x:s v="90937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83056"/>
    <x:m/>
    <x:n v="50"/>
  </x:r>
  <x:r>
    <x:d v="2026-08-13T00:00:00Z"/>
    <x:x v="2"/>
    <x:s v="104089"/>
    <x:s v="BO"/>
    <x:s v="6111"/>
    <x:s v="CO"/>
    <x:s v="BO-6111"/>
    <x:s v="FRISANCHO HILARIO EDUARDO JAVIER"/>
    <x:s v="77692774"/>
    <x:s v="PONCE TORRES YANISEY"/>
    <x:m/>
    <x:s v="CRISTINA"/>
    <x:s v="0072554"/>
    <x:s v="963320418"/>
    <x:s v="FRISANCHO HILARIO EDUARDO JAVIER"/>
    <x:s v="90927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s v="193-13173124085"/>
    <x:n v="30"/>
  </x:r>
  <x:r>
    <x:d v="2026-08-14T00:00:00Z"/>
    <x:x v="2"/>
    <x:s v="104133"/>
    <x:s v="BO"/>
    <x:s v="6112"/>
    <x:s v="CO"/>
    <x:s v="BO-6112"/>
    <x:s v="PICHINI MULLUNI DIONICIA"/>
    <x:s v="10375696"/>
    <x:s v="JAVE ESCALANTE LIZETH"/>
    <x:s v="HOSPITAL LOAYZA"/>
    <x:s v="CRISTINA"/>
    <x:s v="0072585"/>
    <x:s v="999505405"/>
    <x:s v="PICHINI MULLUNI DIONICIA"/>
    <x:s v="90981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9111362"/>
    <x:s v="200-3076497260"/>
    <x:n v="50"/>
  </x:r>
  <x:r>
    <x:d v="2026-08-14T00:00:00Z"/>
    <x:x v="2"/>
    <x:s v="104151"/>
    <x:s v="BO"/>
    <x:s v="12303"/>
    <x:s v="CO"/>
    <x:s v="BO-12303"/>
    <x:s v="OCHOA QUIROZ GERSON ALDO"/>
    <x:s v="75823130"/>
    <x:s v="SANCHEZ CUEVA SERGIO"/>
    <x:m/>
    <x:s v="CRISTINA"/>
    <x:s v="0072591"/>
    <x:s v="982917752"/>
    <x:s v="OCHOA QUIROZ GERSON ALDO"/>
    <x:s v="91006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8-14T00:00:00Z"/>
    <x:x v="2"/>
    <x:s v="104159"/>
    <x:s v="FA"/>
    <x:s v="585"/>
    <x:s v="CO"/>
    <x:s v="FA-585"/>
    <x:s v="FLORES YANAVILCA MARILU"/>
    <x:s v="16139638"/>
    <x:s v="PALACIOS URIBE PAMELA CAROLINA"/>
    <x:m/>
    <x:s v="CRISTINA"/>
    <x:s v="0064953"/>
    <x:s v="47857854"/>
    <x:s v="GRUPO MVP S.A.C."/>
    <x:s v="9071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14T00:00:00Z"/>
    <x:x v="2"/>
    <x:s v="104159"/>
    <x:s v="FA"/>
    <x:s v="585"/>
    <x:s v="CO"/>
    <x:s v="FA-585"/>
    <x:s v="FLORES YANAVILCA MARILU"/>
    <x:s v="16139638"/>
    <x:s v="PALACIOS URIBE PAMELA CAROLINA"/>
    <x:m/>
    <x:s v="CRISTINA"/>
    <x:s v="0064953"/>
    <x:s v="47857854"/>
    <x:s v="GRUPO MVP S.A.C."/>
    <x:s v="90713"/>
    <x:x v="29"/>
    <x:n v="1"/>
    <x:s v="PRECISA"/>
    <x:s v="INSTITUTO MEDICO QUIRURGICO AREQUIPA S.A"/>
    <x:s v="INSTITUTO MEDICO QUIRURGICO AREQUIPA S.A"/>
    <x:s v="L.CENTRO"/>
    <x:s v="ACABRERA"/>
    <x:n v="139.83"/>
    <x:s v="LN. CIRUGIA"/>
    <x:s v="CIAS. DE SEGURO"/>
    <x:s v="CENTRO"/>
    <x:m/>
    <x:m/>
    <x:m/>
  </x:r>
  <x:r>
    <x:d v="2026-08-14T00:00:00Z"/>
    <x:x v="2"/>
    <x:s v="104162"/>
    <x:s v="FA"/>
    <x:s v="586"/>
    <x:s v="CO"/>
    <x:s v="FA-586"/>
    <x:s v="ARO RAFAELA DE PAZOS MAGDALENA JUSTINA"/>
    <x:s v="15649921"/>
    <x:m/>
    <x:m/>
    <x:s v="CRISTINA"/>
    <x:s v="0072553"/>
    <x:s v="985469921"/>
    <x:s v="GRUPO MEDICO INTEGRAL SOCIEDAD ANONIMA CERRADA"/>
    <x:s v="9097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14T00:00:00Z"/>
    <x:x v="2"/>
    <x:s v="104162"/>
    <x:s v="FA"/>
    <x:s v="586"/>
    <x:s v="CO"/>
    <x:s v="FA-586"/>
    <x:s v="ARO RAFAELA DE PAZOS MAGDALENA JUSTINA"/>
    <x:s v="15649921"/>
    <x:m/>
    <x:m/>
    <x:s v="CRISTINA"/>
    <x:s v="0072553"/>
    <x:s v="985469921"/>
    <x:s v="GRUPO MEDICO INTEGRAL SOCIEDAD ANONIMA CERRADA"/>
    <x:s v="90973"/>
    <x:x v="10"/>
    <x:n v="1"/>
    <x:s v="PRECISA"/>
    <x:s v="INSTITUTO MEDICO QUIRURGICO AREQUIPA S.A"/>
    <x:s v="INSTITUTO MEDICO QUIRURGICO AREQUIPA S.A"/>
    <x:s v="L.CENTRO"/>
    <x:s v="ACABRERA"/>
    <x:n v="1525.42"/>
    <x:s v="LN. CIRUGIA"/>
    <x:s v="CIAS. DE SEGURO"/>
    <x:s v="CENTRO"/>
    <x:m/>
    <x:m/>
    <x:m/>
  </x:r>
  <x:r>
    <x:d v="2026-08-14T00:00:00Z"/>
    <x:x v="2"/>
    <x:s v="104186"/>
    <x:s v="BO"/>
    <x:s v="6117"/>
    <x:s v="CO"/>
    <x:s v="BO-6117"/>
    <x:s v="DE LA CRUZ YUPANQUI CARLOS LEONCIO"/>
    <x:s v="42308337"/>
    <x:s v="ACOSTA VIERA ALVARO"/>
    <x:s v="CONSULTORIO PARTICULAR"/>
    <x:s v="CRISTINA"/>
    <x:s v="0072587"/>
    <x:s v="958500043"/>
    <x:s v="DE LA CRUZ YUPANQUI CARLOS LEONCIO"/>
    <x:s v="91032"/>
    <x:x v="21"/>
    <x:n v="1"/>
    <x:s v="PRECISA"/>
    <x:s v="INSTITUTO MEDICO QUIRURGICO AREQUIPA S.A"/>
    <x:s v="INSTITUTO MEDICO QUIRURGICO AREQUIPA S.A"/>
    <x:s v="L.CENTRO"/>
    <x:s v="ACABRERA"/>
    <x:n v="338.98"/>
    <x:s v="LN. EXAMENES"/>
    <x:s v="CIAS. DE SEGURO"/>
    <x:s v="CENTRO"/>
    <x:n v="969791876"/>
    <x:s v="0011-0814-0256063048"/>
    <x:n v="100"/>
  </x:r>
  <x:r>
    <x:d v="2026-08-15T00:00:00Z"/>
    <x:x v="2"/>
    <x:s v="104293"/>
    <x:s v="BO"/>
    <x:s v="12327"/>
    <x:s v="CO"/>
    <x:s v="BO-12327"/>
    <x:s v="LUNA LOVON GENARA"/>
    <x:s v="48606629"/>
    <x:s v="GUTARRA PAUCAR JULIA KARINA"/>
    <x:s v="CLÍNICA SAN CAMILO"/>
    <x:s v="CRISTINA"/>
    <x:s v="0072652"/>
    <x:s v="987305241"/>
    <x:s v="LUNA LOVON GENARA"/>
    <x:s v="9111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2673362"/>
    <x:s v="0011-0353-0200308107"/>
    <x:n v="30"/>
  </x:r>
  <x:r>
    <x:d v="2026-08-15T00:00:00Z"/>
    <x:x v="2"/>
    <x:s v="104337"/>
    <x:s v="BO"/>
    <x:s v="6132"/>
    <x:s v="CO"/>
    <x:s v="BO-6132"/>
    <x:s v="RUIZ MARTINEZ JOSE DEL CARMEN"/>
    <x:s v="06174846"/>
    <x:s v="TERAN SANCHEZ GUILLERMO ALFONSO"/>
    <x:s v="HOSPITAL LOAYZA"/>
    <x:s v="CRISTINA"/>
    <x:s v="0072659"/>
    <x:s v="941920004"/>
    <x:s v="RUIZ MARTINEZ JOSE DEL CARMEN"/>
    <x:s v="91151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3496032"/>
    <x:s v="135-3012737506"/>
    <x:n v="30"/>
  </x:r>
  <x:r>
    <x:d v="2026-08-15T00:00:00Z"/>
    <x:x v="2"/>
    <x:s v="104339"/>
    <x:s v="FA"/>
    <x:s v="587"/>
    <x:s v="CO"/>
    <x:s v="FA-587"/>
    <x:s v="CASAS CANA DE VILLAGOMEZ LAURA"/>
    <x:s v="16142437"/>
    <x:m/>
    <x:m/>
    <x:s v="CRISTINA"/>
    <x:s v="0072637"/>
    <x:s v="9321375556"/>
    <x:s v="VISION SANTA LUCIA S.A.C."/>
    <x:s v="91153"/>
    <x:x v="11"/>
    <x:n v="2"/>
    <x:s v="PRECISA"/>
    <x:s v="INSTITUTO MEDICO QUIRURGICO AREQUIPA S.A"/>
    <x:s v="INSTITUTO MEDICO QUIRURGICO AREQUIPA S.A"/>
    <x:s v="L.CENTRO"/>
    <x:s v="ACABRERA"/>
    <x:n v="203.39"/>
    <x:s v="LN. PROCEDIMIENTO"/>
    <x:s v="CIAS. DE SEGURO"/>
    <x:s v="CENTRO"/>
    <x:m/>
    <x:m/>
    <x:m/>
  </x:r>
  <x:r>
    <x:d v="2026-08-17T00:00:00Z"/>
    <x:x v="2"/>
    <x:s v="104403"/>
    <x:s v="BO"/>
    <x:s v="12341"/>
    <x:s v="CO"/>
    <x:s v="BO-12341"/>
    <x:s v="ZARATE VASQUEZ ELSA"/>
    <x:s v="08659968"/>
    <x:s v="JAVE ESCALANTE LIZETH"/>
    <x:s v="HOSPITAL LOAYZA"/>
    <x:s v="CRISTINA"/>
    <x:s v="0072681"/>
    <x:s v="945431392"/>
    <x:s v="ZARATE VASQUEZ ELSA"/>
    <x:s v="91207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111362"/>
    <x:s v="200-3076497260"/>
    <x:n v="50"/>
  </x:r>
  <x:r>
    <x:d v="2026-08-17T00:00:00Z"/>
    <x:x v="2"/>
    <x:s v="104409"/>
    <x:s v="BO"/>
    <x:s v="4470"/>
    <x:s v="CO"/>
    <x:s v="BO-4470"/>
    <x:s v="ROSALES OCAÑA LUIS"/>
    <x:s v="32485205"/>
    <x:s v="HUAMAN RIOS LUIS ENRIQUE"/>
    <x:s v="HOSPITAL SERGIO BERNALES"/>
    <x:s v="CRISTINA"/>
    <x:s v="0067201"/>
    <x:s v="964597147"/>
    <x:s v="ROSALES OCAÑA LUIS"/>
    <x:s v="91213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9986041"/>
    <x:s v="191-30583545068"/>
    <x:n v="50"/>
  </x:r>
  <x:r>
    <x:d v="2026-08-17T00:00:00Z"/>
    <x:x v="2"/>
    <x:s v="104460"/>
    <x:s v="BO"/>
    <x:s v="12348"/>
    <x:s v="CO"/>
    <x:s v="BO-12348"/>
    <x:s v="CURO CHIMAYCO MARIA SOCORRO"/>
    <x:s v="28290838"/>
    <x:s v="REYES DIAZ JORGE RICARDO"/>
    <x:s v="HOSPITAL CAYETANO HEREDIA"/>
    <x:s v="CRISTINA"/>
    <x:s v="0072701"/>
    <x:s v="944473366"/>
    <x:s v="CURO CHIMAYCO MARIA SOCORRO"/>
    <x:s v="91239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9418834"/>
    <x:s v="193-05549355007"/>
    <x:n v="30"/>
  </x:r>
  <x:r>
    <x:d v="2026-08-17T00:00:00Z"/>
    <x:x v="2"/>
    <x:s v="104467"/>
    <x:s v="FA"/>
    <x:s v="588"/>
    <x:s v="CO"/>
    <x:s v="FA-588"/>
    <x:s v="FERNANDEZ CUADROS HUGO VALENTIN"/>
    <x:s v="06917453"/>
    <x:s v="FERNANDEZ GUTIERREZ OLGA PATRICIA"/>
    <x:s v="CONSULTORIO PARTICULAR"/>
    <x:s v="CRISTINA"/>
    <x:s v="0072702"/>
    <x:s v="992083879"/>
    <x:s v="VEFER OFTALMOLOGOS S.A.C."/>
    <x:s v="91249"/>
    <x:x v="11"/>
    <x:n v="1"/>
    <x:s v="PRECISA"/>
    <x:s v="INSTITUTO MEDICO QUIRURGICO AREQUIPA S.A"/>
    <x:s v="INSTITUTO MEDICO QUIRURGICO AREQUIPA S.A"/>
    <x:s v="L.CENTRO"/>
    <x:s v="ACABRERA"/>
    <x:n v="101.69"/>
    <x:s v="LN. PROCEDIMIENTO"/>
    <x:s v="CIAS. DE SEGURO"/>
    <x:s v="CENTRO"/>
    <x:n v="982536223"/>
    <x:s v="107-3174605363"/>
    <x:m/>
  </x:r>
  <x:r>
    <x:d v="2026-08-18T00:00:00Z"/>
    <x:x v="2"/>
    <x:s v="104512"/>
    <x:s v="BO"/>
    <x:s v="12360"/>
    <x:s v="CO"/>
    <x:s v="BO-12360"/>
    <x:s v="COLLANTES DE LOS SANTOS PEDRO PABLO"/>
    <x:s v="15718176"/>
    <x:s v="LOPEZ ESPINOZA JHON"/>
    <x:m/>
    <x:s v="CRISTINA"/>
    <x:s v="0072683"/>
    <x:s v="999999999"/>
    <x:s v="COLLANTES DE LOS SANTOS PEDRO PABLO"/>
    <x:s v="91282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s v="191-38880905040"/>
    <x:n v="30"/>
  </x:r>
  <x:r>
    <x:d v="2026-08-18T00:00:00Z"/>
    <x:x v="2"/>
    <x:s v="104512"/>
    <x:s v="BO"/>
    <x:s v="12360"/>
    <x:s v="CO"/>
    <x:s v="BO-12360"/>
    <x:s v="COLLANTES DE LOS SANTOS PEDRO PABLO"/>
    <x:s v="15718176"/>
    <x:s v="LOPEZ ESPINOZA JHON"/>
    <x:m/>
    <x:s v="CRISTINA"/>
    <x:s v="0072683"/>
    <x:s v="999999999"/>
    <x:s v="COLLANTES DE LOS SANTOS PEDRO PABLO"/>
    <x:s v="91282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s v="191-38880905040"/>
    <x:n v="30"/>
  </x:r>
  <x:r>
    <x:d v="2026-08-18T00:00:00Z"/>
    <x:x v="2"/>
    <x:s v="104523"/>
    <x:s v="BO"/>
    <x:s v="12362"/>
    <x:s v="CO"/>
    <x:s v="BO-12362"/>
    <x:s v="QUISPE RICRA MAGDALENA"/>
    <x:s v="08556216"/>
    <x:s v="FIERRO LEANDRO"/>
    <x:s v="POLICLÍNICO DIVINO NIÑO JESÚS"/>
    <x:s v="CRISTINA"/>
    <x:s v="0071181"/>
    <x:s v="962629251"/>
    <x:s v="QUISPE RICRA MAGDALENA"/>
    <x:s v="91293"/>
    <x:x v="16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8-18T00:00:00Z"/>
    <x:x v="2"/>
    <x:s v="104523"/>
    <x:s v="BO"/>
    <x:s v="12362"/>
    <x:s v="CO"/>
    <x:s v="BO-12362"/>
    <x:s v="QUISPE RICRA MAGDALENA"/>
    <x:s v="08556216"/>
    <x:s v="FIERRO LEANDRO"/>
    <x:s v="POLICLÍNICO DIVINO NIÑO JESÚS"/>
    <x:s v="CRISTINA"/>
    <x:s v="0071181"/>
    <x:s v="962629251"/>
    <x:s v="QUISPE RICRA MAGDALENA"/>
    <x:s v="91293"/>
    <x:x v="17"/>
    <x:n v="1"/>
    <x:s v="PRECISA"/>
    <x:s v="INSTITUTO MEDICO QUIRURGICO AREQUIPA S.A"/>
    <x:s v="INSTITUTO MEDICO QUIRURGICO AREQUIPA S.A"/>
    <x:s v="L.CENTRO"/>
    <x:s v="LMAGAN"/>
    <x:n v="21.19"/>
    <x:s v="LN. LABORATORIO"/>
    <x:s v="CIAS. DE SEGURO"/>
    <x:s v="CENTRO"/>
    <x:m/>
    <x:m/>
    <x:m/>
  </x:r>
  <x:r>
    <x:d v="2026-08-18T00:00:00Z"/>
    <x:x v="2"/>
    <x:s v="104523"/>
    <x:s v="BO"/>
    <x:s v="12362"/>
    <x:s v="CO"/>
    <x:s v="BO-12362"/>
    <x:s v="QUISPE RICRA MAGDALENA"/>
    <x:s v="08556216"/>
    <x:s v="FIERRO LEANDRO"/>
    <x:s v="POLICLÍNICO DIVINO NIÑO JESÚS"/>
    <x:s v="CRISTINA"/>
    <x:s v="0071181"/>
    <x:s v="962629251"/>
    <x:s v="QUISPE RICRA MAGDALENA"/>
    <x:s v="91293"/>
    <x:x v="18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8-18T00:00:00Z"/>
    <x:x v="2"/>
    <x:s v="104523"/>
    <x:s v="BO"/>
    <x:s v="12362"/>
    <x:s v="CO"/>
    <x:s v="BO-12362"/>
    <x:s v="QUISPE RICRA MAGDALENA"/>
    <x:s v="08556216"/>
    <x:s v="FIERRO LEANDRO"/>
    <x:s v="POLICLÍNICO DIVINO NIÑO JESÚS"/>
    <x:s v="CRISTINA"/>
    <x:s v="0071181"/>
    <x:s v="962629251"/>
    <x:s v="QUISPE RICRA MAGDALENA"/>
    <x:s v="91293"/>
    <x:x v="19"/>
    <x:n v="1"/>
    <x:s v="PRECISA"/>
    <x:s v="INSTITUTO MEDICO QUIRURGICO AREQUIPA S.A"/>
    <x:s v="INSTITUTO MEDICO QUIRURGICO AREQUIPA S.A"/>
    <x:s v="L.CENTRO"/>
    <x:s v="LMAGAN"/>
    <x:n v="12.71"/>
    <x:s v="LN. LABORATORIO"/>
    <x:s v="CIAS. DE SEGURO"/>
    <x:s v="CENTRO"/>
    <x:m/>
    <x:m/>
    <x:m/>
  </x:r>
  <x:r>
    <x:d v="2026-08-18T00:00:00Z"/>
    <x:x v="2"/>
    <x:s v="104523"/>
    <x:s v="BO"/>
    <x:s v="12362"/>
    <x:s v="CO"/>
    <x:s v="BO-12362"/>
    <x:s v="QUISPE RICRA MAGDALENA"/>
    <x:s v="08556216"/>
    <x:s v="FIERRO LEANDRO"/>
    <x:s v="POLICLÍNICO DIVINO NIÑO JESÚS"/>
    <x:s v="CRISTINA"/>
    <x:s v="0071181"/>
    <x:s v="962629251"/>
    <x:s v="QUISPE RICRA MAGDALENA"/>
    <x:s v="91293"/>
    <x:x v="20"/>
    <x:n v="1"/>
    <x:s v="PRECISA"/>
    <x:s v="INSTITUTO MEDICO QUIRURGICO AREQUIPA S.A"/>
    <x:s v="INSTITUTO MEDICO QUIRURGICO AREQUIPA S.A"/>
    <x:s v="L.CENTRO"/>
    <x:s v="LMAGAN"/>
    <x:n v="50.85"/>
    <x:s v="LN. LABORATORIO"/>
    <x:s v="CIAS. DE SEGURO"/>
    <x:s v="CENTRO"/>
    <x:m/>
    <x:m/>
    <x:m/>
  </x:r>
  <x:r>
    <x:d v="2026-08-18T00:00:00Z"/>
    <x:x v="2"/>
    <x:s v="104524"/>
    <x:s v="BO"/>
    <x:s v="12363"/>
    <x:s v="CO"/>
    <x:s v="BO-12363"/>
    <x:s v="QUISPE RICRA MAGDALENA"/>
    <x:s v="08556216"/>
    <x:s v="LOPEZ ESPINOZA JHON"/>
    <x:m/>
    <x:s v="CRISTINA"/>
    <x:s v="0071181"/>
    <x:s v="962629251"/>
    <x:s v="QUISPE RICRA MAGDALENA"/>
    <x:s v="91294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s v="191-38880905040"/>
    <x:n v="30"/>
  </x:r>
  <x:r>
    <x:d v="2026-08-18T00:00:00Z"/>
    <x:x v="2"/>
    <x:s v="104524"/>
    <x:s v="BO"/>
    <x:s v="12363"/>
    <x:s v="CO"/>
    <x:s v="BO-12363"/>
    <x:s v="QUISPE RICRA MAGDALENA"/>
    <x:s v="08556216"/>
    <x:s v="LOPEZ ESPINOZA JHON"/>
    <x:m/>
    <x:s v="CRISTINA"/>
    <x:s v="0071181"/>
    <x:s v="962629251"/>
    <x:s v="QUISPE RICRA MAGDALENA"/>
    <x:s v="91294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s v="191-38880905040"/>
    <x:n v="30"/>
  </x:r>
  <x:r>
    <x:d v="2026-08-18T00:00:00Z"/>
    <x:x v="2"/>
    <x:s v="104528"/>
    <x:s v="BO"/>
    <x:s v="12365"/>
    <x:s v="CO"/>
    <x:s v="BO-12365"/>
    <x:s v="MORON MEDINA JOEL NARCISO"/>
    <x:s v="08795354"/>
    <x:s v="AGRAMONTE ZEA EDILBERTO"/>
    <x:s v="HOSPITAL DE LA SOLIDARIDAD SJL"/>
    <x:s v="CRISTINA"/>
    <x:s v="0072729"/>
    <x:s v="920656451"/>
    <x:s v="MORON MEDINA JOEL NARCISO"/>
    <x:s v="91307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8-18T00:00:00Z"/>
    <x:x v="2"/>
    <x:s v="104543"/>
    <x:s v="BO"/>
    <x:s v="12366"/>
    <x:s v="CO"/>
    <x:s v="BO-12366"/>
    <x:s v="RAMOS MORALES ESTELA OLINDA"/>
    <x:s v="22296854"/>
    <x:s v="JAVE ESCALANTE LIZETH"/>
    <x:s v="HOSPITAL LOAYZA"/>
    <x:s v="CRISTINA"/>
    <x:s v="0072682"/>
    <x:s v="950407513"/>
    <x:s v="RAMOS MORALES ESTELA OLINDA"/>
    <x:s v="91313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n v="999111362"/>
    <x:s v="200-3076497260"/>
    <x:n v="30"/>
  </x:r>
  <x:r>
    <x:d v="2026-08-18T00:00:00Z"/>
    <x:x v="2"/>
    <x:s v="104543"/>
    <x:s v="BO"/>
    <x:s v="12366"/>
    <x:s v="CO"/>
    <x:s v="BO-12366"/>
    <x:s v="RAMOS MORALES ESTELA OLINDA"/>
    <x:s v="22296854"/>
    <x:s v="JAVE ESCALANTE LIZETH"/>
    <x:s v="HOSPITAL LOAYZA"/>
    <x:s v="CRISTINA"/>
    <x:s v="0072682"/>
    <x:s v="950407513"/>
    <x:s v="RAMOS MORALES ESTELA OLINDA"/>
    <x:s v="91313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n v="999111362"/>
    <x:s v="200-3076497260"/>
    <x:n v="30"/>
  </x:r>
  <x:r>
    <x:d v="2026-08-18T00:00:00Z"/>
    <x:x v="2"/>
    <x:s v="104544"/>
    <x:s v="BO"/>
    <x:s v="12367"/>
    <x:s v="CO"/>
    <x:s v="BO-12367"/>
    <x:s v="ROSALES ESPINOZA MILCA LUCIA"/>
    <x:s v="32122873"/>
    <x:s v="FIERRO LEANDRO"/>
    <x:s v="POLICLÍNICO DIVINO NIÑO JESÚS"/>
    <x:s v="CRISTINA"/>
    <x:s v="0072731"/>
    <x:s v="955005846"/>
    <x:s v="ROSALES ESPINOZA MILCA LUCIA"/>
    <x:s v="91314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8-18T00:00:00Z"/>
    <x:x v="2"/>
    <x:s v="104544"/>
    <x:s v="BO"/>
    <x:s v="12367"/>
    <x:s v="CO"/>
    <x:s v="BO-12367"/>
    <x:s v="ROSALES ESPINOZA MILCA LUCIA"/>
    <x:s v="32122873"/>
    <x:s v="FIERRO LEANDRO"/>
    <x:s v="POLICLÍNICO DIVINO NIÑO JESÚS"/>
    <x:s v="CRISTINA"/>
    <x:s v="0072731"/>
    <x:s v="955005846"/>
    <x:s v="ROSALES ESPINOZA MILCA LUCIA"/>
    <x:s v="91314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8-18T00:00:00Z"/>
    <x:x v="2"/>
    <x:s v="104557"/>
    <x:s v="BO"/>
    <x:s v="12369"/>
    <x:s v="CO"/>
    <x:s v="BO-12369"/>
    <x:s v="GIRAO RAMOS XIOMARA AYELEN"/>
    <x:s v="73048925"/>
    <x:s v="PEREZ MARTINOT MANUEL RAUL"/>
    <x:s v="CONSULTORIO"/>
    <x:s v="CRISTINA"/>
    <x:s v="0072734"/>
    <x:s v="950407513"/>
    <x:s v="GIRAO RAMOS XIOMARA AYELEN"/>
    <x:s v="91330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700200"/>
    <x:s v="194-25565979019"/>
    <x:n v="50"/>
  </x:r>
  <x:r>
    <x:d v="2026-08-18T00:00:00Z"/>
    <x:x v="2"/>
    <x:s v="104563"/>
    <x:s v="FA"/>
    <x:s v="589"/>
    <x:s v="CO"/>
    <x:s v="FA-589"/>
    <x:s v="ALTAMIRANO HUERTO ALEJANDRO RAUL"/>
    <x:s v="60003059"/>
    <x:m/>
    <x:m/>
    <x:s v="CRISTINA"/>
    <x:s v="0072668"/>
    <x:s v="929234161"/>
    <x:s v="OFTALMODOSIS E.I.R.L."/>
    <x:s v="9117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18T00:00:00Z"/>
    <x:x v="2"/>
    <x:s v="104563"/>
    <x:s v="FA"/>
    <x:s v="589"/>
    <x:s v="CO"/>
    <x:s v="FA-589"/>
    <x:s v="ALTAMIRANO HUERTO ALEJANDRO RAUL"/>
    <x:s v="60003059"/>
    <x:m/>
    <x:m/>
    <x:s v="CRISTINA"/>
    <x:s v="0072668"/>
    <x:s v="929234161"/>
    <x:s v="OFTALMODOSIS E.I.R.L."/>
    <x:s v="91179"/>
    <x:x v="36"/>
    <x:n v="1"/>
    <x:s v="PRECISA"/>
    <x:s v="INSTITUTO MEDICO QUIRURGICO AREQUIPA S.A"/>
    <x:s v="INSTITUTO MEDICO QUIRURGICO AREQUIPA S.A"/>
    <x:s v="L.CENTRO"/>
    <x:s v="ACABRERA"/>
    <x:n v="1016.95"/>
    <x:s v="LN. CIRUGIA"/>
    <x:s v="CIAS. DE SEGURO"/>
    <x:s v="CENTRO"/>
    <x:m/>
    <x:m/>
    <x:m/>
  </x:r>
  <x:r>
    <x:d v="2026-08-18T00:00:00Z"/>
    <x:x v="2"/>
    <x:s v="104580"/>
    <x:s v="FA"/>
    <x:s v="1096"/>
    <x:s v="CO"/>
    <x:s v="FA-1096"/>
    <x:s v="COLLANTES DE LOS SANTOS PEDRO PABLO"/>
    <x:s v="15718176"/>
    <x:s v="FIERRO LEANDRO"/>
    <x:s v="POLICLÍNICO DIVINO NIÑO JESÚS"/>
    <x:s v="CRISTINA"/>
    <x:s v="0072683"/>
    <x:s v="999999999"/>
    <x:s v="GRUPO MEDICO INTEGRAL SOCIEDAD ANONIMA CERRADA"/>
    <x:s v="91324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18T00:00:00Z"/>
    <x:x v="2"/>
    <x:s v="104580"/>
    <x:s v="FA"/>
    <x:s v="1096"/>
    <x:s v="CO"/>
    <x:s v="FA-1096"/>
    <x:s v="COLLANTES DE LOS SANTOS PEDRO PABLO"/>
    <x:s v="15718176"/>
    <x:s v="FIERRO LEANDRO"/>
    <x:s v="POLICLÍNICO DIVINO NIÑO JESÚS"/>
    <x:s v="CRISTINA"/>
    <x:s v="0072683"/>
    <x:s v="999999999"/>
    <x:s v="GRUPO MEDICO INTEGRAL SOCIEDAD ANONIMA CERRADA"/>
    <x:s v="91324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8-18T00:00:00Z"/>
    <x:x v="2"/>
    <x:s v="104582"/>
    <x:s v="FA"/>
    <x:s v="1097"/>
    <x:s v="CO"/>
    <x:s v="FA-1097"/>
    <x:s v="QUISPE RICRA MAGDALENA"/>
    <x:s v="08556216"/>
    <x:s v="FIERRO LEANDRO"/>
    <x:s v="POLICLÍNICO DIVINO NIÑO JESÚS"/>
    <x:s v="CRISTINA"/>
    <x:s v="0071181"/>
    <x:s v="962629251"/>
    <x:s v="GRUPO MEDICO INTEGRAL SOCIEDAD ANONIMA CERRADA"/>
    <x:s v="91327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18T00:00:00Z"/>
    <x:x v="2"/>
    <x:s v="104582"/>
    <x:s v="FA"/>
    <x:s v="1097"/>
    <x:s v="CO"/>
    <x:s v="FA-1097"/>
    <x:s v="QUISPE RICRA MAGDALENA"/>
    <x:s v="08556216"/>
    <x:s v="FIERRO LEANDRO"/>
    <x:s v="POLICLÍNICO DIVINO NIÑO JESÚS"/>
    <x:s v="CRISTINA"/>
    <x:s v="0071181"/>
    <x:s v="962629251"/>
    <x:s v="GRUPO MEDICO INTEGRAL SOCIEDAD ANONIMA CERRADA"/>
    <x:s v="91327"/>
    <x:x v="1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8-18T00:00:00Z"/>
    <x:x v="2"/>
    <x:s v="104583"/>
    <x:s v="FA"/>
    <x:s v="1098"/>
    <x:s v="CO"/>
    <x:s v="FA-1098"/>
    <x:s v="ROSALES ESPINOZA MILCA LUCIA"/>
    <x:s v="32122873"/>
    <x:m/>
    <x:m/>
    <x:s v="CRISTINA"/>
    <x:s v="0072731"/>
    <x:s v="955005846"/>
    <x:s v="GRUPO MEDICO INTEGRAL SOCIEDAD ANONIMA CERRADA"/>
    <x:s v="91329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18T00:00:00Z"/>
    <x:x v="2"/>
    <x:s v="104583"/>
    <x:s v="FA"/>
    <x:s v="1098"/>
    <x:s v="CO"/>
    <x:s v="FA-1098"/>
    <x:s v="ROSALES ESPINOZA MILCA LUCIA"/>
    <x:s v="32122873"/>
    <x:m/>
    <x:m/>
    <x:s v="CRISTINA"/>
    <x:s v="0072731"/>
    <x:s v="955005846"/>
    <x:s v="GRUPO MEDICO INTEGRAL SOCIEDAD ANONIMA CERRADA"/>
    <x:s v="91329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8-18T00:00:00Z"/>
    <x:x v="2"/>
    <x:s v="104584"/>
    <x:s v="FA"/>
    <x:s v="1099"/>
    <x:s v="CO"/>
    <x:s v="FA-1099"/>
    <x:s v="RAMOS MORALES ESTELA OLINDA"/>
    <x:s v="22296854"/>
    <x:s v="FIERRO LEANDRO"/>
    <x:s v="POLICLÍNICO DIVINO NIÑO JESÚS"/>
    <x:s v="CRISTINA"/>
    <x:s v="0072682"/>
    <x:s v="950407513"/>
    <x:s v="GRUPO MEDICO INTEGRAL SOCIEDAD ANONIMA CERRADA"/>
    <x:s v="91323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18T00:00:00Z"/>
    <x:x v="2"/>
    <x:s v="104584"/>
    <x:s v="FA"/>
    <x:s v="1099"/>
    <x:s v="CO"/>
    <x:s v="FA-1099"/>
    <x:s v="RAMOS MORALES ESTELA OLINDA"/>
    <x:s v="22296854"/>
    <x:s v="FIERRO LEANDRO"/>
    <x:s v="POLICLÍNICO DIVINO NIÑO JESÚS"/>
    <x:s v="CRISTINA"/>
    <x:s v="0072682"/>
    <x:s v="950407513"/>
    <x:s v="GRUPO MEDICO INTEGRAL SOCIEDAD ANONIMA CERRADA"/>
    <x:s v="91323"/>
    <x:x v="1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8-18T00:00:00Z"/>
    <x:x v="2"/>
    <x:s v="104606"/>
    <x:s v="BO"/>
    <x:s v="12372"/>
    <x:s v="CO"/>
    <x:s v="BO-12372"/>
    <x:s v="SALAZAR QUIROGA ELIO DAVID"/>
    <x:s v="02891533"/>
    <x:s v="RAMIREZ ORBE JOSÉ LUIS"/>
    <x:s v="HOSPITAL DE LA POLICIA"/>
    <x:s v="CRISTINA"/>
    <x:s v="0072747"/>
    <x:s v="969030503"/>
    <x:s v="SALAZAR QUIROGA ELIO DAVID"/>
    <x:s v="91360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01918745"/>
    <x:m/>
    <x:n v="30"/>
  </x:r>
  <x:r>
    <x:d v="2026-08-19T00:00:00Z"/>
    <x:x v="2"/>
    <x:s v="104622"/>
    <x:s v="FA"/>
    <x:s v="591"/>
    <x:s v="CO"/>
    <x:s v="FA-591"/>
    <x:s v="QUISPE DE PACHECO LIDIA GLADYS"/>
    <x:s v="22256334"/>
    <x:s v="PAITAN QUISPE EMILYN"/>
    <x:m/>
    <x:s v="CRISTINA"/>
    <x:s v="0023698"/>
    <x:s v="925808232"/>
    <x:s v="IAFAS DE LA MARINA DE GUERRA DEL PERU"/>
    <x:s v="90559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8-19T00:00:00Z"/>
    <x:x v="2"/>
    <x:s v="104659"/>
    <x:s v="BO"/>
    <x:s v="6168"/>
    <x:s v="CO"/>
    <x:s v="BO-6168"/>
    <x:s v="BENAVIDES JUAREZ CARMELA"/>
    <x:s v="16579947"/>
    <x:s v="SAPAICO VICUÑA AUGUSTO RODRIGO"/>
    <x:s v="HOSPITAL LOAYZA"/>
    <x:s v="CRISTINA"/>
    <x:s v="0054796"/>
    <x:s v="926056910"/>
    <x:s v="BENAVIDES JUAREZ CARMELA"/>
    <x:s v="91406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7145685"/>
    <x:s v="0011-0189-0200496417"/>
    <x:n v="50"/>
  </x:r>
  <x:r>
    <x:d v="2026-08-19T00:00:00Z"/>
    <x:x v="2"/>
    <x:s v="104674"/>
    <x:s v="FA"/>
    <x:s v="594"/>
    <x:s v="CO"/>
    <x:s v="FA-594"/>
    <x:s v="MENDOZA REYNA ALBERTO"/>
    <x:s v="05581101"/>
    <x:s v="TORRES LEAL ADOLFO LEON"/>
    <x:s v="CLÍNICA SAN FELIPE LA MOLINA"/>
    <x:s v="CRISTINA"/>
    <x:s v="0072772"/>
    <x:s v="942513684"/>
    <x:s v="CRIBILLERO ACHING SAMUEL RODOLFO"/>
    <x:s v="91423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8-19T00:00:00Z"/>
    <x:x v="2"/>
    <x:s v="104679"/>
    <x:s v="BO"/>
    <x:s v="12382"/>
    <x:s v="CO"/>
    <x:s v="BO-12382"/>
    <x:s v="CHIROQUE CHUNGA NELIDA"/>
    <x:s v="16624655"/>
    <x:s v="GUTARRA PAUCAR JULIA KARINA"/>
    <x:s v="CLÍNICA SAN CAMILO"/>
    <x:s v="CRISTINA"/>
    <x:s v="0064670"/>
    <x:s v="980842766"/>
    <x:s v="CHIROQUE CHUNGA NELIDA"/>
    <x:s v="91428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82673362"/>
    <x:s v="0011-0353-0200308107"/>
    <x:n v="30"/>
  </x:r>
  <x:r>
    <x:d v="2026-08-19T00:00:00Z"/>
    <x:x v="2"/>
    <x:s v="104714"/>
    <x:s v="BO"/>
    <x:s v="4971"/>
    <x:s v="CO"/>
    <x:s v="BO-4971"/>
    <x:s v="HUAMAN DE LA CRUZ LUIS DOMINIK"/>
    <x:s v="74673771"/>
    <x:s v="RUIZ ROJAS PAUBLO ENRIQUE"/>
    <x:s v="CONSULTORIO CUBANO COMAS"/>
    <x:s v="CRISTINA"/>
    <x:s v="0014066"/>
    <x:s v="943492121"/>
    <x:s v="HUAMAN DE LA CRUZ LUIS DOMINIK"/>
    <x:s v="91459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92903716"/>
    <x:s v="191-91415089071"/>
    <x:n v="50"/>
  </x:r>
  <x:r>
    <x:d v="2026-08-19T00:00:00Z"/>
    <x:x v="2"/>
    <x:s v="104714"/>
    <x:s v="BO"/>
    <x:s v="4971"/>
    <x:s v="CO"/>
    <x:s v="BO-4971"/>
    <x:s v="HUAMAN DE LA CRUZ LUIS DOMINIK"/>
    <x:s v="74673771"/>
    <x:s v="RUIZ ROJAS PAUBLO ENRIQUE"/>
    <x:s v="CONSULTORIO CUBANO COMAS"/>
    <x:s v="CRISTINA"/>
    <x:s v="0014066"/>
    <x:s v="943492121"/>
    <x:s v="HUAMAN DE LA CRUZ LUIS DOMINIK"/>
    <x:s v="91459"/>
    <x:x v="4"/>
    <x:n v="1"/>
    <x:s v="PRECISA LN"/>
    <x:s v="POR ASIGNAR"/>
    <x:s v="INSTITUTO MEDICO QUIRURGICO AREQUIPA S.A"/>
    <x:s v="L.NORTE"/>
    <x:s v="AALARCON"/>
    <x:n v="135.59"/>
    <x:s v="LN. EXAMENES"/>
    <x:s v="CIAS. DE SEGURO"/>
    <x:s v="NORTE"/>
    <x:n v="992903716"/>
    <x:s v="191-91415089071"/>
    <x:n v="30"/>
  </x:r>
  <x:r>
    <x:d v="2026-08-19T00:00:00Z"/>
    <x:x v="2"/>
    <x:s v="104713"/>
    <x:s v="BO"/>
    <x:s v="12389"/>
    <x:s v="CO"/>
    <x:s v="BO-12389"/>
    <x:s v="PANEZ BLANCO DE BARRETO EVA CHACHITA"/>
    <x:s v="06587087"/>
    <x:s v="LLERENA LOYOLA ELSA YESENIA"/>
    <x:s v="CLINICA MAISON DE SANTE"/>
    <x:s v="CRISTINA"/>
    <x:s v="0072784"/>
    <x:s v="987209441"/>
    <x:s v="PANEZ BLANCO DE BARRETO EVA CHACHITA"/>
    <x:s v="91458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8418895"/>
    <x:s v="0011-0197-0200171031"/>
    <x:n v="50"/>
  </x:r>
  <x:r>
    <x:d v="2026-08-19T00:00:00Z"/>
    <x:x v="2"/>
    <x:s v="104719"/>
    <x:s v="BO"/>
    <x:s v="456"/>
    <x:s v="CO"/>
    <x:s v="BO-456"/>
    <x:s v="CARRERA CABRACANCHA ESPERANZA GLORIA"/>
    <x:s v="15644266"/>
    <x:s v="ROJAS AQUINO EVELING KARINA"/>
    <x:s v="POLICLÍNICO ESPÍRITU SANTO"/>
    <x:s v="CRISTINA"/>
    <x:s v="0072786"/>
    <x:s v="981502712"/>
    <x:s v="CARRERA CABRACANCHA ESPERANZA GLORIA"/>
    <x:s v="91463"/>
    <x:x v="4"/>
    <x:n v="1"/>
    <x:s v="PRECISA"/>
    <x:s v="INSTITUTO MEDICO QUIRURGICO AREQUIPA S.A"/>
    <x:s v="INSTITUTO MEDICO QUIRURGICO AREQUIPA S.A"/>
    <x:s v="L.LINCE"/>
    <x:s v="MCARDENA"/>
    <x:n v="135.59"/>
    <x:s v="LN. EXAMENES"/>
    <x:s v="CIAS. DE SEGURO"/>
    <x:s v="LINCE"/>
    <x:n v="955356636"/>
    <x:s v="009-3226956615"/>
    <x:n v="30"/>
  </x:r>
  <x:r>
    <x:d v="2026-08-19T00:00:00Z"/>
    <x:x v="2"/>
    <x:s v="104719"/>
    <x:s v="BO"/>
    <x:s v="456"/>
    <x:s v="CO"/>
    <x:s v="BO-456"/>
    <x:s v="CARRERA CABRACANCHA ESPERANZA GLORIA"/>
    <x:s v="15644266"/>
    <x:s v="ROJAS AQUINO EVELING KARINA"/>
    <x:s v="POLICLÍNICO ESPÍRITU SANTO"/>
    <x:s v="CRISTINA"/>
    <x:s v="0072786"/>
    <x:s v="981502712"/>
    <x:s v="CARRERA CABRACANCHA ESPERANZA GLORIA"/>
    <x:s v="91463"/>
    <x:x v="8"/>
    <x:n v="1"/>
    <x:s v="PRECISA"/>
    <x:s v="INSTITUTO MEDICO QUIRURGICO AREQUIPA S.A"/>
    <x:s v="INSTITUTO MEDICO QUIRURGICO AREQUIPA S.A"/>
    <x:s v="L.LINCE"/>
    <x:s v="MCARDENA"/>
    <x:n v="135.59"/>
    <x:s v="LN. EXAMENES"/>
    <x:s v="CIAS. DE SEGURO"/>
    <x:s v="LINCE"/>
    <x:n v="955356636"/>
    <x:s v="009-3226956615"/>
    <x:n v="30"/>
  </x:r>
  <x:r>
    <x:d v="2026-08-19T00:00:00Z"/>
    <x:x v="2"/>
    <x:s v="104741"/>
    <x:s v="FA"/>
    <x:s v="1100"/>
    <x:s v="CO"/>
    <x:s v="FA-1100"/>
    <x:s v="CARAZAS CERRILLO DE APAZA GREGORIA"/>
    <x:s v="08985710"/>
    <x:s v="MANCHEGO LOMBARDI MICHAEL"/>
    <x:s v="CONSULTORIO PARTICULAR"/>
    <x:s v="CRISTINA"/>
    <x:s v="0070006"/>
    <x:s v="NO TIENE"/>
    <x:s v="CENTRO OFTALMOLOGICO OFTALMOCARE S.R.L."/>
    <x:s v="91480"/>
    <x:x v="3"/>
    <x:n v="1"/>
    <x:s v="PRECISA"/>
    <x:s v="INSTITUTO MEDICO QUIRURGICO AREQUIPA S.A"/>
    <x:s v="INSTITUTO MEDICO QUIRURGICO AREQUIPA S.A"/>
    <x:s v="L.CENTRO"/>
    <x:s v="LMAGAN"/>
    <x:n v="254.24"/>
    <x:s v="LN. PROCEDIMIENTO"/>
    <x:s v="CIAS. DE SEGURO"/>
    <x:s v="CENTRO"/>
    <x:n v="970582106"/>
    <x:s v="639-3004120188"/>
    <x:m/>
  </x:r>
  <x:r>
    <x:d v="2026-08-20T00:00:00Z"/>
    <x:x v="2"/>
    <x:s v="104756"/>
    <x:s v="BO"/>
    <x:s v="12398"/>
    <x:s v="CO"/>
    <x:s v="BO-12398"/>
    <x:s v="TORRES ROSSELL JUAN CARLOS"/>
    <x:s v="15845906"/>
    <x:s v="FIERRO LEANDRO"/>
    <x:s v="POLICLÍNICO DIVINO NIÑO JESÚS"/>
    <x:s v="CRISTINA"/>
    <x:s v="0072770"/>
    <x:s v="987045035"/>
    <x:s v="TORRES ROSSELL JUAN CARLOS"/>
    <x:s v="91501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8-20T00:00:00Z"/>
    <x:x v="2"/>
    <x:s v="104756"/>
    <x:s v="BO"/>
    <x:s v="12398"/>
    <x:s v="CO"/>
    <x:s v="BO-12398"/>
    <x:s v="TORRES ROSSELL JUAN CARLOS"/>
    <x:s v="15845906"/>
    <x:s v="FIERRO LEANDRO"/>
    <x:s v="POLICLÍNICO DIVINO NIÑO JESÚS"/>
    <x:s v="CRISTINA"/>
    <x:s v="0072770"/>
    <x:s v="987045035"/>
    <x:s v="TORRES ROSSELL JUAN CARLOS"/>
    <x:s v="91501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8-20T00:00:00Z"/>
    <x:x v="2"/>
    <x:s v="104757"/>
    <x:s v="BO"/>
    <x:s v="12399"/>
    <x:s v="CO"/>
    <x:s v="BO-12399"/>
    <x:s v="GARCIA GARAY DE ARROYO ELDER FRANCISCA"/>
    <x:s v="07096755"/>
    <x:s v="AGRAMONTE ZEA EDILBERTO"/>
    <x:s v="HOSPITAL DE LA SOLIDARIDAD SJL"/>
    <x:s v="CRISTINA"/>
    <x:s v="0072817"/>
    <x:s v="941941047"/>
    <x:s v="GARCIA GARAY DE ARROYO ELDER FRANCISCA"/>
    <x:s v="91503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712"/>
    <x:s v="0011-0190-0200333106"/>
    <x:n v="50"/>
  </x:r>
  <x:r>
    <x:d v="2026-08-20T00:00:00Z"/>
    <x:x v="2"/>
    <x:s v="104758"/>
    <x:s v="BO"/>
    <x:s v="4976"/>
    <x:s v="CO"/>
    <x:s v="BO-4976"/>
    <x:s v="TELLO BANDA ALEX IVAN"/>
    <x:s v="75877805"/>
    <x:s v="LEON SUAREZ LUIS"/>
    <x:m/>
    <x:s v="CRISTINA"/>
    <x:s v="0071494"/>
    <x:s v="998172241"/>
    <x:s v="TELLO BANDA ALEX IVAN"/>
    <x:s v="89233"/>
    <x:x v="4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8-20T00:00:00Z"/>
    <x:x v="2"/>
    <x:s v="104791"/>
    <x:s v="BO"/>
    <x:s v="566"/>
    <x:s v="CO"/>
    <x:s v="BO-566"/>
    <x:s v="HUARICACHA DE ZAPANA MERCEDES"/>
    <x:s v="18190119"/>
    <x:s v="RAMOS ALIAGA DAVID"/>
    <x:m/>
    <x:s v="CRISTINA"/>
    <x:s v="0072826"/>
    <x:s v="959806615"/>
    <x:s v="HUARICACHA DE ZAPANA MERCEDES"/>
    <x:s v="91519"/>
    <x:x v="4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m/>
    <x:m/>
    <x:n v="30"/>
  </x:r>
  <x:r>
    <x:d v="2026-08-20T00:00:00Z"/>
    <x:x v="2"/>
    <x:s v="104793"/>
    <x:s v="BO"/>
    <x:s v="4494"/>
    <x:s v="CO"/>
    <x:s v="BO-4494"/>
    <x:s v="RAMIREZ DURAND BERNARDINO"/>
    <x:s v="25608626"/>
    <x:s v="DURAN ESPINOZA CESAR ARTURO"/>
    <x:s v="CONSULTORIO LA MOLINA"/>
    <x:s v="CRISTINA"/>
    <x:s v="0072830"/>
    <x:s v="984570964"/>
    <x:s v="RAMIREZ DURAND BERNARDINO"/>
    <x:s v="91525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5868651"/>
    <x:s v="191-92300592019"/>
    <x:n v="50"/>
  </x:r>
  <x:r>
    <x:d v="2026-08-20T00:00:00Z"/>
    <x:x v="2"/>
    <x:s v="104808"/>
    <x:s v="FA"/>
    <x:s v="1102"/>
    <x:s v="CO"/>
    <x:s v="FA-1102"/>
    <x:s v="LAZO CABRERA SILVIA PILAR"/>
    <x:s v="00845536"/>
    <x:m/>
    <x:m/>
    <x:s v="CRISTINA"/>
    <x:s v="0072622"/>
    <x:s v="920300383"/>
    <x:s v="CENTRO CONTRA LA CEGUERA E.I.R.L."/>
    <x:s v="91537"/>
    <x:x v="11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m/>
    <x:m/>
    <x:m/>
  </x:r>
  <x:r>
    <x:d v="2026-08-20T00:00:00Z"/>
    <x:x v="2"/>
    <x:s v="104827"/>
    <x:s v="BO"/>
    <x:s v="4497"/>
    <x:s v="CO"/>
    <x:s v="BO-4497"/>
    <x:s v="HUACCHA GRADOS SHEYLA ALEXANDRA"/>
    <x:s v="73723023"/>
    <x:s v="ENCISO QUILLA KARIN"/>
    <x:s v="SISOL DE LOS OLIVOS"/>
    <x:s v="CRISTINA"/>
    <x:s v="0072844"/>
    <x:s v="937337809"/>
    <x:s v="HUACCHA GRADOS SHEYLA ALEXANDRA"/>
    <x:s v="91551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50418896"/>
    <x:m/>
    <x:n v="30"/>
  </x:r>
  <x:r>
    <x:d v="2026-08-20T00:00:00Z"/>
    <x:x v="2"/>
    <x:s v="104838"/>
    <x:s v="BO"/>
    <x:s v="12407"/>
    <x:s v="CO"/>
    <x:s v="BO-12407"/>
    <x:s v="SERNA LOAYZA DE VILLAR GUILLERMINA"/>
    <x:s v="09192739"/>
    <x:s v="SAPAICO VICUÑA AUGUSTO RODRIGO"/>
    <x:s v="HOSPITAL LOAYZA"/>
    <x:s v="CRISTINA"/>
    <x:s v="0072849"/>
    <x:s v="944393636"/>
    <x:s v="SERNA LOAYZA DE VILLAR GUILLERMINA"/>
    <x:s v="91561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7145685"/>
    <x:s v="0011-0189-0200496417"/>
    <x:n v="30"/>
  </x:r>
  <x:r>
    <x:d v="2026-08-20T00:00:00Z"/>
    <x:x v="2"/>
    <x:s v="104838"/>
    <x:s v="BO"/>
    <x:s v="12407"/>
    <x:s v="CO"/>
    <x:s v="BO-12407"/>
    <x:s v="SERNA LOAYZA DE VILLAR GUILLERMINA"/>
    <x:s v="09192739"/>
    <x:s v="SAPAICO VICUÑA AUGUSTO RODRIGO"/>
    <x:s v="HOSPITAL LOAYZA"/>
    <x:s v="CRISTINA"/>
    <x:s v="0072849"/>
    <x:s v="944393636"/>
    <x:s v="SERNA LOAYZA DE VILLAR GUILLERMINA"/>
    <x:s v="91561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7145685"/>
    <x:s v="0011-0189-0200496417"/>
    <x:n v="30"/>
  </x:r>
  <x:r>
    <x:d v="2026-08-21T00:00:00Z"/>
    <x:x v="2"/>
    <x:s v="104930"/>
    <x:s v="BO"/>
    <x:s v="6193"/>
    <x:s v="CO"/>
    <x:s v="BO-6193"/>
    <x:s v="MECHAN CARMONA LIBIA FRANCISCA"/>
    <x:s v="16475110"/>
    <x:s v="LOPEZ ESPINOZA JHON"/>
    <x:m/>
    <x:s v="CRISTINA"/>
    <x:s v="0018027"/>
    <x:s v="3488295/ 99909259"/>
    <x:s v="MECHAN CARMONA LIBIA FRANCISCA"/>
    <x:s v="91618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s v="191-38880905040"/>
    <x:n v="50"/>
  </x:r>
  <x:r>
    <x:d v="2026-08-21T00:00:00Z"/>
    <x:x v="2"/>
    <x:s v="104930"/>
    <x:s v="BO"/>
    <x:s v="6193"/>
    <x:s v="CO"/>
    <x:s v="BO-6193"/>
    <x:s v="MECHAN CARMONA LIBIA FRANCISCA"/>
    <x:s v="16475110"/>
    <x:s v="LOPEZ ESPINOZA JHON"/>
    <x:m/>
    <x:s v="CRISTINA"/>
    <x:s v="0018027"/>
    <x:s v="3488295/ 99909259"/>
    <x:s v="MECHAN CARMONA LIBIA FRANCISCA"/>
    <x:s v="91618"/>
    <x:x v="5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s v="191-38880905040"/>
    <x:n v="30"/>
  </x:r>
  <x:r>
    <x:d v="2026-08-22T00:00:00Z"/>
    <x:x v="2"/>
    <x:s v="104964"/>
    <x:s v="BO"/>
    <x:s v="12418"/>
    <x:s v="CO"/>
    <x:s v="BO-12418"/>
    <x:s v="CHAVEZ ESPINOZA GABINO"/>
    <x:s v="06823872"/>
    <x:s v="GUTARRA PAUCAR JULIA KARINA"/>
    <x:s v="CLÍNICA SAN CAMILO"/>
    <x:s v="CRISTINA"/>
    <x:s v="0072919"/>
    <x:s v="994761546"/>
    <x:s v="CHAVEZ ESPINOZA GABINO"/>
    <x:s v="91652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8-22T00:00:00Z"/>
    <x:x v="2"/>
    <x:s v="104964"/>
    <x:s v="BO"/>
    <x:s v="12418"/>
    <x:s v="CO"/>
    <x:s v="BO-12418"/>
    <x:s v="CHAVEZ ESPINOZA GABINO"/>
    <x:s v="06823872"/>
    <x:s v="GUTARRA PAUCAR JULIA KARINA"/>
    <x:s v="CLÍNICA SAN CAMILO"/>
    <x:s v="CRISTINA"/>
    <x:s v="0072919"/>
    <x:s v="994761546"/>
    <x:s v="CHAVEZ ESPINOZA GABINO"/>
    <x:s v="91652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2673362"/>
    <x:s v="0011-0353-0200308107"/>
    <x:n v="50"/>
  </x:r>
  <x:r>
    <x:d v="2026-08-22T00:00:00Z"/>
    <x:x v="2"/>
    <x:s v="104993"/>
    <x:s v="BO"/>
    <x:s v="588"/>
    <x:s v="CO"/>
    <x:s v="BO-588"/>
    <x:s v="CHIROQUE CHUNGA NELIDA"/>
    <x:s v="16624655"/>
    <x:s v="GUTARRA PAUCAR JULIA KARINA"/>
    <x:s v="CLÍNICA SAN CAMILO"/>
    <x:s v="CRISTINA"/>
    <x:s v="0064670"/>
    <x:s v="980842766"/>
    <x:s v="CHIROQUE CHUNGA NELIDA"/>
    <x:s v="91686"/>
    <x:x v="37"/>
    <x:n v="1"/>
    <x:s v="PRECISA"/>
    <x:s v="INSTITUTO MEDICO QUIRURGICO AREQUIPA S.A"/>
    <x:s v="INSTITUTO MEDICO QUIRURGICO AREQUIPA S.A"/>
    <x:s v="L.LINCE"/>
    <x:s v="KESCUDERO"/>
    <x:n v="63.56"/>
    <x:s v="LN. CONSULTA"/>
    <x:s v="CIAS. DE SEGURO"/>
    <x:s v="LINCE"/>
    <x:n v="982673362"/>
    <x:s v="0011-0353-0200308107"/>
    <x:m/>
  </x:r>
  <x:r>
    <x:d v="2026-08-22T00:00:00Z"/>
    <x:x v="2"/>
    <x:s v="105021"/>
    <x:s v="BO"/>
    <x:s v="12432"/>
    <x:s v="CO"/>
    <x:s v="BO-12432"/>
    <x:s v="GASPAR ROJAS JOSE ANTONIO"/>
    <x:s v="07631131"/>
    <x:s v="CASTRO TAMANAJA VANIA VIVIAN"/>
    <x:s v="HOSPITAL 2 DE MAYO"/>
    <x:s v="CRISTINA"/>
    <x:s v="0072935"/>
    <x:s v="996054949"/>
    <x:s v="GASPAR ROJAS JOSE ANTONIO"/>
    <x:s v="91709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6661693"/>
    <x:s v="0011-0354-0200096288"/>
    <x:n v="50"/>
  </x:r>
  <x:r>
    <x:d v="2026-08-22T00:00:00Z"/>
    <x:x v="2"/>
    <x:s v="105025"/>
    <x:s v="BO"/>
    <x:s v="6206"/>
    <x:s v="CO"/>
    <x:s v="BO-6206"/>
    <x:s v="ZAVALA CUYA LAZARO"/>
    <x:s v="08764780"/>
    <x:s v="PONCE TORRES YANISEY"/>
    <x:m/>
    <x:s v="CRISTINA"/>
    <x:s v="0041245"/>
    <x:s v="967167309"/>
    <x:s v="ZAVALA CUYA LAZARO"/>
    <x:s v="87845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s v="193-13173124085"/>
    <x:n v="30"/>
  </x:r>
  <x:r>
    <x:d v="2026-08-22T00:00:00Z"/>
    <x:x v="2"/>
    <x:s v="105027"/>
    <x:s v="BO"/>
    <x:s v="6207"/>
    <x:s v="CO"/>
    <x:s v="BO-6207"/>
    <x:s v="ZAVALA MEDRANO YENNIFER SUSANA"/>
    <x:s v="42812473"/>
    <x:s v="PONCE TORRES YANISEY"/>
    <x:m/>
    <x:s v="CRISTINA"/>
    <x:s v="0054220"/>
    <x:s v="966167309"/>
    <x:s v="ZAVALA MEDRANO YENNIFER SUSANA"/>
    <x:s v="87844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s v="193-13173124085"/>
    <x:n v="30"/>
  </x:r>
  <x:r>
    <x:d v="2026-08-22T00:00:00Z"/>
    <x:x v="2"/>
    <x:s v="105034"/>
    <x:s v="BO"/>
    <x:s v="12094"/>
    <x:s v="CO"/>
    <x:s v="BO-12094"/>
    <x:s v="BARBOZA DE OCHOA ZENOBIA"/>
    <x:s v="28586700"/>
    <x:s v="LEON SUAREZ LUIS"/>
    <x:m/>
    <x:s v="CRISTINA"/>
    <x:s v="0072663"/>
    <x:s v="998850798"/>
    <x:s v="BARBOZA DE OCHOA ZENOBIA"/>
    <x:s v="91163"/>
    <x:x v="8"/>
    <x:n v="1"/>
    <x:s v="PRECISA"/>
    <x:s v="INSTITUTO MEDICO QUIRURGICO AREQUIPA S.A"/>
    <x:s v="INSTITUTO MEDICO QUIRURGICO AREQUIPA S.A"/>
    <x:s v="L.NORTE"/>
    <x:s v="SBRUNO"/>
    <x:n v="135.59"/>
    <x:s v="LN. EXAMENES"/>
    <x:s v="CIAS. DE SEGURO"/>
    <x:s v="NORTE"/>
    <x:m/>
    <x:m/>
    <x:n v="30"/>
  </x:r>
  <x:r>
    <x:d v="2026-08-22T00:00:00Z"/>
    <x:x v="2"/>
    <x:s v="105057"/>
    <x:s v="BO"/>
    <x:s v="4531"/>
    <x:s v="CO"/>
    <x:s v="BO-4531"/>
    <x:s v="CEFERINO DIAZ MARINA"/>
    <x:s v="07171213"/>
    <x:s v="RUIZ ROJAS PAUBLO ENRIQUE"/>
    <x:s v="CONSULTORIO CUBANO COMAS"/>
    <x:s v="CRISTINA"/>
    <x:s v="0072942"/>
    <x:s v="927192309"/>
    <x:s v="CEFERINO DIAZ MARINA"/>
    <x:s v="91738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n v="992903716"/>
    <x:s v="191-91415089071"/>
    <x:n v="30"/>
  </x:r>
  <x:r>
    <x:d v="2026-08-22T00:00:00Z"/>
    <x:x v="2"/>
    <x:s v="105059"/>
    <x:s v="BO"/>
    <x:s v="4532"/>
    <x:s v="CO"/>
    <x:s v="BO-4532"/>
    <x:s v="REYES OLIVAS CARMEN ROSA"/>
    <x:s v="09983051"/>
    <x:s v="FIERRO LEANDRO"/>
    <x:s v="POLICLÍNICO DIVINO NIÑO JESÚS"/>
    <x:s v="CRISTINA"/>
    <x:s v="0063884"/>
    <x:s v="931422659"/>
    <x:s v="REYES OLIVAS CARMEN ROSA"/>
    <x:s v="91740"/>
    <x:x v="2"/>
    <x:n v="1"/>
    <x:s v="PRECISA"/>
    <x:s v="INSTITUTO MEDICO QUIRURGICO AREQUIPA S.A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8-24T00:00:00Z"/>
    <x:x v="2"/>
    <x:s v="105085"/>
    <x:s v="BO"/>
    <x:s v="6214"/>
    <x:s v="CO"/>
    <x:s v="BO-6214"/>
    <x:s v="RAMIREZ CHAVEZ ESTELISTO EMILIANO"/>
    <x:s v="08341222"/>
    <x:s v="GUTARRA PAUCAR JULIA KARINA"/>
    <x:s v="CLÍNICA SAN CAMILO"/>
    <x:s v="CRISTINA"/>
    <x:s v="0072950"/>
    <x:s v="976172570"/>
    <x:s v="RAMIREZ CHAVEZ ESTELISTO EMILIANO"/>
    <x:s v="91754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2673362"/>
    <x:s v="0011-0353-0200308107"/>
    <x:n v="50"/>
  </x:r>
  <x:r>
    <x:d v="2026-08-24T00:00:00Z"/>
    <x:x v="2"/>
    <x:s v="105086"/>
    <x:s v="BO"/>
    <x:s v="6215"/>
    <x:s v="CO"/>
    <x:s v="BO-6215"/>
    <x:s v="RAMIREZ CHAVEZ ESTELISTO EMILIANO"/>
    <x:s v="08341222"/>
    <x:s v="GUTARRA PAUCAR JULIA KARINA"/>
    <x:s v="CLÍNICA SAN CAMILO"/>
    <x:s v="CRISTINA"/>
    <x:s v="0072950"/>
    <x:s v="976172570"/>
    <x:s v="RAMIREZ CHAVEZ ESTELISTO EMILIANO"/>
    <x:s v="91755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2673362"/>
    <x:s v="0011-0353-0200308107"/>
    <x:n v="50"/>
  </x:r>
  <x:r>
    <x:d v="2026-08-24T00:00:00Z"/>
    <x:x v="2"/>
    <x:s v="105089"/>
    <x:s v="BO"/>
    <x:s v="6216"/>
    <x:s v="CO"/>
    <x:s v="BO-6216"/>
    <x:s v="HERMITAÑO CARO VDA DE ARROYO ANA MARIA"/>
    <x:s v="08344377"/>
    <x:s v="AGRAMONTE ZEA EDILBERTO"/>
    <x:s v="HOSPITAL DE LA SOLIDARIDAD SJL"/>
    <x:s v="CRISTINA"/>
    <x:s v="0072954"/>
    <x:s v="983120608"/>
    <x:s v="HERMITAÑO CARO VDA DE ARROYO ANA MARIA"/>
    <x:s v="91758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87407712"/>
    <x:s v="0011-0190-0200333106"/>
    <x:n v="50"/>
  </x:r>
  <x:r>
    <x:d v="2026-08-24T00:00:00Z"/>
    <x:x v="2"/>
    <x:s v="105091"/>
    <x:s v="BO"/>
    <x:s v="6217"/>
    <x:s v="CO"/>
    <x:s v="BO-6217"/>
    <x:s v="VASQUEZ VASQUEZ JAVIER"/>
    <x:s v="05390636"/>
    <x:s v="SAPAICO VICUÑA AUGUSTO RODRIGO"/>
    <x:s v="HOSPITAL LOAYZA"/>
    <x:s v="CRISTINA"/>
    <x:s v="0065606"/>
    <x:s v="965930678"/>
    <x:s v="VASQUEZ VASQUEZ JAVIER"/>
    <x:s v="91762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7145685"/>
    <x:s v="0011-0189-0200496417"/>
    <x:n v="50"/>
  </x:r>
  <x:r>
    <x:d v="2026-08-24T00:00:00Z"/>
    <x:x v="2"/>
    <x:s v="105109"/>
    <x:s v="BO"/>
    <x:s v="6223"/>
    <x:s v="CO"/>
    <x:s v="BO-6223"/>
    <x:s v="ALVARADO ALFARO DE PACHAS CECILIA"/>
    <x:s v="09043163"/>
    <x:s v="LLERENA LOYOLA ELSA YESENIA"/>
    <x:s v="CLINICA MAISON DE SANTE"/>
    <x:s v="CRISTINA"/>
    <x:s v="0072961"/>
    <x:s v="980783885"/>
    <x:s v="ALVARADO ALFARO DE PACHAS CECILIA"/>
    <x:s v="91786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8418895"/>
    <x:s v="0011-0197-0200171031"/>
    <x:n v="30"/>
  </x:r>
  <x:r>
    <x:d v="2026-08-24T00:00:00Z"/>
    <x:x v="2"/>
    <x:s v="105109"/>
    <x:s v="BO"/>
    <x:s v="6223"/>
    <x:s v="CO"/>
    <x:s v="BO-6223"/>
    <x:s v="ALVARADO ALFARO DE PACHAS CECILIA"/>
    <x:s v="09043163"/>
    <x:s v="LLERENA LOYOLA ELSA YESENIA"/>
    <x:s v="CLINICA MAISON DE SANTE"/>
    <x:s v="CRISTINA"/>
    <x:s v="0072961"/>
    <x:s v="980783885"/>
    <x:s v="ALVARADO ALFARO DE PACHAS CECILIA"/>
    <x:s v="91786"/>
    <x:x v="5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98418895"/>
    <x:s v="0011-0197-0200171031"/>
    <x:n v="30"/>
  </x:r>
  <x:r>
    <x:d v="2026-08-24T00:00:00Z"/>
    <x:x v="2"/>
    <x:s v="105109"/>
    <x:s v="BO"/>
    <x:s v="6223"/>
    <x:s v="CO"/>
    <x:s v="BO-6223"/>
    <x:s v="ALVARADO ALFARO DE PACHAS CECILIA"/>
    <x:s v="09043163"/>
    <x:s v="LLERENA LOYOLA ELSA YESENIA"/>
    <x:s v="CLINICA MAISON DE SANTE"/>
    <x:s v="CRISTINA"/>
    <x:s v="0072961"/>
    <x:s v="980783885"/>
    <x:s v="ALVARADO ALFARO DE PACHAS CECILIA"/>
    <x:s v="91786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8418895"/>
    <x:s v="0011-0197-0200171031"/>
    <x:n v="50"/>
  </x:r>
  <x:r>
    <x:d v="2026-08-24T00:00:00Z"/>
    <x:x v="2"/>
    <x:s v="105131"/>
    <x:s v="BO"/>
    <x:s v="12102"/>
    <x:s v="CO"/>
    <x:s v="BO-12102"/>
    <x:s v="CUACO SCHARFF WALBERTO OSWALDO"/>
    <x:s v="08570843"/>
    <x:s v="PONCE TORRES YANISEY"/>
    <x:m/>
    <x:s v="CRISTINA"/>
    <x:s v="0072613"/>
    <x:s v="992020655"/>
    <x:s v="CUACO SCHARFF WALBERTO OSWALDO"/>
    <x:s v="91523"/>
    <x:x v="8"/>
    <x:n v="1"/>
    <x:s v="PRECISA"/>
    <x:s v="INSTITUTO MEDICO QUIRURGICO AREQUIPA S.A"/>
    <x:s v="INSTITUTO MEDICO QUIRURGICO AREQUIPA S.A"/>
    <x:s v="L.NORTE"/>
    <x:s v="SBRUNO"/>
    <x:n v="135.59"/>
    <x:s v="LN. EXAMENES"/>
    <x:s v="CIAS. DE SEGURO"/>
    <x:s v="NORTE"/>
    <x:m/>
    <x:s v="193-13173124085"/>
    <x:n v="30"/>
  </x:r>
  <x:r>
    <x:d v="2026-08-24T00:00:00Z"/>
    <x:x v="2"/>
    <x:s v="105138"/>
    <x:s v="BO"/>
    <x:s v="4539"/>
    <x:s v="CO"/>
    <x:s v="BO-4539"/>
    <x:s v="CANAZA NINA ISIDORA"/>
    <x:s v="06208454"/>
    <x:s v="JAVE ESCALANTE LIZETH"/>
    <x:s v="HOSPITAL LOAYZA"/>
    <x:s v="CRISTINA"/>
    <x:s v="0072969"/>
    <x:s v="980289026"/>
    <x:s v="CANAZA NINA ISIDORA"/>
    <x:s v="91812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99111362"/>
    <x:s v="200-3076497260"/>
    <x:n v="50"/>
  </x:r>
  <x:r>
    <x:d v="2026-08-24T00:00:00Z"/>
    <x:x v="2"/>
    <x:s v="105140"/>
    <x:s v="BO"/>
    <x:s v="6235"/>
    <x:s v="CO"/>
    <x:s v="BO-6235"/>
    <x:s v="ROMERO MEZARINA LUIS GERMAN"/>
    <x:s v="41621650"/>
    <x:s v="TUME JARA LUCIA MARIA"/>
    <x:s v="HOSPITAL SABOGAL"/>
    <x:s v="CRISTINA"/>
    <x:s v="0072971"/>
    <x:s v="945940731"/>
    <x:s v="ROMERO MEZARINA LUIS GERMAN"/>
    <x:s v="91813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43089042"/>
    <x:m/>
    <x:n v="50"/>
  </x:r>
  <x:r>
    <x:d v="2026-08-24T00:00:00Z"/>
    <x:x v="2"/>
    <x:s v="105165"/>
    <x:s v="BO"/>
    <x:s v="4542"/>
    <x:s v="CO"/>
    <x:s v="BO-4542"/>
    <x:s v="CARRANZA QUISPE ISMAEL"/>
    <x:s v="10291579"/>
    <x:s v="CRISPIN MORALES NANCY JENNY"/>
    <x:s v="HOSPITAL ALMENARA"/>
    <x:s v="CRISTINA"/>
    <x:s v="0072992"/>
    <x:s v="996050251"/>
    <x:s v="CARRANZA QUISPE ISMAEL"/>
    <x:s v="91836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n v="978789268"/>
    <x:s v="193-90416675072"/>
    <x:n v="50"/>
  </x:r>
  <x:r>
    <x:d v="2026-08-24T00:00:00Z"/>
    <x:x v="2"/>
    <x:s v="105181"/>
    <x:s v="FA"/>
    <x:s v="600"/>
    <x:s v="CO"/>
    <x:s v="FA-600"/>
    <x:s v="HERVIAS PULACHE CARMEN ROSA"/>
    <x:s v="08114148"/>
    <x:s v="SONCCO HUISA BACILIO"/>
    <x:s v="ECOCENTER"/>
    <x:s v="CRISTINA"/>
    <x:s v="0072994"/>
    <x:s v="914302094"/>
    <x:s v="CENTRO MEDICO OCUMED S.A.C."/>
    <x:s v="91849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0006387"/>
    <x:m/>
    <x:n v="30"/>
  </x:r>
  <x:r>
    <x:d v="2026-08-25T00:00:00Z"/>
    <x:x v="2"/>
    <x:s v="105206"/>
    <x:s v="BO"/>
    <x:s v="6250"/>
    <x:s v="CO"/>
    <x:s v="BO-6250"/>
    <x:s v="BARRETO NIEVES DEYSI MARGARITA"/>
    <x:s v="009591626"/>
    <x:s v="FIERRO LEANDRO"/>
    <x:s v="POLICLÍNICO DIVINO NIÑO JESÚS"/>
    <x:s v="CRISTINA"/>
    <x:s v="0072980"/>
    <x:s v="933975738"/>
    <x:s v="BARRETO NIEVES DEYSI MARGARITA"/>
    <x:s v="91879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25T00:00:00Z"/>
    <x:x v="2"/>
    <x:s v="105207"/>
    <x:s v="BO"/>
    <x:s v="6251"/>
    <x:s v="CO"/>
    <x:s v="BO-6251"/>
    <x:s v="BARRETO NIEVES DEYSI MARGARITA"/>
    <x:s v="009591626"/>
    <x:s v="FIERRO LEANDRO"/>
    <x:s v="POLICLÍNICO DIVINO NIÑO JESÚS"/>
    <x:s v="CRISTINA"/>
    <x:s v="0072980"/>
    <x:s v="933975738"/>
    <x:s v="BARRETO NIEVES DEYSI MARGARITA"/>
    <x:s v="91880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8-25T00:00:00Z"/>
    <x:x v="2"/>
    <x:s v="105233"/>
    <x:s v="FA"/>
    <x:s v="1107"/>
    <x:s v="CO"/>
    <x:s v="FA-1107"/>
    <x:s v="QUISPE MENDOZA TEODOSIA"/>
    <x:s v="06124376"/>
    <x:s v="JAVE ESCALANTE LIZETH"/>
    <x:s v="HOSPITAL LOAYZA"/>
    <x:s v="CRISTINA"/>
    <x:s v="0073029"/>
    <x:s v="976950984"/>
    <x:s v="PERUVIAN EXPORT CRAFT S.A.C."/>
    <x:s v="91908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111362"/>
    <x:s v="200-3076497260"/>
    <x:n v="50"/>
  </x:r>
  <x:r>
    <x:d v="2026-08-25T00:00:00Z"/>
    <x:x v="2"/>
    <x:s v="105238"/>
    <x:s v="FA"/>
    <x:s v="1108"/>
    <x:s v="CO"/>
    <x:s v="FA-1108"/>
    <x:s v="MENDOZA LLANOS CARMEN MATILDE"/>
    <x:s v="32105472"/>
    <x:s v="SALGADO CERRATE CARLOS"/>
    <x:m/>
    <x:s v="CRISTINA"/>
    <x:s v="0071966"/>
    <x:s v="971484302"/>
    <x:s v="UROPED E.I.R.L."/>
    <x:s v="91901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25T00:00:00Z"/>
    <x:x v="2"/>
    <x:s v="105244"/>
    <x:s v="FA"/>
    <x:s v="601"/>
    <x:s v="CO"/>
    <x:s v="FA-601"/>
    <x:s v="LOPEZ BENITO EULOGIA MAURICIA"/>
    <x:s v="04075700"/>
    <x:s v="VILLAR CURAHUA MARCELA ALEJANDRA"/>
    <x:s v="GAMARRA SALUD"/>
    <x:s v="CRISTINA"/>
    <x:s v="0072575"/>
    <x:s v="963945263"/>
    <x:s v="GAMARRA HEALTHCARE CENTER S.A.C."/>
    <x:s v="91871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8-25T00:00:00Z"/>
    <x:x v="2"/>
    <x:s v="105244"/>
    <x:s v="FA"/>
    <x:s v="601"/>
    <x:s v="CO"/>
    <x:s v="FA-601"/>
    <x:s v="LOPEZ BENITO EULOGIA MAURICIA"/>
    <x:s v="04075700"/>
    <x:s v="VILLAR CURAHUA MARCELA ALEJANDRA"/>
    <x:s v="GAMARRA SALUD"/>
    <x:s v="CRISTINA"/>
    <x:s v="0072575"/>
    <x:s v="963945263"/>
    <x:s v="GAMARRA HEALTHCARE CENTER S.A.C."/>
    <x:s v="91871"/>
    <x:x v="10"/>
    <x:n v="1"/>
    <x:s v="PRECISA"/>
    <x:s v="INSTITUTO MEDICO QUIRURGICO AREQUIPA S.A"/>
    <x:s v="INSTITUTO MEDICO QUIRURGICO AREQUIPA S.A"/>
    <x:s v="L.CENTRO"/>
    <x:s v="ACABRERA"/>
    <x:n v="3211.86"/>
    <x:s v="LN. CIRUGIA"/>
    <x:s v="CIAS. DE SEGURO"/>
    <x:s v="CENTRO"/>
    <x:n v="950133748"/>
    <x:s v="191-9953047026"/>
    <x:m/>
  </x:r>
  <x:r>
    <x:d v="2026-08-25T00:00:00Z"/>
    <x:x v="2"/>
    <x:s v="105246"/>
    <x:s v="FA"/>
    <x:s v="602"/>
    <x:s v="CO"/>
    <x:s v="FA-602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9187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8-25T00:00:00Z"/>
    <x:x v="2"/>
    <x:s v="105246"/>
    <x:s v="FA"/>
    <x:s v="602"/>
    <x:s v="CO"/>
    <x:s v="FA-602"/>
    <x:s v="GUIMARAY SIALER ALEJANDRO HUMBERTO"/>
    <x:s v="08353192"/>
    <x:s v="VILLAR CURAHUA MARCELA ALEJANDRA"/>
    <x:s v="GAMARRA SALUD"/>
    <x:s v="CRISTINA"/>
    <x:s v="0063491"/>
    <x:s v="989454153"/>
    <x:s v="GAMARRA HEALTHCARE CENTER S.A.C."/>
    <x:s v="91875"/>
    <x:x v="10"/>
    <x:n v="1"/>
    <x:s v="PRECISA"/>
    <x:s v="INSTITUTO MEDICO QUIRURGICO AREQUIPA S.A"/>
    <x:s v="INSTITUTO MEDICO QUIRURGICO AREQUIPA S.A"/>
    <x:s v="L.CENTRO"/>
    <x:s v="ACABRERA"/>
    <x:n v="1305.08"/>
    <x:s v="LN. CIRUGIA"/>
    <x:s v="CIAS. DE SEGURO"/>
    <x:s v="CENTRO"/>
    <x:n v="950133748"/>
    <x:s v="191-9953047026"/>
    <x:m/>
  </x:r>
  <x:r>
    <x:d v="2026-08-25T00:00:00Z"/>
    <x:x v="2"/>
    <x:s v="105250"/>
    <x:s v="FA"/>
    <x:s v="1112"/>
    <x:s v="CO"/>
    <x:s v="FA-1112"/>
    <x:s v="LOPEZ BENITO EULOGIA MAURICIA"/>
    <x:s v="04075700"/>
    <x:s v="VILLAR CURAHUA MARCELA ALEJANDRA"/>
    <x:s v="GAMARRA SALUD"/>
    <x:s v="CRISTINA"/>
    <x:s v="0072575"/>
    <x:s v="963945263"/>
    <x:s v="GAMARRA HEALTHCARE CENTER S.A.C."/>
    <x:s v="9191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50133748"/>
    <x:s v="191-9953047026"/>
    <x:n v="30"/>
  </x:r>
  <x:r>
    <x:d v="2026-08-25T00:00:00Z"/>
    <x:x v="2"/>
    <x:s v="105263"/>
    <x:s v="BO"/>
    <x:s v="12108"/>
    <x:s v="CO"/>
    <x:s v="BO-12108"/>
    <x:s v="SILVA CARRION DE GAMARRA MAXIMA DOMITILA"/>
    <x:s v="06894192"/>
    <x:s v="PAITAN QUISPE EMILYN"/>
    <x:m/>
    <x:s v="CRISTINA"/>
    <x:s v="0072137"/>
    <x:s v="941814011"/>
    <x:s v="SILVA CARRION DE GAMARRA MAXIMA DOMITILA"/>
    <x:s v="90317"/>
    <x:x v="8"/>
    <x:n v="1"/>
    <x:s v="PRECISA"/>
    <x:s v="INSTITUTO MEDICO QUIRURGICO AREQUIPA S.A"/>
    <x:s v="INSTITUTO MEDICO QUIRURGICO AREQUIPA S.A"/>
    <x:s v="L.NORTE"/>
    <x:s v="SBRUNO"/>
    <x:n v="135.59"/>
    <x:s v="LN. EXAMENES"/>
    <x:s v="CIAS. DE SEGURO"/>
    <x:s v="NORTE"/>
    <x:m/>
    <x:m/>
    <x:n v="30"/>
  </x:r>
  <x:r>
    <x:d v="2026-08-26T00:00:00Z"/>
    <x:x v="2"/>
    <x:s v="105312"/>
    <x:s v="BO"/>
    <x:s v="6255"/>
    <x:s v="CO"/>
    <x:s v="BO-6255"/>
    <x:s v="TABRAJ CASTRO YOLANDA FORTUNATA"/>
    <x:s v="19842268"/>
    <x:s v="SALGADO CERRATE CARLOS"/>
    <x:m/>
    <x:s v="CRISTINA"/>
    <x:s v="0048885"/>
    <x:s v="935547077"/>
    <x:s v="TABRAJ CASTRO YOLANDA FORTUNATA"/>
    <x:s v="91110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8-26T00:00:00Z"/>
    <x:x v="2"/>
    <x:s v="105336"/>
    <x:s v="FA"/>
    <x:s v="1113"/>
    <x:s v="CO"/>
    <x:s v="FA-1113"/>
    <x:s v="TAIPE BALCAZAR MARINA ANTONIETA"/>
    <x:s v="08308110"/>
    <x:s v="CABRERA YAIMA"/>
    <x:m/>
    <x:s v="CRISTINA"/>
    <x:s v="0073057"/>
    <x:s v="902818383"/>
    <x:s v="CABRERA RUIZ YAIMA"/>
    <x:s v="92000"/>
    <x:x v="11"/>
    <x:n v="2"/>
    <x:s v="PRECISA"/>
    <x:s v="INSTITUTO MEDICO QUIRURGICO AREQUIPA S.A"/>
    <x:s v="INSTITUTO MEDICO QUIRURGICO AREQUIPA S.A"/>
    <x:s v="L.CENTRO"/>
    <x:s v="LMAGAN"/>
    <x:n v="203.39"/>
    <x:s v="LN. PROCEDIMIENTO"/>
    <x:s v="CIAS. DE SEGURO"/>
    <x:s v="CENTRO"/>
    <x:m/>
    <x:m/>
    <x:m/>
  </x:r>
  <x:r>
    <x:d v="2026-08-26T00:00:00Z"/>
    <x:x v="2"/>
    <x:s v="105351"/>
    <x:s v="BO"/>
    <x:s v="12462"/>
    <x:s v="CO"/>
    <x:s v="BO-12462"/>
    <x:s v="GRADOS MARCOS DELIA FRANCISCA"/>
    <x:s v="07375632"/>
    <x:s v="PALACIOS URIBE PAMELA CAROLINA"/>
    <x:m/>
    <x:s v="CRISTINA"/>
    <x:s v="0057588"/>
    <x:s v="987972275"/>
    <x:s v="GRADOS MARCOS DELIA FRANCISCA"/>
    <x:s v="91982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26T00:00:00Z"/>
    <x:x v="2"/>
    <x:s v="105372"/>
    <x:s v="BO"/>
    <x:s v="6263"/>
    <x:s v="CO"/>
    <x:s v="BO-6263"/>
    <x:s v="YARANGA LOAYZA OLGA MARCELINA"/>
    <x:s v="28274485"/>
    <x:s v="CAMPANA BELLOTA LUIS"/>
    <x:s v="CONSULTORIO PARTICULAR"/>
    <x:s v="CRISTINA"/>
    <x:s v="0073119"/>
    <x:s v="966904959"/>
    <x:s v="YARANGA LOAYZA OLGA MARCELINA"/>
    <x:s v="92034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96106133"/>
    <x:m/>
    <x:n v="30"/>
  </x:r>
  <x:r>
    <x:d v="2026-08-26T00:00:00Z"/>
    <x:x v="2"/>
    <x:s v="105377"/>
    <x:s v="FA"/>
    <x:s v="1114"/>
    <x:s v="CO"/>
    <x:s v="FA-1114"/>
    <x:s v="GONZALES DIAZ MARINO"/>
    <x:s v="01141467"/>
    <x:s v="ACOSTA VIERA ALVARO"/>
    <x:s v="CONSULTORIO PARTICULAR"/>
    <x:s v="CRISTINA"/>
    <x:s v="0072891"/>
    <x:s v="942425498"/>
    <x:s v="CENTRO CONTRA LA CEGUERA E.I.R.L."/>
    <x:s v="92035"/>
    <x:x v="11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n v="969791876"/>
    <x:s v="0011-0814-0256063048"/>
    <x:m/>
  </x:r>
  <x:r>
    <x:d v="2026-08-26T00:00:00Z"/>
    <x:x v="2"/>
    <x:s v="105386"/>
    <x:s v="BO"/>
    <x:s v="12468"/>
    <x:s v="CO"/>
    <x:s v="BO-12468"/>
    <x:s v="ROCA FLORES DE ROMERO IRINEA SUSANA"/>
    <x:s v="08047016"/>
    <x:s v="LEON SUAREZ LUIS"/>
    <x:m/>
    <x:s v="CRISTINA"/>
    <x:s v="0073082"/>
    <x:s v="993468698"/>
    <x:s v="ROCA FLORES DE ROMERO IRINEA SUSANA"/>
    <x:s v="92029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8-26T00:00:00Z"/>
    <x:x v="2"/>
    <x:s v="105431"/>
    <x:s v="BO"/>
    <x:s v="4565"/>
    <x:s v="CO"/>
    <x:s v="BO-4565"/>
    <x:s v="LAZO SALDARRIAGA MARIA MAGDALENA"/>
    <x:s v="07010913"/>
    <x:m/>
    <x:m/>
    <x:s v="CRISTINA"/>
    <x:s v="0073161"/>
    <x:s v="937173777"/>
    <x:s v="LAZO SALDARRIAGA MARIA MAGDALENA"/>
    <x:s v="92066"/>
    <x:x v="38"/>
    <x:n v="1"/>
    <x:s v="PRECISA LN"/>
    <x:s v="POR ASIGNAR"/>
    <x:s v="INSTITUTO MEDICO QUIRURGICO AREQUIPA S.A"/>
    <x:s v="L.NORTE"/>
    <x:s v="BGALLOSA"/>
    <x:n v="76.27"/>
    <x:s v="LN. EXAMENES"/>
    <x:s v="CIAS. DE SEGURO"/>
    <x:s v="NORTE"/>
    <x:m/>
    <x:m/>
    <x:m/>
  </x:r>
  <x:r>
    <x:d v="2026-08-26T00:00:00Z"/>
    <x:x v="2"/>
    <x:s v="105431"/>
    <x:s v="BO"/>
    <x:s v="4565"/>
    <x:s v="CO"/>
    <x:s v="BO-4565"/>
    <x:s v="LAZO SALDARRIAGA MARIA MAGDALENA"/>
    <x:s v="07010913"/>
    <x:m/>
    <x:m/>
    <x:s v="CRISTINA"/>
    <x:s v="0073161"/>
    <x:s v="937173777"/>
    <x:s v="LAZO SALDARRIAGA MARIA MAGDALENA"/>
    <x:s v="92066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8-26T00:00:00Z"/>
    <x:x v="2"/>
    <x:s v="105459"/>
    <x:s v="BO"/>
    <x:s v="12480"/>
    <x:s v="CO"/>
    <x:s v="BO-12480"/>
    <x:s v="CONTRERAS QUISPE CRISTINA"/>
    <x:s v="06222362"/>
    <x:s v="AGRAMONTE ZEA EDILBERTO"/>
    <x:s v="HOSPITAL DE LA SOLIDARIDAD SJL"/>
    <x:s v="CRISTINA"/>
    <x:s v="0073163"/>
    <x:s v="982496631"/>
    <x:s v="CONTRERAS QUISPE CRISTINA"/>
    <x:s v="92075"/>
    <x:x v="8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87407712"/>
    <x:s v="0011-0190-0200333106"/>
    <x:n v="30"/>
  </x:r>
  <x:r>
    <x:d v="2026-08-26T00:00:00Z"/>
    <x:x v="2"/>
    <x:s v="105466"/>
    <x:s v="FA"/>
    <x:s v="1115"/>
    <x:s v="CO"/>
    <x:s v="FA-1115"/>
    <x:s v="BEJARANO DE CARO FELICITA"/>
    <x:s v="15282332"/>
    <x:s v="TANAKA LUIS"/>
    <x:m/>
    <x:s v="CRISTINA"/>
    <x:s v="0073164"/>
    <x:s v="982123330"/>
    <x:s v="JDO INVERSIONES MEDICAS S.A.C."/>
    <x:s v="92079"/>
    <x:x v="33"/>
    <x:n v="2"/>
    <x:s v="PRECISA"/>
    <x:s v="INSTITUTO MEDICO QUIRURGICO AREQUIPA S.A"/>
    <x:s v="INSTITUTO MEDICO QUIRURGICO AREQUIPA S.A"/>
    <x:s v="L.CENTRO"/>
    <x:s v="LMAGAN"/>
    <x:n v="305.08"/>
    <x:s v="LN. PROCEDIMIENTO"/>
    <x:s v="CIAS. DE SEGURO"/>
    <x:s v="CENTRO"/>
    <x:m/>
    <x:m/>
    <x:m/>
  </x:r>
  <x:r>
    <x:d v="2026-08-27T00:00:00Z"/>
    <x:x v="2"/>
    <x:s v="105489"/>
    <x:s v="BO"/>
    <x:s v="12486"/>
    <x:s v="CO"/>
    <x:s v="BO-12486"/>
    <x:s v="SANDOVAL SANDOVAL JUAN ARTURO"/>
    <x:s v="20523843"/>
    <x:s v="BARZOLA CORDERO VIOLETA"/>
    <x:s v="HOSPITAL SABOGAL"/>
    <x:s v="CRISTINA"/>
    <x:s v="0067809"/>
    <x:s v="990982791"/>
    <x:s v="SANDOVAL SANDOVAL JUAN ARTURO"/>
    <x:s v="92110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45093839"/>
    <x:s v="0011-0320-0200058577"/>
    <x:n v="50"/>
  </x:r>
  <x:r>
    <x:d v="2026-08-27T00:00:00Z"/>
    <x:x v="2"/>
    <x:s v="105494"/>
    <x:s v="BO"/>
    <x:s v="12487"/>
    <x:s v="CO"/>
    <x:s v="BO-12487"/>
    <x:s v="GLAVE GARCIA PACHECO ROSANA ELENA FORTUN"/>
    <x:s v="07237974"/>
    <x:s v="PEREZ MARTINOT MANUEL RAUL"/>
    <x:s v="CONSULTORIO"/>
    <x:s v="CRISTINA"/>
    <x:s v="0049566"/>
    <x:s v="992352135"/>
    <x:s v="GLAVE GARCIA PACHECO ROSANA ELENA FORTUN"/>
    <x:s v="92114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9700200"/>
    <x:s v="194-25565979019"/>
    <x:n v="50"/>
  </x:r>
  <x:r>
    <x:d v="2026-08-27T00:00:00Z"/>
    <x:x v="2"/>
    <x:s v="105501"/>
    <x:s v="BO"/>
    <x:s v="624"/>
    <x:s v="CO"/>
    <x:s v="BO-624"/>
    <x:s v="MEZA GAMARRA RENATO GIANCARLOS"/>
    <x:s v="75877570"/>
    <x:s v="SOTO REBECA"/>
    <x:s v="HOSPITAL MILITAR"/>
    <x:s v="CRISTINA"/>
    <x:s v="0073174"/>
    <x:s v="930877102"/>
    <x:s v="MEZA GAMARRA RENATO GIANCARLOS"/>
    <x:s v="92118"/>
    <x:x v="4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n v="996132853"/>
    <x:m/>
    <x:n v="30"/>
  </x:r>
  <x:r>
    <x:d v="2026-08-27T00:00:00Z"/>
    <x:x v="2"/>
    <x:s v="105515"/>
    <x:s v="BO"/>
    <x:s v="6276"/>
    <x:s v="CO"/>
    <x:s v="BO-6276"/>
    <x:s v="LOAYZA LOAYZA DANIEL"/>
    <x:s v="15640724"/>
    <x:s v="FIERRO LEANDRO"/>
    <x:s v="POLICLÍNICO DIVINO NIÑO JESÚS"/>
    <x:s v="CRISTINA"/>
    <x:s v="0058677"/>
    <x:s v="989493571"/>
    <x:s v="LOAYZA LOAYZA DANIEL"/>
    <x:s v="92123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8-27T00:00:00Z"/>
    <x:x v="2"/>
    <x:s v="105528"/>
    <x:s v="BO"/>
    <x:s v="12490"/>
    <x:s v="CO"/>
    <x:s v="BO-12490"/>
    <x:s v="VISO TOLEDO FREDESMINDA MATILDE"/>
    <x:s v="06051472"/>
    <x:s v="PONCE TORRES YANISEY"/>
    <x:m/>
    <x:s v="CRISTINA"/>
    <x:s v="0040801"/>
    <x:s v="970878098"/>
    <x:s v="VISO TOLEDO FREDESMINDA MATILDE"/>
    <x:s v="86019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s v="193-13173124085"/>
    <x:n v="30"/>
  </x:r>
  <x:r>
    <x:d v="2026-08-27T00:00:00Z"/>
    <x:x v="2"/>
    <x:s v="105529"/>
    <x:s v="FA"/>
    <x:s v="604"/>
    <x:s v="CO"/>
    <x:s v="FA-604"/>
    <x:s v="ESCOBEDO LARA DE HERRERA NORBERTA"/>
    <x:s v="09220286"/>
    <x:s v="GAMARRA OSCAR"/>
    <x:s v="CLINICA MAISON DE SANTE"/>
    <x:s v="CRISTINA"/>
    <x:s v="0070433"/>
    <x:s v="999999999"/>
    <x:s v="GRUPO MVP S.A.C."/>
    <x:s v="9192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27T00:00:00Z"/>
    <x:x v="2"/>
    <x:s v="105529"/>
    <x:s v="FA"/>
    <x:s v="604"/>
    <x:s v="CO"/>
    <x:s v="FA-604"/>
    <x:s v="ESCOBEDO LARA DE HERRERA NORBERTA"/>
    <x:s v="09220286"/>
    <x:s v="GAMARRA OSCAR"/>
    <x:s v="CLINICA MAISON DE SANTE"/>
    <x:s v="CRISTINA"/>
    <x:s v="0070433"/>
    <x:s v="999999999"/>
    <x:s v="GRUPO MVP S.A.C."/>
    <x:s v="91923"/>
    <x:x v="10"/>
    <x:n v="1"/>
    <x:s v="PRECISA"/>
    <x:s v="INSTITUTO MEDICO QUIRURGICO AREQUIPA S.A"/>
    <x:s v="INSTITUTO MEDICO QUIRURGICO AREQUIPA S.A"/>
    <x:s v="L.CENTRO"/>
    <x:s v="ACABRERA"/>
    <x:n v="847.46"/>
    <x:s v="LN. CIRUGIA"/>
    <x:s v="CIAS. DE SEGURO"/>
    <x:s v="CENTRO"/>
    <x:m/>
    <x:m/>
    <x:m/>
  </x:r>
  <x:r>
    <x:d v="2026-08-27T00:00:00Z"/>
    <x:x v="2"/>
    <x:s v="105530"/>
    <x:s v="FA"/>
    <x:s v="605"/>
    <x:s v="CO"/>
    <x:s v="FA-605"/>
    <x:s v="SILVA ALVARADO SEBASTIAN"/>
    <x:s v="06837208"/>
    <x:s v="FIERRO LEANDRO"/>
    <x:s v="POLICLÍNICO DIVINO NIÑO JESÚS"/>
    <x:s v="CRISTINA"/>
    <x:s v="0072981"/>
    <x:s v="999999999"/>
    <x:s v="GRUPO MVP S.A.C."/>
    <x:s v="91924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27T00:00:00Z"/>
    <x:x v="2"/>
    <x:s v="105530"/>
    <x:s v="FA"/>
    <x:s v="605"/>
    <x:s v="CO"/>
    <x:s v="FA-605"/>
    <x:s v="SILVA ALVARADO SEBASTIAN"/>
    <x:s v="06837208"/>
    <x:s v="FIERRO LEANDRO"/>
    <x:s v="POLICLÍNICO DIVINO NIÑO JESÚS"/>
    <x:s v="CRISTINA"/>
    <x:s v="0072981"/>
    <x:s v="999999999"/>
    <x:s v="GRUPO MVP S.A.C."/>
    <x:s v="91924"/>
    <x:x v="39"/>
    <x:n v="1"/>
    <x:s v="PRECISA"/>
    <x:s v="INSTITUTO MEDICO QUIRURGICO AREQUIPA S.A"/>
    <x:s v="INSTITUTO MEDICO QUIRURGICO AREQUIPA S.A"/>
    <x:s v="L.CENTRO"/>
    <x:s v="ACABRERA"/>
    <x:n v="635.59"/>
    <x:s v="LN. CIRUGIA"/>
    <x:s v="CIAS. DE SEGURO"/>
    <x:s v="CENTRO"/>
    <x:m/>
    <x:m/>
    <x:m/>
  </x:r>
  <x:r>
    <x:d v="2026-08-27T00:00:00Z"/>
    <x:x v="2"/>
    <x:s v="105537"/>
    <x:s v="BO"/>
    <x:s v="6278"/>
    <x:s v="CO"/>
    <x:s v="BO-6278"/>
    <x:s v="PEÑA TORRES MARIA"/>
    <x:s v="27823999"/>
    <x:s v="FIERRO LEANDRO"/>
    <x:s v="POLICLÍNICO DIVINO NIÑO JESÚS"/>
    <x:s v="CRISTINA"/>
    <x:s v="0073186"/>
    <x:s v="961105049"/>
    <x:s v="PEÑA TORRES MARIA"/>
    <x:s v="92143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8-27T00:00:00Z"/>
    <x:x v="2"/>
    <x:s v="105537"/>
    <x:s v="BO"/>
    <x:s v="6278"/>
    <x:s v="CO"/>
    <x:s v="BO-6278"/>
    <x:s v="PEÑA TORRES MARIA"/>
    <x:s v="27823999"/>
    <x:s v="FIERRO LEANDRO"/>
    <x:s v="POLICLÍNICO DIVINO NIÑO JESÚS"/>
    <x:s v="CRISTINA"/>
    <x:s v="0073186"/>
    <x:s v="961105049"/>
    <x:s v="PEÑA TORRES MARIA"/>
    <x:s v="92143"/>
    <x:x v="0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8-27T00:00:00Z"/>
    <x:x v="2"/>
    <x:s v="105538"/>
    <x:s v="FA"/>
    <x:s v="1117"/>
    <x:s v="CO"/>
    <x:s v="FA-1117"/>
    <x:s v="TORRES ROSSELL JUAN CARLOS"/>
    <x:s v="15845906"/>
    <x:s v="FIERRO LEANDRO"/>
    <x:s v="POLICLÍNICO DIVINO NIÑO JESÚS"/>
    <x:s v="CRISTINA"/>
    <x:s v="0072770"/>
    <x:s v="987045035"/>
    <x:s v="GRUPO MEDICO INTEGRAL SOCIEDAD ANONIMA CERRADA"/>
    <x:s v="91565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8-27T00:00:00Z"/>
    <x:x v="2"/>
    <x:s v="105538"/>
    <x:s v="FA"/>
    <x:s v="1117"/>
    <x:s v="CO"/>
    <x:s v="FA-1117"/>
    <x:s v="TORRES ROSSELL JUAN CARLOS"/>
    <x:s v="15845906"/>
    <x:s v="FIERRO LEANDRO"/>
    <x:s v="POLICLÍNICO DIVINO NIÑO JESÚS"/>
    <x:s v="CRISTINA"/>
    <x:s v="0072770"/>
    <x:s v="987045035"/>
    <x:s v="GRUPO MEDICO INTEGRAL SOCIEDAD ANONIMA CERRADA"/>
    <x:s v="91565"/>
    <x:x v="1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8-27T00:00:00Z"/>
    <x:x v="2"/>
    <x:s v="105554"/>
    <x:s v="FA"/>
    <x:s v="1118"/>
    <x:s v="CO"/>
    <x:s v="FA-1118"/>
    <x:s v="NAUPA ROSADO PATRICIA ADELA"/>
    <x:s v="45875250"/>
    <x:s v="MANCHEGO LOMBARDI MICHAEL"/>
    <x:s v="CONSULTORIO PARTICULAR"/>
    <x:s v="CRISTINA"/>
    <x:s v="0073068"/>
    <x:s v="999999999"/>
    <x:s v="CENTRO OFTALMOLOGICO OFTALMOCARE S.R.L."/>
    <x:s v="92067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n v="970582106"/>
    <x:s v="639-3004120188"/>
    <x:m/>
  </x:r>
  <x:r>
    <x:d v="2026-08-27T00:00:00Z"/>
    <x:x v="2"/>
    <x:s v="105554"/>
    <x:s v="FA"/>
    <x:s v="1118"/>
    <x:s v="CO"/>
    <x:s v="FA-1118"/>
    <x:s v="NAUPA ROSADO PATRICIA ADELA"/>
    <x:s v="45875250"/>
    <x:s v="MANCHEGO LOMBARDI MICHAEL"/>
    <x:s v="CONSULTORIO PARTICULAR"/>
    <x:s v="CRISTINA"/>
    <x:s v="0073068"/>
    <x:s v="999999999"/>
    <x:s v="CENTRO OFTALMOLOGICO OFTALMOCARE S.R.L."/>
    <x:s v="92067"/>
    <x:x v="40"/>
    <x:n v="1"/>
    <x:s v="PRECISA"/>
    <x:s v="INSTITUTO MEDICO QUIRURGICO AREQUIPA S.A"/>
    <x:s v="INSTITUTO MEDICO QUIRURGICO AREQUIPA S.A"/>
    <x:s v="L.CENTRO"/>
    <x:s v="LMAGAN"/>
    <x:n v="139.83"/>
    <x:s v="LN. CIRUGIA"/>
    <x:s v="CIAS. DE SEGURO"/>
    <x:s v="CENTRO"/>
    <x:n v="970582106"/>
    <x:s v="639-3004120188"/>
    <x:m/>
  </x:r>
  <x:r>
    <x:d v="2026-08-27T00:00:00Z"/>
    <x:x v="2"/>
    <x:s v="105555"/>
    <x:s v="FA"/>
    <x:s v="1119"/>
    <x:s v="CO"/>
    <x:s v="FA-1119"/>
    <x:s v="LOPEZ CAVERO FELIX GABRIEL"/>
    <x:s v="08089849"/>
    <x:s v="MANCHEGO LOMBARDI MICHAEL"/>
    <x:s v="CONSULTORIO PARTICULAR"/>
    <x:s v="CRISTINA"/>
    <x:s v="0073062"/>
    <x:s v="999999999"/>
    <x:s v="CENTRO OFTALMOLOGICO OFTALMOCARE S.R.L."/>
    <x:s v="92164"/>
    <x:x v="3"/>
    <x:n v="1"/>
    <x:s v="PRECISA"/>
    <x:s v="INSTITUTO MEDICO QUIRURGICO AREQUIPA S.A"/>
    <x:s v="INSTITUTO MEDICO QUIRURGICO AREQUIPA S.A"/>
    <x:s v="L.CENTRO"/>
    <x:s v="LMAGAN"/>
    <x:n v="254.24"/>
    <x:s v="LN. PROCEDIMIENTO"/>
    <x:s v="CIAS. DE SEGURO"/>
    <x:s v="CENTRO"/>
    <x:n v="970582106"/>
    <x:s v="639-3004120188"/>
    <x:m/>
  </x:r>
  <x:r>
    <x:d v="2026-08-27T00:00:00Z"/>
    <x:x v="2"/>
    <x:s v="105569"/>
    <x:s v="BO"/>
    <x:s v="12497"/>
    <x:s v="CO"/>
    <x:s v="BO-12497"/>
    <x:s v="CARTAGENA TORRES DE TENORIO AIDA ELIZABE"/>
    <x:s v="21815510"/>
    <x:s v="CLEMENTE RODRIGUEZ JOSÉ CARLOS"/>
    <x:s v="HOSPITAL HIPOLITO UNANUE"/>
    <x:s v="CRISTINA"/>
    <x:s v="0073193"/>
    <x:s v="979689192"/>
    <x:s v="CARTAGENA TORRES DE TENORIO AIDA ELIZABE"/>
    <x:s v="92173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91104175"/>
    <x:m/>
    <x:n v="30"/>
  </x:r>
  <x:r>
    <x:d v="2026-08-28T00:00:00Z"/>
    <x:x v="2"/>
    <x:s v="105575"/>
    <x:s v="FA"/>
    <x:s v="607"/>
    <x:s v="CO"/>
    <x:s v="FA-607"/>
    <x:s v="LOAYZA LOAYZA DANIEL"/>
    <x:s v="15640724"/>
    <x:s v="FIERRO LEANDRO"/>
    <x:s v="POLICLÍNICO DIVINO NIÑO JESÚS"/>
    <x:s v="CRISTINA"/>
    <x:s v="0058677"/>
    <x:s v="989493571"/>
    <x:s v="GRUPO MEDICO INTEGRAL SOCIEDAD ANONIMA CERRADA"/>
    <x:s v="9212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8-28T00:00:00Z"/>
    <x:x v="2"/>
    <x:s v="105575"/>
    <x:s v="FA"/>
    <x:s v="607"/>
    <x:s v="CO"/>
    <x:s v="FA-607"/>
    <x:s v="LOAYZA LOAYZA DANIEL"/>
    <x:s v="15640724"/>
    <x:s v="FIERRO LEANDRO"/>
    <x:s v="POLICLÍNICO DIVINO NIÑO JESÚS"/>
    <x:s v="CRISTINA"/>
    <x:s v="0058677"/>
    <x:s v="989493571"/>
    <x:s v="GRUPO MEDICO INTEGRAL SOCIEDAD ANONIMA CERRADA"/>
    <x:s v="92129"/>
    <x:x v="41"/>
    <x:n v="1"/>
    <x:s v="PRECISA"/>
    <x:s v="INSTITUTO MEDICO QUIRURGICO AREQUIPA S.A"/>
    <x:s v="INSTITUTO MEDICO QUIRURGICO AREQUIPA S.A"/>
    <x:s v="L.CENTRO"/>
    <x:s v="ACABRERA"/>
    <x:n v="1169.49"/>
    <x:s v="LN. CIRUGIA"/>
    <x:s v="CIAS. DE SEGURO"/>
    <x:s v="CENTRO"/>
    <x:m/>
    <x:m/>
    <x:m/>
  </x:r>
  <x:r>
    <x:d v="2026-08-28T00:00:00Z"/>
    <x:x v="2"/>
    <x:s v="105580"/>
    <x:s v="BO"/>
    <x:s v="12498"/>
    <x:s v="CO"/>
    <x:s v="BO-12498"/>
    <x:s v="BEJARANO MARTELL HERRERA CESAR OCTAVIO"/>
    <x:s v="07257400"/>
    <x:s v="SAPAICO VICUÑA AUGUSTO RODRIGO"/>
    <x:s v="HOSPITAL LOAYZA"/>
    <x:s v="CRISTINA"/>
    <x:s v="0051057"/>
    <x:s v="985762261"/>
    <x:s v="BEJARANO MARTELL HERRERA CESAR OCTAVIO"/>
    <x:s v="92186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7145685"/>
    <x:s v="0011-0189-0200496417"/>
    <x:n v="30"/>
  </x:r>
  <x:r>
    <x:d v="2026-08-28T00:00:00Z"/>
    <x:x v="2"/>
    <x:s v="105664"/>
    <x:s v="BO"/>
    <x:s v="636"/>
    <x:s v="CO"/>
    <x:s v="BO-636"/>
    <x:s v="ROJAS NIÑO KARINA YSABEL"/>
    <x:s v="09937994"/>
    <x:s v="GUTARRA PAUCAR JULIA KARINA"/>
    <x:s v="CLÍNICA SAN CAMILO"/>
    <x:s v="CRISTINA"/>
    <x:s v="0073140"/>
    <x:s v="920888995"/>
    <x:s v="ROJAS NIÑO KARINA YSABEL"/>
    <x:s v="92235"/>
    <x:x v="0"/>
    <x:n v="1"/>
    <x:s v="PRECISA"/>
    <x:s v="INSTITUTO MEDICO QUIRURGICO AREQUIPA S.A"/>
    <x:s v="INSTITUTO MEDICO QUIRURGICO AREQUIPA S.A"/>
    <x:s v="L.LINCE"/>
    <x:s v="KESCUDERO"/>
    <x:n v="186.44"/>
    <x:s v="LN. EXAMENES"/>
    <x:s v="CIAS. DE SEGURO"/>
    <x:s v="LINCE"/>
    <x:n v="982673362"/>
    <x:s v="0011-0353-0200308107"/>
    <x:n v="50"/>
  </x:r>
  <x:r>
    <x:d v="2026-08-28T00:00:00Z"/>
    <x:x v="2"/>
    <x:s v="105664"/>
    <x:s v="BO"/>
    <x:s v="636"/>
    <x:s v="CO"/>
    <x:s v="BO-636"/>
    <x:s v="ROJAS NIÑO KARINA YSABEL"/>
    <x:s v="09937994"/>
    <x:s v="GUTARRA PAUCAR JULIA KARINA"/>
    <x:s v="CLÍNICA SAN CAMILO"/>
    <x:s v="CRISTINA"/>
    <x:s v="0073140"/>
    <x:s v="920888995"/>
    <x:s v="ROJAS NIÑO KARINA YSABEL"/>
    <x:s v="92235"/>
    <x:x v="2"/>
    <x:n v="1"/>
    <x:s v="PRECISA"/>
    <x:s v="INSTITUTO MEDICO QUIRURGICO AREQUIPA S.A"/>
    <x:s v="INSTITUTO MEDICO QUIRURGICO AREQUIPA S.A"/>
    <x:s v="L.LINCE"/>
    <x:s v="KESCUDERO"/>
    <x:n v="186.44"/>
    <x:s v="LN. EXAMENES"/>
    <x:s v="CIAS. DE SEGURO"/>
    <x:s v="LINCE"/>
    <x:n v="982673362"/>
    <x:s v="0011-0353-0200308107"/>
    <x:n v="50"/>
  </x:r>
  <x:r>
    <x:d v="2026-08-29T00:00:00Z"/>
    <x:x v="2"/>
    <x:s v="105689"/>
    <x:s v="BO"/>
    <x:s v="12503"/>
    <x:s v="CO"/>
    <x:s v="BO-12503"/>
    <x:s v="ESCOBAR CORIMAYA DE NEYRA LILI NANCY"/>
    <x:s v="06173377"/>
    <x:s v="CHAFLOQUE CERVANTES AUGUSTO BERNADINO"/>
    <x:s v="CONSULTORIO"/>
    <x:s v="CRISTINA"/>
    <x:s v="0073300"/>
    <x:s v="999006276"/>
    <x:s v="ESCOBAR CORIMAYA DE NEYRA LILI NANCY"/>
    <x:s v="92260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87407109"/>
    <x:s v="191-18537427072"/>
    <x:n v="50"/>
  </x:r>
  <x:r>
    <x:d v="2026-08-29T00:00:00Z"/>
    <x:x v="2"/>
    <x:s v="105737"/>
    <x:s v="BO"/>
    <x:s v="5071"/>
    <x:s v="CO"/>
    <x:s v="BO-5071"/>
    <x:s v="ARCA CHIROQUE CRISTOPHER DANGELO"/>
    <x:s v="77725218"/>
    <x:s v="RAMOS COOPER SHIRLEY IVONNE"/>
    <x:s v="HOSPITAL NAVAL"/>
    <x:s v="CRISTINA"/>
    <x:s v="0057360"/>
    <x:s v="922631752"/>
    <x:s v="ARCA CHIROQUE CRISTOPHER DANGELO"/>
    <x:s v="92307"/>
    <x:x v="12"/>
    <x:n v="1"/>
    <x:s v="PRECISA LN"/>
    <x:s v="POR ASIGNAR"/>
    <x:s v="INSTITUTO MEDICO QUIRURGICO AREQUIPA S.A"/>
    <x:s v="L.NORTE"/>
    <x:s v="AALARCON"/>
    <x:n v="152.54"/>
    <x:s v="LN. EXAMENES"/>
    <x:s v="CIAS. DE SEGURO"/>
    <x:s v="NORTE"/>
    <x:n v="980702810"/>
    <x:s v="166-3067691171"/>
    <x:n v="30"/>
  </x:r>
  <x:r>
    <x:d v="2026-08-31T00:00:00Z"/>
    <x:x v="2"/>
    <x:s v="105827"/>
    <x:s v="FA"/>
    <x:s v="611"/>
    <x:s v="CO"/>
    <x:s v="FA-611"/>
    <x:s v="GAMBOA MALAGA JORGE ROGELIO"/>
    <x:s v="07685303"/>
    <x:s v="BERROCAL VIVIANA"/>
    <x:s v="HOSPITAL MARIA AUXILIADORA"/>
    <x:s v="CRISTINA"/>
    <x:s v="0073297"/>
    <x:s v="992962096"/>
    <x:s v="VISION SANTA LUCIA S.A.C."/>
    <x:s v="92385"/>
    <x:x v="11"/>
    <x:n v="1"/>
    <x:s v="PRECISA"/>
    <x:s v="INSTITUTO MEDICO QUIRURGICO AREQUIPA S.A"/>
    <x:s v="INSTITUTO MEDICO QUIRURGICO AREQUIPA S.A"/>
    <x:s v="L.CENTRO"/>
    <x:s v="ACABRERA"/>
    <x:n v="101.69"/>
    <x:s v="LN. PROCEDIMIENTO"/>
    <x:s v="CIAS. DE SEGURO"/>
    <x:s v="CENTRO"/>
    <x:m/>
    <x:m/>
    <x:m/>
  </x:r>
  <x:r>
    <x:d v="2026-08-31T00:00:00Z"/>
    <x:x v="2"/>
    <x:s v="105905"/>
    <x:s v="BO"/>
    <x:s v="6321"/>
    <x:s v="CO"/>
    <x:s v="BO-6321"/>
    <x:s v="PEREZ ÑAUPA ROLANDO MELQUIADES"/>
    <x:s v="19812331"/>
    <x:s v="MANCHEGO LOMBARDI MICHAEL"/>
    <x:s v="CONSULTORIO PARTICULAR"/>
    <x:s v="CRISTINA"/>
    <x:s v="0073375"/>
    <x:s v="963494526"/>
    <x:s v="PEREZ ÑAUPA ROLANDO MELQUIADES"/>
    <x:s v="92442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70582106"/>
    <x:s v="639-3004120188"/>
    <x:n v="30"/>
  </x:r>
  <x:r>
    <x:d v="2026-08-31T00:00:00Z"/>
    <x:x v="2"/>
    <x:s v="105914"/>
    <x:s v="BO"/>
    <x:s v="12539"/>
    <x:s v="CO"/>
    <x:s v="BO-12539"/>
    <x:s v="SALAZAR SALAZAR RAUL"/>
    <x:s v="43395296"/>
    <x:s v="JAVE ESCALANTE LIZETH"/>
    <x:s v="HOSPITAL LOAYZA"/>
    <x:s v="CRISTINA"/>
    <x:s v="0073385"/>
    <x:s v="924454968"/>
    <x:s v="SALAZAR SALAZAR RAUL"/>
    <x:s v="92459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99111362"/>
    <x:s v="200-3076497260"/>
    <x:n v="30"/>
  </x:r>
  <x:r>
    <x:d v="2026-09-01T00:00:00Z"/>
    <x:x v="3"/>
    <x:s v="105939"/>
    <x:s v="BO"/>
    <x:s v="12542"/>
    <x:s v="CO"/>
    <x:s v="BO-12542"/>
    <x:s v="OLIVERA SAMAME ROBERT EDINSON"/>
    <x:s v="72367412"/>
    <x:s v="HUAMAN ROQUE CARLOS"/>
    <x:s v="SISOL LIMA"/>
    <x:s v="CRISTINA"/>
    <x:s v="0073392"/>
    <x:s v="971278088"/>
    <x:s v="OLIVERA SAMAME ROBERT EDINSON"/>
    <x:s v="92487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9-01T00:00:00Z"/>
    <x:x v="3"/>
    <x:s v="105954"/>
    <x:s v="BO"/>
    <x:s v="6330"/>
    <x:s v="CO"/>
    <x:s v="BO-6330"/>
    <x:s v="ESPICHAN AVALOS LAZARO FERNANDO"/>
    <x:s v="15414846"/>
    <x:s v="FIERRO LEANDRO"/>
    <x:s v="POLICLÍNICO DIVINO NIÑO JESÚS"/>
    <x:s v="CRISTINA"/>
    <x:s v="0071410"/>
    <x:s v="998 467 0"/>
    <x:s v="ESPICHAN AVALOS LAZARO FERNANDO"/>
    <x:s v="92496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01T00:00:00Z"/>
    <x:x v="3"/>
    <x:s v="105955"/>
    <x:s v="BO"/>
    <x:s v="12545"/>
    <x:s v="CO"/>
    <x:s v="BO-12545"/>
    <x:s v="MENDOZA DE LA CRUZ MARCOS ANTONIO"/>
    <x:s v="40665334"/>
    <x:s v="SALAZAR FUERTES JESUS ABEL"/>
    <x:s v="ESSALUD ATE"/>
    <x:s v="CRISTINA"/>
    <x:s v="0073401"/>
    <x:s v="989560874"/>
    <x:s v="MENDOZA DE LA CRUZ MARCOS ANTONIO"/>
    <x:s v="92497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92789956"/>
    <x:s v=" 0011-0115-0200235237"/>
    <x:n v="50"/>
  </x:r>
  <x:r>
    <x:d v="2026-09-01T00:00:00Z"/>
    <x:x v="3"/>
    <x:s v="105956"/>
    <x:s v="BO"/>
    <x:s v="6331"/>
    <x:s v="CO"/>
    <x:s v="BO-6331"/>
    <x:s v="YAURIMO FERNANDEZ MARINO"/>
    <x:s v="10498263"/>
    <x:s v="FIERRO LEANDRO"/>
    <x:s v="POLICLÍNICO DIVINO NIÑO JESÚS"/>
    <x:s v="CRISTINA"/>
    <x:s v="0073357"/>
    <x:s v="987424322"/>
    <x:s v="YAURIMO FERNANDEZ MARINO"/>
    <x:s v="92499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01T00:00:00Z"/>
    <x:x v="3"/>
    <x:s v="105958"/>
    <x:s v="BO"/>
    <x:s v="6332"/>
    <x:s v="CO"/>
    <x:s v="BO-6332"/>
    <x:s v="QUINTEROS BUSTAMANTE LUIS"/>
    <x:s v="01026635"/>
    <x:s v="FIERRO LEANDRO"/>
    <x:s v="POLICLÍNICO DIVINO NIÑO JESÚS"/>
    <x:s v="CRISTINA"/>
    <x:s v="0073366"/>
    <x:s v="955140676"/>
    <x:s v="QUINTEROS BUSTAMANTE LUIS"/>
    <x:s v="92501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01T00:00:00Z"/>
    <x:x v="3"/>
    <x:s v="105964"/>
    <x:s v="BO"/>
    <x:s v="6333"/>
    <x:s v="CO"/>
    <x:s v="BO-6333"/>
    <x:s v="LEON TUFINIO JORGE LUIS"/>
    <x:s v="70166072"/>
    <x:s v="LEON TUFINIO JORGE LUIS"/>
    <x:m/>
    <x:s v="CRISTINA"/>
    <x:s v="0072791"/>
    <x:s v="999999999"/>
    <x:s v="LEON TUFINIO JORGE LUIS"/>
    <x:s v="92429"/>
    <x:x v="22"/>
    <x:n v="1"/>
    <x:s v="PRECISA"/>
    <x:s v="INSTITUTO MEDICO QUIRURGICO AREQUIPA S.A"/>
    <x:s v="INSTITUTO MEDICO QUIRURGICO AREQUIPA S.A"/>
    <x:s v="L.CENTRO"/>
    <x:s v="ACABRERA"/>
    <x:n v="139.83"/>
    <x:s v="LN. CIRUGIA"/>
    <x:s v="CIAS. DE SEGURO"/>
    <x:s v="CENTRO"/>
    <x:m/>
    <x:m/>
    <x:m/>
  </x:r>
  <x:r>
    <x:d v="2026-09-01T00:00:00Z"/>
    <x:x v="3"/>
    <x:s v="105964"/>
    <x:s v="BO"/>
    <x:s v="6333"/>
    <x:s v="CO"/>
    <x:s v="BO-6333"/>
    <x:s v="LEON TUFINIO JORGE LUIS"/>
    <x:s v="70166072"/>
    <x:s v="LEON TUFINIO JORGE LUIS"/>
    <x:m/>
    <x:s v="CRISTINA"/>
    <x:s v="0072791"/>
    <x:s v="999999999"/>
    <x:s v="LEON TUFINIO JORGE LUIS"/>
    <x:s v="9242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1T00:00:00Z"/>
    <x:x v="3"/>
    <x:s v="105970"/>
    <x:s v="BO"/>
    <x:s v="4612"/>
    <x:s v="CO"/>
    <x:s v="BO-4612"/>
    <x:s v="ENCISO QUILLA KARIN"/>
    <x:s v="40043626"/>
    <x:s v="ENCISO QUILLA KARIN"/>
    <x:s v="SISOL DE LOS OLIVOS"/>
    <x:s v="CRISTINA"/>
    <x:s v="0009916"/>
    <x:s v="950418896"/>
    <x:s v="ENCISO QUILLA KARIN"/>
    <x:s v="92490"/>
    <x:x v="24"/>
    <x:n v="1"/>
    <x:s v="PRECISA LN"/>
    <x:s v="POR ASIGNAR"/>
    <x:s v="INSTITUTO MEDICO QUIRURGICO AREQUIPA S.A"/>
    <x:s v="L.NORTE"/>
    <x:s v="BGALLOSA"/>
    <x:n v="139.83"/>
    <x:s v="LN. CIRUGIA"/>
    <x:s v="CIAS. DE SEGURO"/>
    <x:s v="NORTE"/>
    <x:n v="950418896"/>
    <x:m/>
    <x:m/>
  </x:r>
  <x:r>
    <x:d v="2026-09-01T00:00:00Z"/>
    <x:x v="3"/>
    <x:s v="105970"/>
    <x:s v="BO"/>
    <x:s v="4612"/>
    <x:s v="CO"/>
    <x:s v="BO-4612"/>
    <x:s v="ENCISO QUILLA KARIN"/>
    <x:s v="40043626"/>
    <x:s v="ENCISO QUILLA KARIN"/>
    <x:s v="SISOL DE LOS OLIVOS"/>
    <x:s v="CRISTINA"/>
    <x:s v="0009916"/>
    <x:s v="950418896"/>
    <x:s v="ENCISO QUILLA KARIN"/>
    <x:s v="92490"/>
    <x:x v="9"/>
    <x:n v="1"/>
    <x:s v="PRECISA LN"/>
    <x:s v="POR ASIGNAR"/>
    <x:s v="INSTITUTO MEDICO QUIRURGICO AREQUIPA S.A"/>
    <x:s v="L.NORTE"/>
    <x:s v="BGALLOSA"/>
    <x:n v="0"/>
    <x:s v="LN. CIRUGIA"/>
    <x:s v="CIAS. DE SEGURO"/>
    <x:s v="NORTE"/>
    <x:n v="950418896"/>
    <x:m/>
    <x:m/>
  </x:r>
  <x:r>
    <x:d v="2026-09-01T00:00:00Z"/>
    <x:x v="3"/>
    <x:s v="106008"/>
    <x:s v="BO"/>
    <x:s v="672"/>
    <x:s v="CO"/>
    <x:s v="BO-672"/>
    <x:s v="GARCIA ROQUE INGRID MELISSA"/>
    <x:s v="47205181"/>
    <x:m/>
    <x:m/>
    <x:s v="CRISTINA"/>
    <x:s v="0073387"/>
    <x:s v="991020326"/>
    <x:s v="GARCIA ROQUE INGRID MELISSA"/>
    <x:s v="92521"/>
    <x:x v="1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m/>
    <x:m/>
    <x:n v="30"/>
  </x:r>
  <x:r>
    <x:d v="2026-09-02T00:00:00Z"/>
    <x:x v="3"/>
    <x:s v="106029"/>
    <x:s v="BO"/>
    <x:s v="6337"/>
    <x:s v="CO"/>
    <x:s v="BO-6337"/>
    <x:s v="RAMIREZ CHAVEZ ESTELISTO EMILIANO"/>
    <x:s v="08341222"/>
    <x:s v="GUTARRA PAUCAR JULIA KARINA"/>
    <x:s v="CLÍNICA SAN CAMILO"/>
    <x:s v="CRISTINA"/>
    <x:s v="0072950"/>
    <x:s v="976172570"/>
    <x:s v="RAMIREZ CHAVEZ ESTELISTO EMILIANO"/>
    <x:s v="92555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n v="982673362"/>
    <x:s v="0011-0353-0200308107"/>
    <x:n v="30"/>
  </x:r>
  <x:r>
    <x:d v="2026-09-02T00:00:00Z"/>
    <x:x v="3"/>
    <x:s v="106042"/>
    <x:s v="FA"/>
    <x:s v="612"/>
    <x:s v="CO"/>
    <x:s v="FA-612"/>
    <x:s v="COMETIVOS PANDURO MIRIAM"/>
    <x:s v="00865199"/>
    <x:s v="FIERRO LEANDRO"/>
    <x:s v="POLICLÍNICO DIVINO NIÑO JESÚS"/>
    <x:s v="CRISTINA"/>
    <x:s v="0071944"/>
    <x:s v="940163522"/>
    <x:s v="GRUPO MEDICO INTEGRAL SOCIEDAD ANONIMA CERRADA"/>
    <x:s v="92493"/>
    <x:x v="41"/>
    <x:n v="1"/>
    <x:s v="PRECISA"/>
    <x:s v="INSTITUTO MEDICO QUIRURGICO AREQUIPA S.A"/>
    <x:s v="INSTITUTO MEDICO QUIRURGICO AREQUIPA S.A"/>
    <x:s v="L.CENTRO"/>
    <x:s v="ACABRERA"/>
    <x:n v="1169.49"/>
    <x:s v="LN. CIRUGIA"/>
    <x:s v="CIAS. DE SEGURO"/>
    <x:s v="CENTRO"/>
    <x:m/>
    <x:m/>
    <x:m/>
  </x:r>
  <x:r>
    <x:d v="2026-09-02T00:00:00Z"/>
    <x:x v="3"/>
    <x:s v="106042"/>
    <x:s v="FA"/>
    <x:s v="612"/>
    <x:s v="CO"/>
    <x:s v="FA-612"/>
    <x:s v="COMETIVOS PANDURO MIRIAM"/>
    <x:s v="00865199"/>
    <x:s v="FIERRO LEANDRO"/>
    <x:s v="POLICLÍNICO DIVINO NIÑO JESÚS"/>
    <x:s v="CRISTINA"/>
    <x:s v="0071944"/>
    <x:s v="940163522"/>
    <x:s v="GRUPO MEDICO INTEGRAL SOCIEDAD ANONIMA CERRADA"/>
    <x:s v="9249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2T00:00:00Z"/>
    <x:x v="3"/>
    <x:s v="106095"/>
    <x:s v="FA"/>
    <x:s v="613"/>
    <x:s v="CO"/>
    <x:s v="FA-613"/>
    <x:s v="ESPICHAN AVALOS LAZARO FERNANDO"/>
    <x:s v="15414846"/>
    <x:s v="FIERRO LEANDRO"/>
    <x:s v="POLICLÍNICO DIVINO NIÑO JESÚS"/>
    <x:s v="CRISTINA"/>
    <x:s v="0071410"/>
    <x:s v="998 467 0"/>
    <x:s v="GRUPO MEDICO INTEGRAL SOCIEDAD ANONIMA CERRADA"/>
    <x:s v="92517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02T00:00:00Z"/>
    <x:x v="3"/>
    <x:s v="106095"/>
    <x:s v="FA"/>
    <x:s v="613"/>
    <x:s v="CO"/>
    <x:s v="FA-613"/>
    <x:s v="ESPICHAN AVALOS LAZARO FERNANDO"/>
    <x:s v="15414846"/>
    <x:s v="FIERRO LEANDRO"/>
    <x:s v="POLICLÍNICO DIVINO NIÑO JESÚS"/>
    <x:s v="CRISTINA"/>
    <x:s v="0071410"/>
    <x:s v="998 467 0"/>
    <x:s v="GRUPO MEDICO INTEGRAL SOCIEDAD ANONIMA CERRADA"/>
    <x:s v="92517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2T00:00:00Z"/>
    <x:x v="3"/>
    <x:s v="106101"/>
    <x:s v="FA"/>
    <x:s v="614"/>
    <x:s v="CO"/>
    <x:s v="FA-614"/>
    <x:s v="SILVA ALVARADO SEBASTIAN"/>
    <x:s v="06837208"/>
    <x:s v="PALACIOS URIBE PAMELA CAROLINA"/>
    <x:m/>
    <x:s v="CRISTINA"/>
    <x:s v="0072981"/>
    <x:s v="999999999"/>
    <x:s v="GRUPO MVP S.A.C."/>
    <x:s v="92510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02T00:00:00Z"/>
    <x:x v="3"/>
    <x:s v="106101"/>
    <x:s v="FA"/>
    <x:s v="614"/>
    <x:s v="CO"/>
    <x:s v="FA-614"/>
    <x:s v="SILVA ALVARADO SEBASTIAN"/>
    <x:s v="06837208"/>
    <x:s v="PALACIOS URIBE PAMELA CAROLINA"/>
    <x:m/>
    <x:s v="CRISTINA"/>
    <x:s v="0072981"/>
    <x:s v="999999999"/>
    <x:s v="GRUPO MVP S.A.C."/>
    <x:s v="92510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2T00:00:00Z"/>
    <x:x v="3"/>
    <x:s v="106103"/>
    <x:s v="BO"/>
    <x:s v="6345"/>
    <x:s v="CO"/>
    <x:s v="BO-6345"/>
    <x:s v="DELGADO BLANCO CRISTINA"/>
    <x:s v="09931535"/>
    <x:s v="JAVE ESCALANTE LIZETH"/>
    <x:s v="HOSPITAL LOAYZA"/>
    <x:s v="CRISTINA"/>
    <x:s v="0073453"/>
    <x:s v="990378975"/>
    <x:s v="DELGADO BLANCO CRISTINA"/>
    <x:s v="92632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n v="999111362"/>
    <x:s v="200-3076497260"/>
    <x:n v="50"/>
  </x:r>
  <x:r>
    <x:d v="2026-09-02T00:00:00Z"/>
    <x:x v="3"/>
    <x:s v="106106"/>
    <x:s v="FA"/>
    <x:s v="615"/>
    <x:s v="CO"/>
    <x:s v="FA-615"/>
    <x:s v="QUINTEROS BUSTAMANTE LUIS"/>
    <x:s v="01026635"/>
    <x:s v="FIERRO LEANDRO"/>
    <x:s v="POLICLÍNICO DIVINO NIÑO JESÚS"/>
    <x:s v="CRISTINA"/>
    <x:s v="0073366"/>
    <x:s v="955140676"/>
    <x:s v="GRUPO MEDICO INTEGRAL SOCIEDAD ANONIMA CERRADA"/>
    <x:s v="92520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02T00:00:00Z"/>
    <x:x v="3"/>
    <x:s v="106106"/>
    <x:s v="FA"/>
    <x:s v="615"/>
    <x:s v="CO"/>
    <x:s v="FA-615"/>
    <x:s v="QUINTEROS BUSTAMANTE LUIS"/>
    <x:s v="01026635"/>
    <x:s v="FIERRO LEANDRO"/>
    <x:s v="POLICLÍNICO DIVINO NIÑO JESÚS"/>
    <x:s v="CRISTINA"/>
    <x:s v="0073366"/>
    <x:s v="955140676"/>
    <x:s v="GRUPO MEDICO INTEGRAL SOCIEDAD ANONIMA CERRADA"/>
    <x:s v="92520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2T00:00:00Z"/>
    <x:x v="3"/>
    <x:s v="106054"/>
    <x:s v="BO"/>
    <x:s v="4621"/>
    <x:s v="CO"/>
    <x:s v="BO-4621"/>
    <x:s v="MAGUINA VARGAS DE ARANDA MIRTHA BELISA"/>
    <x:s v="08043386"/>
    <x:s v="AGRAMONTE ZEA EDILBERTO"/>
    <x:s v="HOSPITAL DE LA SOLIDARIDAD SJL"/>
    <x:s v="CRISTINA"/>
    <x:s v="0071906"/>
    <x:s v="989547202"/>
    <x:s v="MAGUINA VARGAS DE ARANDA MIRTHA BELISA"/>
    <x:s v="92585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n v="987407712"/>
    <x:s v="0011-0190-0200333106"/>
    <x:n v="30"/>
  </x:r>
  <x:r>
    <x:d v="2026-09-02T00:00:00Z"/>
    <x:x v="3"/>
    <x:s v="106077"/>
    <x:s v="BO"/>
    <x:s v="5097"/>
    <x:s v="CO"/>
    <x:s v="BO-5097"/>
    <x:s v="CABRERA VIGIL ROSA ESPERANZA"/>
    <x:s v="06542920"/>
    <x:s v="JAVE ESCALANTE LIZETH"/>
    <x:s v="HOSPITAL LOAYZA"/>
    <x:s v="CRISTINA"/>
    <x:s v="0073446"/>
    <x:s v="955013669"/>
    <x:s v="CABRERA VIGIL ROSA ESPERANZA"/>
    <x:s v="92615"/>
    <x:x v="8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n v="999111362"/>
    <x:s v="200-3076497260"/>
    <x:n v="30"/>
  </x:r>
  <x:r>
    <x:d v="2026-09-03T00:00:00Z"/>
    <x:x v="3"/>
    <x:s v="106140"/>
    <x:s v="BO"/>
    <x:s v="4635"/>
    <x:s v="CO"/>
    <x:s v="BO-4635"/>
    <x:s v="GUEVARA CASTILLO MAYRIOLITH"/>
    <x:s v="10440720"/>
    <x:m/>
    <x:m/>
    <x:s v="CRISTINA"/>
    <x:s v="0073473"/>
    <x:s v="902060976"/>
    <x:s v="GUEVARA CASTILLO MAYRIOLITH"/>
    <x:s v="92665"/>
    <x:x v="1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03T00:00:00Z"/>
    <x:x v="3"/>
    <x:s v="106159"/>
    <x:s v="BO"/>
    <x:s v="12567"/>
    <x:s v="CO"/>
    <x:s v="BO-12567"/>
    <x:s v="BEJAR RIVERA HECTOR"/>
    <x:s v="08784630"/>
    <x:m/>
    <x:m/>
    <x:s v="CRISTINA"/>
    <x:s v="0067334"/>
    <x:s v="997819691"/>
    <x:s v="BEJAR RIVERA HECTOR"/>
    <x:s v="92683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03T00:00:00Z"/>
    <x:x v="3"/>
    <x:s v="106159"/>
    <x:s v="BO"/>
    <x:s v="12567"/>
    <x:s v="CO"/>
    <x:s v="BO-12567"/>
    <x:s v="BEJAR RIVERA HECTOR"/>
    <x:s v="08784630"/>
    <x:m/>
    <x:m/>
    <x:s v="CRISTINA"/>
    <x:s v="0067334"/>
    <x:s v="997819691"/>
    <x:s v="BEJAR RIVERA HECTOR"/>
    <x:s v="92683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03T00:00:00Z"/>
    <x:x v="3"/>
    <x:s v="106206"/>
    <x:s v="FA"/>
    <x:s v="1134"/>
    <x:s v="CO"/>
    <x:s v="FA-1134"/>
    <x:s v="BARRETO NIEVES DEYSI MARGARITA"/>
    <x:s v="009591626"/>
    <x:s v="FIERRO LEANDRO"/>
    <x:s v="POLICLÍNICO DIVINO NIÑO JESÚS"/>
    <x:s v="CRISTINA"/>
    <x:s v="0072980"/>
    <x:s v="933975738"/>
    <x:s v="GRUPO MEDICO INTEGRAL SOCIEDAD ANONIMA CERRADA"/>
    <x:s v="92684"/>
    <x:x v="10"/>
    <x:n v="1"/>
    <x:s v="PRECISA"/>
    <x:s v="INSTITUTO MEDICO QUIRURGICO AREQUIPA S.A"/>
    <x:s v="INSTITUTO MEDICO QUIRURGICO AREQUIPA S.A"/>
    <x:s v="L.CENTRO"/>
    <x:s v="LMAGAN"/>
    <x:n v="1525.42"/>
    <x:s v="LN. CIRUGIA"/>
    <x:s v="CIAS. DE SEGURO"/>
    <x:s v="CENTRO"/>
    <x:m/>
    <x:m/>
    <x:m/>
  </x:r>
  <x:r>
    <x:d v="2026-09-03T00:00:00Z"/>
    <x:x v="3"/>
    <x:s v="106206"/>
    <x:s v="FA"/>
    <x:s v="1134"/>
    <x:s v="CO"/>
    <x:s v="FA-1134"/>
    <x:s v="BARRETO NIEVES DEYSI MARGARITA"/>
    <x:s v="009591626"/>
    <x:s v="FIERRO LEANDRO"/>
    <x:s v="POLICLÍNICO DIVINO NIÑO JESÚS"/>
    <x:s v="CRISTINA"/>
    <x:s v="0072980"/>
    <x:s v="933975738"/>
    <x:s v="GRUPO MEDICO INTEGRAL SOCIEDAD ANONIMA CERRADA"/>
    <x:s v="92684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9-03T00:00:00Z"/>
    <x:x v="3"/>
    <x:s v="106157"/>
    <x:s v="BO"/>
    <x:s v="12133"/>
    <x:s v="CO"/>
    <x:s v="BO-12133"/>
    <x:s v="PALACIOS RUIZ MIGUEL ANGEL"/>
    <x:s v="43315807"/>
    <x:m/>
    <x:m/>
    <x:s v="CRISTINA"/>
    <x:s v="0073432"/>
    <x:s v="+51981538677"/>
    <x:s v="PALACIOS RUIZ MIGUEL ANGEL"/>
    <x:s v="92676"/>
    <x:x v="12"/>
    <x:n v="1"/>
    <x:s v="PRECISA"/>
    <x:s v="INSTITUTO MEDICO QUIRURGICO AREQUIPA S.A"/>
    <x:s v="INSTITUTO MEDICO QUIRURGICO AREQUIPA S.A"/>
    <x:s v="L.NORTE"/>
    <x:s v="SBRUNO"/>
    <x:n v="152.54"/>
    <x:s v="LN. EXAMENES"/>
    <x:s v="CIAS. DE SEGURO"/>
    <x:s v="NORTE"/>
    <x:m/>
    <x:m/>
    <x:n v="30"/>
  </x:r>
  <x:r>
    <x:d v="2026-09-04T00:00:00Z"/>
    <x:x v="3"/>
    <x:s v="106221"/>
    <x:s v="FA"/>
    <x:s v="619"/>
    <x:s v="CO"/>
    <x:s v="FA-619"/>
    <x:s v="PARI MAMANI LEANDRO"/>
    <x:s v="10419517"/>
    <x:s v="VILLAR CURAHUA MARCELA ALEJANDRA"/>
    <x:s v="GAMARRA SALUD"/>
    <x:s v="CRISTINA"/>
    <x:s v="0073371"/>
    <x:s v="985412589"/>
    <x:s v="GAMARRA HEALTHCARE CENTER S.A.C."/>
    <x:s v="92463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n v="950133748"/>
    <x:s v="191-9953047026"/>
    <x:m/>
  </x:r>
  <x:r>
    <x:d v="2026-09-04T00:00:00Z"/>
    <x:x v="3"/>
    <x:s v="106221"/>
    <x:s v="FA"/>
    <x:s v="619"/>
    <x:s v="CO"/>
    <x:s v="FA-619"/>
    <x:s v="PARI MAMANI LEANDRO"/>
    <x:s v="10419517"/>
    <x:s v="VILLAR CURAHUA MARCELA ALEJANDRA"/>
    <x:s v="GAMARRA SALUD"/>
    <x:s v="CRISTINA"/>
    <x:s v="0073371"/>
    <x:s v="985412589"/>
    <x:s v="GAMARRA HEALTHCARE CENTER S.A.C."/>
    <x:s v="9246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9-04T00:00:00Z"/>
    <x:x v="3"/>
    <x:s v="106222"/>
    <x:s v="BO"/>
    <x:s v="6352"/>
    <x:s v="CO"/>
    <x:s v="BO-6352"/>
    <x:s v="SANTAMARIA TEJADA LUCILA"/>
    <x:s v="08905427"/>
    <x:s v="HERNANDEZ PEÑA ARTURO GABRIEL"/>
    <x:s v="HOSPITAL DE POLICIA"/>
    <x:s v="CRISTINA"/>
    <x:s v="0073504"/>
    <x:s v="947170721"/>
    <x:s v="SANTAMARIA TEJADA LUCILA"/>
    <x:s v="92736"/>
    <x:x v="21"/>
    <x:n v="1"/>
    <x:s v="PRECISA"/>
    <x:s v="INSTITUTO MEDICO QUIRURGICO AREQUIPA S.A"/>
    <x:s v="INSTITUTO MEDICO QUIRURGICO AREQUIPA S.A"/>
    <x:s v="L.CENTRO"/>
    <x:s v="ACABRERA"/>
    <x:n v="338.98"/>
    <x:s v="LN. EXAMENES"/>
    <x:s v="CIAS. DE SEGURO"/>
    <x:s v="CENTRO"/>
    <x:n v="949900695"/>
    <x:s v="191-15421658031"/>
    <x:n v="100"/>
  </x:r>
  <x:r>
    <x:d v="2026-09-04T00:00:00Z"/>
    <x:x v="3"/>
    <x:s v="106223"/>
    <x:s v="FA"/>
    <x:s v="620"/>
    <x:s v="CO"/>
    <x:s v="FA-620"/>
    <x:s v="LOPEZ BENITO EULOGIA MAURICIA"/>
    <x:s v="04075700"/>
    <x:s v="VILLAR CURAHUA MARCELA ALEJANDRA"/>
    <x:s v="GAMARRA SALUD"/>
    <x:s v="CRISTINA"/>
    <x:s v="0072575"/>
    <x:s v="963945263"/>
    <x:s v="GAMARRA HEALTHCARE CENTER S.A.C."/>
    <x:s v="92462"/>
    <x:x v="10"/>
    <x:n v="1"/>
    <x:s v="PRECISA"/>
    <x:s v="INSTITUTO MEDICO QUIRURGICO AREQUIPA S.A"/>
    <x:s v="INSTITUTO MEDICO QUIRURGICO AREQUIPA S.A"/>
    <x:s v="L.CENTRO"/>
    <x:s v="ACABRERA"/>
    <x:n v="3211.86"/>
    <x:s v="LN. CIRUGIA"/>
    <x:s v="CIAS. DE SEGURO"/>
    <x:s v="CENTRO"/>
    <x:n v="950133748"/>
    <x:s v="191-9953047026"/>
    <x:m/>
  </x:r>
  <x:r>
    <x:d v="2026-09-04T00:00:00Z"/>
    <x:x v="3"/>
    <x:s v="106223"/>
    <x:s v="FA"/>
    <x:s v="620"/>
    <x:s v="CO"/>
    <x:s v="FA-620"/>
    <x:s v="LOPEZ BENITO EULOGIA MAURICIA"/>
    <x:s v="04075700"/>
    <x:s v="VILLAR CURAHUA MARCELA ALEJANDRA"/>
    <x:s v="GAMARRA SALUD"/>
    <x:s v="CRISTINA"/>
    <x:s v="0072575"/>
    <x:s v="963945263"/>
    <x:s v="GAMARRA HEALTHCARE CENTER S.A.C."/>
    <x:s v="92462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n v="950133748"/>
    <x:s v="191-9953047026"/>
    <x:m/>
  </x:r>
  <x:r>
    <x:d v="2026-09-04T00:00:00Z"/>
    <x:x v="3"/>
    <x:s v="106229"/>
    <x:s v="FA"/>
    <x:s v="1135"/>
    <x:s v="CO"/>
    <x:s v="FA-1135"/>
    <x:s v="PARI MAMANI LEANDRO"/>
    <x:s v="10419517"/>
    <x:s v="VILLAR CURAHUA MARCELA ALEJANDRA"/>
    <x:s v="GAMARRA SALUD"/>
    <x:s v="CRISTINA"/>
    <x:s v="0073371"/>
    <x:s v="985412589"/>
    <x:s v="GAMARRA HEALTHCARE CENTER S.A.C."/>
    <x:s v="92744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n v="950133748"/>
    <x:s v="191-9953047026"/>
    <x:n v="30"/>
  </x:r>
  <x:r>
    <x:d v="2026-09-04T00:00:00Z"/>
    <x:x v="3"/>
    <x:s v="106288"/>
    <x:s v="BO"/>
    <x:s v="12577"/>
    <x:s v="CO"/>
    <x:s v="BO-12577"/>
    <x:s v="RODRIGUEZ CHUQUIMANGO GIORGETTE GIOVANNI"/>
    <x:s v="46680668"/>
    <x:s v="RODRIGUEZ CHUQUIMANGO GIORGETTE GIOVANNI"/>
    <x:m/>
    <x:s v="CRISTINA"/>
    <x:s v="0073538"/>
    <x:s v="938128690"/>
    <x:s v="RODRIGUEZ CHUQUIMANGO GIORGETTE GIOVANNI"/>
    <x:s v="92782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04T00:00:00Z"/>
    <x:x v="3"/>
    <x:s v="106277"/>
    <x:s v="BO"/>
    <x:s v="472"/>
    <x:s v="CO"/>
    <x:s v="BO-472"/>
    <x:s v="SANTIN ZAPATA VDA DE PRADO NELLY YOLANDA"/>
    <x:s v="16720575"/>
    <x:m/>
    <x:m/>
    <x:s v="CRISTINA"/>
    <x:s v="0062457"/>
    <x:s v="988362277"/>
    <x:s v="SANTIN ZAPATA VDA DE PRADO NELLY YOLANDA"/>
    <x:s v="92771"/>
    <x:x v="4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05T00:00:00Z"/>
    <x:x v="3"/>
    <x:s v="106320"/>
    <x:s v="FA"/>
    <x:s v="134"/>
    <x:s v="CO"/>
    <x:s v="FA-134"/>
    <x:s v="MUNASCA TORRES NANCY MAXIMINA"/>
    <x:s v="06025531"/>
    <x:s v="LLERENA LOYOLA ELSA YESENIA"/>
    <x:s v="CLINICA MAISON DE SANTE"/>
    <x:s v="CRISTINA"/>
    <x:s v="0051299"/>
    <x:s v="998157351"/>
    <x:s v="CARMELO VELASQUEZ ISABEL"/>
    <x:s v="92803"/>
    <x:x v="2"/>
    <x:n v="1"/>
    <x:s v="PRECISA LN"/>
    <x:s v="POR ASIGNAR"/>
    <x:s v="INSTITUTO MEDICO QUIRURGICO AREQUIPA S.A"/>
    <x:s v="L.NORTE"/>
    <x:s v="BGALLOSA"/>
    <x:n v="169.49"/>
    <x:s v="LN. EXAMENES"/>
    <x:s v="CIAS. DE SEGURO"/>
    <x:s v="NORTE"/>
    <x:n v="998418895"/>
    <x:s v="0011-0197-0200171031"/>
    <x:n v="50"/>
  </x:r>
  <x:r>
    <x:d v="2026-09-05T00:00:00Z"/>
    <x:x v="3"/>
    <x:s v="106320"/>
    <x:s v="FA"/>
    <x:s v="134"/>
    <x:s v="CO"/>
    <x:s v="FA-134"/>
    <x:s v="MUNASCA TORRES NANCY MAXIMINA"/>
    <x:s v="06025531"/>
    <x:s v="LLERENA LOYOLA ELSA YESENIA"/>
    <x:s v="CLINICA MAISON DE SANTE"/>
    <x:s v="CRISTINA"/>
    <x:s v="0051299"/>
    <x:s v="998157351"/>
    <x:s v="CARMELO VELASQUEZ ISABEL"/>
    <x:s v="92803"/>
    <x:x v="0"/>
    <x:n v="1"/>
    <x:s v="PRECISA LN"/>
    <x:s v="POR ASIGNAR"/>
    <x:s v="INSTITUTO MEDICO QUIRURGICO AREQUIPA S.A"/>
    <x:s v="L.NORTE"/>
    <x:s v="BGALLOSA"/>
    <x:n v="169.49"/>
    <x:s v="LN. EXAMENES"/>
    <x:s v="CIAS. DE SEGURO"/>
    <x:s v="NORTE"/>
    <x:n v="998418895"/>
    <x:s v="0011-0197-0200171031"/>
    <x:n v="50"/>
  </x:r>
  <x:r>
    <x:d v="2026-09-05T00:00:00Z"/>
    <x:x v="3"/>
    <x:s v="106334"/>
    <x:s v="FA"/>
    <x:s v="1136"/>
    <x:s v="CO"/>
    <x:s v="FA-1136"/>
    <x:s v="CRISPIN TRAVEZAÑO ANTONIO OREB"/>
    <x:s v="40886630"/>
    <x:s v="CRISPIN TRAVEZAÑO ANTONIO OREB"/>
    <x:m/>
    <x:s v="CRISTINA"/>
    <x:s v="0073499"/>
    <x:s v="929579256"/>
    <x:s v="CENTRO OFTALMOLOGICO OFTALMOCARE S.R.L."/>
    <x:s v="92820"/>
    <x:x v="3"/>
    <x:n v="1"/>
    <x:s v="PRECISA"/>
    <x:s v="INSTITUTO MEDICO QUIRURGICO AREQUIPA S.A"/>
    <x:s v="INSTITUTO MEDICO QUIRURGICO AREQUIPA S.A"/>
    <x:s v="L.CENTRO"/>
    <x:s v="LMAGAN"/>
    <x:n v="254.24"/>
    <x:s v="LN. PROCEDIMIENTO"/>
    <x:s v="CIAS. DE SEGURO"/>
    <x:s v="CENTRO"/>
    <x:m/>
    <x:m/>
    <x:m/>
  </x:r>
  <x:r>
    <x:d v="2026-09-05T00:00:00Z"/>
    <x:x v="3"/>
    <x:s v="106352"/>
    <x:s v="BO"/>
    <x:s v="484"/>
    <x:s v="CO"/>
    <x:s v="BO-484"/>
    <x:s v="HUAPAYA BARREDA ADRIANA MICAELA"/>
    <x:s v="78325575"/>
    <x:m/>
    <x:m/>
    <x:s v="CRISTINA"/>
    <x:s v="0073531"/>
    <x:s v="+51943499354"/>
    <x:s v="HUAPAYA BARREDA ADRIANA MICAELA"/>
    <x:s v="92809"/>
    <x:x v="12"/>
    <x:n v="1"/>
    <x:s v="PRECISA"/>
    <x:s v="INSTITUTO MEDICO QUIRURGICO AREQUIPA S.A"/>
    <x:s v="INSTITUTO MEDICO QUIRURGICO AREQUIPA S.A"/>
    <x:s v="L.LINCE"/>
    <x:s v="SMORENO"/>
    <x:n v="152.54"/>
    <x:s v="LN. EXAMENES"/>
    <x:s v="CIAS. DE SEGURO"/>
    <x:s v="LINCE"/>
    <x:m/>
    <x:m/>
    <x:n v="30"/>
  </x:r>
  <x:r>
    <x:d v="2026-09-05T00:00:00Z"/>
    <x:x v="3"/>
    <x:s v="106387"/>
    <x:s v="BO"/>
    <x:s v="726"/>
    <x:s v="CO"/>
    <x:s v="BO-726"/>
    <x:s v="GALARZA ROJAS ANGELICA CELEDONIA"/>
    <x:s v="08829378"/>
    <x:m/>
    <x:m/>
    <x:s v="CRISTINA"/>
    <x:s v="0071328"/>
    <x:s v="962603623"/>
    <x:s v="GALARZA ROJAS ANGELICA CELEDONIA"/>
    <x:s v="92853"/>
    <x:x v="1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m/>
    <x:m/>
    <x:n v="30"/>
  </x:r>
  <x:r>
    <x:d v="2026-09-05T00:00:00Z"/>
    <x:x v="3"/>
    <x:s v="106391"/>
    <x:s v="BO"/>
    <x:s v="5132"/>
    <x:s v="CO"/>
    <x:s v="BO-5132"/>
    <x:s v="NEIRA TREBEJO DE LEON CARMEN"/>
    <x:s v="06853316"/>
    <x:s v="JAVE ESCALANTE LIZETH"/>
    <x:s v="HOSPITAL LOAYZA"/>
    <x:s v="CRISTINA"/>
    <x:s v="0073559"/>
    <x:s v="961719937"/>
    <x:s v="NEIRA TREBEJO DE LEON CARMEN"/>
    <x:s v="92852"/>
    <x:x v="4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n v="999111362"/>
    <x:s v="200-3076497260"/>
    <x:n v="30"/>
  </x:r>
  <x:r>
    <x:d v="2026-09-05T00:00:00Z"/>
    <x:x v="3"/>
    <x:s v="106409"/>
    <x:s v="FA"/>
    <x:s v="10"/>
    <x:s v="CO"/>
    <x:s v="FA-10"/>
    <x:s v="SINCLAIR REJAS PATRICIA VICTORIA"/>
    <x:s v="45635460"/>
    <x:m/>
    <x:m/>
    <x:s v="CRISTINA"/>
    <x:s v="0073539"/>
    <x:s v="936131340"/>
    <x:s v="SINCLAIR REJAS PATRICIA VICTORIA"/>
    <x:s v="92787"/>
    <x:x v="8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05T00:00:00Z"/>
    <x:x v="3"/>
    <x:s v="106409"/>
    <x:s v="FA"/>
    <x:s v="10"/>
    <x:s v="CO"/>
    <x:s v="FA-10"/>
    <x:s v="SINCLAIR REJAS PATRICIA VICTORIA"/>
    <x:s v="45635460"/>
    <x:m/>
    <x:m/>
    <x:s v="CRISTINA"/>
    <x:s v="0073539"/>
    <x:s v="936131340"/>
    <x:s v="SINCLAIR REJAS PATRICIA VICTORIA"/>
    <x:s v="92787"/>
    <x:x v="12"/>
    <x:n v="1"/>
    <x:s v="PRECISA"/>
    <x:s v="INSTITUTO MEDICO QUIRURGICO AREQUIPA S.A"/>
    <x:s v="INSTITUTO MEDICO QUIRURGICO AREQUIPA S.A"/>
    <x:s v="L.LINCE"/>
    <x:s v="SMORENO"/>
    <x:n v="152.54"/>
    <x:s v="LN. EXAMENES"/>
    <x:s v="CIAS. DE SEGURO"/>
    <x:s v="LINCE"/>
    <x:m/>
    <x:m/>
    <x:n v="30"/>
  </x:r>
  <x:r>
    <x:d v="2026-09-07T00:00:00Z"/>
    <x:x v="3"/>
    <x:s v="106463"/>
    <x:s v="BO"/>
    <x:s v="5141"/>
    <x:s v="CO"/>
    <x:s v="BO-5141"/>
    <x:s v="ALANIA MONTES DOMINGA FORTUNATA"/>
    <x:s v="08500086"/>
    <x:s v="SAPAICO VICUÑA AUGUSTO RODRIGO"/>
    <x:s v="HOSPITAL LOAYZA"/>
    <x:s v="CRISTINA"/>
    <x:s v="0073600"/>
    <x:s v="979075702"/>
    <x:s v="ALANIA MONTES DOMINGA FORTUNATA"/>
    <x:s v="92920"/>
    <x:x v="1"/>
    <x:n v="1"/>
    <x:s v="PRECISA LN"/>
    <x:s v="POR ASIGNAR"/>
    <x:s v="INSTITUTO MEDICO QUIRURGICO AREQUIPA S.A"/>
    <x:s v="L.NORTE"/>
    <x:s v="AALARCON"/>
    <x:n v="135.59"/>
    <x:s v="LN. EXAMENES"/>
    <x:s v="CIAS. DE SEGURO"/>
    <x:s v="NORTE"/>
    <x:n v="997145685"/>
    <x:s v="0011-0189-0200496417"/>
    <x:n v="30"/>
  </x:r>
  <x:r>
    <x:d v="2026-09-07T00:00:00Z"/>
    <x:x v="3"/>
    <x:s v="106468"/>
    <x:s v="BO"/>
    <x:s v="5143"/>
    <x:s v="CO"/>
    <x:s v="BO-5143"/>
    <x:s v="ZEVALLOS ZUNIGA DE MORENO MARGARITA RUBY"/>
    <x:s v="06041866"/>
    <x:m/>
    <x:m/>
    <x:s v="CRISTINA"/>
    <x:s v="0073606"/>
    <x:s v="999968835"/>
    <x:s v="ZEVALLOS ZUNIGA DE MORENO MARGARITA RUBY"/>
    <x:s v="92926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9-07T00:00:00Z"/>
    <x:x v="3"/>
    <x:s v="106529"/>
    <x:s v="BO"/>
    <x:s v="12610"/>
    <x:s v="CO"/>
    <x:s v="BO-12610"/>
    <x:s v="CARDENAS OLMEDA CLAUDIO"/>
    <x:s v="10371176"/>
    <x:s v="ROJAS AQUINO EVELING KARINA"/>
    <x:s v="POLICLÍNICO ESPÍRITU SANTO"/>
    <x:s v="CRISTINA"/>
    <x:s v="0073636"/>
    <x:s v="9151385318"/>
    <x:s v="CARDENAS OLMEDA CLAUDIO"/>
    <x:s v="92982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n v="955356636"/>
    <x:s v="009-3226956615"/>
    <x:n v="50"/>
  </x:r>
  <x:r>
    <x:d v="2026-09-07T00:00:00Z"/>
    <x:x v="3"/>
    <x:s v="106454"/>
    <x:s v="BO"/>
    <x:s v="4668"/>
    <x:s v="CO"/>
    <x:s v="BO-4668"/>
    <x:s v="CASQUIÑO DE AVENDAÑO ROSAURA"/>
    <x:s v="15412642"/>
    <x:s v="PALACIOS URIBE PAMELA CAROLINA"/>
    <x:m/>
    <x:s v="CRISTINA"/>
    <x:s v="0073533"/>
    <x:s v="910 864 168"/>
    <x:s v="CASQUIÑO DE AVENDAÑO ROSAURA"/>
    <x:s v="92892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07T00:00:00Z"/>
    <x:x v="3"/>
    <x:s v="106484"/>
    <x:s v="BO"/>
    <x:s v="12598"/>
    <x:s v="CO"/>
    <x:s v="BO-12598"/>
    <x:s v="MONTENEGRO LOPEZ CHRISTIAN"/>
    <x:s v="43909751"/>
    <x:m/>
    <x:m/>
    <x:s v="CRISTINA"/>
    <x:s v="0055493"/>
    <x:s v="951769089"/>
    <x:s v="MONTENEGRO LOPEZ CHRISTIAN"/>
    <x:s v="92938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07T00:00:00Z"/>
    <x:x v="3"/>
    <x:s v="106530"/>
    <x:s v="BO"/>
    <x:s v="12611"/>
    <x:s v="CO"/>
    <x:s v="BO-12611"/>
    <x:s v="SIMON VELITA CONRADO"/>
    <x:s v="71772606"/>
    <x:m/>
    <x:m/>
    <x:s v="CRISTINA"/>
    <x:s v="0073334"/>
    <x:s v="+51901526567"/>
    <x:s v="SIMON VELITA CONRADO"/>
    <x:s v="92957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07T00:00:00Z"/>
    <x:x v="3"/>
    <x:s v="106531"/>
    <x:s v="BO"/>
    <x:s v="12612"/>
    <x:s v="CO"/>
    <x:s v="BO-12612"/>
    <x:s v="MERINO MERINO MAYLIN RAQUEL"/>
    <x:s v="75397288"/>
    <x:m/>
    <x:m/>
    <x:s v="CRISTINA"/>
    <x:s v="0073603"/>
    <x:s v="943424880"/>
    <x:s v="MERINO MERINO MAYLIN RAQUEL"/>
    <x:s v="92975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07T00:00:00Z"/>
    <x:x v="3"/>
    <x:s v="106535"/>
    <x:s v="BO"/>
    <x:s v="12614"/>
    <x:s v="CO"/>
    <x:s v="BO-12614"/>
    <x:s v="CASTREJÓN MIRANDA HENDER YONEL"/>
    <x:s v="71733325"/>
    <x:m/>
    <x:m/>
    <x:s v="CRISTINA"/>
    <x:s v="0073590"/>
    <x:s v="921855429"/>
    <x:s v="CASTREJÓN MIRANDA HENDER YONEL"/>
    <x:s v="92966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08T00:00:00Z"/>
    <x:x v="3"/>
    <x:s v="106603"/>
    <x:s v="BO"/>
    <x:s v="5171"/>
    <x:s v="CO"/>
    <x:s v="BO-5171"/>
    <x:s v="LEON DONAIRES RAYMUNDO"/>
    <x:s v="06916024"/>
    <x:s v="SAPAICO VICUÑA AUGUSTO RODRIGO"/>
    <x:s v="HOSPITAL LOAYZA"/>
    <x:s v="CRISTINA"/>
    <x:s v="0073668"/>
    <x:s v="967222528"/>
    <x:s v="LEON DONAIRES RAYMUNDO"/>
    <x:s v="93037"/>
    <x:x v="0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n v="997145685"/>
    <x:s v="0011-0189-0200496417"/>
    <x:n v="50"/>
  </x:r>
  <x:r>
    <x:d v="2026-09-08T00:00:00Z"/>
    <x:x v="3"/>
    <x:s v="106585"/>
    <x:s v="BO"/>
    <x:s v="5166"/>
    <x:s v="CO"/>
    <x:s v="BO-5166"/>
    <x:s v="RAMBLA DE RODRIGUEZ GABY LUZ"/>
    <x:s v="25492367"/>
    <x:m/>
    <x:m/>
    <x:s v="CRISTINA"/>
    <x:s v="0073653"/>
    <x:s v="966139518"/>
    <x:s v="RAMBLA DE RODRIGUEZ GABY LUZ"/>
    <x:s v="93013"/>
    <x:x v="1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9-08T00:00:00Z"/>
    <x:x v="3"/>
    <x:s v="106587"/>
    <x:s v="BO"/>
    <x:s v="12630"/>
    <x:s v="CO"/>
    <x:s v="BO-12630"/>
    <x:s v="HUANCA RIVERA LIZETH YENY"/>
    <x:s v="48545473"/>
    <x:m/>
    <x:m/>
    <x:s v="CRISTINA"/>
    <x:s v="0051471"/>
    <x:s v="924540033"/>
    <x:s v="HUANCA RIVERA LIZETH YENY"/>
    <x:s v="93002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08T00:00:00Z"/>
    <x:x v="3"/>
    <x:s v="106630"/>
    <x:s v="BO"/>
    <x:s v="496"/>
    <x:s v="CO"/>
    <x:s v="BO-496"/>
    <x:s v="CABRERA ALVA FLORA ISOLDA"/>
    <x:s v="10588128"/>
    <x:s v="ACOSTA VIERA ALVARO"/>
    <x:s v="CONSULTORIO PARTICULAR"/>
    <x:s v="CRISTINA"/>
    <x:s v="0073641"/>
    <x:s v="943510849"/>
    <x:s v="CABRERA ALVA FLORA ISOLDA"/>
    <x:s v="93050"/>
    <x:x v="1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n v="969791876"/>
    <x:s v="0011-0814-0256063048"/>
    <x:n v="30"/>
  </x:r>
  <x:r>
    <x:d v="2026-09-08T00:00:00Z"/>
    <x:x v="3"/>
    <x:s v="106635"/>
    <x:s v="BO"/>
    <x:s v="5181"/>
    <x:s v="CO"/>
    <x:s v="BO-5181"/>
    <x:s v="GUSMAN CURO DENISSE VANESSA"/>
    <x:s v="75346669"/>
    <x:m/>
    <x:m/>
    <x:s v="CRISTINA"/>
    <x:s v="0073677"/>
    <x:s v="943568911"/>
    <x:s v="GUSMAN CURO DENISSE VANESSA"/>
    <x:s v="93059"/>
    <x:x v="12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m/>
    <x:m/>
    <x:n v="30"/>
  </x:r>
  <x:r>
    <x:d v="2026-09-08T00:00:00Z"/>
    <x:x v="3"/>
    <x:s v="106644"/>
    <x:s v="BO"/>
    <x:s v="498"/>
    <x:s v="CO"/>
    <x:s v="BO-498"/>
    <x:s v="CABRERA ALVA FLORA ISOLDA"/>
    <x:s v="10588128"/>
    <x:m/>
    <x:m/>
    <x:s v="CRISTINA"/>
    <x:s v="0073641"/>
    <x:s v="943510849"/>
    <x:s v="CABRERA ALVA FLORA ISOLDA"/>
    <x:s v="93050"/>
    <x:x v="21"/>
    <x:n v="1"/>
    <x:s v="PRECISA"/>
    <x:s v="INSTITUTO MEDICO QUIRURGICO AREQUIPA S.A"/>
    <x:s v="INSTITUTO MEDICO QUIRURGICO AREQUIPA S.A"/>
    <x:s v="L.LINCE"/>
    <x:s v="SMORENO"/>
    <x:n v="338.98"/>
    <x:s v="LN. EXAMENES"/>
    <x:s v="CIAS. DE SEGURO"/>
    <x:s v="LINCE"/>
    <x:m/>
    <x:m/>
    <x:n v="100"/>
  </x:r>
  <x:r>
    <x:d v="2026-09-09T00:00:00Z"/>
    <x:x v="3"/>
    <x:s v="106718"/>
    <x:s v="BO"/>
    <x:s v="12648"/>
    <x:s v="CO"/>
    <x:s v="BO-12648"/>
    <x:s v="TORRES BUSTAMANTE SONNIA JULI"/>
    <x:s v="06025459"/>
    <x:m/>
    <x:m/>
    <x:s v="CRISTINA"/>
    <x:s v="0073716"/>
    <x:s v="949223453"/>
    <x:s v="TORRES BUSTAMANTE SONNIA JULI"/>
    <x:s v="93123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09T00:00:00Z"/>
    <x:x v="3"/>
    <x:s v="106718"/>
    <x:s v="BO"/>
    <x:s v="12648"/>
    <x:s v="CO"/>
    <x:s v="BO-12648"/>
    <x:s v="TORRES BUSTAMANTE SONNIA JULI"/>
    <x:s v="06025459"/>
    <x:m/>
    <x:m/>
    <x:s v="CRISTINA"/>
    <x:s v="0073716"/>
    <x:s v="949223453"/>
    <x:s v="TORRES BUSTAMANTE SONNIA JULI"/>
    <x:s v="93123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09T00:00:00Z"/>
    <x:x v="3"/>
    <x:s v="106735"/>
    <x:s v="BO"/>
    <x:s v="5191"/>
    <x:s v="CO"/>
    <x:s v="BO-5191"/>
    <x:s v="ENCISO QUILLA KARIN"/>
    <x:s v="40043626"/>
    <x:s v="ENCISO QUILLA KARIN"/>
    <x:s v="SISOL DE LOS OLIVOS"/>
    <x:s v="CRISTINA"/>
    <x:s v="0009916"/>
    <x:s v="950418896"/>
    <x:s v="ENCISO QUILLA KARIN"/>
    <x:s v="93121"/>
    <x:x v="24"/>
    <x:n v="1"/>
    <x:s v="PRECISA LN"/>
    <x:s v="POR ASIGNAR"/>
    <x:s v="INSTITUTO MEDICO QUIRURGICO AREQUIPA S.A"/>
    <x:s v="L.NORTE"/>
    <x:s v="AALARCON"/>
    <x:n v="139.83"/>
    <x:s v="LN. CIRUGIA"/>
    <x:s v="CIAS. DE SEGURO"/>
    <x:s v="NORTE"/>
    <x:n v="950418896"/>
    <x:m/>
    <x:m/>
  </x:r>
  <x:r>
    <x:d v="2026-09-09T00:00:00Z"/>
    <x:x v="3"/>
    <x:s v="106735"/>
    <x:s v="BO"/>
    <x:s v="5191"/>
    <x:s v="CO"/>
    <x:s v="BO-5191"/>
    <x:s v="ENCISO QUILLA KARIN"/>
    <x:s v="40043626"/>
    <x:s v="ENCISO QUILLA KARIN"/>
    <x:s v="SISOL DE LOS OLIVOS"/>
    <x:s v="CRISTINA"/>
    <x:s v="0009916"/>
    <x:s v="950418896"/>
    <x:s v="ENCISO QUILLA KARIN"/>
    <x:s v="93121"/>
    <x:x v="9"/>
    <x:n v="1"/>
    <x:s v="PRECISA LN"/>
    <x:s v="POR ASIGNAR"/>
    <x:s v="INSTITUTO MEDICO QUIRURGICO AREQUIPA S.A"/>
    <x:s v="L.NORTE"/>
    <x:s v="AALARCON"/>
    <x:n v="0"/>
    <x:s v="LN. CIRUGIA"/>
    <x:s v="CIAS. DE SEGURO"/>
    <x:s v="NORTE"/>
    <x:n v="950418896"/>
    <x:m/>
    <x:m/>
  </x:r>
  <x:r>
    <x:d v="2026-09-09T00:00:00Z"/>
    <x:x v="3"/>
    <x:s v="106753"/>
    <x:s v="BO"/>
    <x:s v="6410"/>
    <x:s v="CO"/>
    <x:s v="BO-6410"/>
    <x:s v="ESCOBEDO LARA DE HERRERA NORBERTA"/>
    <x:s v="09220286"/>
    <x:s v="PALACIOS URIBE PAMELA CAROLINA"/>
    <x:m/>
    <x:s v="CRISTINA"/>
    <x:s v="0070433"/>
    <x:s v="999999999"/>
    <x:s v="GRUPO MVP S.A.C."/>
    <x:s v="93004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9T00:00:00Z"/>
    <x:x v="3"/>
    <x:s v="106753"/>
    <x:s v="BO"/>
    <x:s v="6410"/>
    <x:s v="CO"/>
    <x:s v="BO-6410"/>
    <x:s v="ESCOBEDO LARA DE HERRERA NORBERTA"/>
    <x:s v="09220286"/>
    <x:s v="PALACIOS URIBE PAMELA CAROLINA"/>
    <x:m/>
    <x:s v="CRISTINA"/>
    <x:s v="0070433"/>
    <x:s v="999999999"/>
    <x:s v="GRUPO MVP S.A.C."/>
    <x:s v="93004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09T00:00:00Z"/>
    <x:x v="3"/>
    <x:s v="106755"/>
    <x:s v="FA"/>
    <x:s v="623"/>
    <x:s v="CO"/>
    <x:s v="FA-623"/>
    <x:s v="SOTO FERNANDEZ FLORA"/>
    <x:s v="31018493"/>
    <x:s v="PALACIOS URIBE PAMELA CAROLINA"/>
    <x:m/>
    <x:s v="CRISTINA"/>
    <x:s v="0073596"/>
    <x:s v="999999999"/>
    <x:s v="GRUPO MVP S.A.C."/>
    <x:s v="93005"/>
    <x:x v="10"/>
    <x:n v="1"/>
    <x:s v="PRECISA"/>
    <x:s v="INSTITUTO MEDICO QUIRURGICO AREQUIPA S.A"/>
    <x:s v="INSTITUTO MEDICO QUIRURGICO AREQUIPA S.A"/>
    <x:s v="L.CENTRO"/>
    <x:s v="ACABRERA"/>
    <x:n v="847.46"/>
    <x:s v="LN. CIRUGIA"/>
    <x:s v="CIAS. DE SEGURO"/>
    <x:s v="CENTRO"/>
    <x:m/>
    <x:m/>
    <x:m/>
  </x:r>
  <x:r>
    <x:d v="2026-09-09T00:00:00Z"/>
    <x:x v="3"/>
    <x:s v="106755"/>
    <x:s v="FA"/>
    <x:s v="623"/>
    <x:s v="CO"/>
    <x:s v="FA-623"/>
    <x:s v="SOTO FERNANDEZ FLORA"/>
    <x:s v="31018493"/>
    <x:s v="PALACIOS URIBE PAMELA CAROLINA"/>
    <x:m/>
    <x:s v="CRISTINA"/>
    <x:s v="0073596"/>
    <x:s v="999999999"/>
    <x:s v="GRUPO MVP S.A.C."/>
    <x:s v="9300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09T00:00:00Z"/>
    <x:x v="3"/>
    <x:s v="106661"/>
    <x:s v="BO"/>
    <x:s v="4682"/>
    <x:s v="CO"/>
    <x:s v="BO-4682"/>
    <x:s v="GUTIERREZ PULTAY PAULINA"/>
    <x:s v="06065150"/>
    <x:s v="PAITAN QUISPE EMILYN"/>
    <x:m/>
    <x:s v="CRISTINA"/>
    <x:s v="0073689"/>
    <x:s v="+51981243092"/>
    <x:s v="GUTIERREZ PULTAY PAULINA"/>
    <x:s v="93081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09T00:00:00Z"/>
    <x:x v="3"/>
    <x:s v="106686"/>
    <x:s v="BO"/>
    <x:s v="502"/>
    <x:s v="CO"/>
    <x:s v="BO-502"/>
    <x:s v="TALAVERANO NAVARRO ROSA SALOME"/>
    <x:s v="10561537"/>
    <x:m/>
    <x:m/>
    <x:s v="CRISTINA"/>
    <x:s v="0073702"/>
    <x:s v="994914602"/>
    <x:s v="TALAVERANO NAVARRO ROSA SALOME"/>
    <x:s v="93103"/>
    <x:x v="1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09T00:00:00Z"/>
    <x:x v="3"/>
    <x:s v="106691"/>
    <x:s v="BO"/>
    <x:s v="5188"/>
    <x:s v="CO"/>
    <x:s v="BO-5188"/>
    <x:s v="ESCALANTE ANGULO MARIA FELICITA"/>
    <x:s v="41480528"/>
    <x:s v="PAITAN QUISPE EMILYN"/>
    <x:m/>
    <x:s v="CRISTINA"/>
    <x:s v="0073671"/>
    <x:s v="996699900"/>
    <x:s v="ESCALANTE ANGULO MARIA FELICITA"/>
    <x:s v="93084"/>
    <x:x v="1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9-09T00:00:00Z"/>
    <x:x v="3"/>
    <x:s v="106713"/>
    <x:s v="FA"/>
    <x:s v="1138"/>
    <x:s v="CO"/>
    <x:s v="FA-1138"/>
    <x:s v="CORNEJO CALVO DE FERRO MIRTHA ROSA MARIA"/>
    <x:s v="07835036"/>
    <x:m/>
    <x:m/>
    <x:s v="CRISTINA"/>
    <x:s v="0073476"/>
    <x:s v="947675431"/>
    <x:s v="PACIFICO S.A. ENT. PRESTADORA DE SALUD"/>
    <x:s v="93110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09T00:00:00Z"/>
    <x:x v="3"/>
    <x:s v="106745"/>
    <x:s v="BO"/>
    <x:s v="12651"/>
    <x:s v="CO"/>
    <x:s v="BO-12651"/>
    <x:s v="CORNEJO CHAUCA JORDAN WALTER JUNIOR"/>
    <x:s v="47686410"/>
    <x:m/>
    <x:m/>
    <x:s v="CRISTINA"/>
    <x:s v="0067234"/>
    <x:s v="981126347"/>
    <x:s v="CORNEJO CHAUCA JORDAN WALTER JUNIOR"/>
    <x:s v="93133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0T00:00:00Z"/>
    <x:x v="3"/>
    <x:s v="106835"/>
    <x:s v="BO"/>
    <x:s v="6420"/>
    <x:s v="CO"/>
    <x:s v="BO-6420"/>
    <x:s v="GARCIA TOMAIRO PEDRO"/>
    <x:s v="15388544"/>
    <x:m/>
    <x:m/>
    <x:s v="CRISTINA"/>
    <x:s v="0073796"/>
    <x:s v="999554178"/>
    <x:s v="GARCIA TOMAIRO PEDRO"/>
    <x:s v="93211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9-10T00:00:00Z"/>
    <x:x v="3"/>
    <x:s v="106790"/>
    <x:s v="BO"/>
    <x:s v="4691"/>
    <x:s v="CO"/>
    <x:s v="BO-4691"/>
    <x:s v="ZEÑA VASQUEZ KEVIN FABIANO"/>
    <x:s v="61842994"/>
    <x:m/>
    <x:m/>
    <x:s v="CRISTINA"/>
    <x:s v="0073649"/>
    <x:s v="999999999"/>
    <x:s v="ZEÑA VASQUEZ KEVIN FABIANO"/>
    <x:s v="93016"/>
    <x:x v="12"/>
    <x:n v="1"/>
    <x:s v="PRECISA"/>
    <x:s v="INSTITUTO MEDICO QUIRURGICO AREQUIPA S.A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10T00:00:00Z"/>
    <x:x v="3"/>
    <x:s v="106803"/>
    <x:s v="BO"/>
    <x:s v="4693"/>
    <x:s v="CO"/>
    <x:s v="BO-4693"/>
    <x:s v="COANQUI QUISPE FRANCISCO"/>
    <x:s v="07954010"/>
    <x:m/>
    <x:m/>
    <x:s v="CRISTINA"/>
    <x:s v="0073768"/>
    <x:s v="972000902"/>
    <x:s v="COANQUI QUISPE FRANCISCO"/>
    <x:s v="93182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1T00:00:00Z"/>
    <x:x v="3"/>
    <x:s v="106854"/>
    <x:s v="BO"/>
    <x:s v="6421"/>
    <x:s v="CO"/>
    <x:s v="BO-6421"/>
    <x:s v="MUÑOZ ESCALANTE TELMIRA"/>
    <x:s v="06679500"/>
    <x:m/>
    <x:m/>
    <x:s v="CRISTINA"/>
    <x:s v="0054620"/>
    <x:s v="9360006429"/>
    <x:s v="MUÑOZ ESCALANTE TELMIRA"/>
    <x:s v="93224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9-11T00:00:00Z"/>
    <x:x v="3"/>
    <x:s v="106860"/>
    <x:s v="BO"/>
    <x:s v="6422"/>
    <x:s v="CO"/>
    <x:s v="BO-6422"/>
    <x:s v="RAMOS LAGOS MARTHA"/>
    <x:s v="06252964"/>
    <x:m/>
    <x:m/>
    <x:s v="CRISTINA"/>
    <x:s v="0073807"/>
    <x:s v="989697721"/>
    <x:s v="RAMOS LAGOS MARTHA"/>
    <x:s v="93232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9-11T00:00:00Z"/>
    <x:x v="3"/>
    <x:s v="106855"/>
    <x:s v="BO"/>
    <x:s v="4699"/>
    <x:s v="CO"/>
    <x:s v="BO-4699"/>
    <x:s v="GARCIA ROQUE INGRID MELISSA"/>
    <x:s v="47205181"/>
    <x:m/>
    <x:m/>
    <x:s v="CRISTINA"/>
    <x:s v="0073387"/>
    <x:s v="991020326"/>
    <x:s v="GARCIA ROQUE INGRID MELISSA"/>
    <x:s v="92738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1T00:00:00Z"/>
    <x:x v="3"/>
    <x:s v="106898"/>
    <x:s v="BO"/>
    <x:s v="4709"/>
    <x:s v="CO"/>
    <x:s v="BO-4709"/>
    <x:s v="ROCA HENRIQUEZ VICTOR AUGUSTO"/>
    <x:s v="15600267"/>
    <x:m/>
    <x:m/>
    <x:s v="CRISTINA"/>
    <x:s v="0073810"/>
    <x:s v="926386518"/>
    <x:s v="ROCA HENRIQUEZ VICTOR AUGUSTO"/>
    <x:s v="93245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1T00:00:00Z"/>
    <x:x v="3"/>
    <x:s v="106901"/>
    <x:s v="BO"/>
    <x:s v="12662"/>
    <x:s v="CO"/>
    <x:s v="BO-12662"/>
    <x:s v="MARIN RAMOS FILOMENA"/>
    <x:s v="10364747"/>
    <x:m/>
    <x:m/>
    <x:s v="CRISTINA"/>
    <x:s v="0073819"/>
    <x:s v="979890566"/>
    <x:s v="MARIN RAMOS FILOMENA"/>
    <x:s v="93255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2T00:00:00Z"/>
    <x:x v="3"/>
    <x:s v="106943"/>
    <x:s v="BO"/>
    <x:s v="6428"/>
    <x:s v="CO"/>
    <x:s v="BO-6428"/>
    <x:s v="DE LA CRUZ SALINAS MARIA ISABEL"/>
    <x:s v="09265131"/>
    <x:m/>
    <x:m/>
    <x:s v="CRISTINA"/>
    <x:s v="0073840"/>
    <x:s v="964333613"/>
    <x:s v="DE LA CRUZ SALINAS MARIA ISABEL"/>
    <x:s v="93300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12T00:00:00Z"/>
    <x:x v="3"/>
    <x:s v="106982"/>
    <x:s v="BO"/>
    <x:s v="6433"/>
    <x:s v="CO"/>
    <x:s v="BO-6433"/>
    <x:s v="VALVERDE CUMPA SEGUNDO MISAEL"/>
    <x:s v="10251130"/>
    <x:m/>
    <x:m/>
    <x:s v="CRISTINA"/>
    <x:s v="0073848"/>
    <x:s v="955125393"/>
    <x:s v="VALVERDE CUMPA SEGUNDO MISAEL"/>
    <x:s v="93339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9-12T00:00:00Z"/>
    <x:x v="3"/>
    <x:s v="106986"/>
    <x:s v="BO"/>
    <x:s v="12683"/>
    <x:s v="CO"/>
    <x:s v="BO-12683"/>
    <x:s v="ALLCCACO CANCHANYA KAROL LIZBETH"/>
    <x:s v="47661526"/>
    <x:m/>
    <x:m/>
    <x:s v="CRISTINA"/>
    <x:s v="0073849"/>
    <x:s v="945996823"/>
    <x:s v="ALLCCACO CANCHANYA KAROL LIZBETH"/>
    <x:s v="93343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2T00:00:00Z"/>
    <x:x v="3"/>
    <x:s v="106947"/>
    <x:s v="BO"/>
    <x:s v="4713"/>
    <x:s v="CO"/>
    <x:s v="BO-4713"/>
    <x:s v="MONTOYA PASTOR CLAUDIO"/>
    <x:s v="06151324"/>
    <x:m/>
    <x:m/>
    <x:s v="CRISTINA"/>
    <x:s v="0073680"/>
    <x:s v="+51973523301"/>
    <x:s v="MONTOYA PASTOR CLAUDIO"/>
    <x:s v="93308"/>
    <x:x v="4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2T00:00:00Z"/>
    <x:x v="3"/>
    <x:s v="107016"/>
    <x:s v="BO"/>
    <x:s v="12686"/>
    <x:s v="CO"/>
    <x:s v="BO-12686"/>
    <x:s v="GONZALES GARCIA CARMEN DEL ROSARIO"/>
    <x:s v="08606982"/>
    <x:m/>
    <x:m/>
    <x:s v="CRISTINA"/>
    <x:s v="0033183"/>
    <x:s v="4587858"/>
    <x:s v="GONZALES GARCIA CARMEN DEL ROSARIO"/>
    <x:s v="9333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2T00:00:00Z"/>
    <x:x v="3"/>
    <x:s v="107016"/>
    <x:s v="BO"/>
    <x:s v="12686"/>
    <x:s v="CO"/>
    <x:s v="BO-12686"/>
    <x:s v="GONZALES GARCIA CARMEN DEL ROSARIO"/>
    <x:s v="08606982"/>
    <x:m/>
    <x:m/>
    <x:s v="CRISTINA"/>
    <x:s v="0033183"/>
    <x:s v="4587858"/>
    <x:s v="GONZALES GARCIA CARMEN DEL ROSARIO"/>
    <x:s v="9333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2T00:00:00Z"/>
    <x:x v="3"/>
    <x:s v="107021"/>
    <x:s v="BO"/>
    <x:s v="5221"/>
    <x:s v="CO"/>
    <x:s v="BO-5221"/>
    <x:s v="JARA VITATE NICO ALEXSANDER"/>
    <x:s v="91523011"/>
    <x:m/>
    <x:m/>
    <x:s v="CRISTINA"/>
    <x:s v="0073776"/>
    <x:s v="986 261 363 "/>
    <x:s v="JARA VITATE NICO ALEXSANDER"/>
    <x:s v="93379"/>
    <x:x v="12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m/>
    <x:m/>
    <x:n v="30"/>
  </x:r>
  <x:r>
    <x:d v="2026-09-14T00:00:00Z"/>
    <x:x v="3"/>
    <x:s v="107078"/>
    <x:s v="BO"/>
    <x:s v="5224"/>
    <x:s v="CO"/>
    <x:s v="BO-5224"/>
    <x:s v="RONCAL APARICIO CECILIA CLAUDIA"/>
    <x:s v="10619105"/>
    <x:m/>
    <x:m/>
    <x:s v="CRISTINA"/>
    <x:s v="0073870"/>
    <x:s v="989059456"/>
    <x:s v="RONCAL APARICIO CECILIA CLAUDIA"/>
    <x:s v="93409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9-14T00:00:00Z"/>
    <x:x v="3"/>
    <x:s v="107103"/>
    <x:s v="BO"/>
    <x:s v="4728"/>
    <x:s v="CO"/>
    <x:s v="BO-4728"/>
    <x:s v="CHANDUVI ALFARO SONIA YSABEL"/>
    <x:s v="08079079"/>
    <x:m/>
    <x:m/>
    <x:s v="CRISTINA"/>
    <x:s v="0073888"/>
    <x:s v="982492043"/>
    <x:s v="CHANDUVI ALFARO SONIA YSABEL"/>
    <x:s v="93436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14T00:00:00Z"/>
    <x:x v="3"/>
    <x:s v="107103"/>
    <x:s v="BO"/>
    <x:s v="4728"/>
    <x:s v="CO"/>
    <x:s v="BO-4728"/>
    <x:s v="CHANDUVI ALFARO SONIA YSABEL"/>
    <x:s v="08079079"/>
    <x:m/>
    <x:m/>
    <x:s v="CRISTINA"/>
    <x:s v="0073888"/>
    <x:s v="982492043"/>
    <x:s v="CHANDUVI ALFARO SONIA YSABEL"/>
    <x:s v="93436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4T00:00:00Z"/>
    <x:x v="3"/>
    <x:s v="107105"/>
    <x:s v="FA"/>
    <x:s v="625"/>
    <x:s v="CO"/>
    <x:s v="FA-625"/>
    <x:s v="AYLAS TRUJILLO YHAN FRANK"/>
    <x:s v="62448662"/>
    <x:m/>
    <x:m/>
    <x:s v="CRISTINA"/>
    <x:s v="0073862"/>
    <x:s v="985412595"/>
    <x:s v="OFTALMODOSIS E.I.R.L."/>
    <x:s v="9339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14T00:00:00Z"/>
    <x:x v="3"/>
    <x:s v="107105"/>
    <x:s v="FA"/>
    <x:s v="625"/>
    <x:s v="CO"/>
    <x:s v="FA-625"/>
    <x:s v="AYLAS TRUJILLO YHAN FRANK"/>
    <x:s v="62448662"/>
    <x:m/>
    <x:m/>
    <x:s v="CRISTINA"/>
    <x:s v="0073862"/>
    <x:s v="985412595"/>
    <x:s v="OFTALMODOSIS E.I.R.L."/>
    <x:s v="93395"/>
    <x:x v="36"/>
    <x:n v="1"/>
    <x:s v="PRECISA"/>
    <x:s v="INSTITUTO MEDICO QUIRURGICO AREQUIPA S.A"/>
    <x:s v="INSTITUTO MEDICO QUIRURGICO AREQUIPA S.A"/>
    <x:s v="L.CENTRO"/>
    <x:s v="ACABRERA"/>
    <x:n v="805.08"/>
    <x:s v="LN. CIRUGIA"/>
    <x:s v="CIAS. DE SEGURO"/>
    <x:s v="CENTRO"/>
    <x:m/>
    <x:m/>
    <x:m/>
  </x:r>
  <x:r>
    <x:d v="2026-09-14T00:00:00Z"/>
    <x:x v="3"/>
    <x:s v="107118"/>
    <x:s v="BO"/>
    <x:s v="6449"/>
    <x:s v="CO"/>
    <x:s v="BO-6449"/>
    <x:s v="CUBAS RAMON MELIDA VIRGINIA"/>
    <x:s v="08049983"/>
    <x:m/>
    <x:m/>
    <x:s v="CRISTINA"/>
    <x:s v="0073766"/>
    <x:s v="944452622"/>
    <x:s v="CUBAS RAMON MELIDA VIRGINIA"/>
    <x:s v="93448"/>
    <x:x v="5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9-14T00:00:00Z"/>
    <x:x v="3"/>
    <x:s v="107135"/>
    <x:s v="FA"/>
    <x:s v="1141"/>
    <x:s v="CO"/>
    <x:s v="FA-1141"/>
    <x:s v="TUESTA SANTA CRUZ VALERIE ALESSANDRA"/>
    <x:s v="72643022"/>
    <x:m/>
    <x:m/>
    <x:s v="CRISTINA"/>
    <x:s v="0073787"/>
    <x:s v="999999999"/>
    <x:s v="LEON SUAREZ LUIS NICOLAS"/>
    <x:s v="93346"/>
    <x:x v="23"/>
    <x:n v="1"/>
    <x:s v="PRECISA"/>
    <x:s v="INSTITUTO MEDICO QUIRURGICO AREQUIPA S.A"/>
    <x:s v="INSTITUTO MEDICO QUIRURGICO AREQUIPA S.A"/>
    <x:s v="L.CENTRO"/>
    <x:s v="LMAGAN"/>
    <x:n v="635.59"/>
    <x:s v="LN. CIRUGIA"/>
    <x:s v="CIAS. DE SEGURO"/>
    <x:s v="CENTRO"/>
    <x:m/>
    <x:m/>
    <x:m/>
  </x:r>
  <x:r>
    <x:d v="2026-09-14T00:00:00Z"/>
    <x:x v="3"/>
    <x:s v="107135"/>
    <x:s v="FA"/>
    <x:s v="1141"/>
    <x:s v="CO"/>
    <x:s v="FA-1141"/>
    <x:s v="TUESTA SANTA CRUZ VALERIE ALESSANDRA"/>
    <x:s v="72643022"/>
    <x:m/>
    <x:m/>
    <x:s v="CRISTINA"/>
    <x:s v="0073787"/>
    <x:s v="999999999"/>
    <x:s v="LEON SUAREZ LUIS NICOLAS"/>
    <x:s v="93346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9-14T00:00:00Z"/>
    <x:x v="3"/>
    <x:s v="107088"/>
    <x:s v="BO"/>
    <x:s v="12698"/>
    <x:s v="CO"/>
    <x:s v="BO-12698"/>
    <x:s v="HUARANGA HUARACA FLORA LUCILA"/>
    <x:s v="06813680"/>
    <x:m/>
    <x:m/>
    <x:s v="CRISTINA"/>
    <x:s v="0014405"/>
    <x:s v="999516833"/>
    <x:s v="HUARANGA HUARACA FLORA LUCILA"/>
    <x:s v="93390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4T00:00:00Z"/>
    <x:x v="3"/>
    <x:s v="107088"/>
    <x:s v="BO"/>
    <x:s v="12698"/>
    <x:s v="CO"/>
    <x:s v="BO-12698"/>
    <x:s v="HUARANGA HUARACA FLORA LUCILA"/>
    <x:s v="06813680"/>
    <x:m/>
    <x:m/>
    <x:s v="CRISTINA"/>
    <x:s v="0014405"/>
    <x:s v="999516833"/>
    <x:s v="HUARANGA HUARACA FLORA LUCILA"/>
    <x:s v="93390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4T00:00:00Z"/>
    <x:x v="3"/>
    <x:s v="107155"/>
    <x:s v="BO"/>
    <x:s v="540"/>
    <x:s v="CO"/>
    <x:s v="BO-540"/>
    <x:s v="SICCHE PINEDO ZOILA"/>
    <x:s v="18024803"/>
    <x:m/>
    <x:m/>
    <x:s v="CRISTINA"/>
    <x:s v="0073904"/>
    <x:s v="949754928"/>
    <x:s v="SICCHE PINEDO ZOILA"/>
    <x:s v="93465"/>
    <x:x v="4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15T00:00:00Z"/>
    <x:x v="3"/>
    <x:s v="107183"/>
    <x:s v="BO"/>
    <x:s v="4737"/>
    <x:s v="CO"/>
    <x:s v="BO-4737"/>
    <x:s v="VASQUEZ PALACIOS VDA DE VALD HERMELINDA"/>
    <x:s v="32816323"/>
    <x:m/>
    <x:m/>
    <x:s v="CRISTINA"/>
    <x:s v="0073925"/>
    <x:s v="995950844"/>
    <x:s v="VASQUEZ PALACIOS VDA DE VALD HERMELINDA"/>
    <x:s v="93499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15T00:00:00Z"/>
    <x:x v="3"/>
    <x:s v="107203"/>
    <x:s v="FA"/>
    <x:s v="627"/>
    <x:s v="CO"/>
    <x:s v="FA-627"/>
    <x:s v="PALOMINO ALCIDES RAFAELE"/>
    <x:s v="09569006"/>
    <x:m/>
    <x:m/>
    <x:s v="CRISTINA"/>
    <x:s v="0073889"/>
    <x:s v="950133748"/>
    <x:s v="GAMARRA HEALTHCARE CENTER S.A.C."/>
    <x:s v="93477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m/>
    <x:m/>
    <x:m/>
  </x:r>
  <x:r>
    <x:d v="2026-09-15T00:00:00Z"/>
    <x:x v="3"/>
    <x:s v="107203"/>
    <x:s v="FA"/>
    <x:s v="627"/>
    <x:s v="CO"/>
    <x:s v="FA-627"/>
    <x:s v="PALOMINO ALCIDES RAFAELE"/>
    <x:s v="09569006"/>
    <x:m/>
    <x:m/>
    <x:s v="CRISTINA"/>
    <x:s v="0073889"/>
    <x:s v="950133748"/>
    <x:s v="GAMARRA HEALTHCARE CENTER S.A.C."/>
    <x:s v="93477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15T00:00:00Z"/>
    <x:x v="3"/>
    <x:s v="107204"/>
    <x:s v="FA"/>
    <x:s v="1142"/>
    <x:s v="CO"/>
    <x:s v="FA-1142"/>
    <x:s v="CHAVEZ CORDOVA ROCIO LIZ"/>
    <x:s v="71110674"/>
    <x:m/>
    <x:m/>
    <x:s v="CRISTINA"/>
    <x:s v="0073770"/>
    <x:s v="991124259"/>
    <x:s v="GAMARRA HEALTHCARE CENTER S.A.C."/>
    <x:s v="93295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9-15T00:00:00Z"/>
    <x:x v="3"/>
    <x:s v="107204"/>
    <x:s v="FA"/>
    <x:s v="1142"/>
    <x:s v="CO"/>
    <x:s v="FA-1142"/>
    <x:s v="CHAVEZ CORDOVA ROCIO LIZ"/>
    <x:s v="71110674"/>
    <x:m/>
    <x:m/>
    <x:s v="CRISTINA"/>
    <x:s v="0073770"/>
    <x:s v="991124259"/>
    <x:s v="GAMARRA HEALTHCARE CENTER S.A.C."/>
    <x:s v="93295"/>
    <x:x v="23"/>
    <x:n v="1"/>
    <x:s v="PRECISA"/>
    <x:s v="INSTITUTO MEDICO QUIRURGICO AREQUIPA S.A"/>
    <x:s v="INSTITUTO MEDICO QUIRURGICO AREQUIPA S.A"/>
    <x:s v="L.CENTRO"/>
    <x:s v="LMAGAN"/>
    <x:n v="805.08"/>
    <x:s v="LN. CIRUGIA"/>
    <x:s v="CIAS. DE SEGURO"/>
    <x:s v="CENTRO"/>
    <x:m/>
    <x:m/>
    <x:m/>
  </x:r>
  <x:r>
    <x:d v="2026-09-15T00:00:00Z"/>
    <x:x v="3"/>
    <x:s v="107205"/>
    <x:s v="FA"/>
    <x:s v="1143"/>
    <x:s v="CO"/>
    <x:s v="FA-1143"/>
    <x:s v="CHAVEZ CORDOVA ROCIO LIZ"/>
    <x:s v="71110674"/>
    <x:m/>
    <x:m/>
    <x:s v="CRISTINA"/>
    <x:s v="0073770"/>
    <x:s v="991124259"/>
    <x:s v="GAMARRA HEALTHCARE CENTER S.A.C."/>
    <x:s v="93517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5T00:00:00Z"/>
    <x:x v="3"/>
    <x:s v="107212"/>
    <x:s v="FA"/>
    <x:s v="1144"/>
    <x:s v="CO"/>
    <x:s v="FA-1144"/>
    <x:s v="BELTRAN QUINTANA AYDEE MARGOT"/>
    <x:s v="16176810"/>
    <x:m/>
    <x:m/>
    <x:s v="CRISTINA"/>
    <x:s v="0073839"/>
    <x:s v="953731107"/>
    <x:s v="GAMARRA HEALTHCARE CENTER S.A.C."/>
    <x:s v="93522"/>
    <x:x v="22"/>
    <x:n v="2"/>
    <x:s v="PRECISA"/>
    <x:s v="INSTITUTO MEDICO QUIRURGICO AREQUIPA S.A"/>
    <x:s v="INSTITUTO MEDICO QUIRURGICO AREQUIPA S.A"/>
    <x:s v="L.CENTRO"/>
    <x:s v="LMAGAN"/>
    <x:n v="203.39"/>
    <x:s v="LN. PROCEDIMIENTO"/>
    <x:s v="CIAS. DE SEGURO"/>
    <x:s v="CENTRO"/>
    <x:m/>
    <x:m/>
    <x:m/>
  </x:r>
  <x:r>
    <x:d v="2026-09-16T00:00:00Z"/>
    <x:x v="3"/>
    <x:s v="107274"/>
    <x:s v="FA"/>
    <x:s v="1145"/>
    <x:s v="CO"/>
    <x:s v="FA-1145"/>
    <x:s v="BAZALAR LAOS HECTOR RAUL"/>
    <x:s v="15584530"/>
    <x:m/>
    <x:m/>
    <x:s v="CRISTINA"/>
    <x:s v="0072103"/>
    <x:s v="999999999"/>
    <x:s v="LEON SUAREZ LUIS NICOLAS"/>
    <x:s v="93577"/>
    <x:x v="3"/>
    <x:n v="1"/>
    <x:s v="PRECISA"/>
    <x:s v="INSTITUTO MEDICO QUIRURGICO AREQUIPA S.A"/>
    <x:s v="INSTITUTO MEDICO QUIRURGICO AREQUIPA S.A"/>
    <x:s v="L.CENTRO"/>
    <x:s v="LMAGAN"/>
    <x:n v="254.24"/>
    <x:s v="LN. PROCEDIMIENTO"/>
    <x:s v="CIAS. DE SEGURO"/>
    <x:s v="CENTRO"/>
    <x:m/>
    <x:m/>
    <x:m/>
  </x:r>
  <x:r>
    <x:d v="2026-09-16T00:00:00Z"/>
    <x:x v="3"/>
    <x:s v="107282"/>
    <x:s v="BO"/>
    <x:s v="6464"/>
    <x:s v="CO"/>
    <x:s v="BO-6464"/>
    <x:s v="CERON TELLO JOSE HERBERT"/>
    <x:s v="40489371"/>
    <x:m/>
    <x:m/>
    <x:s v="CRISTINA"/>
    <x:s v="0073972"/>
    <x:s v="924261883"/>
    <x:s v="CERON TELLO JOSE HERBERT"/>
    <x:s v="93586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16T00:00:00Z"/>
    <x:x v="3"/>
    <x:s v="107284"/>
    <x:s v="BO"/>
    <x:s v="12716"/>
    <x:s v="CO"/>
    <x:s v="BO-12716"/>
    <x:s v="MEGO BECERRA PEDRO"/>
    <x:s v="01011352"/>
    <x:m/>
    <x:m/>
    <x:s v="CRISTINA"/>
    <x:s v="0018191"/>
    <x:s v="947633613"/>
    <x:s v="MEGO BECERRA PEDRO"/>
    <x:s v="93579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7T00:00:00Z"/>
    <x:x v="3"/>
    <x:s v="107336"/>
    <x:s v="BO"/>
    <x:s v="6470"/>
    <x:s v="CO"/>
    <x:s v="BO-6470"/>
    <x:s v="NIETO CORONADO VANESSA ELAIZA"/>
    <x:s v="003081424"/>
    <x:m/>
    <x:m/>
    <x:s v="CRISTINA"/>
    <x:s v="0073992"/>
    <x:s v="921639105"/>
    <x:s v="NIETO CORONADO VANESSA ELAIZA"/>
    <x:s v="93624"/>
    <x:x v="12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9-17T00:00:00Z"/>
    <x:x v="3"/>
    <x:s v="2486"/>
    <x:s v="NC"/>
    <x:s v="6470"/>
    <x:s v="CR"/>
    <x:s v="NC-6470"/>
    <x:s v="NIETO CORONADO VANESSA ELAIZA"/>
    <x:s v="003081424"/>
    <x:m/>
    <x:m/>
    <x:s v="CR"/>
    <x:s v="0073992"/>
    <x:s v="921639105"/>
    <x:s v="NIETO CORONADO VANESSA ELAIZA"/>
    <x:s v="93624"/>
    <x:x v="12"/>
    <x:n v="1"/>
    <x:s v="PRECISA"/>
    <x:s v="INSTITUTO MEDICO QUIRURGICO AREQUIPA S.A"/>
    <x:s v="INSTITUTO MEDICO QUIRURGICO AREQUIPA S.A"/>
    <x:s v="L.CENTRO"/>
    <x:s v="ACABRERA"/>
    <x:n v="-152.54"/>
    <x:s v="LN. EXAMENES"/>
    <x:s v="CIAS. DE SEGURO"/>
    <x:s v="CENTRO"/>
    <x:m/>
    <x:m/>
    <x:n v="30"/>
  </x:r>
  <x:r>
    <x:d v="2026-09-17T00:00:00Z"/>
    <x:x v="3"/>
    <x:s v="107381"/>
    <x:s v="BO"/>
    <x:s v="6475"/>
    <x:s v="CO"/>
    <x:s v="BO-6475"/>
    <x:s v="PALACIOS VERGARA RAISA LORENA ISABEL"/>
    <x:s v="46534632"/>
    <x:m/>
    <x:m/>
    <x:s v="CRISTINA"/>
    <x:s v="0068145"/>
    <x:s v="947422476"/>
    <x:s v="PALACIOS VERGARA RAISA LORENA ISABEL"/>
    <x:s v="93662"/>
    <x:x v="33"/>
    <x:n v="1"/>
    <x:s v="PRECISA"/>
    <x:s v="INSTITUTO MEDICO QUIRURGICO AREQUIPA S.A"/>
    <x:s v="INSTITUTO MEDICO QUIRURGICO AREQUIPA S.A"/>
    <x:s v="L.CENTRO"/>
    <x:s v="ACABRERA"/>
    <x:n v="152.54"/>
    <x:s v="LN. PROCEDIMIENTO"/>
    <x:s v="CIAS. DE SEGURO"/>
    <x:s v="CENTRO"/>
    <x:m/>
    <x:m/>
    <x:m/>
  </x:r>
  <x:r>
    <x:d v="2026-09-17T00:00:00Z"/>
    <x:x v="3"/>
    <x:s v="107388"/>
    <x:s v="BO"/>
    <x:s v="12729"/>
    <x:s v="CO"/>
    <x:s v="BO-12729"/>
    <x:s v="VALENZUELA ESCALANTE ZENOBIA MARIA"/>
    <x:s v="07009518"/>
    <x:m/>
    <x:m/>
    <x:s v="CRISTINA"/>
    <x:s v="0074023"/>
    <x:s v="933383156"/>
    <x:s v="VALENZUELA ESCALANTE ZENOBIA MARIA"/>
    <x:s v="9366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7T00:00:00Z"/>
    <x:x v="3"/>
    <x:s v="107413"/>
    <x:s v="BO"/>
    <x:s v="4764"/>
    <x:s v="CO"/>
    <x:s v="BO-4764"/>
    <x:s v="GONZAGA REQUENA ALEJANDRO ROFINO"/>
    <x:s v="08608902"/>
    <x:m/>
    <x:m/>
    <x:s v="CRISTINA"/>
    <x:s v="0074036"/>
    <x:s v="920492162"/>
    <x:s v="GONZAGA REQUENA ALEJANDRO ROFINO"/>
    <x:s v="93688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17T00:00:00Z"/>
    <x:x v="3"/>
    <x:s v="107415"/>
    <x:s v="FA"/>
    <x:s v="1146"/>
    <x:s v="CO"/>
    <x:s v="FA-1146"/>
    <x:s v="OROPEZA GOMEZ GIOVANNY JOSE"/>
    <x:s v="007212628"/>
    <x:m/>
    <x:m/>
    <x:s v="CRISTINA"/>
    <x:s v="0073995"/>
    <x:s v="917648860"/>
    <x:s v="OCULIS S.A.C."/>
    <x:s v="93691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18T00:00:00Z"/>
    <x:x v="3"/>
    <x:s v="107450"/>
    <x:s v="BO"/>
    <x:s v="4774"/>
    <x:s v="CO"/>
    <x:s v="BO-4774"/>
    <x:s v="CRUZADO DIAZ ROSA"/>
    <x:s v="47517262"/>
    <x:m/>
    <x:m/>
    <x:s v="CRISTINA"/>
    <x:s v="0074040"/>
    <x:s v="929483131"/>
    <x:s v="CRUZADO DIAZ ROSA"/>
    <x:s v="93697"/>
    <x:x v="12"/>
    <x:n v="1"/>
    <x:s v="PRECISA"/>
    <x:s v="INSTITUTO MEDICO QUIRURGICO AREQUIPA S.A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18T00:00:00Z"/>
    <x:x v="3"/>
    <x:s v="107477"/>
    <x:s v="BO"/>
    <x:s v="4780"/>
    <x:s v="CO"/>
    <x:s v="BO-4780"/>
    <x:s v="SUCASAIRE INFANTES DELCI YANINA"/>
    <x:s v="70202159"/>
    <x:m/>
    <x:m/>
    <x:s v="CRISTINA"/>
    <x:s v="0067005"/>
    <x:s v=" 970175745"/>
    <x:s v="SUCASAIRE INFANTES DELCI YANINA"/>
    <x:s v="93734"/>
    <x:x v="12"/>
    <x:n v="1"/>
    <x:s v="PRECISA"/>
    <x:s v="INSTITUTO MEDICO QUIRURGICO AREQUIPA S.A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19T00:00:00Z"/>
    <x:x v="3"/>
    <x:s v="107509"/>
    <x:s v="BO"/>
    <x:s v="4789"/>
    <x:s v="CO"/>
    <x:s v="BO-4789"/>
    <x:s v="PAREDES MAGALLANES ANGEL GABRIEL"/>
    <x:s v="63184263"/>
    <x:m/>
    <x:m/>
    <x:s v="CRISTINA"/>
    <x:s v="0074076"/>
    <x:s v="960948467"/>
    <x:s v="PAREDES MAGALLANES ANGEL GABRIEL"/>
    <x:s v="93766"/>
    <x:x v="12"/>
    <x:n v="1"/>
    <x:s v="PRECISA LN"/>
    <x:s v="POR ASIGNAR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19T00:00:00Z"/>
    <x:x v="3"/>
    <x:s v="107547"/>
    <x:s v="BO"/>
    <x:s v="12755"/>
    <x:s v="CO"/>
    <x:s v="BO-12755"/>
    <x:s v="HUACCACHE TAIPE CARMEN FLORINDA"/>
    <x:s v="08176519"/>
    <x:m/>
    <x:m/>
    <x:s v="CRISTINA"/>
    <x:s v="0074088"/>
    <x:s v="981962861"/>
    <x:s v="HUACCACHE TAIPE CARMEN FLORINDA"/>
    <x:s v="93801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9T00:00:00Z"/>
    <x:x v="3"/>
    <x:s v="107559"/>
    <x:s v="BO"/>
    <x:s v="12758"/>
    <x:s v="CO"/>
    <x:s v="BO-12758"/>
    <x:s v="CASTAÑEDA QUIÑONEZ MAYSHA CATALEYA"/>
    <x:s v="92360707"/>
    <x:m/>
    <x:m/>
    <x:s v="CRISTINA"/>
    <x:s v="0074090"/>
    <x:s v="960223866"/>
    <x:s v="CASTAÑEDA QUIÑONEZ MAYSHA CATALEYA"/>
    <x:s v="93812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9T00:00:00Z"/>
    <x:x v="3"/>
    <x:s v="107524"/>
    <x:s v="FA"/>
    <x:s v="295"/>
    <x:s v="CO"/>
    <x:s v="FA-295"/>
    <x:s v="EVANGELISTA RODRIGUEZ MARIAFE OLENKA"/>
    <x:s v="75423022"/>
    <x:m/>
    <x:m/>
    <x:s v="CRISTINA"/>
    <x:s v="0074068"/>
    <x:s v="+51997225099"/>
    <x:s v="EVANGELISTA PASTOR CESAR"/>
    <x:s v="93761"/>
    <x:x v="4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  <x:r>
    <x:d v="2026-09-19T00:00:00Z"/>
    <x:x v="3"/>
    <x:s v="107543"/>
    <x:s v="BO"/>
    <x:s v="805"/>
    <x:s v="CO"/>
    <x:s v="BO-805"/>
    <x:s v="MCCORD MCCORD JAMES THEODORT"/>
    <x:s v="595465475"/>
    <x:m/>
    <x:m/>
    <x:s v="CRISTINA"/>
    <x:s v="0074073"/>
    <x:s v="986788412"/>
    <x:s v="MCCORD MCCORD JAMES THEODORT"/>
    <x:s v="93759"/>
    <x:x v="1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m/>
    <x:m/>
    <x:n v="30"/>
  </x:r>
  <x:r>
    <x:d v="2026-09-19T00:00:00Z"/>
    <x:x v="3"/>
    <x:s v="107593"/>
    <x:s v="BO"/>
    <x:s v="12768"/>
    <x:s v="CO"/>
    <x:s v="BO-12768"/>
    <x:s v="RIVADENEIRA DE VIDAL ENCARNACION"/>
    <x:s v="17587243"/>
    <x:m/>
    <x:m/>
    <x:s v="CRISTINA"/>
    <x:s v="0062310"/>
    <x:s v="988603417"/>
    <x:s v="RIVADENEIRA DE VIDAL ENCARNACION"/>
    <x:s v="9378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9T00:00:00Z"/>
    <x:x v="3"/>
    <x:s v="107601"/>
    <x:s v="BO"/>
    <x:s v="12771"/>
    <x:s v="CO"/>
    <x:s v="BO-12771"/>
    <x:s v="MANDUJANO QUIROZ FLORENCIA ZOILA"/>
    <x:s v="10496297"/>
    <x:m/>
    <x:m/>
    <x:s v="CRISTINA"/>
    <x:s v="0074083"/>
    <x:s v="+51907236888"/>
    <x:s v="MANDUJANO QUIROZ FLORENCIA ZOILA"/>
    <x:s v="93828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19T00:00:00Z"/>
    <x:x v="3"/>
    <x:s v="107601"/>
    <x:s v="BO"/>
    <x:s v="12771"/>
    <x:s v="CO"/>
    <x:s v="BO-12771"/>
    <x:s v="MANDUJANO QUIROZ FLORENCIA ZOILA"/>
    <x:s v="10496297"/>
    <x:m/>
    <x:m/>
    <x:s v="CRISTINA"/>
    <x:s v="0074083"/>
    <x:s v="+51907236888"/>
    <x:s v="MANDUJANO QUIROZ FLORENCIA ZOILA"/>
    <x:s v="93828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19T00:00:00Z"/>
    <x:x v="3"/>
    <x:s v="107607"/>
    <x:s v="BO"/>
    <x:s v="809"/>
    <x:s v="CO"/>
    <x:s v="BO-809"/>
    <x:s v="LLANOS SILVA FERNANDO"/>
    <x:s v="73068046"/>
    <x:m/>
    <x:m/>
    <x:s v="CRISTINA"/>
    <x:s v="0074079"/>
    <x:s v="+51902826252"/>
    <x:s v="LLANOS SILVA FERNANDO"/>
    <x:s v="93829"/>
    <x:x v="1"/>
    <x:n v="1"/>
    <x:s v="PRECISA"/>
    <x:s v="INSTITUTO MEDICO QUIRURGICO AREQUIPA S.A"/>
    <x:s v="INSTITUTO MEDICO QUIRURGICO AREQUIPA S.A"/>
    <x:s v="L.LINCE"/>
    <x:s v="KESCUDERO"/>
    <x:n v="135.59"/>
    <x:s v="LN. EXAMENES"/>
    <x:s v="CIAS. DE SEGURO"/>
    <x:s v="LINCE"/>
    <x:m/>
    <x:m/>
    <x:n v="30"/>
  </x:r>
  <x:r>
    <x:d v="2026-09-21T00:00:00Z"/>
    <x:x v="3"/>
    <x:s v="107657"/>
    <x:s v="BO"/>
    <x:s v="12775"/>
    <x:s v="CO"/>
    <x:s v="BO-12775"/>
    <x:s v="ZABALU NIZAMA SILVIA MARGOT"/>
    <x:s v="32118229"/>
    <x:m/>
    <x:m/>
    <x:s v="CRISTINA"/>
    <x:s v="0074120"/>
    <x:s v="915006721"/>
    <x:s v="ZABALU NIZAMA SILVIA MARGOT"/>
    <x:s v="93870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1T00:00:00Z"/>
    <x:x v="3"/>
    <x:s v="107657"/>
    <x:s v="BO"/>
    <x:s v="12775"/>
    <x:s v="CO"/>
    <x:s v="BO-12775"/>
    <x:s v="ZABALU NIZAMA SILVIA MARGOT"/>
    <x:s v="32118229"/>
    <x:m/>
    <x:m/>
    <x:s v="CRISTINA"/>
    <x:s v="0074120"/>
    <x:s v="915006721"/>
    <x:s v="ZABALU NIZAMA SILVIA MARGOT"/>
    <x:s v="93870"/>
    <x:x v="8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21T00:00:00Z"/>
    <x:x v="3"/>
    <x:s v="107667"/>
    <x:s v="FA"/>
    <x:s v="138"/>
    <x:s v="CO"/>
    <x:s v="FA-138"/>
    <x:s v="CAMPOS CALIXTRO CARMEN MARIA"/>
    <x:s v="10403296"/>
    <x:m/>
    <x:m/>
    <x:s v="CRISTINA"/>
    <x:s v="0074127"/>
    <x:s v="9815593684"/>
    <x:s v="DELVAMEC PERU E.I.R.L."/>
    <x:s v="93881"/>
    <x:x v="5"/>
    <x:n v="1"/>
    <x:s v="PRECISA LN"/>
    <x:s v="POR ASIGNAR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21T00:00:00Z"/>
    <x:x v="3"/>
    <x:s v="107667"/>
    <x:s v="FA"/>
    <x:s v="138"/>
    <x:s v="CO"/>
    <x:s v="FA-138"/>
    <x:s v="CAMPOS CALIXTRO CARMEN MARIA"/>
    <x:s v="10403296"/>
    <x:m/>
    <x:m/>
    <x:s v="CRISTINA"/>
    <x:s v="0074127"/>
    <x:s v="9815593684"/>
    <x:s v="DELVAMEC PERU E.I.R.L."/>
    <x:s v="93881"/>
    <x:x v="4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21T00:00:00Z"/>
    <x:x v="3"/>
    <x:s v="107667"/>
    <x:s v="FA"/>
    <x:s v="138"/>
    <x:s v="CO"/>
    <x:s v="FA-138"/>
    <x:s v="CAMPOS CALIXTRO CARMEN MARIA"/>
    <x:s v="10403296"/>
    <x:m/>
    <x:m/>
    <x:s v="CRISTINA"/>
    <x:s v="0074127"/>
    <x:s v="9815593684"/>
    <x:s v="DELVAMEC PERU E.I.R.L."/>
    <x:s v="93881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21T00:00:00Z"/>
    <x:x v="3"/>
    <x:s v="107667"/>
    <x:s v="FA"/>
    <x:s v="138"/>
    <x:s v="CO"/>
    <x:s v="FA-138"/>
    <x:s v="CAMPOS CALIXTRO CARMEN MARIA"/>
    <x:s v="10403296"/>
    <x:m/>
    <x:m/>
    <x:s v="CRISTINA"/>
    <x:s v="0074127"/>
    <x:s v="9815593684"/>
    <x:s v="DELVAMEC PERU E.I.R.L."/>
    <x:s v="93881"/>
    <x:x v="4"/>
    <x:n v="1"/>
    <x:s v="PRECISA LN"/>
    <x:s v="POR ASIGNAR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21T00:00:00Z"/>
    <x:x v="3"/>
    <x:s v="107678"/>
    <x:s v="FA"/>
    <x:s v="1147"/>
    <x:s v="CO"/>
    <x:s v="FA-1147"/>
    <x:s v="SANTILLAN MOLINA MARITZA BRIZAIDA"/>
    <x:s v="28316361"/>
    <x:m/>
    <x:m/>
    <x:s v="CRISTINA"/>
    <x:s v="0073536"/>
    <x:s v="952672670"/>
    <x:s v="CENTRO CONTRA LA CEGUERA E.I.R.L."/>
    <x:s v="93887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m/>
    <x:m/>
    <x:m/>
  </x:r>
  <x:r>
    <x:d v="2026-09-21T00:00:00Z"/>
    <x:x v="3"/>
    <x:s v="107686"/>
    <x:s v="BO"/>
    <x:s v="4807"/>
    <x:s v="CO"/>
    <x:s v="BO-4807"/>
    <x:s v="ULLAURI LEON FELICIANO PABLO"/>
    <x:s v="06940771"/>
    <x:m/>
    <x:m/>
    <x:s v="CRISTINA"/>
    <x:s v="0074137"/>
    <x:s v="994989557"/>
    <x:s v="ULLAURI LEON FELICIANO PABLO"/>
    <x:s v="93894"/>
    <x:x v="12"/>
    <x:n v="1"/>
    <x:s v="PRECISA LN"/>
    <x:s v="POR ASIGNAR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21T00:00:00Z"/>
    <x:x v="3"/>
    <x:s v="107703"/>
    <x:s v="FA"/>
    <x:s v="1148"/>
    <x:s v="CO"/>
    <x:s v="FA-1148"/>
    <x:s v="SIALER MORENO VDA DE RIVERA MERY JOSEFIN"/>
    <x:s v="25814685"/>
    <x:m/>
    <x:m/>
    <x:s v="CRISTINA"/>
    <x:s v="0028109"/>
    <x:s v="991123897"/>
    <x:s v="CENTRO OFTALMOLOGICO OFTALMOCARE S.R.L."/>
    <x:s v="93910"/>
    <x:x v="22"/>
    <x:n v="1"/>
    <x:s v="PRECISA"/>
    <x:s v="INSTITUTO MEDICO QUIRURGICO AREQUIPA S.A"/>
    <x:s v="INSTITUTO MEDICO QUIRURGICO AREQUIPA S.A"/>
    <x:s v="L.CENTRO"/>
    <x:s v="LMAGAN"/>
    <x:n v="101.69"/>
    <x:s v="LN. PROCEDIMIENTO"/>
    <x:s v="CIAS. DE SEGURO"/>
    <x:s v="CENTRO"/>
    <x:m/>
    <x:m/>
    <x:m/>
  </x:r>
  <x:r>
    <x:d v="2026-09-21T00:00:00Z"/>
    <x:x v="3"/>
    <x:s v="107712"/>
    <x:s v="BO"/>
    <x:s v="4814"/>
    <x:s v="CO"/>
    <x:s v="BO-4814"/>
    <x:s v="VILLANUEVA ARMAS JAKQUELINE"/>
    <x:s v="42211225"/>
    <x:m/>
    <x:m/>
    <x:s v="CRISTINA"/>
    <x:s v="0074148"/>
    <x:s v="912483781"/>
    <x:s v="VILLANUEVA ARMAS JAKQUELINE"/>
    <x:s v="93917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21T00:00:00Z"/>
    <x:x v="3"/>
    <x:s v="107669"/>
    <x:s v="BO"/>
    <x:s v="5282"/>
    <x:s v="CO"/>
    <x:s v="BO-5282"/>
    <x:s v="PUENTE BLANCO STEVE JESUS"/>
    <x:s v="71217456"/>
    <x:s v="PALACIOS URIBE PAMELA CAROLINA"/>
    <x:m/>
    <x:s v="CRISTINA"/>
    <x:s v="0074118"/>
    <x:s v="991633023"/>
    <x:s v="PUENTE BLANCO STEVE JESUS"/>
    <x:s v="93868"/>
    <x:x v="12"/>
    <x:n v="1"/>
    <x:s v="PRECISA"/>
    <x:s v="INSTITUTO MEDICO QUIRURGICO AREQUIPA S.A"/>
    <x:s v="INSTITUTO MEDICO QUIRURGICO AREQUIPA S.A"/>
    <x:s v="L.NORTE"/>
    <x:s v="AALARCON"/>
    <x:n v="152.54"/>
    <x:s v="LN. EXAMENES"/>
    <x:s v="CIAS. DE SEGURO"/>
    <x:s v="NORTE"/>
    <x:m/>
    <x:m/>
    <x:n v="30"/>
  </x:r>
  <x:r>
    <x:d v="2026-09-21T00:00:00Z"/>
    <x:x v="3"/>
    <x:s v="107699"/>
    <x:s v="BO"/>
    <x:s v="12784"/>
    <x:s v="CO"/>
    <x:s v="BO-12784"/>
    <x:s v="TALAVERA DE LA VEGA EUGENIA"/>
    <x:s v="06594275"/>
    <x:m/>
    <x:m/>
    <x:s v="CRISTINA"/>
    <x:s v="0074125"/>
    <x:s v="900 541 123"/>
    <x:s v="TALAVERA DE LA VEGA EUGENIA"/>
    <x:s v="93891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1T00:00:00Z"/>
    <x:x v="3"/>
    <x:s v="107720"/>
    <x:s v="BO"/>
    <x:s v="12788"/>
    <x:s v="CO"/>
    <x:s v="BO-12788"/>
    <x:s v="VILCA QUISPE EUSEBIO"/>
    <x:s v="02424637"/>
    <x:m/>
    <x:m/>
    <x:s v="CRISTINA"/>
    <x:s v="0074141"/>
    <x:s v="923632310"/>
    <x:s v="VILCA QUISPE EUSEBIO"/>
    <x:s v="93904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2T00:00:00Z"/>
    <x:x v="3"/>
    <x:s v="107738"/>
    <x:s v="BO"/>
    <x:s v="6504"/>
    <x:s v="CO"/>
    <x:s v="BO-6504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7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9-22T00:00:00Z"/>
    <x:x v="3"/>
    <x:s v="107739"/>
    <x:s v="BO"/>
    <x:s v="6505"/>
    <x:s v="CO"/>
    <x:s v="BO-6505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8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39"/>
    <x:s v="BO"/>
    <x:s v="6505"/>
    <x:s v="CO"/>
    <x:s v="BO-6505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8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39"/>
    <x:s v="BO"/>
    <x:s v="6505"/>
    <x:s v="CO"/>
    <x:s v="BO-6505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8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39"/>
    <x:s v="BO"/>
    <x:s v="6505"/>
    <x:s v="CO"/>
    <x:s v="BO-6505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8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9-22T00:00:00Z"/>
    <x:x v="3"/>
    <x:s v="107739"/>
    <x:s v="BO"/>
    <x:s v="6505"/>
    <x:s v="CO"/>
    <x:s v="BO-6505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8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9-22T00:00:00Z"/>
    <x:x v="3"/>
    <x:s v="107740"/>
    <x:s v="BO"/>
    <x:s v="6506"/>
    <x:s v="CO"/>
    <x:s v="BO-6506"/>
    <x:s v="MOLERO VILLAFUERTE DE PORTA BRIGIDA ROSA"/>
    <x:s v="07589196"/>
    <x:s v="FIERRO LEANDRO"/>
    <x:s v="POLICLÍNICO DIVINO NIÑO JESÚS"/>
    <x:s v="CRISTINA"/>
    <x:s v="0074106"/>
    <x:s v="997 292 731"/>
    <x:s v="MOLERO VILLAFUERTE DE PORTA BRIGIDA ROSA"/>
    <x:s v="93939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22T00:00:00Z"/>
    <x:x v="3"/>
    <x:s v="107753"/>
    <x:s v="BO"/>
    <x:s v="6511"/>
    <x:s v="CO"/>
    <x:s v="BO-6511"/>
    <x:s v="MARIN NODA ZAIDEE ZARAMIT"/>
    <x:s v="14566209"/>
    <x:m/>
    <x:m/>
    <x:s v="CRISTINA"/>
    <x:s v="0074173"/>
    <x:s v="922232520"/>
    <x:s v="MARIN NODA ZAIDEE ZARAMIT"/>
    <x:s v="93951"/>
    <x:x v="17"/>
    <x:n v="1"/>
    <x:s v="PRECISA"/>
    <x:s v="INSTITUTO MEDICO QUIRURGICO AREQUIPA S.A"/>
    <x:s v="INSTITUTO MEDICO QUIRURGICO AREQUIPA S.A"/>
    <x:s v="L.CENTRO"/>
    <x:s v="ACABRERA"/>
    <x:n v="21.19"/>
    <x:s v="LN. LABORATORIO"/>
    <x:s v="CIAS. DE SEGURO"/>
    <x:s v="CENTRO"/>
    <x:m/>
    <x:m/>
    <x:m/>
  </x:r>
  <x:r>
    <x:d v="2026-09-22T00:00:00Z"/>
    <x:x v="3"/>
    <x:s v="107753"/>
    <x:s v="BO"/>
    <x:s v="6511"/>
    <x:s v="CO"/>
    <x:s v="BO-6511"/>
    <x:s v="MARIN NODA ZAIDEE ZARAMIT"/>
    <x:s v="14566209"/>
    <x:m/>
    <x:m/>
    <x:s v="CRISTINA"/>
    <x:s v="0074173"/>
    <x:s v="922232520"/>
    <x:s v="MARIN NODA ZAIDEE ZARAMIT"/>
    <x:s v="93951"/>
    <x:x v="20"/>
    <x:n v="1"/>
    <x:s v="PRECISA"/>
    <x:s v="INSTITUTO MEDICO QUIRURGICO AREQUIPA S.A"/>
    <x:s v="INSTITUTO MEDICO QUIRURGICO AREQUIPA S.A"/>
    <x:s v="L.CENTRO"/>
    <x:s v="ACABRERA"/>
    <x:n v="50.85"/>
    <x:s v="LN. LABORATORIO"/>
    <x:s v="CIAS. DE SEGURO"/>
    <x:s v="CENTRO"/>
    <x:m/>
    <x:m/>
    <x:m/>
  </x:r>
  <x:r>
    <x:d v="2026-09-22T00:00:00Z"/>
    <x:x v="3"/>
    <x:s v="107753"/>
    <x:s v="BO"/>
    <x:s v="6511"/>
    <x:s v="CO"/>
    <x:s v="BO-6511"/>
    <x:s v="MARIN NODA ZAIDEE ZARAMIT"/>
    <x:s v="14566209"/>
    <x:m/>
    <x:m/>
    <x:s v="CRISTINA"/>
    <x:s v="0074173"/>
    <x:s v="922232520"/>
    <x:s v="MARIN NODA ZAIDEE ZARAMIT"/>
    <x:s v="93951"/>
    <x:x v="16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53"/>
    <x:s v="BO"/>
    <x:s v="6511"/>
    <x:s v="CO"/>
    <x:s v="BO-6511"/>
    <x:s v="MARIN NODA ZAIDEE ZARAMIT"/>
    <x:s v="14566209"/>
    <x:m/>
    <x:m/>
    <x:s v="CRISTINA"/>
    <x:s v="0074173"/>
    <x:s v="922232520"/>
    <x:s v="MARIN NODA ZAIDEE ZARAMIT"/>
    <x:s v="93951"/>
    <x:x v="18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53"/>
    <x:s v="BO"/>
    <x:s v="6511"/>
    <x:s v="CO"/>
    <x:s v="BO-6511"/>
    <x:s v="MARIN NODA ZAIDEE ZARAMIT"/>
    <x:s v="14566209"/>
    <x:m/>
    <x:m/>
    <x:s v="CRISTINA"/>
    <x:s v="0074173"/>
    <x:s v="922232520"/>
    <x:s v="MARIN NODA ZAIDEE ZARAMIT"/>
    <x:s v="93951"/>
    <x:x v="19"/>
    <x:n v="1"/>
    <x:s v="PRECISA"/>
    <x:s v="INSTITUTO MEDICO QUIRURGICO AREQUIPA S.A"/>
    <x:s v="INSTITUTO MEDICO QUIRURGICO AREQUIPA S.A"/>
    <x:s v="L.CENTRO"/>
    <x:s v="ACABRERA"/>
    <x:n v="12.71"/>
    <x:s v="LN. LABORATORIO"/>
    <x:s v="CIAS. DE SEGURO"/>
    <x:s v="CENTRO"/>
    <x:m/>
    <x:m/>
    <x:m/>
  </x:r>
  <x:r>
    <x:d v="2026-09-22T00:00:00Z"/>
    <x:x v="3"/>
    <x:s v="107754"/>
    <x:s v="BO"/>
    <x:s v="6512"/>
    <x:s v="CO"/>
    <x:s v="BO-6512"/>
    <x:s v="MARIN NODA ZAIDEE ZARAMIT"/>
    <x:s v="14566209"/>
    <x:m/>
    <x:m/>
    <x:s v="CRISTINA"/>
    <x:s v="0074173"/>
    <x:s v="922232520"/>
    <x:s v="MARIN NODA ZAIDEE ZARAMIT"/>
    <x:s v="93952"/>
    <x:x v="15"/>
    <x:n v="1"/>
    <x:s v="PRECISA"/>
    <x:s v="INSTITUTO MEDICO QUIRURGICO AREQUIPA S.A"/>
    <x:s v="INSTITUTO MEDICO QUIRURGICO AREQUIPA S.A"/>
    <x:s v="L.CENTRO"/>
    <x:s v="ACABRERA"/>
    <x:n v="127.12"/>
    <x:s v="LN. EXAMENES"/>
    <x:s v="CIAS. DE SEGURO"/>
    <x:s v="CENTRO"/>
    <x:m/>
    <x:m/>
    <x:m/>
  </x:r>
  <x:r>
    <x:d v="2026-09-22T00:00:00Z"/>
    <x:x v="3"/>
    <x:s v="107756"/>
    <x:s v="BO"/>
    <x:s v="6513"/>
    <x:s v="CO"/>
    <x:s v="BO-6513"/>
    <x:s v="MARIN NODA ZAIDEE ZARAMIT"/>
    <x:s v="14566209"/>
    <x:m/>
    <x:m/>
    <x:s v="CRISTINA"/>
    <x:s v="0074173"/>
    <x:s v="922232520"/>
    <x:s v="MARIN NODA ZAIDEE ZARAMIT"/>
    <x:s v="93953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22T00:00:00Z"/>
    <x:x v="3"/>
    <x:s v="107757"/>
    <x:s v="BO"/>
    <x:s v="12797"/>
    <x:s v="CO"/>
    <x:s v="BO-12797"/>
    <x:s v="REYES DE GUADALUPE BERTILA VELDIANA"/>
    <x:s v="21829013"/>
    <x:m/>
    <x:m/>
    <x:s v="CRISTINA"/>
    <x:s v="0041655"/>
    <x:s v="996869410"/>
    <x:s v="REYES DE GUADALUPE BERTILA VELDIANA"/>
    <x:s v="93955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2T00:00:00Z"/>
    <x:x v="3"/>
    <x:s v="107763"/>
    <x:s v="BO"/>
    <x:s v="6514"/>
    <x:s v="CO"/>
    <x:s v="BO-6514"/>
    <x:s v="BRICEÑO IBARRA ISAAC ARMANDO"/>
    <x:s v="07104698"/>
    <x:m/>
    <x:m/>
    <x:s v="CRISTINA"/>
    <x:s v="0074105"/>
    <x:s v="989 712 379"/>
    <x:s v="BRICEÑO IBARRA ISAAC ARMANDO"/>
    <x:s v="93960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22T00:00:00Z"/>
    <x:x v="3"/>
    <x:s v="107789"/>
    <x:s v="BO"/>
    <x:s v="6515"/>
    <x:s v="CO"/>
    <x:s v="BO-6515"/>
    <x:s v="RUBIO BAUTISTA MARTHA"/>
    <x:s v="40248862"/>
    <x:m/>
    <x:m/>
    <x:s v="CRISTINA"/>
    <x:s v="0074146"/>
    <x:s v="961897632"/>
    <x:s v="RUBIO BAUTISTA MARTHA"/>
    <x:s v="93972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22T00:00:00Z"/>
    <x:x v="3"/>
    <x:s v="107790"/>
    <x:s v="BO"/>
    <x:s v="12803"/>
    <x:s v="CO"/>
    <x:s v="BO-12803"/>
    <x:s v="FLORES SALAZAR NORMA BEATRIZ"/>
    <x:s v="07493552"/>
    <x:m/>
    <x:m/>
    <x:s v="CRISTINA"/>
    <x:s v="0050019"/>
    <x:s v="971181409"/>
    <x:s v="FLORES SALAZAR NORMA BEATRIZ"/>
    <x:s v="93973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2T00:00:00Z"/>
    <x:x v="3"/>
    <x:s v="107790"/>
    <x:s v="BO"/>
    <x:s v="12803"/>
    <x:s v="CO"/>
    <x:s v="BO-12803"/>
    <x:s v="FLORES SALAZAR NORMA BEATRIZ"/>
    <x:s v="07493552"/>
    <x:m/>
    <x:m/>
    <x:s v="CRISTINA"/>
    <x:s v="0050019"/>
    <x:s v="971181409"/>
    <x:s v="FLORES SALAZAR NORMA BEATRIZ"/>
    <x:s v="93973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2T00:00:00Z"/>
    <x:x v="3"/>
    <x:s v="107829"/>
    <x:s v="FA"/>
    <x:s v="632"/>
    <x:s v="CO"/>
    <x:s v="FA-632"/>
    <x:s v="MOLERO VILLAFUERTE DE PORTA BRIGIDA ROSA"/>
    <x:s v="07589196"/>
    <x:m/>
    <x:m/>
    <x:s v="CRISTINA"/>
    <x:s v="0074106"/>
    <x:s v="997 292 731"/>
    <x:s v="GRUPO MEDICO INTEGRAL SOCIEDAD ANONIMA CERRADA"/>
    <x:s v="93958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22T00:00:00Z"/>
    <x:x v="3"/>
    <x:s v="107829"/>
    <x:s v="FA"/>
    <x:s v="632"/>
    <x:s v="CO"/>
    <x:s v="FA-632"/>
    <x:s v="MOLERO VILLAFUERTE DE PORTA BRIGIDA ROSA"/>
    <x:s v="07589196"/>
    <x:m/>
    <x:m/>
    <x:s v="CRISTINA"/>
    <x:s v="0074106"/>
    <x:s v="997 292 731"/>
    <x:s v="GRUPO MEDICO INTEGRAL SOCIEDAD ANONIMA CERRADA"/>
    <x:s v="93958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2T00:00:00Z"/>
    <x:x v="3"/>
    <x:s v="107832"/>
    <x:s v="FA"/>
    <x:s v="633"/>
    <x:s v="CO"/>
    <x:s v="FA-633"/>
    <x:s v="BRICEÑO IBARRA ISAAC ARMANDO"/>
    <x:s v="07104698"/>
    <x:m/>
    <x:m/>
    <x:s v="CRISTINA"/>
    <x:s v="0074105"/>
    <x:s v="989 712 379"/>
    <x:s v="GRUPO MEDICO INTEGRAL SOCIEDAD ANONIMA CERRADA"/>
    <x:s v="93975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2T00:00:00Z"/>
    <x:x v="3"/>
    <x:s v="107832"/>
    <x:s v="FA"/>
    <x:s v="633"/>
    <x:s v="CO"/>
    <x:s v="FA-633"/>
    <x:s v="BRICEÑO IBARRA ISAAC ARMANDO"/>
    <x:s v="07104698"/>
    <x:m/>
    <x:m/>
    <x:s v="CRISTINA"/>
    <x:s v="0074105"/>
    <x:s v="989 712 379"/>
    <x:s v="GRUPO MEDICO INTEGRAL SOCIEDAD ANONIMA CERRADA"/>
    <x:s v="93975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22T00:00:00Z"/>
    <x:x v="3"/>
    <x:s v="107844"/>
    <x:s v="FA"/>
    <x:s v="1149"/>
    <x:s v="CO"/>
    <x:s v="FA-1149"/>
    <x:s v="MARIN NODA ZAIDEE ZARAMIT"/>
    <x:s v="14566209"/>
    <x:m/>
    <x:m/>
    <x:s v="CRISTINA"/>
    <x:s v="0074173"/>
    <x:s v="922232520"/>
    <x:s v="GRUPO MEDICO INTEGRAL SOCIEDAD ANONIMA CERRADA"/>
    <x:s v="93980"/>
    <x:x v="9"/>
    <x:n v="1"/>
    <x:s v="PRECISA"/>
    <x:s v="INSTITUTO MEDICO QUIRURGICO AREQUIPA S.A"/>
    <x:s v="INSTITUTO MEDICO QUIRURGICO AREQUIPA S.A"/>
    <x:s v="L.CENTRO"/>
    <x:s v="LMAGAN"/>
    <x:n v="0"/>
    <x:s v="LN. CIRUGIA"/>
    <x:s v="CIAS. DE SEGURO"/>
    <x:s v="CENTRO"/>
    <x:m/>
    <x:m/>
    <x:m/>
  </x:r>
  <x:r>
    <x:d v="2026-09-22T00:00:00Z"/>
    <x:x v="3"/>
    <x:s v="107844"/>
    <x:s v="FA"/>
    <x:s v="1149"/>
    <x:s v="CO"/>
    <x:s v="FA-1149"/>
    <x:s v="MARIN NODA ZAIDEE ZARAMIT"/>
    <x:s v="14566209"/>
    <x:m/>
    <x:m/>
    <x:s v="CRISTINA"/>
    <x:s v="0074173"/>
    <x:s v="922232520"/>
    <x:s v="GRUPO MEDICO INTEGRAL SOCIEDAD ANONIMA CERRADA"/>
    <x:s v="93980"/>
    <x:x v="10"/>
    <x:n v="1"/>
    <x:s v="PRECISA"/>
    <x:s v="INSTITUTO MEDICO QUIRURGICO AREQUIPA S.A"/>
    <x:s v="INSTITUTO MEDICO QUIRURGICO AREQUIPA S.A"/>
    <x:s v="L.CENTRO"/>
    <x:s v="LMAGAN"/>
    <x:n v="762.71"/>
    <x:s v="LN. CIRUGIA"/>
    <x:s v="CIAS. DE SEGURO"/>
    <x:s v="CENTRO"/>
    <x:m/>
    <x:m/>
    <x:m/>
  </x:r>
  <x:r>
    <x:d v="2026-09-22T00:00:00Z"/>
    <x:x v="3"/>
    <x:s v="107735"/>
    <x:s v="BO"/>
    <x:s v="6502"/>
    <x:s v="CO"/>
    <x:s v="BO-6502"/>
    <x:s v="TAFUR LÓPEZ ROSA ALCIRA"/>
    <x:s v="33940447"/>
    <x:m/>
    <x:m/>
    <x:s v="CRISTINA"/>
    <x:s v="0074136"/>
    <x:s v="999975704"/>
    <x:s v="TAFUR LÓPEZ ROSA ALCIRA"/>
    <x:s v="93893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22T00:00:00Z"/>
    <x:x v="3"/>
    <x:s v="107735"/>
    <x:s v="BO"/>
    <x:s v="6502"/>
    <x:s v="CO"/>
    <x:s v="BO-6502"/>
    <x:s v="TAFUR LÓPEZ ROSA ALCIRA"/>
    <x:s v="33940447"/>
    <x:m/>
    <x:m/>
    <x:s v="CRISTINA"/>
    <x:s v="0074136"/>
    <x:s v="999975704"/>
    <x:s v="TAFUR LÓPEZ ROSA ALCIRA"/>
    <x:s v="93893"/>
    <x:x v="7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m/>
    <x:m/>
    <x:n v="30"/>
  </x:r>
  <x:r>
    <x:d v="2026-09-22T00:00:00Z"/>
    <x:x v="3"/>
    <x:s v="107735"/>
    <x:s v="BO"/>
    <x:s v="6502"/>
    <x:s v="CO"/>
    <x:s v="BO-6502"/>
    <x:s v="TAFUR LÓPEZ ROSA ALCIRA"/>
    <x:s v="33940447"/>
    <x:m/>
    <x:m/>
    <x:s v="CRISTINA"/>
    <x:s v="0074136"/>
    <x:s v="999975704"/>
    <x:s v="TAFUR LÓPEZ ROSA ALCIRA"/>
    <x:s v="93893"/>
    <x:x v="8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22T00:00:00Z"/>
    <x:x v="3"/>
    <x:s v="107749"/>
    <x:s v="BO"/>
    <x:s v="6510"/>
    <x:s v="CO"/>
    <x:s v="BO-6510"/>
    <x:s v="ATANACIO CALATAYUD ENITH MERIAT"/>
    <x:s v="72973383"/>
    <x:m/>
    <x:m/>
    <x:s v="CRISTINA"/>
    <x:s v="0074150"/>
    <x:s v="994058761"/>
    <x:s v="ATANACIO CALATAYUD ENITH MERIAT"/>
    <x:s v="93941"/>
    <x:x v="4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22T00:00:00Z"/>
    <x:x v="3"/>
    <x:s v="107786"/>
    <x:s v="BO"/>
    <x:s v="12802"/>
    <x:s v="CO"/>
    <x:s v="BO-12802"/>
    <x:s v="LUQUE PARIAPAZA FLORA MARIA"/>
    <x:s v="01213009"/>
    <x:m/>
    <x:m/>
    <x:s v="CRISTINA"/>
    <x:s v="0074161"/>
    <x:s v="920759561"/>
    <x:s v="LUQUE PARIAPAZA FLORA MARIA"/>
    <x:s v="9394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22T00:00:00Z"/>
    <x:x v="3"/>
    <x:s v="107786"/>
    <x:s v="BO"/>
    <x:s v="12802"/>
    <x:s v="CO"/>
    <x:s v="BO-12802"/>
    <x:s v="LUQUE PARIAPAZA FLORA MARIA"/>
    <x:s v="01213009"/>
    <x:m/>
    <x:m/>
    <x:s v="CRISTINA"/>
    <x:s v="0074161"/>
    <x:s v="920759561"/>
    <x:s v="LUQUE PARIAPAZA FLORA MARIA"/>
    <x:s v="9394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2T00:00:00Z"/>
    <x:x v="3"/>
    <x:s v="107803"/>
    <x:s v="BO"/>
    <x:s v="4823"/>
    <x:s v="CO"/>
    <x:s v="BO-4823"/>
    <x:s v="BURGOS CRUZADO STEFANY MIRTHA"/>
    <x:s v="40207653"/>
    <x:m/>
    <x:m/>
    <x:s v="CRISTINA"/>
    <x:s v="0074162"/>
    <x:s v="906734025"/>
    <x:s v="BURGOS CRUZADO STEFANY MIRTHA"/>
    <x:s v="93964"/>
    <x:x v="1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22T00:00:00Z"/>
    <x:x v="3"/>
    <x:s v="107826"/>
    <x:s v="BO"/>
    <x:s v="12805"/>
    <x:s v="CO"/>
    <x:s v="BO-12805"/>
    <x:s v="ANCHANTE BERNAL CARLOS ERICK"/>
    <x:s v="09413694"/>
    <x:m/>
    <x:m/>
    <x:s v="CRISTINA"/>
    <x:s v="0039209"/>
    <x:s v="993447646"/>
    <x:s v="ANCHANTE BERNAL CARLOS ERICK"/>
    <x:s v="93931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3T00:00:00Z"/>
    <x:x v="3"/>
    <x:s v="107953"/>
    <x:s v="BO"/>
    <x:s v="5307"/>
    <x:s v="CO"/>
    <x:s v="BO-5307"/>
    <x:s v="ALVA CASTRO ADRIANO ANGELO"/>
    <x:s v="71674965"/>
    <x:m/>
    <x:m/>
    <x:s v="CRISTINA"/>
    <x:s v="0074292"/>
    <x:s v="992129405"/>
    <x:s v="ALVA CASTRO ADRIANO ANGELO"/>
    <x:s v="94101"/>
    <x:x v="6"/>
    <x:n v="1"/>
    <x:s v="PRECISA LN"/>
    <x:s v="POR ASIGNAR"/>
    <x:s v="INSTITUTO MEDICO QUIRURGICO AREQUIPA S.A"/>
    <x:s v="L.NORTE"/>
    <x:s v="AALARCON"/>
    <x:n v="169.49"/>
    <x:s v="LN. EXAMENES"/>
    <x:s v="CIAS. DE SEGURO"/>
    <x:s v="NORTE"/>
    <x:m/>
    <x:m/>
    <x:n v="50"/>
  </x:r>
  <x:r>
    <x:d v="2026-09-23T00:00:00Z"/>
    <x:x v="3"/>
    <x:s v="107955"/>
    <x:s v="BO"/>
    <x:s v="5308"/>
    <x:s v="CO"/>
    <x:s v="BO-5308"/>
    <x:s v="CASTRO CHUÑOCCA ROSA AUGUSTA"/>
    <x:s v="41779924"/>
    <x:m/>
    <x:m/>
    <x:s v="CRISTINA"/>
    <x:s v="0074294"/>
    <x:s v="992129405"/>
    <x:s v="CASTRO CHUÑOCCA ROSA AUGUSTA"/>
    <x:s v="94103"/>
    <x:x v="6"/>
    <x:n v="1"/>
    <x:s v="PRECISA LN"/>
    <x:s v="POR ASIGNAR"/>
    <x:s v="INSTITUTO MEDICO QUIRURGICO AREQUIPA S.A"/>
    <x:s v="L.NORTE"/>
    <x:s v="AALARCON"/>
    <x:n v="169.49"/>
    <x:s v="LN. EXAMENES"/>
    <x:s v="CIAS. DE SEGURO"/>
    <x:s v="NORTE"/>
    <x:m/>
    <x:m/>
    <x:n v="50"/>
  </x:r>
  <x:r>
    <x:d v="2026-09-23T00:00:00Z"/>
    <x:x v="3"/>
    <x:s v="2494"/>
    <x:s v="NC"/>
    <x:s v="5307"/>
    <x:s v="CR"/>
    <x:s v="NC-5307"/>
    <x:s v="ALVA CASTRO ADRIANO ANGELO"/>
    <x:s v="71674965"/>
    <x:m/>
    <x:m/>
    <x:s v="CR"/>
    <x:s v="0074292"/>
    <x:s v="992129405"/>
    <x:s v="ALVA CASTRO ADRIANO ANGELO"/>
    <x:s v="94101"/>
    <x:x v="6"/>
    <x:n v="1"/>
    <x:s v="PRECISA LN"/>
    <x:s v="POR ASIGNAR"/>
    <x:s v="INSTITUTO MEDICO QUIRURGICO AREQUIPA S.A"/>
    <x:s v="L.NORTE"/>
    <x:s v="AALARCON"/>
    <x:n v="-169.49"/>
    <x:s v="LN. EXAMENES"/>
    <x:s v="CIAS. DE SEGURO"/>
    <x:s v="NORTE"/>
    <x:m/>
    <x:m/>
    <x:n v="50"/>
  </x:r>
  <x:r>
    <x:d v="2026-09-23T00:00:00Z"/>
    <x:x v="3"/>
    <x:s v="107850"/>
    <x:s v="BO"/>
    <x:s v="12807"/>
    <x:s v="CO"/>
    <x:s v="BO-12807"/>
    <x:s v="CARBAJAL CAJAS DARIO EDUARDO"/>
    <x:s v="08074108"/>
    <x:s v="PALACIOS URIBE PAMELA CAROLINA"/>
    <x:m/>
    <x:s v="CRISTINA"/>
    <x:s v="0074004"/>
    <x:s v="989329577"/>
    <x:s v="CARBAJAL CAJAS DARIO EDUARDO"/>
    <x:s v="93647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3T00:00:00Z"/>
    <x:x v="3"/>
    <x:s v="107850"/>
    <x:s v="BO"/>
    <x:s v="12807"/>
    <x:s v="CO"/>
    <x:s v="BO-12807"/>
    <x:s v="CARBAJAL CAJAS DARIO EDUARDO"/>
    <x:s v="08074108"/>
    <x:s v="PALACIOS URIBE PAMELA CAROLINA"/>
    <x:m/>
    <x:s v="CRISTINA"/>
    <x:s v="0074004"/>
    <x:s v="989329577"/>
    <x:s v="CARBAJAL CAJAS DARIO EDUARDO"/>
    <x:s v="93647"/>
    <x:x v="7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23T00:00:00Z"/>
    <x:x v="3"/>
    <x:s v="107950"/>
    <x:s v="BO"/>
    <x:s v="606"/>
    <x:s v="CO"/>
    <x:s v="BO-606"/>
    <x:s v="MCMAHAN . MONICA PATRICIA"/>
    <x:s v="A79581721"/>
    <x:m/>
    <x:m/>
    <x:s v="CRISTINA"/>
    <x:s v="0074289"/>
    <x:s v="943619485"/>
    <x:s v="MCMAHAN . MONICA PATRICIA"/>
    <x:s v="94098"/>
    <x:x v="1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4T00:00:00Z"/>
    <x:x v="3"/>
    <x:s v="107971"/>
    <x:s v="FA"/>
    <x:s v="635"/>
    <x:s v="CO"/>
    <x:s v="FA-635"/>
    <x:s v="PARI MAMANI LEANDRO"/>
    <x:s v="10419517"/>
    <x:m/>
    <x:m/>
    <x:s v="CRISTINA"/>
    <x:s v="0073371"/>
    <x:s v="985412589"/>
    <x:s v="GAMARRA HEALTHCARE CENTER S.A.C."/>
    <x:s v="93933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m/>
    <x:m/>
    <x:m/>
  </x:r>
  <x:r>
    <x:d v="2026-09-24T00:00:00Z"/>
    <x:x v="3"/>
    <x:s v="107971"/>
    <x:s v="FA"/>
    <x:s v="635"/>
    <x:s v="CO"/>
    <x:s v="FA-635"/>
    <x:s v="PARI MAMANI LEANDRO"/>
    <x:s v="10419517"/>
    <x:m/>
    <x:m/>
    <x:s v="CRISTINA"/>
    <x:s v="0073371"/>
    <x:s v="985412589"/>
    <x:s v="GAMARRA HEALTHCARE CENTER S.A.C."/>
    <x:s v="93933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4T00:00:00Z"/>
    <x:x v="3"/>
    <x:s v="107991"/>
    <x:s v="FA"/>
    <x:s v="1152"/>
    <x:s v="CO"/>
    <x:s v="FA-1152"/>
    <x:s v="GENG CHIONG JAVIER"/>
    <x:s v="07922805"/>
    <x:m/>
    <x:m/>
    <x:s v="CRISTINA"/>
    <x:s v="0053297"/>
    <x:s v="940220575"/>
    <x:s v="GENG CHIONG JAVIER"/>
    <x:s v="94139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4T00:00:00Z"/>
    <x:x v="3"/>
    <x:s v="107991"/>
    <x:s v="FA"/>
    <x:s v="1152"/>
    <x:s v="CO"/>
    <x:s v="FA-1152"/>
    <x:s v="GENG CHIONG JAVIER"/>
    <x:s v="07922805"/>
    <x:m/>
    <x:m/>
    <x:s v="CRISTINA"/>
    <x:s v="0053297"/>
    <x:s v="940220575"/>
    <x:s v="GENG CHIONG JAVIER"/>
    <x:s v="94139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4T00:00:00Z"/>
    <x:x v="3"/>
    <x:s v="107999"/>
    <x:s v="FA"/>
    <x:s v="636"/>
    <x:s v="CO"/>
    <x:s v="FA-636"/>
    <x:s v="CHUGNAS GALAN ANTONIO"/>
    <x:s v="06837782"/>
    <x:m/>
    <x:m/>
    <x:s v="CRISTINA"/>
    <x:s v="0074123"/>
    <x:s v="993955341"/>
    <x:s v="GRUPO MVP S.A.C."/>
    <x:s v="93934"/>
    <x:x v="39"/>
    <x:n v="1"/>
    <x:s v="PRECISA"/>
    <x:s v="INSTITUTO MEDICO QUIRURGICO AREQUIPA S.A"/>
    <x:s v="INSTITUTO MEDICO QUIRURGICO AREQUIPA S.A"/>
    <x:s v="L.CENTRO"/>
    <x:s v="ACABRERA"/>
    <x:n v="847.46"/>
    <x:s v="LN. CIRUGIA"/>
    <x:s v="CIAS. DE SEGURO"/>
    <x:s v="CENTRO"/>
    <x:m/>
    <x:m/>
    <x:m/>
  </x:r>
  <x:r>
    <x:d v="2026-09-24T00:00:00Z"/>
    <x:x v="3"/>
    <x:s v="107999"/>
    <x:s v="FA"/>
    <x:s v="636"/>
    <x:s v="CO"/>
    <x:s v="FA-636"/>
    <x:s v="CHUGNAS GALAN ANTONIO"/>
    <x:s v="06837782"/>
    <x:m/>
    <x:m/>
    <x:s v="CRISTINA"/>
    <x:s v="0074123"/>
    <x:s v="993955341"/>
    <x:s v="GRUPO MVP S.A.C."/>
    <x:s v="93934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4T00:00:00Z"/>
    <x:x v="3"/>
    <x:s v="108011"/>
    <x:s v="BO"/>
    <x:s v="5311"/>
    <x:s v="CO"/>
    <x:s v="BO-5311"/>
    <x:s v="RAMOS DAMASO JAVIER"/>
    <x:s v="09787417"/>
    <x:m/>
    <x:m/>
    <x:s v="CRISTINA"/>
    <x:s v="0074314"/>
    <x:s v="990590084"/>
    <x:s v="RAMOS DAMASO JAVIER"/>
    <x:s v="94153"/>
    <x:x v="0"/>
    <x:n v="1"/>
    <x:s v="PRECISA"/>
    <x:s v="INSTITUTO MEDICO QUIRURGICO AREQUIPA S.A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9-24T00:00:00Z"/>
    <x:x v="3"/>
    <x:s v="107979"/>
    <x:s v="FA"/>
    <x:s v="1150"/>
    <x:s v="CO"/>
    <x:s v="FA-1150"/>
    <x:s v="VEGA DE CAYLLAHUA JUANA ISIDORA"/>
    <x:s v="10071840"/>
    <x:m/>
    <x:m/>
    <x:s v="CRISTINA"/>
    <x:s v="0074274"/>
    <x:s v="981 349 937"/>
    <x:s v="C &amp; E CONTROL ELECTRIC S.A.C."/>
    <x:s v="94093"/>
    <x:x v="1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4T00:00:00Z"/>
    <x:x v="3"/>
    <x:s v="108004"/>
    <x:s v="BO"/>
    <x:s v="12834"/>
    <x:s v="CO"/>
    <x:s v="BO-12834"/>
    <x:s v="CASTAÑEDA SANCHEZ JOSELITO"/>
    <x:s v="42488186"/>
    <x:s v="RAMIREZ ORBE JOSÉ LUIS"/>
    <x:s v="HOSPITAL DE LA POLICIA"/>
    <x:s v="CRISTINA"/>
    <x:s v="0073965"/>
    <x:s v="982 711 959"/>
    <x:s v="CASTAÑEDA SANCHEZ JOSELITO"/>
    <x:s v="94133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n v="901918745"/>
    <x:m/>
    <x:n v="30"/>
  </x:r>
  <x:r>
    <x:d v="2026-09-24T00:00:00Z"/>
    <x:x v="3"/>
    <x:s v="108028"/>
    <x:s v="BO"/>
    <x:s v="612"/>
    <x:s v="CO"/>
    <x:s v="BO-612"/>
    <x:s v="GUTIERREZ ANDRADE XIOMARA NAOMI ITZAYA"/>
    <x:s v="78038675"/>
    <x:m/>
    <x:m/>
    <x:s v="CRISTINA"/>
    <x:s v="0073859"/>
    <x:s v="9921263522"/>
    <x:s v="GUTIERREZ ANDRADE XIOMARA NAOMI ITZAYA"/>
    <x:s v="93503"/>
    <x:x v="4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5T00:00:00Z"/>
    <x:x v="3"/>
    <x:s v="108072"/>
    <x:s v="BO"/>
    <x:s v="4852"/>
    <x:s v="CO"/>
    <x:s v="BO-4852"/>
    <x:s v="GRANADOS LASTRA MIGUEL FABRIZZIO"/>
    <x:s v="71017687"/>
    <x:s v="CERNA TAFUR ELAR LALO"/>
    <x:m/>
    <x:s v="CRISTINA"/>
    <x:s v="0074302"/>
    <x:s v="940171092"/>
    <x:s v="GRANADOS LASTRA MIGUEL FABRIZZIO"/>
    <x:s v="94192"/>
    <x:x v="12"/>
    <x:n v="1"/>
    <x:s v="PRECISA"/>
    <x:s v="INSTITUTO MEDICO QUIRURGICO AREQUIPA S.A"/>
    <x:s v="INSTITUTO MEDICO QUIRURGICO AREQUIPA S.A"/>
    <x:s v="L.NORTE"/>
    <x:s v="BGALLOSA"/>
    <x:n v="152.54"/>
    <x:s v="LN. EXAMENES"/>
    <x:s v="CIAS. DE SEGURO"/>
    <x:s v="NORTE"/>
    <x:m/>
    <x:m/>
    <x:n v="30"/>
  </x:r>
  <x:r>
    <x:d v="2026-09-25T00:00:00Z"/>
    <x:x v="3"/>
    <x:s v="108091"/>
    <x:s v="BO"/>
    <x:s v="621"/>
    <x:s v="CO"/>
    <x:s v="BO-621"/>
    <x:s v="MARTINEZ SEDANO JUAN ANTONIO"/>
    <x:s v="48281746"/>
    <x:m/>
    <x:m/>
    <x:s v="CRISTINA"/>
    <x:s v="0074334"/>
    <x:s v="994148960"/>
    <x:s v="MARTINEZ SEDANO JUAN ANTONIO"/>
    <x:s v="94195"/>
    <x:x v="7"/>
    <x:n v="1"/>
    <x:s v="PRECISA"/>
    <x:s v="INSTITUTO MEDICO QUIRURGICO AREQUIPA S.A"/>
    <x:s v="INSTITUTO MEDICO QUIRURGICO AREQUIPA S.A"/>
    <x:s v="L.LINCE"/>
    <x:s v="SMORENO"/>
    <x:n v="152.54"/>
    <x:s v="LN. EXAMENES"/>
    <x:s v="CIAS. DE SEGURO"/>
    <x:s v="LINCE"/>
    <x:m/>
    <x:m/>
    <x:n v="30"/>
  </x:r>
  <x:r>
    <x:d v="2026-09-25T00:00:00Z"/>
    <x:x v="3"/>
    <x:s v="108091"/>
    <x:s v="BO"/>
    <x:s v="621"/>
    <x:s v="CO"/>
    <x:s v="BO-621"/>
    <x:s v="MARTINEZ SEDANO JUAN ANTONIO"/>
    <x:s v="48281746"/>
    <x:m/>
    <x:m/>
    <x:s v="CRISTINA"/>
    <x:s v="0074334"/>
    <x:s v="994148960"/>
    <x:s v="MARTINEZ SEDANO JUAN ANTONIO"/>
    <x:s v="94195"/>
    <x:x v="8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5T00:00:00Z"/>
    <x:x v="3"/>
    <x:s v="108092"/>
    <x:s v="BO"/>
    <x:s v="622"/>
    <x:s v="CO"/>
    <x:s v="BO-622"/>
    <x:s v="MARTINEZ SEDANO JUAN ANTONIO"/>
    <x:s v="48281746"/>
    <x:m/>
    <x:m/>
    <x:s v="CRISTINA"/>
    <x:s v="0074334"/>
    <x:s v="994148960"/>
    <x:s v="MARTINEZ SEDANO JUAN ANTONIO"/>
    <x:s v="94221"/>
    <x:x v="8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5T00:00:00Z"/>
    <x:x v="3"/>
    <x:s v="108092"/>
    <x:s v="BO"/>
    <x:s v="622"/>
    <x:s v="CO"/>
    <x:s v="BO-622"/>
    <x:s v="MARTINEZ SEDANO JUAN ANTONIO"/>
    <x:s v="48281746"/>
    <x:m/>
    <x:m/>
    <x:s v="CRISTINA"/>
    <x:s v="0074334"/>
    <x:s v="994148960"/>
    <x:s v="MARTINEZ SEDANO JUAN ANTONIO"/>
    <x:s v="94221"/>
    <x:x v="7"/>
    <x:n v="1"/>
    <x:s v="PRECISA"/>
    <x:s v="INSTITUTO MEDICO QUIRURGICO AREQUIPA S.A"/>
    <x:s v="INSTITUTO MEDICO QUIRURGICO AREQUIPA S.A"/>
    <x:s v="L.LINCE"/>
    <x:s v="SMORENO"/>
    <x:n v="152.54"/>
    <x:s v="LN. EXAMENES"/>
    <x:s v="CIAS. DE SEGURO"/>
    <x:s v="LINCE"/>
    <x:m/>
    <x:m/>
    <x:n v="30"/>
  </x:r>
  <x:r>
    <x:d v="2026-09-25T00:00:00Z"/>
    <x:x v="3"/>
    <x:s v="108115"/>
    <x:s v="BO"/>
    <x:s v="4860"/>
    <x:s v="CO"/>
    <x:s v="BO-4860"/>
    <x:s v="PEREZ VARGAS DE CERVANTES CATALINA"/>
    <x:s v="10290922"/>
    <x:m/>
    <x:m/>
    <x:s v="CRISTINA"/>
    <x:s v="0073998"/>
    <x:s v="906788510"/>
    <x:s v="PEREZ VARGAS DE CERVANTES CATALINA"/>
    <x:s v="93770"/>
    <x:x v="4"/>
    <x:n v="1"/>
    <x:s v="PRECISA"/>
    <x:s v="INSTITUTO MEDICO QUIRURGICO AREQUIPA S.A"/>
    <x:s v="INSTITUTO MEDICO QUIRURGICO AREQUIPA S.A"/>
    <x:s v="L.NORTE"/>
    <x:s v="BGALLOSA"/>
    <x:n v="135.59"/>
    <x:s v="LN. EXAMENES"/>
    <x:s v="CIAS. DE SEGURO"/>
    <x:s v="NORTE"/>
    <x:m/>
    <x:m/>
    <x:n v="30"/>
  </x:r>
  <x:r>
    <x:d v="2026-09-26T00:00:00Z"/>
    <x:x v="3"/>
    <x:s v="108234"/>
    <x:s v="BO"/>
    <x:s v="6552"/>
    <x:s v="CO"/>
    <x:s v="BO-6552"/>
    <x:s v="ROCA HENRIQUEZ VICTOR AUGUSTO"/>
    <x:s v="15600267"/>
    <x:m/>
    <x:m/>
    <x:s v="CRISTINA"/>
    <x:s v="0073810"/>
    <x:s v="99999999"/>
    <x:s v="ROCA HENRIQUEZ VICTOR AUGUSTO"/>
    <x:s v="94119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6T00:00:00Z"/>
    <x:x v="3"/>
    <x:s v="108234"/>
    <x:s v="BO"/>
    <x:s v="6552"/>
    <x:s v="CO"/>
    <x:s v="BO-6552"/>
    <x:s v="ROCA HENRIQUEZ VICTOR AUGUSTO"/>
    <x:s v="15600267"/>
    <x:m/>
    <x:m/>
    <x:s v="CRISTINA"/>
    <x:s v="0073810"/>
    <x:s v="99999999"/>
    <x:s v="ROCA HENRIQUEZ VICTOR AUGUSTO"/>
    <x:s v="94119"/>
    <x:x v="39"/>
    <x:n v="1"/>
    <x:s v="PRECISA"/>
    <x:s v="INSTITUTO MEDICO QUIRURGICO AREQUIPA S.A"/>
    <x:s v="INSTITUTO MEDICO QUIRURGICO AREQUIPA S.A"/>
    <x:s v="L.CENTRO"/>
    <x:s v="ACABRERA"/>
    <x:n v="957.63"/>
    <x:s v="LN. CIRUGIA"/>
    <x:s v="CIAS. DE SEGURO"/>
    <x:s v="CENTRO"/>
    <x:m/>
    <x:m/>
    <x:m/>
  </x:r>
  <x:r>
    <x:d v="2026-09-26T00:00:00Z"/>
    <x:x v="3"/>
    <x:s v="108170"/>
    <x:s v="BO"/>
    <x:s v="631"/>
    <x:s v="CO"/>
    <x:s v="BO-631"/>
    <x:s v="ROJAS LOBO ISABEL"/>
    <x:s v="28800154"/>
    <x:m/>
    <x:m/>
    <x:s v="CRISTINA"/>
    <x:s v="0074253"/>
    <x:s v="996627600"/>
    <x:s v="ROJAS LOBO ISABEL"/>
    <x:s v="94261"/>
    <x:x v="1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6T00:00:00Z"/>
    <x:x v="3"/>
    <x:s v="108210"/>
    <x:s v="BO"/>
    <x:s v="638"/>
    <x:s v="CO"/>
    <x:s v="BO-638"/>
    <x:s v="COHELO MEDINA SADITH"/>
    <x:s v="10367024"/>
    <x:m/>
    <x:m/>
    <x:s v="CRISTINA"/>
    <x:s v="0074370"/>
    <x:s v="993364279"/>
    <x:s v="COHELO MEDINA SADITH"/>
    <x:s v="94291"/>
    <x:x v="1"/>
    <x:n v="1"/>
    <x:s v="PRECISA"/>
    <x:s v="INSTITUTO MEDICO QUIRURGICO AREQUIPA S.A"/>
    <x:s v="INSTITUTO MEDICO QUIRURGICO AREQUIPA S.A"/>
    <x:s v="L.LINCE"/>
    <x:s v="SMORENO"/>
    <x:n v="135.59"/>
    <x:s v="LN. EXAMENES"/>
    <x:s v="CIAS. DE SEGURO"/>
    <x:s v="LINCE"/>
    <x:m/>
    <x:m/>
    <x:n v="30"/>
  </x:r>
  <x:r>
    <x:d v="2026-09-26T00:00:00Z"/>
    <x:x v="3"/>
    <x:s v="108218"/>
    <x:s v="FA"/>
    <x:s v="1154"/>
    <x:s v="CO"/>
    <x:s v="FA-1154"/>
    <x:s v="MAYNETTO VILCHEZ BRENDA DANIELA"/>
    <x:s v="72404326"/>
    <x:m/>
    <x:m/>
    <x:s v="CRISTINA"/>
    <x:s v="0074244"/>
    <x:s v="956249011"/>
    <x:s v="ECOBEBIDAS E INFUSIONES PERUANAS S.A.C."/>
    <x:s v="94308"/>
    <x:x v="12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26T00:00:00Z"/>
    <x:x v="3"/>
    <x:s v="108218"/>
    <x:s v="FA"/>
    <x:s v="1154"/>
    <x:s v="CO"/>
    <x:s v="FA-1154"/>
    <x:s v="MAYNETTO VILCHEZ BRENDA DANIELA"/>
    <x:s v="72404326"/>
    <x:m/>
    <x:m/>
    <x:s v="CRISTINA"/>
    <x:s v="0074244"/>
    <x:s v="956249011"/>
    <x:s v="ECOBEBIDAS E INFUSIONES PERUANAS S.A.C."/>
    <x:s v="94308"/>
    <x:x v="8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8T00:00:00Z"/>
    <x:x v="3"/>
    <x:s v="108276"/>
    <x:s v="BO"/>
    <x:s v="5329"/>
    <x:s v="CO"/>
    <x:s v="BO-5329"/>
    <x:s v="VILLANUEVA CASTRO TEODORO RICARDO"/>
    <x:s v="15975868"/>
    <x:m/>
    <x:m/>
    <x:s v="CRISTINA"/>
    <x:s v="0074385"/>
    <x:s v="985631014"/>
    <x:s v="VILLANUEVA CASTRO TEODORO RICARDO"/>
    <x:s v="94358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9-28T00:00:00Z"/>
    <x:x v="3"/>
    <x:s v="108288"/>
    <x:s v="BO"/>
    <x:s v="5331"/>
    <x:s v="CO"/>
    <x:s v="BO-5331"/>
    <x:s v="VERDE VARA ROBERTA LICARIA"/>
    <x:s v="08171858"/>
    <x:m/>
    <x:m/>
    <x:s v="CRISTINA"/>
    <x:s v="0074397"/>
    <x:s v="995486216"/>
    <x:s v="VERDE VARA ROBERTA LICARIA"/>
    <x:s v="94369"/>
    <x:x v="2"/>
    <x:n v="1"/>
    <x:s v="PRECISA LN"/>
    <x:s v="POR ASIGNAR"/>
    <x:s v="INSTITUTO MEDICO QUIRURGICO AREQUIPA S.A"/>
    <x:s v="L.NORTE"/>
    <x:s v="AALARCON"/>
    <x:n v="186.44"/>
    <x:s v="LN. EXAMENES"/>
    <x:s v="CIAS. DE SEGURO"/>
    <x:s v="NORTE"/>
    <x:m/>
    <x:m/>
    <x:n v="50"/>
  </x:r>
  <x:r>
    <x:d v="2026-09-28T00:00:00Z"/>
    <x:x v="3"/>
    <x:s v="108315"/>
    <x:s v="BO"/>
    <x:s v="4889"/>
    <x:s v="CO"/>
    <x:s v="BO-4889"/>
    <x:s v="GARCIA ESCOBEDO ANA SOLEDAD"/>
    <x:s v="06061002"/>
    <x:m/>
    <x:m/>
    <x:s v="CRISTINA"/>
    <x:s v="0074417"/>
    <x:s v="957732218"/>
    <x:s v="GARCIA ESCOBEDO ANA SOLEDAD"/>
    <x:s v="94396"/>
    <x:x v="2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28T00:00:00Z"/>
    <x:x v="3"/>
    <x:s v="108327"/>
    <x:s v="BO"/>
    <x:s v="12865"/>
    <x:s v="CO"/>
    <x:s v="BO-12865"/>
    <x:s v="PASACHE HUAMAN PEGGY"/>
    <x:s v="10719214"/>
    <x:m/>
    <x:m/>
    <x:s v="CRISTINA"/>
    <x:s v="0074427"/>
    <x:s v="942117814"/>
    <x:s v="PASACHE HUAMAN PEGGY"/>
    <x:s v="94409"/>
    <x:x v="5"/>
    <x:n v="1"/>
    <x:s v="PRECISA"/>
    <x:s v="INSTITUTO MEDICO QUIRURGICO AREQUIPA S.A"/>
    <x:s v="INSTITUTO MEDICO QUIRURGICO AREQUIPA S.A"/>
    <x:s v="L.CENTRO"/>
    <x:s v="LMAGAN"/>
    <x:n v="152.54"/>
    <x:s v="LN. EXAMENES"/>
    <x:s v="CIAS. DE SEGURO"/>
    <x:s v="CENTRO"/>
    <x:m/>
    <x:m/>
    <x:n v="30"/>
  </x:r>
  <x:r>
    <x:d v="2026-09-28T00:00:00Z"/>
    <x:x v="3"/>
    <x:s v="108327"/>
    <x:s v="BO"/>
    <x:s v="12865"/>
    <x:s v="CO"/>
    <x:s v="BO-12865"/>
    <x:s v="PASACHE HUAMAN PEGGY"/>
    <x:s v="10719214"/>
    <x:m/>
    <x:m/>
    <x:s v="CRISTINA"/>
    <x:s v="0074427"/>
    <x:s v="942117814"/>
    <x:s v="PASACHE HUAMAN PEGGY"/>
    <x:s v="94409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8T00:00:00Z"/>
    <x:x v="3"/>
    <x:s v="108332"/>
    <x:s v="BO"/>
    <x:s v="4890"/>
    <x:s v="CO"/>
    <x:s v="BO-4890"/>
    <x:s v="ALMONTE MENESES VIRGINIA PILAR"/>
    <x:s v="09169699"/>
    <x:m/>
    <x:m/>
    <x:s v="CRISTINA"/>
    <x:s v="0074428"/>
    <x:s v="912150343"/>
    <x:s v="ALMONTE MENESES VIRGINIA PILAR"/>
    <x:s v="94412"/>
    <x:x v="0"/>
    <x:n v="1"/>
    <x:s v="PRECISA LN"/>
    <x:s v="POR ASIGNAR"/>
    <x:s v="INSTITUTO MEDICO QUIRURGICO AREQUIPA S.A"/>
    <x:s v="L.NORTE"/>
    <x:s v="BGALLOSA"/>
    <x:n v="186.44"/>
    <x:s v="LN. EXAMENES"/>
    <x:s v="CIAS. DE SEGURO"/>
    <x:s v="NORTE"/>
    <x:m/>
    <x:m/>
    <x:n v="50"/>
  </x:r>
  <x:r>
    <x:d v="2026-09-28T00:00:00Z"/>
    <x:x v="3"/>
    <x:s v="108319"/>
    <x:s v="BO"/>
    <x:s v="849"/>
    <x:s v="CO"/>
    <x:s v="BO-849"/>
    <x:s v="OCAS AJIFF MELVIN MANUEL"/>
    <x:s v="47715986"/>
    <x:m/>
    <x:m/>
    <x:s v="CRISTINA"/>
    <x:s v="0074420"/>
    <x:s v="976389748"/>
    <x:s v="OCAS AJIFF MELVIN MANUEL"/>
    <x:s v="94401"/>
    <x:x v="12"/>
    <x:n v="1"/>
    <x:s v="PRECISA"/>
    <x:s v="INSTITUTO MEDICO QUIRURGICO AREQUIPA S.A"/>
    <x:s v="INSTITUTO MEDICO QUIRURGICO AREQUIPA S.A"/>
    <x:s v="L.LINCE"/>
    <x:s v="KESCUDERO"/>
    <x:n v="152.54"/>
    <x:s v="LN. EXAMENES"/>
    <x:s v="CIAS. DE SEGURO"/>
    <x:s v="LINCE"/>
    <x:m/>
    <x:m/>
    <x:n v="30"/>
  </x:r>
  <x:r>
    <x:d v="2026-09-28T00:00:00Z"/>
    <x:x v="3"/>
    <x:s v="108319"/>
    <x:s v="BO"/>
    <x:s v="849"/>
    <x:s v="CO"/>
    <x:s v="BO-849"/>
    <x:s v="OCAS AJIFF MELVIN MANUEL"/>
    <x:s v="47715986"/>
    <x:m/>
    <x:m/>
    <x:s v="CRISTINA"/>
    <x:s v="0074420"/>
    <x:s v="976389748"/>
    <x:s v="OCAS AJIFF MELVIN MANUEL"/>
    <x:s v="94401"/>
    <x:x v="43"/>
    <x:n v="1"/>
    <x:s v="PRECISA"/>
    <x:s v="INSTITUTO MEDICO QUIRURGICO AREQUIPA S.A"/>
    <x:s v="INSTITUTO MEDICO QUIRURGICO AREQUIPA S.A"/>
    <x:s v="L.LINCE"/>
    <x:s v="KESCUDERO"/>
    <x:n v="211.86"/>
    <x:s v="LN. EXAMENES"/>
    <x:s v="CIAS. DE SEGURO"/>
    <x:s v="LINCE"/>
    <x:m/>
    <x:m/>
    <x:n v="50"/>
  </x:r>
  <x:r>
    <x:d v="2026-09-28T00:00:00Z"/>
    <x:x v="3"/>
    <x:s v="108269"/>
    <x:s v="BO"/>
    <x:s v="12166"/>
    <x:s v="CO"/>
    <x:s v="BO-12166"/>
    <x:s v="ZUÑIGA DURAN JORGE DAVID"/>
    <x:s v="09462964"/>
    <x:m/>
    <x:m/>
    <x:s v="CRISTINA"/>
    <x:s v="0074282"/>
    <x:s v="969797807"/>
    <x:s v="ZUÑIGA DURAN JORGE DAVID"/>
    <x:s v="94164"/>
    <x:x v="1"/>
    <x:n v="1"/>
    <x:s v="PRECISA"/>
    <x:s v="INSTITUTO MEDICO QUIRURGICO AREQUIPA S.A"/>
    <x:s v="INSTITUTO MEDICO QUIRURGICO AREQUIPA S.A"/>
    <x:s v="L.NORTE"/>
    <x:s v="SBRUNO"/>
    <x:n v="135.59"/>
    <x:s v="LN. EXAMENES"/>
    <x:s v="CIAS. DE SEGURO"/>
    <x:s v="NORTE"/>
    <x:m/>
    <x:m/>
    <x:n v="30"/>
  </x:r>
  <x:r>
    <x:d v="2026-09-28T00:00:00Z"/>
    <x:x v="3"/>
    <x:s v="108297"/>
    <x:s v="BO"/>
    <x:s v="12862"/>
    <x:s v="CO"/>
    <x:s v="BO-12862"/>
    <x:s v="GONZALES ALANIA BRUCE LEONCIO"/>
    <x:s v="74099027"/>
    <x:m/>
    <x:m/>
    <x:s v="CRISTINA"/>
    <x:s v="0073643"/>
    <x:s v="+51961863546"/>
    <x:s v="GONZALES ALANIA BRUCE LEONCIO"/>
    <x:s v="93156"/>
    <x:x v="21"/>
    <x:n v="1"/>
    <x:s v="PRECISA"/>
    <x:s v="INSTITUTO MEDICO QUIRURGICO AREQUIPA S.A"/>
    <x:s v="INSTITUTO MEDICO QUIRURGICO AREQUIPA S.A"/>
    <x:s v="L.CENTRO"/>
    <x:s v="LMAGAN"/>
    <x:n v="338.98"/>
    <x:s v="LN. EXAMENES"/>
    <x:s v="CIAS. DE SEGURO"/>
    <x:s v="CENTRO"/>
    <x:m/>
    <x:m/>
    <x:n v="100"/>
  </x:r>
  <x:r>
    <x:d v="2026-09-28T00:00:00Z"/>
    <x:x v="3"/>
    <x:s v="108319"/>
    <x:s v="BO"/>
    <x:s v="849"/>
    <x:s v="CO"/>
    <x:s v="BO-849"/>
    <x:s v="OCAS AJIFF MELVIN MANUEL"/>
    <x:s v="47715986"/>
    <x:m/>
    <x:m/>
    <x:s v="CRISTINA"/>
    <x:s v="0074420"/>
    <x:s v="976389748"/>
    <x:s v="OCAS AJIFF MELVIN MANUEL"/>
    <x:s v="94401"/>
    <x:x v="12"/>
    <x:n v="1"/>
    <x:s v="PRECISA"/>
    <x:s v="INSTITUTO MEDICO QUIRURGICO AREQUIPA S.A"/>
    <x:s v="INSTITUTO MEDICO QUIRURGICO AREQUIPA S.A"/>
    <x:s v="L.LINCE"/>
    <x:s v="KESCUDERO"/>
    <x:n v="152.54"/>
    <x:s v="LN. EXAMENES"/>
    <x:s v="CIAS. DE SEGURO"/>
    <x:s v="LINCE"/>
    <x:m/>
    <x:m/>
    <x:n v="30"/>
  </x:r>
  <x:r>
    <x:d v="2026-09-29T00:00:00Z"/>
    <x:x v="3"/>
    <x:s v="108381"/>
    <x:s v="BO"/>
    <x:s v="6570"/>
    <x:s v="CO"/>
    <x:s v="BO-6570"/>
    <x:s v="PITTMAN PARDO JORGE LUIS"/>
    <x:s v="15704241"/>
    <x:m/>
    <x:m/>
    <x:s v="CRISTINA"/>
    <x:s v="0074333"/>
    <x:s v="977907788"/>
    <x:s v="PITTMAN PARDO JORGE LUIS"/>
    <x:s v="94459"/>
    <x:x v="14"/>
    <x:n v="1"/>
    <x:s v="PRECISA"/>
    <x:s v="INSTITUTO MEDICO QUIRURGICO AREQUIPA S.A"/>
    <x:s v="INSTITUTO MEDICO QUIRURGICO AREQUIPA S.A"/>
    <x:s v="L.CENTRO"/>
    <x:s v="ACABRERA"/>
    <x:n v="84.75"/>
    <x:s v="LN. EXAMENES"/>
    <x:s v="CIAS. DE SEGURO"/>
    <x:s v="CENTRO"/>
    <x:m/>
    <x:m/>
    <x:m/>
  </x:r>
  <x:r>
    <x:d v="2026-09-29T00:00:00Z"/>
    <x:x v="3"/>
    <x:s v="108393"/>
    <x:s v="BO"/>
    <x:s v="12877"/>
    <x:s v="CO"/>
    <x:s v="BO-12877"/>
    <x:s v="SIFUENTES AYVAR MIGUEL GUSTAVO"/>
    <x:s v="09116590"/>
    <x:m/>
    <x:m/>
    <x:s v="CRISTINA"/>
    <x:s v="0074332"/>
    <x:s v="986900490"/>
    <x:s v="SIFUENTES AYVAR MIGUEL GUSTAVO"/>
    <x:s v="94467"/>
    <x:x v="8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9-29T00:00:00Z"/>
    <x:x v="3"/>
    <x:s v="108393"/>
    <x:s v="BO"/>
    <x:s v="12877"/>
    <x:s v="CO"/>
    <x:s v="BO-12877"/>
    <x:s v="SIFUENTES AYVAR MIGUEL GUSTAVO"/>
    <x:s v="09116590"/>
    <x:m/>
    <x:m/>
    <x:s v="CRISTINA"/>
    <x:s v="0074332"/>
    <x:s v="986900490"/>
    <x:s v="SIFUENTES AYVAR MIGUEL GUSTAVO"/>
    <x:s v="94467"/>
    <x:x v="7"/>
    <x:n v="1"/>
    <x:s v="PRECISA"/>
    <x:s v="INSTITUTO MEDICO QUIRURGICO AREQUIPA S.A"/>
    <x:s v="INSTITUTO MEDICO QUIRURGICO AREQUIPA S.A"/>
    <x:s v="L.CENTRO"/>
    <x:s v="LMAGAN"/>
    <x:n v="42.37"/>
    <x:s v="LN. EXAMENES"/>
    <x:s v="CIAS. DE SEGURO"/>
    <x:s v="CENTRO"/>
    <x:m/>
    <x:m/>
    <x:n v="30"/>
  </x:r>
  <x:r>
    <x:d v="2026-09-29T00:00:00Z"/>
    <x:x v="3"/>
    <x:s v="108418"/>
    <x:s v="BO"/>
    <x:s v="12879"/>
    <x:s v="CO"/>
    <x:s v="BO-12879"/>
    <x:s v="PILLCO CONDORI FRANCISCA"/>
    <x:s v="09959719"/>
    <x:m/>
    <x:m/>
    <x:s v="CRISTINA"/>
    <x:s v="0074461"/>
    <x:s v="992298304"/>
    <x:s v="PILLCO CONDORI FRANCISCA"/>
    <x:s v="94485"/>
    <x:x v="2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9T00:00:00Z"/>
    <x:x v="3"/>
    <x:s v="108418"/>
    <x:s v="BO"/>
    <x:s v="12879"/>
    <x:s v="CO"/>
    <x:s v="BO-12879"/>
    <x:s v="PILLCO CONDORI FRANCISCA"/>
    <x:s v="09959719"/>
    <x:m/>
    <x:m/>
    <x:s v="CRISTINA"/>
    <x:s v="0074461"/>
    <x:s v="992298304"/>
    <x:s v="PILLCO CONDORI FRANCISCA"/>
    <x:s v="94485"/>
    <x:x v="0"/>
    <x:n v="1"/>
    <x:s v="PRECISA"/>
    <x:s v="INSTITUTO MEDICO QUIRURGICO AREQUIPA S.A"/>
    <x:s v="INSTITUTO MEDICO QUIRURGICO AREQUIPA S.A"/>
    <x:s v="L.CENTRO"/>
    <x:s v="LMAGAN"/>
    <x:n v="186.44"/>
    <x:s v="LN. EXAMENES"/>
    <x:s v="CIAS. DE SEGURO"/>
    <x:s v="CENTRO"/>
    <x:m/>
    <x:m/>
    <x:n v="50"/>
  </x:r>
  <x:r>
    <x:d v="2026-09-29T00:00:00Z"/>
    <x:x v="3"/>
    <x:s v="108418"/>
    <x:s v="BO"/>
    <x:s v="12879"/>
    <x:s v="CO"/>
    <x:s v="BO-12879"/>
    <x:s v="PILLCO CONDORI FRANCISCA"/>
    <x:s v="09959719"/>
    <x:m/>
    <x:m/>
    <x:s v="CRISTINA"/>
    <x:s v="0074461"/>
    <x:s v="992298304"/>
    <x:s v="PILLCO CONDORI FRANCISCA"/>
    <x:s v="94485"/>
    <x:x v="4"/>
    <x:n v="1"/>
    <x:s v="PRECISA"/>
    <x:s v="INSTITUTO MEDICO QUIRURGICO AREQUIPA S.A"/>
    <x:s v="INSTITUTO MEDICO QUIRURGICO AREQUIPA S.A"/>
    <x:s v="L.CENTRO"/>
    <x:s v="LMAGAN"/>
    <x:n v="135.59"/>
    <x:s v="LN. EXAMENES"/>
    <x:s v="CIAS. DE SEGURO"/>
    <x:s v="CENTRO"/>
    <x:m/>
    <x:m/>
    <x:n v="30"/>
  </x:r>
  <x:r>
    <x:d v="2026-09-29T00:00:00Z"/>
    <x:x v="3"/>
    <x:s v="108456"/>
    <x:s v="FA"/>
    <x:s v="639"/>
    <x:s v="CO"/>
    <x:s v="FA-639"/>
    <x:s v="SOTO AMARO EDGAR MELGAR"/>
    <x:s v="21087147"/>
    <x:m/>
    <x:m/>
    <x:s v="CRISTINA"/>
    <x:s v="0074405"/>
    <x:s v="999999999"/>
    <x:s v="GAMARRA HEALTHCARE CENTER S.A.C."/>
    <x:s v="94434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9T00:00:00Z"/>
    <x:x v="3"/>
    <x:s v="108456"/>
    <x:s v="FA"/>
    <x:s v="639"/>
    <x:s v="CO"/>
    <x:s v="FA-639"/>
    <x:s v="SOTO AMARO EDGAR MELGAR"/>
    <x:s v="21087147"/>
    <x:m/>
    <x:m/>
    <x:s v="CRISTINA"/>
    <x:s v="0074405"/>
    <x:s v="999999999"/>
    <x:s v="GAMARRA HEALTHCARE CENTER S.A.C."/>
    <x:s v="94434"/>
    <x:x v="10"/>
    <x:n v="1"/>
    <x:s v="PRECISA"/>
    <x:s v="INSTITUTO MEDICO QUIRURGICO AREQUIPA S.A"/>
    <x:s v="INSTITUTO MEDICO QUIRURGICO AREQUIPA S.A"/>
    <x:s v="L.CENTRO"/>
    <x:s v="ACABRERA"/>
    <x:n v="1050.85"/>
    <x:s v="LN. CIRUGIA"/>
    <x:s v="CIAS. DE SEGURO"/>
    <x:s v="CENTRO"/>
    <x:m/>
    <x:m/>
    <x:m/>
  </x:r>
  <x:r>
    <x:d v="2026-09-29T00:00:00Z"/>
    <x:x v="3"/>
    <x:s v="108457"/>
    <x:s v="FA"/>
    <x:s v="640"/>
    <x:s v="CO"/>
    <x:s v="FA-640"/>
    <x:s v="SIFUENTES AYVAR MIGUEL GUSTAVO"/>
    <x:s v="09116590"/>
    <x:m/>
    <x:m/>
    <x:s v="CRISTINA"/>
    <x:s v="0074332"/>
    <x:s v="986900490"/>
    <x:s v="GRUPO MEDICO INTEGRAL SOCIEDAD ANONIMA CERRADA"/>
    <x:s v="94468"/>
    <x:x v="10"/>
    <x:n v="1"/>
    <x:s v="PRECISA"/>
    <x:s v="INSTITUTO MEDICO QUIRURGICO AREQUIPA S.A"/>
    <x:s v="INSTITUTO MEDICO QUIRURGICO AREQUIPA S.A"/>
    <x:s v="L.CENTRO"/>
    <x:s v="ACABRERA"/>
    <x:n v="762.71"/>
    <x:s v="LN. CIRUGIA"/>
    <x:s v="CIAS. DE SEGURO"/>
    <x:s v="CENTRO"/>
    <x:m/>
    <x:m/>
    <x:m/>
  </x:r>
  <x:r>
    <x:d v="2026-09-29T00:00:00Z"/>
    <x:x v="3"/>
    <x:s v="108457"/>
    <x:s v="FA"/>
    <x:s v="640"/>
    <x:s v="CO"/>
    <x:s v="FA-640"/>
    <x:s v="SIFUENTES AYVAR MIGUEL GUSTAVO"/>
    <x:s v="09116590"/>
    <x:m/>
    <x:m/>
    <x:s v="CRISTINA"/>
    <x:s v="0074332"/>
    <x:s v="986900490"/>
    <x:s v="GRUPO MEDICO INTEGRAL SOCIEDAD ANONIMA CERRADA"/>
    <x:s v="94468"/>
    <x:x v="9"/>
    <x:n v="1"/>
    <x:s v="PRECISA"/>
    <x:s v="INSTITUTO MEDICO QUIRURGICO AREQUIPA S.A"/>
    <x:s v="INSTITUTO MEDICO QUIRURGICO AREQUIPA S.A"/>
    <x:s v="L.CENTRO"/>
    <x:s v="ACABRERA"/>
    <x:n v="0"/>
    <x:s v="LN. CIRUGIA"/>
    <x:s v="CIAS. DE SEGURO"/>
    <x:s v="CENTRO"/>
    <x:m/>
    <x:m/>
    <x:m/>
  </x:r>
  <x:r>
    <x:d v="2026-09-29T00:00:00Z"/>
    <x:x v="3"/>
    <x:s v="108460"/>
    <x:s v="FA"/>
    <x:s v="641"/>
    <x:s v="CO"/>
    <x:s v="FA-641"/>
    <x:s v="GIRON OSORIO JESUS ABILENE"/>
    <x:s v="15217255"/>
    <x:m/>
    <x:m/>
    <x:s v="CRISTINA"/>
    <x:s v="0074474"/>
    <x:s v="991914556"/>
    <x:s v="EMPRESA DE TRANSPORTES Y SERVICIOS EL CASHI S.A.C."/>
    <x:s v="94516"/>
    <x:x v="1"/>
    <x:n v="1"/>
    <x:s v="PRECISA"/>
    <x:s v="INSTITUTO MEDICO QUIRURGICO AREQUIPA S.A"/>
    <x:s v="INSTITUTO MEDICO QUIRURGICO AREQUIPA S.A"/>
    <x:s v="L.CENTRO"/>
    <x:s v="ACABRERA"/>
    <x:n v="135.59"/>
    <x:s v="LN. EXAMENES"/>
    <x:s v="CIAS. DE SEGURO"/>
    <x:s v="CENTRO"/>
    <x:m/>
    <x:m/>
    <x:n v="30"/>
  </x:r>
  <x:r>
    <x:d v="2026-09-29T00:00:00Z"/>
    <x:x v="3"/>
    <x:s v="2499"/>
    <x:s v="NC"/>
    <x:s v="641"/>
    <x:s v="CR"/>
    <x:s v="NC-641"/>
    <x:s v="GIRON OSORIO JESUS ABILENE"/>
    <x:s v="15217255"/>
    <x:m/>
    <x:m/>
    <x:s v="CR"/>
    <x:s v="0074474"/>
    <x:s v="991914556"/>
    <x:s v="EMPRESA DE TRANSPORTES Y SERVICIOS EL CASHI S.A.C."/>
    <x:s v="94516"/>
    <x:x v="1"/>
    <x:n v="1"/>
    <x:s v="PRECISA"/>
    <x:s v="INSTITUTO MEDICO QUIRURGICO AREQUIPA S.A"/>
    <x:s v="INSTITUTO MEDICO QUIRURGICO AREQUIPA S.A"/>
    <x:s v="L.CENTRO"/>
    <x:s v="ACABRERA"/>
    <x:n v="-135.59"/>
    <x:s v="LN. EXAMENES"/>
    <x:s v="CIAS. DE SEGURO"/>
    <x:s v="CENTRO"/>
    <x:m/>
    <x:m/>
    <x:n v="30"/>
  </x:r>
  <x:r>
    <x:d v="2026-09-29T00:00:00Z"/>
    <x:x v="3"/>
    <x:s v="108461"/>
    <x:s v="BO"/>
    <x:s v="6579"/>
    <x:s v="CO"/>
    <x:s v="BO-6579"/>
    <x:s v="PENAS CARBONEL YVAN"/>
    <x:s v="72602441"/>
    <x:s v="RAMIREZ ORBE JOSÉ LUIS"/>
    <x:s v="HOSPITAL DE LA POLICIA"/>
    <x:s v="CRISTINA"/>
    <x:s v="0074471"/>
    <x:s v="994042823"/>
    <x:s v="PENAS CARBONEL YVAN"/>
    <x:s v="94511"/>
    <x:x v="12"/>
    <x:n v="1"/>
    <x:s v="PRECISA"/>
    <x:s v="INSTITUTO MEDICO QUIRURGICO AREQUIPA S.A"/>
    <x:s v="INSTITUTO MEDICO QUIRURGICO AREQUIPA S.A"/>
    <x:s v="L.CENTRO"/>
    <x:s v="ACABRERA"/>
    <x:n v="152.54"/>
    <x:s v="LN. EXAMENES"/>
    <x:s v="CIAS. DE SEGURO"/>
    <x:s v="CENTRO"/>
    <x:n v="901918745"/>
    <x:m/>
    <x:n v="30"/>
  </x:r>
  <x:r>
    <x:d v="2026-09-30T00:00:00Z"/>
    <x:x v="3"/>
    <x:s v="108555"/>
    <x:s v="FA"/>
    <x:s v="642"/>
    <x:s v="CO"/>
    <x:s v="FA-642"/>
    <x:s v="CHILCA CORCINA ALEJANDRA VICTORIA"/>
    <x:s v="33336194"/>
    <x:m/>
    <x:m/>
    <x:s v="CRISTINA"/>
    <x:s v="0074541"/>
    <x:s v="959586293"/>
    <x:s v="CORPORACION EMPRESARIAL CREATIV3 PUBLICIDAD &amp; MARKETING E.I.R.L."/>
    <x:s v="94606"/>
    <x:x v="2"/>
    <x:n v="1"/>
    <x:s v="PRECISA"/>
    <x:s v="INSTITUTO MEDICO QUIRURGICO AREQUIPA S.A"/>
    <x:s v="INSTITUTO MEDICO QUIRURGICO AREQUIPA S.A"/>
    <x:s v="L.CENTRO"/>
    <x:s v="ACABRERA"/>
    <x:n v="186.44"/>
    <x:s v="LN. EXAMENES"/>
    <x:s v="CIAS. DE SEGURO"/>
    <x:s v="CENTRO"/>
    <x:m/>
    <x:m/>
    <x:n v="50"/>
  </x:r>
  <x:r>
    <x:d v="2026-09-30T00:00:00Z"/>
    <x:x v="3"/>
    <x:s v="108553"/>
    <x:s v="BO"/>
    <x:s v="5366"/>
    <x:s v="CO"/>
    <x:s v="BO-5366"/>
    <x:s v="VEGAZO LEON FRANCISCO JAVIER"/>
    <x:s v="43385399"/>
    <x:m/>
    <x:m/>
    <x:s v="CRISTINA"/>
    <x:s v="0068862"/>
    <x:s v="968150435"/>
    <x:s v="VEGAZO LEON FRANCISCO JAVIER"/>
    <x:s v="94597"/>
    <x:x v="4"/>
    <x:n v="1"/>
    <x:s v="PRECISA"/>
    <x:s v="INSTITUTO MEDICO QUIRURGICO AREQUIPA S.A"/>
    <x:s v="INSTITUTO MEDICO QUIRURGICO AREQUIPA S.A"/>
    <x:s v="L.NORTE"/>
    <x:s v="AALARCON"/>
    <x:n v="135.59"/>
    <x:s v="LN. EXAMENES"/>
    <x:s v="CIAS. DE SEGURO"/>
    <x:s v="NORTE"/>
    <x:m/>
    <x:m/>
    <x:n v="30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3" firstHeaderRow="0" firstDataRow="1" firstDataCol="1" rowPageCount="1" colPageCount="1"/>
  <pivotFields count="30">
    <pivotField numFmtId="14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5">
        <item x="21"/>
        <item x="7"/>
        <item x="4"/>
        <item x="40"/>
        <item x="25"/>
        <item x="9"/>
        <item x="34"/>
        <item x="23"/>
        <item x="24"/>
        <item x="29"/>
        <item x="37"/>
        <item x="36"/>
        <item x="1"/>
        <item x="15"/>
        <item x="28"/>
        <item x="41"/>
        <item x="10"/>
        <item x="6"/>
        <item x="18"/>
        <item x="16"/>
        <item x="20"/>
        <item x="30"/>
        <item x="8"/>
        <item x="39"/>
        <item x="31"/>
        <item x="35"/>
        <item x="0"/>
        <item x="2"/>
        <item x="42"/>
        <item x="43"/>
        <item x="38"/>
        <item x="17"/>
        <item x="5"/>
        <item x="27"/>
        <item x="14"/>
        <item x="26"/>
        <item x="32"/>
        <item x="19"/>
        <item x="12"/>
        <item x="3"/>
        <item x="13"/>
        <item x="22"/>
        <item x="3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0">
    <i>
      <x v="16"/>
    </i>
    <i>
      <x v="12"/>
    </i>
    <i>
      <x v="27"/>
    </i>
    <i>
      <x v="2"/>
    </i>
    <i>
      <x v="38"/>
    </i>
    <i>
      <x v="26"/>
    </i>
    <i>
      <x v="1"/>
    </i>
    <i>
      <x v="22"/>
    </i>
    <i>
      <x v="23"/>
    </i>
    <i>
      <x v="7"/>
    </i>
    <i>
      <x/>
    </i>
    <i>
      <x v="15"/>
    </i>
    <i>
      <x v="11"/>
    </i>
    <i>
      <x v="34"/>
    </i>
    <i>
      <x v="41"/>
    </i>
    <i>
      <x v="39"/>
    </i>
    <i>
      <x v="32"/>
    </i>
    <i>
      <x v="8"/>
    </i>
    <i>
      <x v="13"/>
    </i>
    <i>
      <x v="29"/>
    </i>
    <i>
      <x v="28"/>
    </i>
    <i>
      <x v="17"/>
    </i>
    <i>
      <x v="42"/>
    </i>
    <i>
      <x v="20"/>
    </i>
    <i>
      <x v="31"/>
    </i>
    <i>
      <x v="18"/>
    </i>
    <i>
      <x v="19"/>
    </i>
    <i>
      <x v="37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3" hier="-1"/>
  </pageFields>
  <dataFields count="2">
    <dataField name="S/. Imp." fld="23" baseField="0" baseItem="0" numFmtId="44"/>
    <dataField name="# Cant." fld="16" subtotal="count" baseField="0" baseItem="0"/>
  </dataFields>
  <formats count="2">
    <format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édicos" displayName="Médicos" ref="A1:AB917" totalsRowShown="0">
  <autoFilter ref="A1:AB917" xr:uid="{00000000-0009-0000-0100-000003000000}"/>
  <tableColumns count="28">
    <tableColumn id="1" xr3:uid="{00000000-0010-0000-0000-000001000000}" name="FECHA" dataDxfId="127"/>
    <tableColumn id="2" xr3:uid="{00000000-0010-0000-0000-000002000000}" name="INVNUM" dataDxfId="26"/>
    <tableColumn id="3" xr3:uid="{00000000-0010-0000-0000-000003000000}" name="COMPROBANTE" dataDxfId="25"/>
    <tableColumn id="4" xr3:uid="{00000000-0010-0000-0000-000004000000}" name="FACTURA" dataDxfId="24"/>
    <tableColumn id="5" xr3:uid="{00000000-0010-0000-0000-000005000000}" name="TIPO PAGO" dataDxfId="23"/>
    <tableColumn id="6" xr3:uid="{00000000-0010-0000-0000-000006000000}" name="# DOC" dataDxfId="22"/>
    <tableColumn id="7" xr3:uid="{00000000-0010-0000-0000-000007000000}" name="PACIENTE" dataDxfId="21"/>
    <tableColumn id="8" xr3:uid="{00000000-0010-0000-0000-000008000000}" name="DNI" dataDxfId="20"/>
    <tableColumn id="9" xr3:uid="{00000000-0010-0000-0000-000009000000}" name="MEDICO" dataDxfId="19"/>
    <tableColumn id="10" xr3:uid="{00000000-0010-0000-0000-00000A000000}" name="INSTITUCIÓN" dataDxfId="18"/>
    <tableColumn id="11" xr3:uid="{00000000-0010-0000-0000-00000B000000}" name="CARTERA" dataDxfId="17"/>
    <tableColumn id="12" xr3:uid="{00000000-0010-0000-0000-00000C000000}" name="HISTORIA" dataDxfId="16"/>
    <tableColumn id="13" xr3:uid="{00000000-0010-0000-0000-00000D000000}" name="TELEFONO" dataDxfId="15"/>
    <tableColumn id="14" xr3:uid="{00000000-0010-0000-0000-00000E000000}" name="RAZON SOCIAL" dataDxfId="14"/>
    <tableColumn id="15" xr3:uid="{00000000-0010-0000-0000-00000F000000}" name="PREFACTURA" dataDxfId="13"/>
    <tableColumn id="16" xr3:uid="{00000000-0010-0000-0000-000010000000}" name="DESCRIPCION" dataDxfId="12"/>
    <tableColumn id="17" xr3:uid="{00000000-0010-0000-0000-000011000000}" name="CANTIDAD" dataDxfId="11"/>
    <tableColumn id="18" xr3:uid="{00000000-0010-0000-0000-000012000000}" name="DESCRIP PLAN" dataDxfId="10"/>
    <tableColumn id="19" xr3:uid="{00000000-0010-0000-0000-000013000000}" name="CONTRATANTE" dataDxfId="9"/>
    <tableColumn id="20" xr3:uid="{00000000-0010-0000-0000-000014000000}" name="ASEGURADORA" dataDxfId="8"/>
    <tableColumn id="21" xr3:uid="{00000000-0010-0000-0000-000015000000}" name="SEDEXX" dataDxfId="7"/>
    <tableColumn id="22" xr3:uid="{00000000-0010-0000-0000-000016000000}" name="FACTURADOR" dataDxfId="6"/>
    <tableColumn id="23" xr3:uid="{00000000-0010-0000-0000-000017000000}" name="FAC TOTAL" dataDxfId="5"/>
    <tableColumn id="24" xr3:uid="{00000000-0010-0000-0000-000018000000}" name="CENTRO_COSTO" dataDxfId="4"/>
    <tableColumn id="25" xr3:uid="{00000000-0010-0000-0000-000019000000}" name="CONVENIO" dataDxfId="3"/>
    <tableColumn id="26" xr3:uid="{00000000-0010-0000-0000-00001A000000}" name="SEDE" dataDxfId="2"/>
    <tableColumn id="27" xr3:uid="{00000000-0010-0000-0000-00001B000000}" name="CELULAR" dataDxfId="1"/>
    <tableColumn id="28" xr3:uid="{00000000-0010-0000-0000-00001C000000}" name="CUENTA BANCARIA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entas1" displayName="Cuentas1" ref="A1:G308" totalsRowShown="0">
  <tableColumns count="7">
    <tableColumn id="1" xr3:uid="{00000000-0010-0000-0100-000001000000}" name="Médico" dataDxfId="126"/>
    <tableColumn id="2" xr3:uid="{00000000-0010-0000-0100-000002000000}" name="Celular"/>
    <tableColumn id="3" xr3:uid="{00000000-0010-0000-0100-000003000000}" name="Banco" dataDxfId="125"/>
    <tableColumn id="4" xr3:uid="{00000000-0010-0000-0100-000004000000}" name="# Cuenta" dataDxfId="124"/>
    <tableColumn id="5" xr3:uid="{00000000-0010-0000-0100-000005000000}" name="# CCI" dataDxfId="123"/>
    <tableColumn id="6" xr3:uid="{00000000-0010-0000-0100-000006000000}" name="Institución" dataDxfId="122"/>
    <tableColumn id="7" xr3:uid="{00000000-0010-0000-0100-000007000000}" name="Columna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Bonos2" displayName="Bonos2" ref="A1:B18" totalsRowShown="0">
  <autoFilter ref="A1:B18" xr:uid="{00000000-0009-0000-0100-000007000000}"/>
  <tableColumns count="2">
    <tableColumn id="1" xr3:uid="{00000000-0010-0000-0200-000001000000}" name="Servicios" dataDxfId="121"/>
    <tableColumn id="2" xr3:uid="{00000000-0010-0000-0200-000002000000}" name="Precio Bon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s_Precisa" displayName="Ventas_Precisa" ref="A1:AD917" totalsRowShown="0">
  <sortState xmlns:xlrd2="http://schemas.microsoft.com/office/spreadsheetml/2017/richdata2" ref="A2:AD1">
    <sortCondition ref="A1"/>
  </sortState>
  <tableColumns count="30">
    <tableColumn id="1" xr3:uid="{00000000-0010-0000-0300-000001000000}" name="FECHA" dataDxfId="120"/>
    <tableColumn id="29" xr3:uid="{00000000-0010-0000-0300-00001D000000}" name="MES" dataDxfId="119"/>
    <tableColumn id="2" xr3:uid="{00000000-0010-0000-0300-000002000000}" name="INVNUM" dataDxfId="118"/>
    <tableColumn id="3" xr3:uid="{00000000-0010-0000-0300-000003000000}" name="COMPROBANTE" dataDxfId="117"/>
    <tableColumn id="4" xr3:uid="{00000000-0010-0000-0300-000004000000}" name="FACTURA" dataDxfId="116"/>
    <tableColumn id="5" xr3:uid="{00000000-0010-0000-0300-000005000000}" name="TIPO PAGO" dataDxfId="115"/>
    <tableColumn id="6" xr3:uid="{00000000-0010-0000-0300-000006000000}" name="# DOC" dataDxfId="114"/>
    <tableColumn id="7" xr3:uid="{00000000-0010-0000-0300-000007000000}" name="PACIENTE" dataDxfId="113"/>
    <tableColumn id="9" xr3:uid="{00000000-0010-0000-0300-000009000000}" name="DNI" dataDxfId="112"/>
    <tableColumn id="8" xr3:uid="{00000000-0010-0000-0300-000008000000}" name="MEDICO" dataDxfId="111"/>
    <tableColumn id="25" xr3:uid="{00000000-0010-0000-0300-000019000000}" name="INSTITUCIÓN" dataDxfId="110"/>
    <tableColumn id="26" xr3:uid="{00000000-0010-0000-0300-00001A000000}" name="CARTERA" dataDxfId="109"/>
    <tableColumn id="10" xr3:uid="{00000000-0010-0000-0300-00000A000000}" name="HISTORIA" dataDxfId="108"/>
    <tableColumn id="11" xr3:uid="{00000000-0010-0000-0300-00000B000000}" name="TELEFONO" dataDxfId="107"/>
    <tableColumn id="12" xr3:uid="{00000000-0010-0000-0300-00000C000000}" name="RAZON SOCIAL" dataDxfId="106"/>
    <tableColumn id="13" xr3:uid="{00000000-0010-0000-0300-00000D000000}" name="PREFACTURA" dataDxfId="105"/>
    <tableColumn id="14" xr3:uid="{00000000-0010-0000-0300-00000E000000}" name="DESCRIPCION" dataDxfId="104"/>
    <tableColumn id="15" xr3:uid="{00000000-0010-0000-0300-00000F000000}" name="CANTIDAD"/>
    <tableColumn id="16" xr3:uid="{00000000-0010-0000-0300-000010000000}" name="DESCRIP PLAN" dataDxfId="103"/>
    <tableColumn id="17" xr3:uid="{00000000-0010-0000-0300-000011000000}" name="CONTRATANTE" dataDxfId="102"/>
    <tableColumn id="18" xr3:uid="{00000000-0010-0000-0300-000012000000}" name="ASEGURADORA" dataDxfId="101"/>
    <tableColumn id="19" xr3:uid="{00000000-0010-0000-0300-000013000000}" name="SEDEXX" dataDxfId="100"/>
    <tableColumn id="20" xr3:uid="{00000000-0010-0000-0300-000014000000}" name="FACTURADOR" dataDxfId="99"/>
    <tableColumn id="21" xr3:uid="{00000000-0010-0000-0300-000015000000}" name="FAC TOTAL"/>
    <tableColumn id="22" xr3:uid="{00000000-0010-0000-0300-000016000000}" name="CENTRO_COSTO" dataDxfId="98"/>
    <tableColumn id="23" xr3:uid="{00000000-0010-0000-0300-000017000000}" name="CONVENIO" dataDxfId="97"/>
    <tableColumn id="24" xr3:uid="{00000000-0010-0000-0300-000018000000}" name="SEDE" dataDxfId="96"/>
    <tableColumn id="27" xr3:uid="{00000000-0010-0000-0300-00001B000000}" name="CELULAR"/>
    <tableColumn id="28" xr3:uid="{00000000-0010-0000-0300-00001C000000}" name="CUENTA BANCARIA" dataDxfId="95"/>
    <tableColumn id="30" xr3:uid="{00000000-0010-0000-0300-00001E000000}" name="Bono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7:C106" totalsRowShown="0">
  <tableColumns count="3">
    <tableColumn id="1" xr3:uid="{00000000-0010-0000-0400-000001000000}" name="MEDICO" dataDxfId="94"/>
    <tableColumn id="2" xr3:uid="{00000000-0010-0000-0400-000002000000}" name="FACTURACIÓN" dataDxfId="93">
      <calculatedColumnFormula>+IF($B$4="TODOS",SUMIFS(Base_Precisa!X:X,Base_Precisa!J:J,Cálculo_Categorías!A8),SUMIFS(Base_Precisa!X:X,Base_Precisa!J:J,Cálculo_Categorías!A8,Base_Precisa!B:B,Cálculo_Categorías!$B$4))</calculatedColumnFormula>
    </tableColumn>
    <tableColumn id="3" xr3:uid="{00000000-0010-0000-0400-000003000000}" name="CATEGORÍA" dataDxfId="92">
      <calculatedColumnFormula array="1">+_xlfn.IFS(Tabla5[[#This Row],[FACTURACIÓN]]&lt;500,"A",Tabla5[[#This Row],[FACTURACIÓN]]&lt;1000,"AA",Tabla5[[#This Row],[FACTURACIÓN]]&gt;=1000,"AAA")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a9" displayName="Tabla9" ref="E7:G45" totalsRowShown="0">
  <tableColumns count="3">
    <tableColumn id="1" xr3:uid="{00000000-0010-0000-0500-000001000000}" name="INSTITUCIÓN" dataDxfId="91"/>
    <tableColumn id="2" xr3:uid="{00000000-0010-0000-0500-000002000000}" name="FACTURACIÓN">
      <calculatedColumnFormula>+IF($F$4="TODOS",SUMIFS(Base_Precisa!X:X,Base_Precisa!K:K,Cálculo_Categorías!E8),SUMIFS(Base_Precisa!X:X,Base_Precisa!K:K,Cálculo_Categorías!E8,Base_Precisa!B:B,Cálculo_Categorías!$F$4))</calculatedColumnFormula>
    </tableColumn>
    <tableColumn id="3" xr3:uid="{00000000-0010-0000-0500-000003000000}" name="CATEGORÍA" dataDxfId="90">
      <calculatedColumnFormula array="1">+_xlfn.IFS(Tabla9[[#This Row],[FACTURACIÓN]]&lt;200,"Sin Categoría",Tabla9[[#This Row],[FACTURACIÓN]]&lt;500,"A",Tabla9[[#This Row],[FACTURACIÓN]]&lt;1000,"AA",Tabla9[[#This Row],[FACTURACIÓN]]&gt;=1000,"AAA")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a4" displayName="Tabla4" ref="F7:H48" totalsRowShown="0" headerRowBorderDxfId="89">
  <autoFilter ref="F7:H48" xr:uid="{00000000-0009-0000-0100-000004000000}"/>
  <sortState xmlns:xlrd2="http://schemas.microsoft.com/office/spreadsheetml/2017/richdata2" ref="F8:H34">
    <sortCondition descending="1" ref="G7:G34"/>
  </sortState>
  <tableColumns count="3">
    <tableColumn id="1" xr3:uid="{00000000-0010-0000-0600-000001000000}" name="MEDICO" dataDxfId="88"/>
    <tableColumn id="2" xr3:uid="{00000000-0010-0000-0600-000002000000}" name="FACTURACIÓN" dataDxfId="87"/>
    <tableColumn id="3" xr3:uid="{00000000-0010-0000-0600-000003000000}" name="CATEGORÍA" dataDxfId="86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a6" displayName="Tabla6" ref="K7:M68" totalsRowShown="0" headerRowBorderDxfId="85">
  <autoFilter ref="K7:M68" xr:uid="{00000000-0009-0000-0100-000006000000}"/>
  <sortState xmlns:xlrd2="http://schemas.microsoft.com/office/spreadsheetml/2017/richdata2" ref="K8:M68">
    <sortCondition descending="1" ref="L7:L68"/>
  </sortState>
  <tableColumns count="3">
    <tableColumn id="1" xr3:uid="{00000000-0010-0000-0700-000001000000}" name="MEDICO" dataDxfId="84"/>
    <tableColumn id="2" xr3:uid="{00000000-0010-0000-0700-000002000000}" name="FACTURACIÓN" dataDxfId="83"/>
    <tableColumn id="3" xr3:uid="{00000000-0010-0000-0700-000003000000}" name="CATEGORÍA" dataDxfId="82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a8" displayName="Tabla8" ref="P8:R41" totalsRowShown="0" headerRowBorderDxfId="81">
  <autoFilter ref="P8:R41" xr:uid="{00000000-0009-0000-0100-000008000000}"/>
  <sortState xmlns:xlrd2="http://schemas.microsoft.com/office/spreadsheetml/2017/richdata2" ref="P9:R41">
    <sortCondition descending="1" ref="Q8:Q41"/>
  </sortState>
  <tableColumns count="3">
    <tableColumn id="1" xr3:uid="{00000000-0010-0000-0800-000001000000}" name="MEDICO" dataDxfId="80"/>
    <tableColumn id="2" xr3:uid="{00000000-0010-0000-0800-000002000000}" name="FACTURACIÓN" dataDxfId="79"/>
    <tableColumn id="3" xr3:uid="{00000000-0010-0000-0800-000003000000}" name="CATEGORÍA" dataDxfId="78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F2:I6" totalsRowShown="0" headerRowBorderDxfId="77">
  <autoFilter ref="F2:I6" xr:uid="{00000000-0009-0000-0100-00000A000000}"/>
  <tableColumns count="4">
    <tableColumn id="1" xr3:uid="{00000000-0010-0000-0900-000001000000}" name="DETALLE" dataDxfId="76"/>
    <tableColumn id="2" xr3:uid="{00000000-0010-0000-0900-000002000000}" name="S/." dataDxfId="75"/>
    <tableColumn id="3" xr3:uid="{00000000-0010-0000-0900-000003000000}" name="#" dataDxfId="74"/>
    <tableColumn id="4" xr3:uid="{00000000-0010-0000-0900-000004000000}" name="%" dataDxfId="73">
      <calculatedColumnFormula>H3/$H$6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1" displayName="Tabla11" ref="K2:N6" totalsRowShown="0" headerRowBorderDxfId="72">
  <autoFilter ref="K2:N6" xr:uid="{00000000-0009-0000-0100-00000B000000}"/>
  <tableColumns count="4">
    <tableColumn id="1" xr3:uid="{00000000-0010-0000-0A00-000001000000}" name="DETALLE" dataDxfId="71"/>
    <tableColumn id="2" xr3:uid="{00000000-0010-0000-0A00-000002000000}" name="S/." dataDxfId="70"/>
    <tableColumn id="3" xr3:uid="{00000000-0010-0000-0A00-000003000000}" name="#" dataDxfId="69"/>
    <tableColumn id="4" xr3:uid="{00000000-0010-0000-0A00-000004000000}" name="%" dataDxfId="68">
      <calculatedColumnFormula>M3/$M$6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12" displayName="Tabla12" ref="P2:S7" totalsRowShown="0" dataDxfId="66" headerRowBorderDxfId="67">
  <autoFilter ref="P2:S7" xr:uid="{00000000-0009-0000-0100-00000C000000}"/>
  <tableColumns count="4">
    <tableColumn id="1" xr3:uid="{00000000-0010-0000-0B00-000001000000}" name="DETALLE" dataDxfId="65"/>
    <tableColumn id="2" xr3:uid="{00000000-0010-0000-0B00-000002000000}" name="S/." dataDxfId="64"/>
    <tableColumn id="3" xr3:uid="{00000000-0010-0000-0B00-000003000000}" name="#" dataDxfId="63"/>
    <tableColumn id="4" xr3:uid="{00000000-0010-0000-0B00-000004000000}" name="%" dataDxfId="62">
      <calculatedColumnFormula>R3/$R$7</calculatedColumnFormula>
    </tableColumn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a1020" displayName="Tabla1020" ref="A2:D6" totalsRowShown="0" headerRowBorderDxfId="61">
  <autoFilter ref="A2:D6" xr:uid="{00000000-0009-0000-0100-000013000000}"/>
  <tableColumns count="4">
    <tableColumn id="1" xr3:uid="{00000000-0010-0000-0C00-000001000000}" name="DETALLE" dataDxfId="60"/>
    <tableColumn id="2" xr3:uid="{00000000-0010-0000-0C00-000002000000}" name="S/." dataDxfId="59"/>
    <tableColumn id="3" xr3:uid="{00000000-0010-0000-0C00-000003000000}" name="#" dataDxfId="58"/>
    <tableColumn id="4" xr3:uid="{00000000-0010-0000-0C00-000004000000}" name="%" dataDxfId="57">
      <calculatedColumnFormula>C3/$H$6</calculatedColumnFormula>
    </tableColumn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Tabla421" displayName="Tabla421" ref="A7:C17" totalsRowShown="0" headerRowBorderDxfId="56">
  <autoFilter ref="A7:C17" xr:uid="{00000000-0009-0000-0100-000014000000}"/>
  <sortState xmlns:xlrd2="http://schemas.microsoft.com/office/spreadsheetml/2017/richdata2" ref="A8:C8">
    <sortCondition descending="1" ref="B7:B8"/>
  </sortState>
  <tableColumns count="3">
    <tableColumn id="1" xr3:uid="{00000000-0010-0000-0D00-000001000000}" name="MEDICO" dataDxfId="55"/>
    <tableColumn id="2" xr3:uid="{00000000-0010-0000-0D00-000002000000}" name="FACTURACIÓN"/>
    <tableColumn id="3" xr3:uid="{00000000-0010-0000-0D00-000003000000}" name="CATEGORÍA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E000000}" name="Tabla414" displayName="Tabla414" ref="A8:C20" totalsRowShown="0" headerRowBorderDxfId="54">
  <autoFilter ref="A8:C20" xr:uid="{00000000-0009-0000-0100-00000D000000}"/>
  <sortState xmlns:xlrd2="http://schemas.microsoft.com/office/spreadsheetml/2017/richdata2" ref="A9:C20">
    <sortCondition descending="1" ref="B8:B20"/>
  </sortState>
  <tableColumns count="3">
    <tableColumn id="1" xr3:uid="{00000000-0010-0000-0E00-000001000000}" name="MEDICO" dataDxfId="53"/>
    <tableColumn id="2" xr3:uid="{00000000-0010-0000-0E00-000002000000}" name="FACTURACIÓN" dataDxfId="52"/>
    <tableColumn id="3" xr3:uid="{00000000-0010-0000-0E00-000003000000}" name="CATEGORÍA" dataDxfId="51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F000000}" name="Tabla1015" displayName="Tabla1015" ref="A2:D7" totalsRowShown="0" headerRowBorderDxfId="50">
  <autoFilter ref="A2:D7" xr:uid="{00000000-0009-0000-0100-00000E000000}"/>
  <tableColumns count="4">
    <tableColumn id="1" xr3:uid="{00000000-0010-0000-0F00-000001000000}" name="DETALLE" dataDxfId="49"/>
    <tableColumn id="2" xr3:uid="{00000000-0010-0000-0F00-000002000000}" name="S/." dataDxfId="48"/>
    <tableColumn id="3" xr3:uid="{00000000-0010-0000-0F00-000003000000}" name="#" dataDxfId="47"/>
    <tableColumn id="4" xr3:uid="{00000000-0010-0000-0F00-000004000000}" name="%" dataDxfId="46">
      <calculatedColumnFormula>C3/$C$7</calculatedColumnFormula>
    </tableColumn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Tabla41416" displayName="Tabla41416" ref="F8:H37" totalsRowShown="0" headerRowBorderDxfId="45">
  <autoFilter ref="F8:H37" xr:uid="{00000000-0009-0000-0100-00000F000000}"/>
  <sortState xmlns:xlrd2="http://schemas.microsoft.com/office/spreadsheetml/2017/richdata2" ref="F9:H37">
    <sortCondition descending="1" ref="G8:G37"/>
  </sortState>
  <tableColumns count="3">
    <tableColumn id="1" xr3:uid="{00000000-0010-0000-1000-000001000000}" name="MEDICO" dataDxfId="44"/>
    <tableColumn id="2" xr3:uid="{00000000-0010-0000-1000-000002000000}" name="FACTURACIÓN" dataDxfId="43"/>
    <tableColumn id="3" xr3:uid="{00000000-0010-0000-1000-000003000000}" name="CATEGORÍA" dataDxfId="42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1000000}" name="Tabla101517" displayName="Tabla101517" ref="F2:I7" totalsRowShown="0" headerRowBorderDxfId="41">
  <autoFilter ref="F2:I7" xr:uid="{00000000-0009-0000-0100-000010000000}"/>
  <tableColumns count="4">
    <tableColumn id="1" xr3:uid="{00000000-0010-0000-1100-000001000000}" name="DETALLE" dataDxfId="40"/>
    <tableColumn id="2" xr3:uid="{00000000-0010-0000-1100-000002000000}" name="S/." dataDxfId="39"/>
    <tableColumn id="3" xr3:uid="{00000000-0010-0000-1100-000003000000}" name="#" dataDxfId="38"/>
    <tableColumn id="4" xr3:uid="{00000000-0010-0000-1100-000004000000}" name="%" dataDxfId="37">
      <calculatedColumnFormula>H3/$H$7</calculatedColumnFormula>
    </tableColumn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Tabla41418" displayName="Tabla41418" ref="K8:M25" totalsRowShown="0" headerRowBorderDxfId="36">
  <autoFilter ref="K8:M25" xr:uid="{00000000-0009-0000-0100-000011000000}"/>
  <sortState xmlns:xlrd2="http://schemas.microsoft.com/office/spreadsheetml/2017/richdata2" ref="K9:M25">
    <sortCondition descending="1" ref="L8:L25"/>
  </sortState>
  <tableColumns count="3">
    <tableColumn id="1" xr3:uid="{00000000-0010-0000-1200-000001000000}" name="MEDICO" dataDxfId="35"/>
    <tableColumn id="2" xr3:uid="{00000000-0010-0000-1200-000002000000}" name="FACTURACIÓN" dataDxfId="34"/>
    <tableColumn id="3" xr3:uid="{00000000-0010-0000-1200-000003000000}" name="CATEGORÍA" dataDxfId="33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Tabla101519" displayName="Tabla101519" ref="K2:N7" totalsRowShown="0" headerRowBorderDxfId="32">
  <autoFilter ref="K2:N7" xr:uid="{00000000-0009-0000-0100-000012000000}"/>
  <tableColumns count="4">
    <tableColumn id="1" xr3:uid="{00000000-0010-0000-1300-000001000000}" name="DETALLE" dataDxfId="31"/>
    <tableColumn id="2" xr3:uid="{00000000-0010-0000-1300-000002000000}" name="S/." dataDxfId="30"/>
    <tableColumn id="3" xr3:uid="{00000000-0010-0000-1300-000003000000}" name="#" dataDxfId="29"/>
    <tableColumn id="4" xr3:uid="{00000000-0010-0000-1300-000004000000}" name="%" dataDxfId="28">
      <calculatedColumnFormula>M3/$M$7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7"/>
  <sheetViews>
    <sheetView workbookViewId="0">
      <selection activeCell="I2" sqref="I2"/>
    </sheetView>
  </sheetViews>
  <sheetFormatPr baseColWidth="10" defaultRowHeight="14.4" x14ac:dyDescent="0.3"/>
  <cols>
    <col min="1" max="1" width="10.33203125" customWidth="1"/>
    <col min="2" max="2" width="10.21875" customWidth="1"/>
    <col min="3" max="3" width="16.21875" customWidth="1"/>
    <col min="4" max="4" width="10.88671875" customWidth="1"/>
    <col min="5" max="5" width="12.33203125" customWidth="1"/>
    <col min="6" max="6" width="9.21875" customWidth="1"/>
    <col min="7" max="7" width="43.44140625" customWidth="1"/>
    <col min="8" max="8" width="10" customWidth="1"/>
    <col min="9" max="9" width="40.88671875" customWidth="1"/>
    <col min="10" max="10" width="33.88671875" customWidth="1"/>
    <col min="11" max="11" width="10.77734375" customWidth="1"/>
    <col min="12" max="12" width="11.21875" customWidth="1"/>
    <col min="13" max="13" width="17.109375" customWidth="1"/>
    <col min="14" max="14" width="48.88671875" customWidth="1"/>
    <col min="15" max="15" width="14.109375" customWidth="1"/>
    <col min="16" max="16" width="41.33203125" customWidth="1"/>
    <col min="17" max="17" width="11.88671875" customWidth="1"/>
    <col min="18" max="18" width="15.33203125" customWidth="1"/>
    <col min="19" max="20" width="39.88671875" customWidth="1"/>
    <col min="21" max="21" width="9.77734375" customWidth="1"/>
    <col min="22" max="22" width="14.5546875" customWidth="1"/>
    <col min="23" max="23" width="12" customWidth="1"/>
    <col min="24" max="24" width="18.109375" customWidth="1"/>
    <col min="25" max="25" width="15.21875" customWidth="1"/>
    <col min="26" max="26" width="7.88671875" customWidth="1"/>
    <col min="27" max="27" width="10.6640625" customWidth="1"/>
    <col min="28" max="28" width="20.77734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>
        <v>46174</v>
      </c>
      <c r="B2" s="65" t="s">
        <v>28</v>
      </c>
      <c r="C2" s="65" t="s">
        <v>29</v>
      </c>
      <c r="D2" s="65" t="s">
        <v>30</v>
      </c>
      <c r="E2" s="65" t="s">
        <v>31</v>
      </c>
      <c r="F2" s="65" t="s">
        <v>32</v>
      </c>
      <c r="G2" s="65" t="s">
        <v>33</v>
      </c>
      <c r="H2" s="65" t="s">
        <v>34</v>
      </c>
      <c r="I2" s="65" t="s">
        <v>35</v>
      </c>
      <c r="J2" s="65" t="s">
        <v>36</v>
      </c>
      <c r="K2" s="65" t="s">
        <v>37</v>
      </c>
      <c r="L2" s="65" t="s">
        <v>38</v>
      </c>
      <c r="M2" s="65" t="s">
        <v>39</v>
      </c>
      <c r="N2" s="65" t="s">
        <v>33</v>
      </c>
      <c r="O2" s="65" t="s">
        <v>40</v>
      </c>
      <c r="P2" s="65" t="s">
        <v>41</v>
      </c>
      <c r="Q2" s="65">
        <v>1</v>
      </c>
      <c r="R2" s="65" t="s">
        <v>42</v>
      </c>
      <c r="S2" s="65" t="s">
        <v>43</v>
      </c>
      <c r="T2" s="65" t="s">
        <v>44</v>
      </c>
      <c r="U2" s="65" t="s">
        <v>45</v>
      </c>
      <c r="V2" s="65" t="s">
        <v>46</v>
      </c>
      <c r="W2" s="65">
        <v>186.44</v>
      </c>
      <c r="X2" s="65" t="s">
        <v>47</v>
      </c>
      <c r="Y2" s="65" t="s">
        <v>48</v>
      </c>
      <c r="Z2" s="65" t="s">
        <v>49</v>
      </c>
      <c r="AA2" s="65">
        <v>999996347</v>
      </c>
      <c r="AB2" s="65" t="s">
        <v>50</v>
      </c>
    </row>
    <row r="3" spans="1:28" x14ac:dyDescent="0.3">
      <c r="A3" s="1">
        <v>46174</v>
      </c>
      <c r="B3" s="65" t="s">
        <v>103</v>
      </c>
      <c r="C3" s="65" t="s">
        <v>29</v>
      </c>
      <c r="D3" s="65" t="s">
        <v>104</v>
      </c>
      <c r="E3" s="65" t="s">
        <v>31</v>
      </c>
      <c r="F3" s="65" t="s">
        <v>105</v>
      </c>
      <c r="G3" s="65" t="s">
        <v>106</v>
      </c>
      <c r="H3" s="65" t="s">
        <v>107</v>
      </c>
      <c r="I3" s="65" t="s">
        <v>96</v>
      </c>
      <c r="J3" s="65" t="s">
        <v>97</v>
      </c>
      <c r="K3" s="65" t="s">
        <v>37</v>
      </c>
      <c r="L3" s="65" t="s">
        <v>108</v>
      </c>
      <c r="M3" s="65" t="s">
        <v>109</v>
      </c>
      <c r="N3" s="65" t="s">
        <v>106</v>
      </c>
      <c r="O3" s="65" t="s">
        <v>110</v>
      </c>
      <c r="P3" s="65" t="s">
        <v>41</v>
      </c>
      <c r="Q3" s="65">
        <v>1</v>
      </c>
      <c r="R3" s="65" t="s">
        <v>42</v>
      </c>
      <c r="S3" s="65" t="s">
        <v>43</v>
      </c>
      <c r="T3" s="65" t="s">
        <v>44</v>
      </c>
      <c r="U3" s="65" t="s">
        <v>45</v>
      </c>
      <c r="V3" s="65" t="s">
        <v>60</v>
      </c>
      <c r="W3" s="65">
        <v>186.44</v>
      </c>
      <c r="X3" s="65" t="s">
        <v>47</v>
      </c>
      <c r="Y3" s="65" t="s">
        <v>48</v>
      </c>
      <c r="Z3" s="65" t="s">
        <v>49</v>
      </c>
      <c r="AA3" s="65">
        <v>964328569</v>
      </c>
      <c r="AB3" s="65" t="s">
        <v>102</v>
      </c>
    </row>
    <row r="4" spans="1:28" x14ac:dyDescent="0.3">
      <c r="A4" s="1">
        <v>46174</v>
      </c>
      <c r="B4" s="65" t="s">
        <v>82</v>
      </c>
      <c r="C4" s="65" t="s">
        <v>29</v>
      </c>
      <c r="D4" s="65" t="s">
        <v>83</v>
      </c>
      <c r="E4" s="65" t="s">
        <v>31</v>
      </c>
      <c r="F4" s="65" t="s">
        <v>84</v>
      </c>
      <c r="G4" s="65" t="s">
        <v>85</v>
      </c>
      <c r="H4" s="65" t="s">
        <v>86</v>
      </c>
      <c r="I4" s="65" t="s">
        <v>3385</v>
      </c>
      <c r="J4" s="65" t="s">
        <v>1891</v>
      </c>
      <c r="K4" s="65" t="s">
        <v>37</v>
      </c>
      <c r="L4" s="65" t="s">
        <v>87</v>
      </c>
      <c r="M4" s="65" t="s">
        <v>88</v>
      </c>
      <c r="N4" s="65" t="s">
        <v>85</v>
      </c>
      <c r="O4" s="65" t="s">
        <v>89</v>
      </c>
      <c r="P4" s="65" t="s">
        <v>90</v>
      </c>
      <c r="Q4" s="65">
        <v>1</v>
      </c>
      <c r="R4" s="65" t="s">
        <v>42</v>
      </c>
      <c r="S4" s="65" t="s">
        <v>43</v>
      </c>
      <c r="T4" s="65" t="s">
        <v>44</v>
      </c>
      <c r="U4" s="65" t="s">
        <v>45</v>
      </c>
      <c r="V4" s="65" t="s">
        <v>46</v>
      </c>
      <c r="W4" s="65">
        <v>135.59</v>
      </c>
      <c r="X4" s="65" t="s">
        <v>47</v>
      </c>
      <c r="Y4" s="65" t="s">
        <v>48</v>
      </c>
      <c r="Z4" s="65" t="s">
        <v>49</v>
      </c>
      <c r="AA4" s="65">
        <v>999421990</v>
      </c>
      <c r="AB4" s="65"/>
    </row>
    <row r="5" spans="1:28" x14ac:dyDescent="0.3">
      <c r="A5" s="1">
        <v>46174</v>
      </c>
      <c r="B5" s="65" t="s">
        <v>111</v>
      </c>
      <c r="C5" s="65" t="s">
        <v>29</v>
      </c>
      <c r="D5" s="65" t="s">
        <v>112</v>
      </c>
      <c r="E5" s="65" t="s">
        <v>31</v>
      </c>
      <c r="F5" s="65" t="s">
        <v>113</v>
      </c>
      <c r="G5" s="65" t="s">
        <v>114</v>
      </c>
      <c r="H5" s="65" t="s">
        <v>115</v>
      </c>
      <c r="I5" s="65" t="s">
        <v>116</v>
      </c>
      <c r="J5" s="65" t="s">
        <v>117</v>
      </c>
      <c r="K5" s="65" t="s">
        <v>37</v>
      </c>
      <c r="L5" s="65" t="s">
        <v>118</v>
      </c>
      <c r="M5" s="65" t="s">
        <v>119</v>
      </c>
      <c r="N5" s="65" t="s">
        <v>114</v>
      </c>
      <c r="O5" s="65" t="s">
        <v>120</v>
      </c>
      <c r="P5" s="65" t="s">
        <v>90</v>
      </c>
      <c r="Q5" s="65">
        <v>1</v>
      </c>
      <c r="R5" s="65" t="s">
        <v>42</v>
      </c>
      <c r="S5" s="65" t="s">
        <v>43</v>
      </c>
      <c r="T5" s="65" t="s">
        <v>44</v>
      </c>
      <c r="U5" s="65" t="s">
        <v>45</v>
      </c>
      <c r="V5" s="65" t="s">
        <v>60</v>
      </c>
      <c r="W5" s="65">
        <v>135.59</v>
      </c>
      <c r="X5" s="65" t="s">
        <v>47</v>
      </c>
      <c r="Y5" s="65" t="s">
        <v>48</v>
      </c>
      <c r="Z5" s="65" t="s">
        <v>49</v>
      </c>
      <c r="AA5" s="65">
        <v>945319366</v>
      </c>
      <c r="AB5" s="65" t="s">
        <v>121</v>
      </c>
    </row>
    <row r="6" spans="1:28" x14ac:dyDescent="0.3">
      <c r="A6" s="1">
        <v>46174</v>
      </c>
      <c r="B6" s="65" t="s">
        <v>131</v>
      </c>
      <c r="C6" s="65" t="s">
        <v>29</v>
      </c>
      <c r="D6" s="65" t="s">
        <v>132</v>
      </c>
      <c r="E6" s="65" t="s">
        <v>31</v>
      </c>
      <c r="F6" s="65" t="s">
        <v>133</v>
      </c>
      <c r="G6" s="65" t="s">
        <v>134</v>
      </c>
      <c r="H6" s="65" t="s">
        <v>135</v>
      </c>
      <c r="I6" s="65" t="s">
        <v>136</v>
      </c>
      <c r="J6" s="65" t="s">
        <v>137</v>
      </c>
      <c r="K6" s="65" t="s">
        <v>37</v>
      </c>
      <c r="L6" s="65" t="s">
        <v>138</v>
      </c>
      <c r="M6" s="65" t="s">
        <v>139</v>
      </c>
      <c r="N6" s="65" t="s">
        <v>134</v>
      </c>
      <c r="O6" s="65" t="s">
        <v>140</v>
      </c>
      <c r="P6" s="65" t="s">
        <v>90</v>
      </c>
      <c r="Q6" s="65">
        <v>1</v>
      </c>
      <c r="R6" s="65" t="s">
        <v>70</v>
      </c>
      <c r="S6" s="65" t="s">
        <v>43</v>
      </c>
      <c r="T6" s="65" t="s">
        <v>44</v>
      </c>
      <c r="U6" s="65" t="s">
        <v>71</v>
      </c>
      <c r="V6" s="65" t="s">
        <v>72</v>
      </c>
      <c r="W6" s="65">
        <v>135.59</v>
      </c>
      <c r="X6" s="65" t="s">
        <v>47</v>
      </c>
      <c r="Y6" s="65" t="s">
        <v>48</v>
      </c>
      <c r="Z6" s="65" t="s">
        <v>73</v>
      </c>
      <c r="AA6" s="65">
        <v>987407712</v>
      </c>
      <c r="AB6" s="65" t="s">
        <v>141</v>
      </c>
    </row>
    <row r="7" spans="1:28" x14ac:dyDescent="0.3">
      <c r="A7" s="1">
        <v>46174</v>
      </c>
      <c r="B7" s="65" t="s">
        <v>91</v>
      </c>
      <c r="C7" s="65" t="s">
        <v>29</v>
      </c>
      <c r="D7" s="65" t="s">
        <v>92</v>
      </c>
      <c r="E7" s="65" t="s">
        <v>31</v>
      </c>
      <c r="F7" s="65" t="s">
        <v>93</v>
      </c>
      <c r="G7" s="65" t="s">
        <v>94</v>
      </c>
      <c r="H7" s="65" t="s">
        <v>95</v>
      </c>
      <c r="I7" s="65" t="s">
        <v>96</v>
      </c>
      <c r="J7" s="65" t="s">
        <v>97</v>
      </c>
      <c r="K7" s="65" t="s">
        <v>37</v>
      </c>
      <c r="L7" s="65" t="s">
        <v>98</v>
      </c>
      <c r="M7" s="65" t="s">
        <v>99</v>
      </c>
      <c r="N7" s="65" t="s">
        <v>94</v>
      </c>
      <c r="O7" s="65" t="s">
        <v>100</v>
      </c>
      <c r="P7" s="65" t="s">
        <v>101</v>
      </c>
      <c r="Q7" s="65">
        <v>1</v>
      </c>
      <c r="R7" s="65" t="s">
        <v>42</v>
      </c>
      <c r="S7" s="65" t="s">
        <v>43</v>
      </c>
      <c r="T7" s="65" t="s">
        <v>44</v>
      </c>
      <c r="U7" s="65" t="s">
        <v>45</v>
      </c>
      <c r="V7" s="65" t="s">
        <v>60</v>
      </c>
      <c r="W7" s="65">
        <v>186.44</v>
      </c>
      <c r="X7" s="65" t="s">
        <v>47</v>
      </c>
      <c r="Y7" s="65" t="s">
        <v>48</v>
      </c>
      <c r="Z7" s="65" t="s">
        <v>49</v>
      </c>
      <c r="AA7" s="65">
        <v>964328569</v>
      </c>
      <c r="AB7" s="65" t="s">
        <v>102</v>
      </c>
    </row>
    <row r="8" spans="1:28" x14ac:dyDescent="0.3">
      <c r="A8" s="1">
        <v>46175</v>
      </c>
      <c r="B8" s="65" t="s">
        <v>203</v>
      </c>
      <c r="C8" s="65" t="s">
        <v>29</v>
      </c>
      <c r="D8" s="65" t="s">
        <v>204</v>
      </c>
      <c r="E8" s="65" t="s">
        <v>31</v>
      </c>
      <c r="F8" s="65" t="s">
        <v>205</v>
      </c>
      <c r="G8" s="65" t="s">
        <v>206</v>
      </c>
      <c r="H8" s="65" t="s">
        <v>207</v>
      </c>
      <c r="I8" s="65" t="s">
        <v>208</v>
      </c>
      <c r="J8" s="65" t="s">
        <v>209</v>
      </c>
      <c r="K8" s="65" t="s">
        <v>37</v>
      </c>
      <c r="L8" s="65" t="s">
        <v>210</v>
      </c>
      <c r="M8" s="65" t="s">
        <v>211</v>
      </c>
      <c r="N8" s="65" t="s">
        <v>206</v>
      </c>
      <c r="O8" s="65" t="s">
        <v>212</v>
      </c>
      <c r="P8" s="65" t="s">
        <v>213</v>
      </c>
      <c r="Q8" s="65">
        <v>1</v>
      </c>
      <c r="R8" s="65" t="s">
        <v>42</v>
      </c>
      <c r="S8" s="65" t="s">
        <v>43</v>
      </c>
      <c r="T8" s="65" t="s">
        <v>44</v>
      </c>
      <c r="U8" s="65" t="s">
        <v>45</v>
      </c>
      <c r="V8" s="65" t="s">
        <v>46</v>
      </c>
      <c r="W8" s="65">
        <v>254.24</v>
      </c>
      <c r="X8" s="65" t="s">
        <v>61</v>
      </c>
      <c r="Y8" s="65" t="s">
        <v>48</v>
      </c>
      <c r="Z8" s="65" t="s">
        <v>49</v>
      </c>
      <c r="AA8" s="65"/>
      <c r="AB8" s="65"/>
    </row>
    <row r="9" spans="1:28" x14ac:dyDescent="0.3">
      <c r="A9" s="1">
        <v>46176</v>
      </c>
      <c r="B9" s="65" t="s">
        <v>222</v>
      </c>
      <c r="C9" s="65" t="s">
        <v>29</v>
      </c>
      <c r="D9" s="65" t="s">
        <v>223</v>
      </c>
      <c r="E9" s="65" t="s">
        <v>31</v>
      </c>
      <c r="F9" s="65" t="s">
        <v>224</v>
      </c>
      <c r="G9" s="65" t="s">
        <v>225</v>
      </c>
      <c r="H9" s="65" t="s">
        <v>226</v>
      </c>
      <c r="I9" s="65" t="s">
        <v>3548</v>
      </c>
      <c r="J9" s="65" t="s">
        <v>775</v>
      </c>
      <c r="K9" s="65" t="s">
        <v>37</v>
      </c>
      <c r="L9" s="65" t="s">
        <v>228</v>
      </c>
      <c r="M9" s="65" t="s">
        <v>229</v>
      </c>
      <c r="N9" s="65" t="s">
        <v>225</v>
      </c>
      <c r="O9" s="65" t="s">
        <v>230</v>
      </c>
      <c r="P9" s="65" t="s">
        <v>159</v>
      </c>
      <c r="Q9" s="65">
        <v>1</v>
      </c>
      <c r="R9" s="65" t="s">
        <v>42</v>
      </c>
      <c r="S9" s="65" t="s">
        <v>43</v>
      </c>
      <c r="T9" s="65" t="s">
        <v>44</v>
      </c>
      <c r="U9" s="65" t="s">
        <v>45</v>
      </c>
      <c r="V9" s="65" t="s">
        <v>46</v>
      </c>
      <c r="W9" s="65">
        <v>135.59</v>
      </c>
      <c r="X9" s="65" t="s">
        <v>47</v>
      </c>
      <c r="Y9" s="65" t="s">
        <v>48</v>
      </c>
      <c r="Z9" s="65" t="s">
        <v>49</v>
      </c>
      <c r="AA9" s="65"/>
      <c r="AB9" s="65"/>
    </row>
    <row r="10" spans="1:28" x14ac:dyDescent="0.3">
      <c r="A10" s="1">
        <v>46176</v>
      </c>
      <c r="B10" s="65" t="s">
        <v>231</v>
      </c>
      <c r="C10" s="65" t="s">
        <v>29</v>
      </c>
      <c r="D10" s="65" t="s">
        <v>232</v>
      </c>
      <c r="E10" s="65" t="s">
        <v>31</v>
      </c>
      <c r="F10" s="65" t="s">
        <v>233</v>
      </c>
      <c r="G10" s="65" t="s">
        <v>234</v>
      </c>
      <c r="H10" s="65" t="s">
        <v>235</v>
      </c>
      <c r="I10" s="65" t="s">
        <v>411</v>
      </c>
      <c r="J10" s="65" t="s">
        <v>412</v>
      </c>
      <c r="K10" s="65" t="s">
        <v>37</v>
      </c>
      <c r="L10" s="65" t="s">
        <v>237</v>
      </c>
      <c r="M10" s="65" t="s">
        <v>238</v>
      </c>
      <c r="N10" s="65" t="s">
        <v>234</v>
      </c>
      <c r="O10" s="65" t="s">
        <v>239</v>
      </c>
      <c r="P10" s="65" t="s">
        <v>41</v>
      </c>
      <c r="Q10" s="65">
        <v>1</v>
      </c>
      <c r="R10" s="65" t="s">
        <v>42</v>
      </c>
      <c r="S10" s="65" t="s">
        <v>43</v>
      </c>
      <c r="T10" s="65" t="s">
        <v>44</v>
      </c>
      <c r="U10" s="65" t="s">
        <v>45</v>
      </c>
      <c r="V10" s="65" t="s">
        <v>60</v>
      </c>
      <c r="W10" s="65">
        <v>186.44</v>
      </c>
      <c r="X10" s="65" t="s">
        <v>47</v>
      </c>
      <c r="Y10" s="65" t="s">
        <v>48</v>
      </c>
      <c r="Z10" s="65" t="s">
        <v>49</v>
      </c>
      <c r="AA10" s="65">
        <v>982673362</v>
      </c>
      <c r="AB10" s="65" t="s">
        <v>416</v>
      </c>
    </row>
    <row r="11" spans="1:28" x14ac:dyDescent="0.3">
      <c r="A11" s="1">
        <v>46176</v>
      </c>
      <c r="B11" s="65" t="s">
        <v>231</v>
      </c>
      <c r="C11" s="65" t="s">
        <v>29</v>
      </c>
      <c r="D11" s="65" t="s">
        <v>232</v>
      </c>
      <c r="E11" s="65" t="s">
        <v>31</v>
      </c>
      <c r="F11" s="65" t="s">
        <v>233</v>
      </c>
      <c r="G11" s="65" t="s">
        <v>234</v>
      </c>
      <c r="H11" s="65" t="s">
        <v>235</v>
      </c>
      <c r="I11" s="65" t="s">
        <v>411</v>
      </c>
      <c r="J11" s="65" t="s">
        <v>412</v>
      </c>
      <c r="K11" s="65" t="s">
        <v>37</v>
      </c>
      <c r="L11" s="65" t="s">
        <v>237</v>
      </c>
      <c r="M11" s="65" t="s">
        <v>238</v>
      </c>
      <c r="N11" s="65" t="s">
        <v>234</v>
      </c>
      <c r="O11" s="65" t="s">
        <v>239</v>
      </c>
      <c r="P11" s="65" t="s">
        <v>101</v>
      </c>
      <c r="Q11" s="65">
        <v>1</v>
      </c>
      <c r="R11" s="65" t="s">
        <v>42</v>
      </c>
      <c r="S11" s="65" t="s">
        <v>43</v>
      </c>
      <c r="T11" s="65" t="s">
        <v>44</v>
      </c>
      <c r="U11" s="65" t="s">
        <v>45</v>
      </c>
      <c r="V11" s="65" t="s">
        <v>60</v>
      </c>
      <c r="W11" s="65">
        <v>186.44</v>
      </c>
      <c r="X11" s="65" t="s">
        <v>47</v>
      </c>
      <c r="Y11" s="65" t="s">
        <v>48</v>
      </c>
      <c r="Z11" s="65" t="s">
        <v>49</v>
      </c>
      <c r="AA11" s="65">
        <v>982673362</v>
      </c>
      <c r="AB11" s="65" t="s">
        <v>416</v>
      </c>
    </row>
    <row r="12" spans="1:28" x14ac:dyDescent="0.3">
      <c r="A12" s="1">
        <v>46176</v>
      </c>
      <c r="B12" s="65" t="s">
        <v>240</v>
      </c>
      <c r="C12" s="65" t="s">
        <v>29</v>
      </c>
      <c r="D12" s="65" t="s">
        <v>241</v>
      </c>
      <c r="E12" s="65" t="s">
        <v>31</v>
      </c>
      <c r="F12" s="65" t="s">
        <v>242</v>
      </c>
      <c r="G12" s="65" t="s">
        <v>243</v>
      </c>
      <c r="H12" s="65" t="s">
        <v>244</v>
      </c>
      <c r="I12" s="65" t="s">
        <v>411</v>
      </c>
      <c r="J12" s="65" t="s">
        <v>412</v>
      </c>
      <c r="K12" s="65" t="s">
        <v>37</v>
      </c>
      <c r="L12" s="65" t="s">
        <v>245</v>
      </c>
      <c r="M12" s="65" t="s">
        <v>246</v>
      </c>
      <c r="N12" s="65" t="s">
        <v>243</v>
      </c>
      <c r="O12" s="65" t="s">
        <v>247</v>
      </c>
      <c r="P12" s="65" t="s">
        <v>41</v>
      </c>
      <c r="Q12" s="65">
        <v>1</v>
      </c>
      <c r="R12" s="65" t="s">
        <v>42</v>
      </c>
      <c r="S12" s="65" t="s">
        <v>43</v>
      </c>
      <c r="T12" s="65" t="s">
        <v>44</v>
      </c>
      <c r="U12" s="65" t="s">
        <v>45</v>
      </c>
      <c r="V12" s="65" t="s">
        <v>60</v>
      </c>
      <c r="W12" s="65">
        <v>186.44</v>
      </c>
      <c r="X12" s="65" t="s">
        <v>47</v>
      </c>
      <c r="Y12" s="65" t="s">
        <v>48</v>
      </c>
      <c r="Z12" s="65" t="s">
        <v>49</v>
      </c>
      <c r="AA12" s="65">
        <v>982673362</v>
      </c>
      <c r="AB12" s="65" t="s">
        <v>416</v>
      </c>
    </row>
    <row r="13" spans="1:28" x14ac:dyDescent="0.3">
      <c r="A13" s="1">
        <v>46176</v>
      </c>
      <c r="B13" s="65" t="s">
        <v>240</v>
      </c>
      <c r="C13" s="65" t="s">
        <v>29</v>
      </c>
      <c r="D13" s="65" t="s">
        <v>241</v>
      </c>
      <c r="E13" s="65" t="s">
        <v>31</v>
      </c>
      <c r="F13" s="65" t="s">
        <v>242</v>
      </c>
      <c r="G13" s="65" t="s">
        <v>243</v>
      </c>
      <c r="H13" s="65" t="s">
        <v>244</v>
      </c>
      <c r="I13" s="65" t="s">
        <v>411</v>
      </c>
      <c r="J13" s="65" t="s">
        <v>412</v>
      </c>
      <c r="K13" s="65" t="s">
        <v>37</v>
      </c>
      <c r="L13" s="65" t="s">
        <v>245</v>
      </c>
      <c r="M13" s="65" t="s">
        <v>246</v>
      </c>
      <c r="N13" s="65" t="s">
        <v>243</v>
      </c>
      <c r="O13" s="65" t="s">
        <v>247</v>
      </c>
      <c r="P13" s="65" t="s">
        <v>101</v>
      </c>
      <c r="Q13" s="65">
        <v>1</v>
      </c>
      <c r="R13" s="65" t="s">
        <v>42</v>
      </c>
      <c r="S13" s="65" t="s">
        <v>43</v>
      </c>
      <c r="T13" s="65" t="s">
        <v>44</v>
      </c>
      <c r="U13" s="65" t="s">
        <v>45</v>
      </c>
      <c r="V13" s="65" t="s">
        <v>60</v>
      </c>
      <c r="W13" s="65">
        <v>186.44</v>
      </c>
      <c r="X13" s="65" t="s">
        <v>47</v>
      </c>
      <c r="Y13" s="65" t="s">
        <v>48</v>
      </c>
      <c r="Z13" s="65" t="s">
        <v>49</v>
      </c>
      <c r="AA13" s="65">
        <v>982673362</v>
      </c>
      <c r="AB13" s="65" t="s">
        <v>416</v>
      </c>
    </row>
    <row r="14" spans="1:28" x14ac:dyDescent="0.3">
      <c r="A14" s="1">
        <v>46176</v>
      </c>
      <c r="B14" s="65" t="s">
        <v>256</v>
      </c>
      <c r="C14" s="65" t="s">
        <v>29</v>
      </c>
      <c r="D14" s="65" t="s">
        <v>257</v>
      </c>
      <c r="E14" s="65" t="s">
        <v>31</v>
      </c>
      <c r="F14" s="65" t="s">
        <v>258</v>
      </c>
      <c r="G14" s="65" t="s">
        <v>259</v>
      </c>
      <c r="H14" s="65" t="s">
        <v>260</v>
      </c>
      <c r="I14" s="65" t="s">
        <v>261</v>
      </c>
      <c r="J14" s="65" t="s">
        <v>262</v>
      </c>
      <c r="K14" s="65" t="s">
        <v>37</v>
      </c>
      <c r="L14" s="65" t="s">
        <v>263</v>
      </c>
      <c r="M14" s="65" t="s">
        <v>264</v>
      </c>
      <c r="N14" s="65" t="s">
        <v>259</v>
      </c>
      <c r="O14" s="65" t="s">
        <v>265</v>
      </c>
      <c r="P14" s="65" t="s">
        <v>41</v>
      </c>
      <c r="Q14" s="65">
        <v>1</v>
      </c>
      <c r="R14" s="65" t="s">
        <v>42</v>
      </c>
      <c r="S14" s="65" t="s">
        <v>43</v>
      </c>
      <c r="T14" s="65" t="s">
        <v>44</v>
      </c>
      <c r="U14" s="65" t="s">
        <v>45</v>
      </c>
      <c r="V14" s="65" t="s">
        <v>60</v>
      </c>
      <c r="W14" s="65">
        <v>186.44</v>
      </c>
      <c r="X14" s="65" t="s">
        <v>47</v>
      </c>
      <c r="Y14" s="65" t="s">
        <v>48</v>
      </c>
      <c r="Z14" s="65" t="s">
        <v>49</v>
      </c>
      <c r="AA14" s="65">
        <v>981214114</v>
      </c>
      <c r="AB14" s="65" t="s">
        <v>266</v>
      </c>
    </row>
    <row r="15" spans="1:28" x14ac:dyDescent="0.3">
      <c r="A15" s="1">
        <v>46176</v>
      </c>
      <c r="B15" s="65" t="s">
        <v>256</v>
      </c>
      <c r="C15" s="65" t="s">
        <v>29</v>
      </c>
      <c r="D15" s="65" t="s">
        <v>257</v>
      </c>
      <c r="E15" s="65" t="s">
        <v>31</v>
      </c>
      <c r="F15" s="65" t="s">
        <v>258</v>
      </c>
      <c r="G15" s="65" t="s">
        <v>259</v>
      </c>
      <c r="H15" s="65" t="s">
        <v>260</v>
      </c>
      <c r="I15" s="65" t="s">
        <v>261</v>
      </c>
      <c r="J15" s="65" t="s">
        <v>262</v>
      </c>
      <c r="K15" s="65" t="s">
        <v>37</v>
      </c>
      <c r="L15" s="65" t="s">
        <v>263</v>
      </c>
      <c r="M15" s="65" t="s">
        <v>264</v>
      </c>
      <c r="N15" s="65" t="s">
        <v>259</v>
      </c>
      <c r="O15" s="65" t="s">
        <v>265</v>
      </c>
      <c r="P15" s="65" t="s">
        <v>158</v>
      </c>
      <c r="Q15" s="65">
        <v>1</v>
      </c>
      <c r="R15" s="65" t="s">
        <v>42</v>
      </c>
      <c r="S15" s="65" t="s">
        <v>43</v>
      </c>
      <c r="T15" s="65" t="s">
        <v>44</v>
      </c>
      <c r="U15" s="65" t="s">
        <v>45</v>
      </c>
      <c r="V15" s="65" t="s">
        <v>60</v>
      </c>
      <c r="W15" s="65">
        <v>152.54</v>
      </c>
      <c r="X15" s="65" t="s">
        <v>47</v>
      </c>
      <c r="Y15" s="65" t="s">
        <v>48</v>
      </c>
      <c r="Z15" s="65" t="s">
        <v>49</v>
      </c>
      <c r="AA15" s="65">
        <v>981214114</v>
      </c>
      <c r="AB15" s="65" t="s">
        <v>266</v>
      </c>
    </row>
    <row r="16" spans="1:28" x14ac:dyDescent="0.3">
      <c r="A16" s="1">
        <v>46177</v>
      </c>
      <c r="B16" s="65" t="s">
        <v>142</v>
      </c>
      <c r="C16" s="65" t="s">
        <v>29</v>
      </c>
      <c r="D16" s="65" t="s">
        <v>143</v>
      </c>
      <c r="E16" s="65" t="s">
        <v>31</v>
      </c>
      <c r="F16" s="65" t="s">
        <v>144</v>
      </c>
      <c r="G16" s="65" t="s">
        <v>145</v>
      </c>
      <c r="H16" s="65" t="s">
        <v>146</v>
      </c>
      <c r="I16" s="65" t="s">
        <v>136</v>
      </c>
      <c r="J16" s="65" t="s">
        <v>137</v>
      </c>
      <c r="K16" s="65" t="s">
        <v>37</v>
      </c>
      <c r="L16" s="65" t="s">
        <v>147</v>
      </c>
      <c r="M16" s="65" t="s">
        <v>148</v>
      </c>
      <c r="N16" s="65" t="s">
        <v>145</v>
      </c>
      <c r="O16" s="65" t="s">
        <v>149</v>
      </c>
      <c r="P16" s="65" t="s">
        <v>41</v>
      </c>
      <c r="Q16" s="65">
        <v>1</v>
      </c>
      <c r="R16" s="65" t="s">
        <v>42</v>
      </c>
      <c r="S16" s="65" t="s">
        <v>43</v>
      </c>
      <c r="T16" s="65" t="s">
        <v>44</v>
      </c>
      <c r="U16" s="65" t="s">
        <v>45</v>
      </c>
      <c r="V16" s="65" t="s">
        <v>46</v>
      </c>
      <c r="W16" s="65">
        <v>186.44</v>
      </c>
      <c r="X16" s="65" t="s">
        <v>47</v>
      </c>
      <c r="Y16" s="65" t="s">
        <v>48</v>
      </c>
      <c r="Z16" s="65" t="s">
        <v>49</v>
      </c>
      <c r="AA16" s="65">
        <v>987407712</v>
      </c>
      <c r="AB16" s="65" t="s">
        <v>141</v>
      </c>
    </row>
    <row r="17" spans="1:28" x14ac:dyDescent="0.3">
      <c r="A17" s="1">
        <v>46177</v>
      </c>
      <c r="B17" s="65" t="s">
        <v>339</v>
      </c>
      <c r="C17" s="65" t="s">
        <v>29</v>
      </c>
      <c r="D17" s="65" t="s">
        <v>340</v>
      </c>
      <c r="E17" s="65" t="s">
        <v>31</v>
      </c>
      <c r="F17" s="65" t="s">
        <v>341</v>
      </c>
      <c r="G17" s="65" t="s">
        <v>342</v>
      </c>
      <c r="H17" s="65" t="s">
        <v>343</v>
      </c>
      <c r="I17" s="65" t="s">
        <v>344</v>
      </c>
      <c r="J17" s="65" t="s">
        <v>345</v>
      </c>
      <c r="K17" s="65" t="s">
        <v>37</v>
      </c>
      <c r="L17" s="65" t="s">
        <v>346</v>
      </c>
      <c r="M17" s="65" t="s">
        <v>347</v>
      </c>
      <c r="N17" s="65" t="s">
        <v>342</v>
      </c>
      <c r="O17" s="65" t="s">
        <v>348</v>
      </c>
      <c r="P17" s="65" t="s">
        <v>349</v>
      </c>
      <c r="Q17" s="65">
        <v>1</v>
      </c>
      <c r="R17" s="65" t="s">
        <v>42</v>
      </c>
      <c r="S17" s="65" t="s">
        <v>43</v>
      </c>
      <c r="T17" s="65" t="s">
        <v>44</v>
      </c>
      <c r="U17" s="65" t="s">
        <v>45</v>
      </c>
      <c r="V17" s="65" t="s">
        <v>60</v>
      </c>
      <c r="W17" s="65">
        <v>169.49</v>
      </c>
      <c r="X17" s="65" t="s">
        <v>47</v>
      </c>
      <c r="Y17" s="65" t="s">
        <v>48</v>
      </c>
      <c r="Z17" s="65" t="s">
        <v>49</v>
      </c>
      <c r="AA17" s="65">
        <v>966697811</v>
      </c>
      <c r="AB17" s="65" t="s">
        <v>350</v>
      </c>
    </row>
    <row r="18" spans="1:28" x14ac:dyDescent="0.3">
      <c r="A18" s="1">
        <v>46177</v>
      </c>
      <c r="B18" s="65" t="s">
        <v>339</v>
      </c>
      <c r="C18" s="65" t="s">
        <v>29</v>
      </c>
      <c r="D18" s="65" t="s">
        <v>340</v>
      </c>
      <c r="E18" s="65" t="s">
        <v>31</v>
      </c>
      <c r="F18" s="65" t="s">
        <v>341</v>
      </c>
      <c r="G18" s="65" t="s">
        <v>342</v>
      </c>
      <c r="H18" s="65" t="s">
        <v>343</v>
      </c>
      <c r="I18" s="65" t="s">
        <v>344</v>
      </c>
      <c r="J18" s="65" t="s">
        <v>345</v>
      </c>
      <c r="K18" s="65" t="s">
        <v>37</v>
      </c>
      <c r="L18" s="65" t="s">
        <v>346</v>
      </c>
      <c r="M18" s="65" t="s">
        <v>347</v>
      </c>
      <c r="N18" s="65" t="s">
        <v>342</v>
      </c>
      <c r="O18" s="65" t="s">
        <v>348</v>
      </c>
      <c r="P18" s="65" t="s">
        <v>41</v>
      </c>
      <c r="Q18" s="65">
        <v>1</v>
      </c>
      <c r="R18" s="65" t="s">
        <v>42</v>
      </c>
      <c r="S18" s="65" t="s">
        <v>43</v>
      </c>
      <c r="T18" s="65" t="s">
        <v>44</v>
      </c>
      <c r="U18" s="65" t="s">
        <v>45</v>
      </c>
      <c r="V18" s="65" t="s">
        <v>60</v>
      </c>
      <c r="W18" s="65">
        <v>186.44</v>
      </c>
      <c r="X18" s="65" t="s">
        <v>47</v>
      </c>
      <c r="Y18" s="65" t="s">
        <v>48</v>
      </c>
      <c r="Z18" s="65" t="s">
        <v>49</v>
      </c>
      <c r="AA18" s="65">
        <v>966697811</v>
      </c>
      <c r="AB18" s="65" t="s">
        <v>350</v>
      </c>
    </row>
    <row r="19" spans="1:28" x14ac:dyDescent="0.3">
      <c r="A19" s="1">
        <v>46177</v>
      </c>
      <c r="B19" s="65" t="s">
        <v>339</v>
      </c>
      <c r="C19" s="65" t="s">
        <v>29</v>
      </c>
      <c r="D19" s="65" t="s">
        <v>340</v>
      </c>
      <c r="E19" s="65" t="s">
        <v>31</v>
      </c>
      <c r="F19" s="65" t="s">
        <v>341</v>
      </c>
      <c r="G19" s="65" t="s">
        <v>342</v>
      </c>
      <c r="H19" s="65" t="s">
        <v>343</v>
      </c>
      <c r="I19" s="65" t="s">
        <v>344</v>
      </c>
      <c r="J19" s="65" t="s">
        <v>345</v>
      </c>
      <c r="K19" s="65" t="s">
        <v>37</v>
      </c>
      <c r="L19" s="65" t="s">
        <v>346</v>
      </c>
      <c r="M19" s="65" t="s">
        <v>347</v>
      </c>
      <c r="N19" s="65" t="s">
        <v>342</v>
      </c>
      <c r="O19" s="65" t="s">
        <v>348</v>
      </c>
      <c r="P19" s="65" t="s">
        <v>101</v>
      </c>
      <c r="Q19" s="65">
        <v>1</v>
      </c>
      <c r="R19" s="65" t="s">
        <v>42</v>
      </c>
      <c r="S19" s="65" t="s">
        <v>43</v>
      </c>
      <c r="T19" s="65" t="s">
        <v>44</v>
      </c>
      <c r="U19" s="65" t="s">
        <v>45</v>
      </c>
      <c r="V19" s="65" t="s">
        <v>60</v>
      </c>
      <c r="W19" s="65">
        <v>186.44</v>
      </c>
      <c r="X19" s="65" t="s">
        <v>47</v>
      </c>
      <c r="Y19" s="65" t="s">
        <v>48</v>
      </c>
      <c r="Z19" s="65" t="s">
        <v>49</v>
      </c>
      <c r="AA19" s="65">
        <v>966697811</v>
      </c>
      <c r="AB19" s="65" t="s">
        <v>350</v>
      </c>
    </row>
    <row r="20" spans="1:28" x14ac:dyDescent="0.3">
      <c r="A20" s="1">
        <v>46177</v>
      </c>
      <c r="B20" s="65" t="s">
        <v>267</v>
      </c>
      <c r="C20" s="65" t="s">
        <v>268</v>
      </c>
      <c r="D20" s="65" t="s">
        <v>269</v>
      </c>
      <c r="E20" s="65" t="s">
        <v>31</v>
      </c>
      <c r="F20" s="65" t="s">
        <v>270</v>
      </c>
      <c r="G20" s="65" t="s">
        <v>271</v>
      </c>
      <c r="H20" s="65" t="s">
        <v>272</v>
      </c>
      <c r="I20" s="65" t="s">
        <v>273</v>
      </c>
      <c r="J20" s="65" t="s">
        <v>274</v>
      </c>
      <c r="K20" s="65" t="s">
        <v>37</v>
      </c>
      <c r="L20" s="65" t="s">
        <v>275</v>
      </c>
      <c r="M20" s="65" t="s">
        <v>276</v>
      </c>
      <c r="N20" s="65" t="s">
        <v>277</v>
      </c>
      <c r="O20" s="65" t="s">
        <v>278</v>
      </c>
      <c r="P20" s="65" t="s">
        <v>201</v>
      </c>
      <c r="Q20" s="65">
        <v>1</v>
      </c>
      <c r="R20" s="65" t="s">
        <v>42</v>
      </c>
      <c r="S20" s="65" t="s">
        <v>43</v>
      </c>
      <c r="T20" s="65" t="s">
        <v>44</v>
      </c>
      <c r="U20" s="65" t="s">
        <v>45</v>
      </c>
      <c r="V20" s="65" t="s">
        <v>60</v>
      </c>
      <c r="W20" s="65">
        <v>152.54</v>
      </c>
      <c r="X20" s="65" t="s">
        <v>47</v>
      </c>
      <c r="Y20" s="65" t="s">
        <v>48</v>
      </c>
      <c r="Z20" s="65" t="s">
        <v>49</v>
      </c>
      <c r="AA20" s="65">
        <v>950133748</v>
      </c>
      <c r="AB20" s="65" t="s">
        <v>279</v>
      </c>
    </row>
    <row r="21" spans="1:28" x14ac:dyDescent="0.3">
      <c r="A21" s="1">
        <v>46177</v>
      </c>
      <c r="B21" s="65" t="s">
        <v>267</v>
      </c>
      <c r="C21" s="65" t="s">
        <v>268</v>
      </c>
      <c r="D21" s="65" t="s">
        <v>269</v>
      </c>
      <c r="E21" s="65" t="s">
        <v>31</v>
      </c>
      <c r="F21" s="65" t="s">
        <v>270</v>
      </c>
      <c r="G21" s="65" t="s">
        <v>271</v>
      </c>
      <c r="H21" s="65" t="s">
        <v>272</v>
      </c>
      <c r="I21" s="65" t="s">
        <v>273</v>
      </c>
      <c r="J21" s="65" t="s">
        <v>274</v>
      </c>
      <c r="K21" s="65" t="s">
        <v>37</v>
      </c>
      <c r="L21" s="65" t="s">
        <v>275</v>
      </c>
      <c r="M21" s="65" t="s">
        <v>276</v>
      </c>
      <c r="N21" s="65" t="s">
        <v>277</v>
      </c>
      <c r="O21" s="65" t="s">
        <v>278</v>
      </c>
      <c r="P21" s="65" t="s">
        <v>202</v>
      </c>
      <c r="Q21" s="65">
        <v>1</v>
      </c>
      <c r="R21" s="65" t="s">
        <v>42</v>
      </c>
      <c r="S21" s="65" t="s">
        <v>43</v>
      </c>
      <c r="T21" s="65" t="s">
        <v>44</v>
      </c>
      <c r="U21" s="65" t="s">
        <v>45</v>
      </c>
      <c r="V21" s="65" t="s">
        <v>60</v>
      </c>
      <c r="W21" s="65">
        <v>135.59</v>
      </c>
      <c r="X21" s="65" t="s">
        <v>47</v>
      </c>
      <c r="Y21" s="65" t="s">
        <v>48</v>
      </c>
      <c r="Z21" s="65" t="s">
        <v>49</v>
      </c>
      <c r="AA21" s="65">
        <v>950133748</v>
      </c>
      <c r="AB21" s="65" t="s">
        <v>279</v>
      </c>
    </row>
    <row r="22" spans="1:28" x14ac:dyDescent="0.3">
      <c r="A22" s="1">
        <v>46177</v>
      </c>
      <c r="B22" s="65" t="s">
        <v>280</v>
      </c>
      <c r="C22" s="65" t="s">
        <v>268</v>
      </c>
      <c r="D22" s="65" t="s">
        <v>281</v>
      </c>
      <c r="E22" s="65" t="s">
        <v>31</v>
      </c>
      <c r="F22" s="65" t="s">
        <v>282</v>
      </c>
      <c r="G22" s="65" t="s">
        <v>283</v>
      </c>
      <c r="H22" s="65" t="s">
        <v>284</v>
      </c>
      <c r="I22" s="65" t="s">
        <v>273</v>
      </c>
      <c r="J22" s="65" t="s">
        <v>274</v>
      </c>
      <c r="K22" s="65" t="s">
        <v>37</v>
      </c>
      <c r="L22" s="65" t="s">
        <v>285</v>
      </c>
      <c r="M22" s="65" t="s">
        <v>286</v>
      </c>
      <c r="N22" s="65" t="s">
        <v>277</v>
      </c>
      <c r="O22" s="65" t="s">
        <v>287</v>
      </c>
      <c r="P22" s="65" t="s">
        <v>288</v>
      </c>
      <c r="Q22" s="65">
        <v>1</v>
      </c>
      <c r="R22" s="65" t="s">
        <v>42</v>
      </c>
      <c r="S22" s="65" t="s">
        <v>43</v>
      </c>
      <c r="T22" s="65" t="s">
        <v>44</v>
      </c>
      <c r="U22" s="65" t="s">
        <v>45</v>
      </c>
      <c r="V22" s="65" t="s">
        <v>46</v>
      </c>
      <c r="W22" s="65">
        <v>0</v>
      </c>
      <c r="X22" s="65" t="s">
        <v>289</v>
      </c>
      <c r="Y22" s="65" t="s">
        <v>48</v>
      </c>
      <c r="Z22" s="65" t="s">
        <v>49</v>
      </c>
      <c r="AA22" s="65">
        <v>950133748</v>
      </c>
      <c r="AB22" s="65" t="s">
        <v>279</v>
      </c>
    </row>
    <row r="23" spans="1:28" x14ac:dyDescent="0.3">
      <c r="A23" s="1">
        <v>46177</v>
      </c>
      <c r="B23" s="65" t="s">
        <v>280</v>
      </c>
      <c r="C23" s="65" t="s">
        <v>268</v>
      </c>
      <c r="D23" s="65" t="s">
        <v>281</v>
      </c>
      <c r="E23" s="65" t="s">
        <v>31</v>
      </c>
      <c r="F23" s="65" t="s">
        <v>282</v>
      </c>
      <c r="G23" s="65" t="s">
        <v>283</v>
      </c>
      <c r="H23" s="65" t="s">
        <v>284</v>
      </c>
      <c r="I23" s="65" t="s">
        <v>273</v>
      </c>
      <c r="J23" s="65" t="s">
        <v>274</v>
      </c>
      <c r="K23" s="65" t="s">
        <v>37</v>
      </c>
      <c r="L23" s="65" t="s">
        <v>285</v>
      </c>
      <c r="M23" s="65" t="s">
        <v>286</v>
      </c>
      <c r="N23" s="65" t="s">
        <v>277</v>
      </c>
      <c r="O23" s="65" t="s">
        <v>287</v>
      </c>
      <c r="P23" s="65" t="s">
        <v>290</v>
      </c>
      <c r="Q23" s="65">
        <v>1</v>
      </c>
      <c r="R23" s="65" t="s">
        <v>42</v>
      </c>
      <c r="S23" s="65" t="s">
        <v>43</v>
      </c>
      <c r="T23" s="65" t="s">
        <v>44</v>
      </c>
      <c r="U23" s="65" t="s">
        <v>45</v>
      </c>
      <c r="V23" s="65" t="s">
        <v>46</v>
      </c>
      <c r="W23" s="65">
        <v>1050.8499999999999</v>
      </c>
      <c r="X23" s="65" t="s">
        <v>289</v>
      </c>
      <c r="Y23" s="65" t="s">
        <v>48</v>
      </c>
      <c r="Z23" s="65" t="s">
        <v>49</v>
      </c>
      <c r="AA23" s="65">
        <v>950133748</v>
      </c>
      <c r="AB23" s="65" t="s">
        <v>279</v>
      </c>
    </row>
    <row r="24" spans="1:28" x14ac:dyDescent="0.3">
      <c r="A24" s="1">
        <v>46177</v>
      </c>
      <c r="B24" s="65" t="s">
        <v>291</v>
      </c>
      <c r="C24" s="65" t="s">
        <v>268</v>
      </c>
      <c r="D24" s="65" t="s">
        <v>292</v>
      </c>
      <c r="E24" s="65" t="s">
        <v>31</v>
      </c>
      <c r="F24" s="65" t="s">
        <v>293</v>
      </c>
      <c r="G24" s="65" t="s">
        <v>271</v>
      </c>
      <c r="H24" s="65" t="s">
        <v>272</v>
      </c>
      <c r="I24" s="65" t="s">
        <v>273</v>
      </c>
      <c r="J24" s="65" t="s">
        <v>274</v>
      </c>
      <c r="K24" s="65" t="s">
        <v>37</v>
      </c>
      <c r="L24" s="65" t="s">
        <v>275</v>
      </c>
      <c r="M24" s="65" t="s">
        <v>276</v>
      </c>
      <c r="N24" s="65" t="s">
        <v>277</v>
      </c>
      <c r="O24" s="65" t="s">
        <v>294</v>
      </c>
      <c r="P24" s="65" t="s">
        <v>288</v>
      </c>
      <c r="Q24" s="65">
        <v>1</v>
      </c>
      <c r="R24" s="65" t="s">
        <v>42</v>
      </c>
      <c r="S24" s="65" t="s">
        <v>43</v>
      </c>
      <c r="T24" s="65" t="s">
        <v>44</v>
      </c>
      <c r="U24" s="65" t="s">
        <v>45</v>
      </c>
      <c r="V24" s="65" t="s">
        <v>46</v>
      </c>
      <c r="W24" s="65">
        <v>0</v>
      </c>
      <c r="X24" s="65" t="s">
        <v>289</v>
      </c>
      <c r="Y24" s="65" t="s">
        <v>48</v>
      </c>
      <c r="Z24" s="65" t="s">
        <v>49</v>
      </c>
      <c r="AA24" s="65">
        <v>950133748</v>
      </c>
      <c r="AB24" s="65" t="s">
        <v>279</v>
      </c>
    </row>
    <row r="25" spans="1:28" x14ac:dyDescent="0.3">
      <c r="A25" s="1">
        <v>46177</v>
      </c>
      <c r="B25" s="65" t="s">
        <v>291</v>
      </c>
      <c r="C25" s="65" t="s">
        <v>268</v>
      </c>
      <c r="D25" s="65" t="s">
        <v>292</v>
      </c>
      <c r="E25" s="65" t="s">
        <v>31</v>
      </c>
      <c r="F25" s="65" t="s">
        <v>293</v>
      </c>
      <c r="G25" s="65" t="s">
        <v>271</v>
      </c>
      <c r="H25" s="65" t="s">
        <v>272</v>
      </c>
      <c r="I25" s="65" t="s">
        <v>273</v>
      </c>
      <c r="J25" s="65" t="s">
        <v>274</v>
      </c>
      <c r="K25" s="65" t="s">
        <v>37</v>
      </c>
      <c r="L25" s="65" t="s">
        <v>275</v>
      </c>
      <c r="M25" s="65" t="s">
        <v>276</v>
      </c>
      <c r="N25" s="65" t="s">
        <v>277</v>
      </c>
      <c r="O25" s="65" t="s">
        <v>294</v>
      </c>
      <c r="P25" s="65" t="s">
        <v>290</v>
      </c>
      <c r="Q25" s="65">
        <v>1</v>
      </c>
      <c r="R25" s="65" t="s">
        <v>42</v>
      </c>
      <c r="S25" s="65" t="s">
        <v>43</v>
      </c>
      <c r="T25" s="65" t="s">
        <v>44</v>
      </c>
      <c r="U25" s="65" t="s">
        <v>45</v>
      </c>
      <c r="V25" s="65" t="s">
        <v>46</v>
      </c>
      <c r="W25" s="65">
        <v>1050.8499999999999</v>
      </c>
      <c r="X25" s="65" t="s">
        <v>289</v>
      </c>
      <c r="Y25" s="65" t="s">
        <v>48</v>
      </c>
      <c r="Z25" s="65" t="s">
        <v>49</v>
      </c>
      <c r="AA25" s="65">
        <v>950133748</v>
      </c>
      <c r="AB25" s="65" t="s">
        <v>279</v>
      </c>
    </row>
    <row r="26" spans="1:28" x14ac:dyDescent="0.3">
      <c r="A26" s="1">
        <v>46177</v>
      </c>
      <c r="B26" s="65" t="s">
        <v>429</v>
      </c>
      <c r="C26" s="65" t="s">
        <v>29</v>
      </c>
      <c r="D26" s="65" t="s">
        <v>430</v>
      </c>
      <c r="E26" s="65" t="s">
        <v>31</v>
      </c>
      <c r="F26" s="65" t="s">
        <v>431</v>
      </c>
      <c r="G26" s="65" t="s">
        <v>432</v>
      </c>
      <c r="H26" s="65" t="s">
        <v>433</v>
      </c>
      <c r="I26" s="65" t="s">
        <v>434</v>
      </c>
      <c r="J26" s="65" t="s">
        <v>435</v>
      </c>
      <c r="K26" s="65" t="s">
        <v>37</v>
      </c>
      <c r="L26" s="65" t="s">
        <v>436</v>
      </c>
      <c r="M26" s="65" t="s">
        <v>437</v>
      </c>
      <c r="N26" s="65" t="s">
        <v>432</v>
      </c>
      <c r="O26" s="65" t="s">
        <v>438</v>
      </c>
      <c r="P26" s="65" t="s">
        <v>41</v>
      </c>
      <c r="Q26" s="65">
        <v>1</v>
      </c>
      <c r="R26" s="65" t="s">
        <v>70</v>
      </c>
      <c r="S26" s="65" t="s">
        <v>43</v>
      </c>
      <c r="T26" s="65" t="s">
        <v>44</v>
      </c>
      <c r="U26" s="65" t="s">
        <v>71</v>
      </c>
      <c r="V26" s="65" t="s">
        <v>184</v>
      </c>
      <c r="W26" s="65">
        <v>186.44</v>
      </c>
      <c r="X26" s="65" t="s">
        <v>47</v>
      </c>
      <c r="Y26" s="65" t="s">
        <v>48</v>
      </c>
      <c r="Z26" s="65" t="s">
        <v>73</v>
      </c>
      <c r="AA26" s="65">
        <v>992903716</v>
      </c>
      <c r="AB26" s="65" t="s">
        <v>439</v>
      </c>
    </row>
    <row r="27" spans="1:28" x14ac:dyDescent="0.3">
      <c r="A27" s="1">
        <v>46177</v>
      </c>
      <c r="B27" s="65" t="s">
        <v>429</v>
      </c>
      <c r="C27" s="65" t="s">
        <v>29</v>
      </c>
      <c r="D27" s="65" t="s">
        <v>430</v>
      </c>
      <c r="E27" s="65" t="s">
        <v>31</v>
      </c>
      <c r="F27" s="65" t="s">
        <v>431</v>
      </c>
      <c r="G27" s="65" t="s">
        <v>432</v>
      </c>
      <c r="H27" s="65" t="s">
        <v>433</v>
      </c>
      <c r="I27" s="65" t="s">
        <v>434</v>
      </c>
      <c r="J27" s="65" t="s">
        <v>435</v>
      </c>
      <c r="K27" s="65" t="s">
        <v>37</v>
      </c>
      <c r="L27" s="65" t="s">
        <v>436</v>
      </c>
      <c r="M27" s="65" t="s">
        <v>437</v>
      </c>
      <c r="N27" s="65" t="s">
        <v>432</v>
      </c>
      <c r="O27" s="65" t="s">
        <v>438</v>
      </c>
      <c r="P27" s="65" t="s">
        <v>101</v>
      </c>
      <c r="Q27" s="65">
        <v>1</v>
      </c>
      <c r="R27" s="65" t="s">
        <v>70</v>
      </c>
      <c r="S27" s="65" t="s">
        <v>43</v>
      </c>
      <c r="T27" s="65" t="s">
        <v>44</v>
      </c>
      <c r="U27" s="65" t="s">
        <v>71</v>
      </c>
      <c r="V27" s="65" t="s">
        <v>184</v>
      </c>
      <c r="W27" s="65">
        <v>186.44</v>
      </c>
      <c r="X27" s="65" t="s">
        <v>47</v>
      </c>
      <c r="Y27" s="65" t="s">
        <v>48</v>
      </c>
      <c r="Z27" s="65" t="s">
        <v>73</v>
      </c>
      <c r="AA27" s="65">
        <v>992903716</v>
      </c>
      <c r="AB27" s="65" t="s">
        <v>439</v>
      </c>
    </row>
    <row r="28" spans="1:28" x14ac:dyDescent="0.3">
      <c r="A28" s="1">
        <v>46178</v>
      </c>
      <c r="B28" s="65" t="s">
        <v>497</v>
      </c>
      <c r="C28" s="65" t="s">
        <v>29</v>
      </c>
      <c r="D28" s="65" t="s">
        <v>498</v>
      </c>
      <c r="E28" s="65" t="s">
        <v>31</v>
      </c>
      <c r="F28" s="65" t="s">
        <v>499</v>
      </c>
      <c r="G28" s="65" t="s">
        <v>500</v>
      </c>
      <c r="H28" s="65" t="s">
        <v>501</v>
      </c>
      <c r="I28" s="65" t="s">
        <v>2024</v>
      </c>
      <c r="J28" s="65" t="s">
        <v>2025</v>
      </c>
      <c r="K28" s="65" t="s">
        <v>37</v>
      </c>
      <c r="L28" s="65" t="s">
        <v>503</v>
      </c>
      <c r="M28" s="65" t="s">
        <v>504</v>
      </c>
      <c r="N28" s="65" t="s">
        <v>500</v>
      </c>
      <c r="O28" s="65" t="s">
        <v>505</v>
      </c>
      <c r="P28" s="65" t="s">
        <v>101</v>
      </c>
      <c r="Q28" s="65">
        <v>1</v>
      </c>
      <c r="R28" s="65" t="s">
        <v>42</v>
      </c>
      <c r="S28" s="65" t="s">
        <v>43</v>
      </c>
      <c r="T28" s="65" t="s">
        <v>44</v>
      </c>
      <c r="U28" s="65" t="s">
        <v>45</v>
      </c>
      <c r="V28" s="65" t="s">
        <v>46</v>
      </c>
      <c r="W28" s="65">
        <v>186.44</v>
      </c>
      <c r="X28" s="65" t="s">
        <v>47</v>
      </c>
      <c r="Y28" s="65" t="s">
        <v>48</v>
      </c>
      <c r="Z28" s="65" t="s">
        <v>49</v>
      </c>
      <c r="AA28" s="65">
        <v>986661693</v>
      </c>
      <c r="AB28" s="65" t="s">
        <v>2029</v>
      </c>
    </row>
    <row r="29" spans="1:28" x14ac:dyDescent="0.3">
      <c r="A29" s="1">
        <v>46178</v>
      </c>
      <c r="B29" s="65" t="s">
        <v>472</v>
      </c>
      <c r="C29" s="65" t="s">
        <v>399</v>
      </c>
      <c r="D29" s="65" t="s">
        <v>473</v>
      </c>
      <c r="E29" s="65" t="s">
        <v>400</v>
      </c>
      <c r="F29" s="65" t="s">
        <v>474</v>
      </c>
      <c r="G29" s="65" t="s">
        <v>475</v>
      </c>
      <c r="H29" s="65" t="s">
        <v>476</v>
      </c>
      <c r="I29" s="65" t="s">
        <v>477</v>
      </c>
      <c r="J29" s="65" t="s">
        <v>209</v>
      </c>
      <c r="K29" s="65" t="s">
        <v>400</v>
      </c>
      <c r="L29" s="65" t="s">
        <v>478</v>
      </c>
      <c r="M29" s="65" t="s">
        <v>479</v>
      </c>
      <c r="N29" s="65" t="s">
        <v>475</v>
      </c>
      <c r="O29" s="65" t="s">
        <v>480</v>
      </c>
      <c r="P29" s="65" t="s">
        <v>481</v>
      </c>
      <c r="Q29" s="65">
        <v>2</v>
      </c>
      <c r="R29" s="65" t="s">
        <v>42</v>
      </c>
      <c r="S29" s="65" t="s">
        <v>43</v>
      </c>
      <c r="T29" s="65" t="s">
        <v>44</v>
      </c>
      <c r="U29" s="65" t="s">
        <v>45</v>
      </c>
      <c r="V29" s="65" t="s">
        <v>46</v>
      </c>
      <c r="W29" s="65">
        <v>-203.39</v>
      </c>
      <c r="X29" s="65" t="s">
        <v>61</v>
      </c>
      <c r="Y29" s="65" t="s">
        <v>48</v>
      </c>
      <c r="Z29" s="65" t="s">
        <v>49</v>
      </c>
      <c r="AA29" s="65">
        <v>982536223</v>
      </c>
      <c r="AB29" s="65" t="s">
        <v>482</v>
      </c>
    </row>
    <row r="30" spans="1:28" x14ac:dyDescent="0.3">
      <c r="A30" s="1">
        <v>46178</v>
      </c>
      <c r="B30" s="65" t="s">
        <v>483</v>
      </c>
      <c r="C30" s="65" t="s">
        <v>268</v>
      </c>
      <c r="D30" s="65" t="s">
        <v>484</v>
      </c>
      <c r="E30" s="65" t="s">
        <v>31</v>
      </c>
      <c r="F30" s="65" t="s">
        <v>485</v>
      </c>
      <c r="G30" s="65" t="s">
        <v>475</v>
      </c>
      <c r="H30" s="65" t="s">
        <v>476</v>
      </c>
      <c r="I30" s="65" t="s">
        <v>477</v>
      </c>
      <c r="J30" s="65" t="s">
        <v>209</v>
      </c>
      <c r="K30" s="65" t="s">
        <v>37</v>
      </c>
      <c r="L30" s="65" t="s">
        <v>478</v>
      </c>
      <c r="M30" s="65" t="s">
        <v>479</v>
      </c>
      <c r="N30" s="65" t="s">
        <v>486</v>
      </c>
      <c r="O30" s="65" t="s">
        <v>487</v>
      </c>
      <c r="P30" s="65" t="s">
        <v>481</v>
      </c>
      <c r="Q30" s="65">
        <v>2</v>
      </c>
      <c r="R30" s="65" t="s">
        <v>42</v>
      </c>
      <c r="S30" s="65" t="s">
        <v>43</v>
      </c>
      <c r="T30" s="65" t="s">
        <v>44</v>
      </c>
      <c r="U30" s="65" t="s">
        <v>45</v>
      </c>
      <c r="V30" s="65" t="s">
        <v>46</v>
      </c>
      <c r="W30" s="65">
        <v>203.39</v>
      </c>
      <c r="X30" s="65" t="s">
        <v>61</v>
      </c>
      <c r="Y30" s="65" t="s">
        <v>48</v>
      </c>
      <c r="Z30" s="65" t="s">
        <v>49</v>
      </c>
      <c r="AA30" s="65">
        <v>982536223</v>
      </c>
      <c r="AB30" s="65" t="s">
        <v>482</v>
      </c>
    </row>
    <row r="31" spans="1:28" x14ac:dyDescent="0.3">
      <c r="A31" s="1">
        <v>46178</v>
      </c>
      <c r="B31" s="65" t="s">
        <v>472</v>
      </c>
      <c r="C31" s="65" t="s">
        <v>29</v>
      </c>
      <c r="D31" s="65" t="s">
        <v>473</v>
      </c>
      <c r="E31" s="65" t="s">
        <v>400</v>
      </c>
      <c r="F31" s="65" t="s">
        <v>488</v>
      </c>
      <c r="G31" s="65" t="s">
        <v>475</v>
      </c>
      <c r="H31" s="65" t="s">
        <v>476</v>
      </c>
      <c r="I31" s="65" t="s">
        <v>477</v>
      </c>
      <c r="J31" s="65" t="s">
        <v>209</v>
      </c>
      <c r="K31" s="65" t="s">
        <v>400</v>
      </c>
      <c r="L31" s="65" t="s">
        <v>478</v>
      </c>
      <c r="M31" s="65" t="s">
        <v>479</v>
      </c>
      <c r="N31" s="65" t="s">
        <v>475</v>
      </c>
      <c r="O31" s="65" t="s">
        <v>480</v>
      </c>
      <c r="P31" s="65" t="s">
        <v>481</v>
      </c>
      <c r="Q31" s="65">
        <v>2</v>
      </c>
      <c r="R31" s="65" t="s">
        <v>42</v>
      </c>
      <c r="S31" s="65" t="s">
        <v>43</v>
      </c>
      <c r="T31" s="65" t="s">
        <v>44</v>
      </c>
      <c r="U31" s="65" t="s">
        <v>45</v>
      </c>
      <c r="V31" s="65" t="s">
        <v>46</v>
      </c>
      <c r="W31" s="65">
        <v>203.39</v>
      </c>
      <c r="X31" s="65" t="s">
        <v>61</v>
      </c>
      <c r="Y31" s="65" t="s">
        <v>48</v>
      </c>
      <c r="Z31" s="65" t="s">
        <v>49</v>
      </c>
      <c r="AA31" s="65">
        <v>982536223</v>
      </c>
      <c r="AB31" s="65" t="s">
        <v>482</v>
      </c>
    </row>
    <row r="32" spans="1:28" x14ac:dyDescent="0.3">
      <c r="A32" s="1">
        <v>46178</v>
      </c>
      <c r="B32" s="65" t="s">
        <v>506</v>
      </c>
      <c r="C32" s="65" t="s">
        <v>268</v>
      </c>
      <c r="D32" s="65" t="s">
        <v>507</v>
      </c>
      <c r="E32" s="65" t="s">
        <v>31</v>
      </c>
      <c r="F32" s="65" t="s">
        <v>508</v>
      </c>
      <c r="G32" s="65" t="s">
        <v>509</v>
      </c>
      <c r="H32" s="65" t="s">
        <v>510</v>
      </c>
      <c r="I32" s="65"/>
      <c r="J32" s="65"/>
      <c r="K32" s="65" t="s">
        <v>37</v>
      </c>
      <c r="L32" s="65" t="s">
        <v>511</v>
      </c>
      <c r="M32" s="65" t="s">
        <v>512</v>
      </c>
      <c r="N32" s="65" t="s">
        <v>486</v>
      </c>
      <c r="O32" s="65" t="s">
        <v>513</v>
      </c>
      <c r="P32" s="65" t="s">
        <v>481</v>
      </c>
      <c r="Q32" s="65">
        <v>2</v>
      </c>
      <c r="R32" s="65" t="s">
        <v>42</v>
      </c>
      <c r="S32" s="65" t="s">
        <v>43</v>
      </c>
      <c r="T32" s="65" t="s">
        <v>44</v>
      </c>
      <c r="U32" s="65" t="s">
        <v>45</v>
      </c>
      <c r="V32" s="65" t="s">
        <v>46</v>
      </c>
      <c r="W32" s="65">
        <v>203.39</v>
      </c>
      <c r="X32" s="65" t="s">
        <v>61</v>
      </c>
      <c r="Y32" s="65" t="s">
        <v>48</v>
      </c>
      <c r="Z32" s="65" t="s">
        <v>49</v>
      </c>
      <c r="AA32" s="65"/>
      <c r="AB32" s="65"/>
    </row>
    <row r="33" spans="1:28" x14ac:dyDescent="0.3">
      <c r="A33" s="1">
        <v>46179</v>
      </c>
      <c r="B33" s="65" t="s">
        <v>440</v>
      </c>
      <c r="C33" s="65" t="s">
        <v>29</v>
      </c>
      <c r="D33" s="65" t="s">
        <v>441</v>
      </c>
      <c r="E33" s="65" t="s">
        <v>31</v>
      </c>
      <c r="F33" s="65" t="s">
        <v>442</v>
      </c>
      <c r="G33" s="65" t="s">
        <v>443</v>
      </c>
      <c r="H33" s="65" t="s">
        <v>444</v>
      </c>
      <c r="I33" s="65" t="s">
        <v>434</v>
      </c>
      <c r="J33" s="65" t="s">
        <v>435</v>
      </c>
      <c r="K33" s="65" t="s">
        <v>37</v>
      </c>
      <c r="L33" s="65" t="s">
        <v>445</v>
      </c>
      <c r="M33" s="65" t="s">
        <v>446</v>
      </c>
      <c r="N33" s="65" t="s">
        <v>443</v>
      </c>
      <c r="O33" s="65" t="s">
        <v>447</v>
      </c>
      <c r="P33" s="65" t="s">
        <v>41</v>
      </c>
      <c r="Q33" s="65">
        <v>1</v>
      </c>
      <c r="R33" s="65" t="s">
        <v>70</v>
      </c>
      <c r="S33" s="65" t="s">
        <v>43</v>
      </c>
      <c r="T33" s="65" t="s">
        <v>44</v>
      </c>
      <c r="U33" s="65" t="s">
        <v>71</v>
      </c>
      <c r="V33" s="65" t="s">
        <v>184</v>
      </c>
      <c r="W33" s="65">
        <v>186.44</v>
      </c>
      <c r="X33" s="65" t="s">
        <v>47</v>
      </c>
      <c r="Y33" s="65" t="s">
        <v>48</v>
      </c>
      <c r="Z33" s="65" t="s">
        <v>73</v>
      </c>
      <c r="AA33" s="65">
        <v>992903716</v>
      </c>
      <c r="AB33" s="65" t="s">
        <v>439</v>
      </c>
    </row>
    <row r="34" spans="1:28" x14ac:dyDescent="0.3">
      <c r="A34" s="1">
        <v>46179</v>
      </c>
      <c r="B34" s="65" t="s">
        <v>623</v>
      </c>
      <c r="C34" s="65" t="s">
        <v>29</v>
      </c>
      <c r="D34" s="65" t="s">
        <v>624</v>
      </c>
      <c r="E34" s="65" t="s">
        <v>31</v>
      </c>
      <c r="F34" s="65" t="s">
        <v>625</v>
      </c>
      <c r="G34" s="65" t="s">
        <v>626</v>
      </c>
      <c r="H34" s="65" t="s">
        <v>627</v>
      </c>
      <c r="I34" s="65" t="s">
        <v>628</v>
      </c>
      <c r="J34" s="65" t="s">
        <v>629</v>
      </c>
      <c r="K34" s="65" t="s">
        <v>37</v>
      </c>
      <c r="L34" s="65" t="s">
        <v>630</v>
      </c>
      <c r="M34" s="65" t="s">
        <v>631</v>
      </c>
      <c r="N34" s="65" t="s">
        <v>626</v>
      </c>
      <c r="O34" s="65" t="s">
        <v>632</v>
      </c>
      <c r="P34" s="65" t="s">
        <v>130</v>
      </c>
      <c r="Q34" s="65">
        <v>1</v>
      </c>
      <c r="R34" s="65" t="s">
        <v>42</v>
      </c>
      <c r="S34" s="65" t="s">
        <v>43</v>
      </c>
      <c r="T34" s="65" t="s">
        <v>44</v>
      </c>
      <c r="U34" s="65" t="s">
        <v>45</v>
      </c>
      <c r="V34" s="65" t="s">
        <v>60</v>
      </c>
      <c r="W34" s="65">
        <v>152.54</v>
      </c>
      <c r="X34" s="65" t="s">
        <v>47</v>
      </c>
      <c r="Y34" s="65" t="s">
        <v>48</v>
      </c>
      <c r="Z34" s="65" t="s">
        <v>49</v>
      </c>
      <c r="AA34" s="65">
        <v>978789268</v>
      </c>
      <c r="AB34" s="65" t="s">
        <v>633</v>
      </c>
    </row>
    <row r="35" spans="1:28" x14ac:dyDescent="0.3">
      <c r="A35" s="1">
        <v>46179</v>
      </c>
      <c r="B35" s="65" t="s">
        <v>646</v>
      </c>
      <c r="C35" s="65" t="s">
        <v>29</v>
      </c>
      <c r="D35" s="65" t="s">
        <v>647</v>
      </c>
      <c r="E35" s="65" t="s">
        <v>31</v>
      </c>
      <c r="F35" s="65" t="s">
        <v>648</v>
      </c>
      <c r="G35" s="65" t="s">
        <v>649</v>
      </c>
      <c r="H35" s="65" t="s">
        <v>650</v>
      </c>
      <c r="I35" s="65" t="s">
        <v>651</v>
      </c>
      <c r="J35" s="65" t="s">
        <v>652</v>
      </c>
      <c r="K35" s="65" t="s">
        <v>37</v>
      </c>
      <c r="L35" s="65" t="s">
        <v>653</v>
      </c>
      <c r="M35" s="65" t="s">
        <v>654</v>
      </c>
      <c r="N35" s="65" t="s">
        <v>649</v>
      </c>
      <c r="O35" s="65" t="s">
        <v>655</v>
      </c>
      <c r="P35" s="65" t="s">
        <v>159</v>
      </c>
      <c r="Q35" s="65">
        <v>1</v>
      </c>
      <c r="R35" s="65" t="s">
        <v>42</v>
      </c>
      <c r="S35" s="65" t="s">
        <v>43</v>
      </c>
      <c r="T35" s="65" t="s">
        <v>44</v>
      </c>
      <c r="U35" s="65" t="s">
        <v>45</v>
      </c>
      <c r="V35" s="65" t="s">
        <v>60</v>
      </c>
      <c r="W35" s="65">
        <v>135.59</v>
      </c>
      <c r="X35" s="65" t="s">
        <v>47</v>
      </c>
      <c r="Y35" s="65" t="s">
        <v>48</v>
      </c>
      <c r="Z35" s="65" t="s">
        <v>49</v>
      </c>
      <c r="AA35" s="65">
        <v>987552890</v>
      </c>
      <c r="AB35" s="65" t="s">
        <v>656</v>
      </c>
    </row>
    <row r="36" spans="1:28" x14ac:dyDescent="0.3">
      <c r="A36" s="1">
        <v>46179</v>
      </c>
      <c r="B36" s="65" t="s">
        <v>646</v>
      </c>
      <c r="C36" s="65" t="s">
        <v>29</v>
      </c>
      <c r="D36" s="65" t="s">
        <v>647</v>
      </c>
      <c r="E36" s="65" t="s">
        <v>31</v>
      </c>
      <c r="F36" s="65" t="s">
        <v>648</v>
      </c>
      <c r="G36" s="65" t="s">
        <v>649</v>
      </c>
      <c r="H36" s="65" t="s">
        <v>650</v>
      </c>
      <c r="I36" s="65" t="s">
        <v>651</v>
      </c>
      <c r="J36" s="65" t="s">
        <v>652</v>
      </c>
      <c r="K36" s="65" t="s">
        <v>37</v>
      </c>
      <c r="L36" s="65" t="s">
        <v>653</v>
      </c>
      <c r="M36" s="65" t="s">
        <v>654</v>
      </c>
      <c r="N36" s="65" t="s">
        <v>649</v>
      </c>
      <c r="O36" s="65" t="s">
        <v>655</v>
      </c>
      <c r="P36" s="65" t="s">
        <v>158</v>
      </c>
      <c r="Q36" s="65">
        <v>1</v>
      </c>
      <c r="R36" s="65" t="s">
        <v>42</v>
      </c>
      <c r="S36" s="65" t="s">
        <v>43</v>
      </c>
      <c r="T36" s="65" t="s">
        <v>44</v>
      </c>
      <c r="U36" s="65" t="s">
        <v>45</v>
      </c>
      <c r="V36" s="65" t="s">
        <v>60</v>
      </c>
      <c r="W36" s="65">
        <v>152.54</v>
      </c>
      <c r="X36" s="65" t="s">
        <v>47</v>
      </c>
      <c r="Y36" s="65" t="s">
        <v>48</v>
      </c>
      <c r="Z36" s="65" t="s">
        <v>49</v>
      </c>
      <c r="AA36" s="65">
        <v>987552890</v>
      </c>
      <c r="AB36" s="65" t="s">
        <v>656</v>
      </c>
    </row>
    <row r="37" spans="1:28" x14ac:dyDescent="0.3">
      <c r="A37" s="1">
        <v>46179</v>
      </c>
      <c r="B37" s="65" t="s">
        <v>646</v>
      </c>
      <c r="C37" s="65" t="s">
        <v>29</v>
      </c>
      <c r="D37" s="65" t="s">
        <v>647</v>
      </c>
      <c r="E37" s="65" t="s">
        <v>31</v>
      </c>
      <c r="F37" s="65" t="s">
        <v>648</v>
      </c>
      <c r="G37" s="65" t="s">
        <v>649</v>
      </c>
      <c r="H37" s="65" t="s">
        <v>650</v>
      </c>
      <c r="I37" s="65" t="s">
        <v>651</v>
      </c>
      <c r="J37" s="65" t="s">
        <v>652</v>
      </c>
      <c r="K37" s="65" t="s">
        <v>37</v>
      </c>
      <c r="L37" s="65" t="s">
        <v>653</v>
      </c>
      <c r="M37" s="65" t="s">
        <v>654</v>
      </c>
      <c r="N37" s="65" t="s">
        <v>649</v>
      </c>
      <c r="O37" s="65" t="s">
        <v>655</v>
      </c>
      <c r="P37" s="65" t="s">
        <v>101</v>
      </c>
      <c r="Q37" s="65">
        <v>1</v>
      </c>
      <c r="R37" s="65" t="s">
        <v>42</v>
      </c>
      <c r="S37" s="65" t="s">
        <v>43</v>
      </c>
      <c r="T37" s="65" t="s">
        <v>44</v>
      </c>
      <c r="U37" s="65" t="s">
        <v>45</v>
      </c>
      <c r="V37" s="65" t="s">
        <v>60</v>
      </c>
      <c r="W37" s="65">
        <v>186.44</v>
      </c>
      <c r="X37" s="65" t="s">
        <v>47</v>
      </c>
      <c r="Y37" s="65" t="s">
        <v>48</v>
      </c>
      <c r="Z37" s="65" t="s">
        <v>49</v>
      </c>
      <c r="AA37" s="65">
        <v>987552890</v>
      </c>
      <c r="AB37" s="65" t="s">
        <v>656</v>
      </c>
    </row>
    <row r="38" spans="1:28" x14ac:dyDescent="0.3">
      <c r="A38" s="1">
        <v>46179</v>
      </c>
      <c r="B38" s="65" t="s">
        <v>710</v>
      </c>
      <c r="C38" s="65" t="s">
        <v>29</v>
      </c>
      <c r="D38" s="65" t="s">
        <v>711</v>
      </c>
      <c r="E38" s="65" t="s">
        <v>31</v>
      </c>
      <c r="F38" s="65" t="s">
        <v>712</v>
      </c>
      <c r="G38" s="65" t="s">
        <v>713</v>
      </c>
      <c r="H38" s="65" t="s">
        <v>714</v>
      </c>
      <c r="I38" s="65" t="s">
        <v>715</v>
      </c>
      <c r="J38" s="65" t="s">
        <v>716</v>
      </c>
      <c r="K38" s="65" t="s">
        <v>37</v>
      </c>
      <c r="L38" s="65" t="s">
        <v>717</v>
      </c>
      <c r="M38" s="65" t="s">
        <v>718</v>
      </c>
      <c r="N38" s="65" t="s">
        <v>713</v>
      </c>
      <c r="O38" s="65" t="s">
        <v>719</v>
      </c>
      <c r="P38" s="65" t="s">
        <v>101</v>
      </c>
      <c r="Q38" s="65">
        <v>1</v>
      </c>
      <c r="R38" s="65" t="s">
        <v>70</v>
      </c>
      <c r="S38" s="65" t="s">
        <v>43</v>
      </c>
      <c r="T38" s="65" t="s">
        <v>44</v>
      </c>
      <c r="U38" s="65" t="s">
        <v>71</v>
      </c>
      <c r="V38" s="65" t="s">
        <v>184</v>
      </c>
      <c r="W38" s="65">
        <v>186.44</v>
      </c>
      <c r="X38" s="65" t="s">
        <v>47</v>
      </c>
      <c r="Y38" s="65" t="s">
        <v>48</v>
      </c>
      <c r="Z38" s="65" t="s">
        <v>73</v>
      </c>
      <c r="AA38" s="65">
        <v>955356636</v>
      </c>
      <c r="AB38" s="65" t="s">
        <v>720</v>
      </c>
    </row>
    <row r="39" spans="1:28" x14ac:dyDescent="0.3">
      <c r="A39" s="1">
        <v>46182</v>
      </c>
      <c r="B39" s="65" t="s">
        <v>295</v>
      </c>
      <c r="C39" s="65" t="s">
        <v>268</v>
      </c>
      <c r="D39" s="65" t="s">
        <v>296</v>
      </c>
      <c r="E39" s="65" t="s">
        <v>31</v>
      </c>
      <c r="F39" s="65" t="s">
        <v>297</v>
      </c>
      <c r="G39" s="65" t="s">
        <v>298</v>
      </c>
      <c r="H39" s="65" t="s">
        <v>299</v>
      </c>
      <c r="I39" s="65" t="s">
        <v>273</v>
      </c>
      <c r="J39" s="65" t="s">
        <v>274</v>
      </c>
      <c r="K39" s="65" t="s">
        <v>37</v>
      </c>
      <c r="L39" s="65" t="s">
        <v>300</v>
      </c>
      <c r="M39" s="65" t="s">
        <v>301</v>
      </c>
      <c r="N39" s="65" t="s">
        <v>277</v>
      </c>
      <c r="O39" s="65" t="s">
        <v>302</v>
      </c>
      <c r="P39" s="65" t="s">
        <v>288</v>
      </c>
      <c r="Q39" s="65">
        <v>1</v>
      </c>
      <c r="R39" s="65" t="s">
        <v>42</v>
      </c>
      <c r="S39" s="65" t="s">
        <v>43</v>
      </c>
      <c r="T39" s="65" t="s">
        <v>44</v>
      </c>
      <c r="U39" s="65" t="s">
        <v>45</v>
      </c>
      <c r="V39" s="65" t="s">
        <v>46</v>
      </c>
      <c r="W39" s="65">
        <v>0</v>
      </c>
      <c r="X39" s="65" t="s">
        <v>289</v>
      </c>
      <c r="Y39" s="65" t="s">
        <v>48</v>
      </c>
      <c r="Z39" s="65" t="s">
        <v>49</v>
      </c>
      <c r="AA39" s="65">
        <v>950133748</v>
      </c>
      <c r="AB39" s="65" t="s">
        <v>279</v>
      </c>
    </row>
    <row r="40" spans="1:28" x14ac:dyDescent="0.3">
      <c r="A40" s="1">
        <v>46182</v>
      </c>
      <c r="B40" s="65" t="s">
        <v>295</v>
      </c>
      <c r="C40" s="65" t="s">
        <v>268</v>
      </c>
      <c r="D40" s="65" t="s">
        <v>296</v>
      </c>
      <c r="E40" s="65" t="s">
        <v>31</v>
      </c>
      <c r="F40" s="65" t="s">
        <v>297</v>
      </c>
      <c r="G40" s="65" t="s">
        <v>298</v>
      </c>
      <c r="H40" s="65" t="s">
        <v>299</v>
      </c>
      <c r="I40" s="65" t="s">
        <v>273</v>
      </c>
      <c r="J40" s="65" t="s">
        <v>274</v>
      </c>
      <c r="K40" s="65" t="s">
        <v>37</v>
      </c>
      <c r="L40" s="65" t="s">
        <v>300</v>
      </c>
      <c r="M40" s="65" t="s">
        <v>301</v>
      </c>
      <c r="N40" s="65" t="s">
        <v>277</v>
      </c>
      <c r="O40" s="65" t="s">
        <v>302</v>
      </c>
      <c r="P40" s="65" t="s">
        <v>290</v>
      </c>
      <c r="Q40" s="65">
        <v>1</v>
      </c>
      <c r="R40" s="65" t="s">
        <v>42</v>
      </c>
      <c r="S40" s="65" t="s">
        <v>43</v>
      </c>
      <c r="T40" s="65" t="s">
        <v>44</v>
      </c>
      <c r="U40" s="65" t="s">
        <v>45</v>
      </c>
      <c r="V40" s="65" t="s">
        <v>46</v>
      </c>
      <c r="W40" s="65">
        <v>1050.8499999999999</v>
      </c>
      <c r="X40" s="65" t="s">
        <v>289</v>
      </c>
      <c r="Y40" s="65" t="s">
        <v>48</v>
      </c>
      <c r="Z40" s="65" t="s">
        <v>49</v>
      </c>
      <c r="AA40" s="65">
        <v>950133748</v>
      </c>
      <c r="AB40" s="65" t="s">
        <v>279</v>
      </c>
    </row>
    <row r="41" spans="1:28" x14ac:dyDescent="0.3">
      <c r="A41" s="1">
        <v>46182</v>
      </c>
      <c r="B41" s="65" t="s">
        <v>303</v>
      </c>
      <c r="C41" s="65" t="s">
        <v>268</v>
      </c>
      <c r="D41" s="65" t="s">
        <v>304</v>
      </c>
      <c r="E41" s="65" t="s">
        <v>31</v>
      </c>
      <c r="F41" s="65" t="s">
        <v>305</v>
      </c>
      <c r="G41" s="65" t="s">
        <v>306</v>
      </c>
      <c r="H41" s="65" t="s">
        <v>307</v>
      </c>
      <c r="I41" s="65" t="s">
        <v>273</v>
      </c>
      <c r="J41" s="65" t="s">
        <v>274</v>
      </c>
      <c r="K41" s="65" t="s">
        <v>37</v>
      </c>
      <c r="L41" s="65" t="s">
        <v>308</v>
      </c>
      <c r="M41" s="65" t="s">
        <v>309</v>
      </c>
      <c r="N41" s="65" t="s">
        <v>277</v>
      </c>
      <c r="O41" s="65" t="s">
        <v>310</v>
      </c>
      <c r="P41" s="65" t="s">
        <v>288</v>
      </c>
      <c r="Q41" s="65">
        <v>1</v>
      </c>
      <c r="R41" s="65" t="s">
        <v>42</v>
      </c>
      <c r="S41" s="65" t="s">
        <v>43</v>
      </c>
      <c r="T41" s="65" t="s">
        <v>44</v>
      </c>
      <c r="U41" s="65" t="s">
        <v>45</v>
      </c>
      <c r="V41" s="65" t="s">
        <v>46</v>
      </c>
      <c r="W41" s="65">
        <v>0</v>
      </c>
      <c r="X41" s="65" t="s">
        <v>289</v>
      </c>
      <c r="Y41" s="65" t="s">
        <v>48</v>
      </c>
      <c r="Z41" s="65" t="s">
        <v>49</v>
      </c>
      <c r="AA41" s="65">
        <v>950133748</v>
      </c>
      <c r="AB41" s="65" t="s">
        <v>279</v>
      </c>
    </row>
    <row r="42" spans="1:28" x14ac:dyDescent="0.3">
      <c r="A42" s="1">
        <v>46182</v>
      </c>
      <c r="B42" s="65" t="s">
        <v>303</v>
      </c>
      <c r="C42" s="65" t="s">
        <v>268</v>
      </c>
      <c r="D42" s="65" t="s">
        <v>304</v>
      </c>
      <c r="E42" s="65" t="s">
        <v>31</v>
      </c>
      <c r="F42" s="65" t="s">
        <v>305</v>
      </c>
      <c r="G42" s="65" t="s">
        <v>306</v>
      </c>
      <c r="H42" s="65" t="s">
        <v>307</v>
      </c>
      <c r="I42" s="65" t="s">
        <v>273</v>
      </c>
      <c r="J42" s="65" t="s">
        <v>274</v>
      </c>
      <c r="K42" s="65" t="s">
        <v>37</v>
      </c>
      <c r="L42" s="65" t="s">
        <v>308</v>
      </c>
      <c r="M42" s="65" t="s">
        <v>309</v>
      </c>
      <c r="N42" s="65" t="s">
        <v>277</v>
      </c>
      <c r="O42" s="65" t="s">
        <v>310</v>
      </c>
      <c r="P42" s="65" t="s">
        <v>290</v>
      </c>
      <c r="Q42" s="65">
        <v>1</v>
      </c>
      <c r="R42" s="65" t="s">
        <v>42</v>
      </c>
      <c r="S42" s="65" t="s">
        <v>43</v>
      </c>
      <c r="T42" s="65" t="s">
        <v>44</v>
      </c>
      <c r="U42" s="65" t="s">
        <v>45</v>
      </c>
      <c r="V42" s="65" t="s">
        <v>46</v>
      </c>
      <c r="W42" s="65">
        <v>1050.8499999999999</v>
      </c>
      <c r="X42" s="65" t="s">
        <v>289</v>
      </c>
      <c r="Y42" s="65" t="s">
        <v>48</v>
      </c>
      <c r="Z42" s="65" t="s">
        <v>49</v>
      </c>
      <c r="AA42" s="65">
        <v>950133748</v>
      </c>
      <c r="AB42" s="65" t="s">
        <v>279</v>
      </c>
    </row>
    <row r="43" spans="1:28" x14ac:dyDescent="0.3">
      <c r="A43" s="1">
        <v>46182</v>
      </c>
      <c r="B43" s="65" t="s">
        <v>757</v>
      </c>
      <c r="C43" s="65" t="s">
        <v>268</v>
      </c>
      <c r="D43" s="65" t="s">
        <v>758</v>
      </c>
      <c r="E43" s="65" t="s">
        <v>31</v>
      </c>
      <c r="F43" s="65" t="s">
        <v>759</v>
      </c>
      <c r="G43" s="65" t="s">
        <v>760</v>
      </c>
      <c r="H43" s="65" t="s">
        <v>761</v>
      </c>
      <c r="I43" s="65" t="s">
        <v>762</v>
      </c>
      <c r="J43" s="65" t="s">
        <v>209</v>
      </c>
      <c r="K43" s="65" t="s">
        <v>37</v>
      </c>
      <c r="L43" s="65" t="s">
        <v>763</v>
      </c>
      <c r="M43" s="65" t="s">
        <v>764</v>
      </c>
      <c r="N43" s="65" t="s">
        <v>765</v>
      </c>
      <c r="O43" s="65" t="s">
        <v>766</v>
      </c>
      <c r="P43" s="65" t="s">
        <v>767</v>
      </c>
      <c r="Q43" s="65">
        <v>1</v>
      </c>
      <c r="R43" s="65" t="s">
        <v>42</v>
      </c>
      <c r="S43" s="65" t="s">
        <v>43</v>
      </c>
      <c r="T43" s="65" t="s">
        <v>44</v>
      </c>
      <c r="U43" s="65" t="s">
        <v>45</v>
      </c>
      <c r="V43" s="65" t="s">
        <v>60</v>
      </c>
      <c r="W43" s="65">
        <v>169.49</v>
      </c>
      <c r="X43" s="65" t="s">
        <v>61</v>
      </c>
      <c r="Y43" s="65" t="s">
        <v>48</v>
      </c>
      <c r="Z43" s="65" t="s">
        <v>49</v>
      </c>
      <c r="AA43" s="65">
        <v>969791876</v>
      </c>
      <c r="AB43" s="65" t="s">
        <v>768</v>
      </c>
    </row>
    <row r="44" spans="1:28" x14ac:dyDescent="0.3">
      <c r="A44" s="1">
        <v>46182</v>
      </c>
      <c r="B44" s="65" t="s">
        <v>769</v>
      </c>
      <c r="C44" s="65" t="s">
        <v>29</v>
      </c>
      <c r="D44" s="65" t="s">
        <v>770</v>
      </c>
      <c r="E44" s="65" t="s">
        <v>31</v>
      </c>
      <c r="F44" s="65" t="s">
        <v>771</v>
      </c>
      <c r="G44" s="65" t="s">
        <v>772</v>
      </c>
      <c r="H44" s="65" t="s">
        <v>773</v>
      </c>
      <c r="I44" s="65" t="s">
        <v>774</v>
      </c>
      <c r="J44" s="65" t="s">
        <v>775</v>
      </c>
      <c r="K44" s="65" t="s">
        <v>37</v>
      </c>
      <c r="L44" s="65" t="s">
        <v>776</v>
      </c>
      <c r="M44" s="65" t="s">
        <v>777</v>
      </c>
      <c r="N44" s="65" t="s">
        <v>772</v>
      </c>
      <c r="O44" s="65" t="s">
        <v>778</v>
      </c>
      <c r="P44" s="65" t="s">
        <v>641</v>
      </c>
      <c r="Q44" s="65">
        <v>1</v>
      </c>
      <c r="R44" s="65" t="s">
        <v>42</v>
      </c>
      <c r="S44" s="65" t="s">
        <v>43</v>
      </c>
      <c r="T44" s="65" t="s">
        <v>44</v>
      </c>
      <c r="U44" s="65" t="s">
        <v>45</v>
      </c>
      <c r="V44" s="65" t="s">
        <v>46</v>
      </c>
      <c r="W44" s="65">
        <v>84.75</v>
      </c>
      <c r="X44" s="65" t="s">
        <v>47</v>
      </c>
      <c r="Y44" s="65" t="s">
        <v>48</v>
      </c>
      <c r="Z44" s="65" t="s">
        <v>49</v>
      </c>
      <c r="AA44" s="65"/>
      <c r="AB44" s="65"/>
    </row>
    <row r="45" spans="1:28" x14ac:dyDescent="0.3">
      <c r="A45" s="1">
        <v>46182</v>
      </c>
      <c r="B45" s="65" t="s">
        <v>779</v>
      </c>
      <c r="C45" s="65" t="s">
        <v>29</v>
      </c>
      <c r="D45" s="65" t="s">
        <v>780</v>
      </c>
      <c r="E45" s="65" t="s">
        <v>31</v>
      </c>
      <c r="F45" s="65" t="s">
        <v>781</v>
      </c>
      <c r="G45" s="65" t="s">
        <v>782</v>
      </c>
      <c r="H45" s="65" t="s">
        <v>783</v>
      </c>
      <c r="I45" s="65" t="s">
        <v>774</v>
      </c>
      <c r="J45" s="65" t="s">
        <v>775</v>
      </c>
      <c r="K45" s="65" t="s">
        <v>37</v>
      </c>
      <c r="L45" s="65" t="s">
        <v>784</v>
      </c>
      <c r="M45" s="65" t="s">
        <v>785</v>
      </c>
      <c r="N45" s="65" t="s">
        <v>782</v>
      </c>
      <c r="O45" s="65" t="s">
        <v>786</v>
      </c>
      <c r="P45" s="65" t="s">
        <v>641</v>
      </c>
      <c r="Q45" s="65">
        <v>1</v>
      </c>
      <c r="R45" s="65" t="s">
        <v>42</v>
      </c>
      <c r="S45" s="65" t="s">
        <v>43</v>
      </c>
      <c r="T45" s="65" t="s">
        <v>44</v>
      </c>
      <c r="U45" s="65" t="s">
        <v>45</v>
      </c>
      <c r="V45" s="65" t="s">
        <v>60</v>
      </c>
      <c r="W45" s="65">
        <v>84.75</v>
      </c>
      <c r="X45" s="65" t="s">
        <v>47</v>
      </c>
      <c r="Y45" s="65" t="s">
        <v>48</v>
      </c>
      <c r="Z45" s="65" t="s">
        <v>49</v>
      </c>
      <c r="AA45" s="65"/>
      <c r="AB45" s="65"/>
    </row>
    <row r="46" spans="1:28" x14ac:dyDescent="0.3">
      <c r="A46" s="1">
        <v>46182</v>
      </c>
      <c r="B46" s="65" t="s">
        <v>787</v>
      </c>
      <c r="C46" s="65" t="s">
        <v>29</v>
      </c>
      <c r="D46" s="65" t="s">
        <v>788</v>
      </c>
      <c r="E46" s="65" t="s">
        <v>31</v>
      </c>
      <c r="F46" s="65" t="s">
        <v>789</v>
      </c>
      <c r="G46" s="65" t="s">
        <v>790</v>
      </c>
      <c r="H46" s="65" t="s">
        <v>791</v>
      </c>
      <c r="I46" s="65" t="s">
        <v>774</v>
      </c>
      <c r="J46" s="65" t="s">
        <v>775</v>
      </c>
      <c r="K46" s="65" t="s">
        <v>37</v>
      </c>
      <c r="L46" s="65" t="s">
        <v>792</v>
      </c>
      <c r="M46" s="65" t="s">
        <v>793</v>
      </c>
      <c r="N46" s="65" t="s">
        <v>790</v>
      </c>
      <c r="O46" s="65" t="s">
        <v>794</v>
      </c>
      <c r="P46" s="65" t="s">
        <v>641</v>
      </c>
      <c r="Q46" s="65">
        <v>1</v>
      </c>
      <c r="R46" s="65" t="s">
        <v>42</v>
      </c>
      <c r="S46" s="65" t="s">
        <v>43</v>
      </c>
      <c r="T46" s="65" t="s">
        <v>44</v>
      </c>
      <c r="U46" s="65" t="s">
        <v>45</v>
      </c>
      <c r="V46" s="65" t="s">
        <v>46</v>
      </c>
      <c r="W46" s="65">
        <v>84.75</v>
      </c>
      <c r="X46" s="65" t="s">
        <v>47</v>
      </c>
      <c r="Y46" s="65" t="s">
        <v>48</v>
      </c>
      <c r="Z46" s="65" t="s">
        <v>49</v>
      </c>
      <c r="AA46" s="65"/>
      <c r="AB46" s="65"/>
    </row>
    <row r="47" spans="1:28" x14ac:dyDescent="0.3">
      <c r="A47" s="1">
        <v>46182</v>
      </c>
      <c r="B47" s="65" t="s">
        <v>795</v>
      </c>
      <c r="C47" s="65" t="s">
        <v>268</v>
      </c>
      <c r="D47" s="65" t="s">
        <v>796</v>
      </c>
      <c r="E47" s="65" t="s">
        <v>31</v>
      </c>
      <c r="F47" s="65" t="s">
        <v>797</v>
      </c>
      <c r="G47" s="65" t="s">
        <v>772</v>
      </c>
      <c r="H47" s="65" t="s">
        <v>773</v>
      </c>
      <c r="I47" s="65" t="s">
        <v>774</v>
      </c>
      <c r="J47" s="65" t="s">
        <v>775</v>
      </c>
      <c r="K47" s="65" t="s">
        <v>37</v>
      </c>
      <c r="L47" s="65" t="s">
        <v>776</v>
      </c>
      <c r="M47" s="65" t="s">
        <v>777</v>
      </c>
      <c r="N47" s="65" t="s">
        <v>798</v>
      </c>
      <c r="O47" s="65" t="s">
        <v>799</v>
      </c>
      <c r="P47" s="65" t="s">
        <v>288</v>
      </c>
      <c r="Q47" s="65">
        <v>1</v>
      </c>
      <c r="R47" s="65" t="s">
        <v>42</v>
      </c>
      <c r="S47" s="65" t="s">
        <v>43</v>
      </c>
      <c r="T47" s="65" t="s">
        <v>44</v>
      </c>
      <c r="U47" s="65" t="s">
        <v>45</v>
      </c>
      <c r="V47" s="65" t="s">
        <v>46</v>
      </c>
      <c r="W47" s="65">
        <v>0</v>
      </c>
      <c r="X47" s="65" t="s">
        <v>289</v>
      </c>
      <c r="Y47" s="65" t="s">
        <v>48</v>
      </c>
      <c r="Z47" s="65" t="s">
        <v>49</v>
      </c>
      <c r="AA47" s="65"/>
      <c r="AB47" s="65"/>
    </row>
    <row r="48" spans="1:28" x14ac:dyDescent="0.3">
      <c r="A48" s="1">
        <v>46182</v>
      </c>
      <c r="B48" s="65" t="s">
        <v>795</v>
      </c>
      <c r="C48" s="65" t="s">
        <v>268</v>
      </c>
      <c r="D48" s="65" t="s">
        <v>796</v>
      </c>
      <c r="E48" s="65" t="s">
        <v>31</v>
      </c>
      <c r="F48" s="65" t="s">
        <v>797</v>
      </c>
      <c r="G48" s="65" t="s">
        <v>772</v>
      </c>
      <c r="H48" s="65" t="s">
        <v>773</v>
      </c>
      <c r="I48" s="65" t="s">
        <v>774</v>
      </c>
      <c r="J48" s="65" t="s">
        <v>775</v>
      </c>
      <c r="K48" s="65" t="s">
        <v>37</v>
      </c>
      <c r="L48" s="65" t="s">
        <v>776</v>
      </c>
      <c r="M48" s="65" t="s">
        <v>777</v>
      </c>
      <c r="N48" s="65" t="s">
        <v>798</v>
      </c>
      <c r="O48" s="65" t="s">
        <v>799</v>
      </c>
      <c r="P48" s="65" t="s">
        <v>290</v>
      </c>
      <c r="Q48" s="65">
        <v>1</v>
      </c>
      <c r="R48" s="65" t="s">
        <v>42</v>
      </c>
      <c r="S48" s="65" t="s">
        <v>43</v>
      </c>
      <c r="T48" s="65" t="s">
        <v>44</v>
      </c>
      <c r="U48" s="65" t="s">
        <v>45</v>
      </c>
      <c r="V48" s="65" t="s">
        <v>46</v>
      </c>
      <c r="W48" s="65">
        <v>1525.42</v>
      </c>
      <c r="X48" s="65" t="s">
        <v>289</v>
      </c>
      <c r="Y48" s="65" t="s">
        <v>48</v>
      </c>
      <c r="Z48" s="65" t="s">
        <v>49</v>
      </c>
      <c r="AA48" s="65"/>
      <c r="AB48" s="65"/>
    </row>
    <row r="49" spans="1:28" x14ac:dyDescent="0.3">
      <c r="A49" s="1">
        <v>46182</v>
      </c>
      <c r="B49" s="65" t="s">
        <v>800</v>
      </c>
      <c r="C49" s="65" t="s">
        <v>268</v>
      </c>
      <c r="D49" s="65" t="s">
        <v>801</v>
      </c>
      <c r="E49" s="65" t="s">
        <v>31</v>
      </c>
      <c r="F49" s="65" t="s">
        <v>802</v>
      </c>
      <c r="G49" s="65" t="s">
        <v>790</v>
      </c>
      <c r="H49" s="65" t="s">
        <v>791</v>
      </c>
      <c r="I49" s="65" t="s">
        <v>774</v>
      </c>
      <c r="J49" s="65" t="s">
        <v>775</v>
      </c>
      <c r="K49" s="65" t="s">
        <v>37</v>
      </c>
      <c r="L49" s="65" t="s">
        <v>792</v>
      </c>
      <c r="M49" s="65" t="s">
        <v>793</v>
      </c>
      <c r="N49" s="65" t="s">
        <v>798</v>
      </c>
      <c r="O49" s="65" t="s">
        <v>803</v>
      </c>
      <c r="P49" s="65" t="s">
        <v>288</v>
      </c>
      <c r="Q49" s="65">
        <v>1</v>
      </c>
      <c r="R49" s="65" t="s">
        <v>42</v>
      </c>
      <c r="S49" s="65" t="s">
        <v>43</v>
      </c>
      <c r="T49" s="65" t="s">
        <v>44</v>
      </c>
      <c r="U49" s="65" t="s">
        <v>45</v>
      </c>
      <c r="V49" s="65" t="s">
        <v>46</v>
      </c>
      <c r="W49" s="65">
        <v>0</v>
      </c>
      <c r="X49" s="65" t="s">
        <v>289</v>
      </c>
      <c r="Y49" s="65" t="s">
        <v>48</v>
      </c>
      <c r="Z49" s="65" t="s">
        <v>49</v>
      </c>
      <c r="AA49" s="65"/>
      <c r="AB49" s="65"/>
    </row>
    <row r="50" spans="1:28" x14ac:dyDescent="0.3">
      <c r="A50" s="1">
        <v>46182</v>
      </c>
      <c r="B50" s="65" t="s">
        <v>800</v>
      </c>
      <c r="C50" s="65" t="s">
        <v>268</v>
      </c>
      <c r="D50" s="65" t="s">
        <v>801</v>
      </c>
      <c r="E50" s="65" t="s">
        <v>31</v>
      </c>
      <c r="F50" s="65" t="s">
        <v>802</v>
      </c>
      <c r="G50" s="65" t="s">
        <v>790</v>
      </c>
      <c r="H50" s="65" t="s">
        <v>791</v>
      </c>
      <c r="I50" s="65" t="s">
        <v>774</v>
      </c>
      <c r="J50" s="65" t="s">
        <v>775</v>
      </c>
      <c r="K50" s="65" t="s">
        <v>37</v>
      </c>
      <c r="L50" s="65" t="s">
        <v>792</v>
      </c>
      <c r="M50" s="65" t="s">
        <v>793</v>
      </c>
      <c r="N50" s="65" t="s">
        <v>798</v>
      </c>
      <c r="O50" s="65" t="s">
        <v>803</v>
      </c>
      <c r="P50" s="65" t="s">
        <v>290</v>
      </c>
      <c r="Q50" s="65">
        <v>1</v>
      </c>
      <c r="R50" s="65" t="s">
        <v>42</v>
      </c>
      <c r="S50" s="65" t="s">
        <v>43</v>
      </c>
      <c r="T50" s="65" t="s">
        <v>44</v>
      </c>
      <c r="U50" s="65" t="s">
        <v>45</v>
      </c>
      <c r="V50" s="65" t="s">
        <v>46</v>
      </c>
      <c r="W50" s="65">
        <v>1525.42</v>
      </c>
      <c r="X50" s="65" t="s">
        <v>289</v>
      </c>
      <c r="Y50" s="65" t="s">
        <v>48</v>
      </c>
      <c r="Z50" s="65" t="s">
        <v>49</v>
      </c>
      <c r="AA50" s="65"/>
      <c r="AB50" s="65"/>
    </row>
    <row r="51" spans="1:28" x14ac:dyDescent="0.3">
      <c r="A51" s="1">
        <v>46182</v>
      </c>
      <c r="B51" s="65" t="s">
        <v>804</v>
      </c>
      <c r="C51" s="65" t="s">
        <v>268</v>
      </c>
      <c r="D51" s="65" t="s">
        <v>805</v>
      </c>
      <c r="E51" s="65" t="s">
        <v>31</v>
      </c>
      <c r="F51" s="65" t="s">
        <v>806</v>
      </c>
      <c r="G51" s="65" t="s">
        <v>782</v>
      </c>
      <c r="H51" s="65" t="s">
        <v>783</v>
      </c>
      <c r="I51" s="65" t="s">
        <v>774</v>
      </c>
      <c r="J51" s="65" t="s">
        <v>775</v>
      </c>
      <c r="K51" s="65" t="s">
        <v>37</v>
      </c>
      <c r="L51" s="65" t="s">
        <v>784</v>
      </c>
      <c r="M51" s="65" t="s">
        <v>785</v>
      </c>
      <c r="N51" s="65" t="s">
        <v>798</v>
      </c>
      <c r="O51" s="65" t="s">
        <v>807</v>
      </c>
      <c r="P51" s="65" t="s">
        <v>288</v>
      </c>
      <c r="Q51" s="65">
        <v>1</v>
      </c>
      <c r="R51" s="65" t="s">
        <v>42</v>
      </c>
      <c r="S51" s="65" t="s">
        <v>43</v>
      </c>
      <c r="T51" s="65" t="s">
        <v>44</v>
      </c>
      <c r="U51" s="65" t="s">
        <v>45</v>
      </c>
      <c r="V51" s="65" t="s">
        <v>60</v>
      </c>
      <c r="W51" s="65">
        <v>0</v>
      </c>
      <c r="X51" s="65" t="s">
        <v>289</v>
      </c>
      <c r="Y51" s="65" t="s">
        <v>48</v>
      </c>
      <c r="Z51" s="65" t="s">
        <v>49</v>
      </c>
      <c r="AA51" s="65"/>
      <c r="AB51" s="65"/>
    </row>
    <row r="52" spans="1:28" x14ac:dyDescent="0.3">
      <c r="A52" s="1">
        <v>46182</v>
      </c>
      <c r="B52" s="65" t="s">
        <v>804</v>
      </c>
      <c r="C52" s="65" t="s">
        <v>268</v>
      </c>
      <c r="D52" s="65" t="s">
        <v>805</v>
      </c>
      <c r="E52" s="65" t="s">
        <v>31</v>
      </c>
      <c r="F52" s="65" t="s">
        <v>806</v>
      </c>
      <c r="G52" s="65" t="s">
        <v>782</v>
      </c>
      <c r="H52" s="65" t="s">
        <v>783</v>
      </c>
      <c r="I52" s="65" t="s">
        <v>774</v>
      </c>
      <c r="J52" s="65" t="s">
        <v>775</v>
      </c>
      <c r="K52" s="65" t="s">
        <v>37</v>
      </c>
      <c r="L52" s="65" t="s">
        <v>784</v>
      </c>
      <c r="M52" s="65" t="s">
        <v>785</v>
      </c>
      <c r="N52" s="65" t="s">
        <v>798</v>
      </c>
      <c r="O52" s="65" t="s">
        <v>807</v>
      </c>
      <c r="P52" s="65" t="s">
        <v>290</v>
      </c>
      <c r="Q52" s="65">
        <v>1</v>
      </c>
      <c r="R52" s="65" t="s">
        <v>42</v>
      </c>
      <c r="S52" s="65" t="s">
        <v>43</v>
      </c>
      <c r="T52" s="65" t="s">
        <v>44</v>
      </c>
      <c r="U52" s="65" t="s">
        <v>45</v>
      </c>
      <c r="V52" s="65" t="s">
        <v>60</v>
      </c>
      <c r="W52" s="65">
        <v>762.71</v>
      </c>
      <c r="X52" s="65" t="s">
        <v>289</v>
      </c>
      <c r="Y52" s="65" t="s">
        <v>48</v>
      </c>
      <c r="Z52" s="65" t="s">
        <v>49</v>
      </c>
      <c r="AA52" s="65"/>
      <c r="AB52" s="65"/>
    </row>
    <row r="53" spans="1:28" x14ac:dyDescent="0.3">
      <c r="A53" s="1">
        <v>46183</v>
      </c>
      <c r="B53" s="65" t="s">
        <v>721</v>
      </c>
      <c r="C53" s="65" t="s">
        <v>29</v>
      </c>
      <c r="D53" s="65" t="s">
        <v>722</v>
      </c>
      <c r="E53" s="65" t="s">
        <v>31</v>
      </c>
      <c r="F53" s="65" t="s">
        <v>723</v>
      </c>
      <c r="G53" s="65" t="s">
        <v>179</v>
      </c>
      <c r="H53" s="65" t="s">
        <v>180</v>
      </c>
      <c r="I53" s="65" t="s">
        <v>715</v>
      </c>
      <c r="J53" s="65" t="s">
        <v>716</v>
      </c>
      <c r="K53" s="65" t="s">
        <v>37</v>
      </c>
      <c r="L53" s="65" t="s">
        <v>181</v>
      </c>
      <c r="M53" s="65" t="s">
        <v>182</v>
      </c>
      <c r="N53" s="65" t="s">
        <v>179</v>
      </c>
      <c r="O53" s="65" t="s">
        <v>724</v>
      </c>
      <c r="P53" s="65" t="s">
        <v>90</v>
      </c>
      <c r="Q53" s="65">
        <v>1</v>
      </c>
      <c r="R53" s="65" t="s">
        <v>70</v>
      </c>
      <c r="S53" s="65" t="s">
        <v>43</v>
      </c>
      <c r="T53" s="65" t="s">
        <v>44</v>
      </c>
      <c r="U53" s="65" t="s">
        <v>71</v>
      </c>
      <c r="V53" s="65" t="s">
        <v>72</v>
      </c>
      <c r="W53" s="65">
        <v>135.59</v>
      </c>
      <c r="X53" s="65" t="s">
        <v>47</v>
      </c>
      <c r="Y53" s="65" t="s">
        <v>48</v>
      </c>
      <c r="Z53" s="65" t="s">
        <v>73</v>
      </c>
      <c r="AA53" s="65">
        <v>955356636</v>
      </c>
      <c r="AB53" s="65" t="s">
        <v>720</v>
      </c>
    </row>
    <row r="54" spans="1:28" x14ac:dyDescent="0.3">
      <c r="A54" s="1">
        <v>46184</v>
      </c>
      <c r="B54" s="65" t="s">
        <v>808</v>
      </c>
      <c r="C54" s="65" t="s">
        <v>29</v>
      </c>
      <c r="D54" s="65" t="s">
        <v>809</v>
      </c>
      <c r="E54" s="65" t="s">
        <v>31</v>
      </c>
      <c r="F54" s="65" t="s">
        <v>810</v>
      </c>
      <c r="G54" s="65" t="s">
        <v>811</v>
      </c>
      <c r="H54" s="65" t="s">
        <v>812</v>
      </c>
      <c r="I54" s="65" t="s">
        <v>774</v>
      </c>
      <c r="J54" s="65" t="s">
        <v>775</v>
      </c>
      <c r="K54" s="65" t="s">
        <v>37</v>
      </c>
      <c r="L54" s="65" t="s">
        <v>813</v>
      </c>
      <c r="M54" s="65" t="s">
        <v>814</v>
      </c>
      <c r="N54" s="65" t="s">
        <v>811</v>
      </c>
      <c r="O54" s="65" t="s">
        <v>815</v>
      </c>
      <c r="P54" s="65" t="s">
        <v>641</v>
      </c>
      <c r="Q54" s="65">
        <v>1</v>
      </c>
      <c r="R54" s="65" t="s">
        <v>42</v>
      </c>
      <c r="S54" s="65" t="s">
        <v>43</v>
      </c>
      <c r="T54" s="65" t="s">
        <v>44</v>
      </c>
      <c r="U54" s="65" t="s">
        <v>45</v>
      </c>
      <c r="V54" s="65" t="s">
        <v>46</v>
      </c>
      <c r="W54" s="65">
        <v>84.75</v>
      </c>
      <c r="X54" s="65" t="s">
        <v>47</v>
      </c>
      <c r="Y54" s="65" t="s">
        <v>48</v>
      </c>
      <c r="Z54" s="65" t="s">
        <v>49</v>
      </c>
      <c r="AA54" s="65"/>
      <c r="AB54" s="65"/>
    </row>
    <row r="55" spans="1:28" x14ac:dyDescent="0.3">
      <c r="A55" s="1">
        <v>46184</v>
      </c>
      <c r="B55" s="65" t="s">
        <v>816</v>
      </c>
      <c r="C55" s="65" t="s">
        <v>29</v>
      </c>
      <c r="D55" s="65" t="s">
        <v>817</v>
      </c>
      <c r="E55" s="65" t="s">
        <v>31</v>
      </c>
      <c r="F55" s="65" t="s">
        <v>818</v>
      </c>
      <c r="G55" s="65" t="s">
        <v>819</v>
      </c>
      <c r="H55" s="65" t="s">
        <v>820</v>
      </c>
      <c r="I55" s="65" t="s">
        <v>774</v>
      </c>
      <c r="J55" s="65" t="s">
        <v>775</v>
      </c>
      <c r="K55" s="65" t="s">
        <v>37</v>
      </c>
      <c r="L55" s="65" t="s">
        <v>821</v>
      </c>
      <c r="M55" s="65" t="s">
        <v>822</v>
      </c>
      <c r="N55" s="65" t="s">
        <v>819</v>
      </c>
      <c r="O55" s="65" t="s">
        <v>823</v>
      </c>
      <c r="P55" s="65" t="s">
        <v>641</v>
      </c>
      <c r="Q55" s="65">
        <v>1</v>
      </c>
      <c r="R55" s="65" t="s">
        <v>42</v>
      </c>
      <c r="S55" s="65" t="s">
        <v>43</v>
      </c>
      <c r="T55" s="65" t="s">
        <v>44</v>
      </c>
      <c r="U55" s="65" t="s">
        <v>45</v>
      </c>
      <c r="V55" s="65" t="s">
        <v>60</v>
      </c>
      <c r="W55" s="65">
        <v>84.75</v>
      </c>
      <c r="X55" s="65" t="s">
        <v>47</v>
      </c>
      <c r="Y55" s="65" t="s">
        <v>48</v>
      </c>
      <c r="Z55" s="65" t="s">
        <v>49</v>
      </c>
      <c r="AA55" s="65"/>
      <c r="AB55" s="65"/>
    </row>
    <row r="56" spans="1:28" x14ac:dyDescent="0.3">
      <c r="A56" s="1">
        <v>46184</v>
      </c>
      <c r="B56" s="65" t="s">
        <v>824</v>
      </c>
      <c r="C56" s="65" t="s">
        <v>29</v>
      </c>
      <c r="D56" s="65" t="s">
        <v>825</v>
      </c>
      <c r="E56" s="65" t="s">
        <v>31</v>
      </c>
      <c r="F56" s="65" t="s">
        <v>826</v>
      </c>
      <c r="G56" s="65" t="s">
        <v>819</v>
      </c>
      <c r="H56" s="65" t="s">
        <v>820</v>
      </c>
      <c r="I56" s="65" t="s">
        <v>774</v>
      </c>
      <c r="J56" s="65" t="s">
        <v>775</v>
      </c>
      <c r="K56" s="65" t="s">
        <v>37</v>
      </c>
      <c r="L56" s="65" t="s">
        <v>821</v>
      </c>
      <c r="M56" s="65" t="s">
        <v>822</v>
      </c>
      <c r="N56" s="65" t="s">
        <v>819</v>
      </c>
      <c r="O56" s="65" t="s">
        <v>827</v>
      </c>
      <c r="P56" s="65" t="s">
        <v>828</v>
      </c>
      <c r="Q56" s="65">
        <v>1</v>
      </c>
      <c r="R56" s="65" t="s">
        <v>42</v>
      </c>
      <c r="S56" s="65" t="s">
        <v>43</v>
      </c>
      <c r="T56" s="65" t="s">
        <v>44</v>
      </c>
      <c r="U56" s="65" t="s">
        <v>45</v>
      </c>
      <c r="V56" s="65" t="s">
        <v>60</v>
      </c>
      <c r="W56" s="65">
        <v>127.12</v>
      </c>
      <c r="X56" s="65" t="s">
        <v>47</v>
      </c>
      <c r="Y56" s="65" t="s">
        <v>48</v>
      </c>
      <c r="Z56" s="65" t="s">
        <v>49</v>
      </c>
      <c r="AA56" s="65"/>
      <c r="AB56" s="65"/>
    </row>
    <row r="57" spans="1:28" x14ac:dyDescent="0.3">
      <c r="A57" s="1">
        <v>46184</v>
      </c>
      <c r="B57" s="65" t="s">
        <v>829</v>
      </c>
      <c r="C57" s="65" t="s">
        <v>29</v>
      </c>
      <c r="D57" s="65" t="s">
        <v>830</v>
      </c>
      <c r="E57" s="65" t="s">
        <v>31</v>
      </c>
      <c r="F57" s="65" t="s">
        <v>831</v>
      </c>
      <c r="G57" s="65" t="s">
        <v>819</v>
      </c>
      <c r="H57" s="65" t="s">
        <v>820</v>
      </c>
      <c r="I57" s="65" t="s">
        <v>774</v>
      </c>
      <c r="J57" s="65" t="s">
        <v>775</v>
      </c>
      <c r="K57" s="65" t="s">
        <v>37</v>
      </c>
      <c r="L57" s="65" t="s">
        <v>821</v>
      </c>
      <c r="M57" s="65" t="s">
        <v>822</v>
      </c>
      <c r="N57" s="65" t="s">
        <v>819</v>
      </c>
      <c r="O57" s="65" t="s">
        <v>832</v>
      </c>
      <c r="P57" s="65" t="s">
        <v>618</v>
      </c>
      <c r="Q57" s="65">
        <v>1</v>
      </c>
      <c r="R57" s="65" t="s">
        <v>42</v>
      </c>
      <c r="S57" s="65" t="s">
        <v>43</v>
      </c>
      <c r="T57" s="65" t="s">
        <v>44</v>
      </c>
      <c r="U57" s="65" t="s">
        <v>45</v>
      </c>
      <c r="V57" s="65" t="s">
        <v>60</v>
      </c>
      <c r="W57" s="65">
        <v>12.71</v>
      </c>
      <c r="X57" s="65" t="s">
        <v>619</v>
      </c>
      <c r="Y57" s="65" t="s">
        <v>48</v>
      </c>
      <c r="Z57" s="65" t="s">
        <v>49</v>
      </c>
      <c r="AA57" s="65"/>
      <c r="AB57" s="65"/>
    </row>
    <row r="58" spans="1:28" x14ac:dyDescent="0.3">
      <c r="A58" s="1">
        <v>46184</v>
      </c>
      <c r="B58" s="65" t="s">
        <v>829</v>
      </c>
      <c r="C58" s="65" t="s">
        <v>29</v>
      </c>
      <c r="D58" s="65" t="s">
        <v>830</v>
      </c>
      <c r="E58" s="65" t="s">
        <v>31</v>
      </c>
      <c r="F58" s="65" t="s">
        <v>831</v>
      </c>
      <c r="G58" s="65" t="s">
        <v>819</v>
      </c>
      <c r="H58" s="65" t="s">
        <v>820</v>
      </c>
      <c r="I58" s="65" t="s">
        <v>774</v>
      </c>
      <c r="J58" s="65" t="s">
        <v>775</v>
      </c>
      <c r="K58" s="65" t="s">
        <v>37</v>
      </c>
      <c r="L58" s="65" t="s">
        <v>821</v>
      </c>
      <c r="M58" s="65" t="s">
        <v>822</v>
      </c>
      <c r="N58" s="65" t="s">
        <v>819</v>
      </c>
      <c r="O58" s="65" t="s">
        <v>832</v>
      </c>
      <c r="P58" s="65" t="s">
        <v>620</v>
      </c>
      <c r="Q58" s="65">
        <v>1</v>
      </c>
      <c r="R58" s="65" t="s">
        <v>42</v>
      </c>
      <c r="S58" s="65" t="s">
        <v>43</v>
      </c>
      <c r="T58" s="65" t="s">
        <v>44</v>
      </c>
      <c r="U58" s="65" t="s">
        <v>45</v>
      </c>
      <c r="V58" s="65" t="s">
        <v>60</v>
      </c>
      <c r="W58" s="65">
        <v>21.19</v>
      </c>
      <c r="X58" s="65" t="s">
        <v>619</v>
      </c>
      <c r="Y58" s="65" t="s">
        <v>48</v>
      </c>
      <c r="Z58" s="65" t="s">
        <v>49</v>
      </c>
      <c r="AA58" s="65"/>
      <c r="AB58" s="65"/>
    </row>
    <row r="59" spans="1:28" x14ac:dyDescent="0.3">
      <c r="A59" s="1">
        <v>46184</v>
      </c>
      <c r="B59" s="65" t="s">
        <v>829</v>
      </c>
      <c r="C59" s="65" t="s">
        <v>29</v>
      </c>
      <c r="D59" s="65" t="s">
        <v>830</v>
      </c>
      <c r="E59" s="65" t="s">
        <v>31</v>
      </c>
      <c r="F59" s="65" t="s">
        <v>831</v>
      </c>
      <c r="G59" s="65" t="s">
        <v>819</v>
      </c>
      <c r="H59" s="65" t="s">
        <v>820</v>
      </c>
      <c r="I59" s="65" t="s">
        <v>774</v>
      </c>
      <c r="J59" s="65" t="s">
        <v>775</v>
      </c>
      <c r="K59" s="65" t="s">
        <v>37</v>
      </c>
      <c r="L59" s="65" t="s">
        <v>821</v>
      </c>
      <c r="M59" s="65" t="s">
        <v>822</v>
      </c>
      <c r="N59" s="65" t="s">
        <v>819</v>
      </c>
      <c r="O59" s="65" t="s">
        <v>832</v>
      </c>
      <c r="P59" s="65" t="s">
        <v>621</v>
      </c>
      <c r="Q59" s="65">
        <v>1</v>
      </c>
      <c r="R59" s="65" t="s">
        <v>42</v>
      </c>
      <c r="S59" s="65" t="s">
        <v>43</v>
      </c>
      <c r="T59" s="65" t="s">
        <v>44</v>
      </c>
      <c r="U59" s="65" t="s">
        <v>45</v>
      </c>
      <c r="V59" s="65" t="s">
        <v>60</v>
      </c>
      <c r="W59" s="65">
        <v>12.71</v>
      </c>
      <c r="X59" s="65" t="s">
        <v>619</v>
      </c>
      <c r="Y59" s="65" t="s">
        <v>48</v>
      </c>
      <c r="Z59" s="65" t="s">
        <v>49</v>
      </c>
      <c r="AA59" s="65"/>
      <c r="AB59" s="65"/>
    </row>
    <row r="60" spans="1:28" x14ac:dyDescent="0.3">
      <c r="A60" s="1">
        <v>46184</v>
      </c>
      <c r="B60" s="65" t="s">
        <v>829</v>
      </c>
      <c r="C60" s="65" t="s">
        <v>29</v>
      </c>
      <c r="D60" s="65" t="s">
        <v>830</v>
      </c>
      <c r="E60" s="65" t="s">
        <v>31</v>
      </c>
      <c r="F60" s="65" t="s">
        <v>831</v>
      </c>
      <c r="G60" s="65" t="s">
        <v>819</v>
      </c>
      <c r="H60" s="65" t="s">
        <v>820</v>
      </c>
      <c r="I60" s="65" t="s">
        <v>774</v>
      </c>
      <c r="J60" s="65" t="s">
        <v>775</v>
      </c>
      <c r="K60" s="65" t="s">
        <v>37</v>
      </c>
      <c r="L60" s="65" t="s">
        <v>821</v>
      </c>
      <c r="M60" s="65" t="s">
        <v>822</v>
      </c>
      <c r="N60" s="65" t="s">
        <v>819</v>
      </c>
      <c r="O60" s="65" t="s">
        <v>832</v>
      </c>
      <c r="P60" s="65" t="s">
        <v>622</v>
      </c>
      <c r="Q60" s="65">
        <v>1</v>
      </c>
      <c r="R60" s="65" t="s">
        <v>42</v>
      </c>
      <c r="S60" s="65" t="s">
        <v>43</v>
      </c>
      <c r="T60" s="65" t="s">
        <v>44</v>
      </c>
      <c r="U60" s="65" t="s">
        <v>45</v>
      </c>
      <c r="V60" s="65" t="s">
        <v>60</v>
      </c>
      <c r="W60" s="65">
        <v>12.71</v>
      </c>
      <c r="X60" s="65" t="s">
        <v>619</v>
      </c>
      <c r="Y60" s="65" t="s">
        <v>48</v>
      </c>
      <c r="Z60" s="65" t="s">
        <v>49</v>
      </c>
      <c r="AA60" s="65"/>
      <c r="AB60" s="65"/>
    </row>
    <row r="61" spans="1:28" x14ac:dyDescent="0.3">
      <c r="A61" s="1">
        <v>46184</v>
      </c>
      <c r="B61" s="65" t="s">
        <v>829</v>
      </c>
      <c r="C61" s="65" t="s">
        <v>29</v>
      </c>
      <c r="D61" s="65" t="s">
        <v>830</v>
      </c>
      <c r="E61" s="65" t="s">
        <v>31</v>
      </c>
      <c r="F61" s="65" t="s">
        <v>831</v>
      </c>
      <c r="G61" s="65" t="s">
        <v>819</v>
      </c>
      <c r="H61" s="65" t="s">
        <v>820</v>
      </c>
      <c r="I61" s="65" t="s">
        <v>774</v>
      </c>
      <c r="J61" s="65" t="s">
        <v>775</v>
      </c>
      <c r="K61" s="65" t="s">
        <v>37</v>
      </c>
      <c r="L61" s="65" t="s">
        <v>821</v>
      </c>
      <c r="M61" s="65" t="s">
        <v>822</v>
      </c>
      <c r="N61" s="65" t="s">
        <v>819</v>
      </c>
      <c r="O61" s="65" t="s">
        <v>832</v>
      </c>
      <c r="P61" s="65" t="s">
        <v>833</v>
      </c>
      <c r="Q61" s="65">
        <v>1</v>
      </c>
      <c r="R61" s="65" t="s">
        <v>42</v>
      </c>
      <c r="S61" s="65" t="s">
        <v>43</v>
      </c>
      <c r="T61" s="65" t="s">
        <v>44</v>
      </c>
      <c r="U61" s="65" t="s">
        <v>45</v>
      </c>
      <c r="V61" s="65" t="s">
        <v>60</v>
      </c>
      <c r="W61" s="65">
        <v>50.85</v>
      </c>
      <c r="X61" s="65" t="s">
        <v>619</v>
      </c>
      <c r="Y61" s="65" t="s">
        <v>48</v>
      </c>
      <c r="Z61" s="65" t="s">
        <v>49</v>
      </c>
      <c r="AA61" s="65"/>
      <c r="AB61" s="65"/>
    </row>
    <row r="62" spans="1:28" x14ac:dyDescent="0.3">
      <c r="A62" s="1">
        <v>46184</v>
      </c>
      <c r="B62" s="65" t="s">
        <v>834</v>
      </c>
      <c r="C62" s="65" t="s">
        <v>29</v>
      </c>
      <c r="D62" s="65" t="s">
        <v>835</v>
      </c>
      <c r="E62" s="65" t="s">
        <v>31</v>
      </c>
      <c r="F62" s="65" t="s">
        <v>836</v>
      </c>
      <c r="G62" s="65" t="s">
        <v>837</v>
      </c>
      <c r="H62" s="65" t="s">
        <v>838</v>
      </c>
      <c r="I62" s="65" t="s">
        <v>774</v>
      </c>
      <c r="J62" s="65" t="s">
        <v>775</v>
      </c>
      <c r="K62" s="65" t="s">
        <v>37</v>
      </c>
      <c r="L62" s="65" t="s">
        <v>839</v>
      </c>
      <c r="M62" s="65" t="s">
        <v>840</v>
      </c>
      <c r="N62" s="65" t="s">
        <v>837</v>
      </c>
      <c r="O62" s="65" t="s">
        <v>841</v>
      </c>
      <c r="P62" s="65" t="s">
        <v>618</v>
      </c>
      <c r="Q62" s="65">
        <v>1</v>
      </c>
      <c r="R62" s="65" t="s">
        <v>42</v>
      </c>
      <c r="S62" s="65" t="s">
        <v>43</v>
      </c>
      <c r="T62" s="65" t="s">
        <v>44</v>
      </c>
      <c r="U62" s="65" t="s">
        <v>45</v>
      </c>
      <c r="V62" s="65" t="s">
        <v>60</v>
      </c>
      <c r="W62" s="65">
        <v>12.71</v>
      </c>
      <c r="X62" s="65" t="s">
        <v>619</v>
      </c>
      <c r="Y62" s="65" t="s">
        <v>48</v>
      </c>
      <c r="Z62" s="65" t="s">
        <v>49</v>
      </c>
      <c r="AA62" s="65"/>
      <c r="AB62" s="65"/>
    </row>
    <row r="63" spans="1:28" x14ac:dyDescent="0.3">
      <c r="A63" s="1">
        <v>46184</v>
      </c>
      <c r="B63" s="65" t="s">
        <v>834</v>
      </c>
      <c r="C63" s="65" t="s">
        <v>29</v>
      </c>
      <c r="D63" s="65" t="s">
        <v>835</v>
      </c>
      <c r="E63" s="65" t="s">
        <v>31</v>
      </c>
      <c r="F63" s="65" t="s">
        <v>836</v>
      </c>
      <c r="G63" s="65" t="s">
        <v>837</v>
      </c>
      <c r="H63" s="65" t="s">
        <v>838</v>
      </c>
      <c r="I63" s="65" t="s">
        <v>774</v>
      </c>
      <c r="J63" s="65" t="s">
        <v>775</v>
      </c>
      <c r="K63" s="65" t="s">
        <v>37</v>
      </c>
      <c r="L63" s="65" t="s">
        <v>839</v>
      </c>
      <c r="M63" s="65" t="s">
        <v>840</v>
      </c>
      <c r="N63" s="65" t="s">
        <v>837</v>
      </c>
      <c r="O63" s="65" t="s">
        <v>841</v>
      </c>
      <c r="P63" s="65" t="s">
        <v>620</v>
      </c>
      <c r="Q63" s="65">
        <v>1</v>
      </c>
      <c r="R63" s="65" t="s">
        <v>42</v>
      </c>
      <c r="S63" s="65" t="s">
        <v>43</v>
      </c>
      <c r="T63" s="65" t="s">
        <v>44</v>
      </c>
      <c r="U63" s="65" t="s">
        <v>45</v>
      </c>
      <c r="V63" s="65" t="s">
        <v>60</v>
      </c>
      <c r="W63" s="65">
        <v>21.19</v>
      </c>
      <c r="X63" s="65" t="s">
        <v>619</v>
      </c>
      <c r="Y63" s="65" t="s">
        <v>48</v>
      </c>
      <c r="Z63" s="65" t="s">
        <v>49</v>
      </c>
      <c r="AA63" s="65"/>
      <c r="AB63" s="65"/>
    </row>
    <row r="64" spans="1:28" x14ac:dyDescent="0.3">
      <c r="A64" s="1">
        <v>46184</v>
      </c>
      <c r="B64" s="65" t="s">
        <v>834</v>
      </c>
      <c r="C64" s="65" t="s">
        <v>29</v>
      </c>
      <c r="D64" s="65" t="s">
        <v>835</v>
      </c>
      <c r="E64" s="65" t="s">
        <v>31</v>
      </c>
      <c r="F64" s="65" t="s">
        <v>836</v>
      </c>
      <c r="G64" s="65" t="s">
        <v>837</v>
      </c>
      <c r="H64" s="65" t="s">
        <v>838</v>
      </c>
      <c r="I64" s="65" t="s">
        <v>774</v>
      </c>
      <c r="J64" s="65" t="s">
        <v>775</v>
      </c>
      <c r="K64" s="65" t="s">
        <v>37</v>
      </c>
      <c r="L64" s="65" t="s">
        <v>839</v>
      </c>
      <c r="M64" s="65" t="s">
        <v>840</v>
      </c>
      <c r="N64" s="65" t="s">
        <v>837</v>
      </c>
      <c r="O64" s="65" t="s">
        <v>841</v>
      </c>
      <c r="P64" s="65" t="s">
        <v>621</v>
      </c>
      <c r="Q64" s="65">
        <v>1</v>
      </c>
      <c r="R64" s="65" t="s">
        <v>42</v>
      </c>
      <c r="S64" s="65" t="s">
        <v>43</v>
      </c>
      <c r="T64" s="65" t="s">
        <v>44</v>
      </c>
      <c r="U64" s="65" t="s">
        <v>45</v>
      </c>
      <c r="V64" s="65" t="s">
        <v>60</v>
      </c>
      <c r="W64" s="65">
        <v>12.71</v>
      </c>
      <c r="X64" s="65" t="s">
        <v>619</v>
      </c>
      <c r="Y64" s="65" t="s">
        <v>48</v>
      </c>
      <c r="Z64" s="65" t="s">
        <v>49</v>
      </c>
      <c r="AA64" s="65"/>
      <c r="AB64" s="65"/>
    </row>
    <row r="65" spans="1:28" x14ac:dyDescent="0.3">
      <c r="A65" s="1">
        <v>46184</v>
      </c>
      <c r="B65" s="65" t="s">
        <v>834</v>
      </c>
      <c r="C65" s="65" t="s">
        <v>29</v>
      </c>
      <c r="D65" s="65" t="s">
        <v>835</v>
      </c>
      <c r="E65" s="65" t="s">
        <v>31</v>
      </c>
      <c r="F65" s="65" t="s">
        <v>836</v>
      </c>
      <c r="G65" s="65" t="s">
        <v>837</v>
      </c>
      <c r="H65" s="65" t="s">
        <v>838</v>
      </c>
      <c r="I65" s="65" t="s">
        <v>774</v>
      </c>
      <c r="J65" s="65" t="s">
        <v>775</v>
      </c>
      <c r="K65" s="65" t="s">
        <v>37</v>
      </c>
      <c r="L65" s="65" t="s">
        <v>839</v>
      </c>
      <c r="M65" s="65" t="s">
        <v>840</v>
      </c>
      <c r="N65" s="65" t="s">
        <v>837</v>
      </c>
      <c r="O65" s="65" t="s">
        <v>841</v>
      </c>
      <c r="P65" s="65" t="s">
        <v>622</v>
      </c>
      <c r="Q65" s="65">
        <v>1</v>
      </c>
      <c r="R65" s="65" t="s">
        <v>42</v>
      </c>
      <c r="S65" s="65" t="s">
        <v>43</v>
      </c>
      <c r="T65" s="65" t="s">
        <v>44</v>
      </c>
      <c r="U65" s="65" t="s">
        <v>45</v>
      </c>
      <c r="V65" s="65" t="s">
        <v>60</v>
      </c>
      <c r="W65" s="65">
        <v>12.71</v>
      </c>
      <c r="X65" s="65" t="s">
        <v>619</v>
      </c>
      <c r="Y65" s="65" t="s">
        <v>48</v>
      </c>
      <c r="Z65" s="65" t="s">
        <v>49</v>
      </c>
      <c r="AA65" s="65"/>
      <c r="AB65" s="65"/>
    </row>
    <row r="66" spans="1:28" x14ac:dyDescent="0.3">
      <c r="A66" s="1">
        <v>46184</v>
      </c>
      <c r="B66" s="65" t="s">
        <v>834</v>
      </c>
      <c r="C66" s="65" t="s">
        <v>29</v>
      </c>
      <c r="D66" s="65" t="s">
        <v>835</v>
      </c>
      <c r="E66" s="65" t="s">
        <v>31</v>
      </c>
      <c r="F66" s="65" t="s">
        <v>836</v>
      </c>
      <c r="G66" s="65" t="s">
        <v>837</v>
      </c>
      <c r="H66" s="65" t="s">
        <v>838</v>
      </c>
      <c r="I66" s="65" t="s">
        <v>774</v>
      </c>
      <c r="J66" s="65" t="s">
        <v>775</v>
      </c>
      <c r="K66" s="65" t="s">
        <v>37</v>
      </c>
      <c r="L66" s="65" t="s">
        <v>839</v>
      </c>
      <c r="M66" s="65" t="s">
        <v>840</v>
      </c>
      <c r="N66" s="65" t="s">
        <v>837</v>
      </c>
      <c r="O66" s="65" t="s">
        <v>841</v>
      </c>
      <c r="P66" s="65" t="s">
        <v>833</v>
      </c>
      <c r="Q66" s="65">
        <v>1</v>
      </c>
      <c r="R66" s="65" t="s">
        <v>42</v>
      </c>
      <c r="S66" s="65" t="s">
        <v>43</v>
      </c>
      <c r="T66" s="65" t="s">
        <v>44</v>
      </c>
      <c r="U66" s="65" t="s">
        <v>45</v>
      </c>
      <c r="V66" s="65" t="s">
        <v>60</v>
      </c>
      <c r="W66" s="65">
        <v>50.85</v>
      </c>
      <c r="X66" s="65" t="s">
        <v>619</v>
      </c>
      <c r="Y66" s="65" t="s">
        <v>48</v>
      </c>
      <c r="Z66" s="65" t="s">
        <v>49</v>
      </c>
      <c r="AA66" s="65"/>
      <c r="AB66" s="65"/>
    </row>
    <row r="67" spans="1:28" x14ac:dyDescent="0.3">
      <c r="A67" s="1">
        <v>46184</v>
      </c>
      <c r="B67" s="65" t="s">
        <v>842</v>
      </c>
      <c r="C67" s="65" t="s">
        <v>29</v>
      </c>
      <c r="D67" s="65" t="s">
        <v>843</v>
      </c>
      <c r="E67" s="65" t="s">
        <v>31</v>
      </c>
      <c r="F67" s="65" t="s">
        <v>844</v>
      </c>
      <c r="G67" s="65" t="s">
        <v>837</v>
      </c>
      <c r="H67" s="65" t="s">
        <v>838</v>
      </c>
      <c r="I67" s="65" t="s">
        <v>774</v>
      </c>
      <c r="J67" s="65" t="s">
        <v>775</v>
      </c>
      <c r="K67" s="65" t="s">
        <v>37</v>
      </c>
      <c r="L67" s="65" t="s">
        <v>839</v>
      </c>
      <c r="M67" s="65" t="s">
        <v>840</v>
      </c>
      <c r="N67" s="65" t="s">
        <v>837</v>
      </c>
      <c r="O67" s="65" t="s">
        <v>845</v>
      </c>
      <c r="P67" s="65" t="s">
        <v>828</v>
      </c>
      <c r="Q67" s="65">
        <v>1</v>
      </c>
      <c r="R67" s="65" t="s">
        <v>42</v>
      </c>
      <c r="S67" s="65" t="s">
        <v>43</v>
      </c>
      <c r="T67" s="65" t="s">
        <v>44</v>
      </c>
      <c r="U67" s="65" t="s">
        <v>45</v>
      </c>
      <c r="V67" s="65" t="s">
        <v>60</v>
      </c>
      <c r="W67" s="65">
        <v>127.12</v>
      </c>
      <c r="X67" s="65" t="s">
        <v>47</v>
      </c>
      <c r="Y67" s="65" t="s">
        <v>48</v>
      </c>
      <c r="Z67" s="65" t="s">
        <v>49</v>
      </c>
      <c r="AA67" s="65"/>
      <c r="AB67" s="65"/>
    </row>
    <row r="68" spans="1:28" x14ac:dyDescent="0.3">
      <c r="A68" s="1">
        <v>46184</v>
      </c>
      <c r="B68" s="65" t="s">
        <v>846</v>
      </c>
      <c r="C68" s="65" t="s">
        <v>29</v>
      </c>
      <c r="D68" s="65" t="s">
        <v>847</v>
      </c>
      <c r="E68" s="65" t="s">
        <v>31</v>
      </c>
      <c r="F68" s="65" t="s">
        <v>848</v>
      </c>
      <c r="G68" s="65" t="s">
        <v>849</v>
      </c>
      <c r="H68" s="65" t="s">
        <v>850</v>
      </c>
      <c r="I68" s="65" t="s">
        <v>774</v>
      </c>
      <c r="J68" s="65" t="s">
        <v>775</v>
      </c>
      <c r="K68" s="65" t="s">
        <v>37</v>
      </c>
      <c r="L68" s="65" t="s">
        <v>851</v>
      </c>
      <c r="M68" s="65" t="s">
        <v>852</v>
      </c>
      <c r="N68" s="65" t="s">
        <v>849</v>
      </c>
      <c r="O68" s="65" t="s">
        <v>853</v>
      </c>
      <c r="P68" s="65" t="s">
        <v>641</v>
      </c>
      <c r="Q68" s="65">
        <v>1</v>
      </c>
      <c r="R68" s="65" t="s">
        <v>42</v>
      </c>
      <c r="S68" s="65" t="s">
        <v>43</v>
      </c>
      <c r="T68" s="65" t="s">
        <v>44</v>
      </c>
      <c r="U68" s="65" t="s">
        <v>45</v>
      </c>
      <c r="V68" s="65" t="s">
        <v>46</v>
      </c>
      <c r="W68" s="65">
        <v>84.75</v>
      </c>
      <c r="X68" s="65" t="s">
        <v>47</v>
      </c>
      <c r="Y68" s="65" t="s">
        <v>48</v>
      </c>
      <c r="Z68" s="65" t="s">
        <v>49</v>
      </c>
      <c r="AA68" s="65"/>
      <c r="AB68" s="65"/>
    </row>
    <row r="69" spans="1:28" x14ac:dyDescent="0.3">
      <c r="A69" s="1">
        <v>46184</v>
      </c>
      <c r="B69" s="65" t="s">
        <v>854</v>
      </c>
      <c r="C69" s="65" t="s">
        <v>29</v>
      </c>
      <c r="D69" s="65" t="s">
        <v>855</v>
      </c>
      <c r="E69" s="65" t="s">
        <v>31</v>
      </c>
      <c r="F69" s="65" t="s">
        <v>856</v>
      </c>
      <c r="G69" s="65" t="s">
        <v>837</v>
      </c>
      <c r="H69" s="65" t="s">
        <v>838</v>
      </c>
      <c r="I69" s="65" t="s">
        <v>774</v>
      </c>
      <c r="J69" s="65" t="s">
        <v>775</v>
      </c>
      <c r="K69" s="65" t="s">
        <v>37</v>
      </c>
      <c r="L69" s="65" t="s">
        <v>839</v>
      </c>
      <c r="M69" s="65" t="s">
        <v>840</v>
      </c>
      <c r="N69" s="65" t="s">
        <v>837</v>
      </c>
      <c r="O69" s="65" t="s">
        <v>857</v>
      </c>
      <c r="P69" s="65" t="s">
        <v>641</v>
      </c>
      <c r="Q69" s="65">
        <v>1</v>
      </c>
      <c r="R69" s="65" t="s">
        <v>42</v>
      </c>
      <c r="S69" s="65" t="s">
        <v>43</v>
      </c>
      <c r="T69" s="65" t="s">
        <v>44</v>
      </c>
      <c r="U69" s="65" t="s">
        <v>45</v>
      </c>
      <c r="V69" s="65" t="s">
        <v>60</v>
      </c>
      <c r="W69" s="65">
        <v>84.75</v>
      </c>
      <c r="X69" s="65" t="s">
        <v>47</v>
      </c>
      <c r="Y69" s="65" t="s">
        <v>48</v>
      </c>
      <c r="Z69" s="65" t="s">
        <v>49</v>
      </c>
      <c r="AA69" s="65"/>
      <c r="AB69" s="65"/>
    </row>
    <row r="70" spans="1:28" x14ac:dyDescent="0.3">
      <c r="A70" s="1">
        <v>46184</v>
      </c>
      <c r="B70" s="65" t="s">
        <v>1059</v>
      </c>
      <c r="C70" s="65" t="s">
        <v>29</v>
      </c>
      <c r="D70" s="65" t="s">
        <v>1060</v>
      </c>
      <c r="E70" s="65" t="s">
        <v>31</v>
      </c>
      <c r="F70" s="65" t="s">
        <v>1061</v>
      </c>
      <c r="G70" s="65" t="s">
        <v>1062</v>
      </c>
      <c r="H70" s="65" t="s">
        <v>1063</v>
      </c>
      <c r="I70" s="65" t="s">
        <v>1064</v>
      </c>
      <c r="J70" s="65"/>
      <c r="K70" s="65" t="s">
        <v>37</v>
      </c>
      <c r="L70" s="65" t="s">
        <v>1065</v>
      </c>
      <c r="M70" s="65" t="s">
        <v>1066</v>
      </c>
      <c r="N70" s="65" t="s">
        <v>1062</v>
      </c>
      <c r="O70" s="65" t="s">
        <v>1067</v>
      </c>
      <c r="P70" s="65" t="s">
        <v>90</v>
      </c>
      <c r="Q70" s="65">
        <v>1</v>
      </c>
      <c r="R70" s="65" t="s">
        <v>42</v>
      </c>
      <c r="S70" s="65" t="s">
        <v>43</v>
      </c>
      <c r="T70" s="65" t="s">
        <v>44</v>
      </c>
      <c r="U70" s="65" t="s">
        <v>45</v>
      </c>
      <c r="V70" s="65" t="s">
        <v>60</v>
      </c>
      <c r="W70" s="65">
        <v>135.59</v>
      </c>
      <c r="X70" s="65" t="s">
        <v>47</v>
      </c>
      <c r="Y70" s="65" t="s">
        <v>48</v>
      </c>
      <c r="Z70" s="65" t="s">
        <v>49</v>
      </c>
      <c r="AA70" s="65"/>
      <c r="AB70" s="65"/>
    </row>
    <row r="71" spans="1:28" x14ac:dyDescent="0.3">
      <c r="A71" s="1">
        <v>46185</v>
      </c>
      <c r="B71" s="65" t="s">
        <v>657</v>
      </c>
      <c r="C71" s="65" t="s">
        <v>29</v>
      </c>
      <c r="D71" s="65" t="s">
        <v>658</v>
      </c>
      <c r="E71" s="65" t="s">
        <v>31</v>
      </c>
      <c r="F71" s="65" t="s">
        <v>659</v>
      </c>
      <c r="G71" s="65" t="s">
        <v>660</v>
      </c>
      <c r="H71" s="65" t="s">
        <v>661</v>
      </c>
      <c r="I71" s="65" t="s">
        <v>662</v>
      </c>
      <c r="J71" s="65" t="s">
        <v>36</v>
      </c>
      <c r="K71" s="65" t="s">
        <v>37</v>
      </c>
      <c r="L71" s="65" t="s">
        <v>663</v>
      </c>
      <c r="M71" s="65" t="s">
        <v>664</v>
      </c>
      <c r="N71" s="65" t="s">
        <v>660</v>
      </c>
      <c r="O71" s="65" t="s">
        <v>665</v>
      </c>
      <c r="P71" s="65" t="s">
        <v>481</v>
      </c>
      <c r="Q71" s="65">
        <v>2</v>
      </c>
      <c r="R71" s="65" t="s">
        <v>42</v>
      </c>
      <c r="S71" s="65" t="s">
        <v>43</v>
      </c>
      <c r="T71" s="65" t="s">
        <v>44</v>
      </c>
      <c r="U71" s="65" t="s">
        <v>45</v>
      </c>
      <c r="V71" s="65" t="s">
        <v>60</v>
      </c>
      <c r="W71" s="65">
        <v>203.39</v>
      </c>
      <c r="X71" s="65" t="s">
        <v>61</v>
      </c>
      <c r="Y71" s="65" t="s">
        <v>48</v>
      </c>
      <c r="Z71" s="65" t="s">
        <v>49</v>
      </c>
      <c r="AA71" s="65">
        <v>997145685</v>
      </c>
      <c r="AB71" s="65" t="s">
        <v>666</v>
      </c>
    </row>
    <row r="72" spans="1:28" x14ac:dyDescent="0.3">
      <c r="A72" s="1">
        <v>46185</v>
      </c>
      <c r="B72" s="65" t="s">
        <v>858</v>
      </c>
      <c r="C72" s="65" t="s">
        <v>268</v>
      </c>
      <c r="D72" s="65" t="s">
        <v>859</v>
      </c>
      <c r="E72" s="65" t="s">
        <v>31</v>
      </c>
      <c r="F72" s="65" t="s">
        <v>860</v>
      </c>
      <c r="G72" s="65" t="s">
        <v>837</v>
      </c>
      <c r="H72" s="65" t="s">
        <v>838</v>
      </c>
      <c r="I72" s="65" t="s">
        <v>774</v>
      </c>
      <c r="J72" s="65" t="s">
        <v>775</v>
      </c>
      <c r="K72" s="65" t="s">
        <v>37</v>
      </c>
      <c r="L72" s="65" t="s">
        <v>839</v>
      </c>
      <c r="M72" s="65" t="s">
        <v>840</v>
      </c>
      <c r="N72" s="65" t="s">
        <v>798</v>
      </c>
      <c r="O72" s="65" t="s">
        <v>861</v>
      </c>
      <c r="P72" s="65" t="s">
        <v>288</v>
      </c>
      <c r="Q72" s="65">
        <v>1</v>
      </c>
      <c r="R72" s="65" t="s">
        <v>42</v>
      </c>
      <c r="S72" s="65" t="s">
        <v>43</v>
      </c>
      <c r="T72" s="65" t="s">
        <v>44</v>
      </c>
      <c r="U72" s="65" t="s">
        <v>45</v>
      </c>
      <c r="V72" s="65" t="s">
        <v>60</v>
      </c>
      <c r="W72" s="65">
        <v>0</v>
      </c>
      <c r="X72" s="65" t="s">
        <v>289</v>
      </c>
      <c r="Y72" s="65" t="s">
        <v>48</v>
      </c>
      <c r="Z72" s="65" t="s">
        <v>49</v>
      </c>
      <c r="AA72" s="65"/>
      <c r="AB72" s="65"/>
    </row>
    <row r="73" spans="1:28" x14ac:dyDescent="0.3">
      <c r="A73" s="1">
        <v>46185</v>
      </c>
      <c r="B73" s="65" t="s">
        <v>858</v>
      </c>
      <c r="C73" s="65" t="s">
        <v>268</v>
      </c>
      <c r="D73" s="65" t="s">
        <v>859</v>
      </c>
      <c r="E73" s="65" t="s">
        <v>31</v>
      </c>
      <c r="F73" s="65" t="s">
        <v>860</v>
      </c>
      <c r="G73" s="65" t="s">
        <v>837</v>
      </c>
      <c r="H73" s="65" t="s">
        <v>838</v>
      </c>
      <c r="I73" s="65" t="s">
        <v>774</v>
      </c>
      <c r="J73" s="65" t="s">
        <v>775</v>
      </c>
      <c r="K73" s="65" t="s">
        <v>37</v>
      </c>
      <c r="L73" s="65" t="s">
        <v>839</v>
      </c>
      <c r="M73" s="65" t="s">
        <v>840</v>
      </c>
      <c r="N73" s="65" t="s">
        <v>798</v>
      </c>
      <c r="O73" s="65" t="s">
        <v>861</v>
      </c>
      <c r="P73" s="65" t="s">
        <v>290</v>
      </c>
      <c r="Q73" s="65">
        <v>1</v>
      </c>
      <c r="R73" s="65" t="s">
        <v>42</v>
      </c>
      <c r="S73" s="65" t="s">
        <v>43</v>
      </c>
      <c r="T73" s="65" t="s">
        <v>44</v>
      </c>
      <c r="U73" s="65" t="s">
        <v>45</v>
      </c>
      <c r="V73" s="65" t="s">
        <v>60</v>
      </c>
      <c r="W73" s="65">
        <v>762.71</v>
      </c>
      <c r="X73" s="65" t="s">
        <v>289</v>
      </c>
      <c r="Y73" s="65" t="s">
        <v>48</v>
      </c>
      <c r="Z73" s="65" t="s">
        <v>49</v>
      </c>
      <c r="AA73" s="65"/>
      <c r="AB73" s="65"/>
    </row>
    <row r="74" spans="1:28" x14ac:dyDescent="0.3">
      <c r="A74" s="1">
        <v>46185</v>
      </c>
      <c r="B74" s="65" t="s">
        <v>862</v>
      </c>
      <c r="C74" s="65" t="s">
        <v>268</v>
      </c>
      <c r="D74" s="65" t="s">
        <v>863</v>
      </c>
      <c r="E74" s="65" t="s">
        <v>31</v>
      </c>
      <c r="F74" s="65" t="s">
        <v>864</v>
      </c>
      <c r="G74" s="65" t="s">
        <v>819</v>
      </c>
      <c r="H74" s="65" t="s">
        <v>820</v>
      </c>
      <c r="I74" s="65" t="s">
        <v>774</v>
      </c>
      <c r="J74" s="65" t="s">
        <v>775</v>
      </c>
      <c r="K74" s="65" t="s">
        <v>37</v>
      </c>
      <c r="L74" s="65" t="s">
        <v>821</v>
      </c>
      <c r="M74" s="65" t="s">
        <v>822</v>
      </c>
      <c r="N74" s="65" t="s">
        <v>798</v>
      </c>
      <c r="O74" s="65" t="s">
        <v>865</v>
      </c>
      <c r="P74" s="65" t="s">
        <v>288</v>
      </c>
      <c r="Q74" s="65">
        <v>1</v>
      </c>
      <c r="R74" s="65" t="s">
        <v>42</v>
      </c>
      <c r="S74" s="65" t="s">
        <v>43</v>
      </c>
      <c r="T74" s="65" t="s">
        <v>44</v>
      </c>
      <c r="U74" s="65" t="s">
        <v>45</v>
      </c>
      <c r="V74" s="65" t="s">
        <v>60</v>
      </c>
      <c r="W74" s="65">
        <v>0</v>
      </c>
      <c r="X74" s="65" t="s">
        <v>289</v>
      </c>
      <c r="Y74" s="65" t="s">
        <v>48</v>
      </c>
      <c r="Z74" s="65" t="s">
        <v>49</v>
      </c>
      <c r="AA74" s="65"/>
      <c r="AB74" s="65"/>
    </row>
    <row r="75" spans="1:28" x14ac:dyDescent="0.3">
      <c r="A75" s="1">
        <v>46185</v>
      </c>
      <c r="B75" s="65" t="s">
        <v>862</v>
      </c>
      <c r="C75" s="65" t="s">
        <v>268</v>
      </c>
      <c r="D75" s="65" t="s">
        <v>863</v>
      </c>
      <c r="E75" s="65" t="s">
        <v>31</v>
      </c>
      <c r="F75" s="65" t="s">
        <v>864</v>
      </c>
      <c r="G75" s="65" t="s">
        <v>819</v>
      </c>
      <c r="H75" s="65" t="s">
        <v>820</v>
      </c>
      <c r="I75" s="65" t="s">
        <v>774</v>
      </c>
      <c r="J75" s="65" t="s">
        <v>775</v>
      </c>
      <c r="K75" s="65" t="s">
        <v>37</v>
      </c>
      <c r="L75" s="65" t="s">
        <v>821</v>
      </c>
      <c r="M75" s="65" t="s">
        <v>822</v>
      </c>
      <c r="N75" s="65" t="s">
        <v>798</v>
      </c>
      <c r="O75" s="65" t="s">
        <v>865</v>
      </c>
      <c r="P75" s="65" t="s">
        <v>290</v>
      </c>
      <c r="Q75" s="65">
        <v>1</v>
      </c>
      <c r="R75" s="65" t="s">
        <v>42</v>
      </c>
      <c r="S75" s="65" t="s">
        <v>43</v>
      </c>
      <c r="T75" s="65" t="s">
        <v>44</v>
      </c>
      <c r="U75" s="65" t="s">
        <v>45</v>
      </c>
      <c r="V75" s="65" t="s">
        <v>60</v>
      </c>
      <c r="W75" s="65">
        <v>1525.42</v>
      </c>
      <c r="X75" s="65" t="s">
        <v>289</v>
      </c>
      <c r="Y75" s="65" t="s">
        <v>48</v>
      </c>
      <c r="Z75" s="65" t="s">
        <v>49</v>
      </c>
      <c r="AA75" s="65"/>
      <c r="AB75" s="65"/>
    </row>
    <row r="76" spans="1:28" x14ac:dyDescent="0.3">
      <c r="A76" s="1">
        <v>46185</v>
      </c>
      <c r="B76" s="65" t="s">
        <v>1049</v>
      </c>
      <c r="C76" s="65" t="s">
        <v>29</v>
      </c>
      <c r="D76" s="65" t="s">
        <v>1050</v>
      </c>
      <c r="E76" s="65" t="s">
        <v>31</v>
      </c>
      <c r="F76" s="65" t="s">
        <v>1051</v>
      </c>
      <c r="G76" s="65" t="s">
        <v>1052</v>
      </c>
      <c r="H76" s="65" t="s">
        <v>1053</v>
      </c>
      <c r="I76" s="65" t="s">
        <v>1054</v>
      </c>
      <c r="J76" s="65" t="s">
        <v>262</v>
      </c>
      <c r="K76" s="65" t="s">
        <v>37</v>
      </c>
      <c r="L76" s="65" t="s">
        <v>1055</v>
      </c>
      <c r="M76" s="65" t="s">
        <v>1056</v>
      </c>
      <c r="N76" s="65" t="s">
        <v>1052</v>
      </c>
      <c r="O76" s="65" t="s">
        <v>1057</v>
      </c>
      <c r="P76" s="65" t="s">
        <v>41</v>
      </c>
      <c r="Q76" s="65">
        <v>1</v>
      </c>
      <c r="R76" s="65" t="s">
        <v>42</v>
      </c>
      <c r="S76" s="65" t="s">
        <v>43</v>
      </c>
      <c r="T76" s="65" t="s">
        <v>44</v>
      </c>
      <c r="U76" s="65" t="s">
        <v>45</v>
      </c>
      <c r="V76" s="65" t="s">
        <v>60</v>
      </c>
      <c r="W76" s="65">
        <v>186.44</v>
      </c>
      <c r="X76" s="65" t="s">
        <v>47</v>
      </c>
      <c r="Y76" s="65" t="s">
        <v>48</v>
      </c>
      <c r="Z76" s="65" t="s">
        <v>49</v>
      </c>
      <c r="AA76" s="65">
        <v>947054605</v>
      </c>
      <c r="AB76" s="65" t="s">
        <v>1058</v>
      </c>
    </row>
    <row r="77" spans="1:28" x14ac:dyDescent="0.3">
      <c r="A77" s="1">
        <v>46185</v>
      </c>
      <c r="B77" s="65" t="s">
        <v>1068</v>
      </c>
      <c r="C77" s="65" t="s">
        <v>399</v>
      </c>
      <c r="D77" s="65" t="s">
        <v>1069</v>
      </c>
      <c r="E77" s="65" t="s">
        <v>400</v>
      </c>
      <c r="F77" s="65" t="s">
        <v>1070</v>
      </c>
      <c r="G77" s="65" t="s">
        <v>1071</v>
      </c>
      <c r="H77" s="65" t="s">
        <v>1072</v>
      </c>
      <c r="I77" s="65" t="s">
        <v>1073</v>
      </c>
      <c r="J77" s="65" t="s">
        <v>97</v>
      </c>
      <c r="K77" s="65" t="s">
        <v>400</v>
      </c>
      <c r="L77" s="65" t="s">
        <v>1074</v>
      </c>
      <c r="M77" s="65" t="s">
        <v>1075</v>
      </c>
      <c r="N77" s="65" t="s">
        <v>1071</v>
      </c>
      <c r="O77" s="65" t="s">
        <v>1076</v>
      </c>
      <c r="P77" s="65" t="s">
        <v>101</v>
      </c>
      <c r="Q77" s="65">
        <v>1</v>
      </c>
      <c r="R77" s="65" t="s">
        <v>42</v>
      </c>
      <c r="S77" s="65" t="s">
        <v>43</v>
      </c>
      <c r="T77" s="65" t="s">
        <v>44</v>
      </c>
      <c r="U77" s="65" t="s">
        <v>45</v>
      </c>
      <c r="V77" s="65" t="s">
        <v>60</v>
      </c>
      <c r="W77" s="65">
        <v>-186.44</v>
      </c>
      <c r="X77" s="65" t="s">
        <v>47</v>
      </c>
      <c r="Y77" s="65" t="s">
        <v>48</v>
      </c>
      <c r="Z77" s="65" t="s">
        <v>49</v>
      </c>
      <c r="AA77" s="65">
        <v>999986041</v>
      </c>
      <c r="AB77" s="65" t="s">
        <v>1077</v>
      </c>
    </row>
    <row r="78" spans="1:28" x14ac:dyDescent="0.3">
      <c r="A78" s="1">
        <v>46185</v>
      </c>
      <c r="B78" s="65" t="s">
        <v>1078</v>
      </c>
      <c r="C78" s="65" t="s">
        <v>268</v>
      </c>
      <c r="D78" s="65" t="s">
        <v>1079</v>
      </c>
      <c r="E78" s="65" t="s">
        <v>31</v>
      </c>
      <c r="F78" s="65" t="s">
        <v>1080</v>
      </c>
      <c r="G78" s="65" t="s">
        <v>1071</v>
      </c>
      <c r="H78" s="65" t="s">
        <v>1072</v>
      </c>
      <c r="I78" s="65" t="s">
        <v>1073</v>
      </c>
      <c r="J78" s="65" t="s">
        <v>97</v>
      </c>
      <c r="K78" s="65" t="s">
        <v>37</v>
      </c>
      <c r="L78" s="65" t="s">
        <v>1074</v>
      </c>
      <c r="M78" s="65" t="s">
        <v>1075</v>
      </c>
      <c r="N78" s="65" t="s">
        <v>1081</v>
      </c>
      <c r="O78" s="65" t="s">
        <v>1082</v>
      </c>
      <c r="P78" s="65" t="s">
        <v>101</v>
      </c>
      <c r="Q78" s="65">
        <v>1</v>
      </c>
      <c r="R78" s="65" t="s">
        <v>42</v>
      </c>
      <c r="S78" s="65" t="s">
        <v>43</v>
      </c>
      <c r="T78" s="65" t="s">
        <v>44</v>
      </c>
      <c r="U78" s="65" t="s">
        <v>45</v>
      </c>
      <c r="V78" s="65" t="s">
        <v>60</v>
      </c>
      <c r="W78" s="65">
        <v>186.44</v>
      </c>
      <c r="X78" s="65" t="s">
        <v>47</v>
      </c>
      <c r="Y78" s="65" t="s">
        <v>48</v>
      </c>
      <c r="Z78" s="65" t="s">
        <v>49</v>
      </c>
      <c r="AA78" s="65">
        <v>999986041</v>
      </c>
      <c r="AB78" s="65" t="s">
        <v>1077</v>
      </c>
    </row>
    <row r="79" spans="1:28" x14ac:dyDescent="0.3">
      <c r="A79" s="1">
        <v>46185</v>
      </c>
      <c r="B79" s="65" t="s">
        <v>1068</v>
      </c>
      <c r="C79" s="65" t="s">
        <v>29</v>
      </c>
      <c r="D79" s="65" t="s">
        <v>1069</v>
      </c>
      <c r="E79" s="65" t="s">
        <v>400</v>
      </c>
      <c r="F79" s="65" t="s">
        <v>1083</v>
      </c>
      <c r="G79" s="65" t="s">
        <v>1071</v>
      </c>
      <c r="H79" s="65" t="s">
        <v>1072</v>
      </c>
      <c r="I79" s="65" t="s">
        <v>1073</v>
      </c>
      <c r="J79" s="65" t="s">
        <v>97</v>
      </c>
      <c r="K79" s="65" t="s">
        <v>400</v>
      </c>
      <c r="L79" s="65" t="s">
        <v>1074</v>
      </c>
      <c r="M79" s="65" t="s">
        <v>1075</v>
      </c>
      <c r="N79" s="65" t="s">
        <v>1071</v>
      </c>
      <c r="O79" s="65" t="s">
        <v>1076</v>
      </c>
      <c r="P79" s="65" t="s">
        <v>101</v>
      </c>
      <c r="Q79" s="65">
        <v>1</v>
      </c>
      <c r="R79" s="65" t="s">
        <v>42</v>
      </c>
      <c r="S79" s="65" t="s">
        <v>43</v>
      </c>
      <c r="T79" s="65" t="s">
        <v>44</v>
      </c>
      <c r="U79" s="65" t="s">
        <v>45</v>
      </c>
      <c r="V79" s="65" t="s">
        <v>60</v>
      </c>
      <c r="W79" s="65">
        <v>186.44</v>
      </c>
      <c r="X79" s="65" t="s">
        <v>47</v>
      </c>
      <c r="Y79" s="65" t="s">
        <v>48</v>
      </c>
      <c r="Z79" s="65" t="s">
        <v>49</v>
      </c>
      <c r="AA79" s="65">
        <v>999986041</v>
      </c>
      <c r="AB79" s="65" t="s">
        <v>1077</v>
      </c>
    </row>
    <row r="80" spans="1:28" x14ac:dyDescent="0.3">
      <c r="A80" s="1">
        <v>46185</v>
      </c>
      <c r="B80" s="65" t="s">
        <v>1092</v>
      </c>
      <c r="C80" s="65" t="s">
        <v>29</v>
      </c>
      <c r="D80" s="65" t="s">
        <v>1093</v>
      </c>
      <c r="E80" s="65" t="s">
        <v>31</v>
      </c>
      <c r="F80" s="65" t="s">
        <v>1094</v>
      </c>
      <c r="G80" s="65" t="s">
        <v>1095</v>
      </c>
      <c r="H80" s="65" t="s">
        <v>1096</v>
      </c>
      <c r="I80" s="65" t="s">
        <v>1097</v>
      </c>
      <c r="J80" s="65" t="s">
        <v>1098</v>
      </c>
      <c r="K80" s="65" t="s">
        <v>37</v>
      </c>
      <c r="L80" s="65" t="s">
        <v>1099</v>
      </c>
      <c r="M80" s="65" t="s">
        <v>1100</v>
      </c>
      <c r="N80" s="65" t="s">
        <v>1095</v>
      </c>
      <c r="O80" s="65" t="s">
        <v>1101</v>
      </c>
      <c r="P80" s="65" t="s">
        <v>159</v>
      </c>
      <c r="Q80" s="65">
        <v>1</v>
      </c>
      <c r="R80" s="65" t="s">
        <v>42</v>
      </c>
      <c r="S80" s="65" t="s">
        <v>43</v>
      </c>
      <c r="T80" s="65" t="s">
        <v>44</v>
      </c>
      <c r="U80" s="65" t="s">
        <v>45</v>
      </c>
      <c r="V80" s="65" t="s">
        <v>46</v>
      </c>
      <c r="W80" s="65">
        <v>135.59</v>
      </c>
      <c r="X80" s="65" t="s">
        <v>47</v>
      </c>
      <c r="Y80" s="65" t="s">
        <v>48</v>
      </c>
      <c r="Z80" s="65" t="s">
        <v>49</v>
      </c>
      <c r="AA80" s="65"/>
      <c r="AB80" s="65" t="s">
        <v>1102</v>
      </c>
    </row>
    <row r="81" spans="1:28" x14ac:dyDescent="0.3">
      <c r="A81" s="1">
        <v>46185</v>
      </c>
      <c r="B81" s="65" t="s">
        <v>1103</v>
      </c>
      <c r="C81" s="65" t="s">
        <v>268</v>
      </c>
      <c r="D81" s="65" t="s">
        <v>1104</v>
      </c>
      <c r="E81" s="65" t="s">
        <v>31</v>
      </c>
      <c r="F81" s="65" t="s">
        <v>1105</v>
      </c>
      <c r="G81" s="65" t="s">
        <v>1106</v>
      </c>
      <c r="H81" s="65" t="s">
        <v>1107</v>
      </c>
      <c r="I81" s="65" t="s">
        <v>1108</v>
      </c>
      <c r="J81" s="65" t="s">
        <v>209</v>
      </c>
      <c r="K81" s="65" t="s">
        <v>37</v>
      </c>
      <c r="L81" s="65" t="s">
        <v>1109</v>
      </c>
      <c r="M81" s="65" t="s">
        <v>1110</v>
      </c>
      <c r="N81" s="65" t="s">
        <v>1111</v>
      </c>
      <c r="O81" s="65" t="s">
        <v>1112</v>
      </c>
      <c r="P81" s="65" t="s">
        <v>213</v>
      </c>
      <c r="Q81" s="65">
        <v>1</v>
      </c>
      <c r="R81" s="65" t="s">
        <v>42</v>
      </c>
      <c r="S81" s="65" t="s">
        <v>43</v>
      </c>
      <c r="T81" s="65" t="s">
        <v>44</v>
      </c>
      <c r="U81" s="65" t="s">
        <v>45</v>
      </c>
      <c r="V81" s="65" t="s">
        <v>60</v>
      </c>
      <c r="W81" s="65">
        <v>254.24</v>
      </c>
      <c r="X81" s="65" t="s">
        <v>61</v>
      </c>
      <c r="Y81" s="65" t="s">
        <v>48</v>
      </c>
      <c r="Z81" s="65" t="s">
        <v>49</v>
      </c>
      <c r="AA81" s="65">
        <v>970582106</v>
      </c>
      <c r="AB81" s="65" t="s">
        <v>1113</v>
      </c>
    </row>
    <row r="82" spans="1:28" x14ac:dyDescent="0.3">
      <c r="A82" s="1">
        <v>46188</v>
      </c>
      <c r="B82" s="65" t="s">
        <v>667</v>
      </c>
      <c r="C82" s="65" t="s">
        <v>29</v>
      </c>
      <c r="D82" s="65" t="s">
        <v>668</v>
      </c>
      <c r="E82" s="65" t="s">
        <v>31</v>
      </c>
      <c r="F82" s="65" t="s">
        <v>669</v>
      </c>
      <c r="G82" s="65" t="s">
        <v>670</v>
      </c>
      <c r="H82" s="65" t="s">
        <v>671</v>
      </c>
      <c r="I82" s="65" t="s">
        <v>662</v>
      </c>
      <c r="J82" s="65" t="s">
        <v>36</v>
      </c>
      <c r="K82" s="65" t="s">
        <v>37</v>
      </c>
      <c r="L82" s="65" t="s">
        <v>672</v>
      </c>
      <c r="M82" s="65" t="s">
        <v>673</v>
      </c>
      <c r="N82" s="65" t="s">
        <v>670</v>
      </c>
      <c r="O82" s="65" t="s">
        <v>674</v>
      </c>
      <c r="P82" s="65" t="s">
        <v>201</v>
      </c>
      <c r="Q82" s="65">
        <v>1</v>
      </c>
      <c r="R82" s="65" t="s">
        <v>42</v>
      </c>
      <c r="S82" s="65" t="s">
        <v>43</v>
      </c>
      <c r="T82" s="65" t="s">
        <v>44</v>
      </c>
      <c r="U82" s="65" t="s">
        <v>45</v>
      </c>
      <c r="V82" s="65" t="s">
        <v>46</v>
      </c>
      <c r="W82" s="65">
        <v>152.54</v>
      </c>
      <c r="X82" s="65" t="s">
        <v>47</v>
      </c>
      <c r="Y82" s="65" t="s">
        <v>48</v>
      </c>
      <c r="Z82" s="65" t="s">
        <v>49</v>
      </c>
      <c r="AA82" s="65">
        <v>997145685</v>
      </c>
      <c r="AB82" s="65" t="s">
        <v>666</v>
      </c>
    </row>
    <row r="83" spans="1:28" x14ac:dyDescent="0.3">
      <c r="A83" s="1">
        <v>46188</v>
      </c>
      <c r="B83" s="65" t="s">
        <v>1159</v>
      </c>
      <c r="C83" s="65" t="s">
        <v>29</v>
      </c>
      <c r="D83" s="65" t="s">
        <v>1160</v>
      </c>
      <c r="E83" s="65" t="s">
        <v>31</v>
      </c>
      <c r="F83" s="65" t="s">
        <v>1161</v>
      </c>
      <c r="G83" s="65" t="s">
        <v>1162</v>
      </c>
      <c r="H83" s="65" t="s">
        <v>1163</v>
      </c>
      <c r="I83" s="65" t="s">
        <v>1164</v>
      </c>
      <c r="J83" s="65" t="s">
        <v>1165</v>
      </c>
      <c r="K83" s="65" t="s">
        <v>37</v>
      </c>
      <c r="L83" s="65" t="s">
        <v>1166</v>
      </c>
      <c r="M83" s="65" t="s">
        <v>1167</v>
      </c>
      <c r="N83" s="65" t="s">
        <v>1162</v>
      </c>
      <c r="O83" s="65" t="s">
        <v>1168</v>
      </c>
      <c r="P83" s="65" t="s">
        <v>1157</v>
      </c>
      <c r="Q83" s="65">
        <v>1</v>
      </c>
      <c r="R83" s="65" t="s">
        <v>42</v>
      </c>
      <c r="S83" s="65" t="s">
        <v>43</v>
      </c>
      <c r="T83" s="65" t="s">
        <v>44</v>
      </c>
      <c r="U83" s="65" t="s">
        <v>45</v>
      </c>
      <c r="V83" s="65" t="s">
        <v>60</v>
      </c>
      <c r="W83" s="65">
        <v>338.98</v>
      </c>
      <c r="X83" s="65" t="s">
        <v>47</v>
      </c>
      <c r="Y83" s="65" t="s">
        <v>48</v>
      </c>
      <c r="Z83" s="65" t="s">
        <v>49</v>
      </c>
      <c r="AA83" s="65">
        <v>978548687</v>
      </c>
      <c r="AB83" s="65" t="s">
        <v>1169</v>
      </c>
    </row>
    <row r="84" spans="1:28" x14ac:dyDescent="0.3">
      <c r="A84" s="1">
        <v>46189</v>
      </c>
      <c r="B84" s="65" t="s">
        <v>150</v>
      </c>
      <c r="C84" s="65" t="s">
        <v>29</v>
      </c>
      <c r="D84" s="65" t="s">
        <v>151</v>
      </c>
      <c r="E84" s="65" t="s">
        <v>31</v>
      </c>
      <c r="F84" s="65" t="s">
        <v>152</v>
      </c>
      <c r="G84" s="65" t="s">
        <v>153</v>
      </c>
      <c r="H84" s="65" t="s">
        <v>154</v>
      </c>
      <c r="I84" s="65" t="s">
        <v>136</v>
      </c>
      <c r="J84" s="65" t="s">
        <v>137</v>
      </c>
      <c r="K84" s="65" t="s">
        <v>37</v>
      </c>
      <c r="L84" s="65" t="s">
        <v>155</v>
      </c>
      <c r="M84" s="65" t="s">
        <v>156</v>
      </c>
      <c r="N84" s="65" t="s">
        <v>153</v>
      </c>
      <c r="O84" s="65" t="s">
        <v>157</v>
      </c>
      <c r="P84" s="65" t="s">
        <v>159</v>
      </c>
      <c r="Q84" s="65">
        <v>1</v>
      </c>
      <c r="R84" s="65" t="s">
        <v>42</v>
      </c>
      <c r="S84" s="65" t="s">
        <v>44</v>
      </c>
      <c r="T84" s="65" t="s">
        <v>44</v>
      </c>
      <c r="U84" s="65" t="s">
        <v>45</v>
      </c>
      <c r="V84" s="65" t="s">
        <v>60</v>
      </c>
      <c r="W84" s="65">
        <v>135.59</v>
      </c>
      <c r="X84" s="65" t="s">
        <v>47</v>
      </c>
      <c r="Y84" s="65" t="s">
        <v>48</v>
      </c>
      <c r="Z84" s="65" t="s">
        <v>49</v>
      </c>
      <c r="AA84" s="65">
        <v>987407712</v>
      </c>
      <c r="AB84" s="65" t="s">
        <v>141</v>
      </c>
    </row>
    <row r="85" spans="1:28" x14ac:dyDescent="0.3">
      <c r="A85" s="1">
        <v>46189</v>
      </c>
      <c r="B85" s="65" t="s">
        <v>150</v>
      </c>
      <c r="C85" s="65" t="s">
        <v>29</v>
      </c>
      <c r="D85" s="65" t="s">
        <v>151</v>
      </c>
      <c r="E85" s="65" t="s">
        <v>31</v>
      </c>
      <c r="F85" s="65" t="s">
        <v>152</v>
      </c>
      <c r="G85" s="65" t="s">
        <v>153</v>
      </c>
      <c r="H85" s="65" t="s">
        <v>154</v>
      </c>
      <c r="I85" s="65" t="s">
        <v>136</v>
      </c>
      <c r="J85" s="65" t="s">
        <v>137</v>
      </c>
      <c r="K85" s="65" t="s">
        <v>37</v>
      </c>
      <c r="L85" s="65" t="s">
        <v>155</v>
      </c>
      <c r="M85" s="65" t="s">
        <v>156</v>
      </c>
      <c r="N85" s="65" t="s">
        <v>153</v>
      </c>
      <c r="O85" s="65" t="s">
        <v>157</v>
      </c>
      <c r="P85" s="65" t="s">
        <v>101</v>
      </c>
      <c r="Q85" s="65">
        <v>1</v>
      </c>
      <c r="R85" s="65" t="s">
        <v>42</v>
      </c>
      <c r="S85" s="65" t="s">
        <v>44</v>
      </c>
      <c r="T85" s="65" t="s">
        <v>44</v>
      </c>
      <c r="U85" s="65" t="s">
        <v>45</v>
      </c>
      <c r="V85" s="65" t="s">
        <v>60</v>
      </c>
      <c r="W85" s="65">
        <v>186.44</v>
      </c>
      <c r="X85" s="65" t="s">
        <v>47</v>
      </c>
      <c r="Y85" s="65" t="s">
        <v>48</v>
      </c>
      <c r="Z85" s="65" t="s">
        <v>49</v>
      </c>
      <c r="AA85" s="65">
        <v>987407712</v>
      </c>
      <c r="AB85" s="65" t="s">
        <v>141</v>
      </c>
    </row>
    <row r="86" spans="1:28" x14ac:dyDescent="0.3">
      <c r="A86" s="1">
        <v>46189</v>
      </c>
      <c r="B86" s="65" t="s">
        <v>150</v>
      </c>
      <c r="C86" s="65" t="s">
        <v>29</v>
      </c>
      <c r="D86" s="65" t="s">
        <v>151</v>
      </c>
      <c r="E86" s="65" t="s">
        <v>31</v>
      </c>
      <c r="F86" s="65" t="s">
        <v>152</v>
      </c>
      <c r="G86" s="65" t="s">
        <v>153</v>
      </c>
      <c r="H86" s="65" t="s">
        <v>154</v>
      </c>
      <c r="I86" s="65" t="s">
        <v>136</v>
      </c>
      <c r="J86" s="65" t="s">
        <v>137</v>
      </c>
      <c r="K86" s="65" t="s">
        <v>37</v>
      </c>
      <c r="L86" s="65" t="s">
        <v>155</v>
      </c>
      <c r="M86" s="65" t="s">
        <v>156</v>
      </c>
      <c r="N86" s="65" t="s">
        <v>153</v>
      </c>
      <c r="O86" s="65" t="s">
        <v>157</v>
      </c>
      <c r="P86" s="65" t="s">
        <v>158</v>
      </c>
      <c r="Q86" s="65">
        <v>1</v>
      </c>
      <c r="R86" s="65" t="s">
        <v>42</v>
      </c>
      <c r="S86" s="65" t="s">
        <v>44</v>
      </c>
      <c r="T86" s="65" t="s">
        <v>44</v>
      </c>
      <c r="U86" s="65" t="s">
        <v>45</v>
      </c>
      <c r="V86" s="65" t="s">
        <v>60</v>
      </c>
      <c r="W86" s="65">
        <v>152.54</v>
      </c>
      <c r="X86" s="65" t="s">
        <v>47</v>
      </c>
      <c r="Y86" s="65" t="s">
        <v>48</v>
      </c>
      <c r="Z86" s="65" t="s">
        <v>49</v>
      </c>
      <c r="AA86" s="65">
        <v>987407712</v>
      </c>
      <c r="AB86" s="65" t="s">
        <v>141</v>
      </c>
    </row>
    <row r="87" spans="1:28" x14ac:dyDescent="0.3">
      <c r="A87" s="1">
        <v>46189</v>
      </c>
      <c r="B87" s="65" t="s">
        <v>351</v>
      </c>
      <c r="C87" s="65" t="s">
        <v>29</v>
      </c>
      <c r="D87" s="65" t="s">
        <v>352</v>
      </c>
      <c r="E87" s="65" t="s">
        <v>31</v>
      </c>
      <c r="F87" s="65" t="s">
        <v>353</v>
      </c>
      <c r="G87" s="65" t="s">
        <v>354</v>
      </c>
      <c r="H87" s="65" t="s">
        <v>355</v>
      </c>
      <c r="I87" s="65" t="s">
        <v>344</v>
      </c>
      <c r="J87" s="65" t="s">
        <v>345</v>
      </c>
      <c r="K87" s="65" t="s">
        <v>37</v>
      </c>
      <c r="L87" s="65" t="s">
        <v>356</v>
      </c>
      <c r="M87" s="65" t="s">
        <v>357</v>
      </c>
      <c r="N87" s="65" t="s">
        <v>354</v>
      </c>
      <c r="O87" s="65" t="s">
        <v>358</v>
      </c>
      <c r="P87" s="65" t="s">
        <v>101</v>
      </c>
      <c r="Q87" s="65">
        <v>1</v>
      </c>
      <c r="R87" s="65" t="s">
        <v>42</v>
      </c>
      <c r="S87" s="65" t="s">
        <v>44</v>
      </c>
      <c r="T87" s="65" t="s">
        <v>44</v>
      </c>
      <c r="U87" s="65" t="s">
        <v>45</v>
      </c>
      <c r="V87" s="65" t="s">
        <v>60</v>
      </c>
      <c r="W87" s="65">
        <v>186.44</v>
      </c>
      <c r="X87" s="65" t="s">
        <v>47</v>
      </c>
      <c r="Y87" s="65" t="s">
        <v>48</v>
      </c>
      <c r="Z87" s="65" t="s">
        <v>49</v>
      </c>
      <c r="AA87" s="65">
        <v>966697811</v>
      </c>
      <c r="AB87" s="65" t="s">
        <v>350</v>
      </c>
    </row>
    <row r="88" spans="1:28" x14ac:dyDescent="0.3">
      <c r="A88" s="1">
        <v>46189</v>
      </c>
      <c r="B88" s="65" t="s">
        <v>866</v>
      </c>
      <c r="C88" s="65" t="s">
        <v>29</v>
      </c>
      <c r="D88" s="65" t="s">
        <v>867</v>
      </c>
      <c r="E88" s="65" t="s">
        <v>31</v>
      </c>
      <c r="F88" s="65" t="s">
        <v>868</v>
      </c>
      <c r="G88" s="65" t="s">
        <v>869</v>
      </c>
      <c r="H88" s="65" t="s">
        <v>870</v>
      </c>
      <c r="I88" s="65" t="s">
        <v>774</v>
      </c>
      <c r="J88" s="65" t="s">
        <v>775</v>
      </c>
      <c r="K88" s="65" t="s">
        <v>37</v>
      </c>
      <c r="L88" s="65" t="s">
        <v>871</v>
      </c>
      <c r="M88" s="65" t="s">
        <v>872</v>
      </c>
      <c r="N88" s="65" t="s">
        <v>869</v>
      </c>
      <c r="O88" s="65" t="s">
        <v>873</v>
      </c>
      <c r="P88" s="65" t="s">
        <v>201</v>
      </c>
      <c r="Q88" s="65">
        <v>1</v>
      </c>
      <c r="R88" s="65" t="s">
        <v>42</v>
      </c>
      <c r="S88" s="65" t="s">
        <v>44</v>
      </c>
      <c r="T88" s="65" t="s">
        <v>44</v>
      </c>
      <c r="U88" s="65" t="s">
        <v>45</v>
      </c>
      <c r="V88" s="65" t="s">
        <v>60</v>
      </c>
      <c r="W88" s="65">
        <v>42.37</v>
      </c>
      <c r="X88" s="65" t="s">
        <v>47</v>
      </c>
      <c r="Y88" s="65" t="s">
        <v>48</v>
      </c>
      <c r="Z88" s="65" t="s">
        <v>49</v>
      </c>
      <c r="AA88" s="65"/>
      <c r="AB88" s="65"/>
    </row>
    <row r="89" spans="1:28" x14ac:dyDescent="0.3">
      <c r="A89" s="1">
        <v>46189</v>
      </c>
      <c r="B89" s="65" t="s">
        <v>866</v>
      </c>
      <c r="C89" s="65" t="s">
        <v>29</v>
      </c>
      <c r="D89" s="65" t="s">
        <v>867</v>
      </c>
      <c r="E89" s="65" t="s">
        <v>31</v>
      </c>
      <c r="F89" s="65" t="s">
        <v>868</v>
      </c>
      <c r="G89" s="65" t="s">
        <v>869</v>
      </c>
      <c r="H89" s="65" t="s">
        <v>870</v>
      </c>
      <c r="I89" s="65" t="s">
        <v>774</v>
      </c>
      <c r="J89" s="65" t="s">
        <v>775</v>
      </c>
      <c r="K89" s="65" t="s">
        <v>37</v>
      </c>
      <c r="L89" s="65" t="s">
        <v>871</v>
      </c>
      <c r="M89" s="65" t="s">
        <v>872</v>
      </c>
      <c r="N89" s="65" t="s">
        <v>869</v>
      </c>
      <c r="O89" s="65" t="s">
        <v>873</v>
      </c>
      <c r="P89" s="65" t="s">
        <v>202</v>
      </c>
      <c r="Q89" s="65">
        <v>1</v>
      </c>
      <c r="R89" s="65" t="s">
        <v>42</v>
      </c>
      <c r="S89" s="65" t="s">
        <v>44</v>
      </c>
      <c r="T89" s="65" t="s">
        <v>44</v>
      </c>
      <c r="U89" s="65" t="s">
        <v>45</v>
      </c>
      <c r="V89" s="65" t="s">
        <v>60</v>
      </c>
      <c r="W89" s="65">
        <v>42.37</v>
      </c>
      <c r="X89" s="65" t="s">
        <v>47</v>
      </c>
      <c r="Y89" s="65" t="s">
        <v>48</v>
      </c>
      <c r="Z89" s="65" t="s">
        <v>49</v>
      </c>
      <c r="AA89" s="65"/>
      <c r="AB89" s="65"/>
    </row>
    <row r="90" spans="1:28" x14ac:dyDescent="0.3">
      <c r="A90" s="1">
        <v>46189</v>
      </c>
      <c r="B90" s="65" t="s">
        <v>1179</v>
      </c>
      <c r="C90" s="65" t="s">
        <v>29</v>
      </c>
      <c r="D90" s="65" t="s">
        <v>1180</v>
      </c>
      <c r="E90" s="65" t="s">
        <v>31</v>
      </c>
      <c r="F90" s="65" t="s">
        <v>1181</v>
      </c>
      <c r="G90" s="65" t="s">
        <v>1182</v>
      </c>
      <c r="H90" s="65" t="s">
        <v>1183</v>
      </c>
      <c r="I90" s="65" t="s">
        <v>1184</v>
      </c>
      <c r="J90" s="65" t="s">
        <v>209</v>
      </c>
      <c r="K90" s="65" t="s">
        <v>37</v>
      </c>
      <c r="L90" s="65" t="s">
        <v>1185</v>
      </c>
      <c r="M90" s="65" t="s">
        <v>1186</v>
      </c>
      <c r="N90" s="65" t="s">
        <v>1182</v>
      </c>
      <c r="O90" s="65" t="s">
        <v>1187</v>
      </c>
      <c r="P90" s="65" t="s">
        <v>41</v>
      </c>
      <c r="Q90" s="65">
        <v>1</v>
      </c>
      <c r="R90" s="65" t="s">
        <v>42</v>
      </c>
      <c r="S90" s="65" t="s">
        <v>43</v>
      </c>
      <c r="T90" s="65" t="s">
        <v>44</v>
      </c>
      <c r="U90" s="65" t="s">
        <v>45</v>
      </c>
      <c r="V90" s="65" t="s">
        <v>60</v>
      </c>
      <c r="W90" s="65">
        <v>186.44</v>
      </c>
      <c r="X90" s="65" t="s">
        <v>47</v>
      </c>
      <c r="Y90" s="65" t="s">
        <v>48</v>
      </c>
      <c r="Z90" s="65" t="s">
        <v>49</v>
      </c>
      <c r="AA90" s="65">
        <v>981227454</v>
      </c>
      <c r="AB90" s="65" t="s">
        <v>1188</v>
      </c>
    </row>
    <row r="91" spans="1:28" x14ac:dyDescent="0.3">
      <c r="A91" s="1">
        <v>46189</v>
      </c>
      <c r="B91" s="65" t="s">
        <v>1197</v>
      </c>
      <c r="C91" s="65" t="s">
        <v>29</v>
      </c>
      <c r="D91" s="65" t="s">
        <v>1198</v>
      </c>
      <c r="E91" s="65" t="s">
        <v>31</v>
      </c>
      <c r="F91" s="65" t="s">
        <v>1199</v>
      </c>
      <c r="G91" s="65" t="s">
        <v>1200</v>
      </c>
      <c r="H91" s="65" t="s">
        <v>1201</v>
      </c>
      <c r="I91" s="65" t="s">
        <v>1202</v>
      </c>
      <c r="J91" s="65"/>
      <c r="K91" s="65" t="s">
        <v>37</v>
      </c>
      <c r="L91" s="65" t="s">
        <v>1203</v>
      </c>
      <c r="M91" s="65" t="s">
        <v>1204</v>
      </c>
      <c r="N91" s="65" t="s">
        <v>1200</v>
      </c>
      <c r="O91" s="65" t="s">
        <v>1205</v>
      </c>
      <c r="P91" s="65" t="s">
        <v>159</v>
      </c>
      <c r="Q91" s="65">
        <v>1</v>
      </c>
      <c r="R91" s="65" t="s">
        <v>42</v>
      </c>
      <c r="S91" s="65" t="s">
        <v>44</v>
      </c>
      <c r="T91" s="65" t="s">
        <v>44</v>
      </c>
      <c r="U91" s="65" t="s">
        <v>45</v>
      </c>
      <c r="V91" s="65" t="s">
        <v>46</v>
      </c>
      <c r="W91" s="65">
        <v>135.59</v>
      </c>
      <c r="X91" s="65" t="s">
        <v>47</v>
      </c>
      <c r="Y91" s="65" t="s">
        <v>48</v>
      </c>
      <c r="Z91" s="65" t="s">
        <v>49</v>
      </c>
      <c r="AA91" s="65"/>
      <c r="AB91" s="65"/>
    </row>
    <row r="92" spans="1:28" x14ac:dyDescent="0.3">
      <c r="A92" s="1">
        <v>46190</v>
      </c>
      <c r="B92" s="65" t="s">
        <v>51</v>
      </c>
      <c r="C92" s="65" t="s">
        <v>29</v>
      </c>
      <c r="D92" s="65" t="s">
        <v>52</v>
      </c>
      <c r="E92" s="65" t="s">
        <v>31</v>
      </c>
      <c r="F92" s="65" t="s">
        <v>53</v>
      </c>
      <c r="G92" s="65" t="s">
        <v>54</v>
      </c>
      <c r="H92" s="65" t="s">
        <v>55</v>
      </c>
      <c r="I92" s="65" t="s">
        <v>35</v>
      </c>
      <c r="J92" s="65" t="s">
        <v>36</v>
      </c>
      <c r="K92" s="65" t="s">
        <v>37</v>
      </c>
      <c r="L92" s="65" t="s">
        <v>56</v>
      </c>
      <c r="M92" s="65" t="s">
        <v>57</v>
      </c>
      <c r="N92" s="65" t="s">
        <v>54</v>
      </c>
      <c r="O92" s="65" t="s">
        <v>58</v>
      </c>
      <c r="P92" s="65" t="s">
        <v>59</v>
      </c>
      <c r="Q92" s="65">
        <v>1</v>
      </c>
      <c r="R92" s="65" t="s">
        <v>42</v>
      </c>
      <c r="S92" s="65" t="s">
        <v>44</v>
      </c>
      <c r="T92" s="65" t="s">
        <v>44</v>
      </c>
      <c r="U92" s="65" t="s">
        <v>45</v>
      </c>
      <c r="V92" s="65" t="s">
        <v>60</v>
      </c>
      <c r="W92" s="65">
        <v>101.69</v>
      </c>
      <c r="X92" s="65" t="s">
        <v>61</v>
      </c>
      <c r="Y92" s="65" t="s">
        <v>48</v>
      </c>
      <c r="Z92" s="65" t="s">
        <v>49</v>
      </c>
      <c r="AA92" s="65">
        <v>999996347</v>
      </c>
      <c r="AB92" s="65" t="s">
        <v>50</v>
      </c>
    </row>
    <row r="93" spans="1:28" x14ac:dyDescent="0.3">
      <c r="A93" s="1">
        <v>46190</v>
      </c>
      <c r="B93" s="65" t="s">
        <v>160</v>
      </c>
      <c r="C93" s="65" t="s">
        <v>29</v>
      </c>
      <c r="D93" s="65" t="s">
        <v>161</v>
      </c>
      <c r="E93" s="65" t="s">
        <v>31</v>
      </c>
      <c r="F93" s="65" t="s">
        <v>162</v>
      </c>
      <c r="G93" s="65" t="s">
        <v>163</v>
      </c>
      <c r="H93" s="65" t="s">
        <v>164</v>
      </c>
      <c r="I93" s="65" t="s">
        <v>136</v>
      </c>
      <c r="J93" s="65" t="s">
        <v>137</v>
      </c>
      <c r="K93" s="65" t="s">
        <v>37</v>
      </c>
      <c r="L93" s="65" t="s">
        <v>165</v>
      </c>
      <c r="M93" s="65" t="s">
        <v>166</v>
      </c>
      <c r="N93" s="65" t="s">
        <v>163</v>
      </c>
      <c r="O93" s="65" t="s">
        <v>167</v>
      </c>
      <c r="P93" s="65" t="s">
        <v>101</v>
      </c>
      <c r="Q93" s="65">
        <v>1</v>
      </c>
      <c r="R93" s="65" t="s">
        <v>42</v>
      </c>
      <c r="S93" s="65" t="s">
        <v>44</v>
      </c>
      <c r="T93" s="65" t="s">
        <v>44</v>
      </c>
      <c r="U93" s="65" t="s">
        <v>45</v>
      </c>
      <c r="V93" s="65" t="s">
        <v>60</v>
      </c>
      <c r="W93" s="65">
        <v>186.44</v>
      </c>
      <c r="X93" s="65" t="s">
        <v>47</v>
      </c>
      <c r="Y93" s="65" t="s">
        <v>48</v>
      </c>
      <c r="Z93" s="65" t="s">
        <v>49</v>
      </c>
      <c r="AA93" s="65">
        <v>987407712</v>
      </c>
      <c r="AB93" s="65" t="s">
        <v>141</v>
      </c>
    </row>
    <row r="94" spans="1:28" x14ac:dyDescent="0.3">
      <c r="A94" s="1">
        <v>46190</v>
      </c>
      <c r="B94" s="65" t="s">
        <v>874</v>
      </c>
      <c r="C94" s="65" t="s">
        <v>268</v>
      </c>
      <c r="D94" s="65" t="s">
        <v>875</v>
      </c>
      <c r="E94" s="65" t="s">
        <v>31</v>
      </c>
      <c r="F94" s="65" t="s">
        <v>876</v>
      </c>
      <c r="G94" s="65" t="s">
        <v>849</v>
      </c>
      <c r="H94" s="65" t="s">
        <v>850</v>
      </c>
      <c r="I94" s="65" t="s">
        <v>774</v>
      </c>
      <c r="J94" s="65" t="s">
        <v>775</v>
      </c>
      <c r="K94" s="65" t="s">
        <v>37</v>
      </c>
      <c r="L94" s="65" t="s">
        <v>851</v>
      </c>
      <c r="M94" s="65" t="s">
        <v>852</v>
      </c>
      <c r="N94" s="65" t="s">
        <v>798</v>
      </c>
      <c r="O94" s="65" t="s">
        <v>877</v>
      </c>
      <c r="P94" s="65" t="s">
        <v>288</v>
      </c>
      <c r="Q94" s="65">
        <v>1</v>
      </c>
      <c r="R94" s="65" t="s">
        <v>42</v>
      </c>
      <c r="S94" s="65" t="s">
        <v>43</v>
      </c>
      <c r="T94" s="65" t="s">
        <v>44</v>
      </c>
      <c r="U94" s="65" t="s">
        <v>45</v>
      </c>
      <c r="V94" s="65" t="s">
        <v>60</v>
      </c>
      <c r="W94" s="65">
        <v>0</v>
      </c>
      <c r="X94" s="65" t="s">
        <v>289</v>
      </c>
      <c r="Y94" s="65" t="s">
        <v>48</v>
      </c>
      <c r="Z94" s="65" t="s">
        <v>49</v>
      </c>
      <c r="AA94" s="65"/>
      <c r="AB94" s="65"/>
    </row>
    <row r="95" spans="1:28" x14ac:dyDescent="0.3">
      <c r="A95" s="1">
        <v>46190</v>
      </c>
      <c r="B95" s="65" t="s">
        <v>874</v>
      </c>
      <c r="C95" s="65" t="s">
        <v>268</v>
      </c>
      <c r="D95" s="65" t="s">
        <v>875</v>
      </c>
      <c r="E95" s="65" t="s">
        <v>31</v>
      </c>
      <c r="F95" s="65" t="s">
        <v>876</v>
      </c>
      <c r="G95" s="65" t="s">
        <v>849</v>
      </c>
      <c r="H95" s="65" t="s">
        <v>850</v>
      </c>
      <c r="I95" s="65" t="s">
        <v>774</v>
      </c>
      <c r="J95" s="65" t="s">
        <v>775</v>
      </c>
      <c r="K95" s="65" t="s">
        <v>37</v>
      </c>
      <c r="L95" s="65" t="s">
        <v>851</v>
      </c>
      <c r="M95" s="65" t="s">
        <v>852</v>
      </c>
      <c r="N95" s="65" t="s">
        <v>798</v>
      </c>
      <c r="O95" s="65" t="s">
        <v>877</v>
      </c>
      <c r="P95" s="65" t="s">
        <v>290</v>
      </c>
      <c r="Q95" s="65">
        <v>1</v>
      </c>
      <c r="R95" s="65" t="s">
        <v>42</v>
      </c>
      <c r="S95" s="65" t="s">
        <v>43</v>
      </c>
      <c r="T95" s="65" t="s">
        <v>44</v>
      </c>
      <c r="U95" s="65" t="s">
        <v>45</v>
      </c>
      <c r="V95" s="65" t="s">
        <v>60</v>
      </c>
      <c r="W95" s="65">
        <v>762.71</v>
      </c>
      <c r="X95" s="65" t="s">
        <v>289</v>
      </c>
      <c r="Y95" s="65" t="s">
        <v>48</v>
      </c>
      <c r="Z95" s="65" t="s">
        <v>49</v>
      </c>
      <c r="AA95" s="65"/>
      <c r="AB95" s="65"/>
    </row>
    <row r="96" spans="1:28" x14ac:dyDescent="0.3">
      <c r="A96" s="1">
        <v>46190</v>
      </c>
      <c r="B96" s="65" t="s">
        <v>878</v>
      </c>
      <c r="C96" s="65" t="s">
        <v>268</v>
      </c>
      <c r="D96" s="65" t="s">
        <v>879</v>
      </c>
      <c r="E96" s="65" t="s">
        <v>31</v>
      </c>
      <c r="F96" s="65" t="s">
        <v>880</v>
      </c>
      <c r="G96" s="65" t="s">
        <v>869</v>
      </c>
      <c r="H96" s="65" t="s">
        <v>870</v>
      </c>
      <c r="I96" s="65" t="s">
        <v>774</v>
      </c>
      <c r="J96" s="65" t="s">
        <v>775</v>
      </c>
      <c r="K96" s="65" t="s">
        <v>37</v>
      </c>
      <c r="L96" s="65" t="s">
        <v>871</v>
      </c>
      <c r="M96" s="65" t="s">
        <v>872</v>
      </c>
      <c r="N96" s="65" t="s">
        <v>798</v>
      </c>
      <c r="O96" s="65" t="s">
        <v>881</v>
      </c>
      <c r="P96" s="65" t="s">
        <v>288</v>
      </c>
      <c r="Q96" s="65">
        <v>1</v>
      </c>
      <c r="R96" s="65" t="s">
        <v>42</v>
      </c>
      <c r="S96" s="65" t="s">
        <v>43</v>
      </c>
      <c r="T96" s="65" t="s">
        <v>44</v>
      </c>
      <c r="U96" s="65" t="s">
        <v>45</v>
      </c>
      <c r="V96" s="65" t="s">
        <v>60</v>
      </c>
      <c r="W96" s="65">
        <v>0</v>
      </c>
      <c r="X96" s="65" t="s">
        <v>289</v>
      </c>
      <c r="Y96" s="65" t="s">
        <v>48</v>
      </c>
      <c r="Z96" s="65" t="s">
        <v>49</v>
      </c>
      <c r="AA96" s="65"/>
      <c r="AB96" s="65"/>
    </row>
    <row r="97" spans="1:28" x14ac:dyDescent="0.3">
      <c r="A97" s="1">
        <v>46190</v>
      </c>
      <c r="B97" s="65" t="s">
        <v>878</v>
      </c>
      <c r="C97" s="65" t="s">
        <v>268</v>
      </c>
      <c r="D97" s="65" t="s">
        <v>879</v>
      </c>
      <c r="E97" s="65" t="s">
        <v>31</v>
      </c>
      <c r="F97" s="65" t="s">
        <v>880</v>
      </c>
      <c r="G97" s="65" t="s">
        <v>869</v>
      </c>
      <c r="H97" s="65" t="s">
        <v>870</v>
      </c>
      <c r="I97" s="65" t="s">
        <v>774</v>
      </c>
      <c r="J97" s="65" t="s">
        <v>775</v>
      </c>
      <c r="K97" s="65" t="s">
        <v>37</v>
      </c>
      <c r="L97" s="65" t="s">
        <v>871</v>
      </c>
      <c r="M97" s="65" t="s">
        <v>872</v>
      </c>
      <c r="N97" s="65" t="s">
        <v>798</v>
      </c>
      <c r="O97" s="65" t="s">
        <v>881</v>
      </c>
      <c r="P97" s="65" t="s">
        <v>371</v>
      </c>
      <c r="Q97" s="65">
        <v>1</v>
      </c>
      <c r="R97" s="65" t="s">
        <v>42</v>
      </c>
      <c r="S97" s="65" t="s">
        <v>43</v>
      </c>
      <c r="T97" s="65" t="s">
        <v>44</v>
      </c>
      <c r="U97" s="65" t="s">
        <v>45</v>
      </c>
      <c r="V97" s="65" t="s">
        <v>60</v>
      </c>
      <c r="W97" s="65">
        <v>550.85</v>
      </c>
      <c r="X97" s="65" t="s">
        <v>289</v>
      </c>
      <c r="Y97" s="65" t="s">
        <v>48</v>
      </c>
      <c r="Z97" s="65" t="s">
        <v>49</v>
      </c>
      <c r="AA97" s="65"/>
      <c r="AB97" s="65"/>
    </row>
    <row r="98" spans="1:28" x14ac:dyDescent="0.3">
      <c r="A98" s="1">
        <v>46190</v>
      </c>
      <c r="B98" s="65" t="s">
        <v>1206</v>
      </c>
      <c r="C98" s="65" t="s">
        <v>29</v>
      </c>
      <c r="D98" s="65" t="s">
        <v>1207</v>
      </c>
      <c r="E98" s="65" t="s">
        <v>31</v>
      </c>
      <c r="F98" s="65" t="s">
        <v>1208</v>
      </c>
      <c r="G98" s="65" t="s">
        <v>1209</v>
      </c>
      <c r="H98" s="65" t="s">
        <v>1210</v>
      </c>
      <c r="I98" s="65" t="s">
        <v>1211</v>
      </c>
      <c r="J98" s="65" t="s">
        <v>3549</v>
      </c>
      <c r="K98" s="65" t="s">
        <v>37</v>
      </c>
      <c r="L98" s="65" t="s">
        <v>1212</v>
      </c>
      <c r="M98" s="65" t="s">
        <v>1213</v>
      </c>
      <c r="N98" s="65" t="s">
        <v>1209</v>
      </c>
      <c r="O98" s="65" t="s">
        <v>1214</v>
      </c>
      <c r="P98" s="65" t="s">
        <v>288</v>
      </c>
      <c r="Q98" s="65">
        <v>1</v>
      </c>
      <c r="R98" s="65" t="s">
        <v>42</v>
      </c>
      <c r="S98" s="65" t="s">
        <v>44</v>
      </c>
      <c r="T98" s="65" t="s">
        <v>44</v>
      </c>
      <c r="U98" s="65" t="s">
        <v>45</v>
      </c>
      <c r="V98" s="65" t="s">
        <v>60</v>
      </c>
      <c r="W98" s="65">
        <v>0</v>
      </c>
      <c r="X98" s="65" t="s">
        <v>289</v>
      </c>
      <c r="Y98" s="65" t="s">
        <v>48</v>
      </c>
      <c r="Z98" s="65" t="s">
        <v>49</v>
      </c>
      <c r="AA98" s="65"/>
      <c r="AB98" s="65"/>
    </row>
    <row r="99" spans="1:28" x14ac:dyDescent="0.3">
      <c r="A99" s="1">
        <v>46190</v>
      </c>
      <c r="B99" s="65" t="s">
        <v>1206</v>
      </c>
      <c r="C99" s="65" t="s">
        <v>29</v>
      </c>
      <c r="D99" s="65" t="s">
        <v>1207</v>
      </c>
      <c r="E99" s="65" t="s">
        <v>31</v>
      </c>
      <c r="F99" s="65" t="s">
        <v>1208</v>
      </c>
      <c r="G99" s="65" t="s">
        <v>1209</v>
      </c>
      <c r="H99" s="65" t="s">
        <v>1210</v>
      </c>
      <c r="I99" s="65" t="s">
        <v>1211</v>
      </c>
      <c r="J99" s="65" t="s">
        <v>3549</v>
      </c>
      <c r="K99" s="65" t="s">
        <v>37</v>
      </c>
      <c r="L99" s="65" t="s">
        <v>1212</v>
      </c>
      <c r="M99" s="65" t="s">
        <v>1213</v>
      </c>
      <c r="N99" s="65" t="s">
        <v>1209</v>
      </c>
      <c r="O99" s="65" t="s">
        <v>1214</v>
      </c>
      <c r="P99" s="65" t="s">
        <v>1215</v>
      </c>
      <c r="Q99" s="65">
        <v>1</v>
      </c>
      <c r="R99" s="65" t="s">
        <v>42</v>
      </c>
      <c r="S99" s="65" t="s">
        <v>44</v>
      </c>
      <c r="T99" s="65" t="s">
        <v>44</v>
      </c>
      <c r="U99" s="65" t="s">
        <v>45</v>
      </c>
      <c r="V99" s="65" t="s">
        <v>60</v>
      </c>
      <c r="W99" s="65">
        <v>139.83000000000001</v>
      </c>
      <c r="X99" s="65" t="s">
        <v>289</v>
      </c>
      <c r="Y99" s="65" t="s">
        <v>48</v>
      </c>
      <c r="Z99" s="65" t="s">
        <v>49</v>
      </c>
      <c r="AA99" s="65"/>
      <c r="AB99" s="65"/>
    </row>
    <row r="100" spans="1:28" x14ac:dyDescent="0.3">
      <c r="A100" s="1">
        <v>46191</v>
      </c>
      <c r="B100" s="65" t="s">
        <v>311</v>
      </c>
      <c r="C100" s="65" t="s">
        <v>29</v>
      </c>
      <c r="D100" s="65" t="s">
        <v>312</v>
      </c>
      <c r="E100" s="65" t="s">
        <v>31</v>
      </c>
      <c r="F100" s="65" t="s">
        <v>313</v>
      </c>
      <c r="G100" s="65" t="s">
        <v>314</v>
      </c>
      <c r="H100" s="65" t="s">
        <v>315</v>
      </c>
      <c r="I100" s="65" t="s">
        <v>273</v>
      </c>
      <c r="J100" s="65" t="s">
        <v>274</v>
      </c>
      <c r="K100" s="65" t="s">
        <v>37</v>
      </c>
      <c r="L100" s="65" t="s">
        <v>316</v>
      </c>
      <c r="M100" s="65" t="s">
        <v>317</v>
      </c>
      <c r="N100" s="65" t="s">
        <v>314</v>
      </c>
      <c r="O100" s="65" t="s">
        <v>318</v>
      </c>
      <c r="P100" s="65" t="s">
        <v>201</v>
      </c>
      <c r="Q100" s="65">
        <v>1</v>
      </c>
      <c r="R100" s="65" t="s">
        <v>42</v>
      </c>
      <c r="S100" s="65" t="s">
        <v>44</v>
      </c>
      <c r="T100" s="65" t="s">
        <v>44</v>
      </c>
      <c r="U100" s="65" t="s">
        <v>45</v>
      </c>
      <c r="V100" s="65" t="s">
        <v>46</v>
      </c>
      <c r="W100" s="65">
        <v>42.37</v>
      </c>
      <c r="X100" s="65" t="s">
        <v>47</v>
      </c>
      <c r="Y100" s="65" t="s">
        <v>48</v>
      </c>
      <c r="Z100" s="65" t="s">
        <v>49</v>
      </c>
      <c r="AA100" s="65">
        <v>950133748</v>
      </c>
      <c r="AB100" s="65" t="s">
        <v>279</v>
      </c>
    </row>
    <row r="101" spans="1:28" x14ac:dyDescent="0.3">
      <c r="A101" s="1">
        <v>46191</v>
      </c>
      <c r="B101" s="65" t="s">
        <v>311</v>
      </c>
      <c r="C101" s="65" t="s">
        <v>29</v>
      </c>
      <c r="D101" s="65" t="s">
        <v>312</v>
      </c>
      <c r="E101" s="65" t="s">
        <v>31</v>
      </c>
      <c r="F101" s="65" t="s">
        <v>313</v>
      </c>
      <c r="G101" s="65" t="s">
        <v>314</v>
      </c>
      <c r="H101" s="65" t="s">
        <v>315</v>
      </c>
      <c r="I101" s="65" t="s">
        <v>273</v>
      </c>
      <c r="J101" s="65" t="s">
        <v>274</v>
      </c>
      <c r="K101" s="65" t="s">
        <v>37</v>
      </c>
      <c r="L101" s="65" t="s">
        <v>316</v>
      </c>
      <c r="M101" s="65" t="s">
        <v>317</v>
      </c>
      <c r="N101" s="65" t="s">
        <v>314</v>
      </c>
      <c r="O101" s="65" t="s">
        <v>318</v>
      </c>
      <c r="P101" s="65" t="s">
        <v>202</v>
      </c>
      <c r="Q101" s="65">
        <v>1</v>
      </c>
      <c r="R101" s="65" t="s">
        <v>42</v>
      </c>
      <c r="S101" s="65" t="s">
        <v>44</v>
      </c>
      <c r="T101" s="65" t="s">
        <v>44</v>
      </c>
      <c r="U101" s="65" t="s">
        <v>45</v>
      </c>
      <c r="V101" s="65" t="s">
        <v>46</v>
      </c>
      <c r="W101" s="65">
        <v>42.37</v>
      </c>
      <c r="X101" s="65" t="s">
        <v>47</v>
      </c>
      <c r="Y101" s="65" t="s">
        <v>48</v>
      </c>
      <c r="Z101" s="65" t="s">
        <v>49</v>
      </c>
      <c r="AA101" s="65">
        <v>950133748</v>
      </c>
      <c r="AB101" s="65" t="s">
        <v>279</v>
      </c>
    </row>
    <row r="102" spans="1:28" x14ac:dyDescent="0.3">
      <c r="A102" s="1">
        <v>46191</v>
      </c>
      <c r="B102" s="65" t="s">
        <v>448</v>
      </c>
      <c r="C102" s="65" t="s">
        <v>29</v>
      </c>
      <c r="D102" s="65" t="s">
        <v>449</v>
      </c>
      <c r="E102" s="65" t="s">
        <v>31</v>
      </c>
      <c r="F102" s="65" t="s">
        <v>450</v>
      </c>
      <c r="G102" s="65" t="s">
        <v>451</v>
      </c>
      <c r="H102" s="65" t="s">
        <v>452</v>
      </c>
      <c r="I102" s="65" t="s">
        <v>434</v>
      </c>
      <c r="J102" s="65" t="s">
        <v>435</v>
      </c>
      <c r="K102" s="65" t="s">
        <v>37</v>
      </c>
      <c r="L102" s="65" t="s">
        <v>453</v>
      </c>
      <c r="M102" s="65" t="s">
        <v>454</v>
      </c>
      <c r="N102" s="65" t="s">
        <v>451</v>
      </c>
      <c r="O102" s="65" t="s">
        <v>455</v>
      </c>
      <c r="P102" s="65" t="s">
        <v>41</v>
      </c>
      <c r="Q102" s="65">
        <v>1</v>
      </c>
      <c r="R102" s="65" t="s">
        <v>70</v>
      </c>
      <c r="S102" s="65" t="s">
        <v>43</v>
      </c>
      <c r="T102" s="65" t="s">
        <v>44</v>
      </c>
      <c r="U102" s="65" t="s">
        <v>71</v>
      </c>
      <c r="V102" s="65" t="s">
        <v>72</v>
      </c>
      <c r="W102" s="65">
        <v>186.44</v>
      </c>
      <c r="X102" s="65" t="s">
        <v>47</v>
      </c>
      <c r="Y102" s="65" t="s">
        <v>48</v>
      </c>
      <c r="Z102" s="65" t="s">
        <v>73</v>
      </c>
      <c r="AA102" s="65">
        <v>992903716</v>
      </c>
      <c r="AB102" s="65" t="s">
        <v>439</v>
      </c>
    </row>
    <row r="103" spans="1:28" x14ac:dyDescent="0.3">
      <c r="A103" s="1">
        <v>46191</v>
      </c>
      <c r="B103" s="65" t="s">
        <v>882</v>
      </c>
      <c r="C103" s="65" t="s">
        <v>29</v>
      </c>
      <c r="D103" s="65" t="s">
        <v>883</v>
      </c>
      <c r="E103" s="65" t="s">
        <v>31</v>
      </c>
      <c r="F103" s="65" t="s">
        <v>884</v>
      </c>
      <c r="G103" s="65" t="s">
        <v>314</v>
      </c>
      <c r="H103" s="65" t="s">
        <v>315</v>
      </c>
      <c r="I103" s="65" t="s">
        <v>774</v>
      </c>
      <c r="J103" s="65" t="s">
        <v>775</v>
      </c>
      <c r="K103" s="65" t="s">
        <v>37</v>
      </c>
      <c r="L103" s="65" t="s">
        <v>316</v>
      </c>
      <c r="M103" s="65" t="s">
        <v>317</v>
      </c>
      <c r="N103" s="65" t="s">
        <v>314</v>
      </c>
      <c r="O103" s="65" t="s">
        <v>885</v>
      </c>
      <c r="P103" s="65" t="s">
        <v>618</v>
      </c>
      <c r="Q103" s="65">
        <v>1</v>
      </c>
      <c r="R103" s="65" t="s">
        <v>42</v>
      </c>
      <c r="S103" s="65" t="s">
        <v>44</v>
      </c>
      <c r="T103" s="65" t="s">
        <v>44</v>
      </c>
      <c r="U103" s="65" t="s">
        <v>45</v>
      </c>
      <c r="V103" s="65" t="s">
        <v>46</v>
      </c>
      <c r="W103" s="65">
        <v>12.71</v>
      </c>
      <c r="X103" s="65" t="s">
        <v>619</v>
      </c>
      <c r="Y103" s="65" t="s">
        <v>48</v>
      </c>
      <c r="Z103" s="65" t="s">
        <v>49</v>
      </c>
      <c r="AA103" s="65"/>
      <c r="AB103" s="65"/>
    </row>
    <row r="104" spans="1:28" x14ac:dyDescent="0.3">
      <c r="A104" s="1">
        <v>46191</v>
      </c>
      <c r="B104" s="65" t="s">
        <v>882</v>
      </c>
      <c r="C104" s="65" t="s">
        <v>29</v>
      </c>
      <c r="D104" s="65" t="s">
        <v>883</v>
      </c>
      <c r="E104" s="65" t="s">
        <v>31</v>
      </c>
      <c r="F104" s="65" t="s">
        <v>884</v>
      </c>
      <c r="G104" s="65" t="s">
        <v>314</v>
      </c>
      <c r="H104" s="65" t="s">
        <v>315</v>
      </c>
      <c r="I104" s="65" t="s">
        <v>774</v>
      </c>
      <c r="J104" s="65" t="s">
        <v>775</v>
      </c>
      <c r="K104" s="65" t="s">
        <v>37</v>
      </c>
      <c r="L104" s="65" t="s">
        <v>316</v>
      </c>
      <c r="M104" s="65" t="s">
        <v>317</v>
      </c>
      <c r="N104" s="65" t="s">
        <v>314</v>
      </c>
      <c r="O104" s="65" t="s">
        <v>885</v>
      </c>
      <c r="P104" s="65" t="s">
        <v>620</v>
      </c>
      <c r="Q104" s="65">
        <v>1</v>
      </c>
      <c r="R104" s="65" t="s">
        <v>42</v>
      </c>
      <c r="S104" s="65" t="s">
        <v>44</v>
      </c>
      <c r="T104" s="65" t="s">
        <v>44</v>
      </c>
      <c r="U104" s="65" t="s">
        <v>45</v>
      </c>
      <c r="V104" s="65" t="s">
        <v>46</v>
      </c>
      <c r="W104" s="65">
        <v>21.19</v>
      </c>
      <c r="X104" s="65" t="s">
        <v>619</v>
      </c>
      <c r="Y104" s="65" t="s">
        <v>48</v>
      </c>
      <c r="Z104" s="65" t="s">
        <v>49</v>
      </c>
      <c r="AA104" s="65"/>
      <c r="AB104" s="65"/>
    </row>
    <row r="105" spans="1:28" x14ac:dyDescent="0.3">
      <c r="A105" s="1">
        <v>46191</v>
      </c>
      <c r="B105" s="65" t="s">
        <v>882</v>
      </c>
      <c r="C105" s="65" t="s">
        <v>29</v>
      </c>
      <c r="D105" s="65" t="s">
        <v>883</v>
      </c>
      <c r="E105" s="65" t="s">
        <v>31</v>
      </c>
      <c r="F105" s="65" t="s">
        <v>884</v>
      </c>
      <c r="G105" s="65" t="s">
        <v>314</v>
      </c>
      <c r="H105" s="65" t="s">
        <v>315</v>
      </c>
      <c r="I105" s="65" t="s">
        <v>774</v>
      </c>
      <c r="J105" s="65" t="s">
        <v>775</v>
      </c>
      <c r="K105" s="65" t="s">
        <v>37</v>
      </c>
      <c r="L105" s="65" t="s">
        <v>316</v>
      </c>
      <c r="M105" s="65" t="s">
        <v>317</v>
      </c>
      <c r="N105" s="65" t="s">
        <v>314</v>
      </c>
      <c r="O105" s="65" t="s">
        <v>885</v>
      </c>
      <c r="P105" s="65" t="s">
        <v>621</v>
      </c>
      <c r="Q105" s="65">
        <v>1</v>
      </c>
      <c r="R105" s="65" t="s">
        <v>42</v>
      </c>
      <c r="S105" s="65" t="s">
        <v>44</v>
      </c>
      <c r="T105" s="65" t="s">
        <v>44</v>
      </c>
      <c r="U105" s="65" t="s">
        <v>45</v>
      </c>
      <c r="V105" s="65" t="s">
        <v>46</v>
      </c>
      <c r="W105" s="65">
        <v>12.71</v>
      </c>
      <c r="X105" s="65" t="s">
        <v>619</v>
      </c>
      <c r="Y105" s="65" t="s">
        <v>48</v>
      </c>
      <c r="Z105" s="65" t="s">
        <v>49</v>
      </c>
      <c r="AA105" s="65"/>
      <c r="AB105" s="65"/>
    </row>
    <row r="106" spans="1:28" x14ac:dyDescent="0.3">
      <c r="A106" s="1">
        <v>46191</v>
      </c>
      <c r="B106" s="65" t="s">
        <v>882</v>
      </c>
      <c r="C106" s="65" t="s">
        <v>29</v>
      </c>
      <c r="D106" s="65" t="s">
        <v>883</v>
      </c>
      <c r="E106" s="65" t="s">
        <v>31</v>
      </c>
      <c r="F106" s="65" t="s">
        <v>884</v>
      </c>
      <c r="G106" s="65" t="s">
        <v>314</v>
      </c>
      <c r="H106" s="65" t="s">
        <v>315</v>
      </c>
      <c r="I106" s="65" t="s">
        <v>774</v>
      </c>
      <c r="J106" s="65" t="s">
        <v>775</v>
      </c>
      <c r="K106" s="65" t="s">
        <v>37</v>
      </c>
      <c r="L106" s="65" t="s">
        <v>316</v>
      </c>
      <c r="M106" s="65" t="s">
        <v>317</v>
      </c>
      <c r="N106" s="65" t="s">
        <v>314</v>
      </c>
      <c r="O106" s="65" t="s">
        <v>885</v>
      </c>
      <c r="P106" s="65" t="s">
        <v>622</v>
      </c>
      <c r="Q106" s="65">
        <v>1</v>
      </c>
      <c r="R106" s="65" t="s">
        <v>42</v>
      </c>
      <c r="S106" s="65" t="s">
        <v>44</v>
      </c>
      <c r="T106" s="65" t="s">
        <v>44</v>
      </c>
      <c r="U106" s="65" t="s">
        <v>45</v>
      </c>
      <c r="V106" s="65" t="s">
        <v>46</v>
      </c>
      <c r="W106" s="65">
        <v>12.71</v>
      </c>
      <c r="X106" s="65" t="s">
        <v>619</v>
      </c>
      <c r="Y106" s="65" t="s">
        <v>48</v>
      </c>
      <c r="Z106" s="65" t="s">
        <v>49</v>
      </c>
      <c r="AA106" s="65"/>
      <c r="AB106" s="65"/>
    </row>
    <row r="107" spans="1:28" x14ac:dyDescent="0.3">
      <c r="A107" s="1">
        <v>46191</v>
      </c>
      <c r="B107" s="65" t="s">
        <v>882</v>
      </c>
      <c r="C107" s="65" t="s">
        <v>29</v>
      </c>
      <c r="D107" s="65" t="s">
        <v>883</v>
      </c>
      <c r="E107" s="65" t="s">
        <v>31</v>
      </c>
      <c r="F107" s="65" t="s">
        <v>884</v>
      </c>
      <c r="G107" s="65" t="s">
        <v>314</v>
      </c>
      <c r="H107" s="65" t="s">
        <v>315</v>
      </c>
      <c r="I107" s="65" t="s">
        <v>774</v>
      </c>
      <c r="J107" s="65" t="s">
        <v>775</v>
      </c>
      <c r="K107" s="65" t="s">
        <v>37</v>
      </c>
      <c r="L107" s="65" t="s">
        <v>316</v>
      </c>
      <c r="M107" s="65" t="s">
        <v>317</v>
      </c>
      <c r="N107" s="65" t="s">
        <v>314</v>
      </c>
      <c r="O107" s="65" t="s">
        <v>885</v>
      </c>
      <c r="P107" s="65" t="s">
        <v>833</v>
      </c>
      <c r="Q107" s="65">
        <v>1</v>
      </c>
      <c r="R107" s="65" t="s">
        <v>42</v>
      </c>
      <c r="S107" s="65" t="s">
        <v>44</v>
      </c>
      <c r="T107" s="65" t="s">
        <v>44</v>
      </c>
      <c r="U107" s="65" t="s">
        <v>45</v>
      </c>
      <c r="V107" s="65" t="s">
        <v>46</v>
      </c>
      <c r="W107" s="65">
        <v>50.85</v>
      </c>
      <c r="X107" s="65" t="s">
        <v>619</v>
      </c>
      <c r="Y107" s="65" t="s">
        <v>48</v>
      </c>
      <c r="Z107" s="65" t="s">
        <v>49</v>
      </c>
      <c r="AA107" s="65"/>
      <c r="AB107" s="65"/>
    </row>
    <row r="108" spans="1:28" x14ac:dyDescent="0.3">
      <c r="A108" s="1">
        <v>46191</v>
      </c>
      <c r="B108" s="65" t="s">
        <v>886</v>
      </c>
      <c r="C108" s="65" t="s">
        <v>29</v>
      </c>
      <c r="D108" s="65" t="s">
        <v>887</v>
      </c>
      <c r="E108" s="65" t="s">
        <v>31</v>
      </c>
      <c r="F108" s="65" t="s">
        <v>888</v>
      </c>
      <c r="G108" s="65" t="s">
        <v>314</v>
      </c>
      <c r="H108" s="65" t="s">
        <v>315</v>
      </c>
      <c r="I108" s="65" t="s">
        <v>774</v>
      </c>
      <c r="J108" s="65" t="s">
        <v>775</v>
      </c>
      <c r="K108" s="65" t="s">
        <v>37</v>
      </c>
      <c r="L108" s="65" t="s">
        <v>316</v>
      </c>
      <c r="M108" s="65" t="s">
        <v>317</v>
      </c>
      <c r="N108" s="65" t="s">
        <v>314</v>
      </c>
      <c r="O108" s="65" t="s">
        <v>889</v>
      </c>
      <c r="P108" s="65" t="s">
        <v>828</v>
      </c>
      <c r="Q108" s="65">
        <v>1</v>
      </c>
      <c r="R108" s="65" t="s">
        <v>42</v>
      </c>
      <c r="S108" s="65" t="s">
        <v>44</v>
      </c>
      <c r="T108" s="65" t="s">
        <v>44</v>
      </c>
      <c r="U108" s="65" t="s">
        <v>45</v>
      </c>
      <c r="V108" s="65" t="s">
        <v>46</v>
      </c>
      <c r="W108" s="65">
        <v>127.12</v>
      </c>
      <c r="X108" s="65" t="s">
        <v>47</v>
      </c>
      <c r="Y108" s="65" t="s">
        <v>48</v>
      </c>
      <c r="Z108" s="65" t="s">
        <v>49</v>
      </c>
      <c r="AA108" s="65"/>
      <c r="AB108" s="65"/>
    </row>
    <row r="109" spans="1:28" x14ac:dyDescent="0.3">
      <c r="A109" s="1">
        <v>46191</v>
      </c>
      <c r="B109" s="65" t="s">
        <v>890</v>
      </c>
      <c r="C109" s="65" t="s">
        <v>268</v>
      </c>
      <c r="D109" s="65" t="s">
        <v>891</v>
      </c>
      <c r="E109" s="65" t="s">
        <v>31</v>
      </c>
      <c r="F109" s="65" t="s">
        <v>892</v>
      </c>
      <c r="G109" s="65" t="s">
        <v>314</v>
      </c>
      <c r="H109" s="65" t="s">
        <v>315</v>
      </c>
      <c r="I109" s="65" t="s">
        <v>774</v>
      </c>
      <c r="J109" s="65" t="s">
        <v>775</v>
      </c>
      <c r="K109" s="65" t="s">
        <v>37</v>
      </c>
      <c r="L109" s="65" t="s">
        <v>316</v>
      </c>
      <c r="M109" s="65" t="s">
        <v>317</v>
      </c>
      <c r="N109" s="65" t="s">
        <v>798</v>
      </c>
      <c r="O109" s="65" t="s">
        <v>893</v>
      </c>
      <c r="P109" s="65" t="s">
        <v>288</v>
      </c>
      <c r="Q109" s="65">
        <v>1</v>
      </c>
      <c r="R109" s="65" t="s">
        <v>42</v>
      </c>
      <c r="S109" s="65" t="s">
        <v>44</v>
      </c>
      <c r="T109" s="65" t="s">
        <v>44</v>
      </c>
      <c r="U109" s="65" t="s">
        <v>45</v>
      </c>
      <c r="V109" s="65" t="s">
        <v>46</v>
      </c>
      <c r="W109" s="65">
        <v>0</v>
      </c>
      <c r="X109" s="65" t="s">
        <v>289</v>
      </c>
      <c r="Y109" s="65" t="s">
        <v>48</v>
      </c>
      <c r="Z109" s="65" t="s">
        <v>49</v>
      </c>
      <c r="AA109" s="65"/>
      <c r="AB109" s="65"/>
    </row>
    <row r="110" spans="1:28" x14ac:dyDescent="0.3">
      <c r="A110" s="1">
        <v>46191</v>
      </c>
      <c r="B110" s="65" t="s">
        <v>890</v>
      </c>
      <c r="C110" s="65" t="s">
        <v>268</v>
      </c>
      <c r="D110" s="65" t="s">
        <v>891</v>
      </c>
      <c r="E110" s="65" t="s">
        <v>31</v>
      </c>
      <c r="F110" s="65" t="s">
        <v>892</v>
      </c>
      <c r="G110" s="65" t="s">
        <v>314</v>
      </c>
      <c r="H110" s="65" t="s">
        <v>315</v>
      </c>
      <c r="I110" s="65" t="s">
        <v>774</v>
      </c>
      <c r="J110" s="65" t="s">
        <v>775</v>
      </c>
      <c r="K110" s="65" t="s">
        <v>37</v>
      </c>
      <c r="L110" s="65" t="s">
        <v>316</v>
      </c>
      <c r="M110" s="65" t="s">
        <v>317</v>
      </c>
      <c r="N110" s="65" t="s">
        <v>798</v>
      </c>
      <c r="O110" s="65" t="s">
        <v>893</v>
      </c>
      <c r="P110" s="65" t="s">
        <v>290</v>
      </c>
      <c r="Q110" s="65">
        <v>1</v>
      </c>
      <c r="R110" s="65" t="s">
        <v>42</v>
      </c>
      <c r="S110" s="65" t="s">
        <v>44</v>
      </c>
      <c r="T110" s="65" t="s">
        <v>44</v>
      </c>
      <c r="U110" s="65" t="s">
        <v>45</v>
      </c>
      <c r="V110" s="65" t="s">
        <v>46</v>
      </c>
      <c r="W110" s="65">
        <v>762.71</v>
      </c>
      <c r="X110" s="65" t="s">
        <v>289</v>
      </c>
      <c r="Y110" s="65" t="s">
        <v>48</v>
      </c>
      <c r="Z110" s="65" t="s">
        <v>49</v>
      </c>
      <c r="AA110" s="65"/>
      <c r="AB110" s="65"/>
    </row>
    <row r="111" spans="1:28" x14ac:dyDescent="0.3">
      <c r="A111" s="1">
        <v>46191</v>
      </c>
      <c r="B111" s="65" t="s">
        <v>1216</v>
      </c>
      <c r="C111" s="65" t="s">
        <v>29</v>
      </c>
      <c r="D111" s="65" t="s">
        <v>1217</v>
      </c>
      <c r="E111" s="65" t="s">
        <v>31</v>
      </c>
      <c r="F111" s="65" t="s">
        <v>1218</v>
      </c>
      <c r="G111" s="65" t="s">
        <v>1219</v>
      </c>
      <c r="H111" s="65" t="s">
        <v>1220</v>
      </c>
      <c r="I111" s="65" t="s">
        <v>1221</v>
      </c>
      <c r="J111" s="65" t="s">
        <v>1222</v>
      </c>
      <c r="K111" s="65" t="s">
        <v>37</v>
      </c>
      <c r="L111" s="65" t="s">
        <v>1223</v>
      </c>
      <c r="M111" s="65" t="s">
        <v>1224</v>
      </c>
      <c r="N111" s="65" t="s">
        <v>1219</v>
      </c>
      <c r="O111" s="65" t="s">
        <v>1225</v>
      </c>
      <c r="P111" s="65" t="s">
        <v>159</v>
      </c>
      <c r="Q111" s="65">
        <v>1</v>
      </c>
      <c r="R111" s="65" t="s">
        <v>42</v>
      </c>
      <c r="S111" s="65" t="s">
        <v>44</v>
      </c>
      <c r="T111" s="65" t="s">
        <v>44</v>
      </c>
      <c r="U111" s="65" t="s">
        <v>45</v>
      </c>
      <c r="V111" s="65" t="s">
        <v>46</v>
      </c>
      <c r="W111" s="65">
        <v>135.59</v>
      </c>
      <c r="X111" s="65" t="s">
        <v>47</v>
      </c>
      <c r="Y111" s="65" t="s">
        <v>48</v>
      </c>
      <c r="Z111" s="65" t="s">
        <v>49</v>
      </c>
      <c r="AA111" s="65">
        <v>986089286</v>
      </c>
      <c r="AB111" s="65" t="s">
        <v>1226</v>
      </c>
    </row>
    <row r="112" spans="1:28" x14ac:dyDescent="0.3">
      <c r="A112" s="1">
        <v>46192</v>
      </c>
      <c r="B112" s="65" t="s">
        <v>514</v>
      </c>
      <c r="C112" s="65" t="s">
        <v>29</v>
      </c>
      <c r="D112" s="65" t="s">
        <v>515</v>
      </c>
      <c r="E112" s="65" t="s">
        <v>31</v>
      </c>
      <c r="F112" s="65" t="s">
        <v>516</v>
      </c>
      <c r="G112" s="65" t="s">
        <v>517</v>
      </c>
      <c r="H112" s="65" t="s">
        <v>518</v>
      </c>
      <c r="I112" s="65"/>
      <c r="J112" s="65"/>
      <c r="K112" s="65" t="s">
        <v>37</v>
      </c>
      <c r="L112" s="65" t="s">
        <v>519</v>
      </c>
      <c r="M112" s="65" t="s">
        <v>520</v>
      </c>
      <c r="N112" s="65" t="s">
        <v>517</v>
      </c>
      <c r="O112" s="65" t="s">
        <v>521</v>
      </c>
      <c r="P112" s="65" t="s">
        <v>159</v>
      </c>
      <c r="Q112" s="65">
        <v>1</v>
      </c>
      <c r="R112" s="65" t="s">
        <v>70</v>
      </c>
      <c r="S112" s="65" t="s">
        <v>43</v>
      </c>
      <c r="T112" s="65" t="s">
        <v>44</v>
      </c>
      <c r="U112" s="65" t="s">
        <v>71</v>
      </c>
      <c r="V112" s="65" t="s">
        <v>72</v>
      </c>
      <c r="W112" s="65">
        <v>135.59</v>
      </c>
      <c r="X112" s="65" t="s">
        <v>47</v>
      </c>
      <c r="Y112" s="65" t="s">
        <v>48</v>
      </c>
      <c r="Z112" s="65" t="s">
        <v>73</v>
      </c>
      <c r="AA112" s="65"/>
      <c r="AB112" s="65"/>
    </row>
    <row r="113" spans="1:28" x14ac:dyDescent="0.3">
      <c r="A113" s="1">
        <v>46192</v>
      </c>
      <c r="B113" s="65" t="s">
        <v>514</v>
      </c>
      <c r="C113" s="65" t="s">
        <v>29</v>
      </c>
      <c r="D113" s="65" t="s">
        <v>515</v>
      </c>
      <c r="E113" s="65" t="s">
        <v>31</v>
      </c>
      <c r="F113" s="65" t="s">
        <v>516</v>
      </c>
      <c r="G113" s="65" t="s">
        <v>517</v>
      </c>
      <c r="H113" s="65" t="s">
        <v>518</v>
      </c>
      <c r="I113" s="65"/>
      <c r="J113" s="65"/>
      <c r="K113" s="65" t="s">
        <v>37</v>
      </c>
      <c r="L113" s="65" t="s">
        <v>519</v>
      </c>
      <c r="M113" s="65" t="s">
        <v>520</v>
      </c>
      <c r="N113" s="65" t="s">
        <v>517</v>
      </c>
      <c r="O113" s="65" t="s">
        <v>521</v>
      </c>
      <c r="P113" s="65" t="s">
        <v>158</v>
      </c>
      <c r="Q113" s="65">
        <v>1</v>
      </c>
      <c r="R113" s="65" t="s">
        <v>70</v>
      </c>
      <c r="S113" s="65" t="s">
        <v>43</v>
      </c>
      <c r="T113" s="65" t="s">
        <v>44</v>
      </c>
      <c r="U113" s="65" t="s">
        <v>71</v>
      </c>
      <c r="V113" s="65" t="s">
        <v>72</v>
      </c>
      <c r="W113" s="65">
        <v>152.54</v>
      </c>
      <c r="X113" s="65" t="s">
        <v>47</v>
      </c>
      <c r="Y113" s="65" t="s">
        <v>48</v>
      </c>
      <c r="Z113" s="65" t="s">
        <v>73</v>
      </c>
      <c r="AA113" s="65"/>
      <c r="AB113" s="65"/>
    </row>
    <row r="114" spans="1:28" x14ac:dyDescent="0.3">
      <c r="A114" s="1">
        <v>46192</v>
      </c>
      <c r="B114" s="65" t="s">
        <v>514</v>
      </c>
      <c r="C114" s="65" t="s">
        <v>29</v>
      </c>
      <c r="D114" s="65" t="s">
        <v>515</v>
      </c>
      <c r="E114" s="65" t="s">
        <v>31</v>
      </c>
      <c r="F114" s="65" t="s">
        <v>516</v>
      </c>
      <c r="G114" s="65" t="s">
        <v>517</v>
      </c>
      <c r="H114" s="65" t="s">
        <v>518</v>
      </c>
      <c r="I114" s="65"/>
      <c r="J114" s="65"/>
      <c r="K114" s="65" t="s">
        <v>37</v>
      </c>
      <c r="L114" s="65" t="s">
        <v>519</v>
      </c>
      <c r="M114" s="65" t="s">
        <v>520</v>
      </c>
      <c r="N114" s="65" t="s">
        <v>517</v>
      </c>
      <c r="O114" s="65" t="s">
        <v>521</v>
      </c>
      <c r="P114" s="65" t="s">
        <v>101</v>
      </c>
      <c r="Q114" s="65">
        <v>1</v>
      </c>
      <c r="R114" s="65" t="s">
        <v>70</v>
      </c>
      <c r="S114" s="65" t="s">
        <v>43</v>
      </c>
      <c r="T114" s="65" t="s">
        <v>44</v>
      </c>
      <c r="U114" s="65" t="s">
        <v>71</v>
      </c>
      <c r="V114" s="65" t="s">
        <v>72</v>
      </c>
      <c r="W114" s="65">
        <v>186.44</v>
      </c>
      <c r="X114" s="65" t="s">
        <v>47</v>
      </c>
      <c r="Y114" s="65" t="s">
        <v>48</v>
      </c>
      <c r="Z114" s="65" t="s">
        <v>73</v>
      </c>
      <c r="AA114" s="65"/>
      <c r="AB114" s="65"/>
    </row>
    <row r="115" spans="1:28" x14ac:dyDescent="0.3">
      <c r="A115" s="1">
        <v>46193</v>
      </c>
      <c r="B115" s="65" t="s">
        <v>489</v>
      </c>
      <c r="C115" s="65" t="s">
        <v>268</v>
      </c>
      <c r="D115" s="65" t="s">
        <v>490</v>
      </c>
      <c r="E115" s="65" t="s">
        <v>31</v>
      </c>
      <c r="F115" s="65" t="s">
        <v>491</v>
      </c>
      <c r="G115" s="65" t="s">
        <v>492</v>
      </c>
      <c r="H115" s="65" t="s">
        <v>493</v>
      </c>
      <c r="I115" s="65" t="s">
        <v>477</v>
      </c>
      <c r="J115" s="65" t="s">
        <v>209</v>
      </c>
      <c r="K115" s="65" t="s">
        <v>37</v>
      </c>
      <c r="L115" s="65" t="s">
        <v>494</v>
      </c>
      <c r="M115" s="65" t="s">
        <v>495</v>
      </c>
      <c r="N115" s="65" t="s">
        <v>486</v>
      </c>
      <c r="O115" s="65" t="s">
        <v>496</v>
      </c>
      <c r="P115" s="65" t="s">
        <v>59</v>
      </c>
      <c r="Q115" s="65">
        <v>2</v>
      </c>
      <c r="R115" s="65" t="s">
        <v>42</v>
      </c>
      <c r="S115" s="65" t="s">
        <v>44</v>
      </c>
      <c r="T115" s="65" t="s">
        <v>44</v>
      </c>
      <c r="U115" s="65" t="s">
        <v>45</v>
      </c>
      <c r="V115" s="65" t="s">
        <v>60</v>
      </c>
      <c r="W115" s="65">
        <v>203.39</v>
      </c>
      <c r="X115" s="65" t="s">
        <v>61</v>
      </c>
      <c r="Y115" s="65" t="s">
        <v>48</v>
      </c>
      <c r="Z115" s="65" t="s">
        <v>49</v>
      </c>
      <c r="AA115" s="65">
        <v>982536223</v>
      </c>
      <c r="AB115" s="65" t="s">
        <v>482</v>
      </c>
    </row>
    <row r="116" spans="1:28" x14ac:dyDescent="0.3">
      <c r="A116" s="1">
        <v>46195</v>
      </c>
      <c r="B116" s="65" t="s">
        <v>725</v>
      </c>
      <c r="C116" s="65" t="s">
        <v>29</v>
      </c>
      <c r="D116" s="65" t="s">
        <v>726</v>
      </c>
      <c r="E116" s="65" t="s">
        <v>31</v>
      </c>
      <c r="F116" s="65" t="s">
        <v>727</v>
      </c>
      <c r="G116" s="65" t="s">
        <v>728</v>
      </c>
      <c r="H116" s="65" t="s">
        <v>729</v>
      </c>
      <c r="I116" s="65" t="s">
        <v>715</v>
      </c>
      <c r="J116" s="65" t="s">
        <v>716</v>
      </c>
      <c r="K116" s="65" t="s">
        <v>37</v>
      </c>
      <c r="L116" s="65" t="s">
        <v>730</v>
      </c>
      <c r="M116" s="65" t="s">
        <v>731</v>
      </c>
      <c r="N116" s="65" t="s">
        <v>728</v>
      </c>
      <c r="O116" s="65" t="s">
        <v>732</v>
      </c>
      <c r="P116" s="65" t="s">
        <v>101</v>
      </c>
      <c r="Q116" s="65">
        <v>1</v>
      </c>
      <c r="R116" s="65" t="s">
        <v>42</v>
      </c>
      <c r="S116" s="65" t="s">
        <v>44</v>
      </c>
      <c r="T116" s="65" t="s">
        <v>44</v>
      </c>
      <c r="U116" s="65" t="s">
        <v>45</v>
      </c>
      <c r="V116" s="65" t="s">
        <v>60</v>
      </c>
      <c r="W116" s="65">
        <v>186.44</v>
      </c>
      <c r="X116" s="65" t="s">
        <v>47</v>
      </c>
      <c r="Y116" s="65" t="s">
        <v>48</v>
      </c>
      <c r="Z116" s="65" t="s">
        <v>49</v>
      </c>
      <c r="AA116" s="65">
        <v>955356636</v>
      </c>
      <c r="AB116" s="65" t="s">
        <v>720</v>
      </c>
    </row>
    <row r="117" spans="1:28" x14ac:dyDescent="0.3">
      <c r="A117" s="1">
        <v>46195</v>
      </c>
      <c r="B117" s="65" t="s">
        <v>1287</v>
      </c>
      <c r="C117" s="65" t="s">
        <v>29</v>
      </c>
      <c r="D117" s="65" t="s">
        <v>1288</v>
      </c>
      <c r="E117" s="65" t="s">
        <v>31</v>
      </c>
      <c r="F117" s="65" t="s">
        <v>1289</v>
      </c>
      <c r="G117" s="65" t="s">
        <v>1290</v>
      </c>
      <c r="H117" s="65" t="s">
        <v>1291</v>
      </c>
      <c r="I117" s="65" t="s">
        <v>1440</v>
      </c>
      <c r="J117" s="65" t="s">
        <v>1098</v>
      </c>
      <c r="K117" s="65" t="s">
        <v>37</v>
      </c>
      <c r="L117" s="65" t="s">
        <v>1292</v>
      </c>
      <c r="M117" s="65" t="s">
        <v>1293</v>
      </c>
      <c r="N117" s="65" t="s">
        <v>1290</v>
      </c>
      <c r="O117" s="65" t="s">
        <v>1294</v>
      </c>
      <c r="P117" s="65" t="s">
        <v>159</v>
      </c>
      <c r="Q117" s="65">
        <v>1</v>
      </c>
      <c r="R117" s="65" t="s">
        <v>42</v>
      </c>
      <c r="S117" s="65" t="s">
        <v>44</v>
      </c>
      <c r="T117" s="65" t="s">
        <v>44</v>
      </c>
      <c r="U117" s="65" t="s">
        <v>45</v>
      </c>
      <c r="V117" s="65" t="s">
        <v>60</v>
      </c>
      <c r="W117" s="65">
        <v>135.59</v>
      </c>
      <c r="X117" s="65" t="s">
        <v>47</v>
      </c>
      <c r="Y117" s="65" t="s">
        <v>48</v>
      </c>
      <c r="Z117" s="65" t="s">
        <v>49</v>
      </c>
      <c r="AA117" s="65">
        <v>999418834</v>
      </c>
      <c r="AB117" s="65" t="s">
        <v>1442</v>
      </c>
    </row>
    <row r="118" spans="1:28" x14ac:dyDescent="0.3">
      <c r="A118" s="1">
        <v>46196</v>
      </c>
      <c r="B118" s="65" t="s">
        <v>522</v>
      </c>
      <c r="C118" s="65" t="s">
        <v>29</v>
      </c>
      <c r="D118" s="65" t="s">
        <v>523</v>
      </c>
      <c r="E118" s="65" t="s">
        <v>31</v>
      </c>
      <c r="F118" s="65" t="s">
        <v>524</v>
      </c>
      <c r="G118" s="65" t="s">
        <v>525</v>
      </c>
      <c r="H118" s="65" t="s">
        <v>526</v>
      </c>
      <c r="I118" s="65"/>
      <c r="J118" s="65"/>
      <c r="K118" s="65" t="s">
        <v>37</v>
      </c>
      <c r="L118" s="65" t="s">
        <v>527</v>
      </c>
      <c r="M118" s="65" t="s">
        <v>528</v>
      </c>
      <c r="N118" s="65" t="s">
        <v>525</v>
      </c>
      <c r="O118" s="65" t="s">
        <v>529</v>
      </c>
      <c r="P118" s="65" t="s">
        <v>530</v>
      </c>
      <c r="Q118" s="65">
        <v>1</v>
      </c>
      <c r="R118" s="65" t="s">
        <v>42</v>
      </c>
      <c r="S118" s="65" t="s">
        <v>44</v>
      </c>
      <c r="T118" s="65" t="s">
        <v>44</v>
      </c>
      <c r="U118" s="65" t="s">
        <v>531</v>
      </c>
      <c r="V118" s="65" t="s">
        <v>532</v>
      </c>
      <c r="W118" s="65">
        <v>0.21</v>
      </c>
      <c r="X118" s="65" t="s">
        <v>533</v>
      </c>
      <c r="Y118" s="65" t="s">
        <v>48</v>
      </c>
      <c r="Z118" s="65" t="s">
        <v>534</v>
      </c>
      <c r="AA118" s="65"/>
      <c r="AB118" s="65"/>
    </row>
    <row r="119" spans="1:28" x14ac:dyDescent="0.3">
      <c r="A119" s="1">
        <v>46196</v>
      </c>
      <c r="B119" s="65" t="s">
        <v>522</v>
      </c>
      <c r="C119" s="65" t="s">
        <v>29</v>
      </c>
      <c r="D119" s="65" t="s">
        <v>523</v>
      </c>
      <c r="E119" s="65" t="s">
        <v>31</v>
      </c>
      <c r="F119" s="65" t="s">
        <v>524</v>
      </c>
      <c r="G119" s="65" t="s">
        <v>525</v>
      </c>
      <c r="H119" s="65" t="s">
        <v>526</v>
      </c>
      <c r="I119" s="65"/>
      <c r="J119" s="65"/>
      <c r="K119" s="65" t="s">
        <v>37</v>
      </c>
      <c r="L119" s="65" t="s">
        <v>527</v>
      </c>
      <c r="M119" s="65" t="s">
        <v>528</v>
      </c>
      <c r="N119" s="65" t="s">
        <v>525</v>
      </c>
      <c r="O119" s="65" t="s">
        <v>529</v>
      </c>
      <c r="P119" s="65" t="s">
        <v>535</v>
      </c>
      <c r="Q119" s="65">
        <v>1</v>
      </c>
      <c r="R119" s="65" t="s">
        <v>42</v>
      </c>
      <c r="S119" s="65" t="s">
        <v>44</v>
      </c>
      <c r="T119" s="65" t="s">
        <v>44</v>
      </c>
      <c r="U119" s="65" t="s">
        <v>531</v>
      </c>
      <c r="V119" s="65" t="s">
        <v>532</v>
      </c>
      <c r="W119" s="65">
        <v>0.68</v>
      </c>
      <c r="X119" s="65" t="s">
        <v>533</v>
      </c>
      <c r="Y119" s="65" t="s">
        <v>48</v>
      </c>
      <c r="Z119" s="65" t="s">
        <v>534</v>
      </c>
      <c r="AA119" s="65"/>
      <c r="AB119" s="65"/>
    </row>
    <row r="120" spans="1:28" x14ac:dyDescent="0.3">
      <c r="A120" s="1">
        <v>46196</v>
      </c>
      <c r="B120" s="65" t="s">
        <v>522</v>
      </c>
      <c r="C120" s="65" t="s">
        <v>29</v>
      </c>
      <c r="D120" s="65" t="s">
        <v>523</v>
      </c>
      <c r="E120" s="65" t="s">
        <v>31</v>
      </c>
      <c r="F120" s="65" t="s">
        <v>524</v>
      </c>
      <c r="G120" s="65" t="s">
        <v>525</v>
      </c>
      <c r="H120" s="65" t="s">
        <v>526</v>
      </c>
      <c r="I120" s="65"/>
      <c r="J120" s="65"/>
      <c r="K120" s="65" t="s">
        <v>37</v>
      </c>
      <c r="L120" s="65" t="s">
        <v>527</v>
      </c>
      <c r="M120" s="65" t="s">
        <v>528</v>
      </c>
      <c r="N120" s="65" t="s">
        <v>525</v>
      </c>
      <c r="O120" s="65" t="s">
        <v>529</v>
      </c>
      <c r="P120" s="65" t="s">
        <v>536</v>
      </c>
      <c r="Q120" s="65">
        <v>1</v>
      </c>
      <c r="R120" s="65" t="s">
        <v>42</v>
      </c>
      <c r="S120" s="65" t="s">
        <v>44</v>
      </c>
      <c r="T120" s="65" t="s">
        <v>44</v>
      </c>
      <c r="U120" s="65" t="s">
        <v>531</v>
      </c>
      <c r="V120" s="65" t="s">
        <v>532</v>
      </c>
      <c r="W120" s="65">
        <v>0.42</v>
      </c>
      <c r="X120" s="65" t="s">
        <v>533</v>
      </c>
      <c r="Y120" s="65" t="s">
        <v>48</v>
      </c>
      <c r="Z120" s="65" t="s">
        <v>534</v>
      </c>
      <c r="AA120" s="65"/>
      <c r="AB120" s="65"/>
    </row>
    <row r="121" spans="1:28" x14ac:dyDescent="0.3">
      <c r="A121" s="1">
        <v>46196</v>
      </c>
      <c r="B121" s="65" t="s">
        <v>894</v>
      </c>
      <c r="C121" s="65" t="s">
        <v>29</v>
      </c>
      <c r="D121" s="65" t="s">
        <v>895</v>
      </c>
      <c r="E121" s="65" t="s">
        <v>31</v>
      </c>
      <c r="F121" s="65" t="s">
        <v>896</v>
      </c>
      <c r="G121" s="65" t="s">
        <v>897</v>
      </c>
      <c r="H121" s="65" t="s">
        <v>898</v>
      </c>
      <c r="I121" s="65" t="s">
        <v>774</v>
      </c>
      <c r="J121" s="65" t="s">
        <v>775</v>
      </c>
      <c r="K121" s="65" t="s">
        <v>37</v>
      </c>
      <c r="L121" s="65" t="s">
        <v>899</v>
      </c>
      <c r="M121" s="65" t="s">
        <v>900</v>
      </c>
      <c r="N121" s="65" t="s">
        <v>897</v>
      </c>
      <c r="O121" s="65" t="s">
        <v>901</v>
      </c>
      <c r="P121" s="65" t="s">
        <v>828</v>
      </c>
      <c r="Q121" s="65">
        <v>1</v>
      </c>
      <c r="R121" s="65" t="s">
        <v>42</v>
      </c>
      <c r="S121" s="65" t="s">
        <v>44</v>
      </c>
      <c r="T121" s="65" t="s">
        <v>44</v>
      </c>
      <c r="U121" s="65" t="s">
        <v>45</v>
      </c>
      <c r="V121" s="65" t="s">
        <v>60</v>
      </c>
      <c r="W121" s="65">
        <v>127.12</v>
      </c>
      <c r="X121" s="65" t="s">
        <v>47</v>
      </c>
      <c r="Y121" s="65" t="s">
        <v>48</v>
      </c>
      <c r="Z121" s="65" t="s">
        <v>49</v>
      </c>
      <c r="AA121" s="65"/>
      <c r="AB121" s="65"/>
    </row>
    <row r="122" spans="1:28" x14ac:dyDescent="0.3">
      <c r="A122" s="1">
        <v>46196</v>
      </c>
      <c r="B122" s="65" t="s">
        <v>902</v>
      </c>
      <c r="C122" s="65" t="s">
        <v>29</v>
      </c>
      <c r="D122" s="65" t="s">
        <v>903</v>
      </c>
      <c r="E122" s="65" t="s">
        <v>31</v>
      </c>
      <c r="F122" s="65" t="s">
        <v>904</v>
      </c>
      <c r="G122" s="65" t="s">
        <v>897</v>
      </c>
      <c r="H122" s="65" t="s">
        <v>898</v>
      </c>
      <c r="I122" s="65" t="s">
        <v>774</v>
      </c>
      <c r="J122" s="65" t="s">
        <v>775</v>
      </c>
      <c r="K122" s="65" t="s">
        <v>37</v>
      </c>
      <c r="L122" s="65" t="s">
        <v>899</v>
      </c>
      <c r="M122" s="65" t="s">
        <v>900</v>
      </c>
      <c r="N122" s="65" t="s">
        <v>897</v>
      </c>
      <c r="O122" s="65" t="s">
        <v>905</v>
      </c>
      <c r="P122" s="65" t="s">
        <v>618</v>
      </c>
      <c r="Q122" s="65">
        <v>1</v>
      </c>
      <c r="R122" s="65" t="s">
        <v>42</v>
      </c>
      <c r="S122" s="65" t="s">
        <v>44</v>
      </c>
      <c r="T122" s="65" t="s">
        <v>44</v>
      </c>
      <c r="U122" s="65" t="s">
        <v>45</v>
      </c>
      <c r="V122" s="65" t="s">
        <v>60</v>
      </c>
      <c r="W122" s="65">
        <v>12.71</v>
      </c>
      <c r="X122" s="65" t="s">
        <v>619</v>
      </c>
      <c r="Y122" s="65" t="s">
        <v>48</v>
      </c>
      <c r="Z122" s="65" t="s">
        <v>49</v>
      </c>
      <c r="AA122" s="65"/>
      <c r="AB122" s="65"/>
    </row>
    <row r="123" spans="1:28" x14ac:dyDescent="0.3">
      <c r="A123" s="1">
        <v>46196</v>
      </c>
      <c r="B123" s="65" t="s">
        <v>902</v>
      </c>
      <c r="C123" s="65" t="s">
        <v>29</v>
      </c>
      <c r="D123" s="65" t="s">
        <v>903</v>
      </c>
      <c r="E123" s="65" t="s">
        <v>31</v>
      </c>
      <c r="F123" s="65" t="s">
        <v>904</v>
      </c>
      <c r="G123" s="65" t="s">
        <v>897</v>
      </c>
      <c r="H123" s="65" t="s">
        <v>898</v>
      </c>
      <c r="I123" s="65" t="s">
        <v>774</v>
      </c>
      <c r="J123" s="65" t="s">
        <v>775</v>
      </c>
      <c r="K123" s="65" t="s">
        <v>37</v>
      </c>
      <c r="L123" s="65" t="s">
        <v>899</v>
      </c>
      <c r="M123" s="65" t="s">
        <v>900</v>
      </c>
      <c r="N123" s="65" t="s">
        <v>897</v>
      </c>
      <c r="O123" s="65" t="s">
        <v>905</v>
      </c>
      <c r="P123" s="65" t="s">
        <v>620</v>
      </c>
      <c r="Q123" s="65">
        <v>1</v>
      </c>
      <c r="R123" s="65" t="s">
        <v>42</v>
      </c>
      <c r="S123" s="65" t="s">
        <v>44</v>
      </c>
      <c r="T123" s="65" t="s">
        <v>44</v>
      </c>
      <c r="U123" s="65" t="s">
        <v>45</v>
      </c>
      <c r="V123" s="65" t="s">
        <v>60</v>
      </c>
      <c r="W123" s="65">
        <v>21.19</v>
      </c>
      <c r="X123" s="65" t="s">
        <v>619</v>
      </c>
      <c r="Y123" s="65" t="s">
        <v>48</v>
      </c>
      <c r="Z123" s="65" t="s">
        <v>49</v>
      </c>
      <c r="AA123" s="65"/>
      <c r="AB123" s="65"/>
    </row>
    <row r="124" spans="1:28" x14ac:dyDescent="0.3">
      <c r="A124" s="1">
        <v>46196</v>
      </c>
      <c r="B124" s="65" t="s">
        <v>902</v>
      </c>
      <c r="C124" s="65" t="s">
        <v>29</v>
      </c>
      <c r="D124" s="65" t="s">
        <v>903</v>
      </c>
      <c r="E124" s="65" t="s">
        <v>31</v>
      </c>
      <c r="F124" s="65" t="s">
        <v>904</v>
      </c>
      <c r="G124" s="65" t="s">
        <v>897</v>
      </c>
      <c r="H124" s="65" t="s">
        <v>898</v>
      </c>
      <c r="I124" s="65" t="s">
        <v>774</v>
      </c>
      <c r="J124" s="65" t="s">
        <v>775</v>
      </c>
      <c r="K124" s="65" t="s">
        <v>37</v>
      </c>
      <c r="L124" s="65" t="s">
        <v>899</v>
      </c>
      <c r="M124" s="65" t="s">
        <v>900</v>
      </c>
      <c r="N124" s="65" t="s">
        <v>897</v>
      </c>
      <c r="O124" s="65" t="s">
        <v>905</v>
      </c>
      <c r="P124" s="65" t="s">
        <v>621</v>
      </c>
      <c r="Q124" s="65">
        <v>1</v>
      </c>
      <c r="R124" s="65" t="s">
        <v>42</v>
      </c>
      <c r="S124" s="65" t="s">
        <v>44</v>
      </c>
      <c r="T124" s="65" t="s">
        <v>44</v>
      </c>
      <c r="U124" s="65" t="s">
        <v>45</v>
      </c>
      <c r="V124" s="65" t="s">
        <v>60</v>
      </c>
      <c r="W124" s="65">
        <v>12.71</v>
      </c>
      <c r="X124" s="65" t="s">
        <v>619</v>
      </c>
      <c r="Y124" s="65" t="s">
        <v>48</v>
      </c>
      <c r="Z124" s="65" t="s">
        <v>49</v>
      </c>
      <c r="AA124" s="65"/>
      <c r="AB124" s="65"/>
    </row>
    <row r="125" spans="1:28" x14ac:dyDescent="0.3">
      <c r="A125" s="1">
        <v>46196</v>
      </c>
      <c r="B125" s="65" t="s">
        <v>902</v>
      </c>
      <c r="C125" s="65" t="s">
        <v>29</v>
      </c>
      <c r="D125" s="65" t="s">
        <v>903</v>
      </c>
      <c r="E125" s="65" t="s">
        <v>31</v>
      </c>
      <c r="F125" s="65" t="s">
        <v>904</v>
      </c>
      <c r="G125" s="65" t="s">
        <v>897</v>
      </c>
      <c r="H125" s="65" t="s">
        <v>898</v>
      </c>
      <c r="I125" s="65" t="s">
        <v>774</v>
      </c>
      <c r="J125" s="65" t="s">
        <v>775</v>
      </c>
      <c r="K125" s="65" t="s">
        <v>37</v>
      </c>
      <c r="L125" s="65" t="s">
        <v>899</v>
      </c>
      <c r="M125" s="65" t="s">
        <v>900</v>
      </c>
      <c r="N125" s="65" t="s">
        <v>897</v>
      </c>
      <c r="O125" s="65" t="s">
        <v>905</v>
      </c>
      <c r="P125" s="65" t="s">
        <v>622</v>
      </c>
      <c r="Q125" s="65">
        <v>1</v>
      </c>
      <c r="R125" s="65" t="s">
        <v>42</v>
      </c>
      <c r="S125" s="65" t="s">
        <v>44</v>
      </c>
      <c r="T125" s="65" t="s">
        <v>44</v>
      </c>
      <c r="U125" s="65" t="s">
        <v>45</v>
      </c>
      <c r="V125" s="65" t="s">
        <v>60</v>
      </c>
      <c r="W125" s="65">
        <v>12.71</v>
      </c>
      <c r="X125" s="65" t="s">
        <v>619</v>
      </c>
      <c r="Y125" s="65" t="s">
        <v>48</v>
      </c>
      <c r="Z125" s="65" t="s">
        <v>49</v>
      </c>
      <c r="AA125" s="65"/>
      <c r="AB125" s="65"/>
    </row>
    <row r="126" spans="1:28" x14ac:dyDescent="0.3">
      <c r="A126" s="1">
        <v>46196</v>
      </c>
      <c r="B126" s="65" t="s">
        <v>902</v>
      </c>
      <c r="C126" s="65" t="s">
        <v>29</v>
      </c>
      <c r="D126" s="65" t="s">
        <v>903</v>
      </c>
      <c r="E126" s="65" t="s">
        <v>31</v>
      </c>
      <c r="F126" s="65" t="s">
        <v>904</v>
      </c>
      <c r="G126" s="65" t="s">
        <v>897</v>
      </c>
      <c r="H126" s="65" t="s">
        <v>898</v>
      </c>
      <c r="I126" s="65" t="s">
        <v>774</v>
      </c>
      <c r="J126" s="65" t="s">
        <v>775</v>
      </c>
      <c r="K126" s="65" t="s">
        <v>37</v>
      </c>
      <c r="L126" s="65" t="s">
        <v>899</v>
      </c>
      <c r="M126" s="65" t="s">
        <v>900</v>
      </c>
      <c r="N126" s="65" t="s">
        <v>897</v>
      </c>
      <c r="O126" s="65" t="s">
        <v>905</v>
      </c>
      <c r="P126" s="65" t="s">
        <v>833</v>
      </c>
      <c r="Q126" s="65">
        <v>1</v>
      </c>
      <c r="R126" s="65" t="s">
        <v>42</v>
      </c>
      <c r="S126" s="65" t="s">
        <v>44</v>
      </c>
      <c r="T126" s="65" t="s">
        <v>44</v>
      </c>
      <c r="U126" s="65" t="s">
        <v>45</v>
      </c>
      <c r="V126" s="65" t="s">
        <v>60</v>
      </c>
      <c r="W126" s="65">
        <v>50.85</v>
      </c>
      <c r="X126" s="65" t="s">
        <v>619</v>
      </c>
      <c r="Y126" s="65" t="s">
        <v>48</v>
      </c>
      <c r="Z126" s="65" t="s">
        <v>49</v>
      </c>
      <c r="AA126" s="65"/>
      <c r="AB126" s="65"/>
    </row>
    <row r="127" spans="1:28" x14ac:dyDescent="0.3">
      <c r="A127" s="1">
        <v>46196</v>
      </c>
      <c r="B127" s="65" t="s">
        <v>906</v>
      </c>
      <c r="C127" s="65" t="s">
        <v>29</v>
      </c>
      <c r="D127" s="65" t="s">
        <v>907</v>
      </c>
      <c r="E127" s="65" t="s">
        <v>31</v>
      </c>
      <c r="F127" s="65" t="s">
        <v>908</v>
      </c>
      <c r="G127" s="65" t="s">
        <v>897</v>
      </c>
      <c r="H127" s="65" t="s">
        <v>898</v>
      </c>
      <c r="I127" s="65" t="s">
        <v>774</v>
      </c>
      <c r="J127" s="65" t="s">
        <v>775</v>
      </c>
      <c r="K127" s="65" t="s">
        <v>37</v>
      </c>
      <c r="L127" s="65" t="s">
        <v>899</v>
      </c>
      <c r="M127" s="65" t="s">
        <v>900</v>
      </c>
      <c r="N127" s="65" t="s">
        <v>897</v>
      </c>
      <c r="O127" s="65" t="s">
        <v>909</v>
      </c>
      <c r="P127" s="65" t="s">
        <v>201</v>
      </c>
      <c r="Q127" s="65">
        <v>1</v>
      </c>
      <c r="R127" s="65" t="s">
        <v>42</v>
      </c>
      <c r="S127" s="65" t="s">
        <v>44</v>
      </c>
      <c r="T127" s="65" t="s">
        <v>44</v>
      </c>
      <c r="U127" s="65" t="s">
        <v>45</v>
      </c>
      <c r="V127" s="65" t="s">
        <v>60</v>
      </c>
      <c r="W127" s="65">
        <v>42.37</v>
      </c>
      <c r="X127" s="65" t="s">
        <v>47</v>
      </c>
      <c r="Y127" s="65" t="s">
        <v>48</v>
      </c>
      <c r="Z127" s="65" t="s">
        <v>49</v>
      </c>
      <c r="AA127" s="65"/>
      <c r="AB127" s="65"/>
    </row>
    <row r="128" spans="1:28" x14ac:dyDescent="0.3">
      <c r="A128" s="1">
        <v>46196</v>
      </c>
      <c r="B128" s="65" t="s">
        <v>906</v>
      </c>
      <c r="C128" s="65" t="s">
        <v>29</v>
      </c>
      <c r="D128" s="65" t="s">
        <v>907</v>
      </c>
      <c r="E128" s="65" t="s">
        <v>31</v>
      </c>
      <c r="F128" s="65" t="s">
        <v>908</v>
      </c>
      <c r="G128" s="65" t="s">
        <v>897</v>
      </c>
      <c r="H128" s="65" t="s">
        <v>898</v>
      </c>
      <c r="I128" s="65" t="s">
        <v>774</v>
      </c>
      <c r="J128" s="65" t="s">
        <v>775</v>
      </c>
      <c r="K128" s="65" t="s">
        <v>37</v>
      </c>
      <c r="L128" s="65" t="s">
        <v>899</v>
      </c>
      <c r="M128" s="65" t="s">
        <v>900</v>
      </c>
      <c r="N128" s="65" t="s">
        <v>897</v>
      </c>
      <c r="O128" s="65" t="s">
        <v>909</v>
      </c>
      <c r="P128" s="65" t="s">
        <v>202</v>
      </c>
      <c r="Q128" s="65">
        <v>1</v>
      </c>
      <c r="R128" s="65" t="s">
        <v>42</v>
      </c>
      <c r="S128" s="65" t="s">
        <v>44</v>
      </c>
      <c r="T128" s="65" t="s">
        <v>44</v>
      </c>
      <c r="U128" s="65" t="s">
        <v>45</v>
      </c>
      <c r="V128" s="65" t="s">
        <v>60</v>
      </c>
      <c r="W128" s="65">
        <v>42.37</v>
      </c>
      <c r="X128" s="65" t="s">
        <v>47</v>
      </c>
      <c r="Y128" s="65" t="s">
        <v>48</v>
      </c>
      <c r="Z128" s="65" t="s">
        <v>49</v>
      </c>
      <c r="AA128" s="65"/>
      <c r="AB128" s="65"/>
    </row>
    <row r="129" spans="1:28" x14ac:dyDescent="0.3">
      <c r="A129" s="1">
        <v>46196</v>
      </c>
      <c r="B129" s="65" t="s">
        <v>910</v>
      </c>
      <c r="C129" s="65" t="s">
        <v>29</v>
      </c>
      <c r="D129" s="65" t="s">
        <v>911</v>
      </c>
      <c r="E129" s="65" t="s">
        <v>31</v>
      </c>
      <c r="F129" s="65" t="s">
        <v>912</v>
      </c>
      <c r="G129" s="65" t="s">
        <v>913</v>
      </c>
      <c r="H129" s="65" t="s">
        <v>914</v>
      </c>
      <c r="I129" s="65" t="s">
        <v>774</v>
      </c>
      <c r="J129" s="65" t="s">
        <v>775</v>
      </c>
      <c r="K129" s="65" t="s">
        <v>37</v>
      </c>
      <c r="L129" s="65" t="s">
        <v>915</v>
      </c>
      <c r="M129" s="65" t="s">
        <v>916</v>
      </c>
      <c r="N129" s="65" t="s">
        <v>913</v>
      </c>
      <c r="O129" s="65" t="s">
        <v>917</v>
      </c>
      <c r="P129" s="65" t="s">
        <v>201</v>
      </c>
      <c r="Q129" s="65">
        <v>1</v>
      </c>
      <c r="R129" s="65" t="s">
        <v>42</v>
      </c>
      <c r="S129" s="65" t="s">
        <v>44</v>
      </c>
      <c r="T129" s="65" t="s">
        <v>44</v>
      </c>
      <c r="U129" s="65" t="s">
        <v>45</v>
      </c>
      <c r="V129" s="65" t="s">
        <v>60</v>
      </c>
      <c r="W129" s="65">
        <v>42.37</v>
      </c>
      <c r="X129" s="65" t="s">
        <v>47</v>
      </c>
      <c r="Y129" s="65" t="s">
        <v>48</v>
      </c>
      <c r="Z129" s="65" t="s">
        <v>49</v>
      </c>
      <c r="AA129" s="65"/>
      <c r="AB129" s="65"/>
    </row>
    <row r="130" spans="1:28" x14ac:dyDescent="0.3">
      <c r="A130" s="1">
        <v>46196</v>
      </c>
      <c r="B130" s="65" t="s">
        <v>910</v>
      </c>
      <c r="C130" s="65" t="s">
        <v>29</v>
      </c>
      <c r="D130" s="65" t="s">
        <v>911</v>
      </c>
      <c r="E130" s="65" t="s">
        <v>31</v>
      </c>
      <c r="F130" s="65" t="s">
        <v>912</v>
      </c>
      <c r="G130" s="65" t="s">
        <v>913</v>
      </c>
      <c r="H130" s="65" t="s">
        <v>914</v>
      </c>
      <c r="I130" s="65" t="s">
        <v>774</v>
      </c>
      <c r="J130" s="65" t="s">
        <v>775</v>
      </c>
      <c r="K130" s="65" t="s">
        <v>37</v>
      </c>
      <c r="L130" s="65" t="s">
        <v>915</v>
      </c>
      <c r="M130" s="65" t="s">
        <v>916</v>
      </c>
      <c r="N130" s="65" t="s">
        <v>913</v>
      </c>
      <c r="O130" s="65" t="s">
        <v>917</v>
      </c>
      <c r="P130" s="65" t="s">
        <v>202</v>
      </c>
      <c r="Q130" s="65">
        <v>1</v>
      </c>
      <c r="R130" s="65" t="s">
        <v>42</v>
      </c>
      <c r="S130" s="65" t="s">
        <v>44</v>
      </c>
      <c r="T130" s="65" t="s">
        <v>44</v>
      </c>
      <c r="U130" s="65" t="s">
        <v>45</v>
      </c>
      <c r="V130" s="65" t="s">
        <v>60</v>
      </c>
      <c r="W130" s="65">
        <v>42.37</v>
      </c>
      <c r="X130" s="65" t="s">
        <v>47</v>
      </c>
      <c r="Y130" s="65" t="s">
        <v>48</v>
      </c>
      <c r="Z130" s="65" t="s">
        <v>49</v>
      </c>
      <c r="AA130" s="65"/>
      <c r="AB130" s="65"/>
    </row>
    <row r="131" spans="1:28" x14ac:dyDescent="0.3">
      <c r="A131" s="1">
        <v>46196</v>
      </c>
      <c r="B131" s="65" t="s">
        <v>918</v>
      </c>
      <c r="C131" s="65" t="s">
        <v>29</v>
      </c>
      <c r="D131" s="65" t="s">
        <v>919</v>
      </c>
      <c r="E131" s="65" t="s">
        <v>31</v>
      </c>
      <c r="F131" s="65" t="s">
        <v>920</v>
      </c>
      <c r="G131" s="65" t="s">
        <v>921</v>
      </c>
      <c r="H131" s="65" t="s">
        <v>922</v>
      </c>
      <c r="I131" s="65" t="s">
        <v>774</v>
      </c>
      <c r="J131" s="65" t="s">
        <v>775</v>
      </c>
      <c r="K131" s="65" t="s">
        <v>37</v>
      </c>
      <c r="L131" s="65" t="s">
        <v>923</v>
      </c>
      <c r="M131" s="65" t="s">
        <v>608</v>
      </c>
      <c r="N131" s="65" t="s">
        <v>921</v>
      </c>
      <c r="O131" s="65" t="s">
        <v>924</v>
      </c>
      <c r="P131" s="65" t="s">
        <v>201</v>
      </c>
      <c r="Q131" s="65">
        <v>1</v>
      </c>
      <c r="R131" s="65" t="s">
        <v>42</v>
      </c>
      <c r="S131" s="65" t="s">
        <v>44</v>
      </c>
      <c r="T131" s="65" t="s">
        <v>44</v>
      </c>
      <c r="U131" s="65" t="s">
        <v>45</v>
      </c>
      <c r="V131" s="65" t="s">
        <v>60</v>
      </c>
      <c r="W131" s="65">
        <v>42.37</v>
      </c>
      <c r="X131" s="65" t="s">
        <v>47</v>
      </c>
      <c r="Y131" s="65" t="s">
        <v>48</v>
      </c>
      <c r="Z131" s="65" t="s">
        <v>49</v>
      </c>
      <c r="AA131" s="65"/>
      <c r="AB131" s="65"/>
    </row>
    <row r="132" spans="1:28" x14ac:dyDescent="0.3">
      <c r="A132" s="1">
        <v>46196</v>
      </c>
      <c r="B132" s="65" t="s">
        <v>918</v>
      </c>
      <c r="C132" s="65" t="s">
        <v>29</v>
      </c>
      <c r="D132" s="65" t="s">
        <v>919</v>
      </c>
      <c r="E132" s="65" t="s">
        <v>31</v>
      </c>
      <c r="F132" s="65" t="s">
        <v>920</v>
      </c>
      <c r="G132" s="65" t="s">
        <v>921</v>
      </c>
      <c r="H132" s="65" t="s">
        <v>922</v>
      </c>
      <c r="I132" s="65" t="s">
        <v>774</v>
      </c>
      <c r="J132" s="65" t="s">
        <v>775</v>
      </c>
      <c r="K132" s="65" t="s">
        <v>37</v>
      </c>
      <c r="L132" s="65" t="s">
        <v>923</v>
      </c>
      <c r="M132" s="65" t="s">
        <v>608</v>
      </c>
      <c r="N132" s="65" t="s">
        <v>921</v>
      </c>
      <c r="O132" s="65" t="s">
        <v>924</v>
      </c>
      <c r="P132" s="65" t="s">
        <v>202</v>
      </c>
      <c r="Q132" s="65">
        <v>1</v>
      </c>
      <c r="R132" s="65" t="s">
        <v>42</v>
      </c>
      <c r="S132" s="65" t="s">
        <v>44</v>
      </c>
      <c r="T132" s="65" t="s">
        <v>44</v>
      </c>
      <c r="U132" s="65" t="s">
        <v>45</v>
      </c>
      <c r="V132" s="65" t="s">
        <v>60</v>
      </c>
      <c r="W132" s="65">
        <v>42.37</v>
      </c>
      <c r="X132" s="65" t="s">
        <v>47</v>
      </c>
      <c r="Y132" s="65" t="s">
        <v>48</v>
      </c>
      <c r="Z132" s="65" t="s">
        <v>49</v>
      </c>
      <c r="AA132" s="65"/>
      <c r="AB132" s="65"/>
    </row>
    <row r="133" spans="1:28" x14ac:dyDescent="0.3">
      <c r="A133" s="1">
        <v>46196</v>
      </c>
      <c r="B133" s="65" t="s">
        <v>925</v>
      </c>
      <c r="C133" s="65" t="s">
        <v>268</v>
      </c>
      <c r="D133" s="65" t="s">
        <v>926</v>
      </c>
      <c r="E133" s="65" t="s">
        <v>31</v>
      </c>
      <c r="F133" s="65" t="s">
        <v>927</v>
      </c>
      <c r="G133" s="65" t="s">
        <v>913</v>
      </c>
      <c r="H133" s="65" t="s">
        <v>914</v>
      </c>
      <c r="I133" s="65" t="s">
        <v>774</v>
      </c>
      <c r="J133" s="65" t="s">
        <v>775</v>
      </c>
      <c r="K133" s="65" t="s">
        <v>37</v>
      </c>
      <c r="L133" s="65" t="s">
        <v>915</v>
      </c>
      <c r="M133" s="65" t="s">
        <v>916</v>
      </c>
      <c r="N133" s="65" t="s">
        <v>798</v>
      </c>
      <c r="O133" s="65" t="s">
        <v>928</v>
      </c>
      <c r="P133" s="65" t="s">
        <v>288</v>
      </c>
      <c r="Q133" s="65">
        <v>1</v>
      </c>
      <c r="R133" s="65" t="s">
        <v>42</v>
      </c>
      <c r="S133" s="65" t="s">
        <v>44</v>
      </c>
      <c r="T133" s="65" t="s">
        <v>44</v>
      </c>
      <c r="U133" s="65" t="s">
        <v>45</v>
      </c>
      <c r="V133" s="65" t="s">
        <v>60</v>
      </c>
      <c r="W133" s="65">
        <v>0</v>
      </c>
      <c r="X133" s="65" t="s">
        <v>289</v>
      </c>
      <c r="Y133" s="65" t="s">
        <v>48</v>
      </c>
      <c r="Z133" s="65" t="s">
        <v>49</v>
      </c>
      <c r="AA133" s="65"/>
      <c r="AB133" s="65"/>
    </row>
    <row r="134" spans="1:28" x14ac:dyDescent="0.3">
      <c r="A134" s="1">
        <v>46196</v>
      </c>
      <c r="B134" s="65" t="s">
        <v>925</v>
      </c>
      <c r="C134" s="65" t="s">
        <v>268</v>
      </c>
      <c r="D134" s="65" t="s">
        <v>926</v>
      </c>
      <c r="E134" s="65" t="s">
        <v>31</v>
      </c>
      <c r="F134" s="65" t="s">
        <v>927</v>
      </c>
      <c r="G134" s="65" t="s">
        <v>913</v>
      </c>
      <c r="H134" s="65" t="s">
        <v>914</v>
      </c>
      <c r="I134" s="65" t="s">
        <v>774</v>
      </c>
      <c r="J134" s="65" t="s">
        <v>775</v>
      </c>
      <c r="K134" s="65" t="s">
        <v>37</v>
      </c>
      <c r="L134" s="65" t="s">
        <v>915</v>
      </c>
      <c r="M134" s="65" t="s">
        <v>916</v>
      </c>
      <c r="N134" s="65" t="s">
        <v>798</v>
      </c>
      <c r="O134" s="65" t="s">
        <v>928</v>
      </c>
      <c r="P134" s="65" t="s">
        <v>290</v>
      </c>
      <c r="Q134" s="65">
        <v>1</v>
      </c>
      <c r="R134" s="65" t="s">
        <v>42</v>
      </c>
      <c r="S134" s="65" t="s">
        <v>44</v>
      </c>
      <c r="T134" s="65" t="s">
        <v>44</v>
      </c>
      <c r="U134" s="65" t="s">
        <v>45</v>
      </c>
      <c r="V134" s="65" t="s">
        <v>60</v>
      </c>
      <c r="W134" s="65">
        <v>1525.42</v>
      </c>
      <c r="X134" s="65" t="s">
        <v>289</v>
      </c>
      <c r="Y134" s="65" t="s">
        <v>48</v>
      </c>
      <c r="Z134" s="65" t="s">
        <v>49</v>
      </c>
      <c r="AA134" s="65"/>
      <c r="AB134" s="65"/>
    </row>
    <row r="135" spans="1:28" x14ac:dyDescent="0.3">
      <c r="A135" s="1">
        <v>46196</v>
      </c>
      <c r="B135" s="65" t="s">
        <v>929</v>
      </c>
      <c r="C135" s="65" t="s">
        <v>268</v>
      </c>
      <c r="D135" s="65" t="s">
        <v>930</v>
      </c>
      <c r="E135" s="65" t="s">
        <v>31</v>
      </c>
      <c r="F135" s="65" t="s">
        <v>931</v>
      </c>
      <c r="G135" s="65" t="s">
        <v>921</v>
      </c>
      <c r="H135" s="65" t="s">
        <v>922</v>
      </c>
      <c r="I135" s="65" t="s">
        <v>774</v>
      </c>
      <c r="J135" s="65" t="s">
        <v>775</v>
      </c>
      <c r="K135" s="65" t="s">
        <v>37</v>
      </c>
      <c r="L135" s="65" t="s">
        <v>923</v>
      </c>
      <c r="M135" s="65" t="s">
        <v>608</v>
      </c>
      <c r="N135" s="65" t="s">
        <v>798</v>
      </c>
      <c r="O135" s="65" t="s">
        <v>932</v>
      </c>
      <c r="P135" s="65" t="s">
        <v>288</v>
      </c>
      <c r="Q135" s="65">
        <v>1</v>
      </c>
      <c r="R135" s="65" t="s">
        <v>42</v>
      </c>
      <c r="S135" s="65" t="s">
        <v>44</v>
      </c>
      <c r="T135" s="65" t="s">
        <v>44</v>
      </c>
      <c r="U135" s="65" t="s">
        <v>45</v>
      </c>
      <c r="V135" s="65" t="s">
        <v>60</v>
      </c>
      <c r="W135" s="65">
        <v>0</v>
      </c>
      <c r="X135" s="65" t="s">
        <v>289</v>
      </c>
      <c r="Y135" s="65" t="s">
        <v>48</v>
      </c>
      <c r="Z135" s="65" t="s">
        <v>49</v>
      </c>
      <c r="AA135" s="65"/>
      <c r="AB135" s="65"/>
    </row>
    <row r="136" spans="1:28" x14ac:dyDescent="0.3">
      <c r="A136" s="1">
        <v>46196</v>
      </c>
      <c r="B136" s="65" t="s">
        <v>929</v>
      </c>
      <c r="C136" s="65" t="s">
        <v>268</v>
      </c>
      <c r="D136" s="65" t="s">
        <v>930</v>
      </c>
      <c r="E136" s="65" t="s">
        <v>31</v>
      </c>
      <c r="F136" s="65" t="s">
        <v>931</v>
      </c>
      <c r="G136" s="65" t="s">
        <v>921</v>
      </c>
      <c r="H136" s="65" t="s">
        <v>922</v>
      </c>
      <c r="I136" s="65" t="s">
        <v>774</v>
      </c>
      <c r="J136" s="65" t="s">
        <v>775</v>
      </c>
      <c r="K136" s="65" t="s">
        <v>37</v>
      </c>
      <c r="L136" s="65" t="s">
        <v>923</v>
      </c>
      <c r="M136" s="65" t="s">
        <v>608</v>
      </c>
      <c r="N136" s="65" t="s">
        <v>798</v>
      </c>
      <c r="O136" s="65" t="s">
        <v>932</v>
      </c>
      <c r="P136" s="65" t="s">
        <v>290</v>
      </c>
      <c r="Q136" s="65">
        <v>1</v>
      </c>
      <c r="R136" s="65" t="s">
        <v>42</v>
      </c>
      <c r="S136" s="65" t="s">
        <v>44</v>
      </c>
      <c r="T136" s="65" t="s">
        <v>44</v>
      </c>
      <c r="U136" s="65" t="s">
        <v>45</v>
      </c>
      <c r="V136" s="65" t="s">
        <v>60</v>
      </c>
      <c r="W136" s="65">
        <v>1525.42</v>
      </c>
      <c r="X136" s="65" t="s">
        <v>289</v>
      </c>
      <c r="Y136" s="65" t="s">
        <v>48</v>
      </c>
      <c r="Z136" s="65" t="s">
        <v>49</v>
      </c>
      <c r="AA136" s="65"/>
      <c r="AB136" s="65"/>
    </row>
    <row r="137" spans="1:28" x14ac:dyDescent="0.3">
      <c r="A137" s="1">
        <v>46196</v>
      </c>
      <c r="B137" s="65" t="s">
        <v>933</v>
      </c>
      <c r="C137" s="65" t="s">
        <v>268</v>
      </c>
      <c r="D137" s="65" t="s">
        <v>934</v>
      </c>
      <c r="E137" s="65" t="s">
        <v>31</v>
      </c>
      <c r="F137" s="65" t="s">
        <v>935</v>
      </c>
      <c r="G137" s="65" t="s">
        <v>897</v>
      </c>
      <c r="H137" s="65" t="s">
        <v>898</v>
      </c>
      <c r="I137" s="65" t="s">
        <v>774</v>
      </c>
      <c r="J137" s="65" t="s">
        <v>775</v>
      </c>
      <c r="K137" s="65" t="s">
        <v>37</v>
      </c>
      <c r="L137" s="65" t="s">
        <v>899</v>
      </c>
      <c r="M137" s="65" t="s">
        <v>900</v>
      </c>
      <c r="N137" s="65" t="s">
        <v>798</v>
      </c>
      <c r="O137" s="65" t="s">
        <v>936</v>
      </c>
      <c r="P137" s="65" t="s">
        <v>288</v>
      </c>
      <c r="Q137" s="65">
        <v>1</v>
      </c>
      <c r="R137" s="65" t="s">
        <v>42</v>
      </c>
      <c r="S137" s="65" t="s">
        <v>44</v>
      </c>
      <c r="T137" s="65" t="s">
        <v>44</v>
      </c>
      <c r="U137" s="65" t="s">
        <v>45</v>
      </c>
      <c r="V137" s="65" t="s">
        <v>60</v>
      </c>
      <c r="W137" s="65">
        <v>0</v>
      </c>
      <c r="X137" s="65" t="s">
        <v>289</v>
      </c>
      <c r="Y137" s="65" t="s">
        <v>48</v>
      </c>
      <c r="Z137" s="65" t="s">
        <v>49</v>
      </c>
      <c r="AA137" s="65"/>
      <c r="AB137" s="65"/>
    </row>
    <row r="138" spans="1:28" x14ac:dyDescent="0.3">
      <c r="A138" s="1">
        <v>46196</v>
      </c>
      <c r="B138" s="65" t="s">
        <v>933</v>
      </c>
      <c r="C138" s="65" t="s">
        <v>268</v>
      </c>
      <c r="D138" s="65" t="s">
        <v>934</v>
      </c>
      <c r="E138" s="65" t="s">
        <v>31</v>
      </c>
      <c r="F138" s="65" t="s">
        <v>935</v>
      </c>
      <c r="G138" s="65" t="s">
        <v>897</v>
      </c>
      <c r="H138" s="65" t="s">
        <v>898</v>
      </c>
      <c r="I138" s="65" t="s">
        <v>774</v>
      </c>
      <c r="J138" s="65" t="s">
        <v>775</v>
      </c>
      <c r="K138" s="65" t="s">
        <v>37</v>
      </c>
      <c r="L138" s="65" t="s">
        <v>899</v>
      </c>
      <c r="M138" s="65" t="s">
        <v>900</v>
      </c>
      <c r="N138" s="65" t="s">
        <v>798</v>
      </c>
      <c r="O138" s="65" t="s">
        <v>936</v>
      </c>
      <c r="P138" s="65" t="s">
        <v>290</v>
      </c>
      <c r="Q138" s="65">
        <v>1</v>
      </c>
      <c r="R138" s="65" t="s">
        <v>42</v>
      </c>
      <c r="S138" s="65" t="s">
        <v>44</v>
      </c>
      <c r="T138" s="65" t="s">
        <v>44</v>
      </c>
      <c r="U138" s="65" t="s">
        <v>45</v>
      </c>
      <c r="V138" s="65" t="s">
        <v>60</v>
      </c>
      <c r="W138" s="65">
        <v>1525.42</v>
      </c>
      <c r="X138" s="65" t="s">
        <v>289</v>
      </c>
      <c r="Y138" s="65" t="s">
        <v>48</v>
      </c>
      <c r="Z138" s="65" t="s">
        <v>49</v>
      </c>
      <c r="AA138" s="65"/>
      <c r="AB138" s="65"/>
    </row>
    <row r="139" spans="1:28" x14ac:dyDescent="0.3">
      <c r="A139" s="1">
        <v>46196</v>
      </c>
      <c r="B139" s="65" t="s">
        <v>1335</v>
      </c>
      <c r="C139" s="65" t="s">
        <v>29</v>
      </c>
      <c r="D139" s="65" t="s">
        <v>1336</v>
      </c>
      <c r="E139" s="65" t="s">
        <v>31</v>
      </c>
      <c r="F139" s="65" t="s">
        <v>1337</v>
      </c>
      <c r="G139" s="65" t="s">
        <v>1338</v>
      </c>
      <c r="H139" s="65" t="s">
        <v>1339</v>
      </c>
      <c r="I139" s="65" t="s">
        <v>1340</v>
      </c>
      <c r="J139" s="65"/>
      <c r="K139" s="65" t="s">
        <v>37</v>
      </c>
      <c r="L139" s="65" t="s">
        <v>1341</v>
      </c>
      <c r="M139" s="65" t="s">
        <v>1342</v>
      </c>
      <c r="N139" s="65" t="s">
        <v>1338</v>
      </c>
      <c r="O139" s="65" t="s">
        <v>1343</v>
      </c>
      <c r="P139" s="65" t="s">
        <v>90</v>
      </c>
      <c r="Q139" s="65">
        <v>1</v>
      </c>
      <c r="R139" s="65" t="s">
        <v>42</v>
      </c>
      <c r="S139" s="65" t="s">
        <v>44</v>
      </c>
      <c r="T139" s="65" t="s">
        <v>44</v>
      </c>
      <c r="U139" s="65" t="s">
        <v>45</v>
      </c>
      <c r="V139" s="65" t="s">
        <v>60</v>
      </c>
      <c r="W139" s="65">
        <v>135.59</v>
      </c>
      <c r="X139" s="65" t="s">
        <v>47</v>
      </c>
      <c r="Y139" s="65" t="s">
        <v>48</v>
      </c>
      <c r="Z139" s="65" t="s">
        <v>49</v>
      </c>
      <c r="AA139" s="65"/>
      <c r="AB139" s="65"/>
    </row>
    <row r="140" spans="1:28" x14ac:dyDescent="0.3">
      <c r="A140" s="1">
        <v>46197</v>
      </c>
      <c r="B140" s="65" t="s">
        <v>168</v>
      </c>
      <c r="C140" s="65" t="s">
        <v>29</v>
      </c>
      <c r="D140" s="65" t="s">
        <v>169</v>
      </c>
      <c r="E140" s="65" t="s">
        <v>31</v>
      </c>
      <c r="F140" s="65" t="s">
        <v>170</v>
      </c>
      <c r="G140" s="65" t="s">
        <v>171</v>
      </c>
      <c r="H140" s="65" t="s">
        <v>172</v>
      </c>
      <c r="I140" s="65" t="s">
        <v>136</v>
      </c>
      <c r="J140" s="65" t="s">
        <v>137</v>
      </c>
      <c r="K140" s="65" t="s">
        <v>37</v>
      </c>
      <c r="L140" s="65" t="s">
        <v>173</v>
      </c>
      <c r="M140" s="65" t="s">
        <v>174</v>
      </c>
      <c r="N140" s="65" t="s">
        <v>171</v>
      </c>
      <c r="O140" s="65" t="s">
        <v>175</v>
      </c>
      <c r="P140" s="65" t="s">
        <v>101</v>
      </c>
      <c r="Q140" s="65">
        <v>1</v>
      </c>
      <c r="R140" s="65" t="s">
        <v>42</v>
      </c>
      <c r="S140" s="65" t="s">
        <v>44</v>
      </c>
      <c r="T140" s="65" t="s">
        <v>44</v>
      </c>
      <c r="U140" s="65" t="s">
        <v>45</v>
      </c>
      <c r="V140" s="65" t="s">
        <v>60</v>
      </c>
      <c r="W140" s="65">
        <v>186.44</v>
      </c>
      <c r="X140" s="65" t="s">
        <v>47</v>
      </c>
      <c r="Y140" s="65" t="s">
        <v>48</v>
      </c>
      <c r="Z140" s="65" t="s">
        <v>49</v>
      </c>
      <c r="AA140" s="65">
        <v>987407712</v>
      </c>
      <c r="AB140" s="65" t="s">
        <v>141</v>
      </c>
    </row>
    <row r="141" spans="1:28" x14ac:dyDescent="0.3">
      <c r="A141" s="1">
        <v>46197</v>
      </c>
      <c r="B141" s="65" t="s">
        <v>319</v>
      </c>
      <c r="C141" s="65" t="s">
        <v>268</v>
      </c>
      <c r="D141" s="65" t="s">
        <v>320</v>
      </c>
      <c r="E141" s="65" t="s">
        <v>31</v>
      </c>
      <c r="F141" s="65" t="s">
        <v>321</v>
      </c>
      <c r="G141" s="65" t="s">
        <v>322</v>
      </c>
      <c r="H141" s="65" t="s">
        <v>323</v>
      </c>
      <c r="I141" s="65" t="s">
        <v>273</v>
      </c>
      <c r="J141" s="65" t="s">
        <v>274</v>
      </c>
      <c r="K141" s="65" t="s">
        <v>37</v>
      </c>
      <c r="L141" s="65" t="s">
        <v>324</v>
      </c>
      <c r="M141" s="65" t="s">
        <v>325</v>
      </c>
      <c r="N141" s="65" t="s">
        <v>277</v>
      </c>
      <c r="O141" s="65" t="s">
        <v>326</v>
      </c>
      <c r="P141" s="65" t="s">
        <v>288</v>
      </c>
      <c r="Q141" s="65">
        <v>1</v>
      </c>
      <c r="R141" s="65" t="s">
        <v>42</v>
      </c>
      <c r="S141" s="65" t="s">
        <v>44</v>
      </c>
      <c r="T141" s="65" t="s">
        <v>44</v>
      </c>
      <c r="U141" s="65" t="s">
        <v>45</v>
      </c>
      <c r="V141" s="65" t="s">
        <v>60</v>
      </c>
      <c r="W141" s="65">
        <v>0</v>
      </c>
      <c r="X141" s="65" t="s">
        <v>289</v>
      </c>
      <c r="Y141" s="65" t="s">
        <v>48</v>
      </c>
      <c r="Z141" s="65" t="s">
        <v>49</v>
      </c>
      <c r="AA141" s="65">
        <v>950133748</v>
      </c>
      <c r="AB141" s="65" t="s">
        <v>279</v>
      </c>
    </row>
    <row r="142" spans="1:28" x14ac:dyDescent="0.3">
      <c r="A142" s="1">
        <v>46197</v>
      </c>
      <c r="B142" s="65" t="s">
        <v>319</v>
      </c>
      <c r="C142" s="65" t="s">
        <v>268</v>
      </c>
      <c r="D142" s="65" t="s">
        <v>320</v>
      </c>
      <c r="E142" s="65" t="s">
        <v>31</v>
      </c>
      <c r="F142" s="65" t="s">
        <v>321</v>
      </c>
      <c r="G142" s="65" t="s">
        <v>322</v>
      </c>
      <c r="H142" s="65" t="s">
        <v>323</v>
      </c>
      <c r="I142" s="65" t="s">
        <v>273</v>
      </c>
      <c r="J142" s="65" t="s">
        <v>274</v>
      </c>
      <c r="K142" s="65" t="s">
        <v>37</v>
      </c>
      <c r="L142" s="65" t="s">
        <v>324</v>
      </c>
      <c r="M142" s="65" t="s">
        <v>325</v>
      </c>
      <c r="N142" s="65" t="s">
        <v>277</v>
      </c>
      <c r="O142" s="65" t="s">
        <v>326</v>
      </c>
      <c r="P142" s="65" t="s">
        <v>290</v>
      </c>
      <c r="Q142" s="65">
        <v>1</v>
      </c>
      <c r="R142" s="65" t="s">
        <v>42</v>
      </c>
      <c r="S142" s="65" t="s">
        <v>44</v>
      </c>
      <c r="T142" s="65" t="s">
        <v>44</v>
      </c>
      <c r="U142" s="65" t="s">
        <v>45</v>
      </c>
      <c r="V142" s="65" t="s">
        <v>60</v>
      </c>
      <c r="W142" s="65">
        <v>3211.86</v>
      </c>
      <c r="X142" s="65" t="s">
        <v>289</v>
      </c>
      <c r="Y142" s="65" t="s">
        <v>48</v>
      </c>
      <c r="Z142" s="65" t="s">
        <v>49</v>
      </c>
      <c r="AA142" s="65">
        <v>950133748</v>
      </c>
      <c r="AB142" s="65" t="s">
        <v>279</v>
      </c>
    </row>
    <row r="143" spans="1:28" x14ac:dyDescent="0.3">
      <c r="A143" s="1">
        <v>46197</v>
      </c>
      <c r="B143" s="65" t="s">
        <v>359</v>
      </c>
      <c r="C143" s="65" t="s">
        <v>268</v>
      </c>
      <c r="D143" s="65" t="s">
        <v>360</v>
      </c>
      <c r="E143" s="65" t="s">
        <v>31</v>
      </c>
      <c r="F143" s="65" t="s">
        <v>361</v>
      </c>
      <c r="G143" s="65" t="s">
        <v>362</v>
      </c>
      <c r="H143" s="65" t="s">
        <v>363</v>
      </c>
      <c r="I143" s="65" t="s">
        <v>364</v>
      </c>
      <c r="J143" s="65" t="s">
        <v>365</v>
      </c>
      <c r="K143" s="65" t="s">
        <v>37</v>
      </c>
      <c r="L143" s="65" t="s">
        <v>366</v>
      </c>
      <c r="M143" s="65" t="s">
        <v>367</v>
      </c>
      <c r="N143" s="65" t="s">
        <v>368</v>
      </c>
      <c r="O143" s="65" t="s">
        <v>369</v>
      </c>
      <c r="P143" s="65" t="s">
        <v>288</v>
      </c>
      <c r="Q143" s="65">
        <v>1</v>
      </c>
      <c r="R143" s="65" t="s">
        <v>42</v>
      </c>
      <c r="S143" s="65" t="s">
        <v>44</v>
      </c>
      <c r="T143" s="65" t="s">
        <v>44</v>
      </c>
      <c r="U143" s="65" t="s">
        <v>45</v>
      </c>
      <c r="V143" s="65" t="s">
        <v>60</v>
      </c>
      <c r="W143" s="65">
        <v>0</v>
      </c>
      <c r="X143" s="65" t="s">
        <v>289</v>
      </c>
      <c r="Y143" s="65" t="s">
        <v>48</v>
      </c>
      <c r="Z143" s="65" t="s">
        <v>49</v>
      </c>
      <c r="AA143" s="65">
        <v>976922608</v>
      </c>
      <c r="AB143" s="65" t="s">
        <v>370</v>
      </c>
    </row>
    <row r="144" spans="1:28" x14ac:dyDescent="0.3">
      <c r="A144" s="1">
        <v>46197</v>
      </c>
      <c r="B144" s="65" t="s">
        <v>359</v>
      </c>
      <c r="C144" s="65" t="s">
        <v>268</v>
      </c>
      <c r="D144" s="65" t="s">
        <v>360</v>
      </c>
      <c r="E144" s="65" t="s">
        <v>31</v>
      </c>
      <c r="F144" s="65" t="s">
        <v>361</v>
      </c>
      <c r="G144" s="65" t="s">
        <v>362</v>
      </c>
      <c r="H144" s="65" t="s">
        <v>363</v>
      </c>
      <c r="I144" s="65" t="s">
        <v>364</v>
      </c>
      <c r="J144" s="65" t="s">
        <v>365</v>
      </c>
      <c r="K144" s="65" t="s">
        <v>37</v>
      </c>
      <c r="L144" s="65" t="s">
        <v>366</v>
      </c>
      <c r="M144" s="65" t="s">
        <v>367</v>
      </c>
      <c r="N144" s="65" t="s">
        <v>368</v>
      </c>
      <c r="O144" s="65" t="s">
        <v>369</v>
      </c>
      <c r="P144" s="65" t="s">
        <v>371</v>
      </c>
      <c r="Q144" s="65">
        <v>1</v>
      </c>
      <c r="R144" s="65" t="s">
        <v>42</v>
      </c>
      <c r="S144" s="65" t="s">
        <v>44</v>
      </c>
      <c r="T144" s="65" t="s">
        <v>44</v>
      </c>
      <c r="U144" s="65" t="s">
        <v>45</v>
      </c>
      <c r="V144" s="65" t="s">
        <v>60</v>
      </c>
      <c r="W144" s="65">
        <v>550.85</v>
      </c>
      <c r="X144" s="65" t="s">
        <v>289</v>
      </c>
      <c r="Y144" s="65" t="s">
        <v>48</v>
      </c>
      <c r="Z144" s="65" t="s">
        <v>49</v>
      </c>
      <c r="AA144" s="65">
        <v>976922608</v>
      </c>
      <c r="AB144" s="65" t="s">
        <v>370</v>
      </c>
    </row>
    <row r="145" spans="1:28" x14ac:dyDescent="0.3">
      <c r="A145" s="1">
        <v>46197</v>
      </c>
      <c r="B145" s="65" t="s">
        <v>372</v>
      </c>
      <c r="C145" s="65" t="s">
        <v>268</v>
      </c>
      <c r="D145" s="65" t="s">
        <v>373</v>
      </c>
      <c r="E145" s="65" t="s">
        <v>31</v>
      </c>
      <c r="F145" s="65" t="s">
        <v>374</v>
      </c>
      <c r="G145" s="65" t="s">
        <v>362</v>
      </c>
      <c r="H145" s="65" t="s">
        <v>363</v>
      </c>
      <c r="I145" s="65" t="s">
        <v>364</v>
      </c>
      <c r="J145" s="65" t="s">
        <v>365</v>
      </c>
      <c r="K145" s="65" t="s">
        <v>37</v>
      </c>
      <c r="L145" s="65" t="s">
        <v>366</v>
      </c>
      <c r="M145" s="65" t="s">
        <v>367</v>
      </c>
      <c r="N145" s="65" t="s">
        <v>368</v>
      </c>
      <c r="O145" s="65" t="s">
        <v>375</v>
      </c>
      <c r="P145" s="65" t="s">
        <v>130</v>
      </c>
      <c r="Q145" s="65">
        <v>1</v>
      </c>
      <c r="R145" s="65" t="s">
        <v>42</v>
      </c>
      <c r="S145" s="65" t="s">
        <v>44</v>
      </c>
      <c r="T145" s="65" t="s">
        <v>44</v>
      </c>
      <c r="U145" s="65" t="s">
        <v>45</v>
      </c>
      <c r="V145" s="65" t="s">
        <v>60</v>
      </c>
      <c r="W145" s="65">
        <v>152.54</v>
      </c>
      <c r="X145" s="65" t="s">
        <v>47</v>
      </c>
      <c r="Y145" s="65" t="s">
        <v>48</v>
      </c>
      <c r="Z145" s="65" t="s">
        <v>49</v>
      </c>
      <c r="AA145" s="65">
        <v>976922608</v>
      </c>
      <c r="AB145" s="65" t="s">
        <v>370</v>
      </c>
    </row>
    <row r="146" spans="1:28" x14ac:dyDescent="0.3">
      <c r="A146" s="1">
        <v>46197</v>
      </c>
      <c r="B146" s="65" t="s">
        <v>376</v>
      </c>
      <c r="C146" s="65" t="s">
        <v>268</v>
      </c>
      <c r="D146" s="65" t="s">
        <v>377</v>
      </c>
      <c r="E146" s="65" t="s">
        <v>31</v>
      </c>
      <c r="F146" s="65" t="s">
        <v>378</v>
      </c>
      <c r="G146" s="65" t="s">
        <v>362</v>
      </c>
      <c r="H146" s="65" t="s">
        <v>363</v>
      </c>
      <c r="I146" s="65" t="s">
        <v>364</v>
      </c>
      <c r="J146" s="65" t="s">
        <v>365</v>
      </c>
      <c r="K146" s="65" t="s">
        <v>37</v>
      </c>
      <c r="L146" s="65" t="s">
        <v>366</v>
      </c>
      <c r="M146" s="65" t="s">
        <v>367</v>
      </c>
      <c r="N146" s="65" t="s">
        <v>368</v>
      </c>
      <c r="O146" s="65" t="s">
        <v>379</v>
      </c>
      <c r="P146" s="65" t="s">
        <v>380</v>
      </c>
      <c r="Q146" s="65">
        <v>1</v>
      </c>
      <c r="R146" s="65" t="s">
        <v>42</v>
      </c>
      <c r="S146" s="65" t="s">
        <v>44</v>
      </c>
      <c r="T146" s="65" t="s">
        <v>44</v>
      </c>
      <c r="U146" s="65" t="s">
        <v>45</v>
      </c>
      <c r="V146" s="65" t="s">
        <v>60</v>
      </c>
      <c r="W146" s="65">
        <v>33.9</v>
      </c>
      <c r="X146" s="65" t="s">
        <v>47</v>
      </c>
      <c r="Y146" s="65" t="s">
        <v>48</v>
      </c>
      <c r="Z146" s="65" t="s">
        <v>49</v>
      </c>
      <c r="AA146" s="65">
        <v>976922608</v>
      </c>
      <c r="AB146" s="65" t="s">
        <v>370</v>
      </c>
    </row>
    <row r="147" spans="1:28" x14ac:dyDescent="0.3">
      <c r="A147" s="1">
        <v>46197</v>
      </c>
      <c r="B147" s="65" t="s">
        <v>733</v>
      </c>
      <c r="C147" s="65" t="s">
        <v>29</v>
      </c>
      <c r="D147" s="65" t="s">
        <v>734</v>
      </c>
      <c r="E147" s="65" t="s">
        <v>31</v>
      </c>
      <c r="F147" s="65" t="s">
        <v>735</v>
      </c>
      <c r="G147" s="65" t="s">
        <v>736</v>
      </c>
      <c r="H147" s="65" t="s">
        <v>737</v>
      </c>
      <c r="I147" s="65" t="s">
        <v>715</v>
      </c>
      <c r="J147" s="65" t="s">
        <v>716</v>
      </c>
      <c r="K147" s="65" t="s">
        <v>37</v>
      </c>
      <c r="L147" s="65" t="s">
        <v>738</v>
      </c>
      <c r="M147" s="65" t="s">
        <v>739</v>
      </c>
      <c r="N147" s="65" t="s">
        <v>736</v>
      </c>
      <c r="O147" s="65" t="s">
        <v>740</v>
      </c>
      <c r="P147" s="65" t="s">
        <v>101</v>
      </c>
      <c r="Q147" s="65">
        <v>1</v>
      </c>
      <c r="R147" s="65" t="s">
        <v>70</v>
      </c>
      <c r="S147" s="65" t="s">
        <v>43</v>
      </c>
      <c r="T147" s="65" t="s">
        <v>44</v>
      </c>
      <c r="U147" s="65" t="s">
        <v>71</v>
      </c>
      <c r="V147" s="65" t="s">
        <v>184</v>
      </c>
      <c r="W147" s="65">
        <v>186.44</v>
      </c>
      <c r="X147" s="65" t="s">
        <v>47</v>
      </c>
      <c r="Y147" s="65" t="s">
        <v>48</v>
      </c>
      <c r="Z147" s="65" t="s">
        <v>73</v>
      </c>
      <c r="AA147" s="65">
        <v>955356636</v>
      </c>
      <c r="AB147" s="65" t="s">
        <v>720</v>
      </c>
    </row>
    <row r="148" spans="1:28" x14ac:dyDescent="0.3">
      <c r="A148" s="1">
        <v>46197</v>
      </c>
      <c r="B148" s="65" t="s">
        <v>733</v>
      </c>
      <c r="C148" s="65" t="s">
        <v>29</v>
      </c>
      <c r="D148" s="65" t="s">
        <v>734</v>
      </c>
      <c r="E148" s="65" t="s">
        <v>31</v>
      </c>
      <c r="F148" s="65" t="s">
        <v>735</v>
      </c>
      <c r="G148" s="65" t="s">
        <v>736</v>
      </c>
      <c r="H148" s="65" t="s">
        <v>737</v>
      </c>
      <c r="I148" s="65" t="s">
        <v>715</v>
      </c>
      <c r="J148" s="65" t="s">
        <v>716</v>
      </c>
      <c r="K148" s="65" t="s">
        <v>37</v>
      </c>
      <c r="L148" s="65" t="s">
        <v>738</v>
      </c>
      <c r="M148" s="65" t="s">
        <v>739</v>
      </c>
      <c r="N148" s="65" t="s">
        <v>736</v>
      </c>
      <c r="O148" s="65" t="s">
        <v>740</v>
      </c>
      <c r="P148" s="65" t="s">
        <v>159</v>
      </c>
      <c r="Q148" s="65">
        <v>1</v>
      </c>
      <c r="R148" s="65" t="s">
        <v>70</v>
      </c>
      <c r="S148" s="65" t="s">
        <v>43</v>
      </c>
      <c r="T148" s="65" t="s">
        <v>44</v>
      </c>
      <c r="U148" s="65" t="s">
        <v>71</v>
      </c>
      <c r="V148" s="65" t="s">
        <v>184</v>
      </c>
      <c r="W148" s="65">
        <v>135.59</v>
      </c>
      <c r="X148" s="65" t="s">
        <v>47</v>
      </c>
      <c r="Y148" s="65" t="s">
        <v>48</v>
      </c>
      <c r="Z148" s="65" t="s">
        <v>73</v>
      </c>
      <c r="AA148" s="65">
        <v>955356636</v>
      </c>
      <c r="AB148" s="65" t="s">
        <v>720</v>
      </c>
    </row>
    <row r="149" spans="1:28" x14ac:dyDescent="0.3">
      <c r="A149" s="1">
        <v>46197</v>
      </c>
      <c r="B149" s="65" t="s">
        <v>1114</v>
      </c>
      <c r="C149" s="65" t="s">
        <v>29</v>
      </c>
      <c r="D149" s="65" t="s">
        <v>1115</v>
      </c>
      <c r="E149" s="65" t="s">
        <v>31</v>
      </c>
      <c r="F149" s="65" t="s">
        <v>1116</v>
      </c>
      <c r="G149" s="65" t="s">
        <v>1117</v>
      </c>
      <c r="H149" s="65" t="s">
        <v>1118</v>
      </c>
      <c r="I149" s="65" t="s">
        <v>1119</v>
      </c>
      <c r="J149" s="65" t="s">
        <v>1120</v>
      </c>
      <c r="K149" s="65" t="s">
        <v>37</v>
      </c>
      <c r="L149" s="65" t="s">
        <v>1121</v>
      </c>
      <c r="M149" s="65" t="s">
        <v>1122</v>
      </c>
      <c r="N149" s="65" t="s">
        <v>1117</v>
      </c>
      <c r="O149" s="65" t="s">
        <v>1123</v>
      </c>
      <c r="P149" s="65" t="s">
        <v>201</v>
      </c>
      <c r="Q149" s="65">
        <v>1</v>
      </c>
      <c r="R149" s="65" t="s">
        <v>42</v>
      </c>
      <c r="S149" s="65" t="s">
        <v>44</v>
      </c>
      <c r="T149" s="65" t="s">
        <v>44</v>
      </c>
      <c r="U149" s="65" t="s">
        <v>45</v>
      </c>
      <c r="V149" s="65" t="s">
        <v>60</v>
      </c>
      <c r="W149" s="65">
        <v>42.37</v>
      </c>
      <c r="X149" s="65" t="s">
        <v>47</v>
      </c>
      <c r="Y149" s="65" t="s">
        <v>48</v>
      </c>
      <c r="Z149" s="65" t="s">
        <v>49</v>
      </c>
      <c r="AA149" s="65">
        <v>993540760</v>
      </c>
      <c r="AB149" s="65" t="s">
        <v>1124</v>
      </c>
    </row>
    <row r="150" spans="1:28" x14ac:dyDescent="0.3">
      <c r="A150" s="1">
        <v>46197</v>
      </c>
      <c r="B150" s="65" t="s">
        <v>1114</v>
      </c>
      <c r="C150" s="65" t="s">
        <v>29</v>
      </c>
      <c r="D150" s="65" t="s">
        <v>1115</v>
      </c>
      <c r="E150" s="65" t="s">
        <v>31</v>
      </c>
      <c r="F150" s="65" t="s">
        <v>1116</v>
      </c>
      <c r="G150" s="65" t="s">
        <v>1117</v>
      </c>
      <c r="H150" s="65" t="s">
        <v>1118</v>
      </c>
      <c r="I150" s="65" t="s">
        <v>1119</v>
      </c>
      <c r="J150" s="65" t="s">
        <v>1120</v>
      </c>
      <c r="K150" s="65" t="s">
        <v>37</v>
      </c>
      <c r="L150" s="65" t="s">
        <v>1121</v>
      </c>
      <c r="M150" s="65" t="s">
        <v>1122</v>
      </c>
      <c r="N150" s="65" t="s">
        <v>1117</v>
      </c>
      <c r="O150" s="65" t="s">
        <v>1123</v>
      </c>
      <c r="P150" s="65" t="s">
        <v>202</v>
      </c>
      <c r="Q150" s="65">
        <v>1</v>
      </c>
      <c r="R150" s="65" t="s">
        <v>42</v>
      </c>
      <c r="S150" s="65" t="s">
        <v>44</v>
      </c>
      <c r="T150" s="65" t="s">
        <v>44</v>
      </c>
      <c r="U150" s="65" t="s">
        <v>45</v>
      </c>
      <c r="V150" s="65" t="s">
        <v>60</v>
      </c>
      <c r="W150" s="65">
        <v>42.37</v>
      </c>
      <c r="X150" s="65" t="s">
        <v>47</v>
      </c>
      <c r="Y150" s="65" t="s">
        <v>48</v>
      </c>
      <c r="Z150" s="65" t="s">
        <v>49</v>
      </c>
      <c r="AA150" s="65">
        <v>993540760</v>
      </c>
      <c r="AB150" s="65" t="s">
        <v>1124</v>
      </c>
    </row>
    <row r="151" spans="1:28" x14ac:dyDescent="0.3">
      <c r="A151" s="1">
        <v>46197</v>
      </c>
      <c r="B151" s="65" t="s">
        <v>1125</v>
      </c>
      <c r="C151" s="65" t="s">
        <v>29</v>
      </c>
      <c r="D151" s="65" t="s">
        <v>1126</v>
      </c>
      <c r="E151" s="65" t="s">
        <v>31</v>
      </c>
      <c r="F151" s="65" t="s">
        <v>1127</v>
      </c>
      <c r="G151" s="65" t="s">
        <v>1117</v>
      </c>
      <c r="H151" s="65" t="s">
        <v>1118</v>
      </c>
      <c r="I151" s="65" t="s">
        <v>1119</v>
      </c>
      <c r="J151" s="65" t="s">
        <v>1120</v>
      </c>
      <c r="K151" s="65" t="s">
        <v>37</v>
      </c>
      <c r="L151" s="65" t="s">
        <v>1121</v>
      </c>
      <c r="M151" s="65" t="s">
        <v>1122</v>
      </c>
      <c r="N151" s="65" t="s">
        <v>1117</v>
      </c>
      <c r="O151" s="65" t="s">
        <v>1128</v>
      </c>
      <c r="P151" s="65" t="s">
        <v>618</v>
      </c>
      <c r="Q151" s="65">
        <v>1</v>
      </c>
      <c r="R151" s="65" t="s">
        <v>42</v>
      </c>
      <c r="S151" s="65" t="s">
        <v>44</v>
      </c>
      <c r="T151" s="65" t="s">
        <v>44</v>
      </c>
      <c r="U151" s="65" t="s">
        <v>45</v>
      </c>
      <c r="V151" s="65" t="s">
        <v>60</v>
      </c>
      <c r="W151" s="65">
        <v>12.71</v>
      </c>
      <c r="X151" s="65" t="s">
        <v>619</v>
      </c>
      <c r="Y151" s="65" t="s">
        <v>48</v>
      </c>
      <c r="Z151" s="65" t="s">
        <v>49</v>
      </c>
      <c r="AA151" s="65">
        <v>993540760</v>
      </c>
      <c r="AB151" s="65" t="s">
        <v>1124</v>
      </c>
    </row>
    <row r="152" spans="1:28" x14ac:dyDescent="0.3">
      <c r="A152" s="1">
        <v>46197</v>
      </c>
      <c r="B152" s="65" t="s">
        <v>1125</v>
      </c>
      <c r="C152" s="65" t="s">
        <v>29</v>
      </c>
      <c r="D152" s="65" t="s">
        <v>1126</v>
      </c>
      <c r="E152" s="65" t="s">
        <v>31</v>
      </c>
      <c r="F152" s="65" t="s">
        <v>1127</v>
      </c>
      <c r="G152" s="65" t="s">
        <v>1117</v>
      </c>
      <c r="H152" s="65" t="s">
        <v>1118</v>
      </c>
      <c r="I152" s="65" t="s">
        <v>1119</v>
      </c>
      <c r="J152" s="65" t="s">
        <v>1120</v>
      </c>
      <c r="K152" s="65" t="s">
        <v>37</v>
      </c>
      <c r="L152" s="65" t="s">
        <v>1121</v>
      </c>
      <c r="M152" s="65" t="s">
        <v>1122</v>
      </c>
      <c r="N152" s="65" t="s">
        <v>1117</v>
      </c>
      <c r="O152" s="65" t="s">
        <v>1128</v>
      </c>
      <c r="P152" s="65" t="s">
        <v>620</v>
      </c>
      <c r="Q152" s="65">
        <v>1</v>
      </c>
      <c r="R152" s="65" t="s">
        <v>42</v>
      </c>
      <c r="S152" s="65" t="s">
        <v>44</v>
      </c>
      <c r="T152" s="65" t="s">
        <v>44</v>
      </c>
      <c r="U152" s="65" t="s">
        <v>45</v>
      </c>
      <c r="V152" s="65" t="s">
        <v>60</v>
      </c>
      <c r="W152" s="65">
        <v>21.19</v>
      </c>
      <c r="X152" s="65" t="s">
        <v>619</v>
      </c>
      <c r="Y152" s="65" t="s">
        <v>48</v>
      </c>
      <c r="Z152" s="65" t="s">
        <v>49</v>
      </c>
      <c r="AA152" s="65">
        <v>993540760</v>
      </c>
      <c r="AB152" s="65" t="s">
        <v>1124</v>
      </c>
    </row>
    <row r="153" spans="1:28" x14ac:dyDescent="0.3">
      <c r="A153" s="1">
        <v>46197</v>
      </c>
      <c r="B153" s="65" t="s">
        <v>1125</v>
      </c>
      <c r="C153" s="65" t="s">
        <v>29</v>
      </c>
      <c r="D153" s="65" t="s">
        <v>1126</v>
      </c>
      <c r="E153" s="65" t="s">
        <v>31</v>
      </c>
      <c r="F153" s="65" t="s">
        <v>1127</v>
      </c>
      <c r="G153" s="65" t="s">
        <v>1117</v>
      </c>
      <c r="H153" s="65" t="s">
        <v>1118</v>
      </c>
      <c r="I153" s="65" t="s">
        <v>1119</v>
      </c>
      <c r="J153" s="65" t="s">
        <v>1120</v>
      </c>
      <c r="K153" s="65" t="s">
        <v>37</v>
      </c>
      <c r="L153" s="65" t="s">
        <v>1121</v>
      </c>
      <c r="M153" s="65" t="s">
        <v>1122</v>
      </c>
      <c r="N153" s="65" t="s">
        <v>1117</v>
      </c>
      <c r="O153" s="65" t="s">
        <v>1128</v>
      </c>
      <c r="P153" s="65" t="s">
        <v>621</v>
      </c>
      <c r="Q153" s="65">
        <v>1</v>
      </c>
      <c r="R153" s="65" t="s">
        <v>42</v>
      </c>
      <c r="S153" s="65" t="s">
        <v>44</v>
      </c>
      <c r="T153" s="65" t="s">
        <v>44</v>
      </c>
      <c r="U153" s="65" t="s">
        <v>45</v>
      </c>
      <c r="V153" s="65" t="s">
        <v>60</v>
      </c>
      <c r="W153" s="65">
        <v>12.71</v>
      </c>
      <c r="X153" s="65" t="s">
        <v>619</v>
      </c>
      <c r="Y153" s="65" t="s">
        <v>48</v>
      </c>
      <c r="Z153" s="65" t="s">
        <v>49</v>
      </c>
      <c r="AA153" s="65">
        <v>993540760</v>
      </c>
      <c r="AB153" s="65" t="s">
        <v>1124</v>
      </c>
    </row>
    <row r="154" spans="1:28" x14ac:dyDescent="0.3">
      <c r="A154" s="1">
        <v>46197</v>
      </c>
      <c r="B154" s="65" t="s">
        <v>1125</v>
      </c>
      <c r="C154" s="65" t="s">
        <v>29</v>
      </c>
      <c r="D154" s="65" t="s">
        <v>1126</v>
      </c>
      <c r="E154" s="65" t="s">
        <v>31</v>
      </c>
      <c r="F154" s="65" t="s">
        <v>1127</v>
      </c>
      <c r="G154" s="65" t="s">
        <v>1117</v>
      </c>
      <c r="H154" s="65" t="s">
        <v>1118</v>
      </c>
      <c r="I154" s="65" t="s">
        <v>1119</v>
      </c>
      <c r="J154" s="65" t="s">
        <v>1120</v>
      </c>
      <c r="K154" s="65" t="s">
        <v>37</v>
      </c>
      <c r="L154" s="65" t="s">
        <v>1121</v>
      </c>
      <c r="M154" s="65" t="s">
        <v>1122</v>
      </c>
      <c r="N154" s="65" t="s">
        <v>1117</v>
      </c>
      <c r="O154" s="65" t="s">
        <v>1128</v>
      </c>
      <c r="P154" s="65" t="s">
        <v>622</v>
      </c>
      <c r="Q154" s="65">
        <v>1</v>
      </c>
      <c r="R154" s="65" t="s">
        <v>42</v>
      </c>
      <c r="S154" s="65" t="s">
        <v>44</v>
      </c>
      <c r="T154" s="65" t="s">
        <v>44</v>
      </c>
      <c r="U154" s="65" t="s">
        <v>45</v>
      </c>
      <c r="V154" s="65" t="s">
        <v>60</v>
      </c>
      <c r="W154" s="65">
        <v>12.71</v>
      </c>
      <c r="X154" s="65" t="s">
        <v>619</v>
      </c>
      <c r="Y154" s="65" t="s">
        <v>48</v>
      </c>
      <c r="Z154" s="65" t="s">
        <v>49</v>
      </c>
      <c r="AA154" s="65">
        <v>993540760</v>
      </c>
      <c r="AB154" s="65" t="s">
        <v>1124</v>
      </c>
    </row>
    <row r="155" spans="1:28" x14ac:dyDescent="0.3">
      <c r="A155" s="1">
        <v>46197</v>
      </c>
      <c r="B155" s="65" t="s">
        <v>1125</v>
      </c>
      <c r="C155" s="65" t="s">
        <v>29</v>
      </c>
      <c r="D155" s="65" t="s">
        <v>1126</v>
      </c>
      <c r="E155" s="65" t="s">
        <v>31</v>
      </c>
      <c r="F155" s="65" t="s">
        <v>1127</v>
      </c>
      <c r="G155" s="65" t="s">
        <v>1117</v>
      </c>
      <c r="H155" s="65" t="s">
        <v>1118</v>
      </c>
      <c r="I155" s="65" t="s">
        <v>1119</v>
      </c>
      <c r="J155" s="65" t="s">
        <v>1120</v>
      </c>
      <c r="K155" s="65" t="s">
        <v>37</v>
      </c>
      <c r="L155" s="65" t="s">
        <v>1121</v>
      </c>
      <c r="M155" s="65" t="s">
        <v>1122</v>
      </c>
      <c r="N155" s="65" t="s">
        <v>1117</v>
      </c>
      <c r="O155" s="65" t="s">
        <v>1128</v>
      </c>
      <c r="P155" s="65" t="s">
        <v>833</v>
      </c>
      <c r="Q155" s="65">
        <v>1</v>
      </c>
      <c r="R155" s="65" t="s">
        <v>42</v>
      </c>
      <c r="S155" s="65" t="s">
        <v>44</v>
      </c>
      <c r="T155" s="65" t="s">
        <v>44</v>
      </c>
      <c r="U155" s="65" t="s">
        <v>45</v>
      </c>
      <c r="V155" s="65" t="s">
        <v>60</v>
      </c>
      <c r="W155" s="65">
        <v>50.85</v>
      </c>
      <c r="X155" s="65" t="s">
        <v>619</v>
      </c>
      <c r="Y155" s="65" t="s">
        <v>48</v>
      </c>
      <c r="Z155" s="65" t="s">
        <v>49</v>
      </c>
      <c r="AA155" s="65">
        <v>993540760</v>
      </c>
      <c r="AB155" s="65" t="s">
        <v>1124</v>
      </c>
    </row>
    <row r="156" spans="1:28" x14ac:dyDescent="0.3">
      <c r="A156" s="1">
        <v>46197</v>
      </c>
      <c r="B156" s="65" t="s">
        <v>1129</v>
      </c>
      <c r="C156" s="65" t="s">
        <v>29</v>
      </c>
      <c r="D156" s="65" t="s">
        <v>1130</v>
      </c>
      <c r="E156" s="65" t="s">
        <v>31</v>
      </c>
      <c r="F156" s="65" t="s">
        <v>1131</v>
      </c>
      <c r="G156" s="65" t="s">
        <v>1117</v>
      </c>
      <c r="H156" s="65" t="s">
        <v>1118</v>
      </c>
      <c r="I156" s="65" t="s">
        <v>1119</v>
      </c>
      <c r="J156" s="65" t="s">
        <v>1120</v>
      </c>
      <c r="K156" s="65" t="s">
        <v>37</v>
      </c>
      <c r="L156" s="65" t="s">
        <v>1121</v>
      </c>
      <c r="M156" s="65" t="s">
        <v>1122</v>
      </c>
      <c r="N156" s="65" t="s">
        <v>1117</v>
      </c>
      <c r="O156" s="65" t="s">
        <v>1132</v>
      </c>
      <c r="P156" s="65" t="s">
        <v>828</v>
      </c>
      <c r="Q156" s="65">
        <v>1</v>
      </c>
      <c r="R156" s="65" t="s">
        <v>42</v>
      </c>
      <c r="S156" s="65" t="s">
        <v>44</v>
      </c>
      <c r="T156" s="65" t="s">
        <v>44</v>
      </c>
      <c r="U156" s="65" t="s">
        <v>45</v>
      </c>
      <c r="V156" s="65" t="s">
        <v>60</v>
      </c>
      <c r="W156" s="65">
        <v>127.12</v>
      </c>
      <c r="X156" s="65" t="s">
        <v>47</v>
      </c>
      <c r="Y156" s="65" t="s">
        <v>48</v>
      </c>
      <c r="Z156" s="65" t="s">
        <v>49</v>
      </c>
      <c r="AA156" s="65">
        <v>993540760</v>
      </c>
      <c r="AB156" s="65" t="s">
        <v>1124</v>
      </c>
    </row>
    <row r="157" spans="1:28" x14ac:dyDescent="0.3">
      <c r="A157" s="1">
        <v>46197</v>
      </c>
      <c r="B157" s="65" t="s">
        <v>1354</v>
      </c>
      <c r="C157" s="65" t="s">
        <v>29</v>
      </c>
      <c r="D157" s="65" t="s">
        <v>1355</v>
      </c>
      <c r="E157" s="65" t="s">
        <v>31</v>
      </c>
      <c r="F157" s="65" t="s">
        <v>1356</v>
      </c>
      <c r="G157" s="65" t="s">
        <v>1357</v>
      </c>
      <c r="H157" s="65" t="s">
        <v>1358</v>
      </c>
      <c r="I157" s="65" t="s">
        <v>1359</v>
      </c>
      <c r="J157" s="65"/>
      <c r="K157" s="65" t="s">
        <v>37</v>
      </c>
      <c r="L157" s="65" t="s">
        <v>1360</v>
      </c>
      <c r="M157" s="65" t="s">
        <v>1361</v>
      </c>
      <c r="N157" s="65" t="s">
        <v>1357</v>
      </c>
      <c r="O157" s="65" t="s">
        <v>1362</v>
      </c>
      <c r="P157" s="65" t="s">
        <v>1157</v>
      </c>
      <c r="Q157" s="65">
        <v>1</v>
      </c>
      <c r="R157" s="65" t="s">
        <v>42</v>
      </c>
      <c r="S157" s="65" t="s">
        <v>44</v>
      </c>
      <c r="T157" s="65" t="s">
        <v>44</v>
      </c>
      <c r="U157" s="65" t="s">
        <v>45</v>
      </c>
      <c r="V157" s="65" t="s">
        <v>60</v>
      </c>
      <c r="W157" s="65">
        <v>338.98</v>
      </c>
      <c r="X157" s="65" t="s">
        <v>47</v>
      </c>
      <c r="Y157" s="65" t="s">
        <v>48</v>
      </c>
      <c r="Z157" s="65" t="s">
        <v>49</v>
      </c>
      <c r="AA157" s="65"/>
      <c r="AB157" s="65"/>
    </row>
    <row r="158" spans="1:28" x14ac:dyDescent="0.3">
      <c r="A158" s="1">
        <v>46198</v>
      </c>
      <c r="B158" s="65" t="s">
        <v>176</v>
      </c>
      <c r="C158" s="65" t="s">
        <v>29</v>
      </c>
      <c r="D158" s="65" t="s">
        <v>177</v>
      </c>
      <c r="E158" s="65" t="s">
        <v>31</v>
      </c>
      <c r="F158" s="65" t="s">
        <v>178</v>
      </c>
      <c r="G158" s="65" t="s">
        <v>179</v>
      </c>
      <c r="H158" s="65" t="s">
        <v>180</v>
      </c>
      <c r="I158" s="65" t="s">
        <v>136</v>
      </c>
      <c r="J158" s="65" t="s">
        <v>137</v>
      </c>
      <c r="K158" s="65" t="s">
        <v>37</v>
      </c>
      <c r="L158" s="65" t="s">
        <v>181</v>
      </c>
      <c r="M158" s="65" t="s">
        <v>182</v>
      </c>
      <c r="N158" s="65" t="s">
        <v>179</v>
      </c>
      <c r="O158" s="65" t="s">
        <v>183</v>
      </c>
      <c r="P158" s="65" t="s">
        <v>90</v>
      </c>
      <c r="Q158" s="65">
        <v>1</v>
      </c>
      <c r="R158" s="65" t="s">
        <v>70</v>
      </c>
      <c r="S158" s="65" t="s">
        <v>43</v>
      </c>
      <c r="T158" s="65" t="s">
        <v>44</v>
      </c>
      <c r="U158" s="65" t="s">
        <v>71</v>
      </c>
      <c r="V158" s="65" t="s">
        <v>184</v>
      </c>
      <c r="W158" s="65">
        <v>135.59</v>
      </c>
      <c r="X158" s="65" t="s">
        <v>47</v>
      </c>
      <c r="Y158" s="65" t="s">
        <v>48</v>
      </c>
      <c r="Z158" s="65" t="s">
        <v>73</v>
      </c>
      <c r="AA158" s="65">
        <v>987407712</v>
      </c>
      <c r="AB158" s="65" t="s">
        <v>141</v>
      </c>
    </row>
    <row r="159" spans="1:28" x14ac:dyDescent="0.3">
      <c r="A159" s="1">
        <v>46198</v>
      </c>
      <c r="B159" s="65" t="s">
        <v>214</v>
      </c>
      <c r="C159" s="65" t="s">
        <v>29</v>
      </c>
      <c r="D159" s="65" t="s">
        <v>215</v>
      </c>
      <c r="E159" s="65" t="s">
        <v>31</v>
      </c>
      <c r="F159" s="65" t="s">
        <v>216</v>
      </c>
      <c r="G159" s="65" t="s">
        <v>217</v>
      </c>
      <c r="H159" s="65" t="s">
        <v>218</v>
      </c>
      <c r="I159" s="65" t="s">
        <v>208</v>
      </c>
      <c r="J159" s="65" t="s">
        <v>209</v>
      </c>
      <c r="K159" s="65" t="s">
        <v>37</v>
      </c>
      <c r="L159" s="65" t="s">
        <v>219</v>
      </c>
      <c r="M159" s="65" t="s">
        <v>220</v>
      </c>
      <c r="N159" s="65" t="s">
        <v>217</v>
      </c>
      <c r="O159" s="65" t="s">
        <v>221</v>
      </c>
      <c r="P159" s="65" t="s">
        <v>59</v>
      </c>
      <c r="Q159" s="65">
        <v>1</v>
      </c>
      <c r="R159" s="65" t="s">
        <v>42</v>
      </c>
      <c r="S159" s="65" t="s">
        <v>44</v>
      </c>
      <c r="T159" s="65" t="s">
        <v>44</v>
      </c>
      <c r="U159" s="65" t="s">
        <v>45</v>
      </c>
      <c r="V159" s="65" t="s">
        <v>60</v>
      </c>
      <c r="W159" s="65">
        <v>101.69</v>
      </c>
      <c r="X159" s="65" t="s">
        <v>61</v>
      </c>
      <c r="Y159" s="65" t="s">
        <v>48</v>
      </c>
      <c r="Z159" s="65" t="s">
        <v>49</v>
      </c>
      <c r="AA159" s="65"/>
      <c r="AB159" s="65"/>
    </row>
    <row r="160" spans="1:28" x14ac:dyDescent="0.3">
      <c r="A160" s="1">
        <v>46198</v>
      </c>
      <c r="B160" s="65" t="s">
        <v>1245</v>
      </c>
      <c r="C160" s="65" t="s">
        <v>268</v>
      </c>
      <c r="D160" s="65" t="s">
        <v>1246</v>
      </c>
      <c r="E160" s="65" t="s">
        <v>31</v>
      </c>
      <c r="F160" s="65" t="s">
        <v>1247</v>
      </c>
      <c r="G160" s="65" t="s">
        <v>1248</v>
      </c>
      <c r="H160" s="65" t="s">
        <v>1249</v>
      </c>
      <c r="I160" s="65" t="s">
        <v>2795</v>
      </c>
      <c r="J160" s="65" t="s">
        <v>209</v>
      </c>
      <c r="K160" s="65" t="s">
        <v>37</v>
      </c>
      <c r="L160" s="65" t="s">
        <v>1250</v>
      </c>
      <c r="M160" s="65" t="s">
        <v>608</v>
      </c>
      <c r="N160" s="65" t="s">
        <v>1251</v>
      </c>
      <c r="O160" s="65" t="s">
        <v>1252</v>
      </c>
      <c r="P160" s="65" t="s">
        <v>288</v>
      </c>
      <c r="Q160" s="65">
        <v>1</v>
      </c>
      <c r="R160" s="65" t="s">
        <v>42</v>
      </c>
      <c r="S160" s="65" t="s">
        <v>44</v>
      </c>
      <c r="T160" s="65" t="s">
        <v>44</v>
      </c>
      <c r="U160" s="65" t="s">
        <v>45</v>
      </c>
      <c r="V160" s="65" t="s">
        <v>60</v>
      </c>
      <c r="W160" s="65">
        <v>0</v>
      </c>
      <c r="X160" s="65" t="s">
        <v>289</v>
      </c>
      <c r="Y160" s="65" t="s">
        <v>48</v>
      </c>
      <c r="Z160" s="65" t="s">
        <v>49</v>
      </c>
      <c r="AA160" s="65">
        <v>994872106</v>
      </c>
      <c r="AB160" s="65" t="s">
        <v>1253</v>
      </c>
    </row>
    <row r="161" spans="1:28" x14ac:dyDescent="0.3">
      <c r="A161" s="1">
        <v>46198</v>
      </c>
      <c r="B161" s="65" t="s">
        <v>1245</v>
      </c>
      <c r="C161" s="65" t="s">
        <v>268</v>
      </c>
      <c r="D161" s="65" t="s">
        <v>1246</v>
      </c>
      <c r="E161" s="65" t="s">
        <v>31</v>
      </c>
      <c r="F161" s="65" t="s">
        <v>1247</v>
      </c>
      <c r="G161" s="65" t="s">
        <v>1248</v>
      </c>
      <c r="H161" s="65" t="s">
        <v>1249</v>
      </c>
      <c r="I161" s="65" t="s">
        <v>2795</v>
      </c>
      <c r="J161" s="65" t="s">
        <v>209</v>
      </c>
      <c r="K161" s="65" t="s">
        <v>37</v>
      </c>
      <c r="L161" s="65" t="s">
        <v>1250</v>
      </c>
      <c r="M161" s="65" t="s">
        <v>608</v>
      </c>
      <c r="N161" s="65" t="s">
        <v>1251</v>
      </c>
      <c r="O161" s="65" t="s">
        <v>1252</v>
      </c>
      <c r="P161" s="65" t="s">
        <v>1254</v>
      </c>
      <c r="Q161" s="65">
        <v>1</v>
      </c>
      <c r="R161" s="65" t="s">
        <v>42</v>
      </c>
      <c r="S161" s="65" t="s">
        <v>44</v>
      </c>
      <c r="T161" s="65" t="s">
        <v>44</v>
      </c>
      <c r="U161" s="65" t="s">
        <v>45</v>
      </c>
      <c r="V161" s="65" t="s">
        <v>60</v>
      </c>
      <c r="W161" s="65">
        <v>139.83000000000001</v>
      </c>
      <c r="X161" s="65" t="s">
        <v>289</v>
      </c>
      <c r="Y161" s="65" t="s">
        <v>48</v>
      </c>
      <c r="Z161" s="65" t="s">
        <v>49</v>
      </c>
      <c r="AA161" s="65">
        <v>994872106</v>
      </c>
      <c r="AB161" s="65" t="s">
        <v>1253</v>
      </c>
    </row>
    <row r="162" spans="1:28" x14ac:dyDescent="0.3">
      <c r="A162" s="1">
        <v>46203</v>
      </c>
      <c r="B162" s="65" t="s">
        <v>537</v>
      </c>
      <c r="C162" s="65" t="s">
        <v>29</v>
      </c>
      <c r="D162" s="65" t="s">
        <v>538</v>
      </c>
      <c r="E162" s="65" t="s">
        <v>31</v>
      </c>
      <c r="F162" s="65" t="s">
        <v>539</v>
      </c>
      <c r="G162" s="65" t="s">
        <v>540</v>
      </c>
      <c r="H162" s="65" t="s">
        <v>541</v>
      </c>
      <c r="I162" s="65"/>
      <c r="J162" s="65"/>
      <c r="K162" s="65" t="s">
        <v>37</v>
      </c>
      <c r="L162" s="65" t="s">
        <v>542</v>
      </c>
      <c r="M162" s="65" t="s">
        <v>543</v>
      </c>
      <c r="N162" s="65" t="s">
        <v>540</v>
      </c>
      <c r="O162" s="65" t="s">
        <v>544</v>
      </c>
      <c r="P162" s="65" t="s">
        <v>101</v>
      </c>
      <c r="Q162" s="65">
        <v>1</v>
      </c>
      <c r="R162" s="65" t="s">
        <v>70</v>
      </c>
      <c r="S162" s="65" t="s">
        <v>43</v>
      </c>
      <c r="T162" s="65" t="s">
        <v>44</v>
      </c>
      <c r="U162" s="65" t="s">
        <v>71</v>
      </c>
      <c r="V162" s="65" t="s">
        <v>72</v>
      </c>
      <c r="W162" s="65">
        <v>186.44</v>
      </c>
      <c r="X162" s="65" t="s">
        <v>47</v>
      </c>
      <c r="Y162" s="65" t="s">
        <v>48</v>
      </c>
      <c r="Z162" s="65" t="s">
        <v>73</v>
      </c>
      <c r="AA162" s="65"/>
      <c r="AB162" s="65"/>
    </row>
    <row r="163" spans="1:28" x14ac:dyDescent="0.3">
      <c r="A163" s="1">
        <v>46203</v>
      </c>
      <c r="B163" s="65" t="s">
        <v>1138</v>
      </c>
      <c r="C163" s="65" t="s">
        <v>268</v>
      </c>
      <c r="D163" s="65" t="s">
        <v>1139</v>
      </c>
      <c r="E163" s="65" t="s">
        <v>31</v>
      </c>
      <c r="F163" s="65" t="s">
        <v>1140</v>
      </c>
      <c r="G163" s="65" t="s">
        <v>1141</v>
      </c>
      <c r="H163" s="65" t="s">
        <v>1142</v>
      </c>
      <c r="I163" s="65" t="s">
        <v>1143</v>
      </c>
      <c r="J163" s="65" t="s">
        <v>365</v>
      </c>
      <c r="K163" s="65" t="s">
        <v>37</v>
      </c>
      <c r="L163" s="65" t="s">
        <v>1144</v>
      </c>
      <c r="M163" s="65" t="s">
        <v>1145</v>
      </c>
      <c r="N163" s="65" t="s">
        <v>1141</v>
      </c>
      <c r="O163" s="65" t="s">
        <v>1146</v>
      </c>
      <c r="P163" s="65" t="s">
        <v>41</v>
      </c>
      <c r="Q163" s="65">
        <v>1</v>
      </c>
      <c r="R163" s="65" t="s">
        <v>42</v>
      </c>
      <c r="S163" s="65" t="s">
        <v>44</v>
      </c>
      <c r="T163" s="65" t="s">
        <v>44</v>
      </c>
      <c r="U163" s="65" t="s">
        <v>45</v>
      </c>
      <c r="V163" s="65" t="s">
        <v>60</v>
      </c>
      <c r="W163" s="65">
        <v>186.44</v>
      </c>
      <c r="X163" s="65" t="s">
        <v>47</v>
      </c>
      <c r="Y163" s="65" t="s">
        <v>48</v>
      </c>
      <c r="Z163" s="65" t="s">
        <v>49</v>
      </c>
      <c r="AA163" s="65">
        <v>995833213</v>
      </c>
      <c r="AB163" s="65" t="s">
        <v>1147</v>
      </c>
    </row>
    <row r="164" spans="1:28" x14ac:dyDescent="0.3">
      <c r="A164" s="1">
        <v>46204</v>
      </c>
      <c r="B164" s="65" t="s">
        <v>122</v>
      </c>
      <c r="C164" s="65" t="s">
        <v>29</v>
      </c>
      <c r="D164" s="65" t="s">
        <v>123</v>
      </c>
      <c r="E164" s="65" t="s">
        <v>31</v>
      </c>
      <c r="F164" s="65" t="s">
        <v>124</v>
      </c>
      <c r="G164" s="65" t="s">
        <v>125</v>
      </c>
      <c r="H164" s="65" t="s">
        <v>126</v>
      </c>
      <c r="I164" s="65" t="s">
        <v>116</v>
      </c>
      <c r="J164" s="65" t="s">
        <v>117</v>
      </c>
      <c r="K164" s="65" t="s">
        <v>37</v>
      </c>
      <c r="L164" s="65" t="s">
        <v>127</v>
      </c>
      <c r="M164" s="65" t="s">
        <v>128</v>
      </c>
      <c r="N164" s="65" t="s">
        <v>125</v>
      </c>
      <c r="O164" s="65" t="s">
        <v>129</v>
      </c>
      <c r="P164" s="65" t="s">
        <v>130</v>
      </c>
      <c r="Q164" s="65">
        <v>1</v>
      </c>
      <c r="R164" s="65" t="s">
        <v>42</v>
      </c>
      <c r="S164" s="65" t="s">
        <v>44</v>
      </c>
      <c r="T164" s="65" t="s">
        <v>44</v>
      </c>
      <c r="U164" s="65" t="s">
        <v>45</v>
      </c>
      <c r="V164" s="65" t="s">
        <v>60</v>
      </c>
      <c r="W164" s="65">
        <v>152.54</v>
      </c>
      <c r="X164" s="65" t="s">
        <v>47</v>
      </c>
      <c r="Y164" s="65" t="s">
        <v>48</v>
      </c>
      <c r="Z164" s="65" t="s">
        <v>49</v>
      </c>
      <c r="AA164" s="65">
        <v>945319366</v>
      </c>
      <c r="AB164" s="65" t="s">
        <v>121</v>
      </c>
    </row>
    <row r="165" spans="1:28" x14ac:dyDescent="0.3">
      <c r="A165" s="1">
        <v>46204</v>
      </c>
      <c r="B165" s="65" t="s">
        <v>1084</v>
      </c>
      <c r="C165" s="65" t="s">
        <v>29</v>
      </c>
      <c r="D165" s="65" t="s">
        <v>1085</v>
      </c>
      <c r="E165" s="65" t="s">
        <v>31</v>
      </c>
      <c r="F165" s="65" t="s">
        <v>1086</v>
      </c>
      <c r="G165" s="65" t="s">
        <v>1087</v>
      </c>
      <c r="H165" s="65" t="s">
        <v>1088</v>
      </c>
      <c r="I165" s="65" t="s">
        <v>1073</v>
      </c>
      <c r="J165" s="65" t="s">
        <v>97</v>
      </c>
      <c r="K165" s="65" t="s">
        <v>37</v>
      </c>
      <c r="L165" s="65" t="s">
        <v>1089</v>
      </c>
      <c r="M165" s="65" t="s">
        <v>1090</v>
      </c>
      <c r="N165" s="65" t="s">
        <v>1087</v>
      </c>
      <c r="O165" s="65" t="s">
        <v>1091</v>
      </c>
      <c r="P165" s="65" t="s">
        <v>201</v>
      </c>
      <c r="Q165" s="65">
        <v>1</v>
      </c>
      <c r="R165" s="65" t="s">
        <v>42</v>
      </c>
      <c r="S165" s="65" t="s">
        <v>44</v>
      </c>
      <c r="T165" s="65" t="s">
        <v>44</v>
      </c>
      <c r="U165" s="65" t="s">
        <v>45</v>
      </c>
      <c r="V165" s="65" t="s">
        <v>60</v>
      </c>
      <c r="W165" s="65">
        <v>152.54</v>
      </c>
      <c r="X165" s="65" t="s">
        <v>47</v>
      </c>
      <c r="Y165" s="65" t="s">
        <v>48</v>
      </c>
      <c r="Z165" s="65" t="s">
        <v>49</v>
      </c>
      <c r="AA165" s="65">
        <v>999986041</v>
      </c>
      <c r="AB165" s="65" t="s">
        <v>1077</v>
      </c>
    </row>
    <row r="166" spans="1:28" x14ac:dyDescent="0.3">
      <c r="A166" s="1">
        <v>46204</v>
      </c>
      <c r="B166" s="65" t="s">
        <v>1148</v>
      </c>
      <c r="C166" s="65" t="s">
        <v>29</v>
      </c>
      <c r="D166" s="65" t="s">
        <v>1149</v>
      </c>
      <c r="E166" s="65" t="s">
        <v>31</v>
      </c>
      <c r="F166" s="65" t="s">
        <v>1150</v>
      </c>
      <c r="G166" s="65" t="s">
        <v>1151</v>
      </c>
      <c r="H166" s="65" t="s">
        <v>1152</v>
      </c>
      <c r="I166" s="65" t="s">
        <v>1153</v>
      </c>
      <c r="J166" s="65" t="s">
        <v>1154</v>
      </c>
      <c r="K166" s="65" t="s">
        <v>37</v>
      </c>
      <c r="L166" s="65" t="s">
        <v>1155</v>
      </c>
      <c r="M166" s="65" t="s">
        <v>608</v>
      </c>
      <c r="N166" s="65" t="s">
        <v>1151</v>
      </c>
      <c r="O166" s="65" t="s">
        <v>1156</v>
      </c>
      <c r="P166" s="65" t="s">
        <v>1157</v>
      </c>
      <c r="Q166" s="65">
        <v>1</v>
      </c>
      <c r="R166" s="65" t="s">
        <v>42</v>
      </c>
      <c r="S166" s="65" t="s">
        <v>44</v>
      </c>
      <c r="T166" s="65" t="s">
        <v>44</v>
      </c>
      <c r="U166" s="65" t="s">
        <v>45</v>
      </c>
      <c r="V166" s="65" t="s">
        <v>60</v>
      </c>
      <c r="W166" s="65">
        <v>338.98</v>
      </c>
      <c r="X166" s="65" t="s">
        <v>47</v>
      </c>
      <c r="Y166" s="65" t="s">
        <v>48</v>
      </c>
      <c r="Z166" s="65" t="s">
        <v>49</v>
      </c>
      <c r="AA166" s="65">
        <v>995868651</v>
      </c>
      <c r="AB166" s="65" t="s">
        <v>1158</v>
      </c>
    </row>
    <row r="167" spans="1:28" x14ac:dyDescent="0.3">
      <c r="A167" s="1">
        <v>46204</v>
      </c>
      <c r="B167" s="65" t="s">
        <v>1255</v>
      </c>
      <c r="C167" s="65" t="s">
        <v>268</v>
      </c>
      <c r="D167" s="65" t="s">
        <v>1256</v>
      </c>
      <c r="E167" s="65" t="s">
        <v>31</v>
      </c>
      <c r="F167" s="65" t="s">
        <v>1257</v>
      </c>
      <c r="G167" s="65" t="s">
        <v>1258</v>
      </c>
      <c r="H167" s="65" t="s">
        <v>1259</v>
      </c>
      <c r="I167" s="65" t="s">
        <v>2795</v>
      </c>
      <c r="J167" s="65" t="s">
        <v>209</v>
      </c>
      <c r="K167" s="65" t="s">
        <v>37</v>
      </c>
      <c r="L167" s="65" t="s">
        <v>1260</v>
      </c>
      <c r="M167" s="65" t="s">
        <v>608</v>
      </c>
      <c r="N167" s="65" t="s">
        <v>1251</v>
      </c>
      <c r="O167" s="65" t="s">
        <v>1261</v>
      </c>
      <c r="P167" s="65" t="s">
        <v>288</v>
      </c>
      <c r="Q167" s="65">
        <v>1</v>
      </c>
      <c r="R167" s="65" t="s">
        <v>42</v>
      </c>
      <c r="S167" s="65" t="s">
        <v>44</v>
      </c>
      <c r="T167" s="65" t="s">
        <v>44</v>
      </c>
      <c r="U167" s="65" t="s">
        <v>45</v>
      </c>
      <c r="V167" s="65" t="s">
        <v>60</v>
      </c>
      <c r="W167" s="65">
        <v>0</v>
      </c>
      <c r="X167" s="65" t="s">
        <v>289</v>
      </c>
      <c r="Y167" s="65" t="s">
        <v>48</v>
      </c>
      <c r="Z167" s="65" t="s">
        <v>49</v>
      </c>
      <c r="AA167" s="65">
        <v>994872106</v>
      </c>
      <c r="AB167" s="65" t="s">
        <v>1253</v>
      </c>
    </row>
    <row r="168" spans="1:28" x14ac:dyDescent="0.3">
      <c r="A168" s="1">
        <v>46204</v>
      </c>
      <c r="B168" s="65" t="s">
        <v>1255</v>
      </c>
      <c r="C168" s="65" t="s">
        <v>268</v>
      </c>
      <c r="D168" s="65" t="s">
        <v>1256</v>
      </c>
      <c r="E168" s="65" t="s">
        <v>31</v>
      </c>
      <c r="F168" s="65" t="s">
        <v>1257</v>
      </c>
      <c r="G168" s="65" t="s">
        <v>1258</v>
      </c>
      <c r="H168" s="65" t="s">
        <v>1259</v>
      </c>
      <c r="I168" s="65" t="s">
        <v>2795</v>
      </c>
      <c r="J168" s="65" t="s">
        <v>209</v>
      </c>
      <c r="K168" s="65" t="s">
        <v>37</v>
      </c>
      <c r="L168" s="65" t="s">
        <v>1260</v>
      </c>
      <c r="M168" s="65" t="s">
        <v>608</v>
      </c>
      <c r="N168" s="65" t="s">
        <v>1251</v>
      </c>
      <c r="O168" s="65" t="s">
        <v>1261</v>
      </c>
      <c r="P168" s="65" t="s">
        <v>1620</v>
      </c>
      <c r="Q168" s="65">
        <v>1</v>
      </c>
      <c r="R168" s="65" t="s">
        <v>42</v>
      </c>
      <c r="S168" s="65" t="s">
        <v>44</v>
      </c>
      <c r="T168" s="65" t="s">
        <v>44</v>
      </c>
      <c r="U168" s="65" t="s">
        <v>45</v>
      </c>
      <c r="V168" s="65" t="s">
        <v>60</v>
      </c>
      <c r="W168" s="65">
        <v>139.83000000000001</v>
      </c>
      <c r="X168" s="65" t="s">
        <v>289</v>
      </c>
      <c r="Y168" s="65" t="s">
        <v>48</v>
      </c>
      <c r="Z168" s="65" t="s">
        <v>49</v>
      </c>
      <c r="AA168" s="65">
        <v>994872106</v>
      </c>
      <c r="AB168" s="65" t="s">
        <v>1253</v>
      </c>
    </row>
    <row r="169" spans="1:28" x14ac:dyDescent="0.3">
      <c r="A169" s="1">
        <v>46204</v>
      </c>
      <c r="B169" s="65" t="s">
        <v>1317</v>
      </c>
      <c r="C169" s="65" t="s">
        <v>29</v>
      </c>
      <c r="D169" s="65" t="s">
        <v>1318</v>
      </c>
      <c r="E169" s="65" t="s">
        <v>31</v>
      </c>
      <c r="F169" s="65" t="s">
        <v>1319</v>
      </c>
      <c r="G169" s="65" t="s">
        <v>1320</v>
      </c>
      <c r="H169" s="65" t="s">
        <v>1321</v>
      </c>
      <c r="I169" s="65" t="s">
        <v>1322</v>
      </c>
      <c r="J169" s="65" t="s">
        <v>36</v>
      </c>
      <c r="K169" s="65" t="s">
        <v>37</v>
      </c>
      <c r="L169" s="65" t="s">
        <v>1323</v>
      </c>
      <c r="M169" s="65" t="s">
        <v>1324</v>
      </c>
      <c r="N169" s="65" t="s">
        <v>1320</v>
      </c>
      <c r="O169" s="65" t="s">
        <v>1325</v>
      </c>
      <c r="P169" s="65" t="s">
        <v>101</v>
      </c>
      <c r="Q169" s="65">
        <v>1</v>
      </c>
      <c r="R169" s="65" t="s">
        <v>42</v>
      </c>
      <c r="S169" s="65" t="s">
        <v>44</v>
      </c>
      <c r="T169" s="65" t="s">
        <v>44</v>
      </c>
      <c r="U169" s="65" t="s">
        <v>45</v>
      </c>
      <c r="V169" s="65" t="s">
        <v>60</v>
      </c>
      <c r="W169" s="65">
        <v>186.44</v>
      </c>
      <c r="X169" s="65" t="s">
        <v>47</v>
      </c>
      <c r="Y169" s="65" t="s">
        <v>48</v>
      </c>
      <c r="Z169" s="65" t="s">
        <v>49</v>
      </c>
      <c r="AA169" s="65">
        <v>999111362</v>
      </c>
      <c r="AB169" s="65" t="s">
        <v>1326</v>
      </c>
    </row>
    <row r="170" spans="1:28" x14ac:dyDescent="0.3">
      <c r="A170" s="1">
        <v>46204</v>
      </c>
      <c r="B170" s="65" t="s">
        <v>1372</v>
      </c>
      <c r="C170" s="65" t="s">
        <v>29</v>
      </c>
      <c r="D170" s="65" t="s">
        <v>1373</v>
      </c>
      <c r="E170" s="65" t="s">
        <v>31</v>
      </c>
      <c r="F170" s="65" t="s">
        <v>1374</v>
      </c>
      <c r="G170" s="65" t="s">
        <v>1375</v>
      </c>
      <c r="H170" s="65" t="s">
        <v>1376</v>
      </c>
      <c r="I170" s="65" t="s">
        <v>3551</v>
      </c>
      <c r="J170" s="65" t="s">
        <v>3552</v>
      </c>
      <c r="K170" s="65" t="s">
        <v>37</v>
      </c>
      <c r="L170" s="65" t="s">
        <v>1378</v>
      </c>
      <c r="M170" s="65" t="s">
        <v>1379</v>
      </c>
      <c r="N170" s="65" t="s">
        <v>1375</v>
      </c>
      <c r="O170" s="65" t="s">
        <v>1380</v>
      </c>
      <c r="P170" s="65" t="s">
        <v>101</v>
      </c>
      <c r="Q170" s="65">
        <v>1</v>
      </c>
      <c r="R170" s="65" t="s">
        <v>42</v>
      </c>
      <c r="S170" s="65" t="s">
        <v>44</v>
      </c>
      <c r="T170" s="65" t="s">
        <v>44</v>
      </c>
      <c r="U170" s="65" t="s">
        <v>45</v>
      </c>
      <c r="V170" s="65" t="s">
        <v>60</v>
      </c>
      <c r="W170" s="65">
        <v>186.44</v>
      </c>
      <c r="X170" s="65" t="s">
        <v>47</v>
      </c>
      <c r="Y170" s="65" t="s">
        <v>48</v>
      </c>
      <c r="Z170" s="65" t="s">
        <v>49</v>
      </c>
      <c r="AA170" s="65"/>
      <c r="AB170" s="65"/>
    </row>
    <row r="171" spans="1:28" x14ac:dyDescent="0.3">
      <c r="A171" s="1">
        <v>46205</v>
      </c>
      <c r="B171" s="65" t="s">
        <v>1391</v>
      </c>
      <c r="C171" s="65" t="s">
        <v>29</v>
      </c>
      <c r="D171" s="65" t="s">
        <v>1392</v>
      </c>
      <c r="E171" s="65" t="s">
        <v>31</v>
      </c>
      <c r="F171" s="65" t="s">
        <v>1393</v>
      </c>
      <c r="G171" s="65" t="s">
        <v>1394</v>
      </c>
      <c r="H171" s="65" t="s">
        <v>1395</v>
      </c>
      <c r="I171" s="65" t="s">
        <v>477</v>
      </c>
      <c r="J171" s="65" t="s">
        <v>209</v>
      </c>
      <c r="K171" s="65" t="s">
        <v>37</v>
      </c>
      <c r="L171" s="65" t="s">
        <v>1397</v>
      </c>
      <c r="M171" s="65" t="s">
        <v>1398</v>
      </c>
      <c r="N171" s="65" t="s">
        <v>1394</v>
      </c>
      <c r="O171" s="65" t="s">
        <v>1399</v>
      </c>
      <c r="P171" s="65" t="s">
        <v>159</v>
      </c>
      <c r="Q171" s="65">
        <v>1</v>
      </c>
      <c r="R171" s="65" t="s">
        <v>42</v>
      </c>
      <c r="S171" s="65" t="s">
        <v>44</v>
      </c>
      <c r="T171" s="65" t="s">
        <v>44</v>
      </c>
      <c r="U171" s="65" t="s">
        <v>45</v>
      </c>
      <c r="V171" s="65" t="s">
        <v>60</v>
      </c>
      <c r="W171" s="65">
        <v>135.59</v>
      </c>
      <c r="X171" s="65" t="s">
        <v>47</v>
      </c>
      <c r="Y171" s="65" t="s">
        <v>48</v>
      </c>
      <c r="Z171" s="65" t="s">
        <v>49</v>
      </c>
      <c r="AA171" s="65">
        <v>982536223</v>
      </c>
      <c r="AB171" s="65" t="s">
        <v>482</v>
      </c>
    </row>
    <row r="172" spans="1:28" x14ac:dyDescent="0.3">
      <c r="A172" s="1">
        <v>46205</v>
      </c>
      <c r="B172" s="65" t="s">
        <v>1391</v>
      </c>
      <c r="C172" s="65" t="s">
        <v>29</v>
      </c>
      <c r="D172" s="65" t="s">
        <v>1392</v>
      </c>
      <c r="E172" s="65" t="s">
        <v>31</v>
      </c>
      <c r="F172" s="65" t="s">
        <v>1393</v>
      </c>
      <c r="G172" s="65" t="s">
        <v>1394</v>
      </c>
      <c r="H172" s="65" t="s">
        <v>1395</v>
      </c>
      <c r="I172" s="65" t="s">
        <v>477</v>
      </c>
      <c r="J172" s="65" t="s">
        <v>209</v>
      </c>
      <c r="K172" s="65" t="s">
        <v>37</v>
      </c>
      <c r="L172" s="65" t="s">
        <v>1397</v>
      </c>
      <c r="M172" s="65" t="s">
        <v>1398</v>
      </c>
      <c r="N172" s="65" t="s">
        <v>1394</v>
      </c>
      <c r="O172" s="65" t="s">
        <v>1399</v>
      </c>
      <c r="P172" s="65" t="s">
        <v>101</v>
      </c>
      <c r="Q172" s="65">
        <v>1</v>
      </c>
      <c r="R172" s="65" t="s">
        <v>42</v>
      </c>
      <c r="S172" s="65" t="s">
        <v>44</v>
      </c>
      <c r="T172" s="65" t="s">
        <v>44</v>
      </c>
      <c r="U172" s="65" t="s">
        <v>45</v>
      </c>
      <c r="V172" s="65" t="s">
        <v>60</v>
      </c>
      <c r="W172" s="65">
        <v>186.44</v>
      </c>
      <c r="X172" s="65" t="s">
        <v>47</v>
      </c>
      <c r="Y172" s="65" t="s">
        <v>48</v>
      </c>
      <c r="Z172" s="65" t="s">
        <v>49</v>
      </c>
      <c r="AA172" s="65">
        <v>982536223</v>
      </c>
      <c r="AB172" s="65" t="s">
        <v>482</v>
      </c>
    </row>
    <row r="173" spans="1:28" x14ac:dyDescent="0.3">
      <c r="A173" s="1">
        <v>46205</v>
      </c>
      <c r="B173" s="65" t="s">
        <v>1391</v>
      </c>
      <c r="C173" s="65" t="s">
        <v>29</v>
      </c>
      <c r="D173" s="65" t="s">
        <v>1392</v>
      </c>
      <c r="E173" s="65" t="s">
        <v>31</v>
      </c>
      <c r="F173" s="65" t="s">
        <v>1393</v>
      </c>
      <c r="G173" s="65" t="s">
        <v>1394</v>
      </c>
      <c r="H173" s="65" t="s">
        <v>1395</v>
      </c>
      <c r="I173" s="65" t="s">
        <v>477</v>
      </c>
      <c r="J173" s="65" t="s">
        <v>209</v>
      </c>
      <c r="K173" s="65" t="s">
        <v>37</v>
      </c>
      <c r="L173" s="65" t="s">
        <v>1397</v>
      </c>
      <c r="M173" s="65" t="s">
        <v>1398</v>
      </c>
      <c r="N173" s="65" t="s">
        <v>1394</v>
      </c>
      <c r="O173" s="65" t="s">
        <v>1399</v>
      </c>
      <c r="P173" s="65" t="s">
        <v>158</v>
      </c>
      <c r="Q173" s="65">
        <v>1</v>
      </c>
      <c r="R173" s="65" t="s">
        <v>42</v>
      </c>
      <c r="S173" s="65" t="s">
        <v>44</v>
      </c>
      <c r="T173" s="65" t="s">
        <v>44</v>
      </c>
      <c r="U173" s="65" t="s">
        <v>45</v>
      </c>
      <c r="V173" s="65" t="s">
        <v>60</v>
      </c>
      <c r="W173" s="65">
        <v>152.54</v>
      </c>
      <c r="X173" s="65" t="s">
        <v>47</v>
      </c>
      <c r="Y173" s="65" t="s">
        <v>48</v>
      </c>
      <c r="Z173" s="65" t="s">
        <v>49</v>
      </c>
      <c r="AA173" s="65">
        <v>982536223</v>
      </c>
      <c r="AB173" s="65" t="s">
        <v>482</v>
      </c>
    </row>
    <row r="174" spans="1:28" x14ac:dyDescent="0.3">
      <c r="A174" s="1">
        <v>46205</v>
      </c>
      <c r="B174" s="65" t="s">
        <v>937</v>
      </c>
      <c r="C174" s="65" t="s">
        <v>29</v>
      </c>
      <c r="D174" s="65" t="s">
        <v>938</v>
      </c>
      <c r="E174" s="65" t="s">
        <v>31</v>
      </c>
      <c r="F174" s="65" t="s">
        <v>939</v>
      </c>
      <c r="G174" s="65" t="s">
        <v>940</v>
      </c>
      <c r="H174" s="65" t="s">
        <v>941</v>
      </c>
      <c r="I174" s="65" t="s">
        <v>774</v>
      </c>
      <c r="J174" s="65" t="s">
        <v>775</v>
      </c>
      <c r="K174" s="65" t="s">
        <v>37</v>
      </c>
      <c r="L174" s="65" t="s">
        <v>942</v>
      </c>
      <c r="M174" s="65" t="s">
        <v>943</v>
      </c>
      <c r="N174" s="65" t="s">
        <v>940</v>
      </c>
      <c r="O174" s="65" t="s">
        <v>944</v>
      </c>
      <c r="P174" s="65" t="s">
        <v>618</v>
      </c>
      <c r="Q174" s="65">
        <v>1</v>
      </c>
      <c r="R174" s="65" t="s">
        <v>42</v>
      </c>
      <c r="S174" s="65" t="s">
        <v>44</v>
      </c>
      <c r="T174" s="65" t="s">
        <v>44</v>
      </c>
      <c r="U174" s="65" t="s">
        <v>45</v>
      </c>
      <c r="V174" s="65" t="s">
        <v>46</v>
      </c>
      <c r="W174" s="65">
        <v>12.71</v>
      </c>
      <c r="X174" s="65" t="s">
        <v>619</v>
      </c>
      <c r="Y174" s="65" t="s">
        <v>48</v>
      </c>
      <c r="Z174" s="65" t="s">
        <v>49</v>
      </c>
      <c r="AA174" s="65"/>
      <c r="AB174" s="65"/>
    </row>
    <row r="175" spans="1:28" x14ac:dyDescent="0.3">
      <c r="A175" s="1">
        <v>46205</v>
      </c>
      <c r="B175" s="65" t="s">
        <v>937</v>
      </c>
      <c r="C175" s="65" t="s">
        <v>29</v>
      </c>
      <c r="D175" s="65" t="s">
        <v>938</v>
      </c>
      <c r="E175" s="65" t="s">
        <v>31</v>
      </c>
      <c r="F175" s="65" t="s">
        <v>939</v>
      </c>
      <c r="G175" s="65" t="s">
        <v>940</v>
      </c>
      <c r="H175" s="65" t="s">
        <v>941</v>
      </c>
      <c r="I175" s="65" t="s">
        <v>774</v>
      </c>
      <c r="J175" s="65" t="s">
        <v>775</v>
      </c>
      <c r="K175" s="65" t="s">
        <v>37</v>
      </c>
      <c r="L175" s="65" t="s">
        <v>942</v>
      </c>
      <c r="M175" s="65" t="s">
        <v>943</v>
      </c>
      <c r="N175" s="65" t="s">
        <v>940</v>
      </c>
      <c r="O175" s="65" t="s">
        <v>944</v>
      </c>
      <c r="P175" s="65" t="s">
        <v>620</v>
      </c>
      <c r="Q175" s="65">
        <v>1</v>
      </c>
      <c r="R175" s="65" t="s">
        <v>42</v>
      </c>
      <c r="S175" s="65" t="s">
        <v>44</v>
      </c>
      <c r="T175" s="65" t="s">
        <v>44</v>
      </c>
      <c r="U175" s="65" t="s">
        <v>45</v>
      </c>
      <c r="V175" s="65" t="s">
        <v>46</v>
      </c>
      <c r="W175" s="65">
        <v>21.19</v>
      </c>
      <c r="X175" s="65" t="s">
        <v>619</v>
      </c>
      <c r="Y175" s="65" t="s">
        <v>48</v>
      </c>
      <c r="Z175" s="65" t="s">
        <v>49</v>
      </c>
      <c r="AA175" s="65"/>
      <c r="AB175" s="65"/>
    </row>
    <row r="176" spans="1:28" x14ac:dyDescent="0.3">
      <c r="A176" s="1">
        <v>46205</v>
      </c>
      <c r="B176" s="65" t="s">
        <v>937</v>
      </c>
      <c r="C176" s="65" t="s">
        <v>29</v>
      </c>
      <c r="D176" s="65" t="s">
        <v>938</v>
      </c>
      <c r="E176" s="65" t="s">
        <v>31</v>
      </c>
      <c r="F176" s="65" t="s">
        <v>939</v>
      </c>
      <c r="G176" s="65" t="s">
        <v>940</v>
      </c>
      <c r="H176" s="65" t="s">
        <v>941</v>
      </c>
      <c r="I176" s="65" t="s">
        <v>774</v>
      </c>
      <c r="J176" s="65" t="s">
        <v>775</v>
      </c>
      <c r="K176" s="65" t="s">
        <v>37</v>
      </c>
      <c r="L176" s="65" t="s">
        <v>942</v>
      </c>
      <c r="M176" s="65" t="s">
        <v>943</v>
      </c>
      <c r="N176" s="65" t="s">
        <v>940</v>
      </c>
      <c r="O176" s="65" t="s">
        <v>944</v>
      </c>
      <c r="P176" s="65" t="s">
        <v>621</v>
      </c>
      <c r="Q176" s="65">
        <v>1</v>
      </c>
      <c r="R176" s="65" t="s">
        <v>42</v>
      </c>
      <c r="S176" s="65" t="s">
        <v>44</v>
      </c>
      <c r="T176" s="65" t="s">
        <v>44</v>
      </c>
      <c r="U176" s="65" t="s">
        <v>45</v>
      </c>
      <c r="V176" s="65" t="s">
        <v>46</v>
      </c>
      <c r="W176" s="65">
        <v>12.71</v>
      </c>
      <c r="X176" s="65" t="s">
        <v>619</v>
      </c>
      <c r="Y176" s="65" t="s">
        <v>48</v>
      </c>
      <c r="Z176" s="65" t="s">
        <v>49</v>
      </c>
      <c r="AA176" s="65"/>
      <c r="AB176" s="65"/>
    </row>
    <row r="177" spans="1:28" x14ac:dyDescent="0.3">
      <c r="A177" s="1">
        <v>46205</v>
      </c>
      <c r="B177" s="65" t="s">
        <v>937</v>
      </c>
      <c r="C177" s="65" t="s">
        <v>29</v>
      </c>
      <c r="D177" s="65" t="s">
        <v>938</v>
      </c>
      <c r="E177" s="65" t="s">
        <v>31</v>
      </c>
      <c r="F177" s="65" t="s">
        <v>939</v>
      </c>
      <c r="G177" s="65" t="s">
        <v>940</v>
      </c>
      <c r="H177" s="65" t="s">
        <v>941</v>
      </c>
      <c r="I177" s="65" t="s">
        <v>774</v>
      </c>
      <c r="J177" s="65" t="s">
        <v>775</v>
      </c>
      <c r="K177" s="65" t="s">
        <v>37</v>
      </c>
      <c r="L177" s="65" t="s">
        <v>942</v>
      </c>
      <c r="M177" s="65" t="s">
        <v>943</v>
      </c>
      <c r="N177" s="65" t="s">
        <v>940</v>
      </c>
      <c r="O177" s="65" t="s">
        <v>944</v>
      </c>
      <c r="P177" s="65" t="s">
        <v>622</v>
      </c>
      <c r="Q177" s="65">
        <v>1</v>
      </c>
      <c r="R177" s="65" t="s">
        <v>42</v>
      </c>
      <c r="S177" s="65" t="s">
        <v>44</v>
      </c>
      <c r="T177" s="65" t="s">
        <v>44</v>
      </c>
      <c r="U177" s="65" t="s">
        <v>45</v>
      </c>
      <c r="V177" s="65" t="s">
        <v>46</v>
      </c>
      <c r="W177" s="65">
        <v>12.71</v>
      </c>
      <c r="X177" s="65" t="s">
        <v>619</v>
      </c>
      <c r="Y177" s="65" t="s">
        <v>48</v>
      </c>
      <c r="Z177" s="65" t="s">
        <v>49</v>
      </c>
      <c r="AA177" s="65"/>
      <c r="AB177" s="65"/>
    </row>
    <row r="178" spans="1:28" x14ac:dyDescent="0.3">
      <c r="A178" s="1">
        <v>46205</v>
      </c>
      <c r="B178" s="65" t="s">
        <v>937</v>
      </c>
      <c r="C178" s="65" t="s">
        <v>29</v>
      </c>
      <c r="D178" s="65" t="s">
        <v>938</v>
      </c>
      <c r="E178" s="65" t="s">
        <v>31</v>
      </c>
      <c r="F178" s="65" t="s">
        <v>939</v>
      </c>
      <c r="G178" s="65" t="s">
        <v>940</v>
      </c>
      <c r="H178" s="65" t="s">
        <v>941</v>
      </c>
      <c r="I178" s="65" t="s">
        <v>774</v>
      </c>
      <c r="J178" s="65" t="s">
        <v>775</v>
      </c>
      <c r="K178" s="65" t="s">
        <v>37</v>
      </c>
      <c r="L178" s="65" t="s">
        <v>942</v>
      </c>
      <c r="M178" s="65" t="s">
        <v>943</v>
      </c>
      <c r="N178" s="65" t="s">
        <v>940</v>
      </c>
      <c r="O178" s="65" t="s">
        <v>944</v>
      </c>
      <c r="P178" s="65" t="s">
        <v>833</v>
      </c>
      <c r="Q178" s="65">
        <v>1</v>
      </c>
      <c r="R178" s="65" t="s">
        <v>42</v>
      </c>
      <c r="S178" s="65" t="s">
        <v>44</v>
      </c>
      <c r="T178" s="65" t="s">
        <v>44</v>
      </c>
      <c r="U178" s="65" t="s">
        <v>45</v>
      </c>
      <c r="V178" s="65" t="s">
        <v>46</v>
      </c>
      <c r="W178" s="65">
        <v>50.85</v>
      </c>
      <c r="X178" s="65" t="s">
        <v>619</v>
      </c>
      <c r="Y178" s="65" t="s">
        <v>48</v>
      </c>
      <c r="Z178" s="65" t="s">
        <v>49</v>
      </c>
      <c r="AA178" s="65"/>
      <c r="AB178" s="65"/>
    </row>
    <row r="179" spans="1:28" x14ac:dyDescent="0.3">
      <c r="A179" s="1">
        <v>46205</v>
      </c>
      <c r="B179" s="65" t="s">
        <v>945</v>
      </c>
      <c r="C179" s="65" t="s">
        <v>29</v>
      </c>
      <c r="D179" s="65" t="s">
        <v>946</v>
      </c>
      <c r="E179" s="65" t="s">
        <v>31</v>
      </c>
      <c r="F179" s="65" t="s">
        <v>947</v>
      </c>
      <c r="G179" s="65" t="s">
        <v>940</v>
      </c>
      <c r="H179" s="65" t="s">
        <v>941</v>
      </c>
      <c r="I179" s="65" t="s">
        <v>774</v>
      </c>
      <c r="J179" s="65" t="s">
        <v>775</v>
      </c>
      <c r="K179" s="65" t="s">
        <v>37</v>
      </c>
      <c r="L179" s="65" t="s">
        <v>942</v>
      </c>
      <c r="M179" s="65" t="s">
        <v>943</v>
      </c>
      <c r="N179" s="65" t="s">
        <v>940</v>
      </c>
      <c r="O179" s="65" t="s">
        <v>948</v>
      </c>
      <c r="P179" s="65" t="s">
        <v>201</v>
      </c>
      <c r="Q179" s="65">
        <v>1</v>
      </c>
      <c r="R179" s="65" t="s">
        <v>42</v>
      </c>
      <c r="S179" s="65" t="s">
        <v>44</v>
      </c>
      <c r="T179" s="65" t="s">
        <v>44</v>
      </c>
      <c r="U179" s="65" t="s">
        <v>45</v>
      </c>
      <c r="V179" s="65" t="s">
        <v>46</v>
      </c>
      <c r="W179" s="65">
        <v>42.37</v>
      </c>
      <c r="X179" s="65" t="s">
        <v>47</v>
      </c>
      <c r="Y179" s="65" t="s">
        <v>48</v>
      </c>
      <c r="Z179" s="65" t="s">
        <v>49</v>
      </c>
      <c r="AA179" s="65"/>
      <c r="AB179" s="65"/>
    </row>
    <row r="180" spans="1:28" x14ac:dyDescent="0.3">
      <c r="A180" s="1">
        <v>46205</v>
      </c>
      <c r="B180" s="65" t="s">
        <v>945</v>
      </c>
      <c r="C180" s="65" t="s">
        <v>29</v>
      </c>
      <c r="D180" s="65" t="s">
        <v>946</v>
      </c>
      <c r="E180" s="65" t="s">
        <v>31</v>
      </c>
      <c r="F180" s="65" t="s">
        <v>947</v>
      </c>
      <c r="G180" s="65" t="s">
        <v>940</v>
      </c>
      <c r="H180" s="65" t="s">
        <v>941</v>
      </c>
      <c r="I180" s="65" t="s">
        <v>774</v>
      </c>
      <c r="J180" s="65" t="s">
        <v>775</v>
      </c>
      <c r="K180" s="65" t="s">
        <v>37</v>
      </c>
      <c r="L180" s="65" t="s">
        <v>942</v>
      </c>
      <c r="M180" s="65" t="s">
        <v>943</v>
      </c>
      <c r="N180" s="65" t="s">
        <v>940</v>
      </c>
      <c r="O180" s="65" t="s">
        <v>948</v>
      </c>
      <c r="P180" s="65" t="s">
        <v>202</v>
      </c>
      <c r="Q180" s="65">
        <v>1</v>
      </c>
      <c r="R180" s="65" t="s">
        <v>42</v>
      </c>
      <c r="S180" s="65" t="s">
        <v>44</v>
      </c>
      <c r="T180" s="65" t="s">
        <v>44</v>
      </c>
      <c r="U180" s="65" t="s">
        <v>45</v>
      </c>
      <c r="V180" s="65" t="s">
        <v>46</v>
      </c>
      <c r="W180" s="65">
        <v>42.37</v>
      </c>
      <c r="X180" s="65" t="s">
        <v>47</v>
      </c>
      <c r="Y180" s="65" t="s">
        <v>48</v>
      </c>
      <c r="Z180" s="65" t="s">
        <v>49</v>
      </c>
      <c r="AA180" s="65"/>
      <c r="AB180" s="65"/>
    </row>
    <row r="181" spans="1:28" x14ac:dyDescent="0.3">
      <c r="A181" s="1">
        <v>46205</v>
      </c>
      <c r="B181" s="65" t="s">
        <v>949</v>
      </c>
      <c r="C181" s="65" t="s">
        <v>29</v>
      </c>
      <c r="D181" s="65" t="s">
        <v>950</v>
      </c>
      <c r="E181" s="65" t="s">
        <v>31</v>
      </c>
      <c r="F181" s="65" t="s">
        <v>951</v>
      </c>
      <c r="G181" s="65" t="s">
        <v>940</v>
      </c>
      <c r="H181" s="65" t="s">
        <v>941</v>
      </c>
      <c r="I181" s="65" t="s">
        <v>774</v>
      </c>
      <c r="J181" s="65" t="s">
        <v>775</v>
      </c>
      <c r="K181" s="65" t="s">
        <v>37</v>
      </c>
      <c r="L181" s="65" t="s">
        <v>942</v>
      </c>
      <c r="M181" s="65" t="s">
        <v>943</v>
      </c>
      <c r="N181" s="65" t="s">
        <v>940</v>
      </c>
      <c r="O181" s="65" t="s">
        <v>952</v>
      </c>
      <c r="P181" s="65" t="s">
        <v>828</v>
      </c>
      <c r="Q181" s="65">
        <v>1</v>
      </c>
      <c r="R181" s="65" t="s">
        <v>42</v>
      </c>
      <c r="S181" s="65" t="s">
        <v>44</v>
      </c>
      <c r="T181" s="65" t="s">
        <v>44</v>
      </c>
      <c r="U181" s="65" t="s">
        <v>45</v>
      </c>
      <c r="V181" s="65" t="s">
        <v>46</v>
      </c>
      <c r="W181" s="65">
        <v>127.12</v>
      </c>
      <c r="X181" s="65" t="s">
        <v>47</v>
      </c>
      <c r="Y181" s="65" t="s">
        <v>48</v>
      </c>
      <c r="Z181" s="65" t="s">
        <v>49</v>
      </c>
      <c r="AA181" s="65"/>
      <c r="AB181" s="65"/>
    </row>
    <row r="182" spans="1:28" x14ac:dyDescent="0.3">
      <c r="A182" s="1">
        <v>46205</v>
      </c>
      <c r="B182" s="65" t="s">
        <v>953</v>
      </c>
      <c r="C182" s="65" t="s">
        <v>29</v>
      </c>
      <c r="D182" s="65" t="s">
        <v>954</v>
      </c>
      <c r="E182" s="65" t="s">
        <v>31</v>
      </c>
      <c r="F182" s="65" t="s">
        <v>955</v>
      </c>
      <c r="G182" s="65" t="s">
        <v>956</v>
      </c>
      <c r="H182" s="65" t="s">
        <v>957</v>
      </c>
      <c r="I182" s="65" t="s">
        <v>774</v>
      </c>
      <c r="J182" s="65" t="s">
        <v>775</v>
      </c>
      <c r="K182" s="65" t="s">
        <v>37</v>
      </c>
      <c r="L182" s="65" t="s">
        <v>958</v>
      </c>
      <c r="M182" s="65" t="s">
        <v>959</v>
      </c>
      <c r="N182" s="65" t="s">
        <v>956</v>
      </c>
      <c r="O182" s="65" t="s">
        <v>960</v>
      </c>
      <c r="P182" s="65" t="s">
        <v>201</v>
      </c>
      <c r="Q182" s="65">
        <v>1</v>
      </c>
      <c r="R182" s="65" t="s">
        <v>42</v>
      </c>
      <c r="S182" s="65" t="s">
        <v>44</v>
      </c>
      <c r="T182" s="65" t="s">
        <v>44</v>
      </c>
      <c r="U182" s="65" t="s">
        <v>45</v>
      </c>
      <c r="V182" s="65" t="s">
        <v>60</v>
      </c>
      <c r="W182" s="65">
        <v>42.37</v>
      </c>
      <c r="X182" s="65" t="s">
        <v>47</v>
      </c>
      <c r="Y182" s="65" t="s">
        <v>48</v>
      </c>
      <c r="Z182" s="65" t="s">
        <v>49</v>
      </c>
      <c r="AA182" s="65"/>
      <c r="AB182" s="65"/>
    </row>
    <row r="183" spans="1:28" x14ac:dyDescent="0.3">
      <c r="A183" s="1">
        <v>46205</v>
      </c>
      <c r="B183" s="65" t="s">
        <v>953</v>
      </c>
      <c r="C183" s="65" t="s">
        <v>29</v>
      </c>
      <c r="D183" s="65" t="s">
        <v>954</v>
      </c>
      <c r="E183" s="65" t="s">
        <v>31</v>
      </c>
      <c r="F183" s="65" t="s">
        <v>955</v>
      </c>
      <c r="G183" s="65" t="s">
        <v>956</v>
      </c>
      <c r="H183" s="65" t="s">
        <v>957</v>
      </c>
      <c r="I183" s="65" t="s">
        <v>774</v>
      </c>
      <c r="J183" s="65" t="s">
        <v>775</v>
      </c>
      <c r="K183" s="65" t="s">
        <v>37</v>
      </c>
      <c r="L183" s="65" t="s">
        <v>958</v>
      </c>
      <c r="M183" s="65" t="s">
        <v>959</v>
      </c>
      <c r="N183" s="65" t="s">
        <v>956</v>
      </c>
      <c r="O183" s="65" t="s">
        <v>960</v>
      </c>
      <c r="P183" s="65" t="s">
        <v>202</v>
      </c>
      <c r="Q183" s="65">
        <v>1</v>
      </c>
      <c r="R183" s="65" t="s">
        <v>42</v>
      </c>
      <c r="S183" s="65" t="s">
        <v>44</v>
      </c>
      <c r="T183" s="65" t="s">
        <v>44</v>
      </c>
      <c r="U183" s="65" t="s">
        <v>45</v>
      </c>
      <c r="V183" s="65" t="s">
        <v>60</v>
      </c>
      <c r="W183" s="65">
        <v>42.37</v>
      </c>
      <c r="X183" s="65" t="s">
        <v>47</v>
      </c>
      <c r="Y183" s="65" t="s">
        <v>48</v>
      </c>
      <c r="Z183" s="65" t="s">
        <v>49</v>
      </c>
      <c r="AA183" s="65"/>
      <c r="AB183" s="65"/>
    </row>
    <row r="184" spans="1:28" x14ac:dyDescent="0.3">
      <c r="A184" s="1">
        <v>46205</v>
      </c>
      <c r="B184" s="65" t="s">
        <v>961</v>
      </c>
      <c r="C184" s="65" t="s">
        <v>29</v>
      </c>
      <c r="D184" s="65" t="s">
        <v>962</v>
      </c>
      <c r="E184" s="65" t="s">
        <v>31</v>
      </c>
      <c r="F184" s="65" t="s">
        <v>963</v>
      </c>
      <c r="G184" s="65" t="s">
        <v>964</v>
      </c>
      <c r="H184" s="65" t="s">
        <v>965</v>
      </c>
      <c r="I184" s="65" t="s">
        <v>774</v>
      </c>
      <c r="J184" s="65" t="s">
        <v>775</v>
      </c>
      <c r="K184" s="65" t="s">
        <v>37</v>
      </c>
      <c r="L184" s="65" t="s">
        <v>966</v>
      </c>
      <c r="M184" s="65" t="s">
        <v>967</v>
      </c>
      <c r="N184" s="65" t="s">
        <v>964</v>
      </c>
      <c r="O184" s="65" t="s">
        <v>968</v>
      </c>
      <c r="P184" s="65" t="s">
        <v>201</v>
      </c>
      <c r="Q184" s="65">
        <v>1</v>
      </c>
      <c r="R184" s="65" t="s">
        <v>42</v>
      </c>
      <c r="S184" s="65" t="s">
        <v>44</v>
      </c>
      <c r="T184" s="65" t="s">
        <v>44</v>
      </c>
      <c r="U184" s="65" t="s">
        <v>45</v>
      </c>
      <c r="V184" s="65" t="s">
        <v>46</v>
      </c>
      <c r="W184" s="65">
        <v>42.37</v>
      </c>
      <c r="X184" s="65" t="s">
        <v>47</v>
      </c>
      <c r="Y184" s="65" t="s">
        <v>48</v>
      </c>
      <c r="Z184" s="65" t="s">
        <v>49</v>
      </c>
      <c r="AA184" s="65"/>
      <c r="AB184" s="65"/>
    </row>
    <row r="185" spans="1:28" x14ac:dyDescent="0.3">
      <c r="A185" s="1">
        <v>46205</v>
      </c>
      <c r="B185" s="65" t="s">
        <v>961</v>
      </c>
      <c r="C185" s="65" t="s">
        <v>29</v>
      </c>
      <c r="D185" s="65" t="s">
        <v>962</v>
      </c>
      <c r="E185" s="65" t="s">
        <v>31</v>
      </c>
      <c r="F185" s="65" t="s">
        <v>963</v>
      </c>
      <c r="G185" s="65" t="s">
        <v>964</v>
      </c>
      <c r="H185" s="65" t="s">
        <v>965</v>
      </c>
      <c r="I185" s="65" t="s">
        <v>774</v>
      </c>
      <c r="J185" s="65" t="s">
        <v>775</v>
      </c>
      <c r="K185" s="65" t="s">
        <v>37</v>
      </c>
      <c r="L185" s="65" t="s">
        <v>966</v>
      </c>
      <c r="M185" s="65" t="s">
        <v>967</v>
      </c>
      <c r="N185" s="65" t="s">
        <v>964</v>
      </c>
      <c r="O185" s="65" t="s">
        <v>968</v>
      </c>
      <c r="P185" s="65" t="s">
        <v>202</v>
      </c>
      <c r="Q185" s="65">
        <v>1</v>
      </c>
      <c r="R185" s="65" t="s">
        <v>42</v>
      </c>
      <c r="S185" s="65" t="s">
        <v>44</v>
      </c>
      <c r="T185" s="65" t="s">
        <v>44</v>
      </c>
      <c r="U185" s="65" t="s">
        <v>45</v>
      </c>
      <c r="V185" s="65" t="s">
        <v>46</v>
      </c>
      <c r="W185" s="65">
        <v>42.37</v>
      </c>
      <c r="X185" s="65" t="s">
        <v>47</v>
      </c>
      <c r="Y185" s="65" t="s">
        <v>48</v>
      </c>
      <c r="Z185" s="65" t="s">
        <v>49</v>
      </c>
      <c r="AA185" s="65"/>
      <c r="AB185" s="65"/>
    </row>
    <row r="186" spans="1:28" x14ac:dyDescent="0.3">
      <c r="A186" s="1">
        <v>46205</v>
      </c>
      <c r="B186" s="65" t="s">
        <v>1408</v>
      </c>
      <c r="C186" s="65" t="s">
        <v>29</v>
      </c>
      <c r="D186" s="65" t="s">
        <v>1409</v>
      </c>
      <c r="E186" s="65" t="s">
        <v>31</v>
      </c>
      <c r="F186" s="65" t="s">
        <v>1410</v>
      </c>
      <c r="G186" s="65" t="s">
        <v>1411</v>
      </c>
      <c r="H186" s="65" t="s">
        <v>1412</v>
      </c>
      <c r="I186" s="65" t="s">
        <v>3531</v>
      </c>
      <c r="J186" s="65" t="s">
        <v>629</v>
      </c>
      <c r="K186" s="65" t="s">
        <v>37</v>
      </c>
      <c r="L186" s="65" t="s">
        <v>1414</v>
      </c>
      <c r="M186" s="65" t="s">
        <v>1415</v>
      </c>
      <c r="N186" s="65" t="s">
        <v>1411</v>
      </c>
      <c r="O186" s="65" t="s">
        <v>1416</v>
      </c>
      <c r="P186" s="65" t="s">
        <v>159</v>
      </c>
      <c r="Q186" s="65">
        <v>1</v>
      </c>
      <c r="R186" s="65" t="s">
        <v>42</v>
      </c>
      <c r="S186" s="65" t="s">
        <v>44</v>
      </c>
      <c r="T186" s="65" t="s">
        <v>44</v>
      </c>
      <c r="U186" s="65" t="s">
        <v>45</v>
      </c>
      <c r="V186" s="65" t="s">
        <v>60</v>
      </c>
      <c r="W186" s="65">
        <v>135.59</v>
      </c>
      <c r="X186" s="65" t="s">
        <v>47</v>
      </c>
      <c r="Y186" s="65" t="s">
        <v>48</v>
      </c>
      <c r="Z186" s="65" t="s">
        <v>49</v>
      </c>
      <c r="AA186" s="65"/>
      <c r="AB186" s="65"/>
    </row>
    <row r="187" spans="1:28" x14ac:dyDescent="0.3">
      <c r="A187" s="1">
        <v>46206</v>
      </c>
      <c r="B187" s="65" t="s">
        <v>185</v>
      </c>
      <c r="C187" s="65" t="s">
        <v>29</v>
      </c>
      <c r="D187" s="65" t="s">
        <v>186</v>
      </c>
      <c r="E187" s="65" t="s">
        <v>31</v>
      </c>
      <c r="F187" s="65" t="s">
        <v>187</v>
      </c>
      <c r="G187" s="65" t="s">
        <v>188</v>
      </c>
      <c r="H187" s="65" t="s">
        <v>189</v>
      </c>
      <c r="I187" s="65" t="s">
        <v>136</v>
      </c>
      <c r="J187" s="65" t="s">
        <v>137</v>
      </c>
      <c r="K187" s="65" t="s">
        <v>37</v>
      </c>
      <c r="L187" s="65" t="s">
        <v>190</v>
      </c>
      <c r="M187" s="65" t="s">
        <v>191</v>
      </c>
      <c r="N187" s="65" t="s">
        <v>188</v>
      </c>
      <c r="O187" s="65" t="s">
        <v>192</v>
      </c>
      <c r="P187" s="65" t="s">
        <v>101</v>
      </c>
      <c r="Q187" s="65">
        <v>1</v>
      </c>
      <c r="R187" s="65" t="s">
        <v>42</v>
      </c>
      <c r="S187" s="65" t="s">
        <v>44</v>
      </c>
      <c r="T187" s="65" t="s">
        <v>44</v>
      </c>
      <c r="U187" s="65" t="s">
        <v>45</v>
      </c>
      <c r="V187" s="65" t="s">
        <v>60</v>
      </c>
      <c r="W187" s="65">
        <v>186.44</v>
      </c>
      <c r="X187" s="65" t="s">
        <v>47</v>
      </c>
      <c r="Y187" s="65" t="s">
        <v>48</v>
      </c>
      <c r="Z187" s="65" t="s">
        <v>49</v>
      </c>
      <c r="AA187" s="65">
        <v>987407712</v>
      </c>
      <c r="AB187" s="65" t="s">
        <v>141</v>
      </c>
    </row>
    <row r="188" spans="1:28" x14ac:dyDescent="0.3">
      <c r="A188" s="1">
        <v>46206</v>
      </c>
      <c r="B188" s="65" t="s">
        <v>456</v>
      </c>
      <c r="C188" s="65" t="s">
        <v>29</v>
      </c>
      <c r="D188" s="65" t="s">
        <v>457</v>
      </c>
      <c r="E188" s="65" t="s">
        <v>31</v>
      </c>
      <c r="F188" s="65" t="s">
        <v>458</v>
      </c>
      <c r="G188" s="65" t="s">
        <v>459</v>
      </c>
      <c r="H188" s="65" t="s">
        <v>460</v>
      </c>
      <c r="I188" s="65" t="s">
        <v>434</v>
      </c>
      <c r="J188" s="65" t="s">
        <v>435</v>
      </c>
      <c r="K188" s="65" t="s">
        <v>37</v>
      </c>
      <c r="L188" s="65" t="s">
        <v>461</v>
      </c>
      <c r="M188" s="65" t="s">
        <v>462</v>
      </c>
      <c r="N188" s="65" t="s">
        <v>459</v>
      </c>
      <c r="O188" s="65" t="s">
        <v>463</v>
      </c>
      <c r="P188" s="65" t="s">
        <v>101</v>
      </c>
      <c r="Q188" s="65">
        <v>1</v>
      </c>
      <c r="R188" s="65" t="s">
        <v>42</v>
      </c>
      <c r="S188" s="65" t="s">
        <v>44</v>
      </c>
      <c r="T188" s="65" t="s">
        <v>44</v>
      </c>
      <c r="U188" s="65" t="s">
        <v>71</v>
      </c>
      <c r="V188" s="65" t="s">
        <v>184</v>
      </c>
      <c r="W188" s="65">
        <v>186.44</v>
      </c>
      <c r="X188" s="65" t="s">
        <v>47</v>
      </c>
      <c r="Y188" s="65" t="s">
        <v>48</v>
      </c>
      <c r="Z188" s="65" t="s">
        <v>73</v>
      </c>
      <c r="AA188" s="65">
        <v>992903716</v>
      </c>
      <c r="AB188" s="65" t="s">
        <v>439</v>
      </c>
    </row>
    <row r="189" spans="1:28" x14ac:dyDescent="0.3">
      <c r="A189" s="1">
        <v>46206</v>
      </c>
      <c r="B189" s="65" t="s">
        <v>456</v>
      </c>
      <c r="C189" s="65" t="s">
        <v>29</v>
      </c>
      <c r="D189" s="65" t="s">
        <v>457</v>
      </c>
      <c r="E189" s="65" t="s">
        <v>31</v>
      </c>
      <c r="F189" s="65" t="s">
        <v>458</v>
      </c>
      <c r="G189" s="65" t="s">
        <v>459</v>
      </c>
      <c r="H189" s="65" t="s">
        <v>460</v>
      </c>
      <c r="I189" s="65" t="s">
        <v>434</v>
      </c>
      <c r="J189" s="65" t="s">
        <v>435</v>
      </c>
      <c r="K189" s="65" t="s">
        <v>37</v>
      </c>
      <c r="L189" s="65" t="s">
        <v>461</v>
      </c>
      <c r="M189" s="65" t="s">
        <v>462</v>
      </c>
      <c r="N189" s="65" t="s">
        <v>459</v>
      </c>
      <c r="O189" s="65" t="s">
        <v>463</v>
      </c>
      <c r="P189" s="65" t="s">
        <v>159</v>
      </c>
      <c r="Q189" s="65">
        <v>1</v>
      </c>
      <c r="R189" s="65" t="s">
        <v>42</v>
      </c>
      <c r="S189" s="65" t="s">
        <v>44</v>
      </c>
      <c r="T189" s="65" t="s">
        <v>44</v>
      </c>
      <c r="U189" s="65" t="s">
        <v>71</v>
      </c>
      <c r="V189" s="65" t="s">
        <v>184</v>
      </c>
      <c r="W189" s="65">
        <v>135.59</v>
      </c>
      <c r="X189" s="65" t="s">
        <v>47</v>
      </c>
      <c r="Y189" s="65" t="s">
        <v>48</v>
      </c>
      <c r="Z189" s="65" t="s">
        <v>73</v>
      </c>
      <c r="AA189" s="65">
        <v>992903716</v>
      </c>
      <c r="AB189" s="65" t="s">
        <v>439</v>
      </c>
    </row>
    <row r="190" spans="1:28" x14ac:dyDescent="0.3">
      <c r="A190" s="1">
        <v>46206</v>
      </c>
      <c r="B190" s="65" t="s">
        <v>456</v>
      </c>
      <c r="C190" s="65" t="s">
        <v>29</v>
      </c>
      <c r="D190" s="65" t="s">
        <v>457</v>
      </c>
      <c r="E190" s="65" t="s">
        <v>31</v>
      </c>
      <c r="F190" s="65" t="s">
        <v>458</v>
      </c>
      <c r="G190" s="65" t="s">
        <v>459</v>
      </c>
      <c r="H190" s="65" t="s">
        <v>460</v>
      </c>
      <c r="I190" s="65" t="s">
        <v>434</v>
      </c>
      <c r="J190" s="65" t="s">
        <v>435</v>
      </c>
      <c r="K190" s="65" t="s">
        <v>37</v>
      </c>
      <c r="L190" s="65" t="s">
        <v>461</v>
      </c>
      <c r="M190" s="65" t="s">
        <v>462</v>
      </c>
      <c r="N190" s="65" t="s">
        <v>459</v>
      </c>
      <c r="O190" s="65" t="s">
        <v>463</v>
      </c>
      <c r="P190" s="65" t="s">
        <v>158</v>
      </c>
      <c r="Q190" s="65">
        <v>1</v>
      </c>
      <c r="R190" s="65" t="s">
        <v>42</v>
      </c>
      <c r="S190" s="65" t="s">
        <v>44</v>
      </c>
      <c r="T190" s="65" t="s">
        <v>44</v>
      </c>
      <c r="U190" s="65" t="s">
        <v>71</v>
      </c>
      <c r="V190" s="65" t="s">
        <v>184</v>
      </c>
      <c r="W190" s="65">
        <v>152.54</v>
      </c>
      <c r="X190" s="65" t="s">
        <v>47</v>
      </c>
      <c r="Y190" s="65" t="s">
        <v>48</v>
      </c>
      <c r="Z190" s="65" t="s">
        <v>73</v>
      </c>
      <c r="AA190" s="65">
        <v>992903716</v>
      </c>
      <c r="AB190" s="65" t="s">
        <v>439</v>
      </c>
    </row>
    <row r="191" spans="1:28" x14ac:dyDescent="0.3">
      <c r="A191" s="1">
        <v>46206</v>
      </c>
      <c r="B191" s="65" t="s">
        <v>1400</v>
      </c>
      <c r="C191" s="65" t="s">
        <v>268</v>
      </c>
      <c r="D191" s="65" t="s">
        <v>1401</v>
      </c>
      <c r="E191" s="65" t="s">
        <v>31</v>
      </c>
      <c r="F191" s="65" t="s">
        <v>1402</v>
      </c>
      <c r="G191" s="65" t="s">
        <v>1403</v>
      </c>
      <c r="H191" s="65" t="s">
        <v>1404</v>
      </c>
      <c r="I191" s="65" t="s">
        <v>477</v>
      </c>
      <c r="J191" s="65" t="s">
        <v>209</v>
      </c>
      <c r="K191" s="65" t="s">
        <v>37</v>
      </c>
      <c r="L191" s="65" t="s">
        <v>1405</v>
      </c>
      <c r="M191" s="65" t="s">
        <v>1406</v>
      </c>
      <c r="N191" s="65" t="s">
        <v>486</v>
      </c>
      <c r="O191" s="65" t="s">
        <v>1407</v>
      </c>
      <c r="P191" s="65" t="s">
        <v>481</v>
      </c>
      <c r="Q191" s="65">
        <v>2</v>
      </c>
      <c r="R191" s="65" t="s">
        <v>42</v>
      </c>
      <c r="S191" s="65" t="s">
        <v>44</v>
      </c>
      <c r="T191" s="65" t="s">
        <v>44</v>
      </c>
      <c r="U191" s="65" t="s">
        <v>45</v>
      </c>
      <c r="V191" s="65" t="s">
        <v>46</v>
      </c>
      <c r="W191" s="65">
        <v>203.39</v>
      </c>
      <c r="X191" s="65" t="s">
        <v>61</v>
      </c>
      <c r="Y191" s="65" t="s">
        <v>48</v>
      </c>
      <c r="Z191" s="65" t="s">
        <v>49</v>
      </c>
      <c r="AA191" s="65">
        <v>982536223</v>
      </c>
      <c r="AB191" s="65" t="s">
        <v>482</v>
      </c>
    </row>
    <row r="192" spans="1:28" x14ac:dyDescent="0.3">
      <c r="A192" s="1">
        <v>46206</v>
      </c>
      <c r="B192" s="65" t="s">
        <v>545</v>
      </c>
      <c r="C192" s="65" t="s">
        <v>268</v>
      </c>
      <c r="D192" s="65" t="s">
        <v>546</v>
      </c>
      <c r="E192" s="65" t="s">
        <v>31</v>
      </c>
      <c r="F192" s="65" t="s">
        <v>547</v>
      </c>
      <c r="G192" s="65" t="s">
        <v>548</v>
      </c>
      <c r="H192" s="65" t="s">
        <v>549</v>
      </c>
      <c r="I192" s="65"/>
      <c r="J192" s="65"/>
      <c r="K192" s="65" t="s">
        <v>37</v>
      </c>
      <c r="L192" s="65" t="s">
        <v>550</v>
      </c>
      <c r="M192" s="65" t="s">
        <v>551</v>
      </c>
      <c r="N192" s="65" t="s">
        <v>552</v>
      </c>
      <c r="O192" s="65" t="s">
        <v>553</v>
      </c>
      <c r="P192" s="65" t="s">
        <v>288</v>
      </c>
      <c r="Q192" s="65">
        <v>1</v>
      </c>
      <c r="R192" s="65" t="s">
        <v>42</v>
      </c>
      <c r="S192" s="65" t="s">
        <v>44</v>
      </c>
      <c r="T192" s="65" t="s">
        <v>44</v>
      </c>
      <c r="U192" s="65" t="s">
        <v>45</v>
      </c>
      <c r="V192" s="65" t="s">
        <v>46</v>
      </c>
      <c r="W192" s="65">
        <v>0</v>
      </c>
      <c r="X192" s="65" t="s">
        <v>289</v>
      </c>
      <c r="Y192" s="65" t="s">
        <v>48</v>
      </c>
      <c r="Z192" s="65" t="s">
        <v>49</v>
      </c>
      <c r="AA192" s="65"/>
      <c r="AB192" s="65"/>
    </row>
    <row r="193" spans="1:28" x14ac:dyDescent="0.3">
      <c r="A193" s="1">
        <v>46206</v>
      </c>
      <c r="B193" s="65" t="s">
        <v>545</v>
      </c>
      <c r="C193" s="65" t="s">
        <v>268</v>
      </c>
      <c r="D193" s="65" t="s">
        <v>546</v>
      </c>
      <c r="E193" s="65" t="s">
        <v>31</v>
      </c>
      <c r="F193" s="65" t="s">
        <v>547</v>
      </c>
      <c r="G193" s="65" t="s">
        <v>548</v>
      </c>
      <c r="H193" s="65" t="s">
        <v>549</v>
      </c>
      <c r="I193" s="65"/>
      <c r="J193" s="65"/>
      <c r="K193" s="65" t="s">
        <v>37</v>
      </c>
      <c r="L193" s="65" t="s">
        <v>550</v>
      </c>
      <c r="M193" s="65" t="s">
        <v>551</v>
      </c>
      <c r="N193" s="65" t="s">
        <v>552</v>
      </c>
      <c r="O193" s="65" t="s">
        <v>553</v>
      </c>
      <c r="P193" s="65" t="s">
        <v>1620</v>
      </c>
      <c r="Q193" s="65">
        <v>1</v>
      </c>
      <c r="R193" s="65" t="s">
        <v>42</v>
      </c>
      <c r="S193" s="65" t="s">
        <v>44</v>
      </c>
      <c r="T193" s="65" t="s">
        <v>44</v>
      </c>
      <c r="U193" s="65" t="s">
        <v>45</v>
      </c>
      <c r="V193" s="65" t="s">
        <v>46</v>
      </c>
      <c r="W193" s="65">
        <v>847.46</v>
      </c>
      <c r="X193" s="65" t="s">
        <v>289</v>
      </c>
      <c r="Y193" s="65" t="s">
        <v>48</v>
      </c>
      <c r="Z193" s="65" t="s">
        <v>49</v>
      </c>
      <c r="AA193" s="65"/>
      <c r="AB193" s="65"/>
    </row>
    <row r="194" spans="1:28" x14ac:dyDescent="0.3">
      <c r="A194" s="1">
        <v>46206</v>
      </c>
      <c r="B194" s="65" t="s">
        <v>675</v>
      </c>
      <c r="C194" s="65" t="s">
        <v>29</v>
      </c>
      <c r="D194" s="65" t="s">
        <v>676</v>
      </c>
      <c r="E194" s="65" t="s">
        <v>31</v>
      </c>
      <c r="F194" s="65" t="s">
        <v>677</v>
      </c>
      <c r="G194" s="65" t="s">
        <v>678</v>
      </c>
      <c r="H194" s="65" t="s">
        <v>679</v>
      </c>
      <c r="I194" s="65" t="s">
        <v>662</v>
      </c>
      <c r="J194" s="65" t="s">
        <v>36</v>
      </c>
      <c r="K194" s="65" t="s">
        <v>37</v>
      </c>
      <c r="L194" s="65" t="s">
        <v>680</v>
      </c>
      <c r="M194" s="65" t="s">
        <v>681</v>
      </c>
      <c r="N194" s="65" t="s">
        <v>678</v>
      </c>
      <c r="O194" s="65" t="s">
        <v>682</v>
      </c>
      <c r="P194" s="65" t="s">
        <v>201</v>
      </c>
      <c r="Q194" s="65">
        <v>1</v>
      </c>
      <c r="R194" s="65" t="s">
        <v>42</v>
      </c>
      <c r="S194" s="65" t="s">
        <v>44</v>
      </c>
      <c r="T194" s="65" t="s">
        <v>44</v>
      </c>
      <c r="U194" s="65" t="s">
        <v>45</v>
      </c>
      <c r="V194" s="65" t="s">
        <v>46</v>
      </c>
      <c r="W194" s="65">
        <v>152.54</v>
      </c>
      <c r="X194" s="65" t="s">
        <v>47</v>
      </c>
      <c r="Y194" s="65" t="s">
        <v>48</v>
      </c>
      <c r="Z194" s="65" t="s">
        <v>49</v>
      </c>
      <c r="AA194" s="65">
        <v>997145685</v>
      </c>
      <c r="AB194" s="65" t="s">
        <v>666</v>
      </c>
    </row>
    <row r="195" spans="1:28" x14ac:dyDescent="0.3">
      <c r="A195" s="1">
        <v>46206</v>
      </c>
      <c r="B195" s="65" t="s">
        <v>699</v>
      </c>
      <c r="C195" s="65" t="s">
        <v>29</v>
      </c>
      <c r="D195" s="65" t="s">
        <v>700</v>
      </c>
      <c r="E195" s="65" t="s">
        <v>31</v>
      </c>
      <c r="F195" s="65" t="s">
        <v>701</v>
      </c>
      <c r="G195" s="65" t="s">
        <v>702</v>
      </c>
      <c r="H195" s="65" t="s">
        <v>703</v>
      </c>
      <c r="I195" s="65" t="s">
        <v>704</v>
      </c>
      <c r="J195" s="65" t="s">
        <v>705</v>
      </c>
      <c r="K195" s="65" t="s">
        <v>37</v>
      </c>
      <c r="L195" s="65" t="s">
        <v>706</v>
      </c>
      <c r="M195" s="65" t="s">
        <v>707</v>
      </c>
      <c r="N195" s="65" t="s">
        <v>702</v>
      </c>
      <c r="O195" s="65" t="s">
        <v>708</v>
      </c>
      <c r="P195" s="65" t="s">
        <v>159</v>
      </c>
      <c r="Q195" s="65">
        <v>1</v>
      </c>
      <c r="R195" s="65" t="s">
        <v>42</v>
      </c>
      <c r="S195" s="65" t="s">
        <v>44</v>
      </c>
      <c r="T195" s="65" t="s">
        <v>44</v>
      </c>
      <c r="U195" s="65" t="s">
        <v>45</v>
      </c>
      <c r="V195" s="65" t="s">
        <v>60</v>
      </c>
      <c r="W195" s="65">
        <v>135.59</v>
      </c>
      <c r="X195" s="65" t="s">
        <v>47</v>
      </c>
      <c r="Y195" s="65" t="s">
        <v>48</v>
      </c>
      <c r="Z195" s="65" t="s">
        <v>49</v>
      </c>
      <c r="AA195" s="65">
        <v>998418895</v>
      </c>
      <c r="AB195" s="65" t="s">
        <v>709</v>
      </c>
    </row>
    <row r="196" spans="1:28" x14ac:dyDescent="0.3">
      <c r="A196" s="1">
        <v>46206</v>
      </c>
      <c r="B196" s="65" t="s">
        <v>699</v>
      </c>
      <c r="C196" s="65" t="s">
        <v>29</v>
      </c>
      <c r="D196" s="65" t="s">
        <v>700</v>
      </c>
      <c r="E196" s="65" t="s">
        <v>31</v>
      </c>
      <c r="F196" s="65" t="s">
        <v>701</v>
      </c>
      <c r="G196" s="65" t="s">
        <v>702</v>
      </c>
      <c r="H196" s="65" t="s">
        <v>703</v>
      </c>
      <c r="I196" s="65" t="s">
        <v>704</v>
      </c>
      <c r="J196" s="65" t="s">
        <v>705</v>
      </c>
      <c r="K196" s="65" t="s">
        <v>37</v>
      </c>
      <c r="L196" s="65" t="s">
        <v>706</v>
      </c>
      <c r="M196" s="65" t="s">
        <v>707</v>
      </c>
      <c r="N196" s="65" t="s">
        <v>702</v>
      </c>
      <c r="O196" s="65" t="s">
        <v>708</v>
      </c>
      <c r="P196" s="65" t="s">
        <v>158</v>
      </c>
      <c r="Q196" s="65">
        <v>1</v>
      </c>
      <c r="R196" s="65" t="s">
        <v>42</v>
      </c>
      <c r="S196" s="65" t="s">
        <v>44</v>
      </c>
      <c r="T196" s="65" t="s">
        <v>44</v>
      </c>
      <c r="U196" s="65" t="s">
        <v>45</v>
      </c>
      <c r="V196" s="65" t="s">
        <v>60</v>
      </c>
      <c r="W196" s="65">
        <v>152.54</v>
      </c>
      <c r="X196" s="65" t="s">
        <v>47</v>
      </c>
      <c r="Y196" s="65" t="s">
        <v>48</v>
      </c>
      <c r="Z196" s="65" t="s">
        <v>49</v>
      </c>
      <c r="AA196" s="65">
        <v>998418895</v>
      </c>
      <c r="AB196" s="65" t="s">
        <v>709</v>
      </c>
    </row>
    <row r="197" spans="1:28" x14ac:dyDescent="0.3">
      <c r="A197" s="1">
        <v>46206</v>
      </c>
      <c r="B197" s="65" t="s">
        <v>699</v>
      </c>
      <c r="C197" s="65" t="s">
        <v>29</v>
      </c>
      <c r="D197" s="65" t="s">
        <v>700</v>
      </c>
      <c r="E197" s="65" t="s">
        <v>31</v>
      </c>
      <c r="F197" s="65" t="s">
        <v>701</v>
      </c>
      <c r="G197" s="65" t="s">
        <v>702</v>
      </c>
      <c r="H197" s="65" t="s">
        <v>703</v>
      </c>
      <c r="I197" s="65" t="s">
        <v>704</v>
      </c>
      <c r="J197" s="65" t="s">
        <v>705</v>
      </c>
      <c r="K197" s="65" t="s">
        <v>37</v>
      </c>
      <c r="L197" s="65" t="s">
        <v>706</v>
      </c>
      <c r="M197" s="65" t="s">
        <v>707</v>
      </c>
      <c r="N197" s="65" t="s">
        <v>702</v>
      </c>
      <c r="O197" s="65" t="s">
        <v>708</v>
      </c>
      <c r="P197" s="65" t="s">
        <v>101</v>
      </c>
      <c r="Q197" s="65">
        <v>1</v>
      </c>
      <c r="R197" s="65" t="s">
        <v>42</v>
      </c>
      <c r="S197" s="65" t="s">
        <v>44</v>
      </c>
      <c r="T197" s="65" t="s">
        <v>44</v>
      </c>
      <c r="U197" s="65" t="s">
        <v>45</v>
      </c>
      <c r="V197" s="65" t="s">
        <v>60</v>
      </c>
      <c r="W197" s="65">
        <v>186.44</v>
      </c>
      <c r="X197" s="65" t="s">
        <v>47</v>
      </c>
      <c r="Y197" s="65" t="s">
        <v>48</v>
      </c>
      <c r="Z197" s="65" t="s">
        <v>49</v>
      </c>
      <c r="AA197" s="65">
        <v>998418895</v>
      </c>
      <c r="AB197" s="65" t="s">
        <v>709</v>
      </c>
    </row>
    <row r="198" spans="1:28" x14ac:dyDescent="0.3">
      <c r="A198" s="1">
        <v>46206</v>
      </c>
      <c r="B198" s="65" t="s">
        <v>741</v>
      </c>
      <c r="C198" s="65" t="s">
        <v>29</v>
      </c>
      <c r="D198" s="65" t="s">
        <v>742</v>
      </c>
      <c r="E198" s="65" t="s">
        <v>31</v>
      </c>
      <c r="F198" s="65" t="s">
        <v>743</v>
      </c>
      <c r="G198" s="65" t="s">
        <v>744</v>
      </c>
      <c r="H198" s="65" t="s">
        <v>745</v>
      </c>
      <c r="I198" s="65" t="s">
        <v>715</v>
      </c>
      <c r="J198" s="65" t="s">
        <v>716</v>
      </c>
      <c r="K198" s="65" t="s">
        <v>37</v>
      </c>
      <c r="L198" s="65" t="s">
        <v>746</v>
      </c>
      <c r="M198" s="65" t="s">
        <v>747</v>
      </c>
      <c r="N198" s="65" t="s">
        <v>744</v>
      </c>
      <c r="O198" s="65" t="s">
        <v>748</v>
      </c>
      <c r="P198" s="65" t="s">
        <v>41</v>
      </c>
      <c r="Q198" s="65">
        <v>1</v>
      </c>
      <c r="R198" s="65" t="s">
        <v>70</v>
      </c>
      <c r="S198" s="65" t="s">
        <v>43</v>
      </c>
      <c r="T198" s="65" t="s">
        <v>44</v>
      </c>
      <c r="U198" s="65" t="s">
        <v>71</v>
      </c>
      <c r="V198" s="65" t="s">
        <v>72</v>
      </c>
      <c r="W198" s="65">
        <v>186.44</v>
      </c>
      <c r="X198" s="65" t="s">
        <v>47</v>
      </c>
      <c r="Y198" s="65" t="s">
        <v>48</v>
      </c>
      <c r="Z198" s="65" t="s">
        <v>73</v>
      </c>
      <c r="AA198" s="65">
        <v>955356636</v>
      </c>
      <c r="AB198" s="65" t="s">
        <v>720</v>
      </c>
    </row>
    <row r="199" spans="1:28" x14ac:dyDescent="0.3">
      <c r="A199" s="1">
        <v>46206</v>
      </c>
      <c r="B199" s="65" t="s">
        <v>749</v>
      </c>
      <c r="C199" s="65" t="s">
        <v>29</v>
      </c>
      <c r="D199" s="65" t="s">
        <v>750</v>
      </c>
      <c r="E199" s="65" t="s">
        <v>31</v>
      </c>
      <c r="F199" s="65" t="s">
        <v>751</v>
      </c>
      <c r="G199" s="65" t="s">
        <v>752</v>
      </c>
      <c r="H199" s="65" t="s">
        <v>753</v>
      </c>
      <c r="I199" s="65" t="s">
        <v>715</v>
      </c>
      <c r="J199" s="65" t="s">
        <v>716</v>
      </c>
      <c r="K199" s="65" t="s">
        <v>37</v>
      </c>
      <c r="L199" s="65" t="s">
        <v>754</v>
      </c>
      <c r="M199" s="65" t="s">
        <v>755</v>
      </c>
      <c r="N199" s="65" t="s">
        <v>752</v>
      </c>
      <c r="O199" s="65" t="s">
        <v>756</v>
      </c>
      <c r="P199" s="65" t="s">
        <v>41</v>
      </c>
      <c r="Q199" s="65">
        <v>1</v>
      </c>
      <c r="R199" s="65" t="s">
        <v>70</v>
      </c>
      <c r="S199" s="65" t="s">
        <v>43</v>
      </c>
      <c r="T199" s="65" t="s">
        <v>44</v>
      </c>
      <c r="U199" s="65" t="s">
        <v>71</v>
      </c>
      <c r="V199" s="65" t="s">
        <v>72</v>
      </c>
      <c r="W199" s="65">
        <v>186.44</v>
      </c>
      <c r="X199" s="65" t="s">
        <v>47</v>
      </c>
      <c r="Y199" s="65" t="s">
        <v>48</v>
      </c>
      <c r="Z199" s="65" t="s">
        <v>73</v>
      </c>
      <c r="AA199" s="65">
        <v>955356636</v>
      </c>
      <c r="AB199" s="65" t="s">
        <v>720</v>
      </c>
    </row>
    <row r="200" spans="1:28" x14ac:dyDescent="0.3">
      <c r="A200" s="1">
        <v>46206</v>
      </c>
      <c r="B200" s="65" t="s">
        <v>749</v>
      </c>
      <c r="C200" s="65" t="s">
        <v>29</v>
      </c>
      <c r="D200" s="65" t="s">
        <v>750</v>
      </c>
      <c r="E200" s="65" t="s">
        <v>31</v>
      </c>
      <c r="F200" s="65" t="s">
        <v>751</v>
      </c>
      <c r="G200" s="65" t="s">
        <v>752</v>
      </c>
      <c r="H200" s="65" t="s">
        <v>753</v>
      </c>
      <c r="I200" s="65" t="s">
        <v>715</v>
      </c>
      <c r="J200" s="65" t="s">
        <v>716</v>
      </c>
      <c r="K200" s="65" t="s">
        <v>37</v>
      </c>
      <c r="L200" s="65" t="s">
        <v>754</v>
      </c>
      <c r="M200" s="65" t="s">
        <v>755</v>
      </c>
      <c r="N200" s="65" t="s">
        <v>752</v>
      </c>
      <c r="O200" s="65" t="s">
        <v>756</v>
      </c>
      <c r="P200" s="65" t="s">
        <v>101</v>
      </c>
      <c r="Q200" s="65">
        <v>1</v>
      </c>
      <c r="R200" s="65" t="s">
        <v>70</v>
      </c>
      <c r="S200" s="65" t="s">
        <v>43</v>
      </c>
      <c r="T200" s="65" t="s">
        <v>44</v>
      </c>
      <c r="U200" s="65" t="s">
        <v>71</v>
      </c>
      <c r="V200" s="65" t="s">
        <v>72</v>
      </c>
      <c r="W200" s="65">
        <v>186.44</v>
      </c>
      <c r="X200" s="65" t="s">
        <v>47</v>
      </c>
      <c r="Y200" s="65" t="s">
        <v>48</v>
      </c>
      <c r="Z200" s="65" t="s">
        <v>73</v>
      </c>
      <c r="AA200" s="65">
        <v>955356636</v>
      </c>
      <c r="AB200" s="65" t="s">
        <v>720</v>
      </c>
    </row>
    <row r="201" spans="1:28" x14ac:dyDescent="0.3">
      <c r="A201" s="1">
        <v>46206</v>
      </c>
      <c r="B201" s="65" t="s">
        <v>969</v>
      </c>
      <c r="C201" s="65" t="s">
        <v>268</v>
      </c>
      <c r="D201" s="65" t="s">
        <v>970</v>
      </c>
      <c r="E201" s="65" t="s">
        <v>31</v>
      </c>
      <c r="F201" s="65" t="s">
        <v>971</v>
      </c>
      <c r="G201" s="65" t="s">
        <v>964</v>
      </c>
      <c r="H201" s="65" t="s">
        <v>965</v>
      </c>
      <c r="I201" s="65" t="s">
        <v>774</v>
      </c>
      <c r="J201" s="65" t="s">
        <v>775</v>
      </c>
      <c r="K201" s="65" t="s">
        <v>37</v>
      </c>
      <c r="L201" s="65" t="s">
        <v>966</v>
      </c>
      <c r="M201" s="65" t="s">
        <v>967</v>
      </c>
      <c r="N201" s="65" t="s">
        <v>798</v>
      </c>
      <c r="O201" s="65" t="s">
        <v>972</v>
      </c>
      <c r="P201" s="65" t="s">
        <v>288</v>
      </c>
      <c r="Q201" s="65">
        <v>1</v>
      </c>
      <c r="R201" s="65" t="s">
        <v>42</v>
      </c>
      <c r="S201" s="65" t="s">
        <v>44</v>
      </c>
      <c r="T201" s="65" t="s">
        <v>44</v>
      </c>
      <c r="U201" s="65" t="s">
        <v>45</v>
      </c>
      <c r="V201" s="65" t="s">
        <v>46</v>
      </c>
      <c r="W201" s="65">
        <v>0</v>
      </c>
      <c r="X201" s="65" t="s">
        <v>289</v>
      </c>
      <c r="Y201" s="65" t="s">
        <v>48</v>
      </c>
      <c r="Z201" s="65" t="s">
        <v>49</v>
      </c>
      <c r="AA201" s="65"/>
      <c r="AB201" s="65"/>
    </row>
    <row r="202" spans="1:28" x14ac:dyDescent="0.3">
      <c r="A202" s="1">
        <v>46206</v>
      </c>
      <c r="B202" s="65" t="s">
        <v>969</v>
      </c>
      <c r="C202" s="65" t="s">
        <v>268</v>
      </c>
      <c r="D202" s="65" t="s">
        <v>970</v>
      </c>
      <c r="E202" s="65" t="s">
        <v>31</v>
      </c>
      <c r="F202" s="65" t="s">
        <v>971</v>
      </c>
      <c r="G202" s="65" t="s">
        <v>964</v>
      </c>
      <c r="H202" s="65" t="s">
        <v>965</v>
      </c>
      <c r="I202" s="65" t="s">
        <v>774</v>
      </c>
      <c r="J202" s="65" t="s">
        <v>775</v>
      </c>
      <c r="K202" s="65" t="s">
        <v>37</v>
      </c>
      <c r="L202" s="65" t="s">
        <v>966</v>
      </c>
      <c r="M202" s="65" t="s">
        <v>967</v>
      </c>
      <c r="N202" s="65" t="s">
        <v>798</v>
      </c>
      <c r="O202" s="65" t="s">
        <v>972</v>
      </c>
      <c r="P202" s="65" t="s">
        <v>1620</v>
      </c>
      <c r="Q202" s="65">
        <v>1</v>
      </c>
      <c r="R202" s="65" t="s">
        <v>42</v>
      </c>
      <c r="S202" s="65" t="s">
        <v>44</v>
      </c>
      <c r="T202" s="65" t="s">
        <v>44</v>
      </c>
      <c r="U202" s="65" t="s">
        <v>45</v>
      </c>
      <c r="V202" s="65" t="s">
        <v>46</v>
      </c>
      <c r="W202" s="65">
        <v>1483.05</v>
      </c>
      <c r="X202" s="65" t="s">
        <v>289</v>
      </c>
      <c r="Y202" s="65" t="s">
        <v>48</v>
      </c>
      <c r="Z202" s="65" t="s">
        <v>49</v>
      </c>
      <c r="AA202" s="65"/>
      <c r="AB202" s="65"/>
    </row>
    <row r="203" spans="1:28" x14ac:dyDescent="0.3">
      <c r="A203" s="1">
        <v>46206</v>
      </c>
      <c r="B203" s="65" t="s">
        <v>1262</v>
      </c>
      <c r="C203" s="65" t="s">
        <v>29</v>
      </c>
      <c r="D203" s="65" t="s">
        <v>1263</v>
      </c>
      <c r="E203" s="65" t="s">
        <v>31</v>
      </c>
      <c r="F203" s="65" t="s">
        <v>1264</v>
      </c>
      <c r="G203" s="65" t="s">
        <v>1265</v>
      </c>
      <c r="H203" s="65" t="s">
        <v>1266</v>
      </c>
      <c r="I203" s="65" t="s">
        <v>2795</v>
      </c>
      <c r="J203" s="65" t="s">
        <v>209</v>
      </c>
      <c r="K203" s="65" t="s">
        <v>37</v>
      </c>
      <c r="L203" s="65" t="s">
        <v>1267</v>
      </c>
      <c r="M203" s="65" t="s">
        <v>608</v>
      </c>
      <c r="N203" s="65" t="s">
        <v>1265</v>
      </c>
      <c r="O203" s="65" t="s">
        <v>1268</v>
      </c>
      <c r="P203" s="65" t="s">
        <v>288</v>
      </c>
      <c r="Q203" s="65">
        <v>1</v>
      </c>
      <c r="R203" s="65" t="s">
        <v>42</v>
      </c>
      <c r="S203" s="65" t="s">
        <v>44</v>
      </c>
      <c r="T203" s="65" t="s">
        <v>44</v>
      </c>
      <c r="U203" s="65" t="s">
        <v>45</v>
      </c>
      <c r="V203" s="65" t="s">
        <v>46</v>
      </c>
      <c r="W203" s="65">
        <v>0</v>
      </c>
      <c r="X203" s="65" t="s">
        <v>289</v>
      </c>
      <c r="Y203" s="65" t="s">
        <v>48</v>
      </c>
      <c r="Z203" s="65" t="s">
        <v>49</v>
      </c>
      <c r="AA203" s="65">
        <v>994872106</v>
      </c>
      <c r="AB203" s="65" t="s">
        <v>1253</v>
      </c>
    </row>
    <row r="204" spans="1:28" x14ac:dyDescent="0.3">
      <c r="A204" s="1">
        <v>46206</v>
      </c>
      <c r="B204" s="65" t="s">
        <v>1262</v>
      </c>
      <c r="C204" s="65" t="s">
        <v>29</v>
      </c>
      <c r="D204" s="65" t="s">
        <v>1263</v>
      </c>
      <c r="E204" s="65" t="s">
        <v>31</v>
      </c>
      <c r="F204" s="65" t="s">
        <v>1264</v>
      </c>
      <c r="G204" s="65" t="s">
        <v>1265</v>
      </c>
      <c r="H204" s="65" t="s">
        <v>1266</v>
      </c>
      <c r="I204" s="65" t="s">
        <v>2795</v>
      </c>
      <c r="J204" s="65" t="s">
        <v>209</v>
      </c>
      <c r="K204" s="65" t="s">
        <v>37</v>
      </c>
      <c r="L204" s="65" t="s">
        <v>1267</v>
      </c>
      <c r="M204" s="65" t="s">
        <v>608</v>
      </c>
      <c r="N204" s="65" t="s">
        <v>1265</v>
      </c>
      <c r="O204" s="65" t="s">
        <v>1268</v>
      </c>
      <c r="P204" s="65" t="s">
        <v>1620</v>
      </c>
      <c r="Q204" s="65">
        <v>1</v>
      </c>
      <c r="R204" s="65" t="s">
        <v>42</v>
      </c>
      <c r="S204" s="65" t="s">
        <v>44</v>
      </c>
      <c r="T204" s="65" t="s">
        <v>44</v>
      </c>
      <c r="U204" s="65" t="s">
        <v>45</v>
      </c>
      <c r="V204" s="65" t="s">
        <v>46</v>
      </c>
      <c r="W204" s="65">
        <v>139.83000000000001</v>
      </c>
      <c r="X204" s="65" t="s">
        <v>289</v>
      </c>
      <c r="Y204" s="65" t="s">
        <v>48</v>
      </c>
      <c r="Z204" s="65" t="s">
        <v>49</v>
      </c>
      <c r="AA204" s="65">
        <v>994872106</v>
      </c>
      <c r="AB204" s="65" t="s">
        <v>1253</v>
      </c>
    </row>
    <row r="205" spans="1:28" x14ac:dyDescent="0.3">
      <c r="A205" s="1">
        <v>46207</v>
      </c>
      <c r="B205" s="65" t="s">
        <v>1428</v>
      </c>
      <c r="C205" s="65" t="s">
        <v>29</v>
      </c>
      <c r="D205" s="65" t="s">
        <v>1429</v>
      </c>
      <c r="E205" s="65" t="s">
        <v>31</v>
      </c>
      <c r="F205" s="65" t="s">
        <v>1430</v>
      </c>
      <c r="G205" s="65" t="s">
        <v>1431</v>
      </c>
      <c r="H205" s="65" t="s">
        <v>1432</v>
      </c>
      <c r="I205" s="65" t="s">
        <v>3047</v>
      </c>
      <c r="J205" s="65" t="s">
        <v>209</v>
      </c>
      <c r="K205" s="65" t="s">
        <v>37</v>
      </c>
      <c r="L205" s="65" t="s">
        <v>1434</v>
      </c>
      <c r="M205" s="65" t="s">
        <v>1435</v>
      </c>
      <c r="N205" s="65" t="s">
        <v>1431</v>
      </c>
      <c r="O205" s="65" t="s">
        <v>1436</v>
      </c>
      <c r="P205" s="65" t="s">
        <v>41</v>
      </c>
      <c r="Q205" s="65">
        <v>1</v>
      </c>
      <c r="R205" s="65" t="s">
        <v>42</v>
      </c>
      <c r="S205" s="65" t="s">
        <v>44</v>
      </c>
      <c r="T205" s="65" t="s">
        <v>44</v>
      </c>
      <c r="U205" s="65" t="s">
        <v>45</v>
      </c>
      <c r="V205" s="65" t="s">
        <v>60</v>
      </c>
      <c r="W205" s="65">
        <v>186.44</v>
      </c>
      <c r="X205" s="65" t="s">
        <v>47</v>
      </c>
      <c r="Y205" s="65" t="s">
        <v>48</v>
      </c>
      <c r="Z205" s="65" t="s">
        <v>49</v>
      </c>
      <c r="AA205" s="65">
        <v>948878123</v>
      </c>
      <c r="AB205" s="65" t="s">
        <v>3048</v>
      </c>
    </row>
    <row r="206" spans="1:28" x14ac:dyDescent="0.3">
      <c r="A206" s="1">
        <v>46207</v>
      </c>
      <c r="B206" s="65" t="s">
        <v>1428</v>
      </c>
      <c r="C206" s="65" t="s">
        <v>29</v>
      </c>
      <c r="D206" s="65" t="s">
        <v>1429</v>
      </c>
      <c r="E206" s="65" t="s">
        <v>31</v>
      </c>
      <c r="F206" s="65" t="s">
        <v>1430</v>
      </c>
      <c r="G206" s="65" t="s">
        <v>1431</v>
      </c>
      <c r="H206" s="65" t="s">
        <v>1432</v>
      </c>
      <c r="I206" s="65" t="s">
        <v>3047</v>
      </c>
      <c r="J206" s="65" t="s">
        <v>209</v>
      </c>
      <c r="K206" s="65" t="s">
        <v>37</v>
      </c>
      <c r="L206" s="65" t="s">
        <v>1434</v>
      </c>
      <c r="M206" s="65" t="s">
        <v>1435</v>
      </c>
      <c r="N206" s="65" t="s">
        <v>1431</v>
      </c>
      <c r="O206" s="65" t="s">
        <v>1436</v>
      </c>
      <c r="P206" s="65" t="s">
        <v>101</v>
      </c>
      <c r="Q206" s="65">
        <v>1</v>
      </c>
      <c r="R206" s="65" t="s">
        <v>42</v>
      </c>
      <c r="S206" s="65" t="s">
        <v>44</v>
      </c>
      <c r="T206" s="65" t="s">
        <v>44</v>
      </c>
      <c r="U206" s="65" t="s">
        <v>45</v>
      </c>
      <c r="V206" s="65" t="s">
        <v>60</v>
      </c>
      <c r="W206" s="65">
        <v>186.44</v>
      </c>
      <c r="X206" s="65" t="s">
        <v>47</v>
      </c>
      <c r="Y206" s="65" t="s">
        <v>48</v>
      </c>
      <c r="Z206" s="65" t="s">
        <v>49</v>
      </c>
      <c r="AA206" s="65">
        <v>948878123</v>
      </c>
      <c r="AB206" s="65" t="s">
        <v>3048</v>
      </c>
    </row>
    <row r="207" spans="1:28" x14ac:dyDescent="0.3">
      <c r="A207" s="1">
        <v>46207</v>
      </c>
      <c r="B207" s="65" t="s">
        <v>1428</v>
      </c>
      <c r="C207" s="65" t="s">
        <v>29</v>
      </c>
      <c r="D207" s="65" t="s">
        <v>1429</v>
      </c>
      <c r="E207" s="65" t="s">
        <v>31</v>
      </c>
      <c r="F207" s="65" t="s">
        <v>1430</v>
      </c>
      <c r="G207" s="65" t="s">
        <v>1431</v>
      </c>
      <c r="H207" s="65" t="s">
        <v>1432</v>
      </c>
      <c r="I207" s="65" t="s">
        <v>3047</v>
      </c>
      <c r="J207" s="65" t="s">
        <v>209</v>
      </c>
      <c r="K207" s="65" t="s">
        <v>37</v>
      </c>
      <c r="L207" s="65" t="s">
        <v>1434</v>
      </c>
      <c r="M207" s="65" t="s">
        <v>1435</v>
      </c>
      <c r="N207" s="65" t="s">
        <v>1431</v>
      </c>
      <c r="O207" s="65" t="s">
        <v>1436</v>
      </c>
      <c r="P207" s="65" t="s">
        <v>159</v>
      </c>
      <c r="Q207" s="65">
        <v>1</v>
      </c>
      <c r="R207" s="65" t="s">
        <v>42</v>
      </c>
      <c r="S207" s="65" t="s">
        <v>44</v>
      </c>
      <c r="T207" s="65" t="s">
        <v>44</v>
      </c>
      <c r="U207" s="65" t="s">
        <v>45</v>
      </c>
      <c r="V207" s="65" t="s">
        <v>60</v>
      </c>
      <c r="W207" s="65">
        <v>135.59</v>
      </c>
      <c r="X207" s="65" t="s">
        <v>47</v>
      </c>
      <c r="Y207" s="65" t="s">
        <v>48</v>
      </c>
      <c r="Z207" s="65" t="s">
        <v>49</v>
      </c>
      <c r="AA207" s="65">
        <v>948878123</v>
      </c>
      <c r="AB207" s="65" t="s">
        <v>3048</v>
      </c>
    </row>
    <row r="208" spans="1:28" x14ac:dyDescent="0.3">
      <c r="A208" s="1">
        <v>46209</v>
      </c>
      <c r="B208" s="65" t="s">
        <v>1306</v>
      </c>
      <c r="C208" s="65" t="s">
        <v>268</v>
      </c>
      <c r="D208" s="65" t="s">
        <v>1307</v>
      </c>
      <c r="E208" s="65" t="s">
        <v>31</v>
      </c>
      <c r="F208" s="65" t="s">
        <v>1308</v>
      </c>
      <c r="G208" s="65" t="s">
        <v>1309</v>
      </c>
      <c r="H208" s="65" t="s">
        <v>1310</v>
      </c>
      <c r="I208" s="65" t="s">
        <v>1311</v>
      </c>
      <c r="J208" s="65" t="s">
        <v>36</v>
      </c>
      <c r="K208" s="65" t="s">
        <v>37</v>
      </c>
      <c r="L208" s="65" t="s">
        <v>1312</v>
      </c>
      <c r="M208" s="65" t="s">
        <v>1313</v>
      </c>
      <c r="N208" s="65" t="s">
        <v>1314</v>
      </c>
      <c r="O208" s="65" t="s">
        <v>1315</v>
      </c>
      <c r="P208" s="65" t="s">
        <v>59</v>
      </c>
      <c r="Q208" s="65">
        <v>1</v>
      </c>
      <c r="R208" s="65" t="s">
        <v>42</v>
      </c>
      <c r="S208" s="65" t="s">
        <v>44</v>
      </c>
      <c r="T208" s="65" t="s">
        <v>44</v>
      </c>
      <c r="U208" s="65" t="s">
        <v>45</v>
      </c>
      <c r="V208" s="65" t="s">
        <v>46</v>
      </c>
      <c r="W208" s="65">
        <v>101.69</v>
      </c>
      <c r="X208" s="65" t="s">
        <v>61</v>
      </c>
      <c r="Y208" s="65" t="s">
        <v>48</v>
      </c>
      <c r="Z208" s="65" t="s">
        <v>49</v>
      </c>
      <c r="AA208" s="65">
        <v>993496032</v>
      </c>
      <c r="AB208" s="65" t="s">
        <v>1316</v>
      </c>
    </row>
    <row r="209" spans="1:28" x14ac:dyDescent="0.3">
      <c r="A209" s="1">
        <v>46209</v>
      </c>
      <c r="B209" s="65" t="s">
        <v>1417</v>
      </c>
      <c r="C209" s="65" t="s">
        <v>268</v>
      </c>
      <c r="D209" s="65" t="s">
        <v>1418</v>
      </c>
      <c r="E209" s="65" t="s">
        <v>31</v>
      </c>
      <c r="F209" s="65" t="s">
        <v>1419</v>
      </c>
      <c r="G209" s="65" t="s">
        <v>1420</v>
      </c>
      <c r="H209" s="65" t="s">
        <v>1421</v>
      </c>
      <c r="I209" s="65" t="s">
        <v>1422</v>
      </c>
      <c r="J209" s="65" t="s">
        <v>1423</v>
      </c>
      <c r="K209" s="65" t="s">
        <v>37</v>
      </c>
      <c r="L209" s="65" t="s">
        <v>1424</v>
      </c>
      <c r="M209" s="65" t="s">
        <v>1425</v>
      </c>
      <c r="N209" s="65" t="s">
        <v>1426</v>
      </c>
      <c r="O209" s="65" t="s">
        <v>1427</v>
      </c>
      <c r="P209" s="65" t="s">
        <v>41</v>
      </c>
      <c r="Q209" s="65">
        <v>1</v>
      </c>
      <c r="R209" s="65" t="s">
        <v>42</v>
      </c>
      <c r="S209" s="65" t="s">
        <v>44</v>
      </c>
      <c r="T209" s="65" t="s">
        <v>44</v>
      </c>
      <c r="U209" s="65" t="s">
        <v>45</v>
      </c>
      <c r="V209" s="65" t="s">
        <v>60</v>
      </c>
      <c r="W209" s="65">
        <v>186.44</v>
      </c>
      <c r="X209" s="65" t="s">
        <v>47</v>
      </c>
      <c r="Y209" s="65" t="s">
        <v>48</v>
      </c>
      <c r="Z209" s="65" t="s">
        <v>49</v>
      </c>
      <c r="AA209" s="65"/>
      <c r="AB209" s="65"/>
    </row>
    <row r="210" spans="1:28" x14ac:dyDescent="0.3">
      <c r="A210" s="1">
        <v>46209</v>
      </c>
      <c r="B210" s="65" t="s">
        <v>1417</v>
      </c>
      <c r="C210" s="65" t="s">
        <v>268</v>
      </c>
      <c r="D210" s="65" t="s">
        <v>1418</v>
      </c>
      <c r="E210" s="65" t="s">
        <v>31</v>
      </c>
      <c r="F210" s="65" t="s">
        <v>1419</v>
      </c>
      <c r="G210" s="65" t="s">
        <v>1420</v>
      </c>
      <c r="H210" s="65" t="s">
        <v>1421</v>
      </c>
      <c r="I210" s="65" t="s">
        <v>1422</v>
      </c>
      <c r="J210" s="65" t="s">
        <v>1423</v>
      </c>
      <c r="K210" s="65" t="s">
        <v>37</v>
      </c>
      <c r="L210" s="65" t="s">
        <v>1424</v>
      </c>
      <c r="M210" s="65" t="s">
        <v>1425</v>
      </c>
      <c r="N210" s="65" t="s">
        <v>1426</v>
      </c>
      <c r="O210" s="65" t="s">
        <v>1427</v>
      </c>
      <c r="P210" s="65" t="s">
        <v>101</v>
      </c>
      <c r="Q210" s="65">
        <v>1</v>
      </c>
      <c r="R210" s="65" t="s">
        <v>42</v>
      </c>
      <c r="S210" s="65" t="s">
        <v>44</v>
      </c>
      <c r="T210" s="65" t="s">
        <v>44</v>
      </c>
      <c r="U210" s="65" t="s">
        <v>45</v>
      </c>
      <c r="V210" s="65" t="s">
        <v>60</v>
      </c>
      <c r="W210" s="65">
        <v>186.44</v>
      </c>
      <c r="X210" s="65" t="s">
        <v>47</v>
      </c>
      <c r="Y210" s="65" t="s">
        <v>48</v>
      </c>
      <c r="Z210" s="65" t="s">
        <v>49</v>
      </c>
      <c r="AA210" s="65"/>
      <c r="AB210" s="65"/>
    </row>
    <row r="211" spans="1:28" x14ac:dyDescent="0.3">
      <c r="A211" s="1">
        <v>46209</v>
      </c>
      <c r="B211" s="65" t="s">
        <v>1417</v>
      </c>
      <c r="C211" s="65" t="s">
        <v>268</v>
      </c>
      <c r="D211" s="65" t="s">
        <v>1418</v>
      </c>
      <c r="E211" s="65" t="s">
        <v>31</v>
      </c>
      <c r="F211" s="65" t="s">
        <v>1419</v>
      </c>
      <c r="G211" s="65" t="s">
        <v>1420</v>
      </c>
      <c r="H211" s="65" t="s">
        <v>1421</v>
      </c>
      <c r="I211" s="65" t="s">
        <v>1422</v>
      </c>
      <c r="J211" s="65" t="s">
        <v>1423</v>
      </c>
      <c r="K211" s="65" t="s">
        <v>37</v>
      </c>
      <c r="L211" s="65" t="s">
        <v>1424</v>
      </c>
      <c r="M211" s="65" t="s">
        <v>1425</v>
      </c>
      <c r="N211" s="65" t="s">
        <v>1426</v>
      </c>
      <c r="O211" s="65" t="s">
        <v>1427</v>
      </c>
      <c r="P211" s="65" t="s">
        <v>159</v>
      </c>
      <c r="Q211" s="65">
        <v>1</v>
      </c>
      <c r="R211" s="65" t="s">
        <v>42</v>
      </c>
      <c r="S211" s="65" t="s">
        <v>44</v>
      </c>
      <c r="T211" s="65" t="s">
        <v>44</v>
      </c>
      <c r="U211" s="65" t="s">
        <v>45</v>
      </c>
      <c r="V211" s="65" t="s">
        <v>60</v>
      </c>
      <c r="W211" s="65">
        <v>135.59</v>
      </c>
      <c r="X211" s="65" t="s">
        <v>47</v>
      </c>
      <c r="Y211" s="65" t="s">
        <v>48</v>
      </c>
      <c r="Z211" s="65" t="s">
        <v>49</v>
      </c>
      <c r="AA211" s="65"/>
      <c r="AB211" s="65"/>
    </row>
    <row r="212" spans="1:28" x14ac:dyDescent="0.3">
      <c r="A212" s="1">
        <v>46209</v>
      </c>
      <c r="B212" s="65" t="s">
        <v>1417</v>
      </c>
      <c r="C212" s="65" t="s">
        <v>268</v>
      </c>
      <c r="D212" s="65" t="s">
        <v>1418</v>
      </c>
      <c r="E212" s="65" t="s">
        <v>31</v>
      </c>
      <c r="F212" s="65" t="s">
        <v>1419</v>
      </c>
      <c r="G212" s="65" t="s">
        <v>1420</v>
      </c>
      <c r="H212" s="65" t="s">
        <v>1421</v>
      </c>
      <c r="I212" s="65" t="s">
        <v>1422</v>
      </c>
      <c r="J212" s="65" t="s">
        <v>1423</v>
      </c>
      <c r="K212" s="65" t="s">
        <v>37</v>
      </c>
      <c r="L212" s="65" t="s">
        <v>1424</v>
      </c>
      <c r="M212" s="65" t="s">
        <v>1425</v>
      </c>
      <c r="N212" s="65" t="s">
        <v>1426</v>
      </c>
      <c r="O212" s="65" t="s">
        <v>1427</v>
      </c>
      <c r="P212" s="65" t="s">
        <v>202</v>
      </c>
      <c r="Q212" s="65">
        <v>1</v>
      </c>
      <c r="R212" s="65" t="s">
        <v>42</v>
      </c>
      <c r="S212" s="65" t="s">
        <v>44</v>
      </c>
      <c r="T212" s="65" t="s">
        <v>44</v>
      </c>
      <c r="U212" s="65" t="s">
        <v>45</v>
      </c>
      <c r="V212" s="65" t="s">
        <v>60</v>
      </c>
      <c r="W212" s="65">
        <v>135.59</v>
      </c>
      <c r="X212" s="65" t="s">
        <v>47</v>
      </c>
      <c r="Y212" s="65" t="s">
        <v>48</v>
      </c>
      <c r="Z212" s="65" t="s">
        <v>49</v>
      </c>
      <c r="AA212" s="65"/>
      <c r="AB212" s="65"/>
    </row>
    <row r="213" spans="1:28" x14ac:dyDescent="0.3">
      <c r="A213" s="1">
        <v>46209</v>
      </c>
      <c r="B213" s="65" t="s">
        <v>1417</v>
      </c>
      <c r="C213" s="65" t="s">
        <v>268</v>
      </c>
      <c r="D213" s="65" t="s">
        <v>1418</v>
      </c>
      <c r="E213" s="65" t="s">
        <v>31</v>
      </c>
      <c r="F213" s="65" t="s">
        <v>1419</v>
      </c>
      <c r="G213" s="65" t="s">
        <v>1420</v>
      </c>
      <c r="H213" s="65" t="s">
        <v>1421</v>
      </c>
      <c r="I213" s="65" t="s">
        <v>1422</v>
      </c>
      <c r="J213" s="65" t="s">
        <v>1423</v>
      </c>
      <c r="K213" s="65" t="s">
        <v>37</v>
      </c>
      <c r="L213" s="65" t="s">
        <v>1424</v>
      </c>
      <c r="M213" s="65" t="s">
        <v>1425</v>
      </c>
      <c r="N213" s="65" t="s">
        <v>1426</v>
      </c>
      <c r="O213" s="65" t="s">
        <v>1427</v>
      </c>
      <c r="P213" s="65" t="s">
        <v>201</v>
      </c>
      <c r="Q213" s="65">
        <v>1</v>
      </c>
      <c r="R213" s="65" t="s">
        <v>42</v>
      </c>
      <c r="S213" s="65" t="s">
        <v>44</v>
      </c>
      <c r="T213" s="65" t="s">
        <v>44</v>
      </c>
      <c r="U213" s="65" t="s">
        <v>45</v>
      </c>
      <c r="V213" s="65" t="s">
        <v>60</v>
      </c>
      <c r="W213" s="65">
        <v>152.54</v>
      </c>
      <c r="X213" s="65" t="s">
        <v>47</v>
      </c>
      <c r="Y213" s="65" t="s">
        <v>48</v>
      </c>
      <c r="Z213" s="65" t="s">
        <v>49</v>
      </c>
      <c r="AA213" s="65"/>
      <c r="AB213" s="65"/>
    </row>
    <row r="214" spans="1:28" x14ac:dyDescent="0.3">
      <c r="A214" s="1">
        <v>46210</v>
      </c>
      <c r="B214" s="65" t="s">
        <v>62</v>
      </c>
      <c r="C214" s="65" t="s">
        <v>29</v>
      </c>
      <c r="D214" s="65" t="s">
        <v>63</v>
      </c>
      <c r="E214" s="65" t="s">
        <v>31</v>
      </c>
      <c r="F214" s="65" t="s">
        <v>64</v>
      </c>
      <c r="G214" s="65" t="s">
        <v>65</v>
      </c>
      <c r="H214" s="65" t="s">
        <v>66</v>
      </c>
      <c r="I214" s="65" t="s">
        <v>35</v>
      </c>
      <c r="J214" s="65" t="s">
        <v>36</v>
      </c>
      <c r="K214" s="65" t="s">
        <v>37</v>
      </c>
      <c r="L214" s="65" t="s">
        <v>67</v>
      </c>
      <c r="M214" s="65" t="s">
        <v>68</v>
      </c>
      <c r="N214" s="65" t="s">
        <v>65</v>
      </c>
      <c r="O214" s="65" t="s">
        <v>69</v>
      </c>
      <c r="P214" s="65" t="s">
        <v>41</v>
      </c>
      <c r="Q214" s="65">
        <v>1</v>
      </c>
      <c r="R214" s="65" t="s">
        <v>70</v>
      </c>
      <c r="S214" s="65" t="s">
        <v>43</v>
      </c>
      <c r="T214" s="65" t="s">
        <v>44</v>
      </c>
      <c r="U214" s="65" t="s">
        <v>71</v>
      </c>
      <c r="V214" s="65" t="s">
        <v>72</v>
      </c>
      <c r="W214" s="65">
        <v>186.44</v>
      </c>
      <c r="X214" s="65" t="s">
        <v>47</v>
      </c>
      <c r="Y214" s="65" t="s">
        <v>48</v>
      </c>
      <c r="Z214" s="65" t="s">
        <v>73</v>
      </c>
      <c r="AA214" s="65">
        <v>999996347</v>
      </c>
      <c r="AB214" s="65" t="s">
        <v>50</v>
      </c>
    </row>
    <row r="215" spans="1:28" x14ac:dyDescent="0.3">
      <c r="A215" s="1">
        <v>46210</v>
      </c>
      <c r="B215" s="65" t="s">
        <v>74</v>
      </c>
      <c r="C215" s="65" t="s">
        <v>29</v>
      </c>
      <c r="D215" s="65" t="s">
        <v>75</v>
      </c>
      <c r="E215" s="65" t="s">
        <v>31</v>
      </c>
      <c r="F215" s="65" t="s">
        <v>76</v>
      </c>
      <c r="G215" s="65" t="s">
        <v>77</v>
      </c>
      <c r="H215" s="65" t="s">
        <v>78</v>
      </c>
      <c r="I215" s="65" t="s">
        <v>35</v>
      </c>
      <c r="J215" s="65" t="s">
        <v>36</v>
      </c>
      <c r="K215" s="65" t="s">
        <v>37</v>
      </c>
      <c r="L215" s="65" t="s">
        <v>79</v>
      </c>
      <c r="M215" s="65" t="s">
        <v>80</v>
      </c>
      <c r="N215" s="65" t="s">
        <v>77</v>
      </c>
      <c r="O215" s="65" t="s">
        <v>81</v>
      </c>
      <c r="P215" s="65" t="s">
        <v>59</v>
      </c>
      <c r="Q215" s="65">
        <v>1</v>
      </c>
      <c r="R215" s="65" t="s">
        <v>42</v>
      </c>
      <c r="S215" s="65" t="s">
        <v>44</v>
      </c>
      <c r="T215" s="65" t="s">
        <v>44</v>
      </c>
      <c r="U215" s="65" t="s">
        <v>45</v>
      </c>
      <c r="V215" s="65" t="s">
        <v>60</v>
      </c>
      <c r="W215" s="65">
        <v>101.69</v>
      </c>
      <c r="X215" s="65" t="s">
        <v>61</v>
      </c>
      <c r="Y215" s="65" t="s">
        <v>48</v>
      </c>
      <c r="Z215" s="65" t="s">
        <v>49</v>
      </c>
      <c r="AA215" s="65">
        <v>999996347</v>
      </c>
      <c r="AB215" s="65" t="s">
        <v>50</v>
      </c>
    </row>
    <row r="216" spans="1:28" x14ac:dyDescent="0.3">
      <c r="A216" s="1">
        <v>46210</v>
      </c>
      <c r="B216" s="65" t="s">
        <v>193</v>
      </c>
      <c r="C216" s="65" t="s">
        <v>29</v>
      </c>
      <c r="D216" s="65" t="s">
        <v>194</v>
      </c>
      <c r="E216" s="65" t="s">
        <v>31</v>
      </c>
      <c r="F216" s="65" t="s">
        <v>195</v>
      </c>
      <c r="G216" s="65" t="s">
        <v>196</v>
      </c>
      <c r="H216" s="65" t="s">
        <v>197</v>
      </c>
      <c r="I216" s="65" t="s">
        <v>136</v>
      </c>
      <c r="J216" s="65" t="s">
        <v>137</v>
      </c>
      <c r="K216" s="65" t="s">
        <v>37</v>
      </c>
      <c r="L216" s="65" t="s">
        <v>198</v>
      </c>
      <c r="M216" s="65" t="s">
        <v>199</v>
      </c>
      <c r="N216" s="65" t="s">
        <v>196</v>
      </c>
      <c r="O216" s="65" t="s">
        <v>200</v>
      </c>
      <c r="P216" s="65" t="s">
        <v>201</v>
      </c>
      <c r="Q216" s="65">
        <v>1</v>
      </c>
      <c r="R216" s="65" t="s">
        <v>42</v>
      </c>
      <c r="S216" s="65" t="s">
        <v>44</v>
      </c>
      <c r="T216" s="65" t="s">
        <v>44</v>
      </c>
      <c r="U216" s="65" t="s">
        <v>45</v>
      </c>
      <c r="V216" s="65" t="s">
        <v>60</v>
      </c>
      <c r="W216" s="65">
        <v>152.54</v>
      </c>
      <c r="X216" s="65" t="s">
        <v>47</v>
      </c>
      <c r="Y216" s="65" t="s">
        <v>48</v>
      </c>
      <c r="Z216" s="65" t="s">
        <v>49</v>
      </c>
      <c r="AA216" s="65">
        <v>987407712</v>
      </c>
      <c r="AB216" s="65" t="s">
        <v>141</v>
      </c>
    </row>
    <row r="217" spans="1:28" x14ac:dyDescent="0.3">
      <c r="A217" s="1">
        <v>46210</v>
      </c>
      <c r="B217" s="65" t="s">
        <v>193</v>
      </c>
      <c r="C217" s="65" t="s">
        <v>29</v>
      </c>
      <c r="D217" s="65" t="s">
        <v>194</v>
      </c>
      <c r="E217" s="65" t="s">
        <v>31</v>
      </c>
      <c r="F217" s="65" t="s">
        <v>195</v>
      </c>
      <c r="G217" s="65" t="s">
        <v>196</v>
      </c>
      <c r="H217" s="65" t="s">
        <v>197</v>
      </c>
      <c r="I217" s="65" t="s">
        <v>136</v>
      </c>
      <c r="J217" s="65" t="s">
        <v>137</v>
      </c>
      <c r="K217" s="65" t="s">
        <v>37</v>
      </c>
      <c r="L217" s="65" t="s">
        <v>198</v>
      </c>
      <c r="M217" s="65" t="s">
        <v>199</v>
      </c>
      <c r="N217" s="65" t="s">
        <v>196</v>
      </c>
      <c r="O217" s="65" t="s">
        <v>200</v>
      </c>
      <c r="P217" s="65" t="s">
        <v>202</v>
      </c>
      <c r="Q217" s="65">
        <v>1</v>
      </c>
      <c r="R217" s="65" t="s">
        <v>42</v>
      </c>
      <c r="S217" s="65" t="s">
        <v>44</v>
      </c>
      <c r="T217" s="65" t="s">
        <v>44</v>
      </c>
      <c r="U217" s="65" t="s">
        <v>45</v>
      </c>
      <c r="V217" s="65" t="s">
        <v>60</v>
      </c>
      <c r="W217" s="65">
        <v>135.59</v>
      </c>
      <c r="X217" s="65" t="s">
        <v>47</v>
      </c>
      <c r="Y217" s="65" t="s">
        <v>48</v>
      </c>
      <c r="Z217" s="65" t="s">
        <v>49</v>
      </c>
      <c r="AA217" s="65">
        <v>987407712</v>
      </c>
      <c r="AB217" s="65" t="s">
        <v>141</v>
      </c>
    </row>
    <row r="218" spans="1:28" x14ac:dyDescent="0.3">
      <c r="A218" s="1">
        <v>46210</v>
      </c>
      <c r="B218" s="65" t="s">
        <v>974</v>
      </c>
      <c r="C218" s="65" t="s">
        <v>268</v>
      </c>
      <c r="D218" s="65" t="s">
        <v>975</v>
      </c>
      <c r="E218" s="65" t="s">
        <v>31</v>
      </c>
      <c r="F218" s="65" t="s">
        <v>976</v>
      </c>
      <c r="G218" s="65" t="s">
        <v>956</v>
      </c>
      <c r="H218" s="65" t="s">
        <v>957</v>
      </c>
      <c r="I218" s="65" t="s">
        <v>774</v>
      </c>
      <c r="J218" s="65" t="s">
        <v>775</v>
      </c>
      <c r="K218" s="65" t="s">
        <v>37</v>
      </c>
      <c r="L218" s="65" t="s">
        <v>958</v>
      </c>
      <c r="M218" s="65" t="s">
        <v>959</v>
      </c>
      <c r="N218" s="65" t="s">
        <v>798</v>
      </c>
      <c r="O218" s="65" t="s">
        <v>977</v>
      </c>
      <c r="P218" s="65" t="s">
        <v>288</v>
      </c>
      <c r="Q218" s="65">
        <v>1</v>
      </c>
      <c r="R218" s="65" t="s">
        <v>42</v>
      </c>
      <c r="S218" s="65" t="s">
        <v>44</v>
      </c>
      <c r="T218" s="65" t="s">
        <v>44</v>
      </c>
      <c r="U218" s="65" t="s">
        <v>45</v>
      </c>
      <c r="V218" s="65" t="s">
        <v>60</v>
      </c>
      <c r="W218" s="65">
        <v>0</v>
      </c>
      <c r="X218" s="65" t="s">
        <v>289</v>
      </c>
      <c r="Y218" s="65" t="s">
        <v>48</v>
      </c>
      <c r="Z218" s="65" t="s">
        <v>49</v>
      </c>
      <c r="AA218" s="65"/>
      <c r="AB218" s="65"/>
    </row>
    <row r="219" spans="1:28" x14ac:dyDescent="0.3">
      <c r="A219" s="1">
        <v>46210</v>
      </c>
      <c r="B219" s="65" t="s">
        <v>974</v>
      </c>
      <c r="C219" s="65" t="s">
        <v>268</v>
      </c>
      <c r="D219" s="65" t="s">
        <v>975</v>
      </c>
      <c r="E219" s="65" t="s">
        <v>31</v>
      </c>
      <c r="F219" s="65" t="s">
        <v>976</v>
      </c>
      <c r="G219" s="65" t="s">
        <v>956</v>
      </c>
      <c r="H219" s="65" t="s">
        <v>957</v>
      </c>
      <c r="I219" s="65" t="s">
        <v>774</v>
      </c>
      <c r="J219" s="65" t="s">
        <v>775</v>
      </c>
      <c r="K219" s="65" t="s">
        <v>37</v>
      </c>
      <c r="L219" s="65" t="s">
        <v>958</v>
      </c>
      <c r="M219" s="65" t="s">
        <v>959</v>
      </c>
      <c r="N219" s="65" t="s">
        <v>798</v>
      </c>
      <c r="O219" s="65" t="s">
        <v>977</v>
      </c>
      <c r="P219" s="65" t="s">
        <v>1620</v>
      </c>
      <c r="Q219" s="65">
        <v>1</v>
      </c>
      <c r="R219" s="65" t="s">
        <v>42</v>
      </c>
      <c r="S219" s="65" t="s">
        <v>44</v>
      </c>
      <c r="T219" s="65" t="s">
        <v>44</v>
      </c>
      <c r="U219" s="65" t="s">
        <v>45</v>
      </c>
      <c r="V219" s="65" t="s">
        <v>60</v>
      </c>
      <c r="W219" s="65">
        <v>762.71</v>
      </c>
      <c r="X219" s="65" t="s">
        <v>289</v>
      </c>
      <c r="Y219" s="65" t="s">
        <v>48</v>
      </c>
      <c r="Z219" s="65" t="s">
        <v>49</v>
      </c>
      <c r="AA219" s="65"/>
      <c r="AB219" s="65"/>
    </row>
    <row r="220" spans="1:28" x14ac:dyDescent="0.3">
      <c r="A220" s="1">
        <v>46210</v>
      </c>
      <c r="B220" s="65" t="s">
        <v>1443</v>
      </c>
      <c r="C220" s="65" t="s">
        <v>29</v>
      </c>
      <c r="D220" s="65" t="s">
        <v>1444</v>
      </c>
      <c r="E220" s="65" t="s">
        <v>31</v>
      </c>
      <c r="F220" s="65" t="s">
        <v>1445</v>
      </c>
      <c r="G220" s="65" t="s">
        <v>1446</v>
      </c>
      <c r="H220" s="65" t="s">
        <v>1447</v>
      </c>
      <c r="I220" s="65" t="s">
        <v>1448</v>
      </c>
      <c r="J220" s="65" t="s">
        <v>3553</v>
      </c>
      <c r="K220" s="65" t="s">
        <v>37</v>
      </c>
      <c r="L220" s="65" t="s">
        <v>1449</v>
      </c>
      <c r="M220" s="65" t="s">
        <v>1450</v>
      </c>
      <c r="N220" s="65" t="s">
        <v>1446</v>
      </c>
      <c r="O220" s="65" t="s">
        <v>1451</v>
      </c>
      <c r="P220" s="65" t="s">
        <v>1157</v>
      </c>
      <c r="Q220" s="65">
        <v>1</v>
      </c>
      <c r="R220" s="65" t="s">
        <v>42</v>
      </c>
      <c r="S220" s="65" t="s">
        <v>44</v>
      </c>
      <c r="T220" s="65" t="s">
        <v>44</v>
      </c>
      <c r="U220" s="65" t="s">
        <v>45</v>
      </c>
      <c r="V220" s="65" t="s">
        <v>60</v>
      </c>
      <c r="W220" s="65">
        <v>338.98</v>
      </c>
      <c r="X220" s="65" t="s">
        <v>47</v>
      </c>
      <c r="Y220" s="65" t="s">
        <v>48</v>
      </c>
      <c r="Z220" s="65" t="s">
        <v>49</v>
      </c>
      <c r="AA220" s="65"/>
      <c r="AB220" s="65"/>
    </row>
    <row r="221" spans="1:28" x14ac:dyDescent="0.3">
      <c r="A221" s="1">
        <v>46211</v>
      </c>
      <c r="B221" s="65" t="s">
        <v>554</v>
      </c>
      <c r="C221" s="65" t="s">
        <v>29</v>
      </c>
      <c r="D221" s="65" t="s">
        <v>555</v>
      </c>
      <c r="E221" s="65" t="s">
        <v>31</v>
      </c>
      <c r="F221" s="65" t="s">
        <v>556</v>
      </c>
      <c r="G221" s="65" t="s">
        <v>557</v>
      </c>
      <c r="H221" s="65" t="s">
        <v>558</v>
      </c>
      <c r="I221" s="65"/>
      <c r="J221" s="65"/>
      <c r="K221" s="65" t="s">
        <v>37</v>
      </c>
      <c r="L221" s="65" t="s">
        <v>559</v>
      </c>
      <c r="M221" s="65" t="s">
        <v>560</v>
      </c>
      <c r="N221" s="65" t="s">
        <v>557</v>
      </c>
      <c r="O221" s="65" t="s">
        <v>561</v>
      </c>
      <c r="P221" s="65" t="s">
        <v>90</v>
      </c>
      <c r="Q221" s="65">
        <v>1</v>
      </c>
      <c r="R221" s="65" t="s">
        <v>42</v>
      </c>
      <c r="S221" s="65" t="s">
        <v>44</v>
      </c>
      <c r="T221" s="65" t="s">
        <v>44</v>
      </c>
      <c r="U221" s="65" t="s">
        <v>71</v>
      </c>
      <c r="V221" s="65" t="s">
        <v>184</v>
      </c>
      <c r="W221" s="65">
        <v>135.59</v>
      </c>
      <c r="X221" s="65" t="s">
        <v>47</v>
      </c>
      <c r="Y221" s="65" t="s">
        <v>48</v>
      </c>
      <c r="Z221" s="65" t="s">
        <v>73</v>
      </c>
      <c r="AA221" s="65"/>
      <c r="AB221" s="65"/>
    </row>
    <row r="222" spans="1:28" x14ac:dyDescent="0.3">
      <c r="A222" s="1">
        <v>46211</v>
      </c>
      <c r="B222" s="65" t="s">
        <v>562</v>
      </c>
      <c r="C222" s="65" t="s">
        <v>29</v>
      </c>
      <c r="D222" s="65" t="s">
        <v>563</v>
      </c>
      <c r="E222" s="65" t="s">
        <v>31</v>
      </c>
      <c r="F222" s="65" t="s">
        <v>564</v>
      </c>
      <c r="G222" s="65" t="s">
        <v>565</v>
      </c>
      <c r="H222" s="65" t="s">
        <v>566</v>
      </c>
      <c r="I222" s="65"/>
      <c r="J222" s="65"/>
      <c r="K222" s="65" t="s">
        <v>37</v>
      </c>
      <c r="L222" s="65" t="s">
        <v>567</v>
      </c>
      <c r="M222" s="65" t="s">
        <v>568</v>
      </c>
      <c r="N222" s="65" t="s">
        <v>565</v>
      </c>
      <c r="O222" s="65" t="s">
        <v>569</v>
      </c>
      <c r="P222" s="65" t="s">
        <v>90</v>
      </c>
      <c r="Q222" s="65">
        <v>1</v>
      </c>
      <c r="R222" s="65" t="s">
        <v>42</v>
      </c>
      <c r="S222" s="65" t="s">
        <v>44</v>
      </c>
      <c r="T222" s="65" t="s">
        <v>44</v>
      </c>
      <c r="U222" s="65" t="s">
        <v>71</v>
      </c>
      <c r="V222" s="65" t="s">
        <v>184</v>
      </c>
      <c r="W222" s="65">
        <v>135.59</v>
      </c>
      <c r="X222" s="65" t="s">
        <v>47</v>
      </c>
      <c r="Y222" s="65" t="s">
        <v>48</v>
      </c>
      <c r="Z222" s="65" t="s">
        <v>73</v>
      </c>
      <c r="AA222" s="65"/>
      <c r="AB222" s="65"/>
    </row>
    <row r="223" spans="1:28" x14ac:dyDescent="0.3">
      <c r="A223" s="1">
        <v>46211</v>
      </c>
      <c r="B223" s="65" t="s">
        <v>683</v>
      </c>
      <c r="C223" s="65" t="s">
        <v>29</v>
      </c>
      <c r="D223" s="65" t="s">
        <v>684</v>
      </c>
      <c r="E223" s="65" t="s">
        <v>31</v>
      </c>
      <c r="F223" s="65" t="s">
        <v>685</v>
      </c>
      <c r="G223" s="65" t="s">
        <v>686</v>
      </c>
      <c r="H223" s="65" t="s">
        <v>687</v>
      </c>
      <c r="I223" s="65" t="s">
        <v>662</v>
      </c>
      <c r="J223" s="65" t="s">
        <v>36</v>
      </c>
      <c r="K223" s="65" t="s">
        <v>37</v>
      </c>
      <c r="L223" s="65" t="s">
        <v>688</v>
      </c>
      <c r="M223" s="65" t="s">
        <v>689</v>
      </c>
      <c r="N223" s="65" t="s">
        <v>686</v>
      </c>
      <c r="O223" s="65" t="s">
        <v>690</v>
      </c>
      <c r="P223" s="65" t="s">
        <v>101</v>
      </c>
      <c r="Q223" s="65">
        <v>1</v>
      </c>
      <c r="R223" s="65" t="s">
        <v>42</v>
      </c>
      <c r="S223" s="65" t="s">
        <v>44</v>
      </c>
      <c r="T223" s="65" t="s">
        <v>44</v>
      </c>
      <c r="U223" s="65" t="s">
        <v>45</v>
      </c>
      <c r="V223" s="65" t="s">
        <v>60</v>
      </c>
      <c r="W223" s="65">
        <v>186.44</v>
      </c>
      <c r="X223" s="65" t="s">
        <v>47</v>
      </c>
      <c r="Y223" s="65" t="s">
        <v>48</v>
      </c>
      <c r="Z223" s="65" t="s">
        <v>49</v>
      </c>
      <c r="AA223" s="65">
        <v>997145685</v>
      </c>
      <c r="AB223" s="65" t="s">
        <v>666</v>
      </c>
    </row>
    <row r="224" spans="1:28" x14ac:dyDescent="0.3">
      <c r="A224" s="1">
        <v>46211</v>
      </c>
      <c r="B224" s="65" t="s">
        <v>1437</v>
      </c>
      <c r="C224" s="65" t="s">
        <v>29</v>
      </c>
      <c r="D224" s="65" t="s">
        <v>1438</v>
      </c>
      <c r="E224" s="65" t="s">
        <v>31</v>
      </c>
      <c r="F224" s="65" t="s">
        <v>1439</v>
      </c>
      <c r="G224" s="65" t="s">
        <v>1290</v>
      </c>
      <c r="H224" s="65" t="s">
        <v>1291</v>
      </c>
      <c r="I224" s="65" t="s">
        <v>1440</v>
      </c>
      <c r="J224" s="65" t="s">
        <v>1098</v>
      </c>
      <c r="K224" s="65" t="s">
        <v>37</v>
      </c>
      <c r="L224" s="65" t="s">
        <v>1292</v>
      </c>
      <c r="M224" s="65" t="s">
        <v>1293</v>
      </c>
      <c r="N224" s="65" t="s">
        <v>1290</v>
      </c>
      <c r="O224" s="65" t="s">
        <v>1441</v>
      </c>
      <c r="P224" s="65" t="s">
        <v>41</v>
      </c>
      <c r="Q224" s="65">
        <v>1</v>
      </c>
      <c r="R224" s="65" t="s">
        <v>42</v>
      </c>
      <c r="S224" s="65" t="s">
        <v>44</v>
      </c>
      <c r="T224" s="65" t="s">
        <v>44</v>
      </c>
      <c r="U224" s="65" t="s">
        <v>45</v>
      </c>
      <c r="V224" s="65" t="s">
        <v>60</v>
      </c>
      <c r="W224" s="65">
        <v>186.44</v>
      </c>
      <c r="X224" s="65" t="s">
        <v>47</v>
      </c>
      <c r="Y224" s="65" t="s">
        <v>48</v>
      </c>
      <c r="Z224" s="65" t="s">
        <v>49</v>
      </c>
      <c r="AA224" s="65">
        <v>999418834</v>
      </c>
      <c r="AB224" s="65" t="s">
        <v>1442</v>
      </c>
    </row>
    <row r="225" spans="1:28" x14ac:dyDescent="0.3">
      <c r="A225" s="1">
        <v>46211</v>
      </c>
      <c r="B225" s="65" t="s">
        <v>1437</v>
      </c>
      <c r="C225" s="65" t="s">
        <v>29</v>
      </c>
      <c r="D225" s="65" t="s">
        <v>1438</v>
      </c>
      <c r="E225" s="65" t="s">
        <v>31</v>
      </c>
      <c r="F225" s="65" t="s">
        <v>1439</v>
      </c>
      <c r="G225" s="65" t="s">
        <v>1290</v>
      </c>
      <c r="H225" s="65" t="s">
        <v>1291</v>
      </c>
      <c r="I225" s="65" t="s">
        <v>1440</v>
      </c>
      <c r="J225" s="65" t="s">
        <v>1098</v>
      </c>
      <c r="K225" s="65" t="s">
        <v>37</v>
      </c>
      <c r="L225" s="65" t="s">
        <v>1292</v>
      </c>
      <c r="M225" s="65" t="s">
        <v>1293</v>
      </c>
      <c r="N225" s="65" t="s">
        <v>1290</v>
      </c>
      <c r="O225" s="65" t="s">
        <v>1441</v>
      </c>
      <c r="P225" s="65" t="s">
        <v>101</v>
      </c>
      <c r="Q225" s="65">
        <v>1</v>
      </c>
      <c r="R225" s="65" t="s">
        <v>42</v>
      </c>
      <c r="S225" s="65" t="s">
        <v>44</v>
      </c>
      <c r="T225" s="65" t="s">
        <v>44</v>
      </c>
      <c r="U225" s="65" t="s">
        <v>45</v>
      </c>
      <c r="V225" s="65" t="s">
        <v>60</v>
      </c>
      <c r="W225" s="65">
        <v>186.44</v>
      </c>
      <c r="X225" s="65" t="s">
        <v>47</v>
      </c>
      <c r="Y225" s="65" t="s">
        <v>48</v>
      </c>
      <c r="Z225" s="65" t="s">
        <v>49</v>
      </c>
      <c r="AA225" s="65">
        <v>999418834</v>
      </c>
      <c r="AB225" s="65" t="s">
        <v>1442</v>
      </c>
    </row>
    <row r="226" spans="1:28" x14ac:dyDescent="0.3">
      <c r="A226" s="1">
        <v>46212</v>
      </c>
      <c r="B226" s="65" t="s">
        <v>248</v>
      </c>
      <c r="C226" s="65" t="s">
        <v>29</v>
      </c>
      <c r="D226" s="65" t="s">
        <v>249</v>
      </c>
      <c r="E226" s="65" t="s">
        <v>31</v>
      </c>
      <c r="F226" s="65" t="s">
        <v>250</v>
      </c>
      <c r="G226" s="65" t="s">
        <v>251</v>
      </c>
      <c r="H226" s="65" t="s">
        <v>252</v>
      </c>
      <c r="I226" s="65" t="s">
        <v>411</v>
      </c>
      <c r="J226" s="65" t="s">
        <v>412</v>
      </c>
      <c r="K226" s="65" t="s">
        <v>37</v>
      </c>
      <c r="L226" s="65" t="s">
        <v>253</v>
      </c>
      <c r="M226" s="65" t="s">
        <v>254</v>
      </c>
      <c r="N226" s="65" t="s">
        <v>251</v>
      </c>
      <c r="O226" s="65" t="s">
        <v>255</v>
      </c>
      <c r="P226" s="65" t="s">
        <v>41</v>
      </c>
      <c r="Q226" s="65">
        <v>1</v>
      </c>
      <c r="R226" s="65" t="s">
        <v>42</v>
      </c>
      <c r="S226" s="65" t="s">
        <v>44</v>
      </c>
      <c r="T226" s="65" t="s">
        <v>44</v>
      </c>
      <c r="U226" s="65" t="s">
        <v>45</v>
      </c>
      <c r="V226" s="65" t="s">
        <v>46</v>
      </c>
      <c r="W226" s="65">
        <v>186.44</v>
      </c>
      <c r="X226" s="65" t="s">
        <v>47</v>
      </c>
      <c r="Y226" s="65" t="s">
        <v>48</v>
      </c>
      <c r="Z226" s="65" t="s">
        <v>49</v>
      </c>
      <c r="AA226" s="65">
        <v>982673362</v>
      </c>
      <c r="AB226" s="65" t="s">
        <v>416</v>
      </c>
    </row>
    <row r="227" spans="1:28" x14ac:dyDescent="0.3">
      <c r="A227" s="1">
        <v>46212</v>
      </c>
      <c r="B227" s="65" t="s">
        <v>248</v>
      </c>
      <c r="C227" s="65" t="s">
        <v>29</v>
      </c>
      <c r="D227" s="65" t="s">
        <v>249</v>
      </c>
      <c r="E227" s="65" t="s">
        <v>31</v>
      </c>
      <c r="F227" s="65" t="s">
        <v>250</v>
      </c>
      <c r="G227" s="65" t="s">
        <v>251</v>
      </c>
      <c r="H227" s="65" t="s">
        <v>252</v>
      </c>
      <c r="I227" s="65" t="s">
        <v>411</v>
      </c>
      <c r="J227" s="65" t="s">
        <v>412</v>
      </c>
      <c r="K227" s="65" t="s">
        <v>37</v>
      </c>
      <c r="L227" s="65" t="s">
        <v>253</v>
      </c>
      <c r="M227" s="65" t="s">
        <v>254</v>
      </c>
      <c r="N227" s="65" t="s">
        <v>251</v>
      </c>
      <c r="O227" s="65" t="s">
        <v>255</v>
      </c>
      <c r="P227" s="65" t="s">
        <v>101</v>
      </c>
      <c r="Q227" s="65">
        <v>1</v>
      </c>
      <c r="R227" s="65" t="s">
        <v>42</v>
      </c>
      <c r="S227" s="65" t="s">
        <v>44</v>
      </c>
      <c r="T227" s="65" t="s">
        <v>44</v>
      </c>
      <c r="U227" s="65" t="s">
        <v>45</v>
      </c>
      <c r="V227" s="65" t="s">
        <v>46</v>
      </c>
      <c r="W227" s="65">
        <v>186.44</v>
      </c>
      <c r="X227" s="65" t="s">
        <v>47</v>
      </c>
      <c r="Y227" s="65" t="s">
        <v>48</v>
      </c>
      <c r="Z227" s="65" t="s">
        <v>49</v>
      </c>
      <c r="AA227" s="65">
        <v>982673362</v>
      </c>
      <c r="AB227" s="65" t="s">
        <v>416</v>
      </c>
    </row>
    <row r="228" spans="1:28" x14ac:dyDescent="0.3">
      <c r="A228" s="1">
        <v>46212</v>
      </c>
      <c r="B228" s="65" t="s">
        <v>578</v>
      </c>
      <c r="C228" s="65" t="s">
        <v>29</v>
      </c>
      <c r="D228" s="65" t="s">
        <v>579</v>
      </c>
      <c r="E228" s="65" t="s">
        <v>31</v>
      </c>
      <c r="F228" s="65" t="s">
        <v>580</v>
      </c>
      <c r="G228" s="65" t="s">
        <v>581</v>
      </c>
      <c r="H228" s="65" t="s">
        <v>582</v>
      </c>
      <c r="I228" s="65" t="s">
        <v>434</v>
      </c>
      <c r="J228" s="65" t="s">
        <v>435</v>
      </c>
      <c r="K228" s="65" t="s">
        <v>37</v>
      </c>
      <c r="L228" s="65" t="s">
        <v>583</v>
      </c>
      <c r="M228" s="65" t="s">
        <v>584</v>
      </c>
      <c r="N228" s="65" t="s">
        <v>581</v>
      </c>
      <c r="O228" s="65" t="s">
        <v>585</v>
      </c>
      <c r="P228" s="65" t="s">
        <v>130</v>
      </c>
      <c r="Q228" s="65">
        <v>1</v>
      </c>
      <c r="R228" s="65" t="s">
        <v>42</v>
      </c>
      <c r="S228" s="65" t="s">
        <v>44</v>
      </c>
      <c r="T228" s="65" t="s">
        <v>44</v>
      </c>
      <c r="U228" s="65" t="s">
        <v>71</v>
      </c>
      <c r="V228" s="65" t="s">
        <v>184</v>
      </c>
      <c r="W228" s="65">
        <v>152.54</v>
      </c>
      <c r="X228" s="65" t="s">
        <v>47</v>
      </c>
      <c r="Y228" s="65" t="s">
        <v>48</v>
      </c>
      <c r="Z228" s="65" t="s">
        <v>73</v>
      </c>
      <c r="AA228" s="65">
        <v>992903716</v>
      </c>
      <c r="AB228" s="65" t="s">
        <v>439</v>
      </c>
    </row>
    <row r="229" spans="1:28" x14ac:dyDescent="0.3">
      <c r="A229" s="1">
        <v>46212</v>
      </c>
      <c r="B229" s="65" t="s">
        <v>570</v>
      </c>
      <c r="C229" s="65" t="s">
        <v>29</v>
      </c>
      <c r="D229" s="65" t="s">
        <v>571</v>
      </c>
      <c r="E229" s="65" t="s">
        <v>31</v>
      </c>
      <c r="F229" s="65" t="s">
        <v>572</v>
      </c>
      <c r="G229" s="65" t="s">
        <v>573</v>
      </c>
      <c r="H229" s="65" t="s">
        <v>574</v>
      </c>
      <c r="I229" s="65" t="s">
        <v>715</v>
      </c>
      <c r="J229" s="65" t="s">
        <v>716</v>
      </c>
      <c r="K229" s="65" t="s">
        <v>37</v>
      </c>
      <c r="L229" s="65" t="s">
        <v>575</v>
      </c>
      <c r="M229" s="65" t="s">
        <v>576</v>
      </c>
      <c r="N229" s="65" t="s">
        <v>573</v>
      </c>
      <c r="O229" s="65" t="s">
        <v>577</v>
      </c>
      <c r="P229" s="65" t="s">
        <v>159</v>
      </c>
      <c r="Q229" s="65">
        <v>1</v>
      </c>
      <c r="R229" s="65" t="s">
        <v>70</v>
      </c>
      <c r="S229" s="65" t="s">
        <v>43</v>
      </c>
      <c r="T229" s="65" t="s">
        <v>44</v>
      </c>
      <c r="U229" s="65" t="s">
        <v>71</v>
      </c>
      <c r="V229" s="65" t="s">
        <v>72</v>
      </c>
      <c r="W229" s="65">
        <v>135.59</v>
      </c>
      <c r="X229" s="65" t="s">
        <v>47</v>
      </c>
      <c r="Y229" s="65" t="s">
        <v>48</v>
      </c>
      <c r="Z229" s="65" t="s">
        <v>73</v>
      </c>
      <c r="AA229" s="65">
        <v>955356636</v>
      </c>
      <c r="AB229" s="65" t="s">
        <v>720</v>
      </c>
    </row>
    <row r="230" spans="1:28" x14ac:dyDescent="0.3">
      <c r="A230" s="1">
        <v>46212</v>
      </c>
      <c r="B230" s="65" t="s">
        <v>986</v>
      </c>
      <c r="C230" s="65" t="s">
        <v>29</v>
      </c>
      <c r="D230" s="65" t="s">
        <v>987</v>
      </c>
      <c r="E230" s="65" t="s">
        <v>31</v>
      </c>
      <c r="F230" s="65" t="s">
        <v>988</v>
      </c>
      <c r="G230" s="65" t="s">
        <v>981</v>
      </c>
      <c r="H230" s="65" t="s">
        <v>982</v>
      </c>
      <c r="I230" s="65" t="s">
        <v>774</v>
      </c>
      <c r="J230" s="65" t="s">
        <v>775</v>
      </c>
      <c r="K230" s="65" t="s">
        <v>37</v>
      </c>
      <c r="L230" s="65" t="s">
        <v>983</v>
      </c>
      <c r="M230" s="65" t="s">
        <v>984</v>
      </c>
      <c r="N230" s="65" t="s">
        <v>981</v>
      </c>
      <c r="O230" s="65" t="s">
        <v>989</v>
      </c>
      <c r="P230" s="65" t="s">
        <v>641</v>
      </c>
      <c r="Q230" s="65">
        <v>1</v>
      </c>
      <c r="R230" s="65" t="s">
        <v>42</v>
      </c>
      <c r="S230" s="65" t="s">
        <v>44</v>
      </c>
      <c r="T230" s="65" t="s">
        <v>44</v>
      </c>
      <c r="U230" s="65" t="s">
        <v>45</v>
      </c>
      <c r="V230" s="65" t="s">
        <v>46</v>
      </c>
      <c r="W230" s="65">
        <v>84.75</v>
      </c>
      <c r="X230" s="65" t="s">
        <v>47</v>
      </c>
      <c r="Y230" s="65" t="s">
        <v>48</v>
      </c>
      <c r="Z230" s="65" t="s">
        <v>49</v>
      </c>
      <c r="AA230" s="65"/>
      <c r="AB230" s="65"/>
    </row>
    <row r="231" spans="1:28" x14ac:dyDescent="0.3">
      <c r="A231" s="1">
        <v>46212</v>
      </c>
      <c r="B231" s="65" t="s">
        <v>978</v>
      </c>
      <c r="C231" s="65" t="s">
        <v>29</v>
      </c>
      <c r="D231" s="65" t="s">
        <v>979</v>
      </c>
      <c r="E231" s="65" t="s">
        <v>31</v>
      </c>
      <c r="F231" s="65" t="s">
        <v>980</v>
      </c>
      <c r="G231" s="65" t="s">
        <v>981</v>
      </c>
      <c r="H231" s="65" t="s">
        <v>982</v>
      </c>
      <c r="I231" s="65" t="s">
        <v>774</v>
      </c>
      <c r="J231" s="65" t="s">
        <v>775</v>
      </c>
      <c r="K231" s="65" t="s">
        <v>37</v>
      </c>
      <c r="L231" s="65" t="s">
        <v>983</v>
      </c>
      <c r="M231" s="65" t="s">
        <v>984</v>
      </c>
      <c r="N231" s="65" t="s">
        <v>981</v>
      </c>
      <c r="O231" s="65" t="s">
        <v>985</v>
      </c>
      <c r="P231" s="65" t="s">
        <v>618</v>
      </c>
      <c r="Q231" s="65">
        <v>1</v>
      </c>
      <c r="R231" s="65" t="s">
        <v>42</v>
      </c>
      <c r="S231" s="65" t="s">
        <v>44</v>
      </c>
      <c r="T231" s="65" t="s">
        <v>44</v>
      </c>
      <c r="U231" s="65" t="s">
        <v>45</v>
      </c>
      <c r="V231" s="65" t="s">
        <v>46</v>
      </c>
      <c r="W231" s="65">
        <v>12.71</v>
      </c>
      <c r="X231" s="65" t="s">
        <v>619</v>
      </c>
      <c r="Y231" s="65" t="s">
        <v>48</v>
      </c>
      <c r="Z231" s="65" t="s">
        <v>49</v>
      </c>
      <c r="AA231" s="65"/>
      <c r="AB231" s="65"/>
    </row>
    <row r="232" spans="1:28" x14ac:dyDescent="0.3">
      <c r="A232" s="1">
        <v>46212</v>
      </c>
      <c r="B232" s="65" t="s">
        <v>978</v>
      </c>
      <c r="C232" s="65" t="s">
        <v>29</v>
      </c>
      <c r="D232" s="65" t="s">
        <v>979</v>
      </c>
      <c r="E232" s="65" t="s">
        <v>31</v>
      </c>
      <c r="F232" s="65" t="s">
        <v>980</v>
      </c>
      <c r="G232" s="65" t="s">
        <v>981</v>
      </c>
      <c r="H232" s="65" t="s">
        <v>982</v>
      </c>
      <c r="I232" s="65" t="s">
        <v>774</v>
      </c>
      <c r="J232" s="65" t="s">
        <v>775</v>
      </c>
      <c r="K232" s="65" t="s">
        <v>37</v>
      </c>
      <c r="L232" s="65" t="s">
        <v>983</v>
      </c>
      <c r="M232" s="65" t="s">
        <v>984</v>
      </c>
      <c r="N232" s="65" t="s">
        <v>981</v>
      </c>
      <c r="O232" s="65" t="s">
        <v>985</v>
      </c>
      <c r="P232" s="65" t="s">
        <v>620</v>
      </c>
      <c r="Q232" s="65">
        <v>1</v>
      </c>
      <c r="R232" s="65" t="s">
        <v>42</v>
      </c>
      <c r="S232" s="65" t="s">
        <v>44</v>
      </c>
      <c r="T232" s="65" t="s">
        <v>44</v>
      </c>
      <c r="U232" s="65" t="s">
        <v>45</v>
      </c>
      <c r="V232" s="65" t="s">
        <v>46</v>
      </c>
      <c r="W232" s="65">
        <v>21.19</v>
      </c>
      <c r="X232" s="65" t="s">
        <v>619</v>
      </c>
      <c r="Y232" s="65" t="s">
        <v>48</v>
      </c>
      <c r="Z232" s="65" t="s">
        <v>49</v>
      </c>
      <c r="AA232" s="65"/>
      <c r="AB232" s="65"/>
    </row>
    <row r="233" spans="1:28" x14ac:dyDescent="0.3">
      <c r="A233" s="1">
        <v>46212</v>
      </c>
      <c r="B233" s="65" t="s">
        <v>978</v>
      </c>
      <c r="C233" s="65" t="s">
        <v>29</v>
      </c>
      <c r="D233" s="65" t="s">
        <v>979</v>
      </c>
      <c r="E233" s="65" t="s">
        <v>31</v>
      </c>
      <c r="F233" s="65" t="s">
        <v>980</v>
      </c>
      <c r="G233" s="65" t="s">
        <v>981</v>
      </c>
      <c r="H233" s="65" t="s">
        <v>982</v>
      </c>
      <c r="I233" s="65" t="s">
        <v>774</v>
      </c>
      <c r="J233" s="65" t="s">
        <v>775</v>
      </c>
      <c r="K233" s="65" t="s">
        <v>37</v>
      </c>
      <c r="L233" s="65" t="s">
        <v>983</v>
      </c>
      <c r="M233" s="65" t="s">
        <v>984</v>
      </c>
      <c r="N233" s="65" t="s">
        <v>981</v>
      </c>
      <c r="O233" s="65" t="s">
        <v>985</v>
      </c>
      <c r="P233" s="65" t="s">
        <v>621</v>
      </c>
      <c r="Q233" s="65">
        <v>1</v>
      </c>
      <c r="R233" s="65" t="s">
        <v>42</v>
      </c>
      <c r="S233" s="65" t="s">
        <v>44</v>
      </c>
      <c r="T233" s="65" t="s">
        <v>44</v>
      </c>
      <c r="U233" s="65" t="s">
        <v>45</v>
      </c>
      <c r="V233" s="65" t="s">
        <v>46</v>
      </c>
      <c r="W233" s="65">
        <v>12.71</v>
      </c>
      <c r="X233" s="65" t="s">
        <v>619</v>
      </c>
      <c r="Y233" s="65" t="s">
        <v>48</v>
      </c>
      <c r="Z233" s="65" t="s">
        <v>49</v>
      </c>
      <c r="AA233" s="65"/>
      <c r="AB233" s="65"/>
    </row>
    <row r="234" spans="1:28" x14ac:dyDescent="0.3">
      <c r="A234" s="1">
        <v>46212</v>
      </c>
      <c r="B234" s="65" t="s">
        <v>978</v>
      </c>
      <c r="C234" s="65" t="s">
        <v>29</v>
      </c>
      <c r="D234" s="65" t="s">
        <v>979</v>
      </c>
      <c r="E234" s="65" t="s">
        <v>31</v>
      </c>
      <c r="F234" s="65" t="s">
        <v>980</v>
      </c>
      <c r="G234" s="65" t="s">
        <v>981</v>
      </c>
      <c r="H234" s="65" t="s">
        <v>982</v>
      </c>
      <c r="I234" s="65" t="s">
        <v>774</v>
      </c>
      <c r="J234" s="65" t="s">
        <v>775</v>
      </c>
      <c r="K234" s="65" t="s">
        <v>37</v>
      </c>
      <c r="L234" s="65" t="s">
        <v>983</v>
      </c>
      <c r="M234" s="65" t="s">
        <v>984</v>
      </c>
      <c r="N234" s="65" t="s">
        <v>981</v>
      </c>
      <c r="O234" s="65" t="s">
        <v>985</v>
      </c>
      <c r="P234" s="65" t="s">
        <v>622</v>
      </c>
      <c r="Q234" s="65">
        <v>1</v>
      </c>
      <c r="R234" s="65" t="s">
        <v>42</v>
      </c>
      <c r="S234" s="65" t="s">
        <v>44</v>
      </c>
      <c r="T234" s="65" t="s">
        <v>44</v>
      </c>
      <c r="U234" s="65" t="s">
        <v>45</v>
      </c>
      <c r="V234" s="65" t="s">
        <v>46</v>
      </c>
      <c r="W234" s="65">
        <v>12.71</v>
      </c>
      <c r="X234" s="65" t="s">
        <v>619</v>
      </c>
      <c r="Y234" s="65" t="s">
        <v>48</v>
      </c>
      <c r="Z234" s="65" t="s">
        <v>49</v>
      </c>
      <c r="AA234" s="65"/>
      <c r="AB234" s="65"/>
    </row>
    <row r="235" spans="1:28" x14ac:dyDescent="0.3">
      <c r="A235" s="1">
        <v>46212</v>
      </c>
      <c r="B235" s="65" t="s">
        <v>978</v>
      </c>
      <c r="C235" s="65" t="s">
        <v>29</v>
      </c>
      <c r="D235" s="65" t="s">
        <v>979</v>
      </c>
      <c r="E235" s="65" t="s">
        <v>31</v>
      </c>
      <c r="F235" s="65" t="s">
        <v>980</v>
      </c>
      <c r="G235" s="65" t="s">
        <v>981</v>
      </c>
      <c r="H235" s="65" t="s">
        <v>982</v>
      </c>
      <c r="I235" s="65" t="s">
        <v>774</v>
      </c>
      <c r="J235" s="65" t="s">
        <v>775</v>
      </c>
      <c r="K235" s="65" t="s">
        <v>37</v>
      </c>
      <c r="L235" s="65" t="s">
        <v>983</v>
      </c>
      <c r="M235" s="65" t="s">
        <v>984</v>
      </c>
      <c r="N235" s="65" t="s">
        <v>981</v>
      </c>
      <c r="O235" s="65" t="s">
        <v>985</v>
      </c>
      <c r="P235" s="65" t="s">
        <v>833</v>
      </c>
      <c r="Q235" s="65">
        <v>1</v>
      </c>
      <c r="R235" s="65" t="s">
        <v>42</v>
      </c>
      <c r="S235" s="65" t="s">
        <v>44</v>
      </c>
      <c r="T235" s="65" t="s">
        <v>44</v>
      </c>
      <c r="U235" s="65" t="s">
        <v>45</v>
      </c>
      <c r="V235" s="65" t="s">
        <v>46</v>
      </c>
      <c r="W235" s="65">
        <v>50.85</v>
      </c>
      <c r="X235" s="65" t="s">
        <v>619</v>
      </c>
      <c r="Y235" s="65" t="s">
        <v>48</v>
      </c>
      <c r="Z235" s="65" t="s">
        <v>49</v>
      </c>
      <c r="AA235" s="65"/>
      <c r="AB235" s="65"/>
    </row>
    <row r="236" spans="1:28" x14ac:dyDescent="0.3">
      <c r="A236" s="1">
        <v>46212</v>
      </c>
      <c r="B236" s="65" t="s">
        <v>997</v>
      </c>
      <c r="C236" s="65" t="s">
        <v>29</v>
      </c>
      <c r="D236" s="65" t="s">
        <v>998</v>
      </c>
      <c r="E236" s="65" t="s">
        <v>31</v>
      </c>
      <c r="F236" s="65" t="s">
        <v>999</v>
      </c>
      <c r="G236" s="65" t="s">
        <v>981</v>
      </c>
      <c r="H236" s="65" t="s">
        <v>982</v>
      </c>
      <c r="I236" s="65" t="s">
        <v>774</v>
      </c>
      <c r="J236" s="65" t="s">
        <v>775</v>
      </c>
      <c r="K236" s="65" t="s">
        <v>37</v>
      </c>
      <c r="L236" s="65" t="s">
        <v>983</v>
      </c>
      <c r="M236" s="65" t="s">
        <v>984</v>
      </c>
      <c r="N236" s="65" t="s">
        <v>981</v>
      </c>
      <c r="O236" s="65" t="s">
        <v>1000</v>
      </c>
      <c r="P236" s="65" t="s">
        <v>828</v>
      </c>
      <c r="Q236" s="65">
        <v>1</v>
      </c>
      <c r="R236" s="65" t="s">
        <v>42</v>
      </c>
      <c r="S236" s="65" t="s">
        <v>44</v>
      </c>
      <c r="T236" s="65" t="s">
        <v>44</v>
      </c>
      <c r="U236" s="65" t="s">
        <v>45</v>
      </c>
      <c r="V236" s="65" t="s">
        <v>46</v>
      </c>
      <c r="W236" s="65">
        <v>127.12</v>
      </c>
      <c r="X236" s="65" t="s">
        <v>47</v>
      </c>
      <c r="Y236" s="65" t="s">
        <v>48</v>
      </c>
      <c r="Z236" s="65" t="s">
        <v>49</v>
      </c>
      <c r="AA236" s="65"/>
      <c r="AB236" s="65"/>
    </row>
    <row r="237" spans="1:28" x14ac:dyDescent="0.3">
      <c r="A237" s="1">
        <v>46212</v>
      </c>
      <c r="B237" s="65" t="s">
        <v>990</v>
      </c>
      <c r="C237" s="65" t="s">
        <v>29</v>
      </c>
      <c r="D237" s="65" t="s">
        <v>991</v>
      </c>
      <c r="E237" s="65" t="s">
        <v>31</v>
      </c>
      <c r="F237" s="65" t="s">
        <v>992</v>
      </c>
      <c r="G237" s="65" t="s">
        <v>993</v>
      </c>
      <c r="H237" s="65" t="s">
        <v>994</v>
      </c>
      <c r="I237" s="65" t="s">
        <v>774</v>
      </c>
      <c r="J237" s="65" t="s">
        <v>775</v>
      </c>
      <c r="K237" s="65" t="s">
        <v>37</v>
      </c>
      <c r="L237" s="65" t="s">
        <v>995</v>
      </c>
      <c r="M237" s="65" t="s">
        <v>984</v>
      </c>
      <c r="N237" s="65" t="s">
        <v>993</v>
      </c>
      <c r="O237" s="65" t="s">
        <v>996</v>
      </c>
      <c r="P237" s="65" t="s">
        <v>641</v>
      </c>
      <c r="Q237" s="65">
        <v>1</v>
      </c>
      <c r="R237" s="65" t="s">
        <v>42</v>
      </c>
      <c r="S237" s="65" t="s">
        <v>44</v>
      </c>
      <c r="T237" s="65" t="s">
        <v>44</v>
      </c>
      <c r="U237" s="65" t="s">
        <v>45</v>
      </c>
      <c r="V237" s="65" t="s">
        <v>60</v>
      </c>
      <c r="W237" s="65">
        <v>84.75</v>
      </c>
      <c r="X237" s="65" t="s">
        <v>47</v>
      </c>
      <c r="Y237" s="65" t="s">
        <v>48</v>
      </c>
      <c r="Z237" s="65" t="s">
        <v>49</v>
      </c>
      <c r="AA237" s="65"/>
      <c r="AB237" s="65"/>
    </row>
    <row r="238" spans="1:28" x14ac:dyDescent="0.3">
      <c r="A238" s="1">
        <v>46212</v>
      </c>
      <c r="B238" s="65" t="s">
        <v>1269</v>
      </c>
      <c r="C238" s="65" t="s">
        <v>268</v>
      </c>
      <c r="D238" s="65" t="s">
        <v>1270</v>
      </c>
      <c r="E238" s="65" t="s">
        <v>31</v>
      </c>
      <c r="F238" s="65" t="s">
        <v>1271</v>
      </c>
      <c r="G238" s="65" t="s">
        <v>1272</v>
      </c>
      <c r="H238" s="65" t="s">
        <v>1273</v>
      </c>
      <c r="I238" s="65" t="s">
        <v>2795</v>
      </c>
      <c r="J238" s="65" t="s">
        <v>209</v>
      </c>
      <c r="K238" s="65" t="s">
        <v>37</v>
      </c>
      <c r="L238" s="65" t="s">
        <v>1274</v>
      </c>
      <c r="M238" s="65" t="s">
        <v>608</v>
      </c>
      <c r="N238" s="65" t="s">
        <v>1251</v>
      </c>
      <c r="O238" s="65" t="s">
        <v>1275</v>
      </c>
      <c r="P238" s="65" t="s">
        <v>288</v>
      </c>
      <c r="Q238" s="65">
        <v>1</v>
      </c>
      <c r="R238" s="65" t="s">
        <v>42</v>
      </c>
      <c r="S238" s="65" t="s">
        <v>44</v>
      </c>
      <c r="T238" s="65" t="s">
        <v>44</v>
      </c>
      <c r="U238" s="65" t="s">
        <v>45</v>
      </c>
      <c r="V238" s="65" t="s">
        <v>46</v>
      </c>
      <c r="W238" s="65">
        <v>0</v>
      </c>
      <c r="X238" s="65" t="s">
        <v>289</v>
      </c>
      <c r="Y238" s="65" t="s">
        <v>48</v>
      </c>
      <c r="Z238" s="65" t="s">
        <v>49</v>
      </c>
      <c r="AA238" s="65">
        <v>994872106</v>
      </c>
      <c r="AB238" s="65" t="s">
        <v>1253</v>
      </c>
    </row>
    <row r="239" spans="1:28" x14ac:dyDescent="0.3">
      <c r="A239" s="1">
        <v>46212</v>
      </c>
      <c r="B239" s="65" t="s">
        <v>1269</v>
      </c>
      <c r="C239" s="65" t="s">
        <v>268</v>
      </c>
      <c r="D239" s="65" t="s">
        <v>1270</v>
      </c>
      <c r="E239" s="65" t="s">
        <v>31</v>
      </c>
      <c r="F239" s="65" t="s">
        <v>1271</v>
      </c>
      <c r="G239" s="65" t="s">
        <v>1272</v>
      </c>
      <c r="H239" s="65" t="s">
        <v>1273</v>
      </c>
      <c r="I239" s="65" t="s">
        <v>2795</v>
      </c>
      <c r="J239" s="65" t="s">
        <v>209</v>
      </c>
      <c r="K239" s="65" t="s">
        <v>37</v>
      </c>
      <c r="L239" s="65" t="s">
        <v>1274</v>
      </c>
      <c r="M239" s="65" t="s">
        <v>608</v>
      </c>
      <c r="N239" s="65" t="s">
        <v>1251</v>
      </c>
      <c r="O239" s="65" t="s">
        <v>1275</v>
      </c>
      <c r="P239" s="65" t="s">
        <v>1620</v>
      </c>
      <c r="Q239" s="65">
        <v>1</v>
      </c>
      <c r="R239" s="65" t="s">
        <v>42</v>
      </c>
      <c r="S239" s="65" t="s">
        <v>44</v>
      </c>
      <c r="T239" s="65" t="s">
        <v>44</v>
      </c>
      <c r="U239" s="65" t="s">
        <v>45</v>
      </c>
      <c r="V239" s="65" t="s">
        <v>46</v>
      </c>
      <c r="W239" s="65">
        <v>279.66000000000003</v>
      </c>
      <c r="X239" s="65" t="s">
        <v>289</v>
      </c>
      <c r="Y239" s="65" t="s">
        <v>48</v>
      </c>
      <c r="Z239" s="65" t="s">
        <v>49</v>
      </c>
      <c r="AA239" s="65">
        <v>994872106</v>
      </c>
      <c r="AB239" s="65" t="s">
        <v>1253</v>
      </c>
    </row>
    <row r="240" spans="1:28" x14ac:dyDescent="0.3">
      <c r="A240" s="1">
        <v>46213</v>
      </c>
      <c r="B240" s="65" t="s">
        <v>1001</v>
      </c>
      <c r="C240" s="65" t="s">
        <v>268</v>
      </c>
      <c r="D240" s="65" t="s">
        <v>1002</v>
      </c>
      <c r="E240" s="65" t="s">
        <v>31</v>
      </c>
      <c r="F240" s="65" t="s">
        <v>1003</v>
      </c>
      <c r="G240" s="65" t="s">
        <v>993</v>
      </c>
      <c r="H240" s="65" t="s">
        <v>994</v>
      </c>
      <c r="I240" s="65" t="s">
        <v>774</v>
      </c>
      <c r="J240" s="65" t="s">
        <v>775</v>
      </c>
      <c r="K240" s="65" t="s">
        <v>37</v>
      </c>
      <c r="L240" s="65" t="s">
        <v>995</v>
      </c>
      <c r="M240" s="65" t="s">
        <v>984</v>
      </c>
      <c r="N240" s="65" t="s">
        <v>798</v>
      </c>
      <c r="O240" s="65" t="s">
        <v>1004</v>
      </c>
      <c r="P240" s="65" t="s">
        <v>288</v>
      </c>
      <c r="Q240" s="65">
        <v>1</v>
      </c>
      <c r="R240" s="65" t="s">
        <v>42</v>
      </c>
      <c r="S240" s="65" t="s">
        <v>44</v>
      </c>
      <c r="T240" s="65" t="s">
        <v>44</v>
      </c>
      <c r="U240" s="65" t="s">
        <v>45</v>
      </c>
      <c r="V240" s="65" t="s">
        <v>60</v>
      </c>
      <c r="W240" s="65">
        <v>0</v>
      </c>
      <c r="X240" s="65" t="s">
        <v>289</v>
      </c>
      <c r="Y240" s="65" t="s">
        <v>48</v>
      </c>
      <c r="Z240" s="65" t="s">
        <v>49</v>
      </c>
      <c r="AA240" s="65"/>
      <c r="AB240" s="65"/>
    </row>
    <row r="241" spans="1:28" x14ac:dyDescent="0.3">
      <c r="A241" s="1">
        <v>46213</v>
      </c>
      <c r="B241" s="65" t="s">
        <v>1001</v>
      </c>
      <c r="C241" s="65" t="s">
        <v>268</v>
      </c>
      <c r="D241" s="65" t="s">
        <v>1002</v>
      </c>
      <c r="E241" s="65" t="s">
        <v>31</v>
      </c>
      <c r="F241" s="65" t="s">
        <v>1003</v>
      </c>
      <c r="G241" s="65" t="s">
        <v>993</v>
      </c>
      <c r="H241" s="65" t="s">
        <v>994</v>
      </c>
      <c r="I241" s="65" t="s">
        <v>774</v>
      </c>
      <c r="J241" s="65" t="s">
        <v>775</v>
      </c>
      <c r="K241" s="65" t="s">
        <v>37</v>
      </c>
      <c r="L241" s="65" t="s">
        <v>995</v>
      </c>
      <c r="M241" s="65" t="s">
        <v>984</v>
      </c>
      <c r="N241" s="65" t="s">
        <v>798</v>
      </c>
      <c r="O241" s="65" t="s">
        <v>1004</v>
      </c>
      <c r="P241" s="65" t="s">
        <v>1620</v>
      </c>
      <c r="Q241" s="65">
        <v>1</v>
      </c>
      <c r="R241" s="65" t="s">
        <v>42</v>
      </c>
      <c r="S241" s="65" t="s">
        <v>44</v>
      </c>
      <c r="T241" s="65" t="s">
        <v>44</v>
      </c>
      <c r="U241" s="65" t="s">
        <v>45</v>
      </c>
      <c r="V241" s="65" t="s">
        <v>60</v>
      </c>
      <c r="W241" s="65">
        <v>762.71</v>
      </c>
      <c r="X241" s="65" t="s">
        <v>289</v>
      </c>
      <c r="Y241" s="65" t="s">
        <v>48</v>
      </c>
      <c r="Z241" s="65" t="s">
        <v>49</v>
      </c>
      <c r="AA241" s="65"/>
      <c r="AB241" s="65"/>
    </row>
    <row r="242" spans="1:28" x14ac:dyDescent="0.3">
      <c r="A242" s="1">
        <v>46213</v>
      </c>
      <c r="B242" s="65" t="s">
        <v>1005</v>
      </c>
      <c r="C242" s="65" t="s">
        <v>268</v>
      </c>
      <c r="D242" s="65" t="s">
        <v>1006</v>
      </c>
      <c r="E242" s="65" t="s">
        <v>31</v>
      </c>
      <c r="F242" s="65" t="s">
        <v>1007</v>
      </c>
      <c r="G242" s="65" t="s">
        <v>981</v>
      </c>
      <c r="H242" s="65" t="s">
        <v>982</v>
      </c>
      <c r="I242" s="65" t="s">
        <v>774</v>
      </c>
      <c r="J242" s="65" t="s">
        <v>775</v>
      </c>
      <c r="K242" s="65" t="s">
        <v>37</v>
      </c>
      <c r="L242" s="65" t="s">
        <v>983</v>
      </c>
      <c r="M242" s="65" t="s">
        <v>984</v>
      </c>
      <c r="N242" s="65" t="s">
        <v>798</v>
      </c>
      <c r="O242" s="65" t="s">
        <v>1008</v>
      </c>
      <c r="P242" s="65" t="s">
        <v>288</v>
      </c>
      <c r="Q242" s="65">
        <v>1</v>
      </c>
      <c r="R242" s="65" t="s">
        <v>42</v>
      </c>
      <c r="S242" s="65" t="s">
        <v>44</v>
      </c>
      <c r="T242" s="65" t="s">
        <v>44</v>
      </c>
      <c r="U242" s="65" t="s">
        <v>45</v>
      </c>
      <c r="V242" s="65" t="s">
        <v>60</v>
      </c>
      <c r="W242" s="65">
        <v>0</v>
      </c>
      <c r="X242" s="65" t="s">
        <v>289</v>
      </c>
      <c r="Y242" s="65" t="s">
        <v>48</v>
      </c>
      <c r="Z242" s="65" t="s">
        <v>49</v>
      </c>
      <c r="AA242" s="65"/>
      <c r="AB242" s="65"/>
    </row>
    <row r="243" spans="1:28" x14ac:dyDescent="0.3">
      <c r="A243" s="1">
        <v>46213</v>
      </c>
      <c r="B243" s="65" t="s">
        <v>1005</v>
      </c>
      <c r="C243" s="65" t="s">
        <v>268</v>
      </c>
      <c r="D243" s="65" t="s">
        <v>1006</v>
      </c>
      <c r="E243" s="65" t="s">
        <v>31</v>
      </c>
      <c r="F243" s="65" t="s">
        <v>1007</v>
      </c>
      <c r="G243" s="65" t="s">
        <v>981</v>
      </c>
      <c r="H243" s="65" t="s">
        <v>982</v>
      </c>
      <c r="I243" s="65" t="s">
        <v>774</v>
      </c>
      <c r="J243" s="65" t="s">
        <v>775</v>
      </c>
      <c r="K243" s="65" t="s">
        <v>37</v>
      </c>
      <c r="L243" s="65" t="s">
        <v>983</v>
      </c>
      <c r="M243" s="65" t="s">
        <v>984</v>
      </c>
      <c r="N243" s="65" t="s">
        <v>798</v>
      </c>
      <c r="O243" s="65" t="s">
        <v>1008</v>
      </c>
      <c r="P243" s="65" t="s">
        <v>1620</v>
      </c>
      <c r="Q243" s="65">
        <v>1</v>
      </c>
      <c r="R243" s="65" t="s">
        <v>42</v>
      </c>
      <c r="S243" s="65" t="s">
        <v>44</v>
      </c>
      <c r="T243" s="65" t="s">
        <v>44</v>
      </c>
      <c r="U243" s="65" t="s">
        <v>45</v>
      </c>
      <c r="V243" s="65" t="s">
        <v>60</v>
      </c>
      <c r="W243" s="65">
        <v>762.71</v>
      </c>
      <c r="X243" s="65" t="s">
        <v>289</v>
      </c>
      <c r="Y243" s="65" t="s">
        <v>48</v>
      </c>
      <c r="Z243" s="65" t="s">
        <v>49</v>
      </c>
      <c r="AA243" s="65"/>
      <c r="AB243" s="65"/>
    </row>
    <row r="244" spans="1:28" x14ac:dyDescent="0.3">
      <c r="A244" s="1">
        <v>46213</v>
      </c>
      <c r="B244" s="65" t="s">
        <v>586</v>
      </c>
      <c r="C244" s="65" t="s">
        <v>29</v>
      </c>
      <c r="D244" s="65" t="s">
        <v>587</v>
      </c>
      <c r="E244" s="65" t="s">
        <v>31</v>
      </c>
      <c r="F244" s="65" t="s">
        <v>588</v>
      </c>
      <c r="G244" s="65" t="s">
        <v>589</v>
      </c>
      <c r="H244" s="65" t="s">
        <v>590</v>
      </c>
      <c r="I244" s="65" t="s">
        <v>1073</v>
      </c>
      <c r="J244" s="65" t="s">
        <v>97</v>
      </c>
      <c r="K244" s="65" t="s">
        <v>37</v>
      </c>
      <c r="L244" s="65" t="s">
        <v>591</v>
      </c>
      <c r="M244" s="65" t="s">
        <v>592</v>
      </c>
      <c r="N244" s="65" t="s">
        <v>589</v>
      </c>
      <c r="O244" s="65" t="s">
        <v>593</v>
      </c>
      <c r="P244" s="65" t="s">
        <v>159</v>
      </c>
      <c r="Q244" s="65">
        <v>1</v>
      </c>
      <c r="R244" s="65" t="s">
        <v>70</v>
      </c>
      <c r="S244" s="65" t="s">
        <v>43</v>
      </c>
      <c r="T244" s="65" t="s">
        <v>44</v>
      </c>
      <c r="U244" s="65" t="s">
        <v>71</v>
      </c>
      <c r="V244" s="65" t="s">
        <v>72</v>
      </c>
      <c r="W244" s="65">
        <v>135.59</v>
      </c>
      <c r="X244" s="65" t="s">
        <v>47</v>
      </c>
      <c r="Y244" s="65" t="s">
        <v>48</v>
      </c>
      <c r="Z244" s="65" t="s">
        <v>73</v>
      </c>
      <c r="AA244" s="65">
        <v>999986041</v>
      </c>
      <c r="AB244" s="65" t="s">
        <v>1077</v>
      </c>
    </row>
    <row r="245" spans="1:28" x14ac:dyDescent="0.3">
      <c r="A245" s="1">
        <v>46213</v>
      </c>
      <c r="B245" s="65" t="s">
        <v>3554</v>
      </c>
      <c r="C245" s="65" t="s">
        <v>29</v>
      </c>
      <c r="D245" s="65" t="s">
        <v>1453</v>
      </c>
      <c r="E245" s="65" t="s">
        <v>31</v>
      </c>
      <c r="F245" s="65" t="s">
        <v>1461</v>
      </c>
      <c r="G245" s="65" t="s">
        <v>1455</v>
      </c>
      <c r="H245" s="65" t="s">
        <v>1456</v>
      </c>
      <c r="I245" s="65" t="s">
        <v>1700</v>
      </c>
      <c r="J245" s="65" t="s">
        <v>1165</v>
      </c>
      <c r="K245" s="65" t="s">
        <v>37</v>
      </c>
      <c r="L245" s="65" t="s">
        <v>1458</v>
      </c>
      <c r="M245" s="65" t="s">
        <v>1459</v>
      </c>
      <c r="N245" s="65" t="s">
        <v>1455</v>
      </c>
      <c r="O245" s="65" t="s">
        <v>1460</v>
      </c>
      <c r="P245" s="65" t="s">
        <v>159</v>
      </c>
      <c r="Q245" s="65">
        <v>1</v>
      </c>
      <c r="R245" s="65" t="s">
        <v>42</v>
      </c>
      <c r="S245" s="65" t="s">
        <v>44</v>
      </c>
      <c r="T245" s="65" t="s">
        <v>44</v>
      </c>
      <c r="U245" s="65" t="s">
        <v>45</v>
      </c>
      <c r="V245" s="65" t="s">
        <v>60</v>
      </c>
      <c r="W245" s="65">
        <v>135.59</v>
      </c>
      <c r="X245" s="65" t="s">
        <v>47</v>
      </c>
      <c r="Y245" s="65" t="s">
        <v>48</v>
      </c>
      <c r="Z245" s="65" t="s">
        <v>49</v>
      </c>
      <c r="AA245" s="65"/>
      <c r="AB245" s="65"/>
    </row>
    <row r="246" spans="1:28" x14ac:dyDescent="0.3">
      <c r="A246" s="1">
        <v>46213</v>
      </c>
      <c r="B246" s="65" t="s">
        <v>1452</v>
      </c>
      <c r="C246" s="65" t="s">
        <v>399</v>
      </c>
      <c r="D246" s="65" t="s">
        <v>1453</v>
      </c>
      <c r="E246" s="65" t="s">
        <v>400</v>
      </c>
      <c r="F246" s="65" t="s">
        <v>1454</v>
      </c>
      <c r="G246" s="65" t="s">
        <v>1455</v>
      </c>
      <c r="H246" s="65" t="s">
        <v>1456</v>
      </c>
      <c r="I246" s="65" t="s">
        <v>1700</v>
      </c>
      <c r="J246" s="65" t="s">
        <v>1165</v>
      </c>
      <c r="K246" s="65" t="s">
        <v>400</v>
      </c>
      <c r="L246" s="65" t="s">
        <v>1458</v>
      </c>
      <c r="M246" s="65" t="s">
        <v>1459</v>
      </c>
      <c r="N246" s="65" t="s">
        <v>1455</v>
      </c>
      <c r="O246" s="65" t="s">
        <v>1460</v>
      </c>
      <c r="P246" s="65" t="s">
        <v>159</v>
      </c>
      <c r="Q246" s="65">
        <v>1</v>
      </c>
      <c r="R246" s="65" t="s">
        <v>42</v>
      </c>
      <c r="S246" s="65" t="s">
        <v>44</v>
      </c>
      <c r="T246" s="65" t="s">
        <v>44</v>
      </c>
      <c r="U246" s="65" t="s">
        <v>45</v>
      </c>
      <c r="V246" s="65" t="s">
        <v>60</v>
      </c>
      <c r="W246" s="65">
        <v>-135.59</v>
      </c>
      <c r="X246" s="65" t="s">
        <v>47</v>
      </c>
      <c r="Y246" s="65" t="s">
        <v>48</v>
      </c>
      <c r="Z246" s="65" t="s">
        <v>49</v>
      </c>
      <c r="AA246" s="65"/>
      <c r="AB246" s="65"/>
    </row>
    <row r="247" spans="1:28" x14ac:dyDescent="0.3">
      <c r="A247" s="1">
        <v>46214</v>
      </c>
      <c r="B247" s="65" t="s">
        <v>594</v>
      </c>
      <c r="C247" s="65" t="s">
        <v>29</v>
      </c>
      <c r="D247" s="65" t="s">
        <v>595</v>
      </c>
      <c r="E247" s="65" t="s">
        <v>31</v>
      </c>
      <c r="F247" s="65" t="s">
        <v>596</v>
      </c>
      <c r="G247" s="65" t="s">
        <v>597</v>
      </c>
      <c r="H247" s="65" t="s">
        <v>598</v>
      </c>
      <c r="I247" s="65" t="s">
        <v>434</v>
      </c>
      <c r="J247" s="65" t="s">
        <v>435</v>
      </c>
      <c r="K247" s="65" t="s">
        <v>37</v>
      </c>
      <c r="L247" s="65" t="s">
        <v>599</v>
      </c>
      <c r="M247" s="65" t="s">
        <v>600</v>
      </c>
      <c r="N247" s="65" t="s">
        <v>597</v>
      </c>
      <c r="O247" s="65" t="s">
        <v>601</v>
      </c>
      <c r="P247" s="65" t="s">
        <v>90</v>
      </c>
      <c r="Q247" s="65">
        <v>1</v>
      </c>
      <c r="R247" s="65" t="s">
        <v>70</v>
      </c>
      <c r="S247" s="65" t="s">
        <v>43</v>
      </c>
      <c r="T247" s="65" t="s">
        <v>44</v>
      </c>
      <c r="U247" s="65" t="s">
        <v>71</v>
      </c>
      <c r="V247" s="65" t="s">
        <v>72</v>
      </c>
      <c r="W247" s="65">
        <v>135.59</v>
      </c>
      <c r="X247" s="65" t="s">
        <v>47</v>
      </c>
      <c r="Y247" s="65" t="s">
        <v>48</v>
      </c>
      <c r="Z247" s="65" t="s">
        <v>73</v>
      </c>
      <c r="AA247" s="65">
        <v>992903716</v>
      </c>
      <c r="AB247" s="65" t="s">
        <v>439</v>
      </c>
    </row>
    <row r="248" spans="1:28" x14ac:dyDescent="0.3">
      <c r="A248" s="1">
        <v>46214</v>
      </c>
      <c r="B248" s="65" t="s">
        <v>594</v>
      </c>
      <c r="C248" s="65" t="s">
        <v>29</v>
      </c>
      <c r="D248" s="65" t="s">
        <v>595</v>
      </c>
      <c r="E248" s="65" t="s">
        <v>31</v>
      </c>
      <c r="F248" s="65" t="s">
        <v>596</v>
      </c>
      <c r="G248" s="65" t="s">
        <v>597</v>
      </c>
      <c r="H248" s="65" t="s">
        <v>598</v>
      </c>
      <c r="I248" s="65" t="s">
        <v>434</v>
      </c>
      <c r="J248" s="65" t="s">
        <v>435</v>
      </c>
      <c r="K248" s="65" t="s">
        <v>37</v>
      </c>
      <c r="L248" s="65" t="s">
        <v>599</v>
      </c>
      <c r="M248" s="65" t="s">
        <v>600</v>
      </c>
      <c r="N248" s="65" t="s">
        <v>597</v>
      </c>
      <c r="O248" s="65" t="s">
        <v>601</v>
      </c>
      <c r="P248" s="65" t="s">
        <v>101</v>
      </c>
      <c r="Q248" s="65">
        <v>1</v>
      </c>
      <c r="R248" s="65" t="s">
        <v>70</v>
      </c>
      <c r="S248" s="65" t="s">
        <v>43</v>
      </c>
      <c r="T248" s="65" t="s">
        <v>44</v>
      </c>
      <c r="U248" s="65" t="s">
        <v>71</v>
      </c>
      <c r="V248" s="65" t="s">
        <v>72</v>
      </c>
      <c r="W248" s="65">
        <v>186.44</v>
      </c>
      <c r="X248" s="65" t="s">
        <v>47</v>
      </c>
      <c r="Y248" s="65" t="s">
        <v>48</v>
      </c>
      <c r="Z248" s="65" t="s">
        <v>73</v>
      </c>
      <c r="AA248" s="65">
        <v>992903716</v>
      </c>
      <c r="AB248" s="65" t="s">
        <v>439</v>
      </c>
    </row>
    <row r="249" spans="1:28" x14ac:dyDescent="0.3">
      <c r="A249" s="1">
        <v>46214</v>
      </c>
      <c r="B249" s="65" t="s">
        <v>1133</v>
      </c>
      <c r="C249" s="65" t="s">
        <v>268</v>
      </c>
      <c r="D249" s="65" t="s">
        <v>1134</v>
      </c>
      <c r="E249" s="65" t="s">
        <v>31</v>
      </c>
      <c r="F249" s="65" t="s">
        <v>1135</v>
      </c>
      <c r="G249" s="65" t="s">
        <v>1117</v>
      </c>
      <c r="H249" s="65" t="s">
        <v>1118</v>
      </c>
      <c r="I249" s="65" t="s">
        <v>1119</v>
      </c>
      <c r="J249" s="65" t="s">
        <v>1120</v>
      </c>
      <c r="K249" s="65" t="s">
        <v>37</v>
      </c>
      <c r="L249" s="65" t="s">
        <v>1121</v>
      </c>
      <c r="M249" s="65" t="s">
        <v>1122</v>
      </c>
      <c r="N249" s="65" t="s">
        <v>552</v>
      </c>
      <c r="O249" s="65" t="s">
        <v>1136</v>
      </c>
      <c r="P249" s="65" t="s">
        <v>288</v>
      </c>
      <c r="Q249" s="65">
        <v>1</v>
      </c>
      <c r="R249" s="65" t="s">
        <v>42</v>
      </c>
      <c r="S249" s="65" t="s">
        <v>44</v>
      </c>
      <c r="T249" s="65" t="s">
        <v>44</v>
      </c>
      <c r="U249" s="65" t="s">
        <v>45</v>
      </c>
      <c r="V249" s="65" t="s">
        <v>46</v>
      </c>
      <c r="W249" s="65">
        <v>0</v>
      </c>
      <c r="X249" s="65" t="s">
        <v>289</v>
      </c>
      <c r="Y249" s="65" t="s">
        <v>48</v>
      </c>
      <c r="Z249" s="65" t="s">
        <v>49</v>
      </c>
      <c r="AA249" s="65">
        <v>993540760</v>
      </c>
      <c r="AB249" s="65" t="s">
        <v>1124</v>
      </c>
    </row>
    <row r="250" spans="1:28" x14ac:dyDescent="0.3">
      <c r="A250" s="1">
        <v>46214</v>
      </c>
      <c r="B250" s="65" t="s">
        <v>1133</v>
      </c>
      <c r="C250" s="65" t="s">
        <v>268</v>
      </c>
      <c r="D250" s="65" t="s">
        <v>1134</v>
      </c>
      <c r="E250" s="65" t="s">
        <v>31</v>
      </c>
      <c r="F250" s="65" t="s">
        <v>1135</v>
      </c>
      <c r="G250" s="65" t="s">
        <v>1117</v>
      </c>
      <c r="H250" s="65" t="s">
        <v>1118</v>
      </c>
      <c r="I250" s="65" t="s">
        <v>1119</v>
      </c>
      <c r="J250" s="65" t="s">
        <v>1120</v>
      </c>
      <c r="K250" s="65" t="s">
        <v>37</v>
      </c>
      <c r="L250" s="65" t="s">
        <v>1121</v>
      </c>
      <c r="M250" s="65" t="s">
        <v>1122</v>
      </c>
      <c r="N250" s="65" t="s">
        <v>552</v>
      </c>
      <c r="O250" s="65" t="s">
        <v>1136</v>
      </c>
      <c r="P250" s="65" t="s">
        <v>1620</v>
      </c>
      <c r="Q250" s="65">
        <v>1</v>
      </c>
      <c r="R250" s="65" t="s">
        <v>42</v>
      </c>
      <c r="S250" s="65" t="s">
        <v>44</v>
      </c>
      <c r="T250" s="65" t="s">
        <v>44</v>
      </c>
      <c r="U250" s="65" t="s">
        <v>45</v>
      </c>
      <c r="V250" s="65" t="s">
        <v>46</v>
      </c>
      <c r="W250" s="65">
        <v>550.85</v>
      </c>
      <c r="X250" s="65" t="s">
        <v>289</v>
      </c>
      <c r="Y250" s="65" t="s">
        <v>48</v>
      </c>
      <c r="Z250" s="65" t="s">
        <v>49</v>
      </c>
      <c r="AA250" s="65">
        <v>993540760</v>
      </c>
      <c r="AB250" s="65" t="s">
        <v>1124</v>
      </c>
    </row>
    <row r="251" spans="1:28" x14ac:dyDescent="0.3">
      <c r="A251" s="1">
        <v>46216</v>
      </c>
      <c r="B251" s="65" t="s">
        <v>3555</v>
      </c>
      <c r="C251" s="65" t="s">
        <v>268</v>
      </c>
      <c r="D251" s="65" t="s">
        <v>3556</v>
      </c>
      <c r="E251" s="65" t="s">
        <v>31</v>
      </c>
      <c r="F251" s="65" t="s">
        <v>3557</v>
      </c>
      <c r="G251" s="65" t="s">
        <v>3558</v>
      </c>
      <c r="H251" s="65" t="s">
        <v>3559</v>
      </c>
      <c r="I251" s="65" t="s">
        <v>477</v>
      </c>
      <c r="J251" s="65" t="s">
        <v>209</v>
      </c>
      <c r="K251" s="65" t="s">
        <v>37</v>
      </c>
      <c r="L251" s="65" t="s">
        <v>3560</v>
      </c>
      <c r="M251" s="65" t="s">
        <v>3561</v>
      </c>
      <c r="N251" s="65" t="s">
        <v>486</v>
      </c>
      <c r="O251" s="65" t="s">
        <v>3562</v>
      </c>
      <c r="P251" s="65" t="s">
        <v>59</v>
      </c>
      <c r="Q251" s="65">
        <v>1</v>
      </c>
      <c r="R251" s="65" t="s">
        <v>42</v>
      </c>
      <c r="S251" s="65" t="s">
        <v>44</v>
      </c>
      <c r="T251" s="65" t="s">
        <v>44</v>
      </c>
      <c r="U251" s="65" t="s">
        <v>45</v>
      </c>
      <c r="V251" s="65" t="s">
        <v>46</v>
      </c>
      <c r="W251" s="65">
        <v>101.69</v>
      </c>
      <c r="X251" s="65" t="s">
        <v>61</v>
      </c>
      <c r="Y251" s="65" t="s">
        <v>48</v>
      </c>
      <c r="Z251" s="65" t="s">
        <v>49</v>
      </c>
      <c r="AA251" s="65">
        <v>982536223</v>
      </c>
      <c r="AB251" s="65" t="s">
        <v>482</v>
      </c>
    </row>
    <row r="252" spans="1:28" x14ac:dyDescent="0.3">
      <c r="A252" s="1">
        <v>46216</v>
      </c>
      <c r="B252" s="65" t="s">
        <v>3563</v>
      </c>
      <c r="C252" s="65" t="s">
        <v>29</v>
      </c>
      <c r="D252" s="65" t="s">
        <v>3564</v>
      </c>
      <c r="E252" s="65" t="s">
        <v>31</v>
      </c>
      <c r="F252" s="65" t="s">
        <v>3565</v>
      </c>
      <c r="G252" s="65" t="s">
        <v>3566</v>
      </c>
      <c r="H252" s="65" t="s">
        <v>3567</v>
      </c>
      <c r="I252" s="65"/>
      <c r="J252" s="65"/>
      <c r="K252" s="65" t="s">
        <v>37</v>
      </c>
      <c r="L252" s="65" t="s">
        <v>3568</v>
      </c>
      <c r="M252" s="65" t="s">
        <v>3569</v>
      </c>
      <c r="N252" s="65" t="s">
        <v>3566</v>
      </c>
      <c r="O252" s="65" t="s">
        <v>3570</v>
      </c>
      <c r="P252" s="65" t="s">
        <v>159</v>
      </c>
      <c r="Q252" s="65">
        <v>1</v>
      </c>
      <c r="R252" s="65" t="s">
        <v>42</v>
      </c>
      <c r="S252" s="65" t="s">
        <v>44</v>
      </c>
      <c r="T252" s="65" t="s">
        <v>44</v>
      </c>
      <c r="U252" s="65" t="s">
        <v>45</v>
      </c>
      <c r="V252" s="65" t="s">
        <v>46</v>
      </c>
      <c r="W252" s="65">
        <v>135.59</v>
      </c>
      <c r="X252" s="65" t="s">
        <v>47</v>
      </c>
      <c r="Y252" s="65" t="s">
        <v>48</v>
      </c>
      <c r="Z252" s="65" t="s">
        <v>49</v>
      </c>
      <c r="AA252" s="65"/>
      <c r="AB252" s="65"/>
    </row>
    <row r="253" spans="1:28" x14ac:dyDescent="0.3">
      <c r="A253" s="1">
        <v>46216</v>
      </c>
      <c r="B253" s="65" t="s">
        <v>3571</v>
      </c>
      <c r="C253" s="65" t="s">
        <v>29</v>
      </c>
      <c r="D253" s="65" t="s">
        <v>3572</v>
      </c>
      <c r="E253" s="65" t="s">
        <v>31</v>
      </c>
      <c r="F253" s="65" t="s">
        <v>3573</v>
      </c>
      <c r="G253" s="65" t="s">
        <v>3574</v>
      </c>
      <c r="H253" s="65" t="s">
        <v>3575</v>
      </c>
      <c r="I253" s="65"/>
      <c r="J253" s="65"/>
      <c r="K253" s="65" t="s">
        <v>37</v>
      </c>
      <c r="L253" s="65" t="s">
        <v>3576</v>
      </c>
      <c r="M253" s="65" t="s">
        <v>3577</v>
      </c>
      <c r="N253" s="65" t="s">
        <v>3574</v>
      </c>
      <c r="O253" s="65" t="s">
        <v>3578</v>
      </c>
      <c r="P253" s="65" t="s">
        <v>41</v>
      </c>
      <c r="Q253" s="65">
        <v>1</v>
      </c>
      <c r="R253" s="65" t="s">
        <v>42</v>
      </c>
      <c r="S253" s="65" t="s">
        <v>44</v>
      </c>
      <c r="T253" s="65" t="s">
        <v>44</v>
      </c>
      <c r="U253" s="65" t="s">
        <v>45</v>
      </c>
      <c r="V253" s="65" t="s">
        <v>60</v>
      </c>
      <c r="W253" s="65">
        <v>186.44</v>
      </c>
      <c r="X253" s="65" t="s">
        <v>47</v>
      </c>
      <c r="Y253" s="65" t="s">
        <v>48</v>
      </c>
      <c r="Z253" s="65" t="s">
        <v>49</v>
      </c>
      <c r="AA253" s="65"/>
      <c r="AB253" s="65"/>
    </row>
    <row r="254" spans="1:28" x14ac:dyDescent="0.3">
      <c r="A254" s="1">
        <v>46216</v>
      </c>
      <c r="B254" s="65" t="s">
        <v>3571</v>
      </c>
      <c r="C254" s="65" t="s">
        <v>29</v>
      </c>
      <c r="D254" s="65" t="s">
        <v>3572</v>
      </c>
      <c r="E254" s="65" t="s">
        <v>31</v>
      </c>
      <c r="F254" s="65" t="s">
        <v>3573</v>
      </c>
      <c r="G254" s="65" t="s">
        <v>3574</v>
      </c>
      <c r="H254" s="65" t="s">
        <v>3575</v>
      </c>
      <c r="I254" s="65"/>
      <c r="J254" s="65"/>
      <c r="K254" s="65" t="s">
        <v>37</v>
      </c>
      <c r="L254" s="65" t="s">
        <v>3576</v>
      </c>
      <c r="M254" s="65" t="s">
        <v>3577</v>
      </c>
      <c r="N254" s="65" t="s">
        <v>3574</v>
      </c>
      <c r="O254" s="65" t="s">
        <v>3578</v>
      </c>
      <c r="P254" s="65" t="s">
        <v>101</v>
      </c>
      <c r="Q254" s="65">
        <v>1</v>
      </c>
      <c r="R254" s="65" t="s">
        <v>42</v>
      </c>
      <c r="S254" s="65" t="s">
        <v>44</v>
      </c>
      <c r="T254" s="65" t="s">
        <v>44</v>
      </c>
      <c r="U254" s="65" t="s">
        <v>45</v>
      </c>
      <c r="V254" s="65" t="s">
        <v>60</v>
      </c>
      <c r="W254" s="65">
        <v>186.44</v>
      </c>
      <c r="X254" s="65" t="s">
        <v>47</v>
      </c>
      <c r="Y254" s="65" t="s">
        <v>48</v>
      </c>
      <c r="Z254" s="65" t="s">
        <v>49</v>
      </c>
      <c r="AA254" s="65"/>
      <c r="AB254" s="65"/>
    </row>
    <row r="255" spans="1:28" x14ac:dyDescent="0.3">
      <c r="A255" s="1">
        <v>46216</v>
      </c>
      <c r="B255" s="65" t="s">
        <v>3579</v>
      </c>
      <c r="C255" s="65" t="s">
        <v>29</v>
      </c>
      <c r="D255" s="65" t="s">
        <v>3580</v>
      </c>
      <c r="E255" s="65" t="s">
        <v>31</v>
      </c>
      <c r="F255" s="65" t="s">
        <v>3581</v>
      </c>
      <c r="G255" s="65" t="s">
        <v>3582</v>
      </c>
      <c r="H255" s="65" t="s">
        <v>3583</v>
      </c>
      <c r="I255" s="65"/>
      <c r="J255" s="65"/>
      <c r="K255" s="65" t="s">
        <v>37</v>
      </c>
      <c r="L255" s="65" t="s">
        <v>3584</v>
      </c>
      <c r="M255" s="65" t="s">
        <v>3585</v>
      </c>
      <c r="N255" s="65" t="s">
        <v>3582</v>
      </c>
      <c r="O255" s="65" t="s">
        <v>3586</v>
      </c>
      <c r="P255" s="65" t="s">
        <v>159</v>
      </c>
      <c r="Q255" s="65">
        <v>1</v>
      </c>
      <c r="R255" s="65" t="s">
        <v>42</v>
      </c>
      <c r="S255" s="65" t="s">
        <v>44</v>
      </c>
      <c r="T255" s="65" t="s">
        <v>44</v>
      </c>
      <c r="U255" s="65" t="s">
        <v>45</v>
      </c>
      <c r="V255" s="65" t="s">
        <v>46</v>
      </c>
      <c r="W255" s="65">
        <v>135.59</v>
      </c>
      <c r="X255" s="65" t="s">
        <v>47</v>
      </c>
      <c r="Y255" s="65" t="s">
        <v>48</v>
      </c>
      <c r="Z255" s="65" t="s">
        <v>49</v>
      </c>
      <c r="AA255" s="65"/>
      <c r="AB255" s="65"/>
    </row>
    <row r="256" spans="1:28" x14ac:dyDescent="0.3">
      <c r="A256" s="1">
        <v>46216</v>
      </c>
      <c r="B256" s="65" t="s">
        <v>3587</v>
      </c>
      <c r="C256" s="65" t="s">
        <v>29</v>
      </c>
      <c r="D256" s="65" t="s">
        <v>3588</v>
      </c>
      <c r="E256" s="65" t="s">
        <v>31</v>
      </c>
      <c r="F256" s="65" t="s">
        <v>3589</v>
      </c>
      <c r="G256" s="65" t="s">
        <v>354</v>
      </c>
      <c r="H256" s="65" t="s">
        <v>355</v>
      </c>
      <c r="I256" s="65"/>
      <c r="J256" s="65"/>
      <c r="K256" s="65" t="s">
        <v>37</v>
      </c>
      <c r="L256" s="65" t="s">
        <v>356</v>
      </c>
      <c r="M256" s="65" t="s">
        <v>357</v>
      </c>
      <c r="N256" s="65" t="s">
        <v>354</v>
      </c>
      <c r="O256" s="65" t="s">
        <v>3590</v>
      </c>
      <c r="P256" s="65" t="s">
        <v>159</v>
      </c>
      <c r="Q256" s="65">
        <v>1</v>
      </c>
      <c r="R256" s="65" t="s">
        <v>42</v>
      </c>
      <c r="S256" s="65" t="s">
        <v>44</v>
      </c>
      <c r="T256" s="65" t="s">
        <v>44</v>
      </c>
      <c r="U256" s="65" t="s">
        <v>45</v>
      </c>
      <c r="V256" s="65" t="s">
        <v>60</v>
      </c>
      <c r="W256" s="65">
        <v>135.59</v>
      </c>
      <c r="X256" s="65" t="s">
        <v>47</v>
      </c>
      <c r="Y256" s="65" t="s">
        <v>48</v>
      </c>
      <c r="Z256" s="65" t="s">
        <v>49</v>
      </c>
      <c r="AA256" s="65"/>
      <c r="AB256" s="65"/>
    </row>
    <row r="257" spans="1:28" x14ac:dyDescent="0.3">
      <c r="A257" s="1">
        <v>46216</v>
      </c>
      <c r="B257" s="65" t="s">
        <v>3591</v>
      </c>
      <c r="C257" s="65" t="s">
        <v>29</v>
      </c>
      <c r="D257" s="65" t="s">
        <v>3592</v>
      </c>
      <c r="E257" s="65" t="s">
        <v>31</v>
      </c>
      <c r="F257" s="65" t="s">
        <v>3593</v>
      </c>
      <c r="G257" s="65" t="s">
        <v>3594</v>
      </c>
      <c r="H257" s="65" t="s">
        <v>3595</v>
      </c>
      <c r="I257" s="65"/>
      <c r="J257" s="65"/>
      <c r="K257" s="65" t="s">
        <v>37</v>
      </c>
      <c r="L257" s="65" t="s">
        <v>3596</v>
      </c>
      <c r="M257" s="65" t="s">
        <v>3597</v>
      </c>
      <c r="N257" s="65" t="s">
        <v>3594</v>
      </c>
      <c r="O257" s="65" t="s">
        <v>3598</v>
      </c>
      <c r="P257" s="65" t="s">
        <v>101</v>
      </c>
      <c r="Q257" s="65">
        <v>1</v>
      </c>
      <c r="R257" s="65" t="s">
        <v>42</v>
      </c>
      <c r="S257" s="65" t="s">
        <v>44</v>
      </c>
      <c r="T257" s="65" t="s">
        <v>44</v>
      </c>
      <c r="U257" s="65" t="s">
        <v>45</v>
      </c>
      <c r="V257" s="65" t="s">
        <v>46</v>
      </c>
      <c r="W257" s="65">
        <v>186.44</v>
      </c>
      <c r="X257" s="65" t="s">
        <v>47</v>
      </c>
      <c r="Y257" s="65" t="s">
        <v>48</v>
      </c>
      <c r="Z257" s="65" t="s">
        <v>49</v>
      </c>
      <c r="AA257" s="65"/>
      <c r="AB257" s="65"/>
    </row>
    <row r="258" spans="1:28" x14ac:dyDescent="0.3">
      <c r="A258" s="1">
        <v>46217</v>
      </c>
      <c r="B258" s="65" t="s">
        <v>3599</v>
      </c>
      <c r="C258" s="65" t="s">
        <v>268</v>
      </c>
      <c r="D258" s="65" t="s">
        <v>3600</v>
      </c>
      <c r="E258" s="65" t="s">
        <v>31</v>
      </c>
      <c r="F258" s="65" t="s">
        <v>3601</v>
      </c>
      <c r="G258" s="65" t="s">
        <v>3602</v>
      </c>
      <c r="H258" s="65" t="s">
        <v>3603</v>
      </c>
      <c r="I258" s="65"/>
      <c r="J258" s="65"/>
      <c r="K258" s="65" t="s">
        <v>37</v>
      </c>
      <c r="L258" s="65" t="s">
        <v>3604</v>
      </c>
      <c r="M258" s="65" t="s">
        <v>3605</v>
      </c>
      <c r="N258" s="65" t="s">
        <v>3606</v>
      </c>
      <c r="O258" s="65" t="s">
        <v>3607</v>
      </c>
      <c r="P258" s="65" t="s">
        <v>202</v>
      </c>
      <c r="Q258" s="65">
        <v>1</v>
      </c>
      <c r="R258" s="65" t="s">
        <v>42</v>
      </c>
      <c r="S258" s="65" t="s">
        <v>44</v>
      </c>
      <c r="T258" s="65" t="s">
        <v>44</v>
      </c>
      <c r="U258" s="65" t="s">
        <v>45</v>
      </c>
      <c r="V258" s="65" t="s">
        <v>46</v>
      </c>
      <c r="W258" s="65">
        <v>135.59</v>
      </c>
      <c r="X258" s="65" t="s">
        <v>47</v>
      </c>
      <c r="Y258" s="65" t="s">
        <v>48</v>
      </c>
      <c r="Z258" s="65" t="s">
        <v>49</v>
      </c>
      <c r="AA258" s="65"/>
      <c r="AB258" s="65"/>
    </row>
    <row r="259" spans="1:28" x14ac:dyDescent="0.3">
      <c r="A259" s="1">
        <v>46217</v>
      </c>
      <c r="B259" s="65" t="s">
        <v>3608</v>
      </c>
      <c r="C259" s="65" t="s">
        <v>29</v>
      </c>
      <c r="D259" s="65" t="s">
        <v>3609</v>
      </c>
      <c r="E259" s="65" t="s">
        <v>31</v>
      </c>
      <c r="F259" s="65" t="s">
        <v>3610</v>
      </c>
      <c r="G259" s="65" t="s">
        <v>3611</v>
      </c>
      <c r="H259" s="65" t="s">
        <v>3612</v>
      </c>
      <c r="I259" s="65" t="s">
        <v>774</v>
      </c>
      <c r="J259" s="65" t="s">
        <v>775</v>
      </c>
      <c r="K259" s="65" t="s">
        <v>37</v>
      </c>
      <c r="L259" s="65" t="s">
        <v>3613</v>
      </c>
      <c r="M259" s="65" t="s">
        <v>3614</v>
      </c>
      <c r="N259" s="65" t="s">
        <v>3611</v>
      </c>
      <c r="O259" s="65" t="s">
        <v>3615</v>
      </c>
      <c r="P259" s="65" t="s">
        <v>641</v>
      </c>
      <c r="Q259" s="65">
        <v>1</v>
      </c>
      <c r="R259" s="65" t="s">
        <v>42</v>
      </c>
      <c r="S259" s="65" t="s">
        <v>44</v>
      </c>
      <c r="T259" s="65" t="s">
        <v>44</v>
      </c>
      <c r="U259" s="65" t="s">
        <v>45</v>
      </c>
      <c r="V259" s="65" t="s">
        <v>60</v>
      </c>
      <c r="W259" s="65">
        <v>84.75</v>
      </c>
      <c r="X259" s="65" t="s">
        <v>47</v>
      </c>
      <c r="Y259" s="65" t="s">
        <v>48</v>
      </c>
      <c r="Z259" s="65" t="s">
        <v>49</v>
      </c>
      <c r="AA259" s="65"/>
      <c r="AB259" s="65"/>
    </row>
    <row r="260" spans="1:28" x14ac:dyDescent="0.3">
      <c r="A260" s="1">
        <v>46217</v>
      </c>
      <c r="B260" s="65" t="s">
        <v>3616</v>
      </c>
      <c r="C260" s="65" t="s">
        <v>29</v>
      </c>
      <c r="D260" s="65" t="s">
        <v>3617</v>
      </c>
      <c r="E260" s="65" t="s">
        <v>31</v>
      </c>
      <c r="F260" s="65" t="s">
        <v>3618</v>
      </c>
      <c r="G260" s="65" t="s">
        <v>3619</v>
      </c>
      <c r="H260" s="65" t="s">
        <v>3620</v>
      </c>
      <c r="I260" s="65" t="s">
        <v>774</v>
      </c>
      <c r="J260" s="65" t="s">
        <v>775</v>
      </c>
      <c r="K260" s="65" t="s">
        <v>37</v>
      </c>
      <c r="L260" s="65" t="s">
        <v>3621</v>
      </c>
      <c r="M260" s="65" t="s">
        <v>3622</v>
      </c>
      <c r="N260" s="65" t="s">
        <v>3619</v>
      </c>
      <c r="O260" s="65" t="s">
        <v>3623</v>
      </c>
      <c r="P260" s="65" t="s">
        <v>618</v>
      </c>
      <c r="Q260" s="65">
        <v>1</v>
      </c>
      <c r="R260" s="65" t="s">
        <v>42</v>
      </c>
      <c r="S260" s="65" t="s">
        <v>44</v>
      </c>
      <c r="T260" s="65" t="s">
        <v>44</v>
      </c>
      <c r="U260" s="65" t="s">
        <v>45</v>
      </c>
      <c r="V260" s="65" t="s">
        <v>46</v>
      </c>
      <c r="W260" s="65">
        <v>12.71</v>
      </c>
      <c r="X260" s="65" t="s">
        <v>619</v>
      </c>
      <c r="Y260" s="65" t="s">
        <v>48</v>
      </c>
      <c r="Z260" s="65" t="s">
        <v>49</v>
      </c>
      <c r="AA260" s="65"/>
      <c r="AB260" s="65"/>
    </row>
    <row r="261" spans="1:28" x14ac:dyDescent="0.3">
      <c r="A261" s="1">
        <v>46217</v>
      </c>
      <c r="B261" s="65" t="s">
        <v>3616</v>
      </c>
      <c r="C261" s="65" t="s">
        <v>29</v>
      </c>
      <c r="D261" s="65" t="s">
        <v>3617</v>
      </c>
      <c r="E261" s="65" t="s">
        <v>31</v>
      </c>
      <c r="F261" s="65" t="s">
        <v>3618</v>
      </c>
      <c r="G261" s="65" t="s">
        <v>3619</v>
      </c>
      <c r="H261" s="65" t="s">
        <v>3620</v>
      </c>
      <c r="I261" s="65" t="s">
        <v>774</v>
      </c>
      <c r="J261" s="65" t="s">
        <v>775</v>
      </c>
      <c r="K261" s="65" t="s">
        <v>37</v>
      </c>
      <c r="L261" s="65" t="s">
        <v>3621</v>
      </c>
      <c r="M261" s="65" t="s">
        <v>3622</v>
      </c>
      <c r="N261" s="65" t="s">
        <v>3619</v>
      </c>
      <c r="O261" s="65" t="s">
        <v>3623</v>
      </c>
      <c r="P261" s="65" t="s">
        <v>620</v>
      </c>
      <c r="Q261" s="65">
        <v>1</v>
      </c>
      <c r="R261" s="65" t="s">
        <v>42</v>
      </c>
      <c r="S261" s="65" t="s">
        <v>44</v>
      </c>
      <c r="T261" s="65" t="s">
        <v>44</v>
      </c>
      <c r="U261" s="65" t="s">
        <v>45</v>
      </c>
      <c r="V261" s="65" t="s">
        <v>46</v>
      </c>
      <c r="W261" s="65">
        <v>21.19</v>
      </c>
      <c r="X261" s="65" t="s">
        <v>619</v>
      </c>
      <c r="Y261" s="65" t="s">
        <v>48</v>
      </c>
      <c r="Z261" s="65" t="s">
        <v>49</v>
      </c>
      <c r="AA261" s="65"/>
      <c r="AB261" s="65"/>
    </row>
    <row r="262" spans="1:28" x14ac:dyDescent="0.3">
      <c r="A262" s="1">
        <v>46217</v>
      </c>
      <c r="B262" s="65" t="s">
        <v>3616</v>
      </c>
      <c r="C262" s="65" t="s">
        <v>29</v>
      </c>
      <c r="D262" s="65" t="s">
        <v>3617</v>
      </c>
      <c r="E262" s="65" t="s">
        <v>31</v>
      </c>
      <c r="F262" s="65" t="s">
        <v>3618</v>
      </c>
      <c r="G262" s="65" t="s">
        <v>3619</v>
      </c>
      <c r="H262" s="65" t="s">
        <v>3620</v>
      </c>
      <c r="I262" s="65" t="s">
        <v>774</v>
      </c>
      <c r="J262" s="65" t="s">
        <v>775</v>
      </c>
      <c r="K262" s="65" t="s">
        <v>37</v>
      </c>
      <c r="L262" s="65" t="s">
        <v>3621</v>
      </c>
      <c r="M262" s="65" t="s">
        <v>3622</v>
      </c>
      <c r="N262" s="65" t="s">
        <v>3619</v>
      </c>
      <c r="O262" s="65" t="s">
        <v>3623</v>
      </c>
      <c r="P262" s="65" t="s">
        <v>621</v>
      </c>
      <c r="Q262" s="65">
        <v>1</v>
      </c>
      <c r="R262" s="65" t="s">
        <v>42</v>
      </c>
      <c r="S262" s="65" t="s">
        <v>44</v>
      </c>
      <c r="T262" s="65" t="s">
        <v>44</v>
      </c>
      <c r="U262" s="65" t="s">
        <v>45</v>
      </c>
      <c r="V262" s="65" t="s">
        <v>46</v>
      </c>
      <c r="W262" s="65">
        <v>12.71</v>
      </c>
      <c r="X262" s="65" t="s">
        <v>619</v>
      </c>
      <c r="Y262" s="65" t="s">
        <v>48</v>
      </c>
      <c r="Z262" s="65" t="s">
        <v>49</v>
      </c>
      <c r="AA262" s="65"/>
      <c r="AB262" s="65"/>
    </row>
    <row r="263" spans="1:28" x14ac:dyDescent="0.3">
      <c r="A263" s="1">
        <v>46217</v>
      </c>
      <c r="B263" s="65" t="s">
        <v>3616</v>
      </c>
      <c r="C263" s="65" t="s">
        <v>29</v>
      </c>
      <c r="D263" s="65" t="s">
        <v>3617</v>
      </c>
      <c r="E263" s="65" t="s">
        <v>31</v>
      </c>
      <c r="F263" s="65" t="s">
        <v>3618</v>
      </c>
      <c r="G263" s="65" t="s">
        <v>3619</v>
      </c>
      <c r="H263" s="65" t="s">
        <v>3620</v>
      </c>
      <c r="I263" s="65" t="s">
        <v>774</v>
      </c>
      <c r="J263" s="65" t="s">
        <v>775</v>
      </c>
      <c r="K263" s="65" t="s">
        <v>37</v>
      </c>
      <c r="L263" s="65" t="s">
        <v>3621</v>
      </c>
      <c r="M263" s="65" t="s">
        <v>3622</v>
      </c>
      <c r="N263" s="65" t="s">
        <v>3619</v>
      </c>
      <c r="O263" s="65" t="s">
        <v>3623</v>
      </c>
      <c r="P263" s="65" t="s">
        <v>622</v>
      </c>
      <c r="Q263" s="65">
        <v>1</v>
      </c>
      <c r="R263" s="65" t="s">
        <v>42</v>
      </c>
      <c r="S263" s="65" t="s">
        <v>44</v>
      </c>
      <c r="T263" s="65" t="s">
        <v>44</v>
      </c>
      <c r="U263" s="65" t="s">
        <v>45</v>
      </c>
      <c r="V263" s="65" t="s">
        <v>46</v>
      </c>
      <c r="W263" s="65">
        <v>12.71</v>
      </c>
      <c r="X263" s="65" t="s">
        <v>619</v>
      </c>
      <c r="Y263" s="65" t="s">
        <v>48</v>
      </c>
      <c r="Z263" s="65" t="s">
        <v>49</v>
      </c>
      <c r="AA263" s="65"/>
      <c r="AB263" s="65"/>
    </row>
    <row r="264" spans="1:28" x14ac:dyDescent="0.3">
      <c r="A264" s="1">
        <v>46217</v>
      </c>
      <c r="B264" s="65" t="s">
        <v>3616</v>
      </c>
      <c r="C264" s="65" t="s">
        <v>29</v>
      </c>
      <c r="D264" s="65" t="s">
        <v>3617</v>
      </c>
      <c r="E264" s="65" t="s">
        <v>31</v>
      </c>
      <c r="F264" s="65" t="s">
        <v>3618</v>
      </c>
      <c r="G264" s="65" t="s">
        <v>3619</v>
      </c>
      <c r="H264" s="65" t="s">
        <v>3620</v>
      </c>
      <c r="I264" s="65" t="s">
        <v>774</v>
      </c>
      <c r="J264" s="65" t="s">
        <v>775</v>
      </c>
      <c r="K264" s="65" t="s">
        <v>37</v>
      </c>
      <c r="L264" s="65" t="s">
        <v>3621</v>
      </c>
      <c r="M264" s="65" t="s">
        <v>3622</v>
      </c>
      <c r="N264" s="65" t="s">
        <v>3619</v>
      </c>
      <c r="O264" s="65" t="s">
        <v>3623</v>
      </c>
      <c r="P264" s="65" t="s">
        <v>833</v>
      </c>
      <c r="Q264" s="65">
        <v>1</v>
      </c>
      <c r="R264" s="65" t="s">
        <v>42</v>
      </c>
      <c r="S264" s="65" t="s">
        <v>44</v>
      </c>
      <c r="T264" s="65" t="s">
        <v>44</v>
      </c>
      <c r="U264" s="65" t="s">
        <v>45</v>
      </c>
      <c r="V264" s="65" t="s">
        <v>46</v>
      </c>
      <c r="W264" s="65">
        <v>50.85</v>
      </c>
      <c r="X264" s="65" t="s">
        <v>619</v>
      </c>
      <c r="Y264" s="65" t="s">
        <v>48</v>
      </c>
      <c r="Z264" s="65" t="s">
        <v>49</v>
      </c>
      <c r="AA264" s="65"/>
      <c r="AB264" s="65"/>
    </row>
    <row r="265" spans="1:28" x14ac:dyDescent="0.3">
      <c r="A265" s="1">
        <v>46217</v>
      </c>
      <c r="B265" s="65" t="s">
        <v>3624</v>
      </c>
      <c r="C265" s="65" t="s">
        <v>29</v>
      </c>
      <c r="D265" s="65" t="s">
        <v>3625</v>
      </c>
      <c r="E265" s="65" t="s">
        <v>31</v>
      </c>
      <c r="F265" s="65" t="s">
        <v>3626</v>
      </c>
      <c r="G265" s="65" t="s">
        <v>3619</v>
      </c>
      <c r="H265" s="65" t="s">
        <v>3620</v>
      </c>
      <c r="I265" s="65" t="s">
        <v>774</v>
      </c>
      <c r="J265" s="65" t="s">
        <v>775</v>
      </c>
      <c r="K265" s="65" t="s">
        <v>37</v>
      </c>
      <c r="L265" s="65" t="s">
        <v>3621</v>
      </c>
      <c r="M265" s="65" t="s">
        <v>3622</v>
      </c>
      <c r="N265" s="65" t="s">
        <v>3619</v>
      </c>
      <c r="O265" s="65" t="s">
        <v>3627</v>
      </c>
      <c r="P265" s="65" t="s">
        <v>828</v>
      </c>
      <c r="Q265" s="65">
        <v>1</v>
      </c>
      <c r="R265" s="65" t="s">
        <v>42</v>
      </c>
      <c r="S265" s="65" t="s">
        <v>44</v>
      </c>
      <c r="T265" s="65" t="s">
        <v>44</v>
      </c>
      <c r="U265" s="65" t="s">
        <v>45</v>
      </c>
      <c r="V265" s="65" t="s">
        <v>46</v>
      </c>
      <c r="W265" s="65">
        <v>127.12</v>
      </c>
      <c r="X265" s="65" t="s">
        <v>47</v>
      </c>
      <c r="Y265" s="65" t="s">
        <v>48</v>
      </c>
      <c r="Z265" s="65" t="s">
        <v>49</v>
      </c>
      <c r="AA265" s="65"/>
      <c r="AB265" s="65"/>
    </row>
    <row r="266" spans="1:28" x14ac:dyDescent="0.3">
      <c r="A266" s="1">
        <v>46217</v>
      </c>
      <c r="B266" s="65" t="s">
        <v>3628</v>
      </c>
      <c r="C266" s="65" t="s">
        <v>29</v>
      </c>
      <c r="D266" s="65" t="s">
        <v>3629</v>
      </c>
      <c r="E266" s="65" t="s">
        <v>31</v>
      </c>
      <c r="F266" s="65" t="s">
        <v>3630</v>
      </c>
      <c r="G266" s="65" t="s">
        <v>3619</v>
      </c>
      <c r="H266" s="65" t="s">
        <v>3620</v>
      </c>
      <c r="I266" s="65" t="s">
        <v>774</v>
      </c>
      <c r="J266" s="65" t="s">
        <v>775</v>
      </c>
      <c r="K266" s="65" t="s">
        <v>37</v>
      </c>
      <c r="L266" s="65" t="s">
        <v>3621</v>
      </c>
      <c r="M266" s="65" t="s">
        <v>3622</v>
      </c>
      <c r="N266" s="65" t="s">
        <v>3619</v>
      </c>
      <c r="O266" s="65" t="s">
        <v>3631</v>
      </c>
      <c r="P266" s="65" t="s">
        <v>641</v>
      </c>
      <c r="Q266" s="65">
        <v>1</v>
      </c>
      <c r="R266" s="65" t="s">
        <v>42</v>
      </c>
      <c r="S266" s="65" t="s">
        <v>44</v>
      </c>
      <c r="T266" s="65" t="s">
        <v>44</v>
      </c>
      <c r="U266" s="65" t="s">
        <v>45</v>
      </c>
      <c r="V266" s="65" t="s">
        <v>46</v>
      </c>
      <c r="W266" s="65">
        <v>84.75</v>
      </c>
      <c r="X266" s="65" t="s">
        <v>47</v>
      </c>
      <c r="Y266" s="65" t="s">
        <v>48</v>
      </c>
      <c r="Z266" s="65" t="s">
        <v>49</v>
      </c>
      <c r="AA266" s="65"/>
      <c r="AB266" s="65"/>
    </row>
    <row r="267" spans="1:28" x14ac:dyDescent="0.3">
      <c r="A267" s="1">
        <v>46217</v>
      </c>
      <c r="B267" s="65" t="s">
        <v>3632</v>
      </c>
      <c r="C267" s="65" t="s">
        <v>29</v>
      </c>
      <c r="D267" s="65" t="s">
        <v>340</v>
      </c>
      <c r="E267" s="65" t="s">
        <v>31</v>
      </c>
      <c r="F267" s="65" t="s">
        <v>341</v>
      </c>
      <c r="G267" s="65" t="s">
        <v>3633</v>
      </c>
      <c r="H267" s="65" t="s">
        <v>3634</v>
      </c>
      <c r="I267" s="65" t="s">
        <v>774</v>
      </c>
      <c r="J267" s="65" t="s">
        <v>775</v>
      </c>
      <c r="K267" s="65" t="s">
        <v>37</v>
      </c>
      <c r="L267" s="65" t="s">
        <v>3635</v>
      </c>
      <c r="M267" s="65" t="s">
        <v>3636</v>
      </c>
      <c r="N267" s="65" t="s">
        <v>3633</v>
      </c>
      <c r="O267" s="65" t="s">
        <v>3637</v>
      </c>
      <c r="P267" s="65" t="s">
        <v>3638</v>
      </c>
      <c r="Q267" s="65">
        <v>1</v>
      </c>
      <c r="R267" s="65" t="s">
        <v>42</v>
      </c>
      <c r="S267" s="65" t="s">
        <v>44</v>
      </c>
      <c r="T267" s="65" t="s">
        <v>44</v>
      </c>
      <c r="U267" s="65" t="s">
        <v>45</v>
      </c>
      <c r="V267" s="65" t="s">
        <v>3639</v>
      </c>
      <c r="W267" s="65">
        <v>84.75</v>
      </c>
      <c r="X267" s="65" t="s">
        <v>3640</v>
      </c>
      <c r="Y267" s="65" t="s">
        <v>48</v>
      </c>
      <c r="Z267" s="65" t="s">
        <v>49</v>
      </c>
      <c r="AA267" s="65"/>
      <c r="AB267" s="65"/>
    </row>
    <row r="268" spans="1:28" x14ac:dyDescent="0.3">
      <c r="A268" s="1">
        <v>46217</v>
      </c>
      <c r="B268" s="65" t="s">
        <v>3641</v>
      </c>
      <c r="C268" s="65" t="s">
        <v>29</v>
      </c>
      <c r="D268" s="65" t="s">
        <v>3642</v>
      </c>
      <c r="E268" s="65" t="s">
        <v>31</v>
      </c>
      <c r="F268" s="65" t="s">
        <v>3643</v>
      </c>
      <c r="G268" s="65" t="s">
        <v>3644</v>
      </c>
      <c r="H268" s="65" t="s">
        <v>3645</v>
      </c>
      <c r="I268" s="65" t="s">
        <v>774</v>
      </c>
      <c r="J268" s="65" t="s">
        <v>775</v>
      </c>
      <c r="K268" s="65" t="s">
        <v>37</v>
      </c>
      <c r="L268" s="65" t="s">
        <v>3646</v>
      </c>
      <c r="M268" s="65" t="s">
        <v>3647</v>
      </c>
      <c r="N268" s="65" t="s">
        <v>3644</v>
      </c>
      <c r="O268" s="65" t="s">
        <v>3648</v>
      </c>
      <c r="P268" s="65" t="s">
        <v>641</v>
      </c>
      <c r="Q268" s="65">
        <v>1</v>
      </c>
      <c r="R268" s="65" t="s">
        <v>42</v>
      </c>
      <c r="S268" s="65" t="s">
        <v>44</v>
      </c>
      <c r="T268" s="65" t="s">
        <v>44</v>
      </c>
      <c r="U268" s="65" t="s">
        <v>45</v>
      </c>
      <c r="V268" s="65" t="s">
        <v>60</v>
      </c>
      <c r="W268" s="65">
        <v>84.75</v>
      </c>
      <c r="X268" s="65" t="s">
        <v>47</v>
      </c>
      <c r="Y268" s="65" t="s">
        <v>48</v>
      </c>
      <c r="Z268" s="65" t="s">
        <v>49</v>
      </c>
      <c r="AA268" s="65"/>
      <c r="AB268" s="65"/>
    </row>
    <row r="269" spans="1:28" x14ac:dyDescent="0.3">
      <c r="A269" s="1">
        <v>46217</v>
      </c>
      <c r="B269" s="65" t="s">
        <v>3649</v>
      </c>
      <c r="C269" s="65" t="s">
        <v>268</v>
      </c>
      <c r="D269" s="65" t="s">
        <v>3650</v>
      </c>
      <c r="E269" s="65" t="s">
        <v>31</v>
      </c>
      <c r="F269" s="65" t="s">
        <v>3651</v>
      </c>
      <c r="G269" s="65" t="s">
        <v>3611</v>
      </c>
      <c r="H269" s="65" t="s">
        <v>3612</v>
      </c>
      <c r="I269" s="65" t="s">
        <v>774</v>
      </c>
      <c r="J269" s="65" t="s">
        <v>775</v>
      </c>
      <c r="K269" s="65" t="s">
        <v>37</v>
      </c>
      <c r="L269" s="65" t="s">
        <v>3613</v>
      </c>
      <c r="M269" s="65" t="s">
        <v>3614</v>
      </c>
      <c r="N269" s="65" t="s">
        <v>798</v>
      </c>
      <c r="O269" s="65" t="s">
        <v>3652</v>
      </c>
      <c r="P269" s="65" t="s">
        <v>288</v>
      </c>
      <c r="Q269" s="65">
        <v>1</v>
      </c>
      <c r="R269" s="65" t="s">
        <v>42</v>
      </c>
      <c r="S269" s="65" t="s">
        <v>44</v>
      </c>
      <c r="T269" s="65" t="s">
        <v>44</v>
      </c>
      <c r="U269" s="65" t="s">
        <v>45</v>
      </c>
      <c r="V269" s="65" t="s">
        <v>60</v>
      </c>
      <c r="W269" s="65">
        <v>0</v>
      </c>
      <c r="X269" s="65" t="s">
        <v>289</v>
      </c>
      <c r="Y269" s="65" t="s">
        <v>48</v>
      </c>
      <c r="Z269" s="65" t="s">
        <v>49</v>
      </c>
      <c r="AA269" s="65"/>
      <c r="AB269" s="65"/>
    </row>
    <row r="270" spans="1:28" x14ac:dyDescent="0.3">
      <c r="A270" s="1">
        <v>46217</v>
      </c>
      <c r="B270" s="65" t="s">
        <v>3649</v>
      </c>
      <c r="C270" s="65" t="s">
        <v>268</v>
      </c>
      <c r="D270" s="65" t="s">
        <v>3650</v>
      </c>
      <c r="E270" s="65" t="s">
        <v>31</v>
      </c>
      <c r="F270" s="65" t="s">
        <v>3651</v>
      </c>
      <c r="G270" s="65" t="s">
        <v>3611</v>
      </c>
      <c r="H270" s="65" t="s">
        <v>3612</v>
      </c>
      <c r="I270" s="65" t="s">
        <v>774</v>
      </c>
      <c r="J270" s="65" t="s">
        <v>775</v>
      </c>
      <c r="K270" s="65" t="s">
        <v>37</v>
      </c>
      <c r="L270" s="65" t="s">
        <v>3613</v>
      </c>
      <c r="M270" s="65" t="s">
        <v>3614</v>
      </c>
      <c r="N270" s="65" t="s">
        <v>798</v>
      </c>
      <c r="O270" s="65" t="s">
        <v>3652</v>
      </c>
      <c r="P270" s="65" t="s">
        <v>1620</v>
      </c>
      <c r="Q270" s="65">
        <v>1</v>
      </c>
      <c r="R270" s="65" t="s">
        <v>42</v>
      </c>
      <c r="S270" s="65" t="s">
        <v>44</v>
      </c>
      <c r="T270" s="65" t="s">
        <v>44</v>
      </c>
      <c r="U270" s="65" t="s">
        <v>45</v>
      </c>
      <c r="V270" s="65" t="s">
        <v>60</v>
      </c>
      <c r="W270" s="65">
        <v>762.71</v>
      </c>
      <c r="X270" s="65" t="s">
        <v>289</v>
      </c>
      <c r="Y270" s="65" t="s">
        <v>48</v>
      </c>
      <c r="Z270" s="65" t="s">
        <v>49</v>
      </c>
      <c r="AA270" s="65"/>
      <c r="AB270" s="65"/>
    </row>
    <row r="271" spans="1:28" x14ac:dyDescent="0.3">
      <c r="A271" s="1">
        <v>46217</v>
      </c>
      <c r="B271" s="65" t="s">
        <v>3653</v>
      </c>
      <c r="C271" s="65" t="s">
        <v>268</v>
      </c>
      <c r="D271" s="65" t="s">
        <v>3654</v>
      </c>
      <c r="E271" s="65" t="s">
        <v>31</v>
      </c>
      <c r="F271" s="65" t="s">
        <v>3655</v>
      </c>
      <c r="G271" s="65" t="s">
        <v>3633</v>
      </c>
      <c r="H271" s="65" t="s">
        <v>3634</v>
      </c>
      <c r="I271" s="65" t="s">
        <v>774</v>
      </c>
      <c r="J271" s="65" t="s">
        <v>775</v>
      </c>
      <c r="K271" s="65" t="s">
        <v>37</v>
      </c>
      <c r="L271" s="65" t="s">
        <v>3635</v>
      </c>
      <c r="M271" s="65" t="s">
        <v>3636</v>
      </c>
      <c r="N271" s="65" t="s">
        <v>798</v>
      </c>
      <c r="O271" s="65" t="s">
        <v>3656</v>
      </c>
      <c r="P271" s="65" t="s">
        <v>288</v>
      </c>
      <c r="Q271" s="65">
        <v>1</v>
      </c>
      <c r="R271" s="65" t="s">
        <v>42</v>
      </c>
      <c r="S271" s="65" t="s">
        <v>44</v>
      </c>
      <c r="T271" s="65" t="s">
        <v>44</v>
      </c>
      <c r="U271" s="65" t="s">
        <v>45</v>
      </c>
      <c r="V271" s="65" t="s">
        <v>60</v>
      </c>
      <c r="W271" s="65">
        <v>0</v>
      </c>
      <c r="X271" s="65" t="s">
        <v>289</v>
      </c>
      <c r="Y271" s="65" t="s">
        <v>48</v>
      </c>
      <c r="Z271" s="65" t="s">
        <v>49</v>
      </c>
      <c r="AA271" s="65"/>
      <c r="AB271" s="65"/>
    </row>
    <row r="272" spans="1:28" x14ac:dyDescent="0.3">
      <c r="A272" s="1">
        <v>46217</v>
      </c>
      <c r="B272" s="65" t="s">
        <v>3653</v>
      </c>
      <c r="C272" s="65" t="s">
        <v>268</v>
      </c>
      <c r="D272" s="65" t="s">
        <v>3654</v>
      </c>
      <c r="E272" s="65" t="s">
        <v>31</v>
      </c>
      <c r="F272" s="65" t="s">
        <v>3655</v>
      </c>
      <c r="G272" s="65" t="s">
        <v>3633</v>
      </c>
      <c r="H272" s="65" t="s">
        <v>3634</v>
      </c>
      <c r="I272" s="65" t="s">
        <v>774</v>
      </c>
      <c r="J272" s="65" t="s">
        <v>775</v>
      </c>
      <c r="K272" s="65" t="s">
        <v>37</v>
      </c>
      <c r="L272" s="65" t="s">
        <v>3635</v>
      </c>
      <c r="M272" s="65" t="s">
        <v>3636</v>
      </c>
      <c r="N272" s="65" t="s">
        <v>798</v>
      </c>
      <c r="O272" s="65" t="s">
        <v>3656</v>
      </c>
      <c r="P272" s="65" t="s">
        <v>1620</v>
      </c>
      <c r="Q272" s="65">
        <v>1</v>
      </c>
      <c r="R272" s="65" t="s">
        <v>42</v>
      </c>
      <c r="S272" s="65" t="s">
        <v>44</v>
      </c>
      <c r="T272" s="65" t="s">
        <v>44</v>
      </c>
      <c r="U272" s="65" t="s">
        <v>45</v>
      </c>
      <c r="V272" s="65" t="s">
        <v>60</v>
      </c>
      <c r="W272" s="65">
        <v>1525.42</v>
      </c>
      <c r="X272" s="65" t="s">
        <v>289</v>
      </c>
      <c r="Y272" s="65" t="s">
        <v>48</v>
      </c>
      <c r="Z272" s="65" t="s">
        <v>49</v>
      </c>
      <c r="AA272" s="65"/>
      <c r="AB272" s="65"/>
    </row>
    <row r="273" spans="1:28" x14ac:dyDescent="0.3">
      <c r="A273" s="1">
        <v>46217</v>
      </c>
      <c r="B273" s="65" t="s">
        <v>3657</v>
      </c>
      <c r="C273" s="65" t="s">
        <v>268</v>
      </c>
      <c r="D273" s="65" t="s">
        <v>3658</v>
      </c>
      <c r="E273" s="65" t="s">
        <v>31</v>
      </c>
      <c r="F273" s="65" t="s">
        <v>3659</v>
      </c>
      <c r="G273" s="65" t="s">
        <v>3644</v>
      </c>
      <c r="H273" s="65" t="s">
        <v>3645</v>
      </c>
      <c r="I273" s="65" t="s">
        <v>774</v>
      </c>
      <c r="J273" s="65" t="s">
        <v>775</v>
      </c>
      <c r="K273" s="65" t="s">
        <v>37</v>
      </c>
      <c r="L273" s="65" t="s">
        <v>3646</v>
      </c>
      <c r="M273" s="65" t="s">
        <v>3647</v>
      </c>
      <c r="N273" s="65" t="s">
        <v>798</v>
      </c>
      <c r="O273" s="65" t="s">
        <v>3660</v>
      </c>
      <c r="P273" s="65" t="s">
        <v>288</v>
      </c>
      <c r="Q273" s="65">
        <v>1</v>
      </c>
      <c r="R273" s="65" t="s">
        <v>42</v>
      </c>
      <c r="S273" s="65" t="s">
        <v>44</v>
      </c>
      <c r="T273" s="65" t="s">
        <v>44</v>
      </c>
      <c r="U273" s="65" t="s">
        <v>45</v>
      </c>
      <c r="V273" s="65" t="s">
        <v>60</v>
      </c>
      <c r="W273" s="65">
        <v>0</v>
      </c>
      <c r="X273" s="65" t="s">
        <v>289</v>
      </c>
      <c r="Y273" s="65" t="s">
        <v>48</v>
      </c>
      <c r="Z273" s="65" t="s">
        <v>49</v>
      </c>
      <c r="AA273" s="65"/>
      <c r="AB273" s="65"/>
    </row>
    <row r="274" spans="1:28" x14ac:dyDescent="0.3">
      <c r="A274" s="1">
        <v>46217</v>
      </c>
      <c r="B274" s="65" t="s">
        <v>3657</v>
      </c>
      <c r="C274" s="65" t="s">
        <v>268</v>
      </c>
      <c r="D274" s="65" t="s">
        <v>3658</v>
      </c>
      <c r="E274" s="65" t="s">
        <v>31</v>
      </c>
      <c r="F274" s="65" t="s">
        <v>3659</v>
      </c>
      <c r="G274" s="65" t="s">
        <v>3644</v>
      </c>
      <c r="H274" s="65" t="s">
        <v>3645</v>
      </c>
      <c r="I274" s="65" t="s">
        <v>774</v>
      </c>
      <c r="J274" s="65" t="s">
        <v>775</v>
      </c>
      <c r="K274" s="65" t="s">
        <v>37</v>
      </c>
      <c r="L274" s="65" t="s">
        <v>3646</v>
      </c>
      <c r="M274" s="65" t="s">
        <v>3647</v>
      </c>
      <c r="N274" s="65" t="s">
        <v>798</v>
      </c>
      <c r="O274" s="65" t="s">
        <v>3660</v>
      </c>
      <c r="P274" s="65" t="s">
        <v>1620</v>
      </c>
      <c r="Q274" s="65">
        <v>1</v>
      </c>
      <c r="R274" s="65" t="s">
        <v>42</v>
      </c>
      <c r="S274" s="65" t="s">
        <v>44</v>
      </c>
      <c r="T274" s="65" t="s">
        <v>44</v>
      </c>
      <c r="U274" s="65" t="s">
        <v>45</v>
      </c>
      <c r="V274" s="65" t="s">
        <v>60</v>
      </c>
      <c r="W274" s="65">
        <v>762.71</v>
      </c>
      <c r="X274" s="65" t="s">
        <v>289</v>
      </c>
      <c r="Y274" s="65" t="s">
        <v>48</v>
      </c>
      <c r="Z274" s="65" t="s">
        <v>49</v>
      </c>
      <c r="AA274" s="65"/>
      <c r="AB274" s="65"/>
    </row>
    <row r="275" spans="1:28" x14ac:dyDescent="0.3">
      <c r="A275" s="1">
        <v>46217</v>
      </c>
      <c r="B275" s="65" t="s">
        <v>3661</v>
      </c>
      <c r="C275" s="65" t="s">
        <v>29</v>
      </c>
      <c r="D275" s="65" t="s">
        <v>3662</v>
      </c>
      <c r="E275" s="65" t="s">
        <v>31</v>
      </c>
      <c r="F275" s="65" t="s">
        <v>3663</v>
      </c>
      <c r="G275" s="65" t="s">
        <v>3633</v>
      </c>
      <c r="H275" s="65" t="s">
        <v>3634</v>
      </c>
      <c r="I275" s="65" t="s">
        <v>774</v>
      </c>
      <c r="J275" s="65" t="s">
        <v>775</v>
      </c>
      <c r="K275" s="65" t="s">
        <v>37</v>
      </c>
      <c r="L275" s="65" t="s">
        <v>3635</v>
      </c>
      <c r="M275" s="65" t="s">
        <v>3636</v>
      </c>
      <c r="N275" s="65" t="s">
        <v>3633</v>
      </c>
      <c r="O275" s="65" t="s">
        <v>3664</v>
      </c>
      <c r="P275" s="65" t="s">
        <v>641</v>
      </c>
      <c r="Q275" s="65">
        <v>1</v>
      </c>
      <c r="R275" s="65" t="s">
        <v>42</v>
      </c>
      <c r="S275" s="65" t="s">
        <v>44</v>
      </c>
      <c r="T275" s="65" t="s">
        <v>44</v>
      </c>
      <c r="U275" s="65" t="s">
        <v>45</v>
      </c>
      <c r="V275" s="65" t="s">
        <v>60</v>
      </c>
      <c r="W275" s="65">
        <v>84.75</v>
      </c>
      <c r="X275" s="65" t="s">
        <v>47</v>
      </c>
      <c r="Y275" s="65" t="s">
        <v>48</v>
      </c>
      <c r="Z275" s="65" t="s">
        <v>49</v>
      </c>
      <c r="AA275" s="65"/>
      <c r="AB275" s="65"/>
    </row>
    <row r="276" spans="1:28" x14ac:dyDescent="0.3">
      <c r="A276" s="1">
        <v>46218</v>
      </c>
      <c r="B276" s="65" t="s">
        <v>3665</v>
      </c>
      <c r="C276" s="65" t="s">
        <v>268</v>
      </c>
      <c r="D276" s="65" t="s">
        <v>3666</v>
      </c>
      <c r="E276" s="65" t="s">
        <v>31</v>
      </c>
      <c r="F276" s="65" t="s">
        <v>3667</v>
      </c>
      <c r="G276" s="65" t="s">
        <v>2193</v>
      </c>
      <c r="H276" s="65" t="s">
        <v>2194</v>
      </c>
      <c r="I276" s="65" t="s">
        <v>273</v>
      </c>
      <c r="J276" s="65" t="s">
        <v>274</v>
      </c>
      <c r="K276" s="65" t="s">
        <v>37</v>
      </c>
      <c r="L276" s="65" t="s">
        <v>2195</v>
      </c>
      <c r="M276" s="65" t="s">
        <v>2196</v>
      </c>
      <c r="N276" s="65" t="s">
        <v>277</v>
      </c>
      <c r="O276" s="65" t="s">
        <v>3668</v>
      </c>
      <c r="P276" s="65" t="s">
        <v>201</v>
      </c>
      <c r="Q276" s="65">
        <v>1</v>
      </c>
      <c r="R276" s="65" t="s">
        <v>42</v>
      </c>
      <c r="S276" s="65" t="s">
        <v>44</v>
      </c>
      <c r="T276" s="65" t="s">
        <v>44</v>
      </c>
      <c r="U276" s="65" t="s">
        <v>45</v>
      </c>
      <c r="V276" s="65" t="s">
        <v>46</v>
      </c>
      <c r="W276" s="65">
        <v>152.54</v>
      </c>
      <c r="X276" s="65" t="s">
        <v>47</v>
      </c>
      <c r="Y276" s="65" t="s">
        <v>48</v>
      </c>
      <c r="Z276" s="65" t="s">
        <v>49</v>
      </c>
      <c r="AA276" s="65">
        <v>950133748</v>
      </c>
      <c r="AB276" s="65" t="s">
        <v>279</v>
      </c>
    </row>
    <row r="277" spans="1:28" x14ac:dyDescent="0.3">
      <c r="A277" s="1">
        <v>46219</v>
      </c>
      <c r="B277" s="65" t="s">
        <v>3669</v>
      </c>
      <c r="C277" s="65" t="s">
        <v>29</v>
      </c>
      <c r="D277" s="65" t="s">
        <v>3670</v>
      </c>
      <c r="E277" s="65" t="s">
        <v>31</v>
      </c>
      <c r="F277" s="65" t="s">
        <v>3671</v>
      </c>
      <c r="G277" s="65" t="s">
        <v>3672</v>
      </c>
      <c r="H277" s="65" t="s">
        <v>3673</v>
      </c>
      <c r="I277" s="65" t="s">
        <v>411</v>
      </c>
      <c r="J277" s="65" t="s">
        <v>412</v>
      </c>
      <c r="K277" s="65" t="s">
        <v>37</v>
      </c>
      <c r="L277" s="65" t="s">
        <v>3674</v>
      </c>
      <c r="M277" s="65" t="s">
        <v>3675</v>
      </c>
      <c r="N277" s="65" t="s">
        <v>3672</v>
      </c>
      <c r="O277" s="65" t="s">
        <v>3676</v>
      </c>
      <c r="P277" s="65" t="s">
        <v>159</v>
      </c>
      <c r="Q277" s="65">
        <v>1</v>
      </c>
      <c r="R277" s="65" t="s">
        <v>42</v>
      </c>
      <c r="S277" s="65" t="s">
        <v>44</v>
      </c>
      <c r="T277" s="65" t="s">
        <v>44</v>
      </c>
      <c r="U277" s="65" t="s">
        <v>45</v>
      </c>
      <c r="V277" s="65" t="s">
        <v>46</v>
      </c>
      <c r="W277" s="65">
        <v>135.59</v>
      </c>
      <c r="X277" s="65" t="s">
        <v>47</v>
      </c>
      <c r="Y277" s="65" t="s">
        <v>48</v>
      </c>
      <c r="Z277" s="65" t="s">
        <v>49</v>
      </c>
      <c r="AA277" s="65">
        <v>982673362</v>
      </c>
      <c r="AB277" s="65" t="s">
        <v>416</v>
      </c>
    </row>
    <row r="278" spans="1:28" x14ac:dyDescent="0.3">
      <c r="A278" s="1">
        <v>46219</v>
      </c>
      <c r="B278" s="65" t="s">
        <v>3677</v>
      </c>
      <c r="C278" s="65" t="s">
        <v>29</v>
      </c>
      <c r="D278" s="65" t="s">
        <v>3678</v>
      </c>
      <c r="E278" s="65" t="s">
        <v>31</v>
      </c>
      <c r="F278" s="65" t="s">
        <v>3679</v>
      </c>
      <c r="G278" s="65" t="s">
        <v>3680</v>
      </c>
      <c r="H278" s="65" t="s">
        <v>3681</v>
      </c>
      <c r="I278" s="65" t="s">
        <v>2024</v>
      </c>
      <c r="J278" s="65" t="s">
        <v>2025</v>
      </c>
      <c r="K278" s="65" t="s">
        <v>37</v>
      </c>
      <c r="L278" s="65" t="s">
        <v>3682</v>
      </c>
      <c r="M278" s="65" t="s">
        <v>3683</v>
      </c>
      <c r="N278" s="65" t="s">
        <v>3680</v>
      </c>
      <c r="O278" s="65" t="s">
        <v>3684</v>
      </c>
      <c r="P278" s="65" t="s">
        <v>101</v>
      </c>
      <c r="Q278" s="65">
        <v>1</v>
      </c>
      <c r="R278" s="65" t="s">
        <v>42</v>
      </c>
      <c r="S278" s="65" t="s">
        <v>44</v>
      </c>
      <c r="T278" s="65" t="s">
        <v>44</v>
      </c>
      <c r="U278" s="65" t="s">
        <v>45</v>
      </c>
      <c r="V278" s="65" t="s">
        <v>46</v>
      </c>
      <c r="W278" s="65">
        <v>186.44</v>
      </c>
      <c r="X278" s="65" t="s">
        <v>47</v>
      </c>
      <c r="Y278" s="65" t="s">
        <v>48</v>
      </c>
      <c r="Z278" s="65" t="s">
        <v>49</v>
      </c>
      <c r="AA278" s="65">
        <v>986661693</v>
      </c>
      <c r="AB278" s="65" t="s">
        <v>2029</v>
      </c>
    </row>
    <row r="279" spans="1:28" x14ac:dyDescent="0.3">
      <c r="A279" s="1">
        <v>46219</v>
      </c>
      <c r="B279" s="65" t="s">
        <v>3685</v>
      </c>
      <c r="C279" s="65" t="s">
        <v>29</v>
      </c>
      <c r="D279" s="65" t="s">
        <v>3686</v>
      </c>
      <c r="E279" s="65" t="s">
        <v>31</v>
      </c>
      <c r="F279" s="65" t="s">
        <v>3687</v>
      </c>
      <c r="G279" s="65" t="s">
        <v>3688</v>
      </c>
      <c r="H279" s="65" t="s">
        <v>3689</v>
      </c>
      <c r="I279" s="65" t="s">
        <v>1073</v>
      </c>
      <c r="J279" s="65" t="s">
        <v>97</v>
      </c>
      <c r="K279" s="65" t="s">
        <v>37</v>
      </c>
      <c r="L279" s="65" t="s">
        <v>3690</v>
      </c>
      <c r="M279" s="65" t="s">
        <v>3691</v>
      </c>
      <c r="N279" s="65" t="s">
        <v>3688</v>
      </c>
      <c r="O279" s="65" t="s">
        <v>3692</v>
      </c>
      <c r="P279" s="65" t="s">
        <v>90</v>
      </c>
      <c r="Q279" s="65">
        <v>1</v>
      </c>
      <c r="R279" s="65" t="s">
        <v>70</v>
      </c>
      <c r="S279" s="65" t="s">
        <v>43</v>
      </c>
      <c r="T279" s="65" t="s">
        <v>44</v>
      </c>
      <c r="U279" s="65" t="s">
        <v>71</v>
      </c>
      <c r="V279" s="65" t="s">
        <v>72</v>
      </c>
      <c r="W279" s="65">
        <v>135.59</v>
      </c>
      <c r="X279" s="65" t="s">
        <v>47</v>
      </c>
      <c r="Y279" s="65" t="s">
        <v>48</v>
      </c>
      <c r="Z279" s="65" t="s">
        <v>73</v>
      </c>
      <c r="AA279" s="65">
        <v>999986041</v>
      </c>
      <c r="AB279" s="65" t="s">
        <v>1077</v>
      </c>
    </row>
    <row r="280" spans="1:28" x14ac:dyDescent="0.3">
      <c r="A280" s="1">
        <v>46219</v>
      </c>
      <c r="B280" s="65" t="s">
        <v>3693</v>
      </c>
      <c r="C280" s="65" t="s">
        <v>268</v>
      </c>
      <c r="D280" s="65" t="s">
        <v>3694</v>
      </c>
      <c r="E280" s="65" t="s">
        <v>31</v>
      </c>
      <c r="F280" s="65" t="s">
        <v>3695</v>
      </c>
      <c r="G280" s="65" t="s">
        <v>3696</v>
      </c>
      <c r="H280" s="65" t="s">
        <v>3697</v>
      </c>
      <c r="I280" s="65" t="s">
        <v>2226</v>
      </c>
      <c r="J280" s="65" t="s">
        <v>36</v>
      </c>
      <c r="K280" s="65" t="s">
        <v>37</v>
      </c>
      <c r="L280" s="65" t="s">
        <v>3698</v>
      </c>
      <c r="M280" s="65" t="s">
        <v>3699</v>
      </c>
      <c r="N280" s="65" t="s">
        <v>2226</v>
      </c>
      <c r="O280" s="65" t="s">
        <v>3700</v>
      </c>
      <c r="P280" s="65" t="s">
        <v>481</v>
      </c>
      <c r="Q280" s="65">
        <v>2</v>
      </c>
      <c r="R280" s="65" t="s">
        <v>42</v>
      </c>
      <c r="S280" s="65" t="s">
        <v>44</v>
      </c>
      <c r="T280" s="65" t="s">
        <v>44</v>
      </c>
      <c r="U280" s="65" t="s">
        <v>45</v>
      </c>
      <c r="V280" s="65" t="s">
        <v>46</v>
      </c>
      <c r="W280" s="65">
        <v>203.39</v>
      </c>
      <c r="X280" s="65" t="s">
        <v>61</v>
      </c>
      <c r="Y280" s="65" t="s">
        <v>48</v>
      </c>
      <c r="Z280" s="65" t="s">
        <v>49</v>
      </c>
      <c r="AA280" s="65"/>
      <c r="AB280" s="65"/>
    </row>
    <row r="281" spans="1:28" x14ac:dyDescent="0.3">
      <c r="A281" s="1">
        <v>46220</v>
      </c>
      <c r="B281" s="65" t="s">
        <v>3701</v>
      </c>
      <c r="C281" s="65" t="s">
        <v>29</v>
      </c>
      <c r="D281" s="65" t="s">
        <v>3702</v>
      </c>
      <c r="E281" s="65" t="s">
        <v>31</v>
      </c>
      <c r="F281" s="65" t="s">
        <v>3703</v>
      </c>
      <c r="G281" s="65" t="s">
        <v>3704</v>
      </c>
      <c r="H281" s="65" t="s">
        <v>3705</v>
      </c>
      <c r="I281" s="65"/>
      <c r="J281" s="65"/>
      <c r="K281" s="65" t="s">
        <v>37</v>
      </c>
      <c r="L281" s="65" t="s">
        <v>3706</v>
      </c>
      <c r="M281" s="65" t="s">
        <v>3707</v>
      </c>
      <c r="N281" s="65" t="s">
        <v>3704</v>
      </c>
      <c r="O281" s="65" t="s">
        <v>3708</v>
      </c>
      <c r="P281" s="65" t="s">
        <v>90</v>
      </c>
      <c r="Q281" s="65">
        <v>1</v>
      </c>
      <c r="R281" s="65" t="s">
        <v>42</v>
      </c>
      <c r="S281" s="65" t="s">
        <v>44</v>
      </c>
      <c r="T281" s="65" t="s">
        <v>44</v>
      </c>
      <c r="U281" s="65" t="s">
        <v>45</v>
      </c>
      <c r="V281" s="65" t="s">
        <v>60</v>
      </c>
      <c r="W281" s="65">
        <v>135.59</v>
      </c>
      <c r="X281" s="65" t="s">
        <v>47</v>
      </c>
      <c r="Y281" s="65" t="s">
        <v>48</v>
      </c>
      <c r="Z281" s="65" t="s">
        <v>49</v>
      </c>
      <c r="AA281" s="65"/>
      <c r="AB281" s="65"/>
    </row>
    <row r="282" spans="1:28" x14ac:dyDescent="0.3">
      <c r="A282" s="1">
        <v>46221</v>
      </c>
      <c r="B282" s="65" t="s">
        <v>3709</v>
      </c>
      <c r="C282" s="65" t="s">
        <v>29</v>
      </c>
      <c r="D282" s="65" t="s">
        <v>3710</v>
      </c>
      <c r="E282" s="65" t="s">
        <v>31</v>
      </c>
      <c r="F282" s="65" t="s">
        <v>3711</v>
      </c>
      <c r="G282" s="65" t="s">
        <v>3712</v>
      </c>
      <c r="H282" s="65" t="s">
        <v>3713</v>
      </c>
      <c r="I282" s="65" t="s">
        <v>3034</v>
      </c>
      <c r="J282" s="65" t="s">
        <v>3037</v>
      </c>
      <c r="K282" s="65" t="s">
        <v>37</v>
      </c>
      <c r="L282" s="65" t="s">
        <v>3714</v>
      </c>
      <c r="M282" s="65" t="s">
        <v>3715</v>
      </c>
      <c r="N282" s="65" t="s">
        <v>3712</v>
      </c>
      <c r="O282" s="65" t="s">
        <v>3716</v>
      </c>
      <c r="P282" s="65" t="s">
        <v>130</v>
      </c>
      <c r="Q282" s="65">
        <v>1</v>
      </c>
      <c r="R282" s="65" t="s">
        <v>42</v>
      </c>
      <c r="S282" s="65" t="s">
        <v>44</v>
      </c>
      <c r="T282" s="65" t="s">
        <v>44</v>
      </c>
      <c r="U282" s="65" t="s">
        <v>45</v>
      </c>
      <c r="V282" s="65" t="s">
        <v>60</v>
      </c>
      <c r="W282" s="65">
        <v>152.54</v>
      </c>
      <c r="X282" s="65" t="s">
        <v>47</v>
      </c>
      <c r="Y282" s="65" t="s">
        <v>48</v>
      </c>
      <c r="Z282" s="65" t="s">
        <v>49</v>
      </c>
      <c r="AA282" s="65">
        <v>940621858</v>
      </c>
      <c r="AB282" s="65" t="s">
        <v>3035</v>
      </c>
    </row>
    <row r="283" spans="1:28" x14ac:dyDescent="0.3">
      <c r="A283" s="1">
        <v>46221</v>
      </c>
      <c r="B283" s="65" t="s">
        <v>3709</v>
      </c>
      <c r="C283" s="65" t="s">
        <v>29</v>
      </c>
      <c r="D283" s="65" t="s">
        <v>3710</v>
      </c>
      <c r="E283" s="65" t="s">
        <v>31</v>
      </c>
      <c r="F283" s="65" t="s">
        <v>3711</v>
      </c>
      <c r="G283" s="65" t="s">
        <v>3712</v>
      </c>
      <c r="H283" s="65" t="s">
        <v>3713</v>
      </c>
      <c r="I283" s="65" t="s">
        <v>3034</v>
      </c>
      <c r="J283" s="65" t="s">
        <v>3037</v>
      </c>
      <c r="K283" s="65" t="s">
        <v>37</v>
      </c>
      <c r="L283" s="65" t="s">
        <v>3714</v>
      </c>
      <c r="M283" s="65" t="s">
        <v>3715</v>
      </c>
      <c r="N283" s="65" t="s">
        <v>3712</v>
      </c>
      <c r="O283" s="65" t="s">
        <v>3716</v>
      </c>
      <c r="P283" s="65" t="s">
        <v>202</v>
      </c>
      <c r="Q283" s="65">
        <v>1</v>
      </c>
      <c r="R283" s="65" t="s">
        <v>42</v>
      </c>
      <c r="S283" s="65" t="s">
        <v>44</v>
      </c>
      <c r="T283" s="65" t="s">
        <v>44</v>
      </c>
      <c r="U283" s="65" t="s">
        <v>45</v>
      </c>
      <c r="V283" s="65" t="s">
        <v>60</v>
      </c>
      <c r="W283" s="65">
        <v>135.59</v>
      </c>
      <c r="X283" s="65" t="s">
        <v>47</v>
      </c>
      <c r="Y283" s="65" t="s">
        <v>48</v>
      </c>
      <c r="Z283" s="65" t="s">
        <v>49</v>
      </c>
      <c r="AA283" s="65">
        <v>940621858</v>
      </c>
      <c r="AB283" s="65" t="s">
        <v>3035</v>
      </c>
    </row>
    <row r="284" spans="1:28" x14ac:dyDescent="0.3">
      <c r="A284" s="1">
        <v>46223</v>
      </c>
      <c r="B284" s="65" t="s">
        <v>3717</v>
      </c>
      <c r="C284" s="65" t="s">
        <v>29</v>
      </c>
      <c r="D284" s="65" t="s">
        <v>3718</v>
      </c>
      <c r="E284" s="65" t="s">
        <v>31</v>
      </c>
      <c r="F284" s="65" t="s">
        <v>3719</v>
      </c>
      <c r="G284" s="65" t="s">
        <v>3720</v>
      </c>
      <c r="H284" s="65" t="s">
        <v>3721</v>
      </c>
      <c r="I284" s="65" t="s">
        <v>434</v>
      </c>
      <c r="J284" s="65" t="s">
        <v>435</v>
      </c>
      <c r="K284" s="65" t="s">
        <v>37</v>
      </c>
      <c r="L284" s="65" t="s">
        <v>3722</v>
      </c>
      <c r="M284" s="65" t="s">
        <v>3723</v>
      </c>
      <c r="N284" s="65" t="s">
        <v>3720</v>
      </c>
      <c r="O284" s="65" t="s">
        <v>3724</v>
      </c>
      <c r="P284" s="65" t="s">
        <v>41</v>
      </c>
      <c r="Q284" s="65">
        <v>1</v>
      </c>
      <c r="R284" s="65" t="s">
        <v>70</v>
      </c>
      <c r="S284" s="65" t="s">
        <v>43</v>
      </c>
      <c r="T284" s="65" t="s">
        <v>44</v>
      </c>
      <c r="U284" s="65" t="s">
        <v>71</v>
      </c>
      <c r="V284" s="65" t="s">
        <v>72</v>
      </c>
      <c r="W284" s="65">
        <v>186.44</v>
      </c>
      <c r="X284" s="65" t="s">
        <v>47</v>
      </c>
      <c r="Y284" s="65" t="s">
        <v>48</v>
      </c>
      <c r="Z284" s="65" t="s">
        <v>73</v>
      </c>
      <c r="AA284" s="65">
        <v>992903716</v>
      </c>
      <c r="AB284" s="65" t="s">
        <v>439</v>
      </c>
    </row>
    <row r="285" spans="1:28" x14ac:dyDescent="0.3">
      <c r="A285" s="1">
        <v>46223</v>
      </c>
      <c r="B285" s="65" t="s">
        <v>3725</v>
      </c>
      <c r="C285" s="65" t="s">
        <v>29</v>
      </c>
      <c r="D285" s="65" t="s">
        <v>3726</v>
      </c>
      <c r="E285" s="65" t="s">
        <v>31</v>
      </c>
      <c r="F285" s="65" t="s">
        <v>3727</v>
      </c>
      <c r="G285" s="65" t="s">
        <v>3728</v>
      </c>
      <c r="H285" s="65" t="s">
        <v>3729</v>
      </c>
      <c r="I285" s="65" t="s">
        <v>704</v>
      </c>
      <c r="J285" s="65" t="s">
        <v>705</v>
      </c>
      <c r="K285" s="65" t="s">
        <v>37</v>
      </c>
      <c r="L285" s="65" t="s">
        <v>3730</v>
      </c>
      <c r="M285" s="65" t="s">
        <v>3731</v>
      </c>
      <c r="N285" s="65" t="s">
        <v>3728</v>
      </c>
      <c r="O285" s="65" t="s">
        <v>3732</v>
      </c>
      <c r="P285" s="65" t="s">
        <v>159</v>
      </c>
      <c r="Q285" s="65">
        <v>1</v>
      </c>
      <c r="R285" s="65" t="s">
        <v>42</v>
      </c>
      <c r="S285" s="65" t="s">
        <v>44</v>
      </c>
      <c r="T285" s="65" t="s">
        <v>44</v>
      </c>
      <c r="U285" s="65" t="s">
        <v>45</v>
      </c>
      <c r="V285" s="65" t="s">
        <v>46</v>
      </c>
      <c r="W285" s="65">
        <v>135.59</v>
      </c>
      <c r="X285" s="65" t="s">
        <v>47</v>
      </c>
      <c r="Y285" s="65" t="s">
        <v>48</v>
      </c>
      <c r="Z285" s="65" t="s">
        <v>49</v>
      </c>
      <c r="AA285" s="65">
        <v>998418895</v>
      </c>
      <c r="AB285" s="65" t="s">
        <v>709</v>
      </c>
    </row>
    <row r="286" spans="1:28" x14ac:dyDescent="0.3">
      <c r="A286" s="1">
        <v>46223</v>
      </c>
      <c r="B286" s="65" t="s">
        <v>3725</v>
      </c>
      <c r="C286" s="65" t="s">
        <v>29</v>
      </c>
      <c r="D286" s="65" t="s">
        <v>3726</v>
      </c>
      <c r="E286" s="65" t="s">
        <v>31</v>
      </c>
      <c r="F286" s="65" t="s">
        <v>3727</v>
      </c>
      <c r="G286" s="65" t="s">
        <v>3728</v>
      </c>
      <c r="H286" s="65" t="s">
        <v>3729</v>
      </c>
      <c r="I286" s="65" t="s">
        <v>704</v>
      </c>
      <c r="J286" s="65" t="s">
        <v>705</v>
      </c>
      <c r="K286" s="65" t="s">
        <v>37</v>
      </c>
      <c r="L286" s="65" t="s">
        <v>3730</v>
      </c>
      <c r="M286" s="65" t="s">
        <v>3731</v>
      </c>
      <c r="N286" s="65" t="s">
        <v>3728</v>
      </c>
      <c r="O286" s="65" t="s">
        <v>3732</v>
      </c>
      <c r="P286" s="65" t="s">
        <v>158</v>
      </c>
      <c r="Q286" s="65">
        <v>1</v>
      </c>
      <c r="R286" s="65" t="s">
        <v>42</v>
      </c>
      <c r="S286" s="65" t="s">
        <v>44</v>
      </c>
      <c r="T286" s="65" t="s">
        <v>44</v>
      </c>
      <c r="U286" s="65" t="s">
        <v>45</v>
      </c>
      <c r="V286" s="65" t="s">
        <v>46</v>
      </c>
      <c r="W286" s="65">
        <v>152.54</v>
      </c>
      <c r="X286" s="65" t="s">
        <v>47</v>
      </c>
      <c r="Y286" s="65" t="s">
        <v>48</v>
      </c>
      <c r="Z286" s="65" t="s">
        <v>49</v>
      </c>
      <c r="AA286" s="65">
        <v>998418895</v>
      </c>
      <c r="AB286" s="65" t="s">
        <v>709</v>
      </c>
    </row>
    <row r="287" spans="1:28" x14ac:dyDescent="0.3">
      <c r="A287" s="1">
        <v>46223</v>
      </c>
      <c r="B287" s="65" t="s">
        <v>3725</v>
      </c>
      <c r="C287" s="65" t="s">
        <v>29</v>
      </c>
      <c r="D287" s="65" t="s">
        <v>3726</v>
      </c>
      <c r="E287" s="65" t="s">
        <v>31</v>
      </c>
      <c r="F287" s="65" t="s">
        <v>3727</v>
      </c>
      <c r="G287" s="65" t="s">
        <v>3728</v>
      </c>
      <c r="H287" s="65" t="s">
        <v>3729</v>
      </c>
      <c r="I287" s="65" t="s">
        <v>704</v>
      </c>
      <c r="J287" s="65" t="s">
        <v>705</v>
      </c>
      <c r="K287" s="65" t="s">
        <v>37</v>
      </c>
      <c r="L287" s="65" t="s">
        <v>3730</v>
      </c>
      <c r="M287" s="65" t="s">
        <v>3731</v>
      </c>
      <c r="N287" s="65" t="s">
        <v>3728</v>
      </c>
      <c r="O287" s="65" t="s">
        <v>3732</v>
      </c>
      <c r="P287" s="65" t="s">
        <v>101</v>
      </c>
      <c r="Q287" s="65">
        <v>1</v>
      </c>
      <c r="R287" s="65" t="s">
        <v>42</v>
      </c>
      <c r="S287" s="65" t="s">
        <v>44</v>
      </c>
      <c r="T287" s="65" t="s">
        <v>44</v>
      </c>
      <c r="U287" s="65" t="s">
        <v>45</v>
      </c>
      <c r="V287" s="65" t="s">
        <v>46</v>
      </c>
      <c r="W287" s="65">
        <v>186.44</v>
      </c>
      <c r="X287" s="65" t="s">
        <v>47</v>
      </c>
      <c r="Y287" s="65" t="s">
        <v>48</v>
      </c>
      <c r="Z287" s="65" t="s">
        <v>49</v>
      </c>
      <c r="AA287" s="65">
        <v>998418895</v>
      </c>
      <c r="AB287" s="65" t="s">
        <v>709</v>
      </c>
    </row>
    <row r="288" spans="1:28" x14ac:dyDescent="0.3">
      <c r="A288" s="1">
        <v>46224</v>
      </c>
      <c r="B288" s="65" t="s">
        <v>3733</v>
      </c>
      <c r="C288" s="65" t="s">
        <v>268</v>
      </c>
      <c r="D288" s="65" t="s">
        <v>3734</v>
      </c>
      <c r="E288" s="65" t="s">
        <v>31</v>
      </c>
      <c r="F288" s="65" t="s">
        <v>3735</v>
      </c>
      <c r="G288" s="65" t="s">
        <v>2193</v>
      </c>
      <c r="H288" s="65" t="s">
        <v>2194</v>
      </c>
      <c r="I288" s="65" t="s">
        <v>273</v>
      </c>
      <c r="J288" s="65" t="s">
        <v>274</v>
      </c>
      <c r="K288" s="65" t="s">
        <v>37</v>
      </c>
      <c r="L288" s="65" t="s">
        <v>2195</v>
      </c>
      <c r="M288" s="65" t="s">
        <v>2196</v>
      </c>
      <c r="N288" s="65" t="s">
        <v>277</v>
      </c>
      <c r="O288" s="65" t="s">
        <v>3736</v>
      </c>
      <c r="P288" s="65" t="s">
        <v>288</v>
      </c>
      <c r="Q288" s="65">
        <v>1</v>
      </c>
      <c r="R288" s="65" t="s">
        <v>42</v>
      </c>
      <c r="S288" s="65" t="s">
        <v>44</v>
      </c>
      <c r="T288" s="65" t="s">
        <v>44</v>
      </c>
      <c r="U288" s="65" t="s">
        <v>45</v>
      </c>
      <c r="V288" s="65" t="s">
        <v>46</v>
      </c>
      <c r="W288" s="65">
        <v>0</v>
      </c>
      <c r="X288" s="65" t="s">
        <v>289</v>
      </c>
      <c r="Y288" s="65" t="s">
        <v>48</v>
      </c>
      <c r="Z288" s="65" t="s">
        <v>49</v>
      </c>
      <c r="AA288" s="65">
        <v>950133748</v>
      </c>
      <c r="AB288" s="65" t="s">
        <v>279</v>
      </c>
    </row>
    <row r="289" spans="1:28" x14ac:dyDescent="0.3">
      <c r="A289" s="1">
        <v>46224</v>
      </c>
      <c r="B289" s="65" t="s">
        <v>3733</v>
      </c>
      <c r="C289" s="65" t="s">
        <v>268</v>
      </c>
      <c r="D289" s="65" t="s">
        <v>3734</v>
      </c>
      <c r="E289" s="65" t="s">
        <v>31</v>
      </c>
      <c r="F289" s="65" t="s">
        <v>3735</v>
      </c>
      <c r="G289" s="65" t="s">
        <v>2193</v>
      </c>
      <c r="H289" s="65" t="s">
        <v>2194</v>
      </c>
      <c r="I289" s="65" t="s">
        <v>273</v>
      </c>
      <c r="J289" s="65" t="s">
        <v>274</v>
      </c>
      <c r="K289" s="65" t="s">
        <v>37</v>
      </c>
      <c r="L289" s="65" t="s">
        <v>2195</v>
      </c>
      <c r="M289" s="65" t="s">
        <v>2196</v>
      </c>
      <c r="N289" s="65" t="s">
        <v>277</v>
      </c>
      <c r="O289" s="65" t="s">
        <v>3736</v>
      </c>
      <c r="P289" s="65" t="s">
        <v>1620</v>
      </c>
      <c r="Q289" s="65">
        <v>1</v>
      </c>
      <c r="R289" s="65" t="s">
        <v>42</v>
      </c>
      <c r="S289" s="65" t="s">
        <v>44</v>
      </c>
      <c r="T289" s="65" t="s">
        <v>44</v>
      </c>
      <c r="U289" s="65" t="s">
        <v>45</v>
      </c>
      <c r="V289" s="65" t="s">
        <v>46</v>
      </c>
      <c r="W289" s="65">
        <v>1305.08</v>
      </c>
      <c r="X289" s="65" t="s">
        <v>289</v>
      </c>
      <c r="Y289" s="65" t="s">
        <v>48</v>
      </c>
      <c r="Z289" s="65" t="s">
        <v>49</v>
      </c>
      <c r="AA289" s="65">
        <v>950133748</v>
      </c>
      <c r="AB289" s="65" t="s">
        <v>279</v>
      </c>
    </row>
    <row r="290" spans="1:28" x14ac:dyDescent="0.3">
      <c r="A290" s="1">
        <v>46224</v>
      </c>
      <c r="B290" s="65" t="s">
        <v>3737</v>
      </c>
      <c r="C290" s="65" t="s">
        <v>268</v>
      </c>
      <c r="D290" s="65" t="s">
        <v>3738</v>
      </c>
      <c r="E290" s="65" t="s">
        <v>31</v>
      </c>
      <c r="F290" s="65" t="s">
        <v>3739</v>
      </c>
      <c r="G290" s="65" t="s">
        <v>330</v>
      </c>
      <c r="H290" s="65" t="s">
        <v>331</v>
      </c>
      <c r="I290" s="65" t="s">
        <v>273</v>
      </c>
      <c r="J290" s="65" t="s">
        <v>274</v>
      </c>
      <c r="K290" s="65" t="s">
        <v>37</v>
      </c>
      <c r="L290" s="65" t="s">
        <v>332</v>
      </c>
      <c r="M290" s="65" t="s">
        <v>333</v>
      </c>
      <c r="N290" s="65" t="s">
        <v>277</v>
      </c>
      <c r="O290" s="65" t="s">
        <v>3740</v>
      </c>
      <c r="P290" s="65" t="s">
        <v>481</v>
      </c>
      <c r="Q290" s="65">
        <v>1</v>
      </c>
      <c r="R290" s="65" t="s">
        <v>42</v>
      </c>
      <c r="S290" s="65" t="s">
        <v>44</v>
      </c>
      <c r="T290" s="65" t="s">
        <v>44</v>
      </c>
      <c r="U290" s="65" t="s">
        <v>45</v>
      </c>
      <c r="V290" s="65" t="s">
        <v>60</v>
      </c>
      <c r="W290" s="65">
        <v>101.69</v>
      </c>
      <c r="X290" s="65" t="s">
        <v>61</v>
      </c>
      <c r="Y290" s="65" t="s">
        <v>48</v>
      </c>
      <c r="Z290" s="65" t="s">
        <v>49</v>
      </c>
      <c r="AA290" s="65">
        <v>950133748</v>
      </c>
      <c r="AB290" s="65" t="s">
        <v>279</v>
      </c>
    </row>
    <row r="291" spans="1:28" x14ac:dyDescent="0.3">
      <c r="A291" s="1">
        <v>46224</v>
      </c>
      <c r="B291" s="65" t="s">
        <v>3741</v>
      </c>
      <c r="C291" s="65" t="s">
        <v>29</v>
      </c>
      <c r="D291" s="65" t="s">
        <v>3742</v>
      </c>
      <c r="E291" s="65" t="s">
        <v>31</v>
      </c>
      <c r="F291" s="65" t="s">
        <v>3743</v>
      </c>
      <c r="G291" s="65" t="s">
        <v>3744</v>
      </c>
      <c r="H291" s="65" t="s">
        <v>3745</v>
      </c>
      <c r="I291" s="65" t="s">
        <v>662</v>
      </c>
      <c r="J291" s="65" t="s">
        <v>36</v>
      </c>
      <c r="K291" s="65" t="s">
        <v>37</v>
      </c>
      <c r="L291" s="65" t="s">
        <v>3746</v>
      </c>
      <c r="M291" s="65" t="s">
        <v>3747</v>
      </c>
      <c r="N291" s="65" t="s">
        <v>3744</v>
      </c>
      <c r="O291" s="65" t="s">
        <v>3748</v>
      </c>
      <c r="P291" s="65" t="s">
        <v>201</v>
      </c>
      <c r="Q291" s="65">
        <v>1</v>
      </c>
      <c r="R291" s="65" t="s">
        <v>42</v>
      </c>
      <c r="S291" s="65" t="s">
        <v>44</v>
      </c>
      <c r="T291" s="65" t="s">
        <v>44</v>
      </c>
      <c r="U291" s="65" t="s">
        <v>45</v>
      </c>
      <c r="V291" s="65" t="s">
        <v>46</v>
      </c>
      <c r="W291" s="65">
        <v>135.59</v>
      </c>
      <c r="X291" s="65" t="s">
        <v>47</v>
      </c>
      <c r="Y291" s="65" t="s">
        <v>48</v>
      </c>
      <c r="Z291" s="65" t="s">
        <v>49</v>
      </c>
      <c r="AA291" s="65">
        <v>997145685</v>
      </c>
      <c r="AB291" s="65" t="s">
        <v>666</v>
      </c>
    </row>
    <row r="292" spans="1:28" x14ac:dyDescent="0.3">
      <c r="A292" s="1">
        <v>46224</v>
      </c>
      <c r="B292" s="65" t="s">
        <v>3741</v>
      </c>
      <c r="C292" s="65" t="s">
        <v>29</v>
      </c>
      <c r="D292" s="65" t="s">
        <v>3742</v>
      </c>
      <c r="E292" s="65" t="s">
        <v>31</v>
      </c>
      <c r="F292" s="65" t="s">
        <v>3743</v>
      </c>
      <c r="G292" s="65" t="s">
        <v>3744</v>
      </c>
      <c r="H292" s="65" t="s">
        <v>3745</v>
      </c>
      <c r="I292" s="65" t="s">
        <v>662</v>
      </c>
      <c r="J292" s="65" t="s">
        <v>36</v>
      </c>
      <c r="K292" s="65" t="s">
        <v>37</v>
      </c>
      <c r="L292" s="65" t="s">
        <v>3746</v>
      </c>
      <c r="M292" s="65" t="s">
        <v>3747</v>
      </c>
      <c r="N292" s="65" t="s">
        <v>3744</v>
      </c>
      <c r="O292" s="65" t="s">
        <v>3748</v>
      </c>
      <c r="P292" s="65" t="s">
        <v>202</v>
      </c>
      <c r="Q292" s="65">
        <v>1</v>
      </c>
      <c r="R292" s="65" t="s">
        <v>42</v>
      </c>
      <c r="S292" s="65" t="s">
        <v>44</v>
      </c>
      <c r="T292" s="65" t="s">
        <v>44</v>
      </c>
      <c r="U292" s="65" t="s">
        <v>45</v>
      </c>
      <c r="V292" s="65" t="s">
        <v>46</v>
      </c>
      <c r="W292" s="65">
        <v>152.54</v>
      </c>
      <c r="X292" s="65" t="s">
        <v>47</v>
      </c>
      <c r="Y292" s="65" t="s">
        <v>48</v>
      </c>
      <c r="Z292" s="65" t="s">
        <v>49</v>
      </c>
      <c r="AA292" s="65">
        <v>997145685</v>
      </c>
      <c r="AB292" s="65" t="s">
        <v>666</v>
      </c>
    </row>
    <row r="293" spans="1:28" x14ac:dyDescent="0.3">
      <c r="A293" s="1">
        <v>46224</v>
      </c>
      <c r="B293" s="65" t="s">
        <v>3741</v>
      </c>
      <c r="C293" s="65" t="s">
        <v>29</v>
      </c>
      <c r="D293" s="65" t="s">
        <v>3742</v>
      </c>
      <c r="E293" s="65" t="s">
        <v>31</v>
      </c>
      <c r="F293" s="65" t="s">
        <v>3743</v>
      </c>
      <c r="G293" s="65" t="s">
        <v>3744</v>
      </c>
      <c r="H293" s="65" t="s">
        <v>3745</v>
      </c>
      <c r="I293" s="65" t="s">
        <v>662</v>
      </c>
      <c r="J293" s="65" t="s">
        <v>36</v>
      </c>
      <c r="K293" s="65" t="s">
        <v>37</v>
      </c>
      <c r="L293" s="65" t="s">
        <v>3746</v>
      </c>
      <c r="M293" s="65" t="s">
        <v>3747</v>
      </c>
      <c r="N293" s="65" t="s">
        <v>3744</v>
      </c>
      <c r="O293" s="65" t="s">
        <v>3748</v>
      </c>
      <c r="P293" s="65" t="s">
        <v>130</v>
      </c>
      <c r="Q293" s="65">
        <v>1</v>
      </c>
      <c r="R293" s="65" t="s">
        <v>42</v>
      </c>
      <c r="S293" s="65" t="s">
        <v>44</v>
      </c>
      <c r="T293" s="65" t="s">
        <v>44</v>
      </c>
      <c r="U293" s="65" t="s">
        <v>45</v>
      </c>
      <c r="V293" s="65" t="s">
        <v>46</v>
      </c>
      <c r="W293" s="65">
        <v>152.54</v>
      </c>
      <c r="X293" s="65" t="s">
        <v>47</v>
      </c>
      <c r="Y293" s="65" t="s">
        <v>48</v>
      </c>
      <c r="Z293" s="65" t="s">
        <v>49</v>
      </c>
      <c r="AA293" s="65">
        <v>997145685</v>
      </c>
      <c r="AB293" s="65" t="s">
        <v>666</v>
      </c>
    </row>
    <row r="294" spans="1:28" x14ac:dyDescent="0.3">
      <c r="A294" s="1">
        <v>46224</v>
      </c>
      <c r="B294" s="65" t="s">
        <v>3749</v>
      </c>
      <c r="C294" s="65" t="s">
        <v>29</v>
      </c>
      <c r="D294" s="65" t="s">
        <v>3750</v>
      </c>
      <c r="E294" s="65" t="s">
        <v>31</v>
      </c>
      <c r="F294" s="65" t="s">
        <v>3751</v>
      </c>
      <c r="G294" s="65" t="s">
        <v>3752</v>
      </c>
      <c r="H294" s="65" t="s">
        <v>3753</v>
      </c>
      <c r="I294" s="65" t="s">
        <v>774</v>
      </c>
      <c r="J294" s="65" t="s">
        <v>775</v>
      </c>
      <c r="K294" s="65" t="s">
        <v>37</v>
      </c>
      <c r="L294" s="65" t="s">
        <v>3754</v>
      </c>
      <c r="M294" s="65" t="s">
        <v>3755</v>
      </c>
      <c r="N294" s="65" t="s">
        <v>3752</v>
      </c>
      <c r="O294" s="65" t="s">
        <v>3756</v>
      </c>
      <c r="P294" s="65" t="s">
        <v>641</v>
      </c>
      <c r="Q294" s="65">
        <v>1</v>
      </c>
      <c r="R294" s="65" t="s">
        <v>42</v>
      </c>
      <c r="S294" s="65" t="s">
        <v>44</v>
      </c>
      <c r="T294" s="65" t="s">
        <v>44</v>
      </c>
      <c r="U294" s="65" t="s">
        <v>45</v>
      </c>
      <c r="V294" s="65" t="s">
        <v>60</v>
      </c>
      <c r="W294" s="65">
        <v>84.75</v>
      </c>
      <c r="X294" s="65" t="s">
        <v>47</v>
      </c>
      <c r="Y294" s="65" t="s">
        <v>48</v>
      </c>
      <c r="Z294" s="65" t="s">
        <v>49</v>
      </c>
      <c r="AA294" s="65"/>
      <c r="AB294" s="65"/>
    </row>
    <row r="295" spans="1:28" x14ac:dyDescent="0.3">
      <c r="A295" s="1">
        <v>46224</v>
      </c>
      <c r="B295" s="65" t="s">
        <v>3757</v>
      </c>
      <c r="C295" s="65" t="s">
        <v>29</v>
      </c>
      <c r="D295" s="65" t="s">
        <v>3758</v>
      </c>
      <c r="E295" s="65" t="s">
        <v>31</v>
      </c>
      <c r="F295" s="65" t="s">
        <v>3759</v>
      </c>
      <c r="G295" s="65" t="s">
        <v>2451</v>
      </c>
      <c r="H295" s="65" t="s">
        <v>2452</v>
      </c>
      <c r="I295" s="65" t="s">
        <v>774</v>
      </c>
      <c r="J295" s="65" t="s">
        <v>775</v>
      </c>
      <c r="K295" s="65" t="s">
        <v>37</v>
      </c>
      <c r="L295" s="65" t="s">
        <v>2453</v>
      </c>
      <c r="M295" s="65" t="s">
        <v>2454</v>
      </c>
      <c r="N295" s="65" t="s">
        <v>2451</v>
      </c>
      <c r="O295" s="65" t="s">
        <v>3760</v>
      </c>
      <c r="P295" s="65" t="s">
        <v>641</v>
      </c>
      <c r="Q295" s="65">
        <v>1</v>
      </c>
      <c r="R295" s="65" t="s">
        <v>42</v>
      </c>
      <c r="S295" s="65" t="s">
        <v>44</v>
      </c>
      <c r="T295" s="65" t="s">
        <v>44</v>
      </c>
      <c r="U295" s="65" t="s">
        <v>45</v>
      </c>
      <c r="V295" s="65" t="s">
        <v>46</v>
      </c>
      <c r="W295" s="65">
        <v>84.75</v>
      </c>
      <c r="X295" s="65" t="s">
        <v>47</v>
      </c>
      <c r="Y295" s="65" t="s">
        <v>48</v>
      </c>
      <c r="Z295" s="65" t="s">
        <v>49</v>
      </c>
      <c r="AA295" s="65"/>
      <c r="AB295" s="65"/>
    </row>
    <row r="296" spans="1:28" x14ac:dyDescent="0.3">
      <c r="A296" s="1">
        <v>46224</v>
      </c>
      <c r="B296" s="65" t="s">
        <v>3761</v>
      </c>
      <c r="C296" s="65" t="s">
        <v>29</v>
      </c>
      <c r="D296" s="65" t="s">
        <v>3762</v>
      </c>
      <c r="E296" s="65" t="s">
        <v>31</v>
      </c>
      <c r="F296" s="65" t="s">
        <v>3763</v>
      </c>
      <c r="G296" s="65" t="s">
        <v>3752</v>
      </c>
      <c r="H296" s="65" t="s">
        <v>3753</v>
      </c>
      <c r="I296" s="65" t="s">
        <v>774</v>
      </c>
      <c r="J296" s="65" t="s">
        <v>775</v>
      </c>
      <c r="K296" s="65" t="s">
        <v>37</v>
      </c>
      <c r="L296" s="65" t="s">
        <v>3754</v>
      </c>
      <c r="M296" s="65" t="s">
        <v>3755</v>
      </c>
      <c r="N296" s="65" t="s">
        <v>3752</v>
      </c>
      <c r="O296" s="65" t="s">
        <v>3764</v>
      </c>
      <c r="P296" s="65" t="s">
        <v>3765</v>
      </c>
      <c r="Q296" s="65">
        <v>2</v>
      </c>
      <c r="R296" s="65" t="s">
        <v>42</v>
      </c>
      <c r="S296" s="65" t="s">
        <v>44</v>
      </c>
      <c r="T296" s="65" t="s">
        <v>44</v>
      </c>
      <c r="U296" s="65" t="s">
        <v>45</v>
      </c>
      <c r="V296" s="65" t="s">
        <v>3766</v>
      </c>
      <c r="W296" s="65">
        <v>4.24</v>
      </c>
      <c r="X296" s="65" t="s">
        <v>533</v>
      </c>
      <c r="Y296" s="65" t="s">
        <v>48</v>
      </c>
      <c r="Z296" s="65" t="s">
        <v>49</v>
      </c>
      <c r="AA296" s="65"/>
      <c r="AB296" s="65"/>
    </row>
    <row r="297" spans="1:28" x14ac:dyDescent="0.3">
      <c r="A297" s="1">
        <v>46224</v>
      </c>
      <c r="B297" s="65" t="s">
        <v>3767</v>
      </c>
      <c r="C297" s="65" t="s">
        <v>268</v>
      </c>
      <c r="D297" s="65" t="s">
        <v>3768</v>
      </c>
      <c r="E297" s="65" t="s">
        <v>31</v>
      </c>
      <c r="F297" s="65" t="s">
        <v>3769</v>
      </c>
      <c r="G297" s="65" t="s">
        <v>3752</v>
      </c>
      <c r="H297" s="65" t="s">
        <v>3753</v>
      </c>
      <c r="I297" s="65" t="s">
        <v>774</v>
      </c>
      <c r="J297" s="65" t="s">
        <v>775</v>
      </c>
      <c r="K297" s="65" t="s">
        <v>37</v>
      </c>
      <c r="L297" s="65" t="s">
        <v>3754</v>
      </c>
      <c r="M297" s="65" t="s">
        <v>3755</v>
      </c>
      <c r="N297" s="65" t="s">
        <v>798</v>
      </c>
      <c r="O297" s="65" t="s">
        <v>3770</v>
      </c>
      <c r="P297" s="65" t="s">
        <v>288</v>
      </c>
      <c r="Q297" s="65">
        <v>1</v>
      </c>
      <c r="R297" s="65" t="s">
        <v>42</v>
      </c>
      <c r="S297" s="65" t="s">
        <v>44</v>
      </c>
      <c r="T297" s="65" t="s">
        <v>44</v>
      </c>
      <c r="U297" s="65" t="s">
        <v>45</v>
      </c>
      <c r="V297" s="65" t="s">
        <v>60</v>
      </c>
      <c r="W297" s="65">
        <v>0</v>
      </c>
      <c r="X297" s="65" t="s">
        <v>289</v>
      </c>
      <c r="Y297" s="65" t="s">
        <v>48</v>
      </c>
      <c r="Z297" s="65" t="s">
        <v>49</v>
      </c>
      <c r="AA297" s="65"/>
      <c r="AB297" s="65"/>
    </row>
    <row r="298" spans="1:28" x14ac:dyDescent="0.3">
      <c r="A298" s="1">
        <v>46224</v>
      </c>
      <c r="B298" s="65" t="s">
        <v>3767</v>
      </c>
      <c r="C298" s="65" t="s">
        <v>268</v>
      </c>
      <c r="D298" s="65" t="s">
        <v>3768</v>
      </c>
      <c r="E298" s="65" t="s">
        <v>31</v>
      </c>
      <c r="F298" s="65" t="s">
        <v>3769</v>
      </c>
      <c r="G298" s="65" t="s">
        <v>3752</v>
      </c>
      <c r="H298" s="65" t="s">
        <v>3753</v>
      </c>
      <c r="I298" s="65" t="s">
        <v>774</v>
      </c>
      <c r="J298" s="65" t="s">
        <v>775</v>
      </c>
      <c r="K298" s="65" t="s">
        <v>37</v>
      </c>
      <c r="L298" s="65" t="s">
        <v>3754</v>
      </c>
      <c r="M298" s="65" t="s">
        <v>3755</v>
      </c>
      <c r="N298" s="65" t="s">
        <v>798</v>
      </c>
      <c r="O298" s="65" t="s">
        <v>3770</v>
      </c>
      <c r="P298" s="65" t="s">
        <v>1620</v>
      </c>
      <c r="Q298" s="65">
        <v>1</v>
      </c>
      <c r="R298" s="65" t="s">
        <v>42</v>
      </c>
      <c r="S298" s="65" t="s">
        <v>44</v>
      </c>
      <c r="T298" s="65" t="s">
        <v>44</v>
      </c>
      <c r="U298" s="65" t="s">
        <v>45</v>
      </c>
      <c r="V298" s="65" t="s">
        <v>60</v>
      </c>
      <c r="W298" s="65">
        <v>1525.42</v>
      </c>
      <c r="X298" s="65" t="s">
        <v>289</v>
      </c>
      <c r="Y298" s="65" t="s">
        <v>48</v>
      </c>
      <c r="Z298" s="65" t="s">
        <v>49</v>
      </c>
      <c r="AA298" s="65"/>
      <c r="AB298" s="65"/>
    </row>
    <row r="299" spans="1:28" x14ac:dyDescent="0.3">
      <c r="A299" s="1">
        <v>46224</v>
      </c>
      <c r="B299" s="65" t="s">
        <v>3771</v>
      </c>
      <c r="C299" s="65" t="s">
        <v>29</v>
      </c>
      <c r="D299" s="65" t="s">
        <v>3772</v>
      </c>
      <c r="E299" s="65" t="s">
        <v>31</v>
      </c>
      <c r="F299" s="65" t="s">
        <v>3773</v>
      </c>
      <c r="G299" s="65" t="s">
        <v>3774</v>
      </c>
      <c r="H299" s="65" t="s">
        <v>3775</v>
      </c>
      <c r="I299" s="65" t="s">
        <v>3529</v>
      </c>
      <c r="J299" s="65" t="s">
        <v>209</v>
      </c>
      <c r="K299" s="65" t="s">
        <v>37</v>
      </c>
      <c r="L299" s="65" t="s">
        <v>3776</v>
      </c>
      <c r="M299" s="65" t="s">
        <v>3777</v>
      </c>
      <c r="N299" s="65" t="s">
        <v>3774</v>
      </c>
      <c r="O299" s="65" t="s">
        <v>3778</v>
      </c>
      <c r="P299" s="65" t="s">
        <v>201</v>
      </c>
      <c r="Q299" s="65">
        <v>1</v>
      </c>
      <c r="R299" s="65" t="s">
        <v>42</v>
      </c>
      <c r="S299" s="65" t="s">
        <v>44</v>
      </c>
      <c r="T299" s="65" t="s">
        <v>44</v>
      </c>
      <c r="U299" s="65" t="s">
        <v>45</v>
      </c>
      <c r="V299" s="65" t="s">
        <v>60</v>
      </c>
      <c r="W299" s="65">
        <v>152.54</v>
      </c>
      <c r="X299" s="65" t="s">
        <v>47</v>
      </c>
      <c r="Y299" s="65" t="s">
        <v>48</v>
      </c>
      <c r="Z299" s="65" t="s">
        <v>49</v>
      </c>
      <c r="AA299" s="65">
        <v>971430775</v>
      </c>
      <c r="AB299" s="65"/>
    </row>
    <row r="300" spans="1:28" x14ac:dyDescent="0.3">
      <c r="A300" s="1">
        <v>46224</v>
      </c>
      <c r="B300" s="65" t="s">
        <v>3771</v>
      </c>
      <c r="C300" s="65" t="s">
        <v>29</v>
      </c>
      <c r="D300" s="65" t="s">
        <v>3772</v>
      </c>
      <c r="E300" s="65" t="s">
        <v>31</v>
      </c>
      <c r="F300" s="65" t="s">
        <v>3773</v>
      </c>
      <c r="G300" s="65" t="s">
        <v>3774</v>
      </c>
      <c r="H300" s="65" t="s">
        <v>3775</v>
      </c>
      <c r="I300" s="65" t="s">
        <v>3529</v>
      </c>
      <c r="J300" s="65" t="s">
        <v>209</v>
      </c>
      <c r="K300" s="65" t="s">
        <v>37</v>
      </c>
      <c r="L300" s="65" t="s">
        <v>3776</v>
      </c>
      <c r="M300" s="65" t="s">
        <v>3777</v>
      </c>
      <c r="N300" s="65" t="s">
        <v>3774</v>
      </c>
      <c r="O300" s="65" t="s">
        <v>3778</v>
      </c>
      <c r="P300" s="65" t="s">
        <v>90</v>
      </c>
      <c r="Q300" s="65">
        <v>1</v>
      </c>
      <c r="R300" s="65" t="s">
        <v>42</v>
      </c>
      <c r="S300" s="65" t="s">
        <v>44</v>
      </c>
      <c r="T300" s="65" t="s">
        <v>44</v>
      </c>
      <c r="U300" s="65" t="s">
        <v>45</v>
      </c>
      <c r="V300" s="65" t="s">
        <v>60</v>
      </c>
      <c r="W300" s="65">
        <v>135.59</v>
      </c>
      <c r="X300" s="65" t="s">
        <v>47</v>
      </c>
      <c r="Y300" s="65" t="s">
        <v>48</v>
      </c>
      <c r="Z300" s="65" t="s">
        <v>49</v>
      </c>
      <c r="AA300" s="65">
        <v>971430775</v>
      </c>
      <c r="AB300" s="65"/>
    </row>
    <row r="301" spans="1:28" x14ac:dyDescent="0.3">
      <c r="A301" s="1">
        <v>46225</v>
      </c>
      <c r="B301" s="65" t="s">
        <v>3779</v>
      </c>
      <c r="C301" s="65" t="s">
        <v>29</v>
      </c>
      <c r="D301" s="65" t="s">
        <v>3780</v>
      </c>
      <c r="E301" s="65" t="s">
        <v>31</v>
      </c>
      <c r="F301" s="65" t="s">
        <v>3781</v>
      </c>
      <c r="G301" s="65" t="s">
        <v>3782</v>
      </c>
      <c r="H301" s="65" t="s">
        <v>3783</v>
      </c>
      <c r="I301" s="65" t="s">
        <v>628</v>
      </c>
      <c r="J301" s="65" t="s">
        <v>629</v>
      </c>
      <c r="K301" s="65" t="s">
        <v>37</v>
      </c>
      <c r="L301" s="65" t="s">
        <v>3784</v>
      </c>
      <c r="M301" s="65" t="s">
        <v>608</v>
      </c>
      <c r="N301" s="65" t="s">
        <v>3782</v>
      </c>
      <c r="O301" s="65" t="s">
        <v>3785</v>
      </c>
      <c r="P301" s="65" t="s">
        <v>641</v>
      </c>
      <c r="Q301" s="65">
        <v>1</v>
      </c>
      <c r="R301" s="65" t="s">
        <v>42</v>
      </c>
      <c r="S301" s="65" t="s">
        <v>44</v>
      </c>
      <c r="T301" s="65" t="s">
        <v>44</v>
      </c>
      <c r="U301" s="65" t="s">
        <v>45</v>
      </c>
      <c r="V301" s="65" t="s">
        <v>60</v>
      </c>
      <c r="W301" s="65">
        <v>84.75</v>
      </c>
      <c r="X301" s="65" t="s">
        <v>47</v>
      </c>
      <c r="Y301" s="65" t="s">
        <v>48</v>
      </c>
      <c r="Z301" s="65" t="s">
        <v>49</v>
      </c>
      <c r="AA301" s="65">
        <v>978789268</v>
      </c>
      <c r="AB301" s="65" t="s">
        <v>633</v>
      </c>
    </row>
    <row r="302" spans="1:28" x14ac:dyDescent="0.3">
      <c r="A302" s="1">
        <v>46225</v>
      </c>
      <c r="B302" s="65" t="s">
        <v>3786</v>
      </c>
      <c r="C302" s="65" t="s">
        <v>29</v>
      </c>
      <c r="D302" s="65" t="s">
        <v>3787</v>
      </c>
      <c r="E302" s="65" t="s">
        <v>31</v>
      </c>
      <c r="F302" s="65" t="s">
        <v>3788</v>
      </c>
      <c r="G302" s="65" t="s">
        <v>3789</v>
      </c>
      <c r="H302" s="65" t="s">
        <v>3790</v>
      </c>
      <c r="I302" s="65" t="s">
        <v>628</v>
      </c>
      <c r="J302" s="65" t="s">
        <v>629</v>
      </c>
      <c r="K302" s="65" t="s">
        <v>37</v>
      </c>
      <c r="L302" s="65" t="s">
        <v>3791</v>
      </c>
      <c r="M302" s="65" t="s">
        <v>3792</v>
      </c>
      <c r="N302" s="65" t="s">
        <v>3789</v>
      </c>
      <c r="O302" s="65" t="s">
        <v>3793</v>
      </c>
      <c r="P302" s="65" t="s">
        <v>288</v>
      </c>
      <c r="Q302" s="65">
        <v>1</v>
      </c>
      <c r="R302" s="65" t="s">
        <v>42</v>
      </c>
      <c r="S302" s="65" t="s">
        <v>44</v>
      </c>
      <c r="T302" s="65" t="s">
        <v>44</v>
      </c>
      <c r="U302" s="65" t="s">
        <v>45</v>
      </c>
      <c r="V302" s="65" t="s">
        <v>60</v>
      </c>
      <c r="W302" s="65">
        <v>0</v>
      </c>
      <c r="X302" s="65" t="s">
        <v>289</v>
      </c>
      <c r="Y302" s="65" t="s">
        <v>48</v>
      </c>
      <c r="Z302" s="65" t="s">
        <v>49</v>
      </c>
      <c r="AA302" s="65">
        <v>978789268</v>
      </c>
      <c r="AB302" s="65" t="s">
        <v>633</v>
      </c>
    </row>
    <row r="303" spans="1:28" x14ac:dyDescent="0.3">
      <c r="A303" s="1">
        <v>46225</v>
      </c>
      <c r="B303" s="65" t="s">
        <v>3786</v>
      </c>
      <c r="C303" s="65" t="s">
        <v>29</v>
      </c>
      <c r="D303" s="65" t="s">
        <v>3787</v>
      </c>
      <c r="E303" s="65" t="s">
        <v>31</v>
      </c>
      <c r="F303" s="65" t="s">
        <v>3788</v>
      </c>
      <c r="G303" s="65" t="s">
        <v>3789</v>
      </c>
      <c r="H303" s="65" t="s">
        <v>3790</v>
      </c>
      <c r="I303" s="65" t="s">
        <v>628</v>
      </c>
      <c r="J303" s="65" t="s">
        <v>629</v>
      </c>
      <c r="K303" s="65" t="s">
        <v>37</v>
      </c>
      <c r="L303" s="65" t="s">
        <v>3791</v>
      </c>
      <c r="M303" s="65" t="s">
        <v>3792</v>
      </c>
      <c r="N303" s="65" t="s">
        <v>3789</v>
      </c>
      <c r="O303" s="65" t="s">
        <v>3793</v>
      </c>
      <c r="P303" s="65" t="s">
        <v>1620</v>
      </c>
      <c r="Q303" s="65">
        <v>1</v>
      </c>
      <c r="R303" s="65" t="s">
        <v>42</v>
      </c>
      <c r="S303" s="65" t="s">
        <v>44</v>
      </c>
      <c r="T303" s="65" t="s">
        <v>44</v>
      </c>
      <c r="U303" s="65" t="s">
        <v>45</v>
      </c>
      <c r="V303" s="65" t="s">
        <v>60</v>
      </c>
      <c r="W303" s="65">
        <v>139.83000000000001</v>
      </c>
      <c r="X303" s="65" t="s">
        <v>289</v>
      </c>
      <c r="Y303" s="65" t="s">
        <v>48</v>
      </c>
      <c r="Z303" s="65" t="s">
        <v>49</v>
      </c>
      <c r="AA303" s="65">
        <v>978789268</v>
      </c>
      <c r="AB303" s="65" t="s">
        <v>633</v>
      </c>
    </row>
    <row r="304" spans="1:28" x14ac:dyDescent="0.3">
      <c r="A304" s="1">
        <v>46225</v>
      </c>
      <c r="B304" s="65" t="s">
        <v>3794</v>
      </c>
      <c r="C304" s="65" t="s">
        <v>29</v>
      </c>
      <c r="D304" s="65" t="s">
        <v>3795</v>
      </c>
      <c r="E304" s="65" t="s">
        <v>31</v>
      </c>
      <c r="F304" s="65" t="s">
        <v>3796</v>
      </c>
      <c r="G304" s="65" t="s">
        <v>3782</v>
      </c>
      <c r="H304" s="65" t="s">
        <v>3783</v>
      </c>
      <c r="I304" s="65" t="s">
        <v>628</v>
      </c>
      <c r="J304" s="65" t="s">
        <v>629</v>
      </c>
      <c r="K304" s="65" t="s">
        <v>37</v>
      </c>
      <c r="L304" s="65" t="s">
        <v>3784</v>
      </c>
      <c r="M304" s="65" t="s">
        <v>608</v>
      </c>
      <c r="N304" s="65" t="s">
        <v>3782</v>
      </c>
      <c r="O304" s="65" t="s">
        <v>3797</v>
      </c>
      <c r="P304" s="65" t="s">
        <v>288</v>
      </c>
      <c r="Q304" s="65">
        <v>1</v>
      </c>
      <c r="R304" s="65" t="s">
        <v>42</v>
      </c>
      <c r="S304" s="65" t="s">
        <v>44</v>
      </c>
      <c r="T304" s="65" t="s">
        <v>44</v>
      </c>
      <c r="U304" s="65" t="s">
        <v>45</v>
      </c>
      <c r="V304" s="65" t="s">
        <v>60</v>
      </c>
      <c r="W304" s="65">
        <v>0</v>
      </c>
      <c r="X304" s="65" t="s">
        <v>289</v>
      </c>
      <c r="Y304" s="65" t="s">
        <v>48</v>
      </c>
      <c r="Z304" s="65" t="s">
        <v>49</v>
      </c>
      <c r="AA304" s="65">
        <v>978789268</v>
      </c>
      <c r="AB304" s="65" t="s">
        <v>633</v>
      </c>
    </row>
    <row r="305" spans="1:28" x14ac:dyDescent="0.3">
      <c r="A305" s="1">
        <v>46225</v>
      </c>
      <c r="B305" s="65" t="s">
        <v>3794</v>
      </c>
      <c r="C305" s="65" t="s">
        <v>29</v>
      </c>
      <c r="D305" s="65" t="s">
        <v>3795</v>
      </c>
      <c r="E305" s="65" t="s">
        <v>31</v>
      </c>
      <c r="F305" s="65" t="s">
        <v>3796</v>
      </c>
      <c r="G305" s="65" t="s">
        <v>3782</v>
      </c>
      <c r="H305" s="65" t="s">
        <v>3783</v>
      </c>
      <c r="I305" s="65" t="s">
        <v>628</v>
      </c>
      <c r="J305" s="65" t="s">
        <v>629</v>
      </c>
      <c r="K305" s="65" t="s">
        <v>37</v>
      </c>
      <c r="L305" s="65" t="s">
        <v>3784</v>
      </c>
      <c r="M305" s="65" t="s">
        <v>608</v>
      </c>
      <c r="N305" s="65" t="s">
        <v>3782</v>
      </c>
      <c r="O305" s="65" t="s">
        <v>3797</v>
      </c>
      <c r="P305" s="65" t="s">
        <v>1620</v>
      </c>
      <c r="Q305" s="65">
        <v>1</v>
      </c>
      <c r="R305" s="65" t="s">
        <v>42</v>
      </c>
      <c r="S305" s="65" t="s">
        <v>44</v>
      </c>
      <c r="T305" s="65" t="s">
        <v>44</v>
      </c>
      <c r="U305" s="65" t="s">
        <v>45</v>
      </c>
      <c r="V305" s="65" t="s">
        <v>60</v>
      </c>
      <c r="W305" s="65">
        <v>1050.8499999999999</v>
      </c>
      <c r="X305" s="65" t="s">
        <v>289</v>
      </c>
      <c r="Y305" s="65" t="s">
        <v>48</v>
      </c>
      <c r="Z305" s="65" t="s">
        <v>49</v>
      </c>
      <c r="AA305" s="65">
        <v>978789268</v>
      </c>
      <c r="AB305" s="65" t="s">
        <v>633</v>
      </c>
    </row>
    <row r="306" spans="1:28" x14ac:dyDescent="0.3">
      <c r="A306" s="1">
        <v>46225</v>
      </c>
      <c r="B306" s="65" t="s">
        <v>3798</v>
      </c>
      <c r="C306" s="65" t="s">
        <v>268</v>
      </c>
      <c r="D306" s="65" t="s">
        <v>3799</v>
      </c>
      <c r="E306" s="65" t="s">
        <v>31</v>
      </c>
      <c r="F306" s="65" t="s">
        <v>3800</v>
      </c>
      <c r="G306" s="65" t="s">
        <v>3801</v>
      </c>
      <c r="H306" s="65" t="s">
        <v>3802</v>
      </c>
      <c r="I306" s="65" t="s">
        <v>2795</v>
      </c>
      <c r="J306" s="65" t="s">
        <v>209</v>
      </c>
      <c r="K306" s="65" t="s">
        <v>37</v>
      </c>
      <c r="L306" s="65" t="s">
        <v>3803</v>
      </c>
      <c r="M306" s="65" t="s">
        <v>3804</v>
      </c>
      <c r="N306" s="65" t="s">
        <v>1251</v>
      </c>
      <c r="O306" s="65" t="s">
        <v>3805</v>
      </c>
      <c r="P306" s="65" t="s">
        <v>288</v>
      </c>
      <c r="Q306" s="65">
        <v>1</v>
      </c>
      <c r="R306" s="65" t="s">
        <v>42</v>
      </c>
      <c r="S306" s="65" t="s">
        <v>44</v>
      </c>
      <c r="T306" s="65" t="s">
        <v>44</v>
      </c>
      <c r="U306" s="65" t="s">
        <v>45</v>
      </c>
      <c r="V306" s="65" t="s">
        <v>60</v>
      </c>
      <c r="W306" s="65">
        <v>0</v>
      </c>
      <c r="X306" s="65" t="s">
        <v>289</v>
      </c>
      <c r="Y306" s="65" t="s">
        <v>48</v>
      </c>
      <c r="Z306" s="65" t="s">
        <v>49</v>
      </c>
      <c r="AA306" s="65">
        <v>994872106</v>
      </c>
      <c r="AB306" s="65" t="s">
        <v>1253</v>
      </c>
    </row>
    <row r="307" spans="1:28" x14ac:dyDescent="0.3">
      <c r="A307" s="1">
        <v>46225</v>
      </c>
      <c r="B307" s="65" t="s">
        <v>3798</v>
      </c>
      <c r="C307" s="65" t="s">
        <v>268</v>
      </c>
      <c r="D307" s="65" t="s">
        <v>3799</v>
      </c>
      <c r="E307" s="65" t="s">
        <v>31</v>
      </c>
      <c r="F307" s="65" t="s">
        <v>3800</v>
      </c>
      <c r="G307" s="65" t="s">
        <v>3801</v>
      </c>
      <c r="H307" s="65" t="s">
        <v>3802</v>
      </c>
      <c r="I307" s="65" t="s">
        <v>2795</v>
      </c>
      <c r="J307" s="65" t="s">
        <v>209</v>
      </c>
      <c r="K307" s="65" t="s">
        <v>37</v>
      </c>
      <c r="L307" s="65" t="s">
        <v>3803</v>
      </c>
      <c r="M307" s="65" t="s">
        <v>3804</v>
      </c>
      <c r="N307" s="65" t="s">
        <v>1251</v>
      </c>
      <c r="O307" s="65" t="s">
        <v>3805</v>
      </c>
      <c r="P307" s="65" t="s">
        <v>1620</v>
      </c>
      <c r="Q307" s="65">
        <v>1</v>
      </c>
      <c r="R307" s="65" t="s">
        <v>42</v>
      </c>
      <c r="S307" s="65" t="s">
        <v>44</v>
      </c>
      <c r="T307" s="65" t="s">
        <v>44</v>
      </c>
      <c r="U307" s="65" t="s">
        <v>45</v>
      </c>
      <c r="V307" s="65" t="s">
        <v>60</v>
      </c>
      <c r="W307" s="65">
        <v>279.66000000000003</v>
      </c>
      <c r="X307" s="65" t="s">
        <v>289</v>
      </c>
      <c r="Y307" s="65" t="s">
        <v>48</v>
      </c>
      <c r="Z307" s="65" t="s">
        <v>49</v>
      </c>
      <c r="AA307" s="65">
        <v>994872106</v>
      </c>
      <c r="AB307" s="65" t="s">
        <v>1253</v>
      </c>
    </row>
    <row r="308" spans="1:28" x14ac:dyDescent="0.3">
      <c r="A308" s="1">
        <v>46225</v>
      </c>
      <c r="B308" s="65" t="s">
        <v>3806</v>
      </c>
      <c r="C308" s="65" t="s">
        <v>268</v>
      </c>
      <c r="D308" s="65" t="s">
        <v>3807</v>
      </c>
      <c r="E308" s="65" t="s">
        <v>31</v>
      </c>
      <c r="F308" s="65" t="s">
        <v>3808</v>
      </c>
      <c r="G308" s="65" t="s">
        <v>1248</v>
      </c>
      <c r="H308" s="65" t="s">
        <v>1249</v>
      </c>
      <c r="I308" s="65" t="s">
        <v>2795</v>
      </c>
      <c r="J308" s="65" t="s">
        <v>209</v>
      </c>
      <c r="K308" s="65" t="s">
        <v>37</v>
      </c>
      <c r="L308" s="65" t="s">
        <v>1250</v>
      </c>
      <c r="M308" s="65" t="s">
        <v>608</v>
      </c>
      <c r="N308" s="65" t="s">
        <v>1251</v>
      </c>
      <c r="O308" s="65" t="s">
        <v>3809</v>
      </c>
      <c r="P308" s="65" t="s">
        <v>288</v>
      </c>
      <c r="Q308" s="65">
        <v>1</v>
      </c>
      <c r="R308" s="65" t="s">
        <v>42</v>
      </c>
      <c r="S308" s="65" t="s">
        <v>44</v>
      </c>
      <c r="T308" s="65" t="s">
        <v>44</v>
      </c>
      <c r="U308" s="65" t="s">
        <v>45</v>
      </c>
      <c r="V308" s="65" t="s">
        <v>60</v>
      </c>
      <c r="W308" s="65">
        <v>0</v>
      </c>
      <c r="X308" s="65" t="s">
        <v>289</v>
      </c>
      <c r="Y308" s="65" t="s">
        <v>48</v>
      </c>
      <c r="Z308" s="65" t="s">
        <v>49</v>
      </c>
      <c r="AA308" s="65">
        <v>994872106</v>
      </c>
      <c r="AB308" s="65" t="s">
        <v>1253</v>
      </c>
    </row>
    <row r="309" spans="1:28" x14ac:dyDescent="0.3">
      <c r="A309" s="1">
        <v>46225</v>
      </c>
      <c r="B309" s="65" t="s">
        <v>3806</v>
      </c>
      <c r="C309" s="65" t="s">
        <v>268</v>
      </c>
      <c r="D309" s="65" t="s">
        <v>3807</v>
      </c>
      <c r="E309" s="65" t="s">
        <v>31</v>
      </c>
      <c r="F309" s="65" t="s">
        <v>3808</v>
      </c>
      <c r="G309" s="65" t="s">
        <v>1248</v>
      </c>
      <c r="H309" s="65" t="s">
        <v>1249</v>
      </c>
      <c r="I309" s="65" t="s">
        <v>2795</v>
      </c>
      <c r="J309" s="65" t="s">
        <v>209</v>
      </c>
      <c r="K309" s="65" t="s">
        <v>37</v>
      </c>
      <c r="L309" s="65" t="s">
        <v>1250</v>
      </c>
      <c r="M309" s="65" t="s">
        <v>608</v>
      </c>
      <c r="N309" s="65" t="s">
        <v>1251</v>
      </c>
      <c r="O309" s="65" t="s">
        <v>3809</v>
      </c>
      <c r="P309" s="65" t="s">
        <v>1620</v>
      </c>
      <c r="Q309" s="65">
        <v>1</v>
      </c>
      <c r="R309" s="65" t="s">
        <v>42</v>
      </c>
      <c r="S309" s="65" t="s">
        <v>44</v>
      </c>
      <c r="T309" s="65" t="s">
        <v>44</v>
      </c>
      <c r="U309" s="65" t="s">
        <v>45</v>
      </c>
      <c r="V309" s="65" t="s">
        <v>60</v>
      </c>
      <c r="W309" s="65">
        <v>139.83000000000001</v>
      </c>
      <c r="X309" s="65" t="s">
        <v>289</v>
      </c>
      <c r="Y309" s="65" t="s">
        <v>48</v>
      </c>
      <c r="Z309" s="65" t="s">
        <v>49</v>
      </c>
      <c r="AA309" s="65">
        <v>994872106</v>
      </c>
      <c r="AB309" s="65" t="s">
        <v>1253</v>
      </c>
    </row>
    <row r="310" spans="1:28" x14ac:dyDescent="0.3">
      <c r="A310" s="1">
        <v>46225</v>
      </c>
      <c r="B310" s="65" t="s">
        <v>3810</v>
      </c>
      <c r="C310" s="65" t="s">
        <v>29</v>
      </c>
      <c r="D310" s="65" t="s">
        <v>3811</v>
      </c>
      <c r="E310" s="65" t="s">
        <v>31</v>
      </c>
      <c r="F310" s="65" t="s">
        <v>3812</v>
      </c>
      <c r="G310" s="65" t="s">
        <v>3813</v>
      </c>
      <c r="H310" s="65" t="s">
        <v>3814</v>
      </c>
      <c r="I310" s="65" t="s">
        <v>1322</v>
      </c>
      <c r="J310" s="65" t="s">
        <v>36</v>
      </c>
      <c r="K310" s="65" t="s">
        <v>37</v>
      </c>
      <c r="L310" s="65" t="s">
        <v>3815</v>
      </c>
      <c r="M310" s="65" t="s">
        <v>3816</v>
      </c>
      <c r="N310" s="65" t="s">
        <v>3813</v>
      </c>
      <c r="O310" s="65" t="s">
        <v>3817</v>
      </c>
      <c r="P310" s="65" t="s">
        <v>41</v>
      </c>
      <c r="Q310" s="65">
        <v>1</v>
      </c>
      <c r="R310" s="65" t="s">
        <v>70</v>
      </c>
      <c r="S310" s="65" t="s">
        <v>43</v>
      </c>
      <c r="T310" s="65" t="s">
        <v>44</v>
      </c>
      <c r="U310" s="65" t="s">
        <v>71</v>
      </c>
      <c r="V310" s="65" t="s">
        <v>72</v>
      </c>
      <c r="W310" s="65">
        <v>186.44</v>
      </c>
      <c r="X310" s="65" t="s">
        <v>47</v>
      </c>
      <c r="Y310" s="65" t="s">
        <v>48</v>
      </c>
      <c r="Z310" s="65" t="s">
        <v>73</v>
      </c>
      <c r="AA310" s="65">
        <v>999111362</v>
      </c>
      <c r="AB310" s="65" t="s">
        <v>1326</v>
      </c>
    </row>
    <row r="311" spans="1:28" x14ac:dyDescent="0.3">
      <c r="A311" s="1">
        <v>46225</v>
      </c>
      <c r="B311" s="65" t="s">
        <v>3818</v>
      </c>
      <c r="C311" s="65" t="s">
        <v>29</v>
      </c>
      <c r="D311" s="65" t="s">
        <v>3819</v>
      </c>
      <c r="E311" s="65" t="s">
        <v>31</v>
      </c>
      <c r="F311" s="65" t="s">
        <v>3820</v>
      </c>
      <c r="G311" s="65" t="s">
        <v>3821</v>
      </c>
      <c r="H311" s="65" t="s">
        <v>3822</v>
      </c>
      <c r="I311" s="65" t="s">
        <v>3530</v>
      </c>
      <c r="J311" s="65" t="s">
        <v>629</v>
      </c>
      <c r="K311" s="65" t="s">
        <v>37</v>
      </c>
      <c r="L311" s="65" t="s">
        <v>3823</v>
      </c>
      <c r="M311" s="65" t="s">
        <v>3824</v>
      </c>
      <c r="N311" s="65" t="s">
        <v>3821</v>
      </c>
      <c r="O311" s="65" t="s">
        <v>3825</v>
      </c>
      <c r="P311" s="65" t="s">
        <v>101</v>
      </c>
      <c r="Q311" s="65">
        <v>1</v>
      </c>
      <c r="R311" s="65" t="s">
        <v>42</v>
      </c>
      <c r="S311" s="65" t="s">
        <v>44</v>
      </c>
      <c r="T311" s="65" t="s">
        <v>44</v>
      </c>
      <c r="U311" s="65" t="s">
        <v>45</v>
      </c>
      <c r="V311" s="65" t="s">
        <v>60</v>
      </c>
      <c r="W311" s="65">
        <v>186.44</v>
      </c>
      <c r="X311" s="65" t="s">
        <v>47</v>
      </c>
      <c r="Y311" s="65" t="s">
        <v>48</v>
      </c>
      <c r="Z311" s="65" t="s">
        <v>49</v>
      </c>
      <c r="AA311" s="65">
        <v>990440701</v>
      </c>
      <c r="AB311" s="65"/>
    </row>
    <row r="312" spans="1:28" x14ac:dyDescent="0.3">
      <c r="A312" s="1">
        <v>46225</v>
      </c>
      <c r="B312" s="65" t="s">
        <v>3826</v>
      </c>
      <c r="C312" s="65" t="s">
        <v>29</v>
      </c>
      <c r="D312" s="65" t="s">
        <v>3827</v>
      </c>
      <c r="E312" s="65" t="s">
        <v>31</v>
      </c>
      <c r="F312" s="65" t="s">
        <v>3828</v>
      </c>
      <c r="G312" s="65" t="s">
        <v>3829</v>
      </c>
      <c r="H312" s="65" t="s">
        <v>3830</v>
      </c>
      <c r="I312" s="65" t="s">
        <v>3831</v>
      </c>
      <c r="J312" s="65"/>
      <c r="K312" s="65" t="s">
        <v>37</v>
      </c>
      <c r="L312" s="65" t="s">
        <v>3832</v>
      </c>
      <c r="M312" s="65" t="s">
        <v>3833</v>
      </c>
      <c r="N312" s="65" t="s">
        <v>3829</v>
      </c>
      <c r="O312" s="65" t="s">
        <v>3834</v>
      </c>
      <c r="P312" s="65" t="s">
        <v>41</v>
      </c>
      <c r="Q312" s="65">
        <v>1</v>
      </c>
      <c r="R312" s="65" t="s">
        <v>42</v>
      </c>
      <c r="S312" s="65" t="s">
        <v>44</v>
      </c>
      <c r="T312" s="65" t="s">
        <v>44</v>
      </c>
      <c r="U312" s="65" t="s">
        <v>45</v>
      </c>
      <c r="V312" s="65" t="s">
        <v>60</v>
      </c>
      <c r="W312" s="65">
        <v>186.44</v>
      </c>
      <c r="X312" s="65" t="s">
        <v>47</v>
      </c>
      <c r="Y312" s="65" t="s">
        <v>48</v>
      </c>
      <c r="Z312" s="65" t="s">
        <v>49</v>
      </c>
      <c r="AA312" s="65"/>
      <c r="AB312" s="65"/>
    </row>
    <row r="313" spans="1:28" x14ac:dyDescent="0.3">
      <c r="A313" s="1">
        <v>46227</v>
      </c>
      <c r="B313" s="65" t="s">
        <v>3851</v>
      </c>
      <c r="C313" s="65" t="s">
        <v>268</v>
      </c>
      <c r="D313" s="65" t="s">
        <v>3852</v>
      </c>
      <c r="E313" s="65" t="s">
        <v>31</v>
      </c>
      <c r="F313" s="65" t="s">
        <v>3853</v>
      </c>
      <c r="G313" s="65" t="s">
        <v>3854</v>
      </c>
      <c r="H313" s="65" t="s">
        <v>3855</v>
      </c>
      <c r="I313" s="65" t="s">
        <v>477</v>
      </c>
      <c r="J313" s="65" t="s">
        <v>209</v>
      </c>
      <c r="K313" s="65" t="s">
        <v>37</v>
      </c>
      <c r="L313" s="65" t="s">
        <v>3856</v>
      </c>
      <c r="M313" s="65" t="s">
        <v>3857</v>
      </c>
      <c r="N313" s="65" t="s">
        <v>486</v>
      </c>
      <c r="O313" s="65" t="s">
        <v>3858</v>
      </c>
      <c r="P313" s="65" t="s">
        <v>59</v>
      </c>
      <c r="Q313" s="65">
        <v>1</v>
      </c>
      <c r="R313" s="65" t="s">
        <v>42</v>
      </c>
      <c r="S313" s="65" t="s">
        <v>44</v>
      </c>
      <c r="T313" s="65" t="s">
        <v>44</v>
      </c>
      <c r="U313" s="65" t="s">
        <v>45</v>
      </c>
      <c r="V313" s="65" t="s">
        <v>60</v>
      </c>
      <c r="W313" s="65">
        <v>101.69</v>
      </c>
      <c r="X313" s="65" t="s">
        <v>61</v>
      </c>
      <c r="Y313" s="65" t="s">
        <v>48</v>
      </c>
      <c r="Z313" s="65" t="s">
        <v>49</v>
      </c>
      <c r="AA313" s="65">
        <v>982536223</v>
      </c>
      <c r="AB313" s="65" t="s">
        <v>482</v>
      </c>
    </row>
    <row r="314" spans="1:28" x14ac:dyDescent="0.3">
      <c r="A314" s="1">
        <v>46227</v>
      </c>
      <c r="B314" s="65" t="s">
        <v>3843</v>
      </c>
      <c r="C314" s="65" t="s">
        <v>29</v>
      </c>
      <c r="D314" s="65" t="s">
        <v>3844</v>
      </c>
      <c r="E314" s="65" t="s">
        <v>31</v>
      </c>
      <c r="F314" s="65" t="s">
        <v>3845</v>
      </c>
      <c r="G314" s="65" t="s">
        <v>3846</v>
      </c>
      <c r="H314" s="65" t="s">
        <v>3847</v>
      </c>
      <c r="I314" s="65" t="s">
        <v>774</v>
      </c>
      <c r="J314" s="65" t="s">
        <v>775</v>
      </c>
      <c r="K314" s="65" t="s">
        <v>37</v>
      </c>
      <c r="L314" s="65" t="s">
        <v>3848</v>
      </c>
      <c r="M314" s="65" t="s">
        <v>3849</v>
      </c>
      <c r="N314" s="65" t="s">
        <v>3846</v>
      </c>
      <c r="O314" s="65" t="s">
        <v>3850</v>
      </c>
      <c r="P314" s="65" t="s">
        <v>641</v>
      </c>
      <c r="Q314" s="65">
        <v>1</v>
      </c>
      <c r="R314" s="65" t="s">
        <v>42</v>
      </c>
      <c r="S314" s="65" t="s">
        <v>44</v>
      </c>
      <c r="T314" s="65" t="s">
        <v>44</v>
      </c>
      <c r="U314" s="65" t="s">
        <v>45</v>
      </c>
      <c r="V314" s="65" t="s">
        <v>60</v>
      </c>
      <c r="W314" s="65">
        <v>84.75</v>
      </c>
      <c r="X314" s="65" t="s">
        <v>47</v>
      </c>
      <c r="Y314" s="65" t="s">
        <v>48</v>
      </c>
      <c r="Z314" s="65" t="s">
        <v>49</v>
      </c>
      <c r="AA314" s="65"/>
      <c r="AB314" s="65"/>
    </row>
    <row r="315" spans="1:28" x14ac:dyDescent="0.3">
      <c r="A315" s="1">
        <v>46227</v>
      </c>
      <c r="B315" s="65" t="s">
        <v>3835</v>
      </c>
      <c r="C315" s="65" t="s">
        <v>29</v>
      </c>
      <c r="D315" s="65" t="s">
        <v>3836</v>
      </c>
      <c r="E315" s="65" t="s">
        <v>31</v>
      </c>
      <c r="F315" s="65" t="s">
        <v>3837</v>
      </c>
      <c r="G315" s="65" t="s">
        <v>3838</v>
      </c>
      <c r="H315" s="65" t="s">
        <v>3839</v>
      </c>
      <c r="I315" s="65" t="s">
        <v>1700</v>
      </c>
      <c r="J315" s="65" t="s">
        <v>1165</v>
      </c>
      <c r="K315" s="65" t="s">
        <v>37</v>
      </c>
      <c r="L315" s="65" t="s">
        <v>3840</v>
      </c>
      <c r="M315" s="65" t="s">
        <v>3841</v>
      </c>
      <c r="N315" s="65" t="s">
        <v>3838</v>
      </c>
      <c r="O315" s="65" t="s">
        <v>3842</v>
      </c>
      <c r="P315" s="65" t="s">
        <v>1157</v>
      </c>
      <c r="Q315" s="65">
        <v>1</v>
      </c>
      <c r="R315" s="65" t="s">
        <v>42</v>
      </c>
      <c r="S315" s="65" t="s">
        <v>44</v>
      </c>
      <c r="T315" s="65" t="s">
        <v>44</v>
      </c>
      <c r="U315" s="65" t="s">
        <v>45</v>
      </c>
      <c r="V315" s="65" t="s">
        <v>60</v>
      </c>
      <c r="W315" s="65">
        <v>338.98</v>
      </c>
      <c r="X315" s="65" t="s">
        <v>47</v>
      </c>
      <c r="Y315" s="65" t="s">
        <v>48</v>
      </c>
      <c r="Z315" s="65" t="s">
        <v>49</v>
      </c>
      <c r="AA315" s="65"/>
      <c r="AB315" s="65"/>
    </row>
    <row r="316" spans="1:28" x14ac:dyDescent="0.3">
      <c r="A316" s="1">
        <v>46228</v>
      </c>
      <c r="B316" s="65" t="s">
        <v>3859</v>
      </c>
      <c r="C316" s="65" t="s">
        <v>268</v>
      </c>
      <c r="D316" s="65" t="s">
        <v>3860</v>
      </c>
      <c r="E316" s="65" t="s">
        <v>31</v>
      </c>
      <c r="F316" s="65" t="s">
        <v>3861</v>
      </c>
      <c r="G316" s="65" t="s">
        <v>3846</v>
      </c>
      <c r="H316" s="65" t="s">
        <v>3847</v>
      </c>
      <c r="I316" s="65" t="s">
        <v>774</v>
      </c>
      <c r="J316" s="65" t="s">
        <v>775</v>
      </c>
      <c r="K316" s="65" t="s">
        <v>37</v>
      </c>
      <c r="L316" s="65" t="s">
        <v>3848</v>
      </c>
      <c r="M316" s="65" t="s">
        <v>3849</v>
      </c>
      <c r="N316" s="65" t="s">
        <v>798</v>
      </c>
      <c r="O316" s="65" t="s">
        <v>3862</v>
      </c>
      <c r="P316" s="65" t="s">
        <v>288</v>
      </c>
      <c r="Q316" s="65">
        <v>1</v>
      </c>
      <c r="R316" s="65" t="s">
        <v>42</v>
      </c>
      <c r="S316" s="65" t="s">
        <v>44</v>
      </c>
      <c r="T316" s="65" t="s">
        <v>44</v>
      </c>
      <c r="U316" s="65" t="s">
        <v>45</v>
      </c>
      <c r="V316" s="65" t="s">
        <v>60</v>
      </c>
      <c r="W316" s="65">
        <v>0</v>
      </c>
      <c r="X316" s="65" t="s">
        <v>289</v>
      </c>
      <c r="Y316" s="65" t="s">
        <v>48</v>
      </c>
      <c r="Z316" s="65" t="s">
        <v>49</v>
      </c>
      <c r="AA316" s="65"/>
      <c r="AB316" s="65"/>
    </row>
    <row r="317" spans="1:28" x14ac:dyDescent="0.3">
      <c r="A317" s="1">
        <v>46228</v>
      </c>
      <c r="B317" s="65" t="s">
        <v>3859</v>
      </c>
      <c r="C317" s="65" t="s">
        <v>268</v>
      </c>
      <c r="D317" s="65" t="s">
        <v>3860</v>
      </c>
      <c r="E317" s="65" t="s">
        <v>31</v>
      </c>
      <c r="F317" s="65" t="s">
        <v>3861</v>
      </c>
      <c r="G317" s="65" t="s">
        <v>3846</v>
      </c>
      <c r="H317" s="65" t="s">
        <v>3847</v>
      </c>
      <c r="I317" s="65" t="s">
        <v>774</v>
      </c>
      <c r="J317" s="65" t="s">
        <v>775</v>
      </c>
      <c r="K317" s="65" t="s">
        <v>37</v>
      </c>
      <c r="L317" s="65" t="s">
        <v>3848</v>
      </c>
      <c r="M317" s="65" t="s">
        <v>3849</v>
      </c>
      <c r="N317" s="65" t="s">
        <v>798</v>
      </c>
      <c r="O317" s="65" t="s">
        <v>3862</v>
      </c>
      <c r="P317" s="65" t="s">
        <v>1620</v>
      </c>
      <c r="Q317" s="65">
        <v>1</v>
      </c>
      <c r="R317" s="65" t="s">
        <v>42</v>
      </c>
      <c r="S317" s="65" t="s">
        <v>44</v>
      </c>
      <c r="T317" s="65" t="s">
        <v>44</v>
      </c>
      <c r="U317" s="65" t="s">
        <v>45</v>
      </c>
      <c r="V317" s="65" t="s">
        <v>60</v>
      </c>
      <c r="W317" s="65">
        <v>762.71</v>
      </c>
      <c r="X317" s="65" t="s">
        <v>289</v>
      </c>
      <c r="Y317" s="65" t="s">
        <v>48</v>
      </c>
      <c r="Z317" s="65" t="s">
        <v>49</v>
      </c>
      <c r="AA317" s="65"/>
      <c r="AB317" s="65"/>
    </row>
    <row r="318" spans="1:28" x14ac:dyDescent="0.3">
      <c r="A318" s="1">
        <v>46228</v>
      </c>
      <c r="B318" s="65" t="s">
        <v>3863</v>
      </c>
      <c r="C318" s="65" t="s">
        <v>29</v>
      </c>
      <c r="D318" s="65" t="s">
        <v>3864</v>
      </c>
      <c r="E318" s="65" t="s">
        <v>31</v>
      </c>
      <c r="F318" s="65" t="s">
        <v>3865</v>
      </c>
      <c r="G318" s="65" t="s">
        <v>3866</v>
      </c>
      <c r="H318" s="65" t="s">
        <v>3867</v>
      </c>
      <c r="I318" s="65" t="s">
        <v>3116</v>
      </c>
      <c r="J318" s="65" t="s">
        <v>2558</v>
      </c>
      <c r="K318" s="65" t="s">
        <v>37</v>
      </c>
      <c r="L318" s="65" t="s">
        <v>3868</v>
      </c>
      <c r="M318" s="65" t="s">
        <v>3869</v>
      </c>
      <c r="N318" s="65" t="s">
        <v>3866</v>
      </c>
      <c r="O318" s="65" t="s">
        <v>3870</v>
      </c>
      <c r="P318" s="65" t="s">
        <v>288</v>
      </c>
      <c r="Q318" s="65">
        <v>1</v>
      </c>
      <c r="R318" s="65" t="s">
        <v>42</v>
      </c>
      <c r="S318" s="65" t="s">
        <v>44</v>
      </c>
      <c r="T318" s="65" t="s">
        <v>44</v>
      </c>
      <c r="U318" s="65" t="s">
        <v>45</v>
      </c>
      <c r="V318" s="65" t="s">
        <v>60</v>
      </c>
      <c r="W318" s="65">
        <v>0</v>
      </c>
      <c r="X318" s="65" t="s">
        <v>289</v>
      </c>
      <c r="Y318" s="65" t="s">
        <v>48</v>
      </c>
      <c r="Z318" s="65" t="s">
        <v>49</v>
      </c>
      <c r="AA318" s="65">
        <v>973914900</v>
      </c>
      <c r="AB318" s="65" t="s">
        <v>3117</v>
      </c>
    </row>
    <row r="319" spans="1:28" x14ac:dyDescent="0.3">
      <c r="A319" s="1">
        <v>46228</v>
      </c>
      <c r="B319" s="65" t="s">
        <v>3863</v>
      </c>
      <c r="C319" s="65" t="s">
        <v>29</v>
      </c>
      <c r="D319" s="65" t="s">
        <v>3864</v>
      </c>
      <c r="E319" s="65" t="s">
        <v>31</v>
      </c>
      <c r="F319" s="65" t="s">
        <v>3865</v>
      </c>
      <c r="G319" s="65" t="s">
        <v>3866</v>
      </c>
      <c r="H319" s="65" t="s">
        <v>3867</v>
      </c>
      <c r="I319" s="65" t="s">
        <v>3116</v>
      </c>
      <c r="J319" s="65" t="s">
        <v>2558</v>
      </c>
      <c r="K319" s="65" t="s">
        <v>37</v>
      </c>
      <c r="L319" s="65" t="s">
        <v>3868</v>
      </c>
      <c r="M319" s="65" t="s">
        <v>3869</v>
      </c>
      <c r="N319" s="65" t="s">
        <v>3866</v>
      </c>
      <c r="O319" s="65" t="s">
        <v>3870</v>
      </c>
      <c r="P319" s="65" t="s">
        <v>1620</v>
      </c>
      <c r="Q319" s="65">
        <v>1</v>
      </c>
      <c r="R319" s="65" t="s">
        <v>42</v>
      </c>
      <c r="S319" s="65" t="s">
        <v>44</v>
      </c>
      <c r="T319" s="65" t="s">
        <v>44</v>
      </c>
      <c r="U319" s="65" t="s">
        <v>45</v>
      </c>
      <c r="V319" s="65" t="s">
        <v>60</v>
      </c>
      <c r="W319" s="65">
        <v>762.71</v>
      </c>
      <c r="X319" s="65" t="s">
        <v>289</v>
      </c>
      <c r="Y319" s="65" t="s">
        <v>48</v>
      </c>
      <c r="Z319" s="65" t="s">
        <v>49</v>
      </c>
      <c r="AA319" s="65">
        <v>973914900</v>
      </c>
      <c r="AB319" s="65" t="s">
        <v>3117</v>
      </c>
    </row>
    <row r="320" spans="1:28" x14ac:dyDescent="0.3">
      <c r="A320" s="1">
        <v>46228</v>
      </c>
      <c r="B320" s="65" t="s">
        <v>3871</v>
      </c>
      <c r="C320" s="65" t="s">
        <v>29</v>
      </c>
      <c r="D320" s="65" t="s">
        <v>3872</v>
      </c>
      <c r="E320" s="65" t="s">
        <v>31</v>
      </c>
      <c r="F320" s="65" t="s">
        <v>3873</v>
      </c>
      <c r="G320" s="65" t="s">
        <v>3874</v>
      </c>
      <c r="H320" s="65" t="s">
        <v>3875</v>
      </c>
      <c r="I320" s="65"/>
      <c r="J320" s="65"/>
      <c r="K320" s="65" t="s">
        <v>37</v>
      </c>
      <c r="L320" s="65" t="s">
        <v>3876</v>
      </c>
      <c r="M320" s="65" t="s">
        <v>3877</v>
      </c>
      <c r="N320" s="65" t="s">
        <v>3874</v>
      </c>
      <c r="O320" s="65" t="s">
        <v>3878</v>
      </c>
      <c r="P320" s="65" t="s">
        <v>90</v>
      </c>
      <c r="Q320" s="65">
        <v>1</v>
      </c>
      <c r="R320" s="65" t="s">
        <v>42</v>
      </c>
      <c r="S320" s="65" t="s">
        <v>44</v>
      </c>
      <c r="T320" s="65" t="s">
        <v>44</v>
      </c>
      <c r="U320" s="65" t="s">
        <v>45</v>
      </c>
      <c r="V320" s="65" t="s">
        <v>60</v>
      </c>
      <c r="W320" s="65">
        <v>135.59</v>
      </c>
      <c r="X320" s="65" t="s">
        <v>47</v>
      </c>
      <c r="Y320" s="65" t="s">
        <v>48</v>
      </c>
      <c r="Z320" s="65" t="s">
        <v>49</v>
      </c>
      <c r="AA320" s="65"/>
      <c r="AB320" s="65"/>
    </row>
    <row r="321" spans="1:28" x14ac:dyDescent="0.3">
      <c r="A321" s="1">
        <v>46230</v>
      </c>
      <c r="B321" s="65" t="s">
        <v>3879</v>
      </c>
      <c r="C321" s="65" t="s">
        <v>29</v>
      </c>
      <c r="D321" s="65" t="s">
        <v>3880</v>
      </c>
      <c r="E321" s="65" t="s">
        <v>31</v>
      </c>
      <c r="F321" s="65" t="s">
        <v>3881</v>
      </c>
      <c r="G321" s="65" t="s">
        <v>3882</v>
      </c>
      <c r="H321" s="65" t="s">
        <v>3883</v>
      </c>
      <c r="I321" s="65"/>
      <c r="J321" s="65"/>
      <c r="K321" s="65" t="s">
        <v>37</v>
      </c>
      <c r="L321" s="65" t="s">
        <v>3884</v>
      </c>
      <c r="M321" s="65" t="s">
        <v>3885</v>
      </c>
      <c r="N321" s="65" t="s">
        <v>3882</v>
      </c>
      <c r="O321" s="65" t="s">
        <v>3886</v>
      </c>
      <c r="P321" s="65" t="s">
        <v>90</v>
      </c>
      <c r="Q321" s="65">
        <v>1</v>
      </c>
      <c r="R321" s="65" t="s">
        <v>70</v>
      </c>
      <c r="S321" s="65" t="s">
        <v>43</v>
      </c>
      <c r="T321" s="65" t="s">
        <v>44</v>
      </c>
      <c r="U321" s="65" t="s">
        <v>71</v>
      </c>
      <c r="V321" s="65" t="s">
        <v>184</v>
      </c>
      <c r="W321" s="65">
        <v>135.59</v>
      </c>
      <c r="X321" s="65" t="s">
        <v>47</v>
      </c>
      <c r="Y321" s="65" t="s">
        <v>48</v>
      </c>
      <c r="Z321" s="65" t="s">
        <v>73</v>
      </c>
      <c r="AA321" s="65"/>
      <c r="AB321" s="65"/>
    </row>
    <row r="322" spans="1:28" x14ac:dyDescent="0.3">
      <c r="A322" s="1">
        <v>46230</v>
      </c>
      <c r="B322" s="65" t="s">
        <v>3887</v>
      </c>
      <c r="C322" s="65" t="s">
        <v>29</v>
      </c>
      <c r="D322" s="65" t="s">
        <v>3888</v>
      </c>
      <c r="E322" s="65" t="s">
        <v>31</v>
      </c>
      <c r="F322" s="65" t="s">
        <v>3889</v>
      </c>
      <c r="G322" s="65" t="s">
        <v>3890</v>
      </c>
      <c r="H322" s="65" t="s">
        <v>3891</v>
      </c>
      <c r="I322" s="65"/>
      <c r="J322" s="65"/>
      <c r="K322" s="65" t="s">
        <v>37</v>
      </c>
      <c r="L322" s="65" t="s">
        <v>3892</v>
      </c>
      <c r="M322" s="65" t="s">
        <v>3893</v>
      </c>
      <c r="N322" s="65" t="s">
        <v>3890</v>
      </c>
      <c r="O322" s="65" t="s">
        <v>3894</v>
      </c>
      <c r="P322" s="65" t="s">
        <v>1565</v>
      </c>
      <c r="Q322" s="65">
        <v>1</v>
      </c>
      <c r="R322" s="65" t="s">
        <v>42</v>
      </c>
      <c r="S322" s="65" t="s">
        <v>44</v>
      </c>
      <c r="T322" s="65" t="s">
        <v>44</v>
      </c>
      <c r="U322" s="65" t="s">
        <v>45</v>
      </c>
      <c r="V322" s="65" t="s">
        <v>60</v>
      </c>
      <c r="W322" s="65">
        <v>152.54</v>
      </c>
      <c r="X322" s="65" t="s">
        <v>61</v>
      </c>
      <c r="Y322" s="65" t="s">
        <v>48</v>
      </c>
      <c r="Z322" s="65" t="s">
        <v>49</v>
      </c>
      <c r="AA322" s="65"/>
      <c r="AB322" s="65"/>
    </row>
    <row r="323" spans="1:28" x14ac:dyDescent="0.3">
      <c r="A323" s="1">
        <v>46230</v>
      </c>
      <c r="B323" s="65" t="s">
        <v>3895</v>
      </c>
      <c r="C323" s="65" t="s">
        <v>29</v>
      </c>
      <c r="D323" s="65" t="s">
        <v>3896</v>
      </c>
      <c r="E323" s="65" t="s">
        <v>31</v>
      </c>
      <c r="F323" s="65" t="s">
        <v>3897</v>
      </c>
      <c r="G323" s="65" t="s">
        <v>3898</v>
      </c>
      <c r="H323" s="65" t="s">
        <v>3899</v>
      </c>
      <c r="I323" s="65"/>
      <c r="J323" s="65"/>
      <c r="K323" s="65" t="s">
        <v>37</v>
      </c>
      <c r="L323" s="65" t="s">
        <v>3900</v>
      </c>
      <c r="M323" s="65" t="s">
        <v>3901</v>
      </c>
      <c r="N323" s="65" t="s">
        <v>3898</v>
      </c>
      <c r="O323" s="65" t="s">
        <v>3902</v>
      </c>
      <c r="P323" s="65" t="s">
        <v>130</v>
      </c>
      <c r="Q323" s="65">
        <v>1</v>
      </c>
      <c r="R323" s="65" t="s">
        <v>42</v>
      </c>
      <c r="S323" s="65" t="s">
        <v>44</v>
      </c>
      <c r="T323" s="65" t="s">
        <v>44</v>
      </c>
      <c r="U323" s="65" t="s">
        <v>45</v>
      </c>
      <c r="V323" s="65" t="s">
        <v>60</v>
      </c>
      <c r="W323" s="65">
        <v>152.54</v>
      </c>
      <c r="X323" s="65" t="s">
        <v>47</v>
      </c>
      <c r="Y323" s="65" t="s">
        <v>48</v>
      </c>
      <c r="Z323" s="65" t="s">
        <v>49</v>
      </c>
      <c r="AA323" s="65"/>
      <c r="AB323" s="65"/>
    </row>
    <row r="324" spans="1:28" x14ac:dyDescent="0.3">
      <c r="A324" s="1">
        <v>46230</v>
      </c>
      <c r="B324" s="65" t="s">
        <v>3903</v>
      </c>
      <c r="C324" s="65" t="s">
        <v>399</v>
      </c>
      <c r="D324" s="65" t="s">
        <v>3896</v>
      </c>
      <c r="E324" s="65" t="s">
        <v>400</v>
      </c>
      <c r="F324" s="65" t="s">
        <v>3904</v>
      </c>
      <c r="G324" s="65" t="s">
        <v>3898</v>
      </c>
      <c r="H324" s="65" t="s">
        <v>3899</v>
      </c>
      <c r="I324" s="65"/>
      <c r="J324" s="65"/>
      <c r="K324" s="65" t="s">
        <v>400</v>
      </c>
      <c r="L324" s="65" t="s">
        <v>3900</v>
      </c>
      <c r="M324" s="65" t="s">
        <v>3901</v>
      </c>
      <c r="N324" s="65" t="s">
        <v>3898</v>
      </c>
      <c r="O324" s="65" t="s">
        <v>3902</v>
      </c>
      <c r="P324" s="65" t="s">
        <v>130</v>
      </c>
      <c r="Q324" s="65">
        <v>1</v>
      </c>
      <c r="R324" s="65" t="s">
        <v>42</v>
      </c>
      <c r="S324" s="65" t="s">
        <v>44</v>
      </c>
      <c r="T324" s="65" t="s">
        <v>44</v>
      </c>
      <c r="U324" s="65" t="s">
        <v>45</v>
      </c>
      <c r="V324" s="65" t="s">
        <v>60</v>
      </c>
      <c r="W324" s="65">
        <v>-152.54</v>
      </c>
      <c r="X324" s="65" t="s">
        <v>47</v>
      </c>
      <c r="Y324" s="65" t="s">
        <v>48</v>
      </c>
      <c r="Z324" s="65" t="s">
        <v>49</v>
      </c>
      <c r="AA324" s="65"/>
      <c r="AB324" s="65"/>
    </row>
    <row r="325" spans="1:28" x14ac:dyDescent="0.3">
      <c r="A325" s="1">
        <v>46230</v>
      </c>
      <c r="B325" s="65" t="s">
        <v>3905</v>
      </c>
      <c r="C325" s="65" t="s">
        <v>29</v>
      </c>
      <c r="D325" s="65" t="s">
        <v>3906</v>
      </c>
      <c r="E325" s="65" t="s">
        <v>31</v>
      </c>
      <c r="F325" s="65" t="s">
        <v>3907</v>
      </c>
      <c r="G325" s="65" t="s">
        <v>3908</v>
      </c>
      <c r="H325" s="65" t="s">
        <v>3909</v>
      </c>
      <c r="I325" s="65"/>
      <c r="J325" s="65"/>
      <c r="K325" s="65" t="s">
        <v>37</v>
      </c>
      <c r="L325" s="65" t="s">
        <v>3910</v>
      </c>
      <c r="M325" s="65" t="s">
        <v>3911</v>
      </c>
      <c r="N325" s="65" t="s">
        <v>3908</v>
      </c>
      <c r="O325" s="65" t="s">
        <v>3912</v>
      </c>
      <c r="P325" s="65" t="s">
        <v>41</v>
      </c>
      <c r="Q325" s="65">
        <v>1</v>
      </c>
      <c r="R325" s="65" t="s">
        <v>42</v>
      </c>
      <c r="S325" s="65" t="s">
        <v>44</v>
      </c>
      <c r="T325" s="65" t="s">
        <v>44</v>
      </c>
      <c r="U325" s="65" t="s">
        <v>45</v>
      </c>
      <c r="V325" s="65" t="s">
        <v>60</v>
      </c>
      <c r="W325" s="65">
        <v>186.44</v>
      </c>
      <c r="X325" s="65" t="s">
        <v>47</v>
      </c>
      <c r="Y325" s="65" t="s">
        <v>48</v>
      </c>
      <c r="Z325" s="65" t="s">
        <v>49</v>
      </c>
      <c r="AA325" s="65"/>
      <c r="AB325" s="65"/>
    </row>
    <row r="326" spans="1:28" x14ac:dyDescent="0.3">
      <c r="A326" s="1">
        <v>46230</v>
      </c>
      <c r="B326" s="65" t="s">
        <v>3905</v>
      </c>
      <c r="C326" s="65" t="s">
        <v>29</v>
      </c>
      <c r="D326" s="65" t="s">
        <v>3906</v>
      </c>
      <c r="E326" s="65" t="s">
        <v>31</v>
      </c>
      <c r="F326" s="65" t="s">
        <v>3907</v>
      </c>
      <c r="G326" s="65" t="s">
        <v>3908</v>
      </c>
      <c r="H326" s="65" t="s">
        <v>3909</v>
      </c>
      <c r="I326" s="65"/>
      <c r="J326" s="65"/>
      <c r="K326" s="65" t="s">
        <v>37</v>
      </c>
      <c r="L326" s="65" t="s">
        <v>3910</v>
      </c>
      <c r="M326" s="65" t="s">
        <v>3911</v>
      </c>
      <c r="N326" s="65" t="s">
        <v>3908</v>
      </c>
      <c r="O326" s="65" t="s">
        <v>3912</v>
      </c>
      <c r="P326" s="65" t="s">
        <v>101</v>
      </c>
      <c r="Q326" s="65">
        <v>1</v>
      </c>
      <c r="R326" s="65" t="s">
        <v>42</v>
      </c>
      <c r="S326" s="65" t="s">
        <v>44</v>
      </c>
      <c r="T326" s="65" t="s">
        <v>44</v>
      </c>
      <c r="U326" s="65" t="s">
        <v>45</v>
      </c>
      <c r="V326" s="65" t="s">
        <v>60</v>
      </c>
      <c r="W326" s="65">
        <v>186.44</v>
      </c>
      <c r="X326" s="65" t="s">
        <v>47</v>
      </c>
      <c r="Y326" s="65" t="s">
        <v>48</v>
      </c>
      <c r="Z326" s="65" t="s">
        <v>49</v>
      </c>
      <c r="AA326" s="65"/>
      <c r="AB326" s="65"/>
    </row>
    <row r="327" spans="1:28" x14ac:dyDescent="0.3">
      <c r="A327" s="1">
        <v>46233</v>
      </c>
      <c r="B327" s="65" t="s">
        <v>3913</v>
      </c>
      <c r="C327" s="65" t="s">
        <v>29</v>
      </c>
      <c r="D327" s="65" t="s">
        <v>3914</v>
      </c>
      <c r="E327" s="65" t="s">
        <v>31</v>
      </c>
      <c r="F327" s="65" t="s">
        <v>3915</v>
      </c>
      <c r="G327" s="65" t="s">
        <v>3916</v>
      </c>
      <c r="H327" s="65" t="s">
        <v>3917</v>
      </c>
      <c r="I327" s="65"/>
      <c r="J327" s="65"/>
      <c r="K327" s="65" t="s">
        <v>37</v>
      </c>
      <c r="L327" s="65" t="s">
        <v>3918</v>
      </c>
      <c r="M327" s="65" t="s">
        <v>3919</v>
      </c>
      <c r="N327" s="65" t="s">
        <v>3916</v>
      </c>
      <c r="O327" s="65" t="s">
        <v>3920</v>
      </c>
      <c r="P327" s="65" t="s">
        <v>130</v>
      </c>
      <c r="Q327" s="65">
        <v>1</v>
      </c>
      <c r="R327" s="65" t="s">
        <v>42</v>
      </c>
      <c r="S327" s="65" t="s">
        <v>44</v>
      </c>
      <c r="T327" s="65" t="s">
        <v>44</v>
      </c>
      <c r="U327" s="65" t="s">
        <v>71</v>
      </c>
      <c r="V327" s="65" t="s">
        <v>184</v>
      </c>
      <c r="W327" s="65">
        <v>152.54</v>
      </c>
      <c r="X327" s="65" t="s">
        <v>47</v>
      </c>
      <c r="Y327" s="65" t="s">
        <v>48</v>
      </c>
      <c r="Z327" s="65" t="s">
        <v>73</v>
      </c>
      <c r="AA327" s="65"/>
      <c r="AB327" s="65"/>
    </row>
    <row r="328" spans="1:28" x14ac:dyDescent="0.3">
      <c r="A328" s="1">
        <v>46233</v>
      </c>
      <c r="B328" s="65" t="s">
        <v>3921</v>
      </c>
      <c r="C328" s="65" t="s">
        <v>29</v>
      </c>
      <c r="D328" s="65" t="s">
        <v>3922</v>
      </c>
      <c r="E328" s="65" t="s">
        <v>31</v>
      </c>
      <c r="F328" s="65" t="s">
        <v>3923</v>
      </c>
      <c r="G328" s="65" t="s">
        <v>3924</v>
      </c>
      <c r="H328" s="65" t="s">
        <v>3925</v>
      </c>
      <c r="I328" s="65"/>
      <c r="J328" s="65"/>
      <c r="K328" s="65" t="s">
        <v>37</v>
      </c>
      <c r="L328" s="65" t="s">
        <v>3926</v>
      </c>
      <c r="M328" s="65" t="s">
        <v>3927</v>
      </c>
      <c r="N328" s="65" t="s">
        <v>3924</v>
      </c>
      <c r="O328" s="65" t="s">
        <v>3928</v>
      </c>
      <c r="P328" s="65" t="s">
        <v>101</v>
      </c>
      <c r="Q328" s="65">
        <v>1</v>
      </c>
      <c r="R328" s="65" t="s">
        <v>42</v>
      </c>
      <c r="S328" s="65" t="s">
        <v>44</v>
      </c>
      <c r="T328" s="65" t="s">
        <v>44</v>
      </c>
      <c r="U328" s="65" t="s">
        <v>45</v>
      </c>
      <c r="V328" s="65" t="s">
        <v>46</v>
      </c>
      <c r="W328" s="65">
        <v>186.44</v>
      </c>
      <c r="X328" s="65" t="s">
        <v>47</v>
      </c>
      <c r="Y328" s="65" t="s">
        <v>48</v>
      </c>
      <c r="Z328" s="65" t="s">
        <v>49</v>
      </c>
      <c r="AA328" s="65"/>
      <c r="AB328" s="65"/>
    </row>
    <row r="329" spans="1:28" x14ac:dyDescent="0.3">
      <c r="A329" s="1">
        <v>46233</v>
      </c>
      <c r="B329" s="65" t="s">
        <v>3929</v>
      </c>
      <c r="C329" s="65" t="s">
        <v>29</v>
      </c>
      <c r="D329" s="65" t="s">
        <v>3930</v>
      </c>
      <c r="E329" s="65" t="s">
        <v>31</v>
      </c>
      <c r="F329" s="65" t="s">
        <v>3931</v>
      </c>
      <c r="G329" s="65" t="s">
        <v>3932</v>
      </c>
      <c r="H329" s="65" t="s">
        <v>3933</v>
      </c>
      <c r="I329" s="65"/>
      <c r="J329" s="65"/>
      <c r="K329" s="65" t="s">
        <v>37</v>
      </c>
      <c r="L329" s="65" t="s">
        <v>3934</v>
      </c>
      <c r="M329" s="65" t="s">
        <v>3935</v>
      </c>
      <c r="N329" s="65" t="s">
        <v>3932</v>
      </c>
      <c r="O329" s="65" t="s">
        <v>3936</v>
      </c>
      <c r="P329" s="65" t="s">
        <v>101</v>
      </c>
      <c r="Q329" s="65">
        <v>1</v>
      </c>
      <c r="R329" s="65" t="s">
        <v>42</v>
      </c>
      <c r="S329" s="65" t="s">
        <v>44</v>
      </c>
      <c r="T329" s="65" t="s">
        <v>44</v>
      </c>
      <c r="U329" s="65" t="s">
        <v>71</v>
      </c>
      <c r="V329" s="65" t="s">
        <v>184</v>
      </c>
      <c r="W329" s="65">
        <v>186.44</v>
      </c>
      <c r="X329" s="65" t="s">
        <v>47</v>
      </c>
      <c r="Y329" s="65" t="s">
        <v>48</v>
      </c>
      <c r="Z329" s="65" t="s">
        <v>73</v>
      </c>
      <c r="AA329" s="65"/>
      <c r="AB329" s="65"/>
    </row>
    <row r="330" spans="1:28" x14ac:dyDescent="0.3">
      <c r="A330" s="1">
        <v>46233</v>
      </c>
      <c r="B330" s="65" t="s">
        <v>3937</v>
      </c>
      <c r="C330" s="65" t="s">
        <v>29</v>
      </c>
      <c r="D330" s="65" t="s">
        <v>3938</v>
      </c>
      <c r="E330" s="65" t="s">
        <v>31</v>
      </c>
      <c r="F330" s="65" t="s">
        <v>3939</v>
      </c>
      <c r="G330" s="65" t="s">
        <v>3940</v>
      </c>
      <c r="H330" s="65" t="s">
        <v>3941</v>
      </c>
      <c r="I330" s="65"/>
      <c r="J330" s="65"/>
      <c r="K330" s="65" t="s">
        <v>37</v>
      </c>
      <c r="L330" s="65" t="s">
        <v>3942</v>
      </c>
      <c r="M330" s="65" t="s">
        <v>3943</v>
      </c>
      <c r="N330" s="65" t="s">
        <v>3940</v>
      </c>
      <c r="O330" s="65" t="s">
        <v>3944</v>
      </c>
      <c r="P330" s="65" t="s">
        <v>90</v>
      </c>
      <c r="Q330" s="65">
        <v>1</v>
      </c>
      <c r="R330" s="65" t="s">
        <v>42</v>
      </c>
      <c r="S330" s="65" t="s">
        <v>44</v>
      </c>
      <c r="T330" s="65" t="s">
        <v>44</v>
      </c>
      <c r="U330" s="65" t="s">
        <v>45</v>
      </c>
      <c r="V330" s="65" t="s">
        <v>46</v>
      </c>
      <c r="W330" s="65">
        <v>135.59</v>
      </c>
      <c r="X330" s="65" t="s">
        <v>47</v>
      </c>
      <c r="Y330" s="65" t="s">
        <v>48</v>
      </c>
      <c r="Z330" s="65" t="s">
        <v>49</v>
      </c>
      <c r="AA330" s="65"/>
      <c r="AB330" s="65"/>
    </row>
    <row r="331" spans="1:28" x14ac:dyDescent="0.3">
      <c r="A331" s="1">
        <v>46234</v>
      </c>
      <c r="B331" s="65" t="s">
        <v>3945</v>
      </c>
      <c r="C331" s="65" t="s">
        <v>29</v>
      </c>
      <c r="D331" s="65" t="s">
        <v>3946</v>
      </c>
      <c r="E331" s="65" t="s">
        <v>31</v>
      </c>
      <c r="F331" s="65" t="s">
        <v>3947</v>
      </c>
      <c r="G331" s="65" t="s">
        <v>3948</v>
      </c>
      <c r="H331" s="65" t="s">
        <v>3949</v>
      </c>
      <c r="I331" s="65"/>
      <c r="J331" s="65"/>
      <c r="K331" s="65" t="s">
        <v>37</v>
      </c>
      <c r="L331" s="65" t="s">
        <v>3950</v>
      </c>
      <c r="M331" s="65" t="s">
        <v>3951</v>
      </c>
      <c r="N331" s="65" t="s">
        <v>3948</v>
      </c>
      <c r="O331" s="65" t="s">
        <v>3952</v>
      </c>
      <c r="P331" s="65" t="s">
        <v>201</v>
      </c>
      <c r="Q331" s="65">
        <v>1</v>
      </c>
      <c r="R331" s="65" t="s">
        <v>42</v>
      </c>
      <c r="S331" s="65" t="s">
        <v>44</v>
      </c>
      <c r="T331" s="65" t="s">
        <v>44</v>
      </c>
      <c r="U331" s="65" t="s">
        <v>45</v>
      </c>
      <c r="V331" s="65" t="s">
        <v>46</v>
      </c>
      <c r="W331" s="65">
        <v>152.54</v>
      </c>
      <c r="X331" s="65" t="s">
        <v>47</v>
      </c>
      <c r="Y331" s="65" t="s">
        <v>48</v>
      </c>
      <c r="Z331" s="65" t="s">
        <v>49</v>
      </c>
      <c r="AA331" s="65"/>
      <c r="AB331" s="65"/>
    </row>
    <row r="332" spans="1:28" x14ac:dyDescent="0.3">
      <c r="A332" s="1">
        <v>46234</v>
      </c>
      <c r="B332" s="65" t="s">
        <v>3953</v>
      </c>
      <c r="C332" s="65" t="s">
        <v>29</v>
      </c>
      <c r="D332" s="65" t="s">
        <v>3954</v>
      </c>
      <c r="E332" s="65" t="s">
        <v>31</v>
      </c>
      <c r="F332" s="65" t="s">
        <v>3955</v>
      </c>
      <c r="G332" s="65" t="s">
        <v>3956</v>
      </c>
      <c r="H332" s="65" t="s">
        <v>3957</v>
      </c>
      <c r="I332" s="65"/>
      <c r="J332" s="65"/>
      <c r="K332" s="65" t="s">
        <v>37</v>
      </c>
      <c r="L332" s="65" t="s">
        <v>3958</v>
      </c>
      <c r="M332" s="65" t="s">
        <v>3959</v>
      </c>
      <c r="N332" s="65" t="s">
        <v>3956</v>
      </c>
      <c r="O332" s="65" t="s">
        <v>3960</v>
      </c>
      <c r="P332" s="65" t="s">
        <v>90</v>
      </c>
      <c r="Q332" s="65">
        <v>1</v>
      </c>
      <c r="R332" s="65" t="s">
        <v>42</v>
      </c>
      <c r="S332" s="65" t="s">
        <v>44</v>
      </c>
      <c r="T332" s="65" t="s">
        <v>44</v>
      </c>
      <c r="U332" s="65" t="s">
        <v>45</v>
      </c>
      <c r="V332" s="65" t="s">
        <v>46</v>
      </c>
      <c r="W332" s="65">
        <v>135.59</v>
      </c>
      <c r="X332" s="65" t="s">
        <v>47</v>
      </c>
      <c r="Y332" s="65" t="s">
        <v>48</v>
      </c>
      <c r="Z332" s="65" t="s">
        <v>49</v>
      </c>
      <c r="AA332" s="65"/>
      <c r="AB332" s="65"/>
    </row>
    <row r="333" spans="1:28" x14ac:dyDescent="0.3">
      <c r="A333" s="1">
        <v>46234</v>
      </c>
      <c r="B333" s="65" t="s">
        <v>3961</v>
      </c>
      <c r="C333" s="65" t="s">
        <v>29</v>
      </c>
      <c r="D333" s="65" t="s">
        <v>3962</v>
      </c>
      <c r="E333" s="65" t="s">
        <v>31</v>
      </c>
      <c r="F333" s="65" t="s">
        <v>3963</v>
      </c>
      <c r="G333" s="65" t="s">
        <v>3964</v>
      </c>
      <c r="H333" s="65" t="s">
        <v>3965</v>
      </c>
      <c r="I333" s="65"/>
      <c r="J333" s="65"/>
      <c r="K333" s="65" t="s">
        <v>37</v>
      </c>
      <c r="L333" s="65" t="s">
        <v>3966</v>
      </c>
      <c r="M333" s="65" t="s">
        <v>3967</v>
      </c>
      <c r="N333" s="65" t="s">
        <v>3964</v>
      </c>
      <c r="O333" s="65" t="s">
        <v>3968</v>
      </c>
      <c r="P333" s="65" t="s">
        <v>349</v>
      </c>
      <c r="Q333" s="65">
        <v>1</v>
      </c>
      <c r="R333" s="65" t="s">
        <v>70</v>
      </c>
      <c r="S333" s="65" t="s">
        <v>43</v>
      </c>
      <c r="T333" s="65" t="s">
        <v>44</v>
      </c>
      <c r="U333" s="65" t="s">
        <v>71</v>
      </c>
      <c r="V333" s="65" t="s">
        <v>72</v>
      </c>
      <c r="W333" s="65">
        <v>169.49</v>
      </c>
      <c r="X333" s="65" t="s">
        <v>47</v>
      </c>
      <c r="Y333" s="65" t="s">
        <v>48</v>
      </c>
      <c r="Z333" s="65" t="s">
        <v>73</v>
      </c>
      <c r="AA333" s="65"/>
      <c r="AB333" s="65"/>
    </row>
    <row r="334" spans="1:28" x14ac:dyDescent="0.3">
      <c r="A334" s="1">
        <v>46234</v>
      </c>
      <c r="B334" s="65" t="s">
        <v>3969</v>
      </c>
      <c r="C334" s="65" t="s">
        <v>29</v>
      </c>
      <c r="D334" s="65" t="s">
        <v>3970</v>
      </c>
      <c r="E334" s="65" t="s">
        <v>31</v>
      </c>
      <c r="F334" s="65" t="s">
        <v>3971</v>
      </c>
      <c r="G334" s="65" t="s">
        <v>3972</v>
      </c>
      <c r="H334" s="65" t="s">
        <v>3973</v>
      </c>
      <c r="I334" s="65"/>
      <c r="J334" s="65"/>
      <c r="K334" s="65" t="s">
        <v>37</v>
      </c>
      <c r="L334" s="65" t="s">
        <v>3974</v>
      </c>
      <c r="M334" s="65" t="s">
        <v>3975</v>
      </c>
      <c r="N334" s="65" t="s">
        <v>3972</v>
      </c>
      <c r="O334" s="65" t="s">
        <v>3976</v>
      </c>
      <c r="P334" s="65" t="s">
        <v>41</v>
      </c>
      <c r="Q334" s="65">
        <v>1</v>
      </c>
      <c r="R334" s="65" t="s">
        <v>42</v>
      </c>
      <c r="S334" s="65" t="s">
        <v>44</v>
      </c>
      <c r="T334" s="65" t="s">
        <v>44</v>
      </c>
      <c r="U334" s="65" t="s">
        <v>45</v>
      </c>
      <c r="V334" s="65" t="s">
        <v>46</v>
      </c>
      <c r="W334" s="65">
        <v>186.44</v>
      </c>
      <c r="X334" s="65" t="s">
        <v>47</v>
      </c>
      <c r="Y334" s="65" t="s">
        <v>48</v>
      </c>
      <c r="Z334" s="65" t="s">
        <v>49</v>
      </c>
      <c r="AA334" s="65"/>
      <c r="AB334" s="65"/>
    </row>
    <row r="335" spans="1:28" x14ac:dyDescent="0.3">
      <c r="A335" s="1">
        <v>46234</v>
      </c>
      <c r="B335" s="65" t="s">
        <v>3977</v>
      </c>
      <c r="C335" s="65" t="s">
        <v>268</v>
      </c>
      <c r="D335" s="65" t="s">
        <v>3978</v>
      </c>
      <c r="E335" s="65" t="s">
        <v>31</v>
      </c>
      <c r="F335" s="65" t="s">
        <v>3979</v>
      </c>
      <c r="G335" s="65" t="s">
        <v>2193</v>
      </c>
      <c r="H335" s="65" t="s">
        <v>2194</v>
      </c>
      <c r="I335" s="65" t="s">
        <v>273</v>
      </c>
      <c r="J335" s="65" t="s">
        <v>274</v>
      </c>
      <c r="K335" s="65" t="s">
        <v>37</v>
      </c>
      <c r="L335" s="65" t="s">
        <v>2195</v>
      </c>
      <c r="M335" s="65" t="s">
        <v>2196</v>
      </c>
      <c r="N335" s="65" t="s">
        <v>277</v>
      </c>
      <c r="O335" s="65" t="s">
        <v>3980</v>
      </c>
      <c r="P335" s="65" t="s">
        <v>288</v>
      </c>
      <c r="Q335" s="65">
        <v>1</v>
      </c>
      <c r="R335" s="65" t="s">
        <v>42</v>
      </c>
      <c r="S335" s="65" t="s">
        <v>44</v>
      </c>
      <c r="T335" s="65" t="s">
        <v>44</v>
      </c>
      <c r="U335" s="65" t="s">
        <v>45</v>
      </c>
      <c r="V335" s="65" t="s">
        <v>46</v>
      </c>
      <c r="W335" s="65">
        <v>0</v>
      </c>
      <c r="X335" s="65" t="s">
        <v>289</v>
      </c>
      <c r="Y335" s="65" t="s">
        <v>48</v>
      </c>
      <c r="Z335" s="65" t="s">
        <v>49</v>
      </c>
      <c r="AA335" s="65">
        <v>950133748</v>
      </c>
      <c r="AB335" s="65" t="s">
        <v>279</v>
      </c>
    </row>
    <row r="336" spans="1:28" x14ac:dyDescent="0.3">
      <c r="A336" s="1">
        <v>46234</v>
      </c>
      <c r="B336" s="65" t="s">
        <v>3977</v>
      </c>
      <c r="C336" s="65" t="s">
        <v>268</v>
      </c>
      <c r="D336" s="65" t="s">
        <v>3978</v>
      </c>
      <c r="E336" s="65" t="s">
        <v>31</v>
      </c>
      <c r="F336" s="65" t="s">
        <v>3979</v>
      </c>
      <c r="G336" s="65" t="s">
        <v>2193</v>
      </c>
      <c r="H336" s="65" t="s">
        <v>2194</v>
      </c>
      <c r="I336" s="65" t="s">
        <v>273</v>
      </c>
      <c r="J336" s="65" t="s">
        <v>274</v>
      </c>
      <c r="K336" s="65" t="s">
        <v>37</v>
      </c>
      <c r="L336" s="65" t="s">
        <v>2195</v>
      </c>
      <c r="M336" s="65" t="s">
        <v>2196</v>
      </c>
      <c r="N336" s="65" t="s">
        <v>277</v>
      </c>
      <c r="O336" s="65" t="s">
        <v>3980</v>
      </c>
      <c r="P336" s="65" t="s">
        <v>1620</v>
      </c>
      <c r="Q336" s="65">
        <v>1</v>
      </c>
      <c r="R336" s="65" t="s">
        <v>42</v>
      </c>
      <c r="S336" s="65" t="s">
        <v>44</v>
      </c>
      <c r="T336" s="65" t="s">
        <v>44</v>
      </c>
      <c r="U336" s="65" t="s">
        <v>45</v>
      </c>
      <c r="V336" s="65" t="s">
        <v>46</v>
      </c>
      <c r="W336" s="65">
        <v>3508.47</v>
      </c>
      <c r="X336" s="65" t="s">
        <v>289</v>
      </c>
      <c r="Y336" s="65" t="s">
        <v>48</v>
      </c>
      <c r="Z336" s="65" t="s">
        <v>49</v>
      </c>
      <c r="AA336" s="65">
        <v>950133748</v>
      </c>
      <c r="AB336" s="65" t="s">
        <v>279</v>
      </c>
    </row>
    <row r="337" spans="1:28" x14ac:dyDescent="0.3">
      <c r="A337" s="1">
        <v>46234</v>
      </c>
      <c r="B337" s="65" t="s">
        <v>3981</v>
      </c>
      <c r="C337" s="65" t="s">
        <v>268</v>
      </c>
      <c r="D337" s="65" t="s">
        <v>1957</v>
      </c>
      <c r="E337" s="65" t="s">
        <v>31</v>
      </c>
      <c r="F337" s="65" t="s">
        <v>3982</v>
      </c>
      <c r="G337" s="65" t="s">
        <v>3983</v>
      </c>
      <c r="H337" s="65" t="s">
        <v>3984</v>
      </c>
      <c r="I337" s="65"/>
      <c r="J337" s="65"/>
      <c r="K337" s="65" t="s">
        <v>37</v>
      </c>
      <c r="L337" s="65" t="s">
        <v>3985</v>
      </c>
      <c r="M337" s="65" t="s">
        <v>3986</v>
      </c>
      <c r="N337" s="65" t="s">
        <v>277</v>
      </c>
      <c r="O337" s="65" t="s">
        <v>3987</v>
      </c>
      <c r="P337" s="65" t="s">
        <v>59</v>
      </c>
      <c r="Q337" s="65">
        <v>1</v>
      </c>
      <c r="R337" s="65" t="s">
        <v>42</v>
      </c>
      <c r="S337" s="65" t="s">
        <v>44</v>
      </c>
      <c r="T337" s="65" t="s">
        <v>44</v>
      </c>
      <c r="U337" s="65" t="s">
        <v>45</v>
      </c>
      <c r="V337" s="65" t="s">
        <v>46</v>
      </c>
      <c r="W337" s="65">
        <v>101.69</v>
      </c>
      <c r="X337" s="65" t="s">
        <v>61</v>
      </c>
      <c r="Y337" s="65" t="s">
        <v>48</v>
      </c>
      <c r="Z337" s="65" t="s">
        <v>49</v>
      </c>
      <c r="AA337" s="65"/>
      <c r="AB337" s="65"/>
    </row>
    <row r="338" spans="1:28" x14ac:dyDescent="0.3">
      <c r="A338" s="1">
        <v>46234</v>
      </c>
      <c r="B338" s="65" t="s">
        <v>3988</v>
      </c>
      <c r="C338" s="65" t="s">
        <v>268</v>
      </c>
      <c r="D338" s="65" t="s">
        <v>3989</v>
      </c>
      <c r="E338" s="65" t="s">
        <v>31</v>
      </c>
      <c r="F338" s="65" t="s">
        <v>3990</v>
      </c>
      <c r="G338" s="65" t="s">
        <v>3991</v>
      </c>
      <c r="H338" s="65" t="s">
        <v>3992</v>
      </c>
      <c r="I338" s="65"/>
      <c r="J338" s="65"/>
      <c r="K338" s="65" t="s">
        <v>37</v>
      </c>
      <c r="L338" s="65" t="s">
        <v>3993</v>
      </c>
      <c r="M338" s="65" t="s">
        <v>3994</v>
      </c>
      <c r="N338" s="65" t="s">
        <v>277</v>
      </c>
      <c r="O338" s="65" t="s">
        <v>3995</v>
      </c>
      <c r="P338" s="65" t="s">
        <v>130</v>
      </c>
      <c r="Q338" s="65">
        <v>1</v>
      </c>
      <c r="R338" s="65" t="s">
        <v>42</v>
      </c>
      <c r="S338" s="65" t="s">
        <v>44</v>
      </c>
      <c r="T338" s="65" t="s">
        <v>44</v>
      </c>
      <c r="U338" s="65" t="s">
        <v>45</v>
      </c>
      <c r="V338" s="65" t="s">
        <v>46</v>
      </c>
      <c r="W338" s="65">
        <v>152.54</v>
      </c>
      <c r="X338" s="65" t="s">
        <v>47</v>
      </c>
      <c r="Y338" s="65" t="s">
        <v>48</v>
      </c>
      <c r="Z338" s="65" t="s">
        <v>49</v>
      </c>
      <c r="AA338" s="65"/>
      <c r="AB338" s="65"/>
    </row>
    <row r="339" spans="1:28" x14ac:dyDescent="0.3">
      <c r="A339" s="1">
        <v>46234</v>
      </c>
      <c r="B339" s="65" t="s">
        <v>3996</v>
      </c>
      <c r="C339" s="65" t="s">
        <v>29</v>
      </c>
      <c r="D339" s="65" t="s">
        <v>3997</v>
      </c>
      <c r="E339" s="65" t="s">
        <v>31</v>
      </c>
      <c r="F339" s="65" t="s">
        <v>3998</v>
      </c>
      <c r="G339" s="65" t="s">
        <v>3999</v>
      </c>
      <c r="H339" s="65" t="s">
        <v>4000</v>
      </c>
      <c r="I339" s="65" t="s">
        <v>662</v>
      </c>
      <c r="J339" s="65" t="s">
        <v>36</v>
      </c>
      <c r="K339" s="65" t="s">
        <v>37</v>
      </c>
      <c r="L339" s="65" t="s">
        <v>4001</v>
      </c>
      <c r="M339" s="65" t="s">
        <v>4002</v>
      </c>
      <c r="N339" s="65" t="s">
        <v>3999</v>
      </c>
      <c r="O339" s="65" t="s">
        <v>4003</v>
      </c>
      <c r="P339" s="65" t="s">
        <v>59</v>
      </c>
      <c r="Q339" s="65">
        <v>2</v>
      </c>
      <c r="R339" s="65" t="s">
        <v>42</v>
      </c>
      <c r="S339" s="65" t="s">
        <v>44</v>
      </c>
      <c r="T339" s="65" t="s">
        <v>44</v>
      </c>
      <c r="U339" s="65" t="s">
        <v>45</v>
      </c>
      <c r="V339" s="65" t="s">
        <v>46</v>
      </c>
      <c r="W339" s="65">
        <v>203.39</v>
      </c>
      <c r="X339" s="65" t="s">
        <v>61</v>
      </c>
      <c r="Y339" s="65" t="s">
        <v>48</v>
      </c>
      <c r="Z339" s="65" t="s">
        <v>49</v>
      </c>
      <c r="AA339" s="65">
        <v>997145685</v>
      </c>
      <c r="AB339" s="65" t="s">
        <v>666</v>
      </c>
    </row>
    <row r="340" spans="1:28" x14ac:dyDescent="0.3">
      <c r="A340" s="1">
        <v>46235</v>
      </c>
      <c r="B340" s="65" t="s">
        <v>1327</v>
      </c>
      <c r="C340" s="65" t="s">
        <v>29</v>
      </c>
      <c r="D340" s="65" t="s">
        <v>1328</v>
      </c>
      <c r="E340" s="65" t="s">
        <v>31</v>
      </c>
      <c r="F340" s="65" t="s">
        <v>1329</v>
      </c>
      <c r="G340" s="65" t="s">
        <v>1330</v>
      </c>
      <c r="H340" s="65" t="s">
        <v>1331</v>
      </c>
      <c r="I340" s="65" t="s">
        <v>1322</v>
      </c>
      <c r="J340" s="65" t="s">
        <v>36</v>
      </c>
      <c r="K340" s="65" t="s">
        <v>37</v>
      </c>
      <c r="L340" s="65" t="s">
        <v>1332</v>
      </c>
      <c r="M340" s="65" t="s">
        <v>1333</v>
      </c>
      <c r="N340" s="65" t="s">
        <v>1330</v>
      </c>
      <c r="O340" s="65" t="s">
        <v>1334</v>
      </c>
      <c r="P340" s="65" t="s">
        <v>202</v>
      </c>
      <c r="Q340" s="65">
        <v>1</v>
      </c>
      <c r="R340" s="65" t="s">
        <v>42</v>
      </c>
      <c r="S340" s="65" t="s">
        <v>44</v>
      </c>
      <c r="T340" s="65" t="s">
        <v>44</v>
      </c>
      <c r="U340" s="65" t="s">
        <v>45</v>
      </c>
      <c r="V340" s="65" t="s">
        <v>46</v>
      </c>
      <c r="W340" s="65">
        <v>135.59</v>
      </c>
      <c r="X340" s="65" t="s">
        <v>47</v>
      </c>
      <c r="Y340" s="65" t="s">
        <v>48</v>
      </c>
      <c r="Z340" s="65" t="s">
        <v>49</v>
      </c>
      <c r="AA340" s="65">
        <v>999111362</v>
      </c>
      <c r="AB340" s="65" t="s">
        <v>1326</v>
      </c>
    </row>
    <row r="341" spans="1:28" x14ac:dyDescent="0.3">
      <c r="A341" s="1">
        <v>46237</v>
      </c>
      <c r="B341" s="65" t="s">
        <v>1009</v>
      </c>
      <c r="C341" s="65" t="s">
        <v>29</v>
      </c>
      <c r="D341" s="65" t="s">
        <v>1010</v>
      </c>
      <c r="E341" s="65" t="s">
        <v>31</v>
      </c>
      <c r="F341" s="65" t="s">
        <v>1011</v>
      </c>
      <c r="G341" s="65" t="s">
        <v>1012</v>
      </c>
      <c r="H341" s="65" t="s">
        <v>1013</v>
      </c>
      <c r="I341" s="65" t="s">
        <v>774</v>
      </c>
      <c r="J341" s="65" t="s">
        <v>775</v>
      </c>
      <c r="K341" s="65" t="s">
        <v>37</v>
      </c>
      <c r="L341" s="65" t="s">
        <v>1014</v>
      </c>
      <c r="M341" s="65" t="s">
        <v>1015</v>
      </c>
      <c r="N341" s="65" t="s">
        <v>1012</v>
      </c>
      <c r="O341" s="65" t="s">
        <v>1016</v>
      </c>
      <c r="P341" s="65" t="s">
        <v>618</v>
      </c>
      <c r="Q341" s="65">
        <v>1</v>
      </c>
      <c r="R341" s="65" t="s">
        <v>42</v>
      </c>
      <c r="S341" s="65" t="s">
        <v>44</v>
      </c>
      <c r="T341" s="65" t="s">
        <v>44</v>
      </c>
      <c r="U341" s="65" t="s">
        <v>45</v>
      </c>
      <c r="V341" s="65" t="s">
        <v>46</v>
      </c>
      <c r="W341" s="65">
        <v>12.71</v>
      </c>
      <c r="X341" s="65" t="s">
        <v>619</v>
      </c>
      <c r="Y341" s="65" t="s">
        <v>48</v>
      </c>
      <c r="Z341" s="65" t="s">
        <v>49</v>
      </c>
      <c r="AA341" s="65"/>
      <c r="AB341" s="65"/>
    </row>
    <row r="342" spans="1:28" x14ac:dyDescent="0.3">
      <c r="A342" s="1">
        <v>46237</v>
      </c>
      <c r="B342" s="65" t="s">
        <v>1009</v>
      </c>
      <c r="C342" s="65" t="s">
        <v>29</v>
      </c>
      <c r="D342" s="65" t="s">
        <v>1010</v>
      </c>
      <c r="E342" s="65" t="s">
        <v>31</v>
      </c>
      <c r="F342" s="65" t="s">
        <v>1011</v>
      </c>
      <c r="G342" s="65" t="s">
        <v>1012</v>
      </c>
      <c r="H342" s="65" t="s">
        <v>1013</v>
      </c>
      <c r="I342" s="65" t="s">
        <v>774</v>
      </c>
      <c r="J342" s="65" t="s">
        <v>775</v>
      </c>
      <c r="K342" s="65" t="s">
        <v>37</v>
      </c>
      <c r="L342" s="65" t="s">
        <v>1014</v>
      </c>
      <c r="M342" s="65" t="s">
        <v>1015</v>
      </c>
      <c r="N342" s="65" t="s">
        <v>1012</v>
      </c>
      <c r="O342" s="65" t="s">
        <v>1016</v>
      </c>
      <c r="P342" s="65" t="s">
        <v>620</v>
      </c>
      <c r="Q342" s="65">
        <v>1</v>
      </c>
      <c r="R342" s="65" t="s">
        <v>42</v>
      </c>
      <c r="S342" s="65" t="s">
        <v>44</v>
      </c>
      <c r="T342" s="65" t="s">
        <v>44</v>
      </c>
      <c r="U342" s="65" t="s">
        <v>45</v>
      </c>
      <c r="V342" s="65" t="s">
        <v>46</v>
      </c>
      <c r="W342" s="65">
        <v>21.19</v>
      </c>
      <c r="X342" s="65" t="s">
        <v>619</v>
      </c>
      <c r="Y342" s="65" t="s">
        <v>48</v>
      </c>
      <c r="Z342" s="65" t="s">
        <v>49</v>
      </c>
      <c r="AA342" s="65"/>
      <c r="AB342" s="65"/>
    </row>
    <row r="343" spans="1:28" x14ac:dyDescent="0.3">
      <c r="A343" s="1">
        <v>46237</v>
      </c>
      <c r="B343" s="65" t="s">
        <v>1009</v>
      </c>
      <c r="C343" s="65" t="s">
        <v>29</v>
      </c>
      <c r="D343" s="65" t="s">
        <v>1010</v>
      </c>
      <c r="E343" s="65" t="s">
        <v>31</v>
      </c>
      <c r="F343" s="65" t="s">
        <v>1011</v>
      </c>
      <c r="G343" s="65" t="s">
        <v>1012</v>
      </c>
      <c r="H343" s="65" t="s">
        <v>1013</v>
      </c>
      <c r="I343" s="65" t="s">
        <v>774</v>
      </c>
      <c r="J343" s="65" t="s">
        <v>775</v>
      </c>
      <c r="K343" s="65" t="s">
        <v>37</v>
      </c>
      <c r="L343" s="65" t="s">
        <v>1014</v>
      </c>
      <c r="M343" s="65" t="s">
        <v>1015</v>
      </c>
      <c r="N343" s="65" t="s">
        <v>1012</v>
      </c>
      <c r="O343" s="65" t="s">
        <v>1016</v>
      </c>
      <c r="P343" s="65" t="s">
        <v>621</v>
      </c>
      <c r="Q343" s="65">
        <v>1</v>
      </c>
      <c r="R343" s="65" t="s">
        <v>42</v>
      </c>
      <c r="S343" s="65" t="s">
        <v>44</v>
      </c>
      <c r="T343" s="65" t="s">
        <v>44</v>
      </c>
      <c r="U343" s="65" t="s">
        <v>45</v>
      </c>
      <c r="V343" s="65" t="s">
        <v>46</v>
      </c>
      <c r="W343" s="65">
        <v>12.71</v>
      </c>
      <c r="X343" s="65" t="s">
        <v>619</v>
      </c>
      <c r="Y343" s="65" t="s">
        <v>48</v>
      </c>
      <c r="Z343" s="65" t="s">
        <v>49</v>
      </c>
      <c r="AA343" s="65"/>
      <c r="AB343" s="65"/>
    </row>
    <row r="344" spans="1:28" x14ac:dyDescent="0.3">
      <c r="A344" s="1">
        <v>46237</v>
      </c>
      <c r="B344" s="65" t="s">
        <v>1009</v>
      </c>
      <c r="C344" s="65" t="s">
        <v>29</v>
      </c>
      <c r="D344" s="65" t="s">
        <v>1010</v>
      </c>
      <c r="E344" s="65" t="s">
        <v>31</v>
      </c>
      <c r="F344" s="65" t="s">
        <v>1011</v>
      </c>
      <c r="G344" s="65" t="s">
        <v>1012</v>
      </c>
      <c r="H344" s="65" t="s">
        <v>1013</v>
      </c>
      <c r="I344" s="65" t="s">
        <v>774</v>
      </c>
      <c r="J344" s="65" t="s">
        <v>775</v>
      </c>
      <c r="K344" s="65" t="s">
        <v>37</v>
      </c>
      <c r="L344" s="65" t="s">
        <v>1014</v>
      </c>
      <c r="M344" s="65" t="s">
        <v>1015</v>
      </c>
      <c r="N344" s="65" t="s">
        <v>1012</v>
      </c>
      <c r="O344" s="65" t="s">
        <v>1016</v>
      </c>
      <c r="P344" s="65" t="s">
        <v>622</v>
      </c>
      <c r="Q344" s="65">
        <v>1</v>
      </c>
      <c r="R344" s="65" t="s">
        <v>42</v>
      </c>
      <c r="S344" s="65" t="s">
        <v>44</v>
      </c>
      <c r="T344" s="65" t="s">
        <v>44</v>
      </c>
      <c r="U344" s="65" t="s">
        <v>45</v>
      </c>
      <c r="V344" s="65" t="s">
        <v>46</v>
      </c>
      <c r="W344" s="65">
        <v>12.71</v>
      </c>
      <c r="X344" s="65" t="s">
        <v>619</v>
      </c>
      <c r="Y344" s="65" t="s">
        <v>48</v>
      </c>
      <c r="Z344" s="65" t="s">
        <v>49</v>
      </c>
      <c r="AA344" s="65"/>
      <c r="AB344" s="65"/>
    </row>
    <row r="345" spans="1:28" x14ac:dyDescent="0.3">
      <c r="A345" s="1">
        <v>46237</v>
      </c>
      <c r="B345" s="65" t="s">
        <v>1009</v>
      </c>
      <c r="C345" s="65" t="s">
        <v>29</v>
      </c>
      <c r="D345" s="65" t="s">
        <v>1010</v>
      </c>
      <c r="E345" s="65" t="s">
        <v>31</v>
      </c>
      <c r="F345" s="65" t="s">
        <v>1011</v>
      </c>
      <c r="G345" s="65" t="s">
        <v>1012</v>
      </c>
      <c r="H345" s="65" t="s">
        <v>1013</v>
      </c>
      <c r="I345" s="65" t="s">
        <v>774</v>
      </c>
      <c r="J345" s="65" t="s">
        <v>775</v>
      </c>
      <c r="K345" s="65" t="s">
        <v>37</v>
      </c>
      <c r="L345" s="65" t="s">
        <v>1014</v>
      </c>
      <c r="M345" s="65" t="s">
        <v>1015</v>
      </c>
      <c r="N345" s="65" t="s">
        <v>1012</v>
      </c>
      <c r="O345" s="65" t="s">
        <v>1016</v>
      </c>
      <c r="P345" s="65" t="s">
        <v>833</v>
      </c>
      <c r="Q345" s="65">
        <v>1</v>
      </c>
      <c r="R345" s="65" t="s">
        <v>42</v>
      </c>
      <c r="S345" s="65" t="s">
        <v>44</v>
      </c>
      <c r="T345" s="65" t="s">
        <v>44</v>
      </c>
      <c r="U345" s="65" t="s">
        <v>45</v>
      </c>
      <c r="V345" s="65" t="s">
        <v>46</v>
      </c>
      <c r="W345" s="65">
        <v>50.85</v>
      </c>
      <c r="X345" s="65" t="s">
        <v>619</v>
      </c>
      <c r="Y345" s="65" t="s">
        <v>48</v>
      </c>
      <c r="Z345" s="65" t="s">
        <v>49</v>
      </c>
      <c r="AA345" s="65"/>
      <c r="AB345" s="65"/>
    </row>
    <row r="346" spans="1:28" x14ac:dyDescent="0.3">
      <c r="A346" s="1">
        <v>46237</v>
      </c>
      <c r="B346" s="65" t="s">
        <v>1017</v>
      </c>
      <c r="C346" s="65" t="s">
        <v>29</v>
      </c>
      <c r="D346" s="65" t="s">
        <v>1018</v>
      </c>
      <c r="E346" s="65" t="s">
        <v>31</v>
      </c>
      <c r="F346" s="65" t="s">
        <v>1019</v>
      </c>
      <c r="G346" s="65" t="s">
        <v>1012</v>
      </c>
      <c r="H346" s="65" t="s">
        <v>1013</v>
      </c>
      <c r="I346" s="65" t="s">
        <v>774</v>
      </c>
      <c r="J346" s="65" t="s">
        <v>775</v>
      </c>
      <c r="K346" s="65" t="s">
        <v>37</v>
      </c>
      <c r="L346" s="65" t="s">
        <v>1014</v>
      </c>
      <c r="M346" s="65" t="s">
        <v>1015</v>
      </c>
      <c r="N346" s="65" t="s">
        <v>1012</v>
      </c>
      <c r="O346" s="65" t="s">
        <v>1020</v>
      </c>
      <c r="P346" s="65" t="s">
        <v>828</v>
      </c>
      <c r="Q346" s="65">
        <v>1</v>
      </c>
      <c r="R346" s="65" t="s">
        <v>42</v>
      </c>
      <c r="S346" s="65" t="s">
        <v>44</v>
      </c>
      <c r="T346" s="65" t="s">
        <v>44</v>
      </c>
      <c r="U346" s="65" t="s">
        <v>45</v>
      </c>
      <c r="V346" s="65" t="s">
        <v>46</v>
      </c>
      <c r="W346" s="65">
        <v>127.12</v>
      </c>
      <c r="X346" s="65" t="s">
        <v>47</v>
      </c>
      <c r="Y346" s="65" t="s">
        <v>48</v>
      </c>
      <c r="Z346" s="65" t="s">
        <v>49</v>
      </c>
      <c r="AA346" s="65"/>
      <c r="AB346" s="65"/>
    </row>
    <row r="347" spans="1:28" x14ac:dyDescent="0.3">
      <c r="A347" s="1">
        <v>46237</v>
      </c>
      <c r="B347" s="65" t="s">
        <v>1021</v>
      </c>
      <c r="C347" s="65" t="s">
        <v>29</v>
      </c>
      <c r="D347" s="65" t="s">
        <v>1022</v>
      </c>
      <c r="E347" s="65" t="s">
        <v>31</v>
      </c>
      <c r="F347" s="65" t="s">
        <v>1023</v>
      </c>
      <c r="G347" s="65" t="s">
        <v>1012</v>
      </c>
      <c r="H347" s="65" t="s">
        <v>1013</v>
      </c>
      <c r="I347" s="65" t="s">
        <v>774</v>
      </c>
      <c r="J347" s="65" t="s">
        <v>775</v>
      </c>
      <c r="K347" s="65" t="s">
        <v>37</v>
      </c>
      <c r="L347" s="65" t="s">
        <v>1014</v>
      </c>
      <c r="M347" s="65" t="s">
        <v>1015</v>
      </c>
      <c r="N347" s="65" t="s">
        <v>1012</v>
      </c>
      <c r="O347" s="65" t="s">
        <v>1024</v>
      </c>
      <c r="P347" s="65" t="s">
        <v>641</v>
      </c>
      <c r="Q347" s="65">
        <v>1</v>
      </c>
      <c r="R347" s="65" t="s">
        <v>42</v>
      </c>
      <c r="S347" s="65" t="s">
        <v>44</v>
      </c>
      <c r="T347" s="65" t="s">
        <v>44</v>
      </c>
      <c r="U347" s="65" t="s">
        <v>45</v>
      </c>
      <c r="V347" s="65" t="s">
        <v>46</v>
      </c>
      <c r="W347" s="65">
        <v>84.75</v>
      </c>
      <c r="X347" s="65" t="s">
        <v>47</v>
      </c>
      <c r="Y347" s="65" t="s">
        <v>48</v>
      </c>
      <c r="Z347" s="65" t="s">
        <v>49</v>
      </c>
      <c r="AA347" s="65"/>
      <c r="AB347" s="65"/>
    </row>
    <row r="348" spans="1:28" x14ac:dyDescent="0.3">
      <c r="A348" s="1">
        <v>46237</v>
      </c>
      <c r="B348" s="65" t="s">
        <v>406</v>
      </c>
      <c r="C348" s="65" t="s">
        <v>29</v>
      </c>
      <c r="D348" s="65" t="s">
        <v>407</v>
      </c>
      <c r="E348" s="65" t="s">
        <v>31</v>
      </c>
      <c r="F348" s="65" t="s">
        <v>408</v>
      </c>
      <c r="G348" s="65" t="s">
        <v>409</v>
      </c>
      <c r="H348" s="65" t="s">
        <v>410</v>
      </c>
      <c r="I348" s="65" t="s">
        <v>411</v>
      </c>
      <c r="J348" s="65" t="s">
        <v>412</v>
      </c>
      <c r="K348" s="65" t="s">
        <v>37</v>
      </c>
      <c r="L348" s="65" t="s">
        <v>413</v>
      </c>
      <c r="M348" s="65" t="s">
        <v>414</v>
      </c>
      <c r="N348" s="65" t="s">
        <v>409</v>
      </c>
      <c r="O348" s="65" t="s">
        <v>415</v>
      </c>
      <c r="P348" s="65" t="s">
        <v>90</v>
      </c>
      <c r="Q348" s="65">
        <v>1</v>
      </c>
      <c r="R348" s="65" t="s">
        <v>42</v>
      </c>
      <c r="S348" s="65" t="s">
        <v>44</v>
      </c>
      <c r="T348" s="65" t="s">
        <v>44</v>
      </c>
      <c r="U348" s="65" t="s">
        <v>45</v>
      </c>
      <c r="V348" s="65" t="s">
        <v>46</v>
      </c>
      <c r="W348" s="65">
        <v>135.59</v>
      </c>
      <c r="X348" s="65" t="s">
        <v>47</v>
      </c>
      <c r="Y348" s="65" t="s">
        <v>48</v>
      </c>
      <c r="Z348" s="65" t="s">
        <v>49</v>
      </c>
      <c r="AA348" s="65">
        <v>982673362</v>
      </c>
      <c r="AB348" s="65" t="s">
        <v>416</v>
      </c>
    </row>
    <row r="349" spans="1:28" x14ac:dyDescent="0.3">
      <c r="A349" s="1">
        <v>46237</v>
      </c>
      <c r="B349" s="65" t="s">
        <v>1462</v>
      </c>
      <c r="C349" s="65" t="s">
        <v>29</v>
      </c>
      <c r="D349" s="65" t="s">
        <v>1463</v>
      </c>
      <c r="E349" s="65" t="s">
        <v>31</v>
      </c>
      <c r="F349" s="65" t="s">
        <v>1464</v>
      </c>
      <c r="G349" s="65" t="s">
        <v>1465</v>
      </c>
      <c r="H349" s="65" t="s">
        <v>1466</v>
      </c>
      <c r="I349" s="65" t="s">
        <v>1467</v>
      </c>
      <c r="J349" s="65" t="s">
        <v>629</v>
      </c>
      <c r="K349" s="65" t="s">
        <v>37</v>
      </c>
      <c r="L349" s="65" t="s">
        <v>1468</v>
      </c>
      <c r="M349" s="65" t="s">
        <v>1469</v>
      </c>
      <c r="N349" s="65" t="s">
        <v>1465</v>
      </c>
      <c r="O349" s="65" t="s">
        <v>1470</v>
      </c>
      <c r="P349" s="65" t="s">
        <v>101</v>
      </c>
      <c r="Q349" s="65">
        <v>1</v>
      </c>
      <c r="R349" s="65" t="s">
        <v>42</v>
      </c>
      <c r="S349" s="65" t="s">
        <v>44</v>
      </c>
      <c r="T349" s="65" t="s">
        <v>44</v>
      </c>
      <c r="U349" s="65" t="s">
        <v>45</v>
      </c>
      <c r="V349" s="65" t="s">
        <v>60</v>
      </c>
      <c r="W349" s="65">
        <v>186.44</v>
      </c>
      <c r="X349" s="65" t="s">
        <v>47</v>
      </c>
      <c r="Y349" s="65" t="s">
        <v>48</v>
      </c>
      <c r="Z349" s="65" t="s">
        <v>49</v>
      </c>
      <c r="AA349" s="65">
        <v>946789080</v>
      </c>
      <c r="AB349" s="65"/>
    </row>
    <row r="350" spans="1:28" x14ac:dyDescent="0.3">
      <c r="A350" s="1">
        <v>46237</v>
      </c>
      <c r="B350" s="65" t="s">
        <v>1471</v>
      </c>
      <c r="C350" s="65" t="s">
        <v>29</v>
      </c>
      <c r="D350" s="65" t="s">
        <v>1472</v>
      </c>
      <c r="E350" s="65" t="s">
        <v>31</v>
      </c>
      <c r="F350" s="65" t="s">
        <v>1473</v>
      </c>
      <c r="G350" s="65" t="s">
        <v>1465</v>
      </c>
      <c r="H350" s="65" t="s">
        <v>1466</v>
      </c>
      <c r="I350" s="65" t="s">
        <v>1467</v>
      </c>
      <c r="J350" s="65" t="s">
        <v>629</v>
      </c>
      <c r="K350" s="65" t="s">
        <v>37</v>
      </c>
      <c r="L350" s="65" t="s">
        <v>1468</v>
      </c>
      <c r="M350" s="65" t="s">
        <v>1469</v>
      </c>
      <c r="N350" s="65" t="s">
        <v>1465</v>
      </c>
      <c r="O350" s="65" t="s">
        <v>1474</v>
      </c>
      <c r="P350" s="65" t="s">
        <v>159</v>
      </c>
      <c r="Q350" s="65">
        <v>1</v>
      </c>
      <c r="R350" s="65" t="s">
        <v>42</v>
      </c>
      <c r="S350" s="65" t="s">
        <v>44</v>
      </c>
      <c r="T350" s="65" t="s">
        <v>44</v>
      </c>
      <c r="U350" s="65" t="s">
        <v>45</v>
      </c>
      <c r="V350" s="65" t="s">
        <v>60</v>
      </c>
      <c r="W350" s="65">
        <v>135.59</v>
      </c>
      <c r="X350" s="65" t="s">
        <v>47</v>
      </c>
      <c r="Y350" s="65" t="s">
        <v>48</v>
      </c>
      <c r="Z350" s="65" t="s">
        <v>49</v>
      </c>
      <c r="AA350" s="65">
        <v>946789080</v>
      </c>
      <c r="AB350" s="65"/>
    </row>
    <row r="351" spans="1:28" x14ac:dyDescent="0.3">
      <c r="A351" s="1">
        <v>46237</v>
      </c>
      <c r="B351" s="65" t="s">
        <v>1381</v>
      </c>
      <c r="C351" s="65" t="s">
        <v>29</v>
      </c>
      <c r="D351" s="65" t="s">
        <v>1382</v>
      </c>
      <c r="E351" s="65" t="s">
        <v>31</v>
      </c>
      <c r="F351" s="65" t="s">
        <v>1383</v>
      </c>
      <c r="G351" s="65" t="s">
        <v>1384</v>
      </c>
      <c r="H351" s="65" t="s">
        <v>1385</v>
      </c>
      <c r="I351" s="65" t="s">
        <v>1386</v>
      </c>
      <c r="J351" s="65" t="s">
        <v>4005</v>
      </c>
      <c r="K351" s="65" t="s">
        <v>37</v>
      </c>
      <c r="L351" s="65" t="s">
        <v>1387</v>
      </c>
      <c r="M351" s="65" t="s">
        <v>1388</v>
      </c>
      <c r="N351" s="65" t="s">
        <v>1384</v>
      </c>
      <c r="O351" s="65" t="s">
        <v>1389</v>
      </c>
      <c r="P351" s="65" t="s">
        <v>202</v>
      </c>
      <c r="Q351" s="65">
        <v>1</v>
      </c>
      <c r="R351" s="65" t="s">
        <v>42</v>
      </c>
      <c r="S351" s="65" t="s">
        <v>44</v>
      </c>
      <c r="T351" s="65" t="s">
        <v>44</v>
      </c>
      <c r="U351" s="65" t="s">
        <v>45</v>
      </c>
      <c r="V351" s="65" t="s">
        <v>46</v>
      </c>
      <c r="W351" s="65">
        <v>135.59</v>
      </c>
      <c r="X351" s="65" t="s">
        <v>47</v>
      </c>
      <c r="Y351" s="65" t="s">
        <v>48</v>
      </c>
      <c r="Z351" s="65" t="s">
        <v>49</v>
      </c>
      <c r="AA351" s="65">
        <v>917791542</v>
      </c>
      <c r="AB351" s="65" t="s">
        <v>1390</v>
      </c>
    </row>
    <row r="352" spans="1:28" x14ac:dyDescent="0.3">
      <c r="A352" s="1">
        <v>46238</v>
      </c>
      <c r="B352" s="65" t="s">
        <v>1025</v>
      </c>
      <c r="C352" s="65" t="s">
        <v>29</v>
      </c>
      <c r="D352" s="65" t="s">
        <v>1026</v>
      </c>
      <c r="E352" s="65" t="s">
        <v>31</v>
      </c>
      <c r="F352" s="65" t="s">
        <v>1027</v>
      </c>
      <c r="G352" s="65" t="s">
        <v>1028</v>
      </c>
      <c r="H352" s="65" t="s">
        <v>1029</v>
      </c>
      <c r="I352" s="65" t="s">
        <v>774</v>
      </c>
      <c r="J352" s="65" t="s">
        <v>775</v>
      </c>
      <c r="K352" s="65" t="s">
        <v>37</v>
      </c>
      <c r="L352" s="65" t="s">
        <v>1030</v>
      </c>
      <c r="M352" s="65" t="s">
        <v>1031</v>
      </c>
      <c r="N352" s="65" t="s">
        <v>1028</v>
      </c>
      <c r="O352" s="65" t="s">
        <v>1032</v>
      </c>
      <c r="P352" s="65" t="s">
        <v>828</v>
      </c>
      <c r="Q352" s="65">
        <v>1</v>
      </c>
      <c r="R352" s="65" t="s">
        <v>42</v>
      </c>
      <c r="S352" s="65" t="s">
        <v>44</v>
      </c>
      <c r="T352" s="65" t="s">
        <v>44</v>
      </c>
      <c r="U352" s="65" t="s">
        <v>45</v>
      </c>
      <c r="V352" s="65" t="s">
        <v>46</v>
      </c>
      <c r="W352" s="65">
        <v>127.12</v>
      </c>
      <c r="X352" s="65" t="s">
        <v>47</v>
      </c>
      <c r="Y352" s="65" t="s">
        <v>48</v>
      </c>
      <c r="Z352" s="65" t="s">
        <v>49</v>
      </c>
      <c r="AA352" s="65"/>
      <c r="AB352" s="65"/>
    </row>
    <row r="353" spans="1:28" x14ac:dyDescent="0.3">
      <c r="A353" s="1">
        <v>46238</v>
      </c>
      <c r="B353" s="65" t="s">
        <v>1033</v>
      </c>
      <c r="C353" s="65" t="s">
        <v>29</v>
      </c>
      <c r="D353" s="65" t="s">
        <v>1034</v>
      </c>
      <c r="E353" s="65" t="s">
        <v>31</v>
      </c>
      <c r="F353" s="65" t="s">
        <v>1035</v>
      </c>
      <c r="G353" s="65" t="s">
        <v>1028</v>
      </c>
      <c r="H353" s="65" t="s">
        <v>1029</v>
      </c>
      <c r="I353" s="65" t="s">
        <v>774</v>
      </c>
      <c r="J353" s="65" t="s">
        <v>775</v>
      </c>
      <c r="K353" s="65" t="s">
        <v>37</v>
      </c>
      <c r="L353" s="65" t="s">
        <v>1030</v>
      </c>
      <c r="M353" s="65" t="s">
        <v>1031</v>
      </c>
      <c r="N353" s="65" t="s">
        <v>1028</v>
      </c>
      <c r="O353" s="65" t="s">
        <v>1036</v>
      </c>
      <c r="P353" s="65" t="s">
        <v>618</v>
      </c>
      <c r="Q353" s="65">
        <v>1</v>
      </c>
      <c r="R353" s="65" t="s">
        <v>42</v>
      </c>
      <c r="S353" s="65" t="s">
        <v>44</v>
      </c>
      <c r="T353" s="65" t="s">
        <v>44</v>
      </c>
      <c r="U353" s="65" t="s">
        <v>45</v>
      </c>
      <c r="V353" s="65" t="s">
        <v>46</v>
      </c>
      <c r="W353" s="65">
        <v>12.71</v>
      </c>
      <c r="X353" s="65" t="s">
        <v>619</v>
      </c>
      <c r="Y353" s="65" t="s">
        <v>48</v>
      </c>
      <c r="Z353" s="65" t="s">
        <v>49</v>
      </c>
      <c r="AA353" s="65"/>
      <c r="AB353" s="65"/>
    </row>
    <row r="354" spans="1:28" x14ac:dyDescent="0.3">
      <c r="A354" s="1">
        <v>46238</v>
      </c>
      <c r="B354" s="65" t="s">
        <v>1033</v>
      </c>
      <c r="C354" s="65" t="s">
        <v>29</v>
      </c>
      <c r="D354" s="65" t="s">
        <v>1034</v>
      </c>
      <c r="E354" s="65" t="s">
        <v>31</v>
      </c>
      <c r="F354" s="65" t="s">
        <v>1035</v>
      </c>
      <c r="G354" s="65" t="s">
        <v>1028</v>
      </c>
      <c r="H354" s="65" t="s">
        <v>1029</v>
      </c>
      <c r="I354" s="65" t="s">
        <v>774</v>
      </c>
      <c r="J354" s="65" t="s">
        <v>775</v>
      </c>
      <c r="K354" s="65" t="s">
        <v>37</v>
      </c>
      <c r="L354" s="65" t="s">
        <v>1030</v>
      </c>
      <c r="M354" s="65" t="s">
        <v>1031</v>
      </c>
      <c r="N354" s="65" t="s">
        <v>1028</v>
      </c>
      <c r="O354" s="65" t="s">
        <v>1036</v>
      </c>
      <c r="P354" s="65" t="s">
        <v>620</v>
      </c>
      <c r="Q354" s="65">
        <v>1</v>
      </c>
      <c r="R354" s="65" t="s">
        <v>42</v>
      </c>
      <c r="S354" s="65" t="s">
        <v>44</v>
      </c>
      <c r="T354" s="65" t="s">
        <v>44</v>
      </c>
      <c r="U354" s="65" t="s">
        <v>45</v>
      </c>
      <c r="V354" s="65" t="s">
        <v>46</v>
      </c>
      <c r="W354" s="65">
        <v>21.19</v>
      </c>
      <c r="X354" s="65" t="s">
        <v>619</v>
      </c>
      <c r="Y354" s="65" t="s">
        <v>48</v>
      </c>
      <c r="Z354" s="65" t="s">
        <v>49</v>
      </c>
      <c r="AA354" s="65"/>
      <c r="AB354" s="65"/>
    </row>
    <row r="355" spans="1:28" x14ac:dyDescent="0.3">
      <c r="A355" s="1">
        <v>46238</v>
      </c>
      <c r="B355" s="65" t="s">
        <v>1033</v>
      </c>
      <c r="C355" s="65" t="s">
        <v>29</v>
      </c>
      <c r="D355" s="65" t="s">
        <v>1034</v>
      </c>
      <c r="E355" s="65" t="s">
        <v>31</v>
      </c>
      <c r="F355" s="65" t="s">
        <v>1035</v>
      </c>
      <c r="G355" s="65" t="s">
        <v>1028</v>
      </c>
      <c r="H355" s="65" t="s">
        <v>1029</v>
      </c>
      <c r="I355" s="65" t="s">
        <v>774</v>
      </c>
      <c r="J355" s="65" t="s">
        <v>775</v>
      </c>
      <c r="K355" s="65" t="s">
        <v>37</v>
      </c>
      <c r="L355" s="65" t="s">
        <v>1030</v>
      </c>
      <c r="M355" s="65" t="s">
        <v>1031</v>
      </c>
      <c r="N355" s="65" t="s">
        <v>1028</v>
      </c>
      <c r="O355" s="65" t="s">
        <v>1036</v>
      </c>
      <c r="P355" s="65" t="s">
        <v>621</v>
      </c>
      <c r="Q355" s="65">
        <v>1</v>
      </c>
      <c r="R355" s="65" t="s">
        <v>42</v>
      </c>
      <c r="S355" s="65" t="s">
        <v>44</v>
      </c>
      <c r="T355" s="65" t="s">
        <v>44</v>
      </c>
      <c r="U355" s="65" t="s">
        <v>45</v>
      </c>
      <c r="V355" s="65" t="s">
        <v>46</v>
      </c>
      <c r="W355" s="65">
        <v>12.71</v>
      </c>
      <c r="X355" s="65" t="s">
        <v>619</v>
      </c>
      <c r="Y355" s="65" t="s">
        <v>48</v>
      </c>
      <c r="Z355" s="65" t="s">
        <v>49</v>
      </c>
      <c r="AA355" s="65"/>
      <c r="AB355" s="65"/>
    </row>
    <row r="356" spans="1:28" x14ac:dyDescent="0.3">
      <c r="A356" s="1">
        <v>46238</v>
      </c>
      <c r="B356" s="65" t="s">
        <v>1033</v>
      </c>
      <c r="C356" s="65" t="s">
        <v>29</v>
      </c>
      <c r="D356" s="65" t="s">
        <v>1034</v>
      </c>
      <c r="E356" s="65" t="s">
        <v>31</v>
      </c>
      <c r="F356" s="65" t="s">
        <v>1035</v>
      </c>
      <c r="G356" s="65" t="s">
        <v>1028</v>
      </c>
      <c r="H356" s="65" t="s">
        <v>1029</v>
      </c>
      <c r="I356" s="65" t="s">
        <v>774</v>
      </c>
      <c r="J356" s="65" t="s">
        <v>775</v>
      </c>
      <c r="K356" s="65" t="s">
        <v>37</v>
      </c>
      <c r="L356" s="65" t="s">
        <v>1030</v>
      </c>
      <c r="M356" s="65" t="s">
        <v>1031</v>
      </c>
      <c r="N356" s="65" t="s">
        <v>1028</v>
      </c>
      <c r="O356" s="65" t="s">
        <v>1036</v>
      </c>
      <c r="P356" s="65" t="s">
        <v>622</v>
      </c>
      <c r="Q356" s="65">
        <v>1</v>
      </c>
      <c r="R356" s="65" t="s">
        <v>42</v>
      </c>
      <c r="S356" s="65" t="s">
        <v>44</v>
      </c>
      <c r="T356" s="65" t="s">
        <v>44</v>
      </c>
      <c r="U356" s="65" t="s">
        <v>45</v>
      </c>
      <c r="V356" s="65" t="s">
        <v>46</v>
      </c>
      <c r="W356" s="65">
        <v>12.71</v>
      </c>
      <c r="X356" s="65" t="s">
        <v>619</v>
      </c>
      <c r="Y356" s="65" t="s">
        <v>48</v>
      </c>
      <c r="Z356" s="65" t="s">
        <v>49</v>
      </c>
      <c r="AA356" s="65"/>
      <c r="AB356" s="65"/>
    </row>
    <row r="357" spans="1:28" x14ac:dyDescent="0.3">
      <c r="A357" s="1">
        <v>46238</v>
      </c>
      <c r="B357" s="65" t="s">
        <v>1033</v>
      </c>
      <c r="C357" s="65" t="s">
        <v>29</v>
      </c>
      <c r="D357" s="65" t="s">
        <v>1034</v>
      </c>
      <c r="E357" s="65" t="s">
        <v>31</v>
      </c>
      <c r="F357" s="65" t="s">
        <v>1035</v>
      </c>
      <c r="G357" s="65" t="s">
        <v>1028</v>
      </c>
      <c r="H357" s="65" t="s">
        <v>1029</v>
      </c>
      <c r="I357" s="65" t="s">
        <v>774</v>
      </c>
      <c r="J357" s="65" t="s">
        <v>775</v>
      </c>
      <c r="K357" s="65" t="s">
        <v>37</v>
      </c>
      <c r="L357" s="65" t="s">
        <v>1030</v>
      </c>
      <c r="M357" s="65" t="s">
        <v>1031</v>
      </c>
      <c r="N357" s="65" t="s">
        <v>1028</v>
      </c>
      <c r="O357" s="65" t="s">
        <v>1036</v>
      </c>
      <c r="P357" s="65" t="s">
        <v>833</v>
      </c>
      <c r="Q357" s="65">
        <v>1</v>
      </c>
      <c r="R357" s="65" t="s">
        <v>42</v>
      </c>
      <c r="S357" s="65" t="s">
        <v>44</v>
      </c>
      <c r="T357" s="65" t="s">
        <v>44</v>
      </c>
      <c r="U357" s="65" t="s">
        <v>45</v>
      </c>
      <c r="V357" s="65" t="s">
        <v>46</v>
      </c>
      <c r="W357" s="65">
        <v>50.85</v>
      </c>
      <c r="X357" s="65" t="s">
        <v>619</v>
      </c>
      <c r="Y357" s="65" t="s">
        <v>48</v>
      </c>
      <c r="Z357" s="65" t="s">
        <v>49</v>
      </c>
      <c r="AA357" s="65"/>
      <c r="AB357" s="65"/>
    </row>
    <row r="358" spans="1:28" x14ac:dyDescent="0.3">
      <c r="A358" s="1">
        <v>46238</v>
      </c>
      <c r="B358" s="65" t="s">
        <v>1037</v>
      </c>
      <c r="C358" s="65" t="s">
        <v>29</v>
      </c>
      <c r="D358" s="65" t="s">
        <v>1038</v>
      </c>
      <c r="E358" s="65" t="s">
        <v>31</v>
      </c>
      <c r="F358" s="65" t="s">
        <v>1039</v>
      </c>
      <c r="G358" s="65" t="s">
        <v>1028</v>
      </c>
      <c r="H358" s="65" t="s">
        <v>1029</v>
      </c>
      <c r="I358" s="65" t="s">
        <v>774</v>
      </c>
      <c r="J358" s="65" t="s">
        <v>775</v>
      </c>
      <c r="K358" s="65" t="s">
        <v>37</v>
      </c>
      <c r="L358" s="65" t="s">
        <v>1030</v>
      </c>
      <c r="M358" s="65" t="s">
        <v>1031</v>
      </c>
      <c r="N358" s="65" t="s">
        <v>1028</v>
      </c>
      <c r="O358" s="65" t="s">
        <v>1040</v>
      </c>
      <c r="P358" s="65" t="s">
        <v>641</v>
      </c>
      <c r="Q358" s="65">
        <v>1</v>
      </c>
      <c r="R358" s="65" t="s">
        <v>42</v>
      </c>
      <c r="S358" s="65" t="s">
        <v>44</v>
      </c>
      <c r="T358" s="65" t="s">
        <v>44</v>
      </c>
      <c r="U358" s="65" t="s">
        <v>45</v>
      </c>
      <c r="V358" s="65" t="s">
        <v>46</v>
      </c>
      <c r="W358" s="65">
        <v>84.75</v>
      </c>
      <c r="X358" s="65" t="s">
        <v>47</v>
      </c>
      <c r="Y358" s="65" t="s">
        <v>48</v>
      </c>
      <c r="Z358" s="65" t="s">
        <v>49</v>
      </c>
      <c r="AA358" s="65"/>
      <c r="AB358" s="65"/>
    </row>
    <row r="359" spans="1:28" x14ac:dyDescent="0.3">
      <c r="A359" s="1">
        <v>46238</v>
      </c>
      <c r="B359" s="65" t="s">
        <v>1485</v>
      </c>
      <c r="C359" s="65" t="s">
        <v>29</v>
      </c>
      <c r="D359" s="65" t="s">
        <v>1486</v>
      </c>
      <c r="E359" s="65" t="s">
        <v>31</v>
      </c>
      <c r="F359" s="65" t="s">
        <v>1487</v>
      </c>
      <c r="G359" s="65" t="s">
        <v>1488</v>
      </c>
      <c r="H359" s="65" t="s">
        <v>1489</v>
      </c>
      <c r="I359" s="65" t="s">
        <v>1490</v>
      </c>
      <c r="J359" s="65" t="s">
        <v>345</v>
      </c>
      <c r="K359" s="65" t="s">
        <v>37</v>
      </c>
      <c r="L359" s="65" t="s">
        <v>1491</v>
      </c>
      <c r="M359" s="65" t="s">
        <v>1492</v>
      </c>
      <c r="N359" s="65" t="s">
        <v>1488</v>
      </c>
      <c r="O359" s="65" t="s">
        <v>1493</v>
      </c>
      <c r="P359" s="65" t="s">
        <v>201</v>
      </c>
      <c r="Q359" s="65">
        <v>1</v>
      </c>
      <c r="R359" s="65" t="s">
        <v>42</v>
      </c>
      <c r="S359" s="65" t="s">
        <v>44</v>
      </c>
      <c r="T359" s="65" t="s">
        <v>44</v>
      </c>
      <c r="U359" s="65" t="s">
        <v>45</v>
      </c>
      <c r="V359" s="65" t="s">
        <v>60</v>
      </c>
      <c r="W359" s="65">
        <v>152.54</v>
      </c>
      <c r="X359" s="65" t="s">
        <v>47</v>
      </c>
      <c r="Y359" s="65" t="s">
        <v>48</v>
      </c>
      <c r="Z359" s="65" t="s">
        <v>49</v>
      </c>
      <c r="AA359" s="65">
        <v>975750204</v>
      </c>
      <c r="AB359" s="65"/>
    </row>
    <row r="360" spans="1:28" x14ac:dyDescent="0.3">
      <c r="A360" s="1">
        <v>46238</v>
      </c>
      <c r="B360" s="65" t="s">
        <v>417</v>
      </c>
      <c r="C360" s="65" t="s">
        <v>29</v>
      </c>
      <c r="D360" s="65" t="s">
        <v>418</v>
      </c>
      <c r="E360" s="65" t="s">
        <v>31</v>
      </c>
      <c r="F360" s="65" t="s">
        <v>419</v>
      </c>
      <c r="G360" s="65" t="s">
        <v>420</v>
      </c>
      <c r="H360" s="65" t="s">
        <v>421</v>
      </c>
      <c r="I360" s="65" t="s">
        <v>411</v>
      </c>
      <c r="J360" s="65" t="s">
        <v>412</v>
      </c>
      <c r="K360" s="65" t="s">
        <v>37</v>
      </c>
      <c r="L360" s="65" t="s">
        <v>422</v>
      </c>
      <c r="M360" s="65" t="s">
        <v>423</v>
      </c>
      <c r="N360" s="65" t="s">
        <v>420</v>
      </c>
      <c r="O360" s="65" t="s">
        <v>424</v>
      </c>
      <c r="P360" s="65" t="s">
        <v>101</v>
      </c>
      <c r="Q360" s="65">
        <v>1</v>
      </c>
      <c r="R360" s="65" t="s">
        <v>70</v>
      </c>
      <c r="S360" s="65" t="s">
        <v>43</v>
      </c>
      <c r="T360" s="65" t="s">
        <v>44</v>
      </c>
      <c r="U360" s="65" t="s">
        <v>71</v>
      </c>
      <c r="V360" s="65" t="s">
        <v>72</v>
      </c>
      <c r="W360" s="65">
        <v>186.44</v>
      </c>
      <c r="X360" s="65" t="s">
        <v>47</v>
      </c>
      <c r="Y360" s="65" t="s">
        <v>48</v>
      </c>
      <c r="Z360" s="65" t="s">
        <v>73</v>
      </c>
      <c r="AA360" s="65">
        <v>982673362</v>
      </c>
      <c r="AB360" s="65" t="s">
        <v>416</v>
      </c>
    </row>
    <row r="361" spans="1:28" x14ac:dyDescent="0.3">
      <c r="A361" s="1">
        <v>46238</v>
      </c>
      <c r="B361" s="65" t="s">
        <v>417</v>
      </c>
      <c r="C361" s="65" t="s">
        <v>29</v>
      </c>
      <c r="D361" s="65" t="s">
        <v>418</v>
      </c>
      <c r="E361" s="65" t="s">
        <v>31</v>
      </c>
      <c r="F361" s="65" t="s">
        <v>419</v>
      </c>
      <c r="G361" s="65" t="s">
        <v>420</v>
      </c>
      <c r="H361" s="65" t="s">
        <v>421</v>
      </c>
      <c r="I361" s="65" t="s">
        <v>411</v>
      </c>
      <c r="J361" s="65" t="s">
        <v>412</v>
      </c>
      <c r="K361" s="65" t="s">
        <v>37</v>
      </c>
      <c r="L361" s="65" t="s">
        <v>422</v>
      </c>
      <c r="M361" s="65" t="s">
        <v>423</v>
      </c>
      <c r="N361" s="65" t="s">
        <v>420</v>
      </c>
      <c r="O361" s="65" t="s">
        <v>424</v>
      </c>
      <c r="P361" s="65" t="s">
        <v>159</v>
      </c>
      <c r="Q361" s="65">
        <v>1</v>
      </c>
      <c r="R361" s="65" t="s">
        <v>70</v>
      </c>
      <c r="S361" s="65" t="s">
        <v>43</v>
      </c>
      <c r="T361" s="65" t="s">
        <v>44</v>
      </c>
      <c r="U361" s="65" t="s">
        <v>71</v>
      </c>
      <c r="V361" s="65" t="s">
        <v>72</v>
      </c>
      <c r="W361" s="65">
        <v>135.59</v>
      </c>
      <c r="X361" s="65" t="s">
        <v>47</v>
      </c>
      <c r="Y361" s="65" t="s">
        <v>48</v>
      </c>
      <c r="Z361" s="65" t="s">
        <v>73</v>
      </c>
      <c r="AA361" s="65">
        <v>982673362</v>
      </c>
      <c r="AB361" s="65" t="s">
        <v>416</v>
      </c>
    </row>
    <row r="362" spans="1:28" x14ac:dyDescent="0.3">
      <c r="A362" s="1">
        <v>46239</v>
      </c>
      <c r="B362" s="65" t="s">
        <v>634</v>
      </c>
      <c r="C362" s="65" t="s">
        <v>29</v>
      </c>
      <c r="D362" s="65" t="s">
        <v>635</v>
      </c>
      <c r="E362" s="65" t="s">
        <v>31</v>
      </c>
      <c r="F362" s="65" t="s">
        <v>636</v>
      </c>
      <c r="G362" s="65" t="s">
        <v>637</v>
      </c>
      <c r="H362" s="65" t="s">
        <v>638</v>
      </c>
      <c r="I362" s="65" t="s">
        <v>628</v>
      </c>
      <c r="J362" s="65" t="s">
        <v>629</v>
      </c>
      <c r="K362" s="65" t="s">
        <v>37</v>
      </c>
      <c r="L362" s="65" t="s">
        <v>639</v>
      </c>
      <c r="M362" s="65" t="s">
        <v>608</v>
      </c>
      <c r="N362" s="65" t="s">
        <v>637</v>
      </c>
      <c r="O362" s="65" t="s">
        <v>640</v>
      </c>
      <c r="P362" s="65" t="s">
        <v>641</v>
      </c>
      <c r="Q362" s="65">
        <v>1</v>
      </c>
      <c r="R362" s="65" t="s">
        <v>42</v>
      </c>
      <c r="S362" s="65" t="s">
        <v>44</v>
      </c>
      <c r="T362" s="65" t="s">
        <v>44</v>
      </c>
      <c r="U362" s="65" t="s">
        <v>45</v>
      </c>
      <c r="V362" s="65" t="s">
        <v>46</v>
      </c>
      <c r="W362" s="65">
        <v>84.75</v>
      </c>
      <c r="X362" s="65" t="s">
        <v>47</v>
      </c>
      <c r="Y362" s="65" t="s">
        <v>48</v>
      </c>
      <c r="Z362" s="65" t="s">
        <v>49</v>
      </c>
      <c r="AA362" s="65">
        <v>978789268</v>
      </c>
      <c r="AB362" s="65" t="s">
        <v>633</v>
      </c>
    </row>
    <row r="363" spans="1:28" x14ac:dyDescent="0.3">
      <c r="A363" s="1">
        <v>46239</v>
      </c>
      <c r="B363" s="65" t="s">
        <v>642</v>
      </c>
      <c r="C363" s="65" t="s">
        <v>29</v>
      </c>
      <c r="D363" s="65" t="s">
        <v>643</v>
      </c>
      <c r="E363" s="65" t="s">
        <v>31</v>
      </c>
      <c r="F363" s="65" t="s">
        <v>644</v>
      </c>
      <c r="G363" s="65" t="s">
        <v>637</v>
      </c>
      <c r="H363" s="65" t="s">
        <v>638</v>
      </c>
      <c r="I363" s="65" t="s">
        <v>628</v>
      </c>
      <c r="J363" s="65" t="s">
        <v>629</v>
      </c>
      <c r="K363" s="65" t="s">
        <v>37</v>
      </c>
      <c r="L363" s="65" t="s">
        <v>639</v>
      </c>
      <c r="M363" s="65" t="s">
        <v>608</v>
      </c>
      <c r="N363" s="65" t="s">
        <v>637</v>
      </c>
      <c r="O363" s="65" t="s">
        <v>645</v>
      </c>
      <c r="P363" s="65" t="s">
        <v>288</v>
      </c>
      <c r="Q363" s="65">
        <v>1</v>
      </c>
      <c r="R363" s="65" t="s">
        <v>42</v>
      </c>
      <c r="S363" s="65" t="s">
        <v>44</v>
      </c>
      <c r="T363" s="65" t="s">
        <v>44</v>
      </c>
      <c r="U363" s="65" t="s">
        <v>45</v>
      </c>
      <c r="V363" s="65" t="s">
        <v>46</v>
      </c>
      <c r="W363" s="65">
        <v>0</v>
      </c>
      <c r="X363" s="65" t="s">
        <v>289</v>
      </c>
      <c r="Y363" s="65" t="s">
        <v>48</v>
      </c>
      <c r="Z363" s="65" t="s">
        <v>49</v>
      </c>
      <c r="AA363" s="65">
        <v>978789268</v>
      </c>
      <c r="AB363" s="65" t="s">
        <v>633</v>
      </c>
    </row>
    <row r="364" spans="1:28" x14ac:dyDescent="0.3">
      <c r="A364" s="1">
        <v>46239</v>
      </c>
      <c r="B364" s="65" t="s">
        <v>642</v>
      </c>
      <c r="C364" s="65" t="s">
        <v>29</v>
      </c>
      <c r="D364" s="65" t="s">
        <v>643</v>
      </c>
      <c r="E364" s="65" t="s">
        <v>31</v>
      </c>
      <c r="F364" s="65" t="s">
        <v>644</v>
      </c>
      <c r="G364" s="65" t="s">
        <v>637</v>
      </c>
      <c r="H364" s="65" t="s">
        <v>638</v>
      </c>
      <c r="I364" s="65" t="s">
        <v>628</v>
      </c>
      <c r="J364" s="65" t="s">
        <v>629</v>
      </c>
      <c r="K364" s="65" t="s">
        <v>37</v>
      </c>
      <c r="L364" s="65" t="s">
        <v>639</v>
      </c>
      <c r="M364" s="65" t="s">
        <v>608</v>
      </c>
      <c r="N364" s="65" t="s">
        <v>637</v>
      </c>
      <c r="O364" s="65" t="s">
        <v>645</v>
      </c>
      <c r="P364" s="65" t="s">
        <v>290</v>
      </c>
      <c r="Q364" s="65">
        <v>1</v>
      </c>
      <c r="R364" s="65" t="s">
        <v>42</v>
      </c>
      <c r="S364" s="65" t="s">
        <v>44</v>
      </c>
      <c r="T364" s="65" t="s">
        <v>44</v>
      </c>
      <c r="U364" s="65" t="s">
        <v>45</v>
      </c>
      <c r="V364" s="65" t="s">
        <v>46</v>
      </c>
      <c r="W364" s="65">
        <v>1050.8499999999999</v>
      </c>
      <c r="X364" s="65" t="s">
        <v>289</v>
      </c>
      <c r="Y364" s="65" t="s">
        <v>48</v>
      </c>
      <c r="Z364" s="65" t="s">
        <v>49</v>
      </c>
      <c r="AA364" s="65">
        <v>978789268</v>
      </c>
      <c r="AB364" s="65" t="s">
        <v>633</v>
      </c>
    </row>
    <row r="365" spans="1:28" x14ac:dyDescent="0.3">
      <c r="A365" s="1">
        <v>46239</v>
      </c>
      <c r="B365" s="65" t="s">
        <v>381</v>
      </c>
      <c r="C365" s="65" t="s">
        <v>268</v>
      </c>
      <c r="D365" s="65" t="s">
        <v>382</v>
      </c>
      <c r="E365" s="65" t="s">
        <v>31</v>
      </c>
      <c r="F365" s="65" t="s">
        <v>383</v>
      </c>
      <c r="G365" s="65" t="s">
        <v>384</v>
      </c>
      <c r="H365" s="65" t="s">
        <v>385</v>
      </c>
      <c r="I365" s="65" t="s">
        <v>364</v>
      </c>
      <c r="J365" s="65" t="s">
        <v>365</v>
      </c>
      <c r="K365" s="65" t="s">
        <v>37</v>
      </c>
      <c r="L365" s="65" t="s">
        <v>386</v>
      </c>
      <c r="M365" s="65" t="s">
        <v>387</v>
      </c>
      <c r="N365" s="65" t="s">
        <v>368</v>
      </c>
      <c r="O365" s="65" t="s">
        <v>388</v>
      </c>
      <c r="P365" s="65" t="s">
        <v>288</v>
      </c>
      <c r="Q365" s="65">
        <v>1</v>
      </c>
      <c r="R365" s="65" t="s">
        <v>42</v>
      </c>
      <c r="S365" s="65" t="s">
        <v>44</v>
      </c>
      <c r="T365" s="65" t="s">
        <v>44</v>
      </c>
      <c r="U365" s="65" t="s">
        <v>45</v>
      </c>
      <c r="V365" s="65" t="s">
        <v>60</v>
      </c>
      <c r="W365" s="65">
        <v>0</v>
      </c>
      <c r="X365" s="65" t="s">
        <v>289</v>
      </c>
      <c r="Y365" s="65" t="s">
        <v>48</v>
      </c>
      <c r="Z365" s="65" t="s">
        <v>49</v>
      </c>
      <c r="AA365" s="65">
        <v>976922608</v>
      </c>
      <c r="AB365" s="65" t="s">
        <v>370</v>
      </c>
    </row>
    <row r="366" spans="1:28" x14ac:dyDescent="0.3">
      <c r="A366" s="1">
        <v>46239</v>
      </c>
      <c r="B366" s="65" t="s">
        <v>381</v>
      </c>
      <c r="C366" s="65" t="s">
        <v>268</v>
      </c>
      <c r="D366" s="65" t="s">
        <v>382</v>
      </c>
      <c r="E366" s="65" t="s">
        <v>31</v>
      </c>
      <c r="F366" s="65" t="s">
        <v>383</v>
      </c>
      <c r="G366" s="65" t="s">
        <v>384</v>
      </c>
      <c r="H366" s="65" t="s">
        <v>385</v>
      </c>
      <c r="I366" s="65" t="s">
        <v>364</v>
      </c>
      <c r="J366" s="65" t="s">
        <v>365</v>
      </c>
      <c r="K366" s="65" t="s">
        <v>37</v>
      </c>
      <c r="L366" s="65" t="s">
        <v>386</v>
      </c>
      <c r="M366" s="65" t="s">
        <v>387</v>
      </c>
      <c r="N366" s="65" t="s">
        <v>368</v>
      </c>
      <c r="O366" s="65" t="s">
        <v>388</v>
      </c>
      <c r="P366" s="65" t="s">
        <v>389</v>
      </c>
      <c r="Q366" s="65">
        <v>1</v>
      </c>
      <c r="R366" s="65" t="s">
        <v>42</v>
      </c>
      <c r="S366" s="65" t="s">
        <v>44</v>
      </c>
      <c r="T366" s="65" t="s">
        <v>44</v>
      </c>
      <c r="U366" s="65" t="s">
        <v>45</v>
      </c>
      <c r="V366" s="65" t="s">
        <v>60</v>
      </c>
      <c r="W366" s="65">
        <v>550.85</v>
      </c>
      <c r="X366" s="65" t="s">
        <v>289</v>
      </c>
      <c r="Y366" s="65" t="s">
        <v>48</v>
      </c>
      <c r="Z366" s="65" t="s">
        <v>49</v>
      </c>
      <c r="AA366" s="65">
        <v>976922608</v>
      </c>
      <c r="AB366" s="65" t="s">
        <v>370</v>
      </c>
    </row>
    <row r="367" spans="1:28" x14ac:dyDescent="0.3">
      <c r="A367" s="1">
        <v>46239</v>
      </c>
      <c r="B367" s="65" t="s">
        <v>390</v>
      </c>
      <c r="C367" s="65" t="s">
        <v>268</v>
      </c>
      <c r="D367" s="65" t="s">
        <v>391</v>
      </c>
      <c r="E367" s="65" t="s">
        <v>31</v>
      </c>
      <c r="F367" s="65" t="s">
        <v>392</v>
      </c>
      <c r="G367" s="65" t="s">
        <v>384</v>
      </c>
      <c r="H367" s="65" t="s">
        <v>385</v>
      </c>
      <c r="I367" s="65" t="s">
        <v>364</v>
      </c>
      <c r="J367" s="65" t="s">
        <v>365</v>
      </c>
      <c r="K367" s="65" t="s">
        <v>37</v>
      </c>
      <c r="L367" s="65" t="s">
        <v>386</v>
      </c>
      <c r="M367" s="65" t="s">
        <v>387</v>
      </c>
      <c r="N367" s="65" t="s">
        <v>368</v>
      </c>
      <c r="O367" s="65" t="s">
        <v>393</v>
      </c>
      <c r="P367" s="65" t="s">
        <v>130</v>
      </c>
      <c r="Q367" s="65">
        <v>1</v>
      </c>
      <c r="R367" s="65" t="s">
        <v>42</v>
      </c>
      <c r="S367" s="65" t="s">
        <v>44</v>
      </c>
      <c r="T367" s="65" t="s">
        <v>44</v>
      </c>
      <c r="U367" s="65" t="s">
        <v>45</v>
      </c>
      <c r="V367" s="65" t="s">
        <v>60</v>
      </c>
      <c r="W367" s="65">
        <v>152.54</v>
      </c>
      <c r="X367" s="65" t="s">
        <v>47</v>
      </c>
      <c r="Y367" s="65" t="s">
        <v>48</v>
      </c>
      <c r="Z367" s="65" t="s">
        <v>49</v>
      </c>
      <c r="AA367" s="65">
        <v>976922608</v>
      </c>
      <c r="AB367" s="65" t="s">
        <v>370</v>
      </c>
    </row>
    <row r="368" spans="1:28" x14ac:dyDescent="0.3">
      <c r="A368" s="1">
        <v>46239</v>
      </c>
      <c r="B368" s="65" t="s">
        <v>394</v>
      </c>
      <c r="C368" s="65" t="s">
        <v>29</v>
      </c>
      <c r="D368" s="65" t="s">
        <v>395</v>
      </c>
      <c r="E368" s="65" t="s">
        <v>31</v>
      </c>
      <c r="F368" s="65" t="s">
        <v>396</v>
      </c>
      <c r="G368" s="65" t="s">
        <v>384</v>
      </c>
      <c r="H368" s="65" t="s">
        <v>385</v>
      </c>
      <c r="I368" s="65" t="s">
        <v>364</v>
      </c>
      <c r="J368" s="65" t="s">
        <v>365</v>
      </c>
      <c r="K368" s="65" t="s">
        <v>37</v>
      </c>
      <c r="L368" s="65" t="s">
        <v>386</v>
      </c>
      <c r="M368" s="65" t="s">
        <v>387</v>
      </c>
      <c r="N368" s="65" t="s">
        <v>368</v>
      </c>
      <c r="O368" s="65" t="s">
        <v>397</v>
      </c>
      <c r="P368" s="65" t="s">
        <v>380</v>
      </c>
      <c r="Q368" s="65">
        <v>1</v>
      </c>
      <c r="R368" s="65" t="s">
        <v>42</v>
      </c>
      <c r="S368" s="65" t="s">
        <v>44</v>
      </c>
      <c r="T368" s="65" t="s">
        <v>44</v>
      </c>
      <c r="U368" s="65" t="s">
        <v>45</v>
      </c>
      <c r="V368" s="65" t="s">
        <v>60</v>
      </c>
      <c r="W368" s="65">
        <v>33.9</v>
      </c>
      <c r="X368" s="65" t="s">
        <v>47</v>
      </c>
      <c r="Y368" s="65" t="s">
        <v>48</v>
      </c>
      <c r="Z368" s="65" t="s">
        <v>49</v>
      </c>
      <c r="AA368" s="65">
        <v>976922608</v>
      </c>
      <c r="AB368" s="65" t="s">
        <v>370</v>
      </c>
    </row>
    <row r="369" spans="1:28" x14ac:dyDescent="0.3">
      <c r="A369" s="1">
        <v>46239</v>
      </c>
      <c r="B369" s="65" t="s">
        <v>398</v>
      </c>
      <c r="C369" s="65" t="s">
        <v>399</v>
      </c>
      <c r="D369" s="65" t="s">
        <v>395</v>
      </c>
      <c r="E369" s="65" t="s">
        <v>400</v>
      </c>
      <c r="F369" s="65" t="s">
        <v>401</v>
      </c>
      <c r="G369" s="65" t="s">
        <v>384</v>
      </c>
      <c r="H369" s="65" t="s">
        <v>385</v>
      </c>
      <c r="I369" s="65" t="s">
        <v>364</v>
      </c>
      <c r="J369" s="65" t="s">
        <v>365</v>
      </c>
      <c r="K369" s="65" t="s">
        <v>400</v>
      </c>
      <c r="L369" s="65" t="s">
        <v>386</v>
      </c>
      <c r="M369" s="65" t="s">
        <v>387</v>
      </c>
      <c r="N369" s="65" t="s">
        <v>368</v>
      </c>
      <c r="O369" s="65" t="s">
        <v>397</v>
      </c>
      <c r="P369" s="65" t="s">
        <v>380</v>
      </c>
      <c r="Q369" s="65">
        <v>1</v>
      </c>
      <c r="R369" s="65" t="s">
        <v>42</v>
      </c>
      <c r="S369" s="65" t="s">
        <v>44</v>
      </c>
      <c r="T369" s="65" t="s">
        <v>44</v>
      </c>
      <c r="U369" s="65" t="s">
        <v>45</v>
      </c>
      <c r="V369" s="65" t="s">
        <v>60</v>
      </c>
      <c r="W369" s="65">
        <v>-33.9</v>
      </c>
      <c r="X369" s="65" t="s">
        <v>47</v>
      </c>
      <c r="Y369" s="65" t="s">
        <v>48</v>
      </c>
      <c r="Z369" s="65" t="s">
        <v>49</v>
      </c>
      <c r="AA369" s="65">
        <v>976922608</v>
      </c>
      <c r="AB369" s="65" t="s">
        <v>370</v>
      </c>
    </row>
    <row r="370" spans="1:28" x14ac:dyDescent="0.3">
      <c r="A370" s="1">
        <v>46239</v>
      </c>
      <c r="B370" s="65" t="s">
        <v>402</v>
      </c>
      <c r="C370" s="65" t="s">
        <v>268</v>
      </c>
      <c r="D370" s="65" t="s">
        <v>403</v>
      </c>
      <c r="E370" s="65" t="s">
        <v>31</v>
      </c>
      <c r="F370" s="65" t="s">
        <v>404</v>
      </c>
      <c r="G370" s="65" t="s">
        <v>384</v>
      </c>
      <c r="H370" s="65" t="s">
        <v>385</v>
      </c>
      <c r="I370" s="65" t="s">
        <v>364</v>
      </c>
      <c r="J370" s="65" t="s">
        <v>365</v>
      </c>
      <c r="K370" s="65" t="s">
        <v>37</v>
      </c>
      <c r="L370" s="65" t="s">
        <v>386</v>
      </c>
      <c r="M370" s="65" t="s">
        <v>387</v>
      </c>
      <c r="N370" s="65" t="s">
        <v>368</v>
      </c>
      <c r="O370" s="65" t="s">
        <v>405</v>
      </c>
      <c r="P370" s="65" t="s">
        <v>380</v>
      </c>
      <c r="Q370" s="65">
        <v>1</v>
      </c>
      <c r="R370" s="65" t="s">
        <v>42</v>
      </c>
      <c r="S370" s="65" t="s">
        <v>44</v>
      </c>
      <c r="T370" s="65" t="s">
        <v>44</v>
      </c>
      <c r="U370" s="65" t="s">
        <v>45</v>
      </c>
      <c r="V370" s="65" t="s">
        <v>60</v>
      </c>
      <c r="W370" s="65">
        <v>33.9</v>
      </c>
      <c r="X370" s="65" t="s">
        <v>47</v>
      </c>
      <c r="Y370" s="65" t="s">
        <v>48</v>
      </c>
      <c r="Z370" s="65" t="s">
        <v>49</v>
      </c>
      <c r="AA370" s="65">
        <v>976922608</v>
      </c>
      <c r="AB370" s="65" t="s">
        <v>370</v>
      </c>
    </row>
    <row r="371" spans="1:28" x14ac:dyDescent="0.3">
      <c r="A371" s="1">
        <v>46239</v>
      </c>
      <c r="B371" s="65" t="s">
        <v>1494</v>
      </c>
      <c r="C371" s="65" t="s">
        <v>29</v>
      </c>
      <c r="D371" s="65" t="s">
        <v>1495</v>
      </c>
      <c r="E371" s="65" t="s">
        <v>31</v>
      </c>
      <c r="F371" s="65" t="s">
        <v>1496</v>
      </c>
      <c r="G371" s="65" t="s">
        <v>1497</v>
      </c>
      <c r="H371" s="65" t="s">
        <v>1498</v>
      </c>
      <c r="I371" s="65" t="s">
        <v>1490</v>
      </c>
      <c r="J371" s="65" t="s">
        <v>345</v>
      </c>
      <c r="K371" s="65" t="s">
        <v>37</v>
      </c>
      <c r="L371" s="65" t="s">
        <v>1499</v>
      </c>
      <c r="M371" s="65" t="s">
        <v>1500</v>
      </c>
      <c r="N371" s="65" t="s">
        <v>1497</v>
      </c>
      <c r="O371" s="65" t="s">
        <v>1501</v>
      </c>
      <c r="P371" s="65" t="s">
        <v>201</v>
      </c>
      <c r="Q371" s="65">
        <v>1</v>
      </c>
      <c r="R371" s="65" t="s">
        <v>42</v>
      </c>
      <c r="S371" s="65" t="s">
        <v>44</v>
      </c>
      <c r="T371" s="65" t="s">
        <v>44</v>
      </c>
      <c r="U371" s="65" t="s">
        <v>45</v>
      </c>
      <c r="V371" s="65" t="s">
        <v>46</v>
      </c>
      <c r="W371" s="65">
        <v>152.54</v>
      </c>
      <c r="X371" s="65" t="s">
        <v>47</v>
      </c>
      <c r="Y371" s="65" t="s">
        <v>48</v>
      </c>
      <c r="Z371" s="65" t="s">
        <v>49</v>
      </c>
      <c r="AA371" s="65">
        <v>975750204</v>
      </c>
      <c r="AB371" s="65"/>
    </row>
    <row r="372" spans="1:28" x14ac:dyDescent="0.3">
      <c r="A372" s="1">
        <v>46239</v>
      </c>
      <c r="B372" s="65" t="s">
        <v>602</v>
      </c>
      <c r="C372" s="65" t="s">
        <v>268</v>
      </c>
      <c r="D372" s="65" t="s">
        <v>603</v>
      </c>
      <c r="E372" s="65" t="s">
        <v>31</v>
      </c>
      <c r="F372" s="65" t="s">
        <v>604</v>
      </c>
      <c r="G372" s="65" t="s">
        <v>605</v>
      </c>
      <c r="H372" s="65" t="s">
        <v>606</v>
      </c>
      <c r="I372" s="65"/>
      <c r="J372" s="65"/>
      <c r="K372" s="65" t="s">
        <v>37</v>
      </c>
      <c r="L372" s="65" t="s">
        <v>607</v>
      </c>
      <c r="M372" s="65" t="s">
        <v>608</v>
      </c>
      <c r="N372" s="65" t="s">
        <v>277</v>
      </c>
      <c r="O372" s="65" t="s">
        <v>609</v>
      </c>
      <c r="P372" s="65" t="s">
        <v>213</v>
      </c>
      <c r="Q372" s="65">
        <v>1</v>
      </c>
      <c r="R372" s="65" t="s">
        <v>42</v>
      </c>
      <c r="S372" s="65" t="s">
        <v>44</v>
      </c>
      <c r="T372" s="65" t="s">
        <v>44</v>
      </c>
      <c r="U372" s="65" t="s">
        <v>45</v>
      </c>
      <c r="V372" s="65" t="s">
        <v>60</v>
      </c>
      <c r="W372" s="65">
        <v>254.24</v>
      </c>
      <c r="X372" s="65" t="s">
        <v>61</v>
      </c>
      <c r="Y372" s="65" t="s">
        <v>48</v>
      </c>
      <c r="Z372" s="65" t="s">
        <v>49</v>
      </c>
      <c r="AA372" s="65"/>
      <c r="AB372" s="65"/>
    </row>
    <row r="373" spans="1:28" x14ac:dyDescent="0.3">
      <c r="A373" s="1">
        <v>46239</v>
      </c>
      <c r="B373" s="65" t="s">
        <v>327</v>
      </c>
      <c r="C373" s="65" t="s">
        <v>268</v>
      </c>
      <c r="D373" s="65" t="s">
        <v>328</v>
      </c>
      <c r="E373" s="65" t="s">
        <v>31</v>
      </c>
      <c r="F373" s="65" t="s">
        <v>329</v>
      </c>
      <c r="G373" s="65" t="s">
        <v>330</v>
      </c>
      <c r="H373" s="65" t="s">
        <v>331</v>
      </c>
      <c r="I373" s="65" t="s">
        <v>273</v>
      </c>
      <c r="J373" s="65" t="s">
        <v>274</v>
      </c>
      <c r="K373" s="65" t="s">
        <v>37</v>
      </c>
      <c r="L373" s="65" t="s">
        <v>332</v>
      </c>
      <c r="M373" s="65" t="s">
        <v>333</v>
      </c>
      <c r="N373" s="65" t="s">
        <v>277</v>
      </c>
      <c r="O373" s="65" t="s">
        <v>334</v>
      </c>
      <c r="P373" s="65" t="s">
        <v>288</v>
      </c>
      <c r="Q373" s="65">
        <v>1</v>
      </c>
      <c r="R373" s="65" t="s">
        <v>42</v>
      </c>
      <c r="S373" s="65" t="s">
        <v>44</v>
      </c>
      <c r="T373" s="65" t="s">
        <v>44</v>
      </c>
      <c r="U373" s="65" t="s">
        <v>45</v>
      </c>
      <c r="V373" s="65" t="s">
        <v>46</v>
      </c>
      <c r="W373" s="65">
        <v>0</v>
      </c>
      <c r="X373" s="65" t="s">
        <v>289</v>
      </c>
      <c r="Y373" s="65" t="s">
        <v>48</v>
      </c>
      <c r="Z373" s="65" t="s">
        <v>49</v>
      </c>
      <c r="AA373" s="65">
        <v>950133748</v>
      </c>
      <c r="AB373" s="65" t="s">
        <v>279</v>
      </c>
    </row>
    <row r="374" spans="1:28" x14ac:dyDescent="0.3">
      <c r="A374" s="1">
        <v>46239</v>
      </c>
      <c r="B374" s="65" t="s">
        <v>327</v>
      </c>
      <c r="C374" s="65" t="s">
        <v>268</v>
      </c>
      <c r="D374" s="65" t="s">
        <v>328</v>
      </c>
      <c r="E374" s="65" t="s">
        <v>31</v>
      </c>
      <c r="F374" s="65" t="s">
        <v>329</v>
      </c>
      <c r="G374" s="65" t="s">
        <v>330</v>
      </c>
      <c r="H374" s="65" t="s">
        <v>331</v>
      </c>
      <c r="I374" s="65" t="s">
        <v>273</v>
      </c>
      <c r="J374" s="65" t="s">
        <v>274</v>
      </c>
      <c r="K374" s="65" t="s">
        <v>37</v>
      </c>
      <c r="L374" s="65" t="s">
        <v>332</v>
      </c>
      <c r="M374" s="65" t="s">
        <v>333</v>
      </c>
      <c r="N374" s="65" t="s">
        <v>277</v>
      </c>
      <c r="O374" s="65" t="s">
        <v>334</v>
      </c>
      <c r="P374" s="65" t="s">
        <v>290</v>
      </c>
      <c r="Q374" s="65">
        <v>1</v>
      </c>
      <c r="R374" s="65" t="s">
        <v>42</v>
      </c>
      <c r="S374" s="65" t="s">
        <v>44</v>
      </c>
      <c r="T374" s="65" t="s">
        <v>44</v>
      </c>
      <c r="U374" s="65" t="s">
        <v>45</v>
      </c>
      <c r="V374" s="65" t="s">
        <v>46</v>
      </c>
      <c r="W374" s="65">
        <v>1050.8499999999999</v>
      </c>
      <c r="X374" s="65" t="s">
        <v>289</v>
      </c>
      <c r="Y374" s="65" t="s">
        <v>48</v>
      </c>
      <c r="Z374" s="65" t="s">
        <v>49</v>
      </c>
      <c r="AA374" s="65">
        <v>950133748</v>
      </c>
      <c r="AB374" s="65" t="s">
        <v>279</v>
      </c>
    </row>
    <row r="375" spans="1:28" x14ac:dyDescent="0.3">
      <c r="A375" s="1">
        <v>46239</v>
      </c>
      <c r="B375" s="65" t="s">
        <v>335</v>
      </c>
      <c r="C375" s="65" t="s">
        <v>268</v>
      </c>
      <c r="D375" s="65" t="s">
        <v>336</v>
      </c>
      <c r="E375" s="65" t="s">
        <v>31</v>
      </c>
      <c r="F375" s="65" t="s">
        <v>337</v>
      </c>
      <c r="G375" s="65" t="s">
        <v>330</v>
      </c>
      <c r="H375" s="65" t="s">
        <v>331</v>
      </c>
      <c r="I375" s="65" t="s">
        <v>273</v>
      </c>
      <c r="J375" s="65" t="s">
        <v>274</v>
      </c>
      <c r="K375" s="65" t="s">
        <v>37</v>
      </c>
      <c r="L375" s="65" t="s">
        <v>332</v>
      </c>
      <c r="M375" s="65" t="s">
        <v>333</v>
      </c>
      <c r="N375" s="65" t="s">
        <v>277</v>
      </c>
      <c r="O375" s="65" t="s">
        <v>338</v>
      </c>
      <c r="P375" s="65" t="s">
        <v>201</v>
      </c>
      <c r="Q375" s="65">
        <v>1</v>
      </c>
      <c r="R375" s="65" t="s">
        <v>42</v>
      </c>
      <c r="S375" s="65" t="s">
        <v>44</v>
      </c>
      <c r="T375" s="65" t="s">
        <v>44</v>
      </c>
      <c r="U375" s="65" t="s">
        <v>45</v>
      </c>
      <c r="V375" s="65" t="s">
        <v>60</v>
      </c>
      <c r="W375" s="65">
        <v>152.54</v>
      </c>
      <c r="X375" s="65" t="s">
        <v>47</v>
      </c>
      <c r="Y375" s="65" t="s">
        <v>48</v>
      </c>
      <c r="Z375" s="65" t="s">
        <v>49</v>
      </c>
      <c r="AA375" s="65">
        <v>950133748</v>
      </c>
      <c r="AB375" s="65" t="s">
        <v>279</v>
      </c>
    </row>
    <row r="376" spans="1:28" x14ac:dyDescent="0.3">
      <c r="A376" s="1">
        <v>46239</v>
      </c>
      <c r="B376" s="65" t="s">
        <v>1227</v>
      </c>
      <c r="C376" s="65" t="s">
        <v>29</v>
      </c>
      <c r="D376" s="65" t="s">
        <v>1228</v>
      </c>
      <c r="E376" s="65" t="s">
        <v>31</v>
      </c>
      <c r="F376" s="65" t="s">
        <v>1229</v>
      </c>
      <c r="G376" s="65" t="s">
        <v>1230</v>
      </c>
      <c r="H376" s="65" t="s">
        <v>1231</v>
      </c>
      <c r="I376" s="65" t="s">
        <v>1232</v>
      </c>
      <c r="J376" s="65" t="s">
        <v>209</v>
      </c>
      <c r="K376" s="65" t="s">
        <v>37</v>
      </c>
      <c r="L376" s="65" t="s">
        <v>1233</v>
      </c>
      <c r="M376" s="65" t="s">
        <v>1234</v>
      </c>
      <c r="N376" s="65" t="s">
        <v>1230</v>
      </c>
      <c r="O376" s="65" t="s">
        <v>1235</v>
      </c>
      <c r="P376" s="65" t="s">
        <v>159</v>
      </c>
      <c r="Q376" s="65">
        <v>1</v>
      </c>
      <c r="R376" s="65" t="s">
        <v>42</v>
      </c>
      <c r="S376" s="65" t="s">
        <v>44</v>
      </c>
      <c r="T376" s="65" t="s">
        <v>44</v>
      </c>
      <c r="U376" s="65" t="s">
        <v>45</v>
      </c>
      <c r="V376" s="65" t="s">
        <v>60</v>
      </c>
      <c r="W376" s="65">
        <v>135.59</v>
      </c>
      <c r="X376" s="65" t="s">
        <v>47</v>
      </c>
      <c r="Y376" s="65" t="s">
        <v>48</v>
      </c>
      <c r="Z376" s="65" t="s">
        <v>49</v>
      </c>
      <c r="AA376" s="65"/>
      <c r="AB376" s="65" t="s">
        <v>1236</v>
      </c>
    </row>
    <row r="377" spans="1:28" x14ac:dyDescent="0.3">
      <c r="A377" s="1">
        <v>46239</v>
      </c>
      <c r="B377" s="65" t="s">
        <v>1475</v>
      </c>
      <c r="C377" s="65" t="s">
        <v>268</v>
      </c>
      <c r="D377" s="65" t="s">
        <v>1476</v>
      </c>
      <c r="E377" s="65" t="s">
        <v>31</v>
      </c>
      <c r="F377" s="65" t="s">
        <v>1477</v>
      </c>
      <c r="G377" s="65" t="s">
        <v>1478</v>
      </c>
      <c r="H377" s="65" t="s">
        <v>1479</v>
      </c>
      <c r="I377" s="65" t="s">
        <v>1480</v>
      </c>
      <c r="J377" s="65" t="s">
        <v>1481</v>
      </c>
      <c r="K377" s="65" t="s">
        <v>37</v>
      </c>
      <c r="L377" s="65" t="s">
        <v>1482</v>
      </c>
      <c r="M377" s="65" t="s">
        <v>608</v>
      </c>
      <c r="N377" s="65" t="s">
        <v>1483</v>
      </c>
      <c r="O377" s="65" t="s">
        <v>1484</v>
      </c>
      <c r="P377" s="65" t="s">
        <v>288</v>
      </c>
      <c r="Q377" s="65">
        <v>1</v>
      </c>
      <c r="R377" s="65" t="s">
        <v>42</v>
      </c>
      <c r="S377" s="65" t="s">
        <v>44</v>
      </c>
      <c r="T377" s="65" t="s">
        <v>44</v>
      </c>
      <c r="U377" s="65" t="s">
        <v>45</v>
      </c>
      <c r="V377" s="65" t="s">
        <v>60</v>
      </c>
      <c r="W377" s="65">
        <v>0</v>
      </c>
      <c r="X377" s="65" t="s">
        <v>289</v>
      </c>
      <c r="Y377" s="65" t="s">
        <v>48</v>
      </c>
      <c r="Z377" s="65" t="s">
        <v>49</v>
      </c>
      <c r="AA377" s="65"/>
      <c r="AB377" s="65"/>
    </row>
    <row r="378" spans="1:28" x14ac:dyDescent="0.3">
      <c r="A378" s="1">
        <v>46239</v>
      </c>
      <c r="B378" s="65" t="s">
        <v>1475</v>
      </c>
      <c r="C378" s="65" t="s">
        <v>268</v>
      </c>
      <c r="D378" s="65" t="s">
        <v>1476</v>
      </c>
      <c r="E378" s="65" t="s">
        <v>31</v>
      </c>
      <c r="F378" s="65" t="s">
        <v>1477</v>
      </c>
      <c r="G378" s="65" t="s">
        <v>1478</v>
      </c>
      <c r="H378" s="65" t="s">
        <v>1479</v>
      </c>
      <c r="I378" s="65" t="s">
        <v>1480</v>
      </c>
      <c r="J378" s="65" t="s">
        <v>1481</v>
      </c>
      <c r="K378" s="65" t="s">
        <v>37</v>
      </c>
      <c r="L378" s="65" t="s">
        <v>1482</v>
      </c>
      <c r="M378" s="65" t="s">
        <v>608</v>
      </c>
      <c r="N378" s="65" t="s">
        <v>1483</v>
      </c>
      <c r="O378" s="65" t="s">
        <v>1484</v>
      </c>
      <c r="P378" s="65" t="s">
        <v>1254</v>
      </c>
      <c r="Q378" s="65">
        <v>1</v>
      </c>
      <c r="R378" s="65" t="s">
        <v>42</v>
      </c>
      <c r="S378" s="65" t="s">
        <v>44</v>
      </c>
      <c r="T378" s="65" t="s">
        <v>44</v>
      </c>
      <c r="U378" s="65" t="s">
        <v>45</v>
      </c>
      <c r="V378" s="65" t="s">
        <v>60</v>
      </c>
      <c r="W378" s="65">
        <v>563.55999999999995</v>
      </c>
      <c r="X378" s="65" t="s">
        <v>289</v>
      </c>
      <c r="Y378" s="65" t="s">
        <v>48</v>
      </c>
      <c r="Z378" s="65" t="s">
        <v>49</v>
      </c>
      <c r="AA378" s="65"/>
      <c r="AB378" s="65"/>
    </row>
    <row r="379" spans="1:28" x14ac:dyDescent="0.3">
      <c r="A379" s="1">
        <v>46241</v>
      </c>
      <c r="B379" s="65" t="s">
        <v>1189</v>
      </c>
      <c r="C379" s="65" t="s">
        <v>29</v>
      </c>
      <c r="D379" s="65" t="s">
        <v>1190</v>
      </c>
      <c r="E379" s="65" t="s">
        <v>31</v>
      </c>
      <c r="F379" s="65" t="s">
        <v>1191</v>
      </c>
      <c r="G379" s="65" t="s">
        <v>1192</v>
      </c>
      <c r="H379" s="65" t="s">
        <v>1193</v>
      </c>
      <c r="I379" s="65" t="s">
        <v>1184</v>
      </c>
      <c r="J379" s="65" t="s">
        <v>209</v>
      </c>
      <c r="K379" s="65" t="s">
        <v>37</v>
      </c>
      <c r="L379" s="65" t="s">
        <v>1194</v>
      </c>
      <c r="M379" s="65" t="s">
        <v>1195</v>
      </c>
      <c r="N379" s="65" t="s">
        <v>1192</v>
      </c>
      <c r="O379" s="65" t="s">
        <v>1196</v>
      </c>
      <c r="P379" s="65" t="s">
        <v>90</v>
      </c>
      <c r="Q379" s="65">
        <v>1</v>
      </c>
      <c r="R379" s="65" t="s">
        <v>42</v>
      </c>
      <c r="S379" s="65" t="s">
        <v>44</v>
      </c>
      <c r="T379" s="65" t="s">
        <v>44</v>
      </c>
      <c r="U379" s="65" t="s">
        <v>45</v>
      </c>
      <c r="V379" s="65" t="s">
        <v>60</v>
      </c>
      <c r="W379" s="65">
        <v>135.59</v>
      </c>
      <c r="X379" s="65" t="s">
        <v>47</v>
      </c>
      <c r="Y379" s="65" t="s">
        <v>48</v>
      </c>
      <c r="Z379" s="65" t="s">
        <v>49</v>
      </c>
      <c r="AA379" s="65">
        <v>981227454</v>
      </c>
      <c r="AB379" s="65" t="s">
        <v>1188</v>
      </c>
    </row>
    <row r="380" spans="1:28" x14ac:dyDescent="0.3">
      <c r="A380" s="1">
        <v>46241</v>
      </c>
      <c r="B380" s="65" t="s">
        <v>1502</v>
      </c>
      <c r="C380" s="65" t="s">
        <v>29</v>
      </c>
      <c r="D380" s="65" t="s">
        <v>1503</v>
      </c>
      <c r="E380" s="65" t="s">
        <v>31</v>
      </c>
      <c r="F380" s="65" t="s">
        <v>1504</v>
      </c>
      <c r="G380" s="65" t="s">
        <v>1505</v>
      </c>
      <c r="H380" s="65" t="s">
        <v>1506</v>
      </c>
      <c r="I380" s="65" t="s">
        <v>2739</v>
      </c>
      <c r="J380" s="65" t="s">
        <v>209</v>
      </c>
      <c r="K380" s="65" t="s">
        <v>37</v>
      </c>
      <c r="L380" s="65" t="s">
        <v>1508</v>
      </c>
      <c r="M380" s="65" t="s">
        <v>1509</v>
      </c>
      <c r="N380" s="65" t="s">
        <v>1505</v>
      </c>
      <c r="O380" s="65" t="s">
        <v>1510</v>
      </c>
      <c r="P380" s="65" t="s">
        <v>202</v>
      </c>
      <c r="Q380" s="65">
        <v>1</v>
      </c>
      <c r="R380" s="65" t="s">
        <v>42</v>
      </c>
      <c r="S380" s="65" t="s">
        <v>44</v>
      </c>
      <c r="T380" s="65" t="s">
        <v>44</v>
      </c>
      <c r="U380" s="65" t="s">
        <v>45</v>
      </c>
      <c r="V380" s="65" t="s">
        <v>60</v>
      </c>
      <c r="W380" s="65">
        <v>135.59</v>
      </c>
      <c r="X380" s="65" t="s">
        <v>47</v>
      </c>
      <c r="Y380" s="65" t="s">
        <v>48</v>
      </c>
      <c r="Z380" s="65" t="s">
        <v>49</v>
      </c>
      <c r="AA380" s="65"/>
      <c r="AB380" s="65"/>
    </row>
    <row r="381" spans="1:28" x14ac:dyDescent="0.3">
      <c r="A381" s="1">
        <v>46241</v>
      </c>
      <c r="B381" s="65" t="s">
        <v>1344</v>
      </c>
      <c r="C381" s="65" t="s">
        <v>29</v>
      </c>
      <c r="D381" s="65" t="s">
        <v>1345</v>
      </c>
      <c r="E381" s="65" t="s">
        <v>31</v>
      </c>
      <c r="F381" s="65" t="s">
        <v>1346</v>
      </c>
      <c r="G381" s="65" t="s">
        <v>1347</v>
      </c>
      <c r="H381" s="65" t="s">
        <v>1348</v>
      </c>
      <c r="I381" s="65" t="s">
        <v>1349</v>
      </c>
      <c r="J381" s="65" t="s">
        <v>209</v>
      </c>
      <c r="K381" s="65" t="s">
        <v>37</v>
      </c>
      <c r="L381" s="65" t="s">
        <v>1350</v>
      </c>
      <c r="M381" s="65" t="s">
        <v>1351</v>
      </c>
      <c r="N381" s="65" t="s">
        <v>1347</v>
      </c>
      <c r="O381" s="65" t="s">
        <v>1352</v>
      </c>
      <c r="P381" s="65" t="s">
        <v>130</v>
      </c>
      <c r="Q381" s="65">
        <v>1</v>
      </c>
      <c r="R381" s="65" t="s">
        <v>42</v>
      </c>
      <c r="S381" s="65" t="s">
        <v>44</v>
      </c>
      <c r="T381" s="65" t="s">
        <v>44</v>
      </c>
      <c r="U381" s="65" t="s">
        <v>45</v>
      </c>
      <c r="V381" s="65" t="s">
        <v>60</v>
      </c>
      <c r="W381" s="65">
        <v>152.54</v>
      </c>
      <c r="X381" s="65" t="s">
        <v>47</v>
      </c>
      <c r="Y381" s="65" t="s">
        <v>48</v>
      </c>
      <c r="Z381" s="65" t="s">
        <v>49</v>
      </c>
      <c r="AA381" s="65">
        <v>980030101</v>
      </c>
      <c r="AB381" s="65" t="s">
        <v>1353</v>
      </c>
    </row>
    <row r="382" spans="1:28" x14ac:dyDescent="0.3">
      <c r="A382" s="1">
        <v>46241</v>
      </c>
      <c r="B382" s="65" t="s">
        <v>1041</v>
      </c>
      <c r="C382" s="65" t="s">
        <v>29</v>
      </c>
      <c r="D382" s="65" t="s">
        <v>1042</v>
      </c>
      <c r="E382" s="65" t="s">
        <v>31</v>
      </c>
      <c r="F382" s="65" t="s">
        <v>1043</v>
      </c>
      <c r="G382" s="65" t="s">
        <v>1044</v>
      </c>
      <c r="H382" s="65" t="s">
        <v>1045</v>
      </c>
      <c r="I382" s="65" t="s">
        <v>774</v>
      </c>
      <c r="J382" s="65" t="s">
        <v>775</v>
      </c>
      <c r="K382" s="65" t="s">
        <v>37</v>
      </c>
      <c r="L382" s="65" t="s">
        <v>1046</v>
      </c>
      <c r="M382" s="65" t="s">
        <v>1047</v>
      </c>
      <c r="N382" s="65" t="s">
        <v>1044</v>
      </c>
      <c r="O382" s="65" t="s">
        <v>1048</v>
      </c>
      <c r="P382" s="65" t="s">
        <v>90</v>
      </c>
      <c r="Q382" s="65">
        <v>1</v>
      </c>
      <c r="R382" s="65" t="s">
        <v>42</v>
      </c>
      <c r="S382" s="65" t="s">
        <v>44</v>
      </c>
      <c r="T382" s="65" t="s">
        <v>44</v>
      </c>
      <c r="U382" s="65" t="s">
        <v>45</v>
      </c>
      <c r="V382" s="65" t="s">
        <v>60</v>
      </c>
      <c r="W382" s="65">
        <v>135.59</v>
      </c>
      <c r="X382" s="65" t="s">
        <v>47</v>
      </c>
      <c r="Y382" s="65" t="s">
        <v>48</v>
      </c>
      <c r="Z382" s="65" t="s">
        <v>49</v>
      </c>
      <c r="AA382" s="65"/>
      <c r="AB382" s="65"/>
    </row>
    <row r="383" spans="1:28" x14ac:dyDescent="0.3">
      <c r="A383" s="1">
        <v>46241</v>
      </c>
      <c r="B383" s="65" t="s">
        <v>1511</v>
      </c>
      <c r="C383" s="65" t="s">
        <v>29</v>
      </c>
      <c r="D383" s="65" t="s">
        <v>1512</v>
      </c>
      <c r="E383" s="65" t="s">
        <v>31</v>
      </c>
      <c r="F383" s="65" t="s">
        <v>1513</v>
      </c>
      <c r="G383" s="65" t="s">
        <v>1514</v>
      </c>
      <c r="H383" s="65" t="s">
        <v>1515</v>
      </c>
      <c r="I383" s="65" t="s">
        <v>1516</v>
      </c>
      <c r="J383" s="65" t="s">
        <v>629</v>
      </c>
      <c r="K383" s="65" t="s">
        <v>37</v>
      </c>
      <c r="L383" s="65" t="s">
        <v>1517</v>
      </c>
      <c r="M383" s="65" t="s">
        <v>1518</v>
      </c>
      <c r="N383" s="65" t="s">
        <v>1514</v>
      </c>
      <c r="O383" s="65" t="s">
        <v>1519</v>
      </c>
      <c r="P383" s="65" t="s">
        <v>481</v>
      </c>
      <c r="Q383" s="65">
        <v>2</v>
      </c>
      <c r="R383" s="65" t="s">
        <v>42</v>
      </c>
      <c r="S383" s="65" t="s">
        <v>44</v>
      </c>
      <c r="T383" s="65" t="s">
        <v>44</v>
      </c>
      <c r="U383" s="65" t="s">
        <v>45</v>
      </c>
      <c r="V383" s="65" t="s">
        <v>46</v>
      </c>
      <c r="W383" s="65">
        <v>203.39</v>
      </c>
      <c r="X383" s="65" t="s">
        <v>61</v>
      </c>
      <c r="Y383" s="65" t="s">
        <v>48</v>
      </c>
      <c r="Z383" s="65" t="s">
        <v>49</v>
      </c>
      <c r="AA383" s="65">
        <v>947422476</v>
      </c>
      <c r="AB383" s="65"/>
    </row>
    <row r="384" spans="1:28" x14ac:dyDescent="0.3">
      <c r="A384" s="1">
        <v>46241</v>
      </c>
      <c r="B384" s="65" t="s">
        <v>1363</v>
      </c>
      <c r="C384" s="65" t="s">
        <v>29</v>
      </c>
      <c r="D384" s="65" t="s">
        <v>1364</v>
      </c>
      <c r="E384" s="65" t="s">
        <v>31</v>
      </c>
      <c r="F384" s="65" t="s">
        <v>1365</v>
      </c>
      <c r="G384" s="65" t="s">
        <v>1366</v>
      </c>
      <c r="H384" s="65" t="s">
        <v>1367</v>
      </c>
      <c r="I384" s="65" t="s">
        <v>1368</v>
      </c>
      <c r="J384" s="65" t="s">
        <v>629</v>
      </c>
      <c r="K384" s="65" t="s">
        <v>37</v>
      </c>
      <c r="L384" s="65" t="s">
        <v>1369</v>
      </c>
      <c r="M384" s="65" t="s">
        <v>1370</v>
      </c>
      <c r="N384" s="65" t="s">
        <v>1366</v>
      </c>
      <c r="O384" s="65" t="s">
        <v>1371</v>
      </c>
      <c r="P384" s="65" t="s">
        <v>159</v>
      </c>
      <c r="Q384" s="65">
        <v>1</v>
      </c>
      <c r="R384" s="65" t="s">
        <v>42</v>
      </c>
      <c r="S384" s="65" t="s">
        <v>44</v>
      </c>
      <c r="T384" s="65" t="s">
        <v>44</v>
      </c>
      <c r="U384" s="65" t="s">
        <v>45</v>
      </c>
      <c r="V384" s="65" t="s">
        <v>60</v>
      </c>
      <c r="W384" s="65">
        <v>135.59</v>
      </c>
      <c r="X384" s="65" t="s">
        <v>47</v>
      </c>
      <c r="Y384" s="65" t="s">
        <v>48</v>
      </c>
      <c r="Z384" s="65" t="s">
        <v>49</v>
      </c>
      <c r="AA384" s="65">
        <v>994336842</v>
      </c>
      <c r="AB384" s="65"/>
    </row>
    <row r="385" spans="1:28" x14ac:dyDescent="0.3">
      <c r="A385" s="1">
        <v>46242</v>
      </c>
      <c r="B385" s="65" t="s">
        <v>425</v>
      </c>
      <c r="C385" s="65" t="s">
        <v>29</v>
      </c>
      <c r="D385" s="65" t="s">
        <v>426</v>
      </c>
      <c r="E385" s="65" t="s">
        <v>31</v>
      </c>
      <c r="F385" s="65" t="s">
        <v>427</v>
      </c>
      <c r="G385" s="65" t="s">
        <v>409</v>
      </c>
      <c r="H385" s="65" t="s">
        <v>410</v>
      </c>
      <c r="I385" s="65" t="s">
        <v>411</v>
      </c>
      <c r="J385" s="65" t="s">
        <v>412</v>
      </c>
      <c r="K385" s="65" t="s">
        <v>37</v>
      </c>
      <c r="L385" s="65" t="s">
        <v>413</v>
      </c>
      <c r="M385" s="65" t="s">
        <v>414</v>
      </c>
      <c r="N385" s="65" t="s">
        <v>409</v>
      </c>
      <c r="O385" s="65" t="s">
        <v>428</v>
      </c>
      <c r="P385" s="65" t="s">
        <v>41</v>
      </c>
      <c r="Q385" s="65">
        <v>1</v>
      </c>
      <c r="R385" s="65" t="s">
        <v>42</v>
      </c>
      <c r="S385" s="65" t="s">
        <v>44</v>
      </c>
      <c r="T385" s="65" t="s">
        <v>44</v>
      </c>
      <c r="U385" s="65" t="s">
        <v>45</v>
      </c>
      <c r="V385" s="65" t="s">
        <v>60</v>
      </c>
      <c r="W385" s="65">
        <v>186.44</v>
      </c>
      <c r="X385" s="65" t="s">
        <v>47</v>
      </c>
      <c r="Y385" s="65" t="s">
        <v>48</v>
      </c>
      <c r="Z385" s="65" t="s">
        <v>49</v>
      </c>
      <c r="AA385" s="65">
        <v>982673362</v>
      </c>
      <c r="AB385" s="65" t="s">
        <v>416</v>
      </c>
    </row>
    <row r="386" spans="1:28" x14ac:dyDescent="0.3">
      <c r="A386" s="1">
        <v>46242</v>
      </c>
      <c r="B386" s="65" t="s">
        <v>425</v>
      </c>
      <c r="C386" s="65" t="s">
        <v>29</v>
      </c>
      <c r="D386" s="65" t="s">
        <v>426</v>
      </c>
      <c r="E386" s="65" t="s">
        <v>31</v>
      </c>
      <c r="F386" s="65" t="s">
        <v>427</v>
      </c>
      <c r="G386" s="65" t="s">
        <v>409</v>
      </c>
      <c r="H386" s="65" t="s">
        <v>410</v>
      </c>
      <c r="I386" s="65" t="s">
        <v>411</v>
      </c>
      <c r="J386" s="65" t="s">
        <v>412</v>
      </c>
      <c r="K386" s="65" t="s">
        <v>37</v>
      </c>
      <c r="L386" s="65" t="s">
        <v>413</v>
      </c>
      <c r="M386" s="65" t="s">
        <v>414</v>
      </c>
      <c r="N386" s="65" t="s">
        <v>409</v>
      </c>
      <c r="O386" s="65" t="s">
        <v>428</v>
      </c>
      <c r="P386" s="65" t="s">
        <v>101</v>
      </c>
      <c r="Q386" s="65">
        <v>1</v>
      </c>
      <c r="R386" s="65" t="s">
        <v>42</v>
      </c>
      <c r="S386" s="65" t="s">
        <v>44</v>
      </c>
      <c r="T386" s="65" t="s">
        <v>44</v>
      </c>
      <c r="U386" s="65" t="s">
        <v>45</v>
      </c>
      <c r="V386" s="65" t="s">
        <v>60</v>
      </c>
      <c r="W386" s="65">
        <v>186.44</v>
      </c>
      <c r="X386" s="65" t="s">
        <v>47</v>
      </c>
      <c r="Y386" s="65" t="s">
        <v>48</v>
      </c>
      <c r="Z386" s="65" t="s">
        <v>49</v>
      </c>
      <c r="AA386" s="65">
        <v>982673362</v>
      </c>
      <c r="AB386" s="65" t="s">
        <v>416</v>
      </c>
    </row>
    <row r="387" spans="1:28" x14ac:dyDescent="0.3">
      <c r="A387" s="1">
        <v>46242</v>
      </c>
      <c r="B387" s="65" t="s">
        <v>1170</v>
      </c>
      <c r="C387" s="65" t="s">
        <v>29</v>
      </c>
      <c r="D387" s="65" t="s">
        <v>1171</v>
      </c>
      <c r="E387" s="65" t="s">
        <v>31</v>
      </c>
      <c r="F387" s="65" t="s">
        <v>1172</v>
      </c>
      <c r="G387" s="65" t="s">
        <v>1173</v>
      </c>
      <c r="H387" s="65" t="s">
        <v>1174</v>
      </c>
      <c r="I387" s="65" t="s">
        <v>1164</v>
      </c>
      <c r="J387" s="65" t="s">
        <v>1165</v>
      </c>
      <c r="K387" s="65" t="s">
        <v>37</v>
      </c>
      <c r="L387" s="65" t="s">
        <v>1175</v>
      </c>
      <c r="M387" s="65" t="s">
        <v>1176</v>
      </c>
      <c r="N387" s="65" t="s">
        <v>1173</v>
      </c>
      <c r="O387" s="65" t="s">
        <v>1177</v>
      </c>
      <c r="P387" s="65" t="s">
        <v>1178</v>
      </c>
      <c r="Q387" s="65">
        <v>1</v>
      </c>
      <c r="R387" s="65" t="s">
        <v>42</v>
      </c>
      <c r="S387" s="65" t="s">
        <v>44</v>
      </c>
      <c r="T387" s="65" t="s">
        <v>44</v>
      </c>
      <c r="U387" s="65" t="s">
        <v>45</v>
      </c>
      <c r="V387" s="65" t="s">
        <v>60</v>
      </c>
      <c r="W387" s="65">
        <v>186.44</v>
      </c>
      <c r="X387" s="65" t="s">
        <v>47</v>
      </c>
      <c r="Y387" s="65" t="s">
        <v>48</v>
      </c>
      <c r="Z387" s="65" t="s">
        <v>49</v>
      </c>
      <c r="AA387" s="65">
        <v>978548687</v>
      </c>
      <c r="AB387" s="65" t="s">
        <v>1169</v>
      </c>
    </row>
    <row r="388" spans="1:28" x14ac:dyDescent="0.3">
      <c r="A388" s="1">
        <v>46244</v>
      </c>
      <c r="B388" s="65" t="s">
        <v>691</v>
      </c>
      <c r="C388" s="65" t="s">
        <v>29</v>
      </c>
      <c r="D388" s="65" t="s">
        <v>692</v>
      </c>
      <c r="E388" s="65" t="s">
        <v>31</v>
      </c>
      <c r="F388" s="65" t="s">
        <v>693</v>
      </c>
      <c r="G388" s="65" t="s">
        <v>694</v>
      </c>
      <c r="H388" s="65" t="s">
        <v>695</v>
      </c>
      <c r="I388" s="65" t="s">
        <v>662</v>
      </c>
      <c r="J388" s="65" t="s">
        <v>36</v>
      </c>
      <c r="K388" s="65" t="s">
        <v>37</v>
      </c>
      <c r="L388" s="65" t="s">
        <v>696</v>
      </c>
      <c r="M388" s="65" t="s">
        <v>697</v>
      </c>
      <c r="N388" s="65" t="s">
        <v>694</v>
      </c>
      <c r="O388" s="65" t="s">
        <v>698</v>
      </c>
      <c r="P388" s="65" t="s">
        <v>201</v>
      </c>
      <c r="Q388" s="65">
        <v>1</v>
      </c>
      <c r="R388" s="65" t="s">
        <v>42</v>
      </c>
      <c r="S388" s="65" t="s">
        <v>44</v>
      </c>
      <c r="T388" s="65" t="s">
        <v>44</v>
      </c>
      <c r="U388" s="65" t="s">
        <v>45</v>
      </c>
      <c r="V388" s="65" t="s">
        <v>60</v>
      </c>
      <c r="W388" s="65">
        <v>152.54</v>
      </c>
      <c r="X388" s="65" t="s">
        <v>47</v>
      </c>
      <c r="Y388" s="65" t="s">
        <v>48</v>
      </c>
      <c r="Z388" s="65" t="s">
        <v>49</v>
      </c>
      <c r="AA388" s="65">
        <v>997145685</v>
      </c>
      <c r="AB388" s="65" t="s">
        <v>666</v>
      </c>
    </row>
    <row r="389" spans="1:28" x14ac:dyDescent="0.3">
      <c r="A389" s="1">
        <v>46244</v>
      </c>
      <c r="B389" s="65" t="s">
        <v>464</v>
      </c>
      <c r="C389" s="65" t="s">
        <v>29</v>
      </c>
      <c r="D389" s="65" t="s">
        <v>465</v>
      </c>
      <c r="E389" s="65" t="s">
        <v>31</v>
      </c>
      <c r="F389" s="65" t="s">
        <v>466</v>
      </c>
      <c r="G389" s="65" t="s">
        <v>467</v>
      </c>
      <c r="H389" s="65" t="s">
        <v>468</v>
      </c>
      <c r="I389" s="65" t="s">
        <v>434</v>
      </c>
      <c r="J389" s="65" t="s">
        <v>435</v>
      </c>
      <c r="K389" s="65" t="s">
        <v>37</v>
      </c>
      <c r="L389" s="65" t="s">
        <v>469</v>
      </c>
      <c r="M389" s="65" t="s">
        <v>470</v>
      </c>
      <c r="N389" s="65" t="s">
        <v>467</v>
      </c>
      <c r="O389" s="65" t="s">
        <v>471</v>
      </c>
      <c r="P389" s="65" t="s">
        <v>90</v>
      </c>
      <c r="Q389" s="65">
        <v>1</v>
      </c>
      <c r="R389" s="65" t="s">
        <v>70</v>
      </c>
      <c r="S389" s="65" t="s">
        <v>43</v>
      </c>
      <c r="T389" s="65" t="s">
        <v>44</v>
      </c>
      <c r="U389" s="65" t="s">
        <v>71</v>
      </c>
      <c r="V389" s="65" t="s">
        <v>72</v>
      </c>
      <c r="W389" s="65">
        <v>135.59</v>
      </c>
      <c r="X389" s="65" t="s">
        <v>47</v>
      </c>
      <c r="Y389" s="65" t="s">
        <v>48</v>
      </c>
      <c r="Z389" s="65" t="s">
        <v>73</v>
      </c>
      <c r="AA389" s="65">
        <v>992903716</v>
      </c>
      <c r="AB389" s="65" t="s">
        <v>439</v>
      </c>
    </row>
    <row r="390" spans="1:28" x14ac:dyDescent="0.3">
      <c r="A390" s="1">
        <v>46244</v>
      </c>
      <c r="B390" s="65" t="s">
        <v>1295</v>
      </c>
      <c r="C390" s="65" t="s">
        <v>268</v>
      </c>
      <c r="D390" s="65" t="s">
        <v>1296</v>
      </c>
      <c r="E390" s="65" t="s">
        <v>31</v>
      </c>
      <c r="F390" s="65" t="s">
        <v>1297</v>
      </c>
      <c r="G390" s="65" t="s">
        <v>1298</v>
      </c>
      <c r="H390" s="65" t="s">
        <v>1299</v>
      </c>
      <c r="I390" s="65" t="s">
        <v>1300</v>
      </c>
      <c r="J390" s="65" t="s">
        <v>365</v>
      </c>
      <c r="K390" s="65" t="s">
        <v>37</v>
      </c>
      <c r="L390" s="65" t="s">
        <v>1301</v>
      </c>
      <c r="M390" s="65" t="s">
        <v>1302</v>
      </c>
      <c r="N390" s="65" t="s">
        <v>1303</v>
      </c>
      <c r="O390" s="65" t="s">
        <v>1304</v>
      </c>
      <c r="P390" s="65" t="s">
        <v>90</v>
      </c>
      <c r="Q390" s="65">
        <v>1</v>
      </c>
      <c r="R390" s="65" t="s">
        <v>42</v>
      </c>
      <c r="S390" s="65" t="s">
        <v>44</v>
      </c>
      <c r="T390" s="65" t="s">
        <v>44</v>
      </c>
      <c r="U390" s="65" t="s">
        <v>45</v>
      </c>
      <c r="V390" s="65" t="s">
        <v>46</v>
      </c>
      <c r="W390" s="65">
        <v>135.59</v>
      </c>
      <c r="X390" s="65" t="s">
        <v>47</v>
      </c>
      <c r="Y390" s="65" t="s">
        <v>48</v>
      </c>
      <c r="Z390" s="65" t="s">
        <v>49</v>
      </c>
      <c r="AA390" s="65">
        <v>980702810</v>
      </c>
      <c r="AB390" s="65" t="s">
        <v>1305</v>
      </c>
    </row>
    <row r="391" spans="1:28" x14ac:dyDescent="0.3">
      <c r="A391" s="1">
        <v>46244</v>
      </c>
      <c r="B391" s="65" t="s">
        <v>1237</v>
      </c>
      <c r="C391" s="65" t="s">
        <v>29</v>
      </c>
      <c r="D391" s="65" t="s">
        <v>1238</v>
      </c>
      <c r="E391" s="65" t="s">
        <v>31</v>
      </c>
      <c r="F391" s="65" t="s">
        <v>1239</v>
      </c>
      <c r="G391" s="65" t="s">
        <v>1240</v>
      </c>
      <c r="H391" s="65" t="s">
        <v>1241</v>
      </c>
      <c r="I391" s="65" t="s">
        <v>1232</v>
      </c>
      <c r="J391" s="65" t="s">
        <v>209</v>
      </c>
      <c r="K391" s="65" t="s">
        <v>37</v>
      </c>
      <c r="L391" s="65" t="s">
        <v>1242</v>
      </c>
      <c r="M391" s="65" t="s">
        <v>1243</v>
      </c>
      <c r="N391" s="65" t="s">
        <v>1240</v>
      </c>
      <c r="O391" s="65" t="s">
        <v>1244</v>
      </c>
      <c r="P391" s="65" t="s">
        <v>41</v>
      </c>
      <c r="Q391" s="65">
        <v>1</v>
      </c>
      <c r="R391" s="65" t="s">
        <v>42</v>
      </c>
      <c r="S391" s="65" t="s">
        <v>44</v>
      </c>
      <c r="T391" s="65" t="s">
        <v>44</v>
      </c>
      <c r="U391" s="65" t="s">
        <v>45</v>
      </c>
      <c r="V391" s="65" t="s">
        <v>60</v>
      </c>
      <c r="W391" s="65">
        <v>169.49</v>
      </c>
      <c r="X391" s="65" t="s">
        <v>47</v>
      </c>
      <c r="Y391" s="65" t="s">
        <v>48</v>
      </c>
      <c r="Z391" s="65" t="s">
        <v>49</v>
      </c>
      <c r="AA391" s="65"/>
      <c r="AB391" s="65" t="s">
        <v>1236</v>
      </c>
    </row>
    <row r="392" spans="1:28" x14ac:dyDescent="0.3">
      <c r="A392" s="1">
        <v>46244</v>
      </c>
      <c r="B392" s="65" t="s">
        <v>1276</v>
      </c>
      <c r="C392" s="65" t="s">
        <v>29</v>
      </c>
      <c r="D392" s="65" t="s">
        <v>1277</v>
      </c>
      <c r="E392" s="65" t="s">
        <v>31</v>
      </c>
      <c r="F392" s="65" t="s">
        <v>1278</v>
      </c>
      <c r="G392" s="65" t="s">
        <v>1279</v>
      </c>
      <c r="H392" s="65" t="s">
        <v>1280</v>
      </c>
      <c r="I392" s="65" t="s">
        <v>1281</v>
      </c>
      <c r="J392" s="65" t="s">
        <v>1098</v>
      </c>
      <c r="K392" s="65" t="s">
        <v>37</v>
      </c>
      <c r="L392" s="65" t="s">
        <v>1282</v>
      </c>
      <c r="M392" s="65" t="s">
        <v>1283</v>
      </c>
      <c r="N392" s="65" t="s">
        <v>1279</v>
      </c>
      <c r="O392" s="65" t="s">
        <v>1284</v>
      </c>
      <c r="P392" s="65" t="s">
        <v>159</v>
      </c>
      <c r="Q392" s="65">
        <v>1</v>
      </c>
      <c r="R392" s="65" t="s">
        <v>42</v>
      </c>
      <c r="S392" s="65" t="s">
        <v>44</v>
      </c>
      <c r="T392" s="65" t="s">
        <v>44</v>
      </c>
      <c r="U392" s="65" t="s">
        <v>531</v>
      </c>
      <c r="V392" s="65" t="s">
        <v>1285</v>
      </c>
      <c r="W392" s="65">
        <v>135.59</v>
      </c>
      <c r="X392" s="65" t="s">
        <v>47</v>
      </c>
      <c r="Y392" s="65" t="s">
        <v>48</v>
      </c>
      <c r="Z392" s="65" t="s">
        <v>534</v>
      </c>
      <c r="AA392" s="65">
        <v>983837511</v>
      </c>
      <c r="AB392" s="65" t="s">
        <v>1286</v>
      </c>
    </row>
    <row r="393" spans="1:28" x14ac:dyDescent="0.3">
      <c r="A393" s="1">
        <v>46245</v>
      </c>
      <c r="B393" s="65" t="s">
        <v>610</v>
      </c>
      <c r="C393" s="65" t="s">
        <v>29</v>
      </c>
      <c r="D393" s="65" t="s">
        <v>611</v>
      </c>
      <c r="E393" s="65" t="s">
        <v>31</v>
      </c>
      <c r="F393" s="65" t="s">
        <v>612</v>
      </c>
      <c r="G393" s="65" t="s">
        <v>613</v>
      </c>
      <c r="H393" s="65" t="s">
        <v>614</v>
      </c>
      <c r="I393" s="65"/>
      <c r="J393" s="65"/>
      <c r="K393" s="65" t="s">
        <v>37</v>
      </c>
      <c r="L393" s="65" t="s">
        <v>615</v>
      </c>
      <c r="M393" s="65" t="s">
        <v>616</v>
      </c>
      <c r="N393" s="65" t="s">
        <v>613</v>
      </c>
      <c r="O393" s="65" t="s">
        <v>617</v>
      </c>
      <c r="P393" s="65" t="s">
        <v>618</v>
      </c>
      <c r="Q393" s="65">
        <v>1</v>
      </c>
      <c r="R393" s="65" t="s">
        <v>42</v>
      </c>
      <c r="S393" s="65" t="s">
        <v>44</v>
      </c>
      <c r="T393" s="65" t="s">
        <v>44</v>
      </c>
      <c r="U393" s="65" t="s">
        <v>45</v>
      </c>
      <c r="V393" s="65" t="s">
        <v>46</v>
      </c>
      <c r="W393" s="65">
        <v>12.71</v>
      </c>
      <c r="X393" s="65" t="s">
        <v>619</v>
      </c>
      <c r="Y393" s="65" t="s">
        <v>48</v>
      </c>
      <c r="Z393" s="65" t="s">
        <v>49</v>
      </c>
      <c r="AA393" s="65"/>
      <c r="AB393" s="65"/>
    </row>
    <row r="394" spans="1:28" x14ac:dyDescent="0.3">
      <c r="A394" s="1">
        <v>46245</v>
      </c>
      <c r="B394" s="65" t="s">
        <v>610</v>
      </c>
      <c r="C394" s="65" t="s">
        <v>29</v>
      </c>
      <c r="D394" s="65" t="s">
        <v>611</v>
      </c>
      <c r="E394" s="65" t="s">
        <v>31</v>
      </c>
      <c r="F394" s="65" t="s">
        <v>612</v>
      </c>
      <c r="G394" s="65" t="s">
        <v>613</v>
      </c>
      <c r="H394" s="65" t="s">
        <v>614</v>
      </c>
      <c r="I394" s="65"/>
      <c r="J394" s="65"/>
      <c r="K394" s="65" t="s">
        <v>37</v>
      </c>
      <c r="L394" s="65" t="s">
        <v>615</v>
      </c>
      <c r="M394" s="65" t="s">
        <v>616</v>
      </c>
      <c r="N394" s="65" t="s">
        <v>613</v>
      </c>
      <c r="O394" s="65" t="s">
        <v>617</v>
      </c>
      <c r="P394" s="65" t="s">
        <v>620</v>
      </c>
      <c r="Q394" s="65">
        <v>1</v>
      </c>
      <c r="R394" s="65" t="s">
        <v>42</v>
      </c>
      <c r="S394" s="65" t="s">
        <v>44</v>
      </c>
      <c r="T394" s="65" t="s">
        <v>44</v>
      </c>
      <c r="U394" s="65" t="s">
        <v>45</v>
      </c>
      <c r="V394" s="65" t="s">
        <v>46</v>
      </c>
      <c r="W394" s="65">
        <v>21.19</v>
      </c>
      <c r="X394" s="65" t="s">
        <v>619</v>
      </c>
      <c r="Y394" s="65" t="s">
        <v>48</v>
      </c>
      <c r="Z394" s="65" t="s">
        <v>49</v>
      </c>
      <c r="AA394" s="65"/>
      <c r="AB394" s="65"/>
    </row>
    <row r="395" spans="1:28" x14ac:dyDescent="0.3">
      <c r="A395" s="1">
        <v>46245</v>
      </c>
      <c r="B395" s="65" t="s">
        <v>610</v>
      </c>
      <c r="C395" s="65" t="s">
        <v>29</v>
      </c>
      <c r="D395" s="65" t="s">
        <v>611</v>
      </c>
      <c r="E395" s="65" t="s">
        <v>31</v>
      </c>
      <c r="F395" s="65" t="s">
        <v>612</v>
      </c>
      <c r="G395" s="65" t="s">
        <v>613</v>
      </c>
      <c r="H395" s="65" t="s">
        <v>614</v>
      </c>
      <c r="I395" s="65"/>
      <c r="J395" s="65"/>
      <c r="K395" s="65" t="s">
        <v>37</v>
      </c>
      <c r="L395" s="65" t="s">
        <v>615</v>
      </c>
      <c r="M395" s="65" t="s">
        <v>616</v>
      </c>
      <c r="N395" s="65" t="s">
        <v>613</v>
      </c>
      <c r="O395" s="65" t="s">
        <v>617</v>
      </c>
      <c r="P395" s="65" t="s">
        <v>621</v>
      </c>
      <c r="Q395" s="65">
        <v>1</v>
      </c>
      <c r="R395" s="65" t="s">
        <v>42</v>
      </c>
      <c r="S395" s="65" t="s">
        <v>44</v>
      </c>
      <c r="T395" s="65" t="s">
        <v>44</v>
      </c>
      <c r="U395" s="65" t="s">
        <v>45</v>
      </c>
      <c r="V395" s="65" t="s">
        <v>46</v>
      </c>
      <c r="W395" s="65">
        <v>12.71</v>
      </c>
      <c r="X395" s="65" t="s">
        <v>619</v>
      </c>
      <c r="Y395" s="65" t="s">
        <v>48</v>
      </c>
      <c r="Z395" s="65" t="s">
        <v>49</v>
      </c>
      <c r="AA395" s="65"/>
      <c r="AB395" s="65"/>
    </row>
    <row r="396" spans="1:28" x14ac:dyDescent="0.3">
      <c r="A396" s="1">
        <v>46245</v>
      </c>
      <c r="B396" s="65" t="s">
        <v>610</v>
      </c>
      <c r="C396" s="65" t="s">
        <v>29</v>
      </c>
      <c r="D396" s="65" t="s">
        <v>611</v>
      </c>
      <c r="E396" s="65" t="s">
        <v>31</v>
      </c>
      <c r="F396" s="65" t="s">
        <v>612</v>
      </c>
      <c r="G396" s="65" t="s">
        <v>613</v>
      </c>
      <c r="H396" s="65" t="s">
        <v>614</v>
      </c>
      <c r="I396" s="65"/>
      <c r="J396" s="65"/>
      <c r="K396" s="65" t="s">
        <v>37</v>
      </c>
      <c r="L396" s="65" t="s">
        <v>615</v>
      </c>
      <c r="M396" s="65" t="s">
        <v>616</v>
      </c>
      <c r="N396" s="65" t="s">
        <v>613</v>
      </c>
      <c r="O396" s="65" t="s">
        <v>617</v>
      </c>
      <c r="P396" s="65" t="s">
        <v>622</v>
      </c>
      <c r="Q396" s="65">
        <v>1</v>
      </c>
      <c r="R396" s="65" t="s">
        <v>42</v>
      </c>
      <c r="S396" s="65" t="s">
        <v>44</v>
      </c>
      <c r="T396" s="65" t="s">
        <v>44</v>
      </c>
      <c r="U396" s="65" t="s">
        <v>45</v>
      </c>
      <c r="V396" s="65" t="s">
        <v>46</v>
      </c>
      <c r="W396" s="65">
        <v>12.71</v>
      </c>
      <c r="X396" s="65" t="s">
        <v>619</v>
      </c>
      <c r="Y396" s="65" t="s">
        <v>48</v>
      </c>
      <c r="Z396" s="65" t="s">
        <v>49</v>
      </c>
      <c r="AA396" s="65"/>
      <c r="AB396" s="65"/>
    </row>
    <row r="397" spans="1:28" x14ac:dyDescent="0.3">
      <c r="A397" s="1">
        <v>46245</v>
      </c>
      <c r="B397" s="65" t="s">
        <v>610</v>
      </c>
      <c r="C397" s="65" t="s">
        <v>29</v>
      </c>
      <c r="D397" s="65" t="s">
        <v>611</v>
      </c>
      <c r="E397" s="65" t="s">
        <v>31</v>
      </c>
      <c r="F397" s="65" t="s">
        <v>612</v>
      </c>
      <c r="G397" s="65" t="s">
        <v>613</v>
      </c>
      <c r="H397" s="65" t="s">
        <v>614</v>
      </c>
      <c r="I397" s="65"/>
      <c r="J397" s="65"/>
      <c r="K397" s="65" t="s">
        <v>37</v>
      </c>
      <c r="L397" s="65" t="s">
        <v>615</v>
      </c>
      <c r="M397" s="65" t="s">
        <v>616</v>
      </c>
      <c r="N397" s="65" t="s">
        <v>613</v>
      </c>
      <c r="O397" s="65" t="s">
        <v>617</v>
      </c>
      <c r="P397" s="65" t="s">
        <v>833</v>
      </c>
      <c r="Q397" s="65">
        <v>1</v>
      </c>
      <c r="R397" s="65" t="s">
        <v>42</v>
      </c>
      <c r="S397" s="65" t="s">
        <v>44</v>
      </c>
      <c r="T397" s="65" t="s">
        <v>44</v>
      </c>
      <c r="U397" s="65" t="s">
        <v>45</v>
      </c>
      <c r="V397" s="65" t="s">
        <v>46</v>
      </c>
      <c r="W397" s="65">
        <v>50.85</v>
      </c>
      <c r="X397" s="65" t="s">
        <v>619</v>
      </c>
      <c r="Y397" s="65" t="s">
        <v>48</v>
      </c>
      <c r="Z397" s="65" t="s">
        <v>49</v>
      </c>
      <c r="AA397" s="65"/>
      <c r="AB397" s="65"/>
    </row>
    <row r="398" spans="1:28" x14ac:dyDescent="0.3">
      <c r="A398" s="1">
        <v>46245</v>
      </c>
      <c r="B398" s="65" t="s">
        <v>1520</v>
      </c>
      <c r="C398" s="65" t="s">
        <v>29</v>
      </c>
      <c r="D398" s="65" t="s">
        <v>1521</v>
      </c>
      <c r="E398" s="65" t="s">
        <v>31</v>
      </c>
      <c r="F398" s="65" t="s">
        <v>1522</v>
      </c>
      <c r="G398" s="65" t="s">
        <v>613</v>
      </c>
      <c r="H398" s="65" t="s">
        <v>614</v>
      </c>
      <c r="I398" s="65"/>
      <c r="J398" s="65"/>
      <c r="K398" s="65" t="s">
        <v>37</v>
      </c>
      <c r="L398" s="65" t="s">
        <v>615</v>
      </c>
      <c r="M398" s="65" t="s">
        <v>616</v>
      </c>
      <c r="N398" s="65" t="s">
        <v>613</v>
      </c>
      <c r="O398" s="65" t="s">
        <v>1523</v>
      </c>
      <c r="P398" s="65" t="s">
        <v>828</v>
      </c>
      <c r="Q398" s="65">
        <v>1</v>
      </c>
      <c r="R398" s="65" t="s">
        <v>42</v>
      </c>
      <c r="S398" s="65" t="s">
        <v>44</v>
      </c>
      <c r="T398" s="65" t="s">
        <v>44</v>
      </c>
      <c r="U398" s="65" t="s">
        <v>45</v>
      </c>
      <c r="V398" s="65" t="s">
        <v>46</v>
      </c>
      <c r="W398" s="65">
        <v>127.12</v>
      </c>
      <c r="X398" s="65" t="s">
        <v>47</v>
      </c>
      <c r="Y398" s="65" t="s">
        <v>48</v>
      </c>
      <c r="Z398" s="65" t="s">
        <v>49</v>
      </c>
      <c r="AA398" s="65"/>
      <c r="AB398" s="65"/>
    </row>
    <row r="399" spans="1:28" x14ac:dyDescent="0.3">
      <c r="A399" s="1">
        <v>46245</v>
      </c>
      <c r="B399" s="65" t="s">
        <v>1524</v>
      </c>
      <c r="C399" s="65" t="s">
        <v>29</v>
      </c>
      <c r="D399" s="65" t="s">
        <v>1525</v>
      </c>
      <c r="E399" s="65" t="s">
        <v>31</v>
      </c>
      <c r="F399" s="65" t="s">
        <v>1526</v>
      </c>
      <c r="G399" s="65" t="s">
        <v>613</v>
      </c>
      <c r="H399" s="65" t="s">
        <v>614</v>
      </c>
      <c r="I399" s="65"/>
      <c r="J399" s="65"/>
      <c r="K399" s="65" t="s">
        <v>37</v>
      </c>
      <c r="L399" s="65" t="s">
        <v>615</v>
      </c>
      <c r="M399" s="65" t="s">
        <v>616</v>
      </c>
      <c r="N399" s="65" t="s">
        <v>613</v>
      </c>
      <c r="O399" s="65" t="s">
        <v>1527</v>
      </c>
      <c r="P399" s="65" t="s">
        <v>641</v>
      </c>
      <c r="Q399" s="65">
        <v>1</v>
      </c>
      <c r="R399" s="65" t="s">
        <v>42</v>
      </c>
      <c r="S399" s="65" t="s">
        <v>44</v>
      </c>
      <c r="T399" s="65" t="s">
        <v>44</v>
      </c>
      <c r="U399" s="65" t="s">
        <v>45</v>
      </c>
      <c r="V399" s="65" t="s">
        <v>46</v>
      </c>
      <c r="W399" s="65">
        <v>84.75</v>
      </c>
      <c r="X399" s="65" t="s">
        <v>47</v>
      </c>
      <c r="Y399" s="65" t="s">
        <v>48</v>
      </c>
      <c r="Z399" s="65" t="s">
        <v>49</v>
      </c>
      <c r="AA399" s="65"/>
      <c r="AB399" s="65"/>
    </row>
    <row r="400" spans="1:28" x14ac:dyDescent="0.3">
      <c r="A400" s="1">
        <v>46245</v>
      </c>
      <c r="B400" s="65" t="s">
        <v>1528</v>
      </c>
      <c r="C400" s="65" t="s">
        <v>29</v>
      </c>
      <c r="D400" s="65" t="s">
        <v>1529</v>
      </c>
      <c r="E400" s="65" t="s">
        <v>31</v>
      </c>
      <c r="F400" s="65" t="s">
        <v>1530</v>
      </c>
      <c r="G400" s="65" t="s">
        <v>1531</v>
      </c>
      <c r="H400" s="65" t="s">
        <v>1532</v>
      </c>
      <c r="I400" s="65" t="s">
        <v>1073</v>
      </c>
      <c r="J400" s="65" t="s">
        <v>97</v>
      </c>
      <c r="K400" s="65" t="s">
        <v>37</v>
      </c>
      <c r="L400" s="65" t="s">
        <v>1533</v>
      </c>
      <c r="M400" s="65" t="s">
        <v>1534</v>
      </c>
      <c r="N400" s="65" t="s">
        <v>1531</v>
      </c>
      <c r="O400" s="65" t="s">
        <v>1535</v>
      </c>
      <c r="P400" s="65" t="s">
        <v>201</v>
      </c>
      <c r="Q400" s="65">
        <v>1</v>
      </c>
      <c r="R400" s="65" t="s">
        <v>42</v>
      </c>
      <c r="S400" s="65" t="s">
        <v>44</v>
      </c>
      <c r="T400" s="65" t="s">
        <v>44</v>
      </c>
      <c r="U400" s="65" t="s">
        <v>45</v>
      </c>
      <c r="V400" s="65" t="s">
        <v>60</v>
      </c>
      <c r="W400" s="65">
        <v>152.54</v>
      </c>
      <c r="X400" s="65" t="s">
        <v>47</v>
      </c>
      <c r="Y400" s="65" t="s">
        <v>48</v>
      </c>
      <c r="Z400" s="65" t="s">
        <v>49</v>
      </c>
      <c r="AA400" s="65">
        <v>999986041</v>
      </c>
      <c r="AB400" s="65" t="s">
        <v>1077</v>
      </c>
    </row>
    <row r="401" spans="1:28" x14ac:dyDescent="0.3">
      <c r="A401" s="1">
        <v>46245</v>
      </c>
      <c r="B401" s="65" t="s">
        <v>1528</v>
      </c>
      <c r="C401" s="65" t="s">
        <v>29</v>
      </c>
      <c r="D401" s="65" t="s">
        <v>1529</v>
      </c>
      <c r="E401" s="65" t="s">
        <v>31</v>
      </c>
      <c r="F401" s="65" t="s">
        <v>1530</v>
      </c>
      <c r="G401" s="65" t="s">
        <v>1531</v>
      </c>
      <c r="H401" s="65" t="s">
        <v>1532</v>
      </c>
      <c r="I401" s="65" t="s">
        <v>1073</v>
      </c>
      <c r="J401" s="65" t="s">
        <v>97</v>
      </c>
      <c r="K401" s="65" t="s">
        <v>37</v>
      </c>
      <c r="L401" s="65" t="s">
        <v>1533</v>
      </c>
      <c r="M401" s="65" t="s">
        <v>1534</v>
      </c>
      <c r="N401" s="65" t="s">
        <v>1531</v>
      </c>
      <c r="O401" s="65" t="s">
        <v>1535</v>
      </c>
      <c r="P401" s="65" t="s">
        <v>202</v>
      </c>
      <c r="Q401" s="65">
        <v>1</v>
      </c>
      <c r="R401" s="65" t="s">
        <v>42</v>
      </c>
      <c r="S401" s="65" t="s">
        <v>44</v>
      </c>
      <c r="T401" s="65" t="s">
        <v>44</v>
      </c>
      <c r="U401" s="65" t="s">
        <v>45</v>
      </c>
      <c r="V401" s="65" t="s">
        <v>60</v>
      </c>
      <c r="W401" s="65">
        <v>135.59</v>
      </c>
      <c r="X401" s="65" t="s">
        <v>47</v>
      </c>
      <c r="Y401" s="65" t="s">
        <v>48</v>
      </c>
      <c r="Z401" s="65" t="s">
        <v>49</v>
      </c>
      <c r="AA401" s="65">
        <v>999986041</v>
      </c>
      <c r="AB401" s="65" t="s">
        <v>1077</v>
      </c>
    </row>
    <row r="402" spans="1:28" x14ac:dyDescent="0.3">
      <c r="A402" s="1">
        <v>46245</v>
      </c>
      <c r="B402" s="65" t="s">
        <v>1536</v>
      </c>
      <c r="C402" s="65" t="s">
        <v>29</v>
      </c>
      <c r="D402" s="65" t="s">
        <v>1537</v>
      </c>
      <c r="E402" s="65" t="s">
        <v>31</v>
      </c>
      <c r="F402" s="65" t="s">
        <v>1538</v>
      </c>
      <c r="G402" s="65" t="s">
        <v>1539</v>
      </c>
      <c r="H402" s="65" t="s">
        <v>1540</v>
      </c>
      <c r="I402" s="65" t="s">
        <v>1541</v>
      </c>
      <c r="J402" s="65" t="s">
        <v>1542</v>
      </c>
      <c r="K402" s="65" t="s">
        <v>37</v>
      </c>
      <c r="L402" s="65" t="s">
        <v>1543</v>
      </c>
      <c r="M402" s="65" t="s">
        <v>1544</v>
      </c>
      <c r="N402" s="65" t="s">
        <v>1539</v>
      </c>
      <c r="O402" s="65" t="s">
        <v>1545</v>
      </c>
      <c r="P402" s="65" t="s">
        <v>159</v>
      </c>
      <c r="Q402" s="65">
        <v>1</v>
      </c>
      <c r="R402" s="65" t="s">
        <v>42</v>
      </c>
      <c r="S402" s="65" t="s">
        <v>44</v>
      </c>
      <c r="T402" s="65" t="s">
        <v>44</v>
      </c>
      <c r="U402" s="65" t="s">
        <v>45</v>
      </c>
      <c r="V402" s="65" t="s">
        <v>60</v>
      </c>
      <c r="W402" s="65">
        <v>135.59</v>
      </c>
      <c r="X402" s="65" t="s">
        <v>47</v>
      </c>
      <c r="Y402" s="65" t="s">
        <v>48</v>
      </c>
      <c r="Z402" s="65" t="s">
        <v>49</v>
      </c>
      <c r="AA402" s="65">
        <v>990080724</v>
      </c>
      <c r="AB402" s="65" t="s">
        <v>1546</v>
      </c>
    </row>
    <row r="403" spans="1:28" x14ac:dyDescent="0.3">
      <c r="A403" s="1">
        <v>46245</v>
      </c>
      <c r="B403" s="65" t="s">
        <v>1536</v>
      </c>
      <c r="C403" s="65" t="s">
        <v>29</v>
      </c>
      <c r="D403" s="65" t="s">
        <v>1537</v>
      </c>
      <c r="E403" s="65" t="s">
        <v>31</v>
      </c>
      <c r="F403" s="65" t="s">
        <v>1538</v>
      </c>
      <c r="G403" s="65" t="s">
        <v>1539</v>
      </c>
      <c r="H403" s="65" t="s">
        <v>1540</v>
      </c>
      <c r="I403" s="65" t="s">
        <v>1541</v>
      </c>
      <c r="J403" s="65" t="s">
        <v>1542</v>
      </c>
      <c r="K403" s="65" t="s">
        <v>37</v>
      </c>
      <c r="L403" s="65" t="s">
        <v>1543</v>
      </c>
      <c r="M403" s="65" t="s">
        <v>1544</v>
      </c>
      <c r="N403" s="65" t="s">
        <v>1539</v>
      </c>
      <c r="O403" s="65" t="s">
        <v>1545</v>
      </c>
      <c r="P403" s="65" t="s">
        <v>158</v>
      </c>
      <c r="Q403" s="65">
        <v>1</v>
      </c>
      <c r="R403" s="65" t="s">
        <v>42</v>
      </c>
      <c r="S403" s="65" t="s">
        <v>44</v>
      </c>
      <c r="T403" s="65" t="s">
        <v>44</v>
      </c>
      <c r="U403" s="65" t="s">
        <v>45</v>
      </c>
      <c r="V403" s="65" t="s">
        <v>60</v>
      </c>
      <c r="W403" s="65">
        <v>152.54</v>
      </c>
      <c r="X403" s="65" t="s">
        <v>47</v>
      </c>
      <c r="Y403" s="65" t="s">
        <v>48</v>
      </c>
      <c r="Z403" s="65" t="s">
        <v>49</v>
      </c>
      <c r="AA403" s="65">
        <v>990080724</v>
      </c>
      <c r="AB403" s="65" t="s">
        <v>1546</v>
      </c>
    </row>
    <row r="404" spans="1:28" x14ac:dyDescent="0.3">
      <c r="A404" s="1">
        <v>46245</v>
      </c>
      <c r="B404" s="65" t="s">
        <v>1547</v>
      </c>
      <c r="C404" s="65" t="s">
        <v>29</v>
      </c>
      <c r="D404" s="65" t="s">
        <v>1548</v>
      </c>
      <c r="E404" s="65" t="s">
        <v>31</v>
      </c>
      <c r="F404" s="65" t="s">
        <v>1549</v>
      </c>
      <c r="G404" s="65" t="s">
        <v>1550</v>
      </c>
      <c r="H404" s="65" t="s">
        <v>1551</v>
      </c>
      <c r="I404" s="65" t="s">
        <v>715</v>
      </c>
      <c r="J404" s="65" t="s">
        <v>716</v>
      </c>
      <c r="K404" s="65" t="s">
        <v>37</v>
      </c>
      <c r="L404" s="65" t="s">
        <v>1552</v>
      </c>
      <c r="M404" s="65" t="s">
        <v>1553</v>
      </c>
      <c r="N404" s="65" t="s">
        <v>1550</v>
      </c>
      <c r="O404" s="65" t="s">
        <v>1554</v>
      </c>
      <c r="P404" s="65" t="s">
        <v>41</v>
      </c>
      <c r="Q404" s="65">
        <v>1</v>
      </c>
      <c r="R404" s="65" t="s">
        <v>70</v>
      </c>
      <c r="S404" s="65" t="s">
        <v>43</v>
      </c>
      <c r="T404" s="65" t="s">
        <v>44</v>
      </c>
      <c r="U404" s="65" t="s">
        <v>71</v>
      </c>
      <c r="V404" s="65" t="s">
        <v>72</v>
      </c>
      <c r="W404" s="65">
        <v>186.44</v>
      </c>
      <c r="X404" s="65" t="s">
        <v>47</v>
      </c>
      <c r="Y404" s="65" t="s">
        <v>48</v>
      </c>
      <c r="Z404" s="65" t="s">
        <v>73</v>
      </c>
      <c r="AA404" s="65">
        <v>955356636</v>
      </c>
      <c r="AB404" s="65" t="s">
        <v>720</v>
      </c>
    </row>
    <row r="405" spans="1:28" x14ac:dyDescent="0.3">
      <c r="A405" s="1">
        <v>46245</v>
      </c>
      <c r="B405" s="65" t="s">
        <v>1555</v>
      </c>
      <c r="C405" s="65" t="s">
        <v>268</v>
      </c>
      <c r="D405" s="65" t="s">
        <v>1556</v>
      </c>
      <c r="E405" s="65" t="s">
        <v>31</v>
      </c>
      <c r="F405" s="65" t="s">
        <v>1557</v>
      </c>
      <c r="G405" s="65" t="s">
        <v>1558</v>
      </c>
      <c r="H405" s="65" t="s">
        <v>1559</v>
      </c>
      <c r="I405" s="65" t="s">
        <v>1560</v>
      </c>
      <c r="J405" s="65" t="s">
        <v>705</v>
      </c>
      <c r="K405" s="65" t="s">
        <v>37</v>
      </c>
      <c r="L405" s="65" t="s">
        <v>1561</v>
      </c>
      <c r="M405" s="65" t="s">
        <v>1562</v>
      </c>
      <c r="N405" s="65" t="s">
        <v>1563</v>
      </c>
      <c r="O405" s="65" t="s">
        <v>1564</v>
      </c>
      <c r="P405" s="65" t="s">
        <v>1565</v>
      </c>
      <c r="Q405" s="65">
        <v>1</v>
      </c>
      <c r="R405" s="65" t="s">
        <v>42</v>
      </c>
      <c r="S405" s="65" t="s">
        <v>44</v>
      </c>
      <c r="T405" s="65" t="s">
        <v>44</v>
      </c>
      <c r="U405" s="65" t="s">
        <v>45</v>
      </c>
      <c r="V405" s="65" t="s">
        <v>60</v>
      </c>
      <c r="W405" s="65">
        <v>152.54</v>
      </c>
      <c r="X405" s="65" t="s">
        <v>61</v>
      </c>
      <c r="Y405" s="65" t="s">
        <v>48</v>
      </c>
      <c r="Z405" s="65" t="s">
        <v>49</v>
      </c>
      <c r="AA405" s="65"/>
      <c r="AB405" s="65"/>
    </row>
    <row r="406" spans="1:28" x14ac:dyDescent="0.3">
      <c r="A406" s="1">
        <v>46245</v>
      </c>
      <c r="B406" s="65" t="s">
        <v>1566</v>
      </c>
      <c r="C406" s="65" t="s">
        <v>29</v>
      </c>
      <c r="D406" s="65" t="s">
        <v>1567</v>
      </c>
      <c r="E406" s="65" t="s">
        <v>31</v>
      </c>
      <c r="F406" s="65" t="s">
        <v>1568</v>
      </c>
      <c r="G406" s="65" t="s">
        <v>1569</v>
      </c>
      <c r="H406" s="65" t="s">
        <v>1570</v>
      </c>
      <c r="I406" s="65" t="s">
        <v>1322</v>
      </c>
      <c r="J406" s="65" t="s">
        <v>36</v>
      </c>
      <c r="K406" s="65" t="s">
        <v>37</v>
      </c>
      <c r="L406" s="65" t="s">
        <v>1571</v>
      </c>
      <c r="M406" s="65" t="s">
        <v>1572</v>
      </c>
      <c r="N406" s="65" t="s">
        <v>1569</v>
      </c>
      <c r="O406" s="65" t="s">
        <v>1573</v>
      </c>
      <c r="P406" s="65" t="s">
        <v>101</v>
      </c>
      <c r="Q406" s="65">
        <v>1</v>
      </c>
      <c r="R406" s="65" t="s">
        <v>70</v>
      </c>
      <c r="S406" s="65" t="s">
        <v>43</v>
      </c>
      <c r="T406" s="65" t="s">
        <v>44</v>
      </c>
      <c r="U406" s="65" t="s">
        <v>71</v>
      </c>
      <c r="V406" s="65" t="s">
        <v>72</v>
      </c>
      <c r="W406" s="65">
        <v>186.44</v>
      </c>
      <c r="X406" s="65" t="s">
        <v>47</v>
      </c>
      <c r="Y406" s="65" t="s">
        <v>48</v>
      </c>
      <c r="Z406" s="65" t="s">
        <v>73</v>
      </c>
      <c r="AA406" s="65">
        <v>999111362</v>
      </c>
      <c r="AB406" s="65" t="s">
        <v>1326</v>
      </c>
    </row>
    <row r="407" spans="1:28" x14ac:dyDescent="0.3">
      <c r="A407" s="1">
        <v>46245</v>
      </c>
      <c r="B407" s="65" t="s">
        <v>1574</v>
      </c>
      <c r="C407" s="65" t="s">
        <v>29</v>
      </c>
      <c r="D407" s="65" t="s">
        <v>1575</v>
      </c>
      <c r="E407" s="65" t="s">
        <v>31</v>
      </c>
      <c r="F407" s="65" t="s">
        <v>1576</v>
      </c>
      <c r="G407" s="65" t="s">
        <v>1577</v>
      </c>
      <c r="H407" s="65" t="s">
        <v>1578</v>
      </c>
      <c r="I407" s="65" t="s">
        <v>1386</v>
      </c>
      <c r="J407" s="65" t="s">
        <v>4005</v>
      </c>
      <c r="K407" s="65" t="s">
        <v>37</v>
      </c>
      <c r="L407" s="65" t="s">
        <v>1579</v>
      </c>
      <c r="M407" s="65" t="s">
        <v>1580</v>
      </c>
      <c r="N407" s="65" t="s">
        <v>1577</v>
      </c>
      <c r="O407" s="65" t="s">
        <v>1581</v>
      </c>
      <c r="P407" s="65" t="s">
        <v>202</v>
      </c>
      <c r="Q407" s="65">
        <v>1</v>
      </c>
      <c r="R407" s="65" t="s">
        <v>42</v>
      </c>
      <c r="S407" s="65" t="s">
        <v>44</v>
      </c>
      <c r="T407" s="65" t="s">
        <v>44</v>
      </c>
      <c r="U407" s="65" t="s">
        <v>45</v>
      </c>
      <c r="V407" s="65" t="s">
        <v>60</v>
      </c>
      <c r="W407" s="65">
        <v>135.59</v>
      </c>
      <c r="X407" s="65" t="s">
        <v>47</v>
      </c>
      <c r="Y407" s="65" t="s">
        <v>48</v>
      </c>
      <c r="Z407" s="65" t="s">
        <v>49</v>
      </c>
      <c r="AA407" s="65">
        <v>917791542</v>
      </c>
      <c r="AB407" s="65" t="s">
        <v>1390</v>
      </c>
    </row>
    <row r="408" spans="1:28" x14ac:dyDescent="0.3">
      <c r="A408" s="1">
        <v>46246</v>
      </c>
      <c r="B408" s="65" t="s">
        <v>1582</v>
      </c>
      <c r="C408" s="65" t="s">
        <v>29</v>
      </c>
      <c r="D408" s="65" t="s">
        <v>1583</v>
      </c>
      <c r="E408" s="65" t="s">
        <v>31</v>
      </c>
      <c r="F408" s="65" t="s">
        <v>1584</v>
      </c>
      <c r="G408" s="65" t="s">
        <v>1585</v>
      </c>
      <c r="H408" s="65" t="s">
        <v>1586</v>
      </c>
      <c r="I408" s="65" t="s">
        <v>2739</v>
      </c>
      <c r="J408" s="65" t="s">
        <v>209</v>
      </c>
      <c r="K408" s="65" t="s">
        <v>37</v>
      </c>
      <c r="L408" s="65" t="s">
        <v>1587</v>
      </c>
      <c r="M408" s="65" t="s">
        <v>1588</v>
      </c>
      <c r="N408" s="65" t="s">
        <v>1585</v>
      </c>
      <c r="O408" s="65" t="s">
        <v>1589</v>
      </c>
      <c r="P408" s="65" t="s">
        <v>202</v>
      </c>
      <c r="Q408" s="65">
        <v>1</v>
      </c>
      <c r="R408" s="65" t="s">
        <v>42</v>
      </c>
      <c r="S408" s="65" t="s">
        <v>44</v>
      </c>
      <c r="T408" s="65" t="s">
        <v>44</v>
      </c>
      <c r="U408" s="65" t="s">
        <v>45</v>
      </c>
      <c r="V408" s="65" t="s">
        <v>60</v>
      </c>
      <c r="W408" s="65">
        <v>135.59</v>
      </c>
      <c r="X408" s="65" t="s">
        <v>47</v>
      </c>
      <c r="Y408" s="65" t="s">
        <v>48</v>
      </c>
      <c r="Z408" s="65" t="s">
        <v>49</v>
      </c>
      <c r="AA408" s="65"/>
      <c r="AB408" s="65"/>
    </row>
    <row r="409" spans="1:28" x14ac:dyDescent="0.3">
      <c r="A409" s="1">
        <v>46246</v>
      </c>
      <c r="B409" s="65" t="s">
        <v>1590</v>
      </c>
      <c r="C409" s="65" t="s">
        <v>29</v>
      </c>
      <c r="D409" s="65" t="s">
        <v>1591</v>
      </c>
      <c r="E409" s="65" t="s">
        <v>31</v>
      </c>
      <c r="F409" s="65" t="s">
        <v>1592</v>
      </c>
      <c r="G409" s="65" t="s">
        <v>1593</v>
      </c>
      <c r="H409" s="65" t="s">
        <v>1594</v>
      </c>
      <c r="I409" s="65" t="s">
        <v>1595</v>
      </c>
      <c r="J409" s="65" t="s">
        <v>1596</v>
      </c>
      <c r="K409" s="65" t="s">
        <v>37</v>
      </c>
      <c r="L409" s="65" t="s">
        <v>1597</v>
      </c>
      <c r="M409" s="65" t="s">
        <v>1598</v>
      </c>
      <c r="N409" s="65" t="s">
        <v>1593</v>
      </c>
      <c r="O409" s="65" t="s">
        <v>1599</v>
      </c>
      <c r="P409" s="65" t="s">
        <v>201</v>
      </c>
      <c r="Q409" s="65">
        <v>1</v>
      </c>
      <c r="R409" s="65" t="s">
        <v>42</v>
      </c>
      <c r="S409" s="65" t="s">
        <v>44</v>
      </c>
      <c r="T409" s="65" t="s">
        <v>44</v>
      </c>
      <c r="U409" s="65" t="s">
        <v>45</v>
      </c>
      <c r="V409" s="65" t="s">
        <v>60</v>
      </c>
      <c r="W409" s="65">
        <v>152.54</v>
      </c>
      <c r="X409" s="65" t="s">
        <v>47</v>
      </c>
      <c r="Y409" s="65" t="s">
        <v>48</v>
      </c>
      <c r="Z409" s="65" t="s">
        <v>49</v>
      </c>
      <c r="AA409" s="65">
        <v>980543337</v>
      </c>
      <c r="AB409" s="65" t="s">
        <v>1600</v>
      </c>
    </row>
    <row r="410" spans="1:28" x14ac:dyDescent="0.3">
      <c r="A410" s="1">
        <v>46246</v>
      </c>
      <c r="B410" s="65" t="s">
        <v>1590</v>
      </c>
      <c r="C410" s="65" t="s">
        <v>29</v>
      </c>
      <c r="D410" s="65" t="s">
        <v>1591</v>
      </c>
      <c r="E410" s="65" t="s">
        <v>31</v>
      </c>
      <c r="F410" s="65" t="s">
        <v>1592</v>
      </c>
      <c r="G410" s="65" t="s">
        <v>1593</v>
      </c>
      <c r="H410" s="65" t="s">
        <v>1594</v>
      </c>
      <c r="I410" s="65" t="s">
        <v>1595</v>
      </c>
      <c r="J410" s="65" t="s">
        <v>1596</v>
      </c>
      <c r="K410" s="65" t="s">
        <v>37</v>
      </c>
      <c r="L410" s="65" t="s">
        <v>1597</v>
      </c>
      <c r="M410" s="65" t="s">
        <v>1598</v>
      </c>
      <c r="N410" s="65" t="s">
        <v>1593</v>
      </c>
      <c r="O410" s="65" t="s">
        <v>1599</v>
      </c>
      <c r="P410" s="65" t="s">
        <v>202</v>
      </c>
      <c r="Q410" s="65">
        <v>1</v>
      </c>
      <c r="R410" s="65" t="s">
        <v>42</v>
      </c>
      <c r="S410" s="65" t="s">
        <v>44</v>
      </c>
      <c r="T410" s="65" t="s">
        <v>44</v>
      </c>
      <c r="U410" s="65" t="s">
        <v>45</v>
      </c>
      <c r="V410" s="65" t="s">
        <v>60</v>
      </c>
      <c r="W410" s="65">
        <v>135.59</v>
      </c>
      <c r="X410" s="65" t="s">
        <v>47</v>
      </c>
      <c r="Y410" s="65" t="s">
        <v>48</v>
      </c>
      <c r="Z410" s="65" t="s">
        <v>49</v>
      </c>
      <c r="AA410" s="65">
        <v>980543337</v>
      </c>
      <c r="AB410" s="65" t="s">
        <v>1600</v>
      </c>
    </row>
    <row r="411" spans="1:28" x14ac:dyDescent="0.3">
      <c r="A411" s="1">
        <v>46246</v>
      </c>
      <c r="B411" s="65" t="s">
        <v>1601</v>
      </c>
      <c r="C411" s="65" t="s">
        <v>29</v>
      </c>
      <c r="D411" s="65" t="s">
        <v>1602</v>
      </c>
      <c r="E411" s="65" t="s">
        <v>31</v>
      </c>
      <c r="F411" s="65" t="s">
        <v>1603</v>
      </c>
      <c r="G411" s="65" t="s">
        <v>1604</v>
      </c>
      <c r="H411" s="65" t="s">
        <v>1605</v>
      </c>
      <c r="I411" s="65" t="s">
        <v>1606</v>
      </c>
      <c r="J411" s="65" t="s">
        <v>209</v>
      </c>
      <c r="K411" s="65" t="s">
        <v>37</v>
      </c>
      <c r="L411" s="65" t="s">
        <v>1607</v>
      </c>
      <c r="M411" s="65" t="s">
        <v>1608</v>
      </c>
      <c r="N411" s="65" t="s">
        <v>1604</v>
      </c>
      <c r="O411" s="65" t="s">
        <v>1609</v>
      </c>
      <c r="P411" s="65" t="s">
        <v>90</v>
      </c>
      <c r="Q411" s="65">
        <v>1</v>
      </c>
      <c r="R411" s="65" t="s">
        <v>42</v>
      </c>
      <c r="S411" s="65" t="s">
        <v>44</v>
      </c>
      <c r="T411" s="65" t="s">
        <v>44</v>
      </c>
      <c r="U411" s="65" t="s">
        <v>45</v>
      </c>
      <c r="V411" s="65" t="s">
        <v>46</v>
      </c>
      <c r="W411" s="65">
        <v>135.59</v>
      </c>
      <c r="X411" s="65" t="s">
        <v>47</v>
      </c>
      <c r="Y411" s="65" t="s">
        <v>48</v>
      </c>
      <c r="Z411" s="65" t="s">
        <v>49</v>
      </c>
      <c r="AA411" s="65">
        <v>944212985</v>
      </c>
      <c r="AB411" s="65"/>
    </row>
    <row r="412" spans="1:28" x14ac:dyDescent="0.3">
      <c r="A412" s="1">
        <v>46246</v>
      </c>
      <c r="B412" s="65" t="s">
        <v>1610</v>
      </c>
      <c r="C412" s="65" t="s">
        <v>29</v>
      </c>
      <c r="D412" s="65" t="s">
        <v>1611</v>
      </c>
      <c r="E412" s="65" t="s">
        <v>31</v>
      </c>
      <c r="F412" s="65" t="s">
        <v>1612</v>
      </c>
      <c r="G412" s="65" t="s">
        <v>1613</v>
      </c>
      <c r="H412" s="65" t="s">
        <v>1614</v>
      </c>
      <c r="I412" s="65" t="s">
        <v>1615</v>
      </c>
      <c r="J412" s="65" t="s">
        <v>1616</v>
      </c>
      <c r="K412" s="65" t="s">
        <v>37</v>
      </c>
      <c r="L412" s="65" t="s">
        <v>1617</v>
      </c>
      <c r="M412" s="65" t="s">
        <v>1618</v>
      </c>
      <c r="N412" s="65" t="s">
        <v>1615</v>
      </c>
      <c r="O412" s="65" t="s">
        <v>1619</v>
      </c>
      <c r="P412" s="65" t="s">
        <v>288</v>
      </c>
      <c r="Q412" s="65">
        <v>1</v>
      </c>
      <c r="R412" s="65" t="s">
        <v>70</v>
      </c>
      <c r="S412" s="65" t="s">
        <v>43</v>
      </c>
      <c r="T412" s="65" t="s">
        <v>44</v>
      </c>
      <c r="U412" s="65" t="s">
        <v>71</v>
      </c>
      <c r="V412" s="65" t="s">
        <v>184</v>
      </c>
      <c r="W412" s="65">
        <v>0</v>
      </c>
      <c r="X412" s="65" t="s">
        <v>289</v>
      </c>
      <c r="Y412" s="65" t="s">
        <v>48</v>
      </c>
      <c r="Z412" s="65" t="s">
        <v>73</v>
      </c>
      <c r="AA412" s="65">
        <v>950418896</v>
      </c>
      <c r="AB412" s="65"/>
    </row>
    <row r="413" spans="1:28" x14ac:dyDescent="0.3">
      <c r="A413" s="1">
        <v>46246</v>
      </c>
      <c r="B413" s="65" t="s">
        <v>1610</v>
      </c>
      <c r="C413" s="65" t="s">
        <v>29</v>
      </c>
      <c r="D413" s="65" t="s">
        <v>1611</v>
      </c>
      <c r="E413" s="65" t="s">
        <v>31</v>
      </c>
      <c r="F413" s="65" t="s">
        <v>1612</v>
      </c>
      <c r="G413" s="65" t="s">
        <v>1613</v>
      </c>
      <c r="H413" s="65" t="s">
        <v>1614</v>
      </c>
      <c r="I413" s="65" t="s">
        <v>1615</v>
      </c>
      <c r="J413" s="65" t="s">
        <v>1616</v>
      </c>
      <c r="K413" s="65" t="s">
        <v>37</v>
      </c>
      <c r="L413" s="65" t="s">
        <v>1617</v>
      </c>
      <c r="M413" s="65" t="s">
        <v>1618</v>
      </c>
      <c r="N413" s="65" t="s">
        <v>1615</v>
      </c>
      <c r="O413" s="65" t="s">
        <v>1619</v>
      </c>
      <c r="P413" s="65" t="s">
        <v>1620</v>
      </c>
      <c r="Q413" s="65">
        <v>1</v>
      </c>
      <c r="R413" s="65" t="s">
        <v>70</v>
      </c>
      <c r="S413" s="65" t="s">
        <v>43</v>
      </c>
      <c r="T413" s="65" t="s">
        <v>44</v>
      </c>
      <c r="U413" s="65" t="s">
        <v>71</v>
      </c>
      <c r="V413" s="65" t="s">
        <v>184</v>
      </c>
      <c r="W413" s="65">
        <v>139.83000000000001</v>
      </c>
      <c r="X413" s="65" t="s">
        <v>289</v>
      </c>
      <c r="Y413" s="65" t="s">
        <v>48</v>
      </c>
      <c r="Z413" s="65" t="s">
        <v>73</v>
      </c>
      <c r="AA413" s="65">
        <v>950418896</v>
      </c>
      <c r="AB413" s="65"/>
    </row>
    <row r="414" spans="1:28" x14ac:dyDescent="0.3">
      <c r="A414" s="1">
        <v>46247</v>
      </c>
      <c r="B414" s="65" t="s">
        <v>1621</v>
      </c>
      <c r="C414" s="65" t="s">
        <v>29</v>
      </c>
      <c r="D414" s="65" t="s">
        <v>1622</v>
      </c>
      <c r="E414" s="65" t="s">
        <v>31</v>
      </c>
      <c r="F414" s="65" t="s">
        <v>1623</v>
      </c>
      <c r="G414" s="65" t="s">
        <v>1624</v>
      </c>
      <c r="H414" s="65" t="s">
        <v>1625</v>
      </c>
      <c r="I414" s="65" t="s">
        <v>774</v>
      </c>
      <c r="J414" s="65" t="s">
        <v>775</v>
      </c>
      <c r="K414" s="65" t="s">
        <v>37</v>
      </c>
      <c r="L414" s="65" t="s">
        <v>1626</v>
      </c>
      <c r="M414" s="65" t="s">
        <v>1627</v>
      </c>
      <c r="N414" s="65" t="s">
        <v>1624</v>
      </c>
      <c r="O414" s="65" t="s">
        <v>1628</v>
      </c>
      <c r="P414" s="65" t="s">
        <v>618</v>
      </c>
      <c r="Q414" s="65">
        <v>1</v>
      </c>
      <c r="R414" s="65" t="s">
        <v>42</v>
      </c>
      <c r="S414" s="65" t="s">
        <v>44</v>
      </c>
      <c r="T414" s="65" t="s">
        <v>44</v>
      </c>
      <c r="U414" s="65" t="s">
        <v>45</v>
      </c>
      <c r="V414" s="65" t="s">
        <v>46</v>
      </c>
      <c r="W414" s="65">
        <v>12.71</v>
      </c>
      <c r="X414" s="65" t="s">
        <v>619</v>
      </c>
      <c r="Y414" s="65" t="s">
        <v>48</v>
      </c>
      <c r="Z414" s="65" t="s">
        <v>49</v>
      </c>
      <c r="AA414" s="65"/>
      <c r="AB414" s="65"/>
    </row>
    <row r="415" spans="1:28" x14ac:dyDescent="0.3">
      <c r="A415" s="1">
        <v>46247</v>
      </c>
      <c r="B415" s="65" t="s">
        <v>1621</v>
      </c>
      <c r="C415" s="65" t="s">
        <v>29</v>
      </c>
      <c r="D415" s="65" t="s">
        <v>1622</v>
      </c>
      <c r="E415" s="65" t="s">
        <v>31</v>
      </c>
      <c r="F415" s="65" t="s">
        <v>1623</v>
      </c>
      <c r="G415" s="65" t="s">
        <v>1624</v>
      </c>
      <c r="H415" s="65" t="s">
        <v>1625</v>
      </c>
      <c r="I415" s="65" t="s">
        <v>774</v>
      </c>
      <c r="J415" s="65" t="s">
        <v>775</v>
      </c>
      <c r="K415" s="65" t="s">
        <v>37</v>
      </c>
      <c r="L415" s="65" t="s">
        <v>1626</v>
      </c>
      <c r="M415" s="65" t="s">
        <v>1627</v>
      </c>
      <c r="N415" s="65" t="s">
        <v>1624</v>
      </c>
      <c r="O415" s="65" t="s">
        <v>1628</v>
      </c>
      <c r="P415" s="65" t="s">
        <v>620</v>
      </c>
      <c r="Q415" s="65">
        <v>1</v>
      </c>
      <c r="R415" s="65" t="s">
        <v>42</v>
      </c>
      <c r="S415" s="65" t="s">
        <v>44</v>
      </c>
      <c r="T415" s="65" t="s">
        <v>44</v>
      </c>
      <c r="U415" s="65" t="s">
        <v>45</v>
      </c>
      <c r="V415" s="65" t="s">
        <v>46</v>
      </c>
      <c r="W415" s="65">
        <v>21.19</v>
      </c>
      <c r="X415" s="65" t="s">
        <v>619</v>
      </c>
      <c r="Y415" s="65" t="s">
        <v>48</v>
      </c>
      <c r="Z415" s="65" t="s">
        <v>49</v>
      </c>
      <c r="AA415" s="65"/>
      <c r="AB415" s="65"/>
    </row>
    <row r="416" spans="1:28" x14ac:dyDescent="0.3">
      <c r="A416" s="1">
        <v>46247</v>
      </c>
      <c r="B416" s="65" t="s">
        <v>1621</v>
      </c>
      <c r="C416" s="65" t="s">
        <v>29</v>
      </c>
      <c r="D416" s="65" t="s">
        <v>1622</v>
      </c>
      <c r="E416" s="65" t="s">
        <v>31</v>
      </c>
      <c r="F416" s="65" t="s">
        <v>1623</v>
      </c>
      <c r="G416" s="65" t="s">
        <v>1624</v>
      </c>
      <c r="H416" s="65" t="s">
        <v>1625</v>
      </c>
      <c r="I416" s="65" t="s">
        <v>774</v>
      </c>
      <c r="J416" s="65" t="s">
        <v>775</v>
      </c>
      <c r="K416" s="65" t="s">
        <v>37</v>
      </c>
      <c r="L416" s="65" t="s">
        <v>1626</v>
      </c>
      <c r="M416" s="65" t="s">
        <v>1627</v>
      </c>
      <c r="N416" s="65" t="s">
        <v>1624</v>
      </c>
      <c r="O416" s="65" t="s">
        <v>1628</v>
      </c>
      <c r="P416" s="65" t="s">
        <v>621</v>
      </c>
      <c r="Q416" s="65">
        <v>1</v>
      </c>
      <c r="R416" s="65" t="s">
        <v>42</v>
      </c>
      <c r="S416" s="65" t="s">
        <v>44</v>
      </c>
      <c r="T416" s="65" t="s">
        <v>44</v>
      </c>
      <c r="U416" s="65" t="s">
        <v>45</v>
      </c>
      <c r="V416" s="65" t="s">
        <v>46</v>
      </c>
      <c r="W416" s="65">
        <v>12.71</v>
      </c>
      <c r="X416" s="65" t="s">
        <v>619</v>
      </c>
      <c r="Y416" s="65" t="s">
        <v>48</v>
      </c>
      <c r="Z416" s="65" t="s">
        <v>49</v>
      </c>
      <c r="AA416" s="65"/>
      <c r="AB416" s="65"/>
    </row>
    <row r="417" spans="1:28" x14ac:dyDescent="0.3">
      <c r="A417" s="1">
        <v>46247</v>
      </c>
      <c r="B417" s="65" t="s">
        <v>1621</v>
      </c>
      <c r="C417" s="65" t="s">
        <v>29</v>
      </c>
      <c r="D417" s="65" t="s">
        <v>1622</v>
      </c>
      <c r="E417" s="65" t="s">
        <v>31</v>
      </c>
      <c r="F417" s="65" t="s">
        <v>1623</v>
      </c>
      <c r="G417" s="65" t="s">
        <v>1624</v>
      </c>
      <c r="H417" s="65" t="s">
        <v>1625</v>
      </c>
      <c r="I417" s="65" t="s">
        <v>774</v>
      </c>
      <c r="J417" s="65" t="s">
        <v>775</v>
      </c>
      <c r="K417" s="65" t="s">
        <v>37</v>
      </c>
      <c r="L417" s="65" t="s">
        <v>1626</v>
      </c>
      <c r="M417" s="65" t="s">
        <v>1627</v>
      </c>
      <c r="N417" s="65" t="s">
        <v>1624</v>
      </c>
      <c r="O417" s="65" t="s">
        <v>1628</v>
      </c>
      <c r="P417" s="65" t="s">
        <v>622</v>
      </c>
      <c r="Q417" s="65">
        <v>1</v>
      </c>
      <c r="R417" s="65" t="s">
        <v>42</v>
      </c>
      <c r="S417" s="65" t="s">
        <v>44</v>
      </c>
      <c r="T417" s="65" t="s">
        <v>44</v>
      </c>
      <c r="U417" s="65" t="s">
        <v>45</v>
      </c>
      <c r="V417" s="65" t="s">
        <v>46</v>
      </c>
      <c r="W417" s="65">
        <v>12.71</v>
      </c>
      <c r="X417" s="65" t="s">
        <v>619</v>
      </c>
      <c r="Y417" s="65" t="s">
        <v>48</v>
      </c>
      <c r="Z417" s="65" t="s">
        <v>49</v>
      </c>
      <c r="AA417" s="65"/>
      <c r="AB417" s="65"/>
    </row>
    <row r="418" spans="1:28" x14ac:dyDescent="0.3">
      <c r="A418" s="1">
        <v>46247</v>
      </c>
      <c r="B418" s="65" t="s">
        <v>1621</v>
      </c>
      <c r="C418" s="65" t="s">
        <v>29</v>
      </c>
      <c r="D418" s="65" t="s">
        <v>1622</v>
      </c>
      <c r="E418" s="65" t="s">
        <v>31</v>
      </c>
      <c r="F418" s="65" t="s">
        <v>1623</v>
      </c>
      <c r="G418" s="65" t="s">
        <v>1624</v>
      </c>
      <c r="H418" s="65" t="s">
        <v>1625</v>
      </c>
      <c r="I418" s="65" t="s">
        <v>774</v>
      </c>
      <c r="J418" s="65" t="s">
        <v>775</v>
      </c>
      <c r="K418" s="65" t="s">
        <v>37</v>
      </c>
      <c r="L418" s="65" t="s">
        <v>1626</v>
      </c>
      <c r="M418" s="65" t="s">
        <v>1627</v>
      </c>
      <c r="N418" s="65" t="s">
        <v>1624</v>
      </c>
      <c r="O418" s="65" t="s">
        <v>1628</v>
      </c>
      <c r="P418" s="65" t="s">
        <v>833</v>
      </c>
      <c r="Q418" s="65">
        <v>1</v>
      </c>
      <c r="R418" s="65" t="s">
        <v>42</v>
      </c>
      <c r="S418" s="65" t="s">
        <v>44</v>
      </c>
      <c r="T418" s="65" t="s">
        <v>44</v>
      </c>
      <c r="U418" s="65" t="s">
        <v>45</v>
      </c>
      <c r="V418" s="65" t="s">
        <v>46</v>
      </c>
      <c r="W418" s="65">
        <v>50.85</v>
      </c>
      <c r="X418" s="65" t="s">
        <v>619</v>
      </c>
      <c r="Y418" s="65" t="s">
        <v>48</v>
      </c>
      <c r="Z418" s="65" t="s">
        <v>49</v>
      </c>
      <c r="AA418" s="65"/>
      <c r="AB418" s="65"/>
    </row>
    <row r="419" spans="1:28" x14ac:dyDescent="0.3">
      <c r="A419" s="1">
        <v>46247</v>
      </c>
      <c r="B419" s="65" t="s">
        <v>1629</v>
      </c>
      <c r="C419" s="65" t="s">
        <v>29</v>
      </c>
      <c r="D419" s="65" t="s">
        <v>1630</v>
      </c>
      <c r="E419" s="65" t="s">
        <v>31</v>
      </c>
      <c r="F419" s="65" t="s">
        <v>1631</v>
      </c>
      <c r="G419" s="65" t="s">
        <v>1624</v>
      </c>
      <c r="H419" s="65" t="s">
        <v>1625</v>
      </c>
      <c r="I419" s="65" t="s">
        <v>774</v>
      </c>
      <c r="J419" s="65" t="s">
        <v>775</v>
      </c>
      <c r="K419" s="65" t="s">
        <v>37</v>
      </c>
      <c r="L419" s="65" t="s">
        <v>1626</v>
      </c>
      <c r="M419" s="65" t="s">
        <v>1627</v>
      </c>
      <c r="N419" s="65" t="s">
        <v>1624</v>
      </c>
      <c r="O419" s="65" t="s">
        <v>1632</v>
      </c>
      <c r="P419" s="65" t="s">
        <v>828</v>
      </c>
      <c r="Q419" s="65">
        <v>1</v>
      </c>
      <c r="R419" s="65" t="s">
        <v>42</v>
      </c>
      <c r="S419" s="65" t="s">
        <v>44</v>
      </c>
      <c r="T419" s="65" t="s">
        <v>44</v>
      </c>
      <c r="U419" s="65" t="s">
        <v>45</v>
      </c>
      <c r="V419" s="65" t="s">
        <v>46</v>
      </c>
      <c r="W419" s="65">
        <v>127.12</v>
      </c>
      <c r="X419" s="65" t="s">
        <v>47</v>
      </c>
      <c r="Y419" s="65" t="s">
        <v>48</v>
      </c>
      <c r="Z419" s="65" t="s">
        <v>49</v>
      </c>
      <c r="AA419" s="65"/>
      <c r="AB419" s="65"/>
    </row>
    <row r="420" spans="1:28" x14ac:dyDescent="0.3">
      <c r="A420" s="1">
        <v>46247</v>
      </c>
      <c r="B420" s="65" t="s">
        <v>1633</v>
      </c>
      <c r="C420" s="65" t="s">
        <v>29</v>
      </c>
      <c r="D420" s="65" t="s">
        <v>1634</v>
      </c>
      <c r="E420" s="65" t="s">
        <v>31</v>
      </c>
      <c r="F420" s="65" t="s">
        <v>1635</v>
      </c>
      <c r="G420" s="65" t="s">
        <v>1624</v>
      </c>
      <c r="H420" s="65" t="s">
        <v>1625</v>
      </c>
      <c r="I420" s="65" t="s">
        <v>774</v>
      </c>
      <c r="J420" s="65" t="s">
        <v>775</v>
      </c>
      <c r="K420" s="65" t="s">
        <v>37</v>
      </c>
      <c r="L420" s="65" t="s">
        <v>1626</v>
      </c>
      <c r="M420" s="65" t="s">
        <v>1627</v>
      </c>
      <c r="N420" s="65" t="s">
        <v>1624</v>
      </c>
      <c r="O420" s="65" t="s">
        <v>1636</v>
      </c>
      <c r="P420" s="65" t="s">
        <v>641</v>
      </c>
      <c r="Q420" s="65">
        <v>1</v>
      </c>
      <c r="R420" s="65" t="s">
        <v>42</v>
      </c>
      <c r="S420" s="65" t="s">
        <v>44</v>
      </c>
      <c r="T420" s="65" t="s">
        <v>44</v>
      </c>
      <c r="U420" s="65" t="s">
        <v>45</v>
      </c>
      <c r="V420" s="65" t="s">
        <v>46</v>
      </c>
      <c r="W420" s="65">
        <v>84.75</v>
      </c>
      <c r="X420" s="65" t="s">
        <v>47</v>
      </c>
      <c r="Y420" s="65" t="s">
        <v>48</v>
      </c>
      <c r="Z420" s="65" t="s">
        <v>49</v>
      </c>
      <c r="AA420" s="65"/>
      <c r="AB420" s="65"/>
    </row>
    <row r="421" spans="1:28" x14ac:dyDescent="0.3">
      <c r="A421" s="1">
        <v>46247</v>
      </c>
      <c r="B421" s="65" t="s">
        <v>1637</v>
      </c>
      <c r="C421" s="65" t="s">
        <v>29</v>
      </c>
      <c r="D421" s="65" t="s">
        <v>1638</v>
      </c>
      <c r="E421" s="65" t="s">
        <v>31</v>
      </c>
      <c r="F421" s="65" t="s">
        <v>1639</v>
      </c>
      <c r="G421" s="65" t="s">
        <v>1640</v>
      </c>
      <c r="H421" s="65" t="s">
        <v>1641</v>
      </c>
      <c r="I421" s="65" t="s">
        <v>35</v>
      </c>
      <c r="J421" s="65" t="s">
        <v>36</v>
      </c>
      <c r="K421" s="65" t="s">
        <v>37</v>
      </c>
      <c r="L421" s="65" t="s">
        <v>1642</v>
      </c>
      <c r="M421" s="65" t="s">
        <v>1643</v>
      </c>
      <c r="N421" s="65" t="s">
        <v>1640</v>
      </c>
      <c r="O421" s="65" t="s">
        <v>1644</v>
      </c>
      <c r="P421" s="65" t="s">
        <v>101</v>
      </c>
      <c r="Q421" s="65">
        <v>1</v>
      </c>
      <c r="R421" s="65" t="s">
        <v>42</v>
      </c>
      <c r="S421" s="65" t="s">
        <v>44</v>
      </c>
      <c r="T421" s="65" t="s">
        <v>44</v>
      </c>
      <c r="U421" s="65" t="s">
        <v>45</v>
      </c>
      <c r="V421" s="65" t="s">
        <v>60</v>
      </c>
      <c r="W421" s="65">
        <v>186.44</v>
      </c>
      <c r="X421" s="65" t="s">
        <v>47</v>
      </c>
      <c r="Y421" s="65" t="s">
        <v>48</v>
      </c>
      <c r="Z421" s="65" t="s">
        <v>49</v>
      </c>
      <c r="AA421" s="65">
        <v>999996347</v>
      </c>
      <c r="AB421" s="65" t="s">
        <v>50</v>
      </c>
    </row>
    <row r="422" spans="1:28" x14ac:dyDescent="0.3">
      <c r="A422" s="1">
        <v>46247</v>
      </c>
      <c r="B422" s="65" t="s">
        <v>1645</v>
      </c>
      <c r="C422" s="65" t="s">
        <v>29</v>
      </c>
      <c r="D422" s="65" t="s">
        <v>1646</v>
      </c>
      <c r="E422" s="65" t="s">
        <v>31</v>
      </c>
      <c r="F422" s="65" t="s">
        <v>1647</v>
      </c>
      <c r="G422" s="65" t="s">
        <v>1648</v>
      </c>
      <c r="H422" s="65" t="s">
        <v>1649</v>
      </c>
      <c r="I422" s="65"/>
      <c r="J422" s="65"/>
      <c r="K422" s="65" t="s">
        <v>37</v>
      </c>
      <c r="L422" s="65" t="s">
        <v>1650</v>
      </c>
      <c r="M422" s="65" t="s">
        <v>1651</v>
      </c>
      <c r="N422" s="65" t="s">
        <v>1648</v>
      </c>
      <c r="O422" s="65" t="s">
        <v>1652</v>
      </c>
      <c r="P422" s="65" t="s">
        <v>641</v>
      </c>
      <c r="Q422" s="65">
        <v>1</v>
      </c>
      <c r="R422" s="65" t="s">
        <v>42</v>
      </c>
      <c r="S422" s="65" t="s">
        <v>44</v>
      </c>
      <c r="T422" s="65" t="s">
        <v>44</v>
      </c>
      <c r="U422" s="65" t="s">
        <v>45</v>
      </c>
      <c r="V422" s="65" t="s">
        <v>46</v>
      </c>
      <c r="W422" s="65">
        <v>84.75</v>
      </c>
      <c r="X422" s="65" t="s">
        <v>47</v>
      </c>
      <c r="Y422" s="65" t="s">
        <v>48</v>
      </c>
      <c r="Z422" s="65" t="s">
        <v>49</v>
      </c>
      <c r="AA422" s="65"/>
      <c r="AB422" s="65"/>
    </row>
    <row r="423" spans="1:28" x14ac:dyDescent="0.3">
      <c r="A423" s="1">
        <v>46247</v>
      </c>
      <c r="B423" s="65" t="s">
        <v>1653</v>
      </c>
      <c r="C423" s="65" t="s">
        <v>29</v>
      </c>
      <c r="D423" s="65" t="s">
        <v>1654</v>
      </c>
      <c r="E423" s="65" t="s">
        <v>31</v>
      </c>
      <c r="F423" s="65" t="s">
        <v>1655</v>
      </c>
      <c r="G423" s="65" t="s">
        <v>1656</v>
      </c>
      <c r="H423" s="65" t="s">
        <v>1657</v>
      </c>
      <c r="I423" s="65" t="s">
        <v>136</v>
      </c>
      <c r="J423" s="65" t="s">
        <v>137</v>
      </c>
      <c r="K423" s="65" t="s">
        <v>37</v>
      </c>
      <c r="L423" s="65" t="s">
        <v>1658</v>
      </c>
      <c r="M423" s="65" t="s">
        <v>1659</v>
      </c>
      <c r="N423" s="65" t="s">
        <v>1656</v>
      </c>
      <c r="O423" s="65" t="s">
        <v>1660</v>
      </c>
      <c r="P423" s="65" t="s">
        <v>41</v>
      </c>
      <c r="Q423" s="65">
        <v>1</v>
      </c>
      <c r="R423" s="65" t="s">
        <v>42</v>
      </c>
      <c r="S423" s="65" t="s">
        <v>44</v>
      </c>
      <c r="T423" s="65" t="s">
        <v>44</v>
      </c>
      <c r="U423" s="65" t="s">
        <v>45</v>
      </c>
      <c r="V423" s="65" t="s">
        <v>46</v>
      </c>
      <c r="W423" s="65">
        <v>186.44</v>
      </c>
      <c r="X423" s="65" t="s">
        <v>47</v>
      </c>
      <c r="Y423" s="65" t="s">
        <v>48</v>
      </c>
      <c r="Z423" s="65" t="s">
        <v>49</v>
      </c>
      <c r="AA423" s="65">
        <v>987407712</v>
      </c>
      <c r="AB423" s="65" t="s">
        <v>141</v>
      </c>
    </row>
    <row r="424" spans="1:28" x14ac:dyDescent="0.3">
      <c r="A424" s="1">
        <v>46247</v>
      </c>
      <c r="B424" s="65" t="s">
        <v>1661</v>
      </c>
      <c r="C424" s="65" t="s">
        <v>29</v>
      </c>
      <c r="D424" s="65" t="s">
        <v>1662</v>
      </c>
      <c r="E424" s="65" t="s">
        <v>31</v>
      </c>
      <c r="F424" s="65" t="s">
        <v>1663</v>
      </c>
      <c r="G424" s="65" t="s">
        <v>1664</v>
      </c>
      <c r="H424" s="65" t="s">
        <v>1665</v>
      </c>
      <c r="I424" s="65" t="s">
        <v>116</v>
      </c>
      <c r="J424" s="65" t="s">
        <v>117</v>
      </c>
      <c r="K424" s="65" t="s">
        <v>37</v>
      </c>
      <c r="L424" s="65" t="s">
        <v>1666</v>
      </c>
      <c r="M424" s="65" t="s">
        <v>1667</v>
      </c>
      <c r="N424" s="65" t="s">
        <v>1664</v>
      </c>
      <c r="O424" s="65" t="s">
        <v>1668</v>
      </c>
      <c r="P424" s="65" t="s">
        <v>90</v>
      </c>
      <c r="Q424" s="65">
        <v>1</v>
      </c>
      <c r="R424" s="65" t="s">
        <v>42</v>
      </c>
      <c r="S424" s="65" t="s">
        <v>44</v>
      </c>
      <c r="T424" s="65" t="s">
        <v>44</v>
      </c>
      <c r="U424" s="65" t="s">
        <v>45</v>
      </c>
      <c r="V424" s="65" t="s">
        <v>60</v>
      </c>
      <c r="W424" s="65">
        <v>135.59</v>
      </c>
      <c r="X424" s="65" t="s">
        <v>47</v>
      </c>
      <c r="Y424" s="65" t="s">
        <v>48</v>
      </c>
      <c r="Z424" s="65" t="s">
        <v>49</v>
      </c>
      <c r="AA424" s="65">
        <v>945319366</v>
      </c>
      <c r="AB424" s="65" t="s">
        <v>121</v>
      </c>
    </row>
    <row r="425" spans="1:28" x14ac:dyDescent="0.3">
      <c r="A425" s="1">
        <v>46247</v>
      </c>
      <c r="B425" s="65" t="s">
        <v>1669</v>
      </c>
      <c r="C425" s="65" t="s">
        <v>29</v>
      </c>
      <c r="D425" s="65" t="s">
        <v>1670</v>
      </c>
      <c r="E425" s="65" t="s">
        <v>31</v>
      </c>
      <c r="F425" s="65" t="s">
        <v>1671</v>
      </c>
      <c r="G425" s="65" t="s">
        <v>1672</v>
      </c>
      <c r="H425" s="65" t="s">
        <v>1673</v>
      </c>
      <c r="I425" s="65" t="s">
        <v>1674</v>
      </c>
      <c r="J425" s="65" t="s">
        <v>1675</v>
      </c>
      <c r="K425" s="65" t="s">
        <v>37</v>
      </c>
      <c r="L425" s="65" t="s">
        <v>1676</v>
      </c>
      <c r="M425" s="65" t="s">
        <v>1677</v>
      </c>
      <c r="N425" s="65" t="s">
        <v>1672</v>
      </c>
      <c r="O425" s="65" t="s">
        <v>1678</v>
      </c>
      <c r="P425" s="65" t="s">
        <v>41</v>
      </c>
      <c r="Q425" s="65">
        <v>1</v>
      </c>
      <c r="R425" s="65" t="s">
        <v>42</v>
      </c>
      <c r="S425" s="65" t="s">
        <v>44</v>
      </c>
      <c r="T425" s="65" t="s">
        <v>44</v>
      </c>
      <c r="U425" s="65" t="s">
        <v>45</v>
      </c>
      <c r="V425" s="65" t="s">
        <v>60</v>
      </c>
      <c r="W425" s="65">
        <v>186.44</v>
      </c>
      <c r="X425" s="65" t="s">
        <v>47</v>
      </c>
      <c r="Y425" s="65" t="s">
        <v>48</v>
      </c>
      <c r="Z425" s="65" t="s">
        <v>49</v>
      </c>
      <c r="AA425" s="65">
        <v>987483056</v>
      </c>
      <c r="AB425" s="65"/>
    </row>
    <row r="426" spans="1:28" x14ac:dyDescent="0.3">
      <c r="A426" s="1">
        <v>46247</v>
      </c>
      <c r="B426" s="65" t="s">
        <v>1679</v>
      </c>
      <c r="C426" s="65" t="s">
        <v>29</v>
      </c>
      <c r="D426" s="65" t="s">
        <v>1680</v>
      </c>
      <c r="E426" s="65" t="s">
        <v>31</v>
      </c>
      <c r="F426" s="65" t="s">
        <v>1681</v>
      </c>
      <c r="G426" s="65" t="s">
        <v>1682</v>
      </c>
      <c r="H426" s="65" t="s">
        <v>1683</v>
      </c>
      <c r="I426" s="65" t="s">
        <v>1386</v>
      </c>
      <c r="J426" s="65" t="s">
        <v>4005</v>
      </c>
      <c r="K426" s="65" t="s">
        <v>37</v>
      </c>
      <c r="L426" s="65" t="s">
        <v>1684</v>
      </c>
      <c r="M426" s="65" t="s">
        <v>1685</v>
      </c>
      <c r="N426" s="65" t="s">
        <v>1682</v>
      </c>
      <c r="O426" s="65" t="s">
        <v>1686</v>
      </c>
      <c r="P426" s="65" t="s">
        <v>202</v>
      </c>
      <c r="Q426" s="65">
        <v>1</v>
      </c>
      <c r="R426" s="65" t="s">
        <v>42</v>
      </c>
      <c r="S426" s="65" t="s">
        <v>44</v>
      </c>
      <c r="T426" s="65" t="s">
        <v>44</v>
      </c>
      <c r="U426" s="65" t="s">
        <v>45</v>
      </c>
      <c r="V426" s="65" t="s">
        <v>46</v>
      </c>
      <c r="W426" s="65">
        <v>135.59</v>
      </c>
      <c r="X426" s="65" t="s">
        <v>47</v>
      </c>
      <c r="Y426" s="65" t="s">
        <v>48</v>
      </c>
      <c r="Z426" s="65" t="s">
        <v>49</v>
      </c>
      <c r="AA426" s="65">
        <v>917791542</v>
      </c>
      <c r="AB426" s="65" t="s">
        <v>1390</v>
      </c>
    </row>
    <row r="427" spans="1:28" x14ac:dyDescent="0.3">
      <c r="A427" s="1">
        <v>46248</v>
      </c>
      <c r="B427" s="65" t="s">
        <v>1687</v>
      </c>
      <c r="C427" s="65" t="s">
        <v>29</v>
      </c>
      <c r="D427" s="65" t="s">
        <v>1688</v>
      </c>
      <c r="E427" s="65" t="s">
        <v>31</v>
      </c>
      <c r="F427" s="65" t="s">
        <v>1689</v>
      </c>
      <c r="G427" s="65" t="s">
        <v>1690</v>
      </c>
      <c r="H427" s="65" t="s">
        <v>1691</v>
      </c>
      <c r="I427" s="65" t="s">
        <v>1322</v>
      </c>
      <c r="J427" s="65" t="s">
        <v>36</v>
      </c>
      <c r="K427" s="65" t="s">
        <v>37</v>
      </c>
      <c r="L427" s="65" t="s">
        <v>1692</v>
      </c>
      <c r="M427" s="65" t="s">
        <v>1693</v>
      </c>
      <c r="N427" s="65" t="s">
        <v>1690</v>
      </c>
      <c r="O427" s="65" t="s">
        <v>1694</v>
      </c>
      <c r="P427" s="65" t="s">
        <v>101</v>
      </c>
      <c r="Q427" s="65">
        <v>1</v>
      </c>
      <c r="R427" s="65" t="s">
        <v>42</v>
      </c>
      <c r="S427" s="65" t="s">
        <v>44</v>
      </c>
      <c r="T427" s="65" t="s">
        <v>44</v>
      </c>
      <c r="U427" s="65" t="s">
        <v>45</v>
      </c>
      <c r="V427" s="65" t="s">
        <v>46</v>
      </c>
      <c r="W427" s="65">
        <v>186.44</v>
      </c>
      <c r="X427" s="65" t="s">
        <v>47</v>
      </c>
      <c r="Y427" s="65" t="s">
        <v>48</v>
      </c>
      <c r="Z427" s="65" t="s">
        <v>49</v>
      </c>
      <c r="AA427" s="65">
        <v>999111362</v>
      </c>
      <c r="AB427" s="65" t="s">
        <v>1326</v>
      </c>
    </row>
    <row r="428" spans="1:28" x14ac:dyDescent="0.3">
      <c r="A428" s="1">
        <v>46248</v>
      </c>
      <c r="B428" s="65" t="s">
        <v>1695</v>
      </c>
      <c r="C428" s="65" t="s">
        <v>29</v>
      </c>
      <c r="D428" s="65" t="s">
        <v>1696</v>
      </c>
      <c r="E428" s="65" t="s">
        <v>31</v>
      </c>
      <c r="F428" s="65" t="s">
        <v>1697</v>
      </c>
      <c r="G428" s="65" t="s">
        <v>1698</v>
      </c>
      <c r="H428" s="65" t="s">
        <v>1699</v>
      </c>
      <c r="I428" s="65" t="s">
        <v>1700</v>
      </c>
      <c r="J428" s="65" t="s">
        <v>1165</v>
      </c>
      <c r="K428" s="65" t="s">
        <v>37</v>
      </c>
      <c r="L428" s="65" t="s">
        <v>1701</v>
      </c>
      <c r="M428" s="65" t="s">
        <v>1702</v>
      </c>
      <c r="N428" s="65" t="s">
        <v>1698</v>
      </c>
      <c r="O428" s="65" t="s">
        <v>1703</v>
      </c>
      <c r="P428" s="65" t="s">
        <v>1157</v>
      </c>
      <c r="Q428" s="65">
        <v>1</v>
      </c>
      <c r="R428" s="65" t="s">
        <v>42</v>
      </c>
      <c r="S428" s="65" t="s">
        <v>44</v>
      </c>
      <c r="T428" s="65" t="s">
        <v>44</v>
      </c>
      <c r="U428" s="65" t="s">
        <v>45</v>
      </c>
      <c r="V428" s="65" t="s">
        <v>60</v>
      </c>
      <c r="W428" s="65">
        <v>338.98</v>
      </c>
      <c r="X428" s="65" t="s">
        <v>47</v>
      </c>
      <c r="Y428" s="65" t="s">
        <v>48</v>
      </c>
      <c r="Z428" s="65" t="s">
        <v>49</v>
      </c>
      <c r="AA428" s="65"/>
      <c r="AB428" s="65"/>
    </row>
    <row r="429" spans="1:28" x14ac:dyDescent="0.3">
      <c r="A429" s="1">
        <v>46248</v>
      </c>
      <c r="B429" s="65" t="s">
        <v>1704</v>
      </c>
      <c r="C429" s="65" t="s">
        <v>268</v>
      </c>
      <c r="D429" s="65" t="s">
        <v>1705</v>
      </c>
      <c r="E429" s="65" t="s">
        <v>31</v>
      </c>
      <c r="F429" s="65" t="s">
        <v>1706</v>
      </c>
      <c r="G429" s="65" t="s">
        <v>1707</v>
      </c>
      <c r="H429" s="65" t="s">
        <v>1708</v>
      </c>
      <c r="I429" s="65" t="s">
        <v>2795</v>
      </c>
      <c r="J429" s="65" t="s">
        <v>209</v>
      </c>
      <c r="K429" s="65" t="s">
        <v>37</v>
      </c>
      <c r="L429" s="65" t="s">
        <v>1709</v>
      </c>
      <c r="M429" s="65" t="s">
        <v>1710</v>
      </c>
      <c r="N429" s="65" t="s">
        <v>1251</v>
      </c>
      <c r="O429" s="65" t="s">
        <v>1711</v>
      </c>
      <c r="P429" s="65" t="s">
        <v>288</v>
      </c>
      <c r="Q429" s="65">
        <v>1</v>
      </c>
      <c r="R429" s="65" t="s">
        <v>42</v>
      </c>
      <c r="S429" s="65" t="s">
        <v>44</v>
      </c>
      <c r="T429" s="65" t="s">
        <v>44</v>
      </c>
      <c r="U429" s="65" t="s">
        <v>45</v>
      </c>
      <c r="V429" s="65" t="s">
        <v>46</v>
      </c>
      <c r="W429" s="65">
        <v>0</v>
      </c>
      <c r="X429" s="65" t="s">
        <v>289</v>
      </c>
      <c r="Y429" s="65" t="s">
        <v>48</v>
      </c>
      <c r="Z429" s="65" t="s">
        <v>49</v>
      </c>
      <c r="AA429" s="65">
        <v>994872106</v>
      </c>
      <c r="AB429" s="65" t="s">
        <v>1253</v>
      </c>
    </row>
    <row r="430" spans="1:28" x14ac:dyDescent="0.3">
      <c r="A430" s="1">
        <v>46248</v>
      </c>
      <c r="B430" s="65" t="s">
        <v>1704</v>
      </c>
      <c r="C430" s="65" t="s">
        <v>268</v>
      </c>
      <c r="D430" s="65" t="s">
        <v>1705</v>
      </c>
      <c r="E430" s="65" t="s">
        <v>31</v>
      </c>
      <c r="F430" s="65" t="s">
        <v>1706</v>
      </c>
      <c r="G430" s="65" t="s">
        <v>1707</v>
      </c>
      <c r="H430" s="65" t="s">
        <v>1708</v>
      </c>
      <c r="I430" s="65" t="s">
        <v>2795</v>
      </c>
      <c r="J430" s="65" t="s">
        <v>209</v>
      </c>
      <c r="K430" s="65" t="s">
        <v>37</v>
      </c>
      <c r="L430" s="65" t="s">
        <v>1709</v>
      </c>
      <c r="M430" s="65" t="s">
        <v>1710</v>
      </c>
      <c r="N430" s="65" t="s">
        <v>1251</v>
      </c>
      <c r="O430" s="65" t="s">
        <v>1711</v>
      </c>
      <c r="P430" s="65" t="s">
        <v>1254</v>
      </c>
      <c r="Q430" s="65">
        <v>1</v>
      </c>
      <c r="R430" s="65" t="s">
        <v>42</v>
      </c>
      <c r="S430" s="65" t="s">
        <v>44</v>
      </c>
      <c r="T430" s="65" t="s">
        <v>44</v>
      </c>
      <c r="U430" s="65" t="s">
        <v>45</v>
      </c>
      <c r="V430" s="65" t="s">
        <v>46</v>
      </c>
      <c r="W430" s="65">
        <v>139.83000000000001</v>
      </c>
      <c r="X430" s="65" t="s">
        <v>289</v>
      </c>
      <c r="Y430" s="65" t="s">
        <v>48</v>
      </c>
      <c r="Z430" s="65" t="s">
        <v>49</v>
      </c>
      <c r="AA430" s="65">
        <v>994872106</v>
      </c>
      <c r="AB430" s="65" t="s">
        <v>1253</v>
      </c>
    </row>
    <row r="431" spans="1:28" x14ac:dyDescent="0.3">
      <c r="A431" s="1">
        <v>46248</v>
      </c>
      <c r="B431" s="65" t="s">
        <v>1712</v>
      </c>
      <c r="C431" s="65" t="s">
        <v>268</v>
      </c>
      <c r="D431" s="65" t="s">
        <v>1713</v>
      </c>
      <c r="E431" s="65" t="s">
        <v>31</v>
      </c>
      <c r="F431" s="65" t="s">
        <v>1714</v>
      </c>
      <c r="G431" s="65" t="s">
        <v>1648</v>
      </c>
      <c r="H431" s="65" t="s">
        <v>1649</v>
      </c>
      <c r="I431" s="65"/>
      <c r="J431" s="65"/>
      <c r="K431" s="65" t="s">
        <v>37</v>
      </c>
      <c r="L431" s="65" t="s">
        <v>1650</v>
      </c>
      <c r="M431" s="65" t="s">
        <v>1651</v>
      </c>
      <c r="N431" s="65" t="s">
        <v>798</v>
      </c>
      <c r="O431" s="65" t="s">
        <v>1715</v>
      </c>
      <c r="P431" s="65" t="s">
        <v>288</v>
      </c>
      <c r="Q431" s="65">
        <v>1</v>
      </c>
      <c r="R431" s="65" t="s">
        <v>42</v>
      </c>
      <c r="S431" s="65" t="s">
        <v>44</v>
      </c>
      <c r="T431" s="65" t="s">
        <v>44</v>
      </c>
      <c r="U431" s="65" t="s">
        <v>45</v>
      </c>
      <c r="V431" s="65" t="s">
        <v>46</v>
      </c>
      <c r="W431" s="65">
        <v>0</v>
      </c>
      <c r="X431" s="65" t="s">
        <v>289</v>
      </c>
      <c r="Y431" s="65" t="s">
        <v>48</v>
      </c>
      <c r="Z431" s="65" t="s">
        <v>49</v>
      </c>
      <c r="AA431" s="65"/>
      <c r="AB431" s="65"/>
    </row>
    <row r="432" spans="1:28" x14ac:dyDescent="0.3">
      <c r="A432" s="1">
        <v>46248</v>
      </c>
      <c r="B432" s="65" t="s">
        <v>1712</v>
      </c>
      <c r="C432" s="65" t="s">
        <v>268</v>
      </c>
      <c r="D432" s="65" t="s">
        <v>1713</v>
      </c>
      <c r="E432" s="65" t="s">
        <v>31</v>
      </c>
      <c r="F432" s="65" t="s">
        <v>1714</v>
      </c>
      <c r="G432" s="65" t="s">
        <v>1648</v>
      </c>
      <c r="H432" s="65" t="s">
        <v>1649</v>
      </c>
      <c r="I432" s="65"/>
      <c r="J432" s="65"/>
      <c r="K432" s="65" t="s">
        <v>37</v>
      </c>
      <c r="L432" s="65" t="s">
        <v>1650</v>
      </c>
      <c r="M432" s="65" t="s">
        <v>1651</v>
      </c>
      <c r="N432" s="65" t="s">
        <v>798</v>
      </c>
      <c r="O432" s="65" t="s">
        <v>1715</v>
      </c>
      <c r="P432" s="65" t="s">
        <v>290</v>
      </c>
      <c r="Q432" s="65">
        <v>1</v>
      </c>
      <c r="R432" s="65" t="s">
        <v>42</v>
      </c>
      <c r="S432" s="65" t="s">
        <v>44</v>
      </c>
      <c r="T432" s="65" t="s">
        <v>44</v>
      </c>
      <c r="U432" s="65" t="s">
        <v>45</v>
      </c>
      <c r="V432" s="65" t="s">
        <v>46</v>
      </c>
      <c r="W432" s="65">
        <v>1525.42</v>
      </c>
      <c r="X432" s="65" t="s">
        <v>289</v>
      </c>
      <c r="Y432" s="65" t="s">
        <v>48</v>
      </c>
      <c r="Z432" s="65" t="s">
        <v>49</v>
      </c>
      <c r="AA432" s="65"/>
      <c r="AB432" s="65"/>
    </row>
    <row r="433" spans="1:28" x14ac:dyDescent="0.3">
      <c r="A433" s="1">
        <v>46248</v>
      </c>
      <c r="B433" s="65" t="s">
        <v>1716</v>
      </c>
      <c r="C433" s="65" t="s">
        <v>29</v>
      </c>
      <c r="D433" s="65" t="s">
        <v>1717</v>
      </c>
      <c r="E433" s="65" t="s">
        <v>31</v>
      </c>
      <c r="F433" s="65" t="s">
        <v>1718</v>
      </c>
      <c r="G433" s="65" t="s">
        <v>1719</v>
      </c>
      <c r="H433" s="65" t="s">
        <v>1720</v>
      </c>
      <c r="I433" s="65" t="s">
        <v>762</v>
      </c>
      <c r="J433" s="65" t="s">
        <v>209</v>
      </c>
      <c r="K433" s="65" t="s">
        <v>37</v>
      </c>
      <c r="L433" s="65" t="s">
        <v>1721</v>
      </c>
      <c r="M433" s="65" t="s">
        <v>1722</v>
      </c>
      <c r="N433" s="65" t="s">
        <v>1719</v>
      </c>
      <c r="O433" s="65" t="s">
        <v>1723</v>
      </c>
      <c r="P433" s="65" t="s">
        <v>1157</v>
      </c>
      <c r="Q433" s="65">
        <v>1</v>
      </c>
      <c r="R433" s="65" t="s">
        <v>42</v>
      </c>
      <c r="S433" s="65" t="s">
        <v>44</v>
      </c>
      <c r="T433" s="65" t="s">
        <v>44</v>
      </c>
      <c r="U433" s="65" t="s">
        <v>45</v>
      </c>
      <c r="V433" s="65" t="s">
        <v>46</v>
      </c>
      <c r="W433" s="65">
        <v>338.98</v>
      </c>
      <c r="X433" s="65" t="s">
        <v>47</v>
      </c>
      <c r="Y433" s="65" t="s">
        <v>48</v>
      </c>
      <c r="Z433" s="65" t="s">
        <v>49</v>
      </c>
      <c r="AA433" s="65">
        <v>969791876</v>
      </c>
      <c r="AB433" s="65" t="s">
        <v>768</v>
      </c>
    </row>
    <row r="434" spans="1:28" x14ac:dyDescent="0.3">
      <c r="A434" s="1">
        <v>46249</v>
      </c>
      <c r="B434" s="65" t="s">
        <v>1724</v>
      </c>
      <c r="C434" s="65" t="s">
        <v>29</v>
      </c>
      <c r="D434" s="65" t="s">
        <v>1725</v>
      </c>
      <c r="E434" s="65" t="s">
        <v>31</v>
      </c>
      <c r="F434" s="65" t="s">
        <v>1726</v>
      </c>
      <c r="G434" s="65" t="s">
        <v>1727</v>
      </c>
      <c r="H434" s="65" t="s">
        <v>1728</v>
      </c>
      <c r="I434" s="65" t="s">
        <v>411</v>
      </c>
      <c r="J434" s="65" t="s">
        <v>412</v>
      </c>
      <c r="K434" s="65" t="s">
        <v>37</v>
      </c>
      <c r="L434" s="65" t="s">
        <v>1729</v>
      </c>
      <c r="M434" s="65" t="s">
        <v>1730</v>
      </c>
      <c r="N434" s="65" t="s">
        <v>1727</v>
      </c>
      <c r="O434" s="65" t="s">
        <v>1731</v>
      </c>
      <c r="P434" s="65" t="s">
        <v>202</v>
      </c>
      <c r="Q434" s="65">
        <v>1</v>
      </c>
      <c r="R434" s="65" t="s">
        <v>42</v>
      </c>
      <c r="S434" s="65" t="s">
        <v>44</v>
      </c>
      <c r="T434" s="65" t="s">
        <v>44</v>
      </c>
      <c r="U434" s="65" t="s">
        <v>45</v>
      </c>
      <c r="V434" s="65" t="s">
        <v>60</v>
      </c>
      <c r="W434" s="65">
        <v>135.59</v>
      </c>
      <c r="X434" s="65" t="s">
        <v>47</v>
      </c>
      <c r="Y434" s="65" t="s">
        <v>48</v>
      </c>
      <c r="Z434" s="65" t="s">
        <v>49</v>
      </c>
      <c r="AA434" s="65">
        <v>982673362</v>
      </c>
      <c r="AB434" s="65" t="s">
        <v>416</v>
      </c>
    </row>
    <row r="435" spans="1:28" x14ac:dyDescent="0.3">
      <c r="A435" s="1">
        <v>46249</v>
      </c>
      <c r="B435" s="65" t="s">
        <v>1732</v>
      </c>
      <c r="C435" s="65" t="s">
        <v>29</v>
      </c>
      <c r="D435" s="65" t="s">
        <v>1733</v>
      </c>
      <c r="E435" s="65" t="s">
        <v>31</v>
      </c>
      <c r="F435" s="65" t="s">
        <v>1734</v>
      </c>
      <c r="G435" s="65" t="s">
        <v>1735</v>
      </c>
      <c r="H435" s="65" t="s">
        <v>1736</v>
      </c>
      <c r="I435" s="65" t="s">
        <v>1311</v>
      </c>
      <c r="J435" s="65" t="s">
        <v>36</v>
      </c>
      <c r="K435" s="65" t="s">
        <v>37</v>
      </c>
      <c r="L435" s="65" t="s">
        <v>1737</v>
      </c>
      <c r="M435" s="65" t="s">
        <v>1738</v>
      </c>
      <c r="N435" s="65" t="s">
        <v>1735</v>
      </c>
      <c r="O435" s="65" t="s">
        <v>1739</v>
      </c>
      <c r="P435" s="65" t="s">
        <v>201</v>
      </c>
      <c r="Q435" s="65">
        <v>1</v>
      </c>
      <c r="R435" s="65" t="s">
        <v>42</v>
      </c>
      <c r="S435" s="65" t="s">
        <v>44</v>
      </c>
      <c r="T435" s="65" t="s">
        <v>44</v>
      </c>
      <c r="U435" s="65" t="s">
        <v>45</v>
      </c>
      <c r="V435" s="65" t="s">
        <v>46</v>
      </c>
      <c r="W435" s="65">
        <v>152.54</v>
      </c>
      <c r="X435" s="65" t="s">
        <v>47</v>
      </c>
      <c r="Y435" s="65" t="s">
        <v>48</v>
      </c>
      <c r="Z435" s="65" t="s">
        <v>49</v>
      </c>
      <c r="AA435" s="65">
        <v>993496032</v>
      </c>
      <c r="AB435" s="65" t="s">
        <v>1316</v>
      </c>
    </row>
    <row r="436" spans="1:28" x14ac:dyDescent="0.3">
      <c r="A436" s="1">
        <v>46249</v>
      </c>
      <c r="B436" s="65" t="s">
        <v>1740</v>
      </c>
      <c r="C436" s="65" t="s">
        <v>268</v>
      </c>
      <c r="D436" s="65" t="s">
        <v>1741</v>
      </c>
      <c r="E436" s="65" t="s">
        <v>31</v>
      </c>
      <c r="F436" s="65" t="s">
        <v>1742</v>
      </c>
      <c r="G436" s="65" t="s">
        <v>1743</v>
      </c>
      <c r="H436" s="65" t="s">
        <v>1744</v>
      </c>
      <c r="I436" s="65"/>
      <c r="J436" s="65"/>
      <c r="K436" s="65" t="s">
        <v>37</v>
      </c>
      <c r="L436" s="65" t="s">
        <v>1745</v>
      </c>
      <c r="M436" s="65" t="s">
        <v>1746</v>
      </c>
      <c r="N436" s="65" t="s">
        <v>1747</v>
      </c>
      <c r="O436" s="65" t="s">
        <v>1748</v>
      </c>
      <c r="P436" s="65" t="s">
        <v>481</v>
      </c>
      <c r="Q436" s="65">
        <v>2</v>
      </c>
      <c r="R436" s="65" t="s">
        <v>42</v>
      </c>
      <c r="S436" s="65" t="s">
        <v>44</v>
      </c>
      <c r="T436" s="65" t="s">
        <v>44</v>
      </c>
      <c r="U436" s="65" t="s">
        <v>45</v>
      </c>
      <c r="V436" s="65" t="s">
        <v>46</v>
      </c>
      <c r="W436" s="65">
        <v>203.39</v>
      </c>
      <c r="X436" s="65" t="s">
        <v>61</v>
      </c>
      <c r="Y436" s="65" t="s">
        <v>48</v>
      </c>
      <c r="Z436" s="65" t="s">
        <v>49</v>
      </c>
      <c r="AA436" s="65"/>
      <c r="AB436" s="65"/>
    </row>
    <row r="437" spans="1:28" x14ac:dyDescent="0.3">
      <c r="A437" s="1">
        <v>46251</v>
      </c>
      <c r="B437" s="65" t="s">
        <v>1749</v>
      </c>
      <c r="C437" s="65" t="s">
        <v>29</v>
      </c>
      <c r="D437" s="65" t="s">
        <v>1750</v>
      </c>
      <c r="E437" s="65" t="s">
        <v>31</v>
      </c>
      <c r="F437" s="65" t="s">
        <v>1751</v>
      </c>
      <c r="G437" s="65" t="s">
        <v>1752</v>
      </c>
      <c r="H437" s="65" t="s">
        <v>1753</v>
      </c>
      <c r="I437" s="65" t="s">
        <v>1322</v>
      </c>
      <c r="J437" s="65" t="s">
        <v>36</v>
      </c>
      <c r="K437" s="65" t="s">
        <v>37</v>
      </c>
      <c r="L437" s="65" t="s">
        <v>1754</v>
      </c>
      <c r="M437" s="65" t="s">
        <v>1755</v>
      </c>
      <c r="N437" s="65" t="s">
        <v>1752</v>
      </c>
      <c r="O437" s="65" t="s">
        <v>1756</v>
      </c>
      <c r="P437" s="65" t="s">
        <v>101</v>
      </c>
      <c r="Q437" s="65">
        <v>1</v>
      </c>
      <c r="R437" s="65" t="s">
        <v>42</v>
      </c>
      <c r="S437" s="65" t="s">
        <v>44</v>
      </c>
      <c r="T437" s="65" t="s">
        <v>44</v>
      </c>
      <c r="U437" s="65" t="s">
        <v>45</v>
      </c>
      <c r="V437" s="65" t="s">
        <v>60</v>
      </c>
      <c r="W437" s="65">
        <v>186.44</v>
      </c>
      <c r="X437" s="65" t="s">
        <v>47</v>
      </c>
      <c r="Y437" s="65" t="s">
        <v>48</v>
      </c>
      <c r="Z437" s="65" t="s">
        <v>49</v>
      </c>
      <c r="AA437" s="65">
        <v>999111362</v>
      </c>
      <c r="AB437" s="65" t="s">
        <v>1326</v>
      </c>
    </row>
    <row r="438" spans="1:28" x14ac:dyDescent="0.3">
      <c r="A438" s="1">
        <v>46251</v>
      </c>
      <c r="B438" s="65" t="s">
        <v>1757</v>
      </c>
      <c r="C438" s="65" t="s">
        <v>29</v>
      </c>
      <c r="D438" s="65" t="s">
        <v>1758</v>
      </c>
      <c r="E438" s="65" t="s">
        <v>31</v>
      </c>
      <c r="F438" s="65" t="s">
        <v>1759</v>
      </c>
      <c r="G438" s="65" t="s">
        <v>1760</v>
      </c>
      <c r="H438" s="65" t="s">
        <v>1761</v>
      </c>
      <c r="I438" s="65" t="s">
        <v>1073</v>
      </c>
      <c r="J438" s="65" t="s">
        <v>97</v>
      </c>
      <c r="K438" s="65" t="s">
        <v>37</v>
      </c>
      <c r="L438" s="65" t="s">
        <v>1762</v>
      </c>
      <c r="M438" s="65" t="s">
        <v>1763</v>
      </c>
      <c r="N438" s="65" t="s">
        <v>1760</v>
      </c>
      <c r="O438" s="65" t="s">
        <v>1764</v>
      </c>
      <c r="P438" s="65" t="s">
        <v>41</v>
      </c>
      <c r="Q438" s="65">
        <v>1</v>
      </c>
      <c r="R438" s="65" t="s">
        <v>70</v>
      </c>
      <c r="S438" s="65" t="s">
        <v>43</v>
      </c>
      <c r="T438" s="65" t="s">
        <v>44</v>
      </c>
      <c r="U438" s="65" t="s">
        <v>71</v>
      </c>
      <c r="V438" s="65" t="s">
        <v>72</v>
      </c>
      <c r="W438" s="65">
        <v>186.44</v>
      </c>
      <c r="X438" s="65" t="s">
        <v>47</v>
      </c>
      <c r="Y438" s="65" t="s">
        <v>48</v>
      </c>
      <c r="Z438" s="65" t="s">
        <v>73</v>
      </c>
      <c r="AA438" s="65">
        <v>999986041</v>
      </c>
      <c r="AB438" s="65" t="s">
        <v>1077</v>
      </c>
    </row>
    <row r="439" spans="1:28" x14ac:dyDescent="0.3">
      <c r="A439" s="1">
        <v>46251</v>
      </c>
      <c r="B439" s="65" t="s">
        <v>1765</v>
      </c>
      <c r="C439" s="65" t="s">
        <v>29</v>
      </c>
      <c r="D439" s="65" t="s">
        <v>1766</v>
      </c>
      <c r="E439" s="65" t="s">
        <v>31</v>
      </c>
      <c r="F439" s="65" t="s">
        <v>1767</v>
      </c>
      <c r="G439" s="65" t="s">
        <v>1768</v>
      </c>
      <c r="H439" s="65" t="s">
        <v>1769</v>
      </c>
      <c r="I439" s="65" t="s">
        <v>1440</v>
      </c>
      <c r="J439" s="65" t="s">
        <v>1098</v>
      </c>
      <c r="K439" s="65" t="s">
        <v>37</v>
      </c>
      <c r="L439" s="65" t="s">
        <v>1770</v>
      </c>
      <c r="M439" s="65" t="s">
        <v>1771</v>
      </c>
      <c r="N439" s="65" t="s">
        <v>1768</v>
      </c>
      <c r="O439" s="65" t="s">
        <v>1772</v>
      </c>
      <c r="P439" s="65" t="s">
        <v>159</v>
      </c>
      <c r="Q439" s="65">
        <v>1</v>
      </c>
      <c r="R439" s="65" t="s">
        <v>42</v>
      </c>
      <c r="S439" s="65" t="s">
        <v>44</v>
      </c>
      <c r="T439" s="65" t="s">
        <v>44</v>
      </c>
      <c r="U439" s="65" t="s">
        <v>45</v>
      </c>
      <c r="V439" s="65" t="s">
        <v>60</v>
      </c>
      <c r="W439" s="65">
        <v>135.59</v>
      </c>
      <c r="X439" s="65" t="s">
        <v>47</v>
      </c>
      <c r="Y439" s="65" t="s">
        <v>48</v>
      </c>
      <c r="Z439" s="65" t="s">
        <v>49</v>
      </c>
      <c r="AA439" s="65">
        <v>999418834</v>
      </c>
      <c r="AB439" s="65" t="s">
        <v>1442</v>
      </c>
    </row>
    <row r="440" spans="1:28" x14ac:dyDescent="0.3">
      <c r="A440" s="1">
        <v>46251</v>
      </c>
      <c r="B440" s="65" t="s">
        <v>1773</v>
      </c>
      <c r="C440" s="65" t="s">
        <v>268</v>
      </c>
      <c r="D440" s="65" t="s">
        <v>1774</v>
      </c>
      <c r="E440" s="65" t="s">
        <v>31</v>
      </c>
      <c r="F440" s="65" t="s">
        <v>1775</v>
      </c>
      <c r="G440" s="65" t="s">
        <v>1776</v>
      </c>
      <c r="H440" s="65" t="s">
        <v>1777</v>
      </c>
      <c r="I440" s="65" t="s">
        <v>477</v>
      </c>
      <c r="J440" s="65" t="s">
        <v>209</v>
      </c>
      <c r="K440" s="65" t="s">
        <v>37</v>
      </c>
      <c r="L440" s="65" t="s">
        <v>1778</v>
      </c>
      <c r="M440" s="65" t="s">
        <v>1779</v>
      </c>
      <c r="N440" s="65" t="s">
        <v>486</v>
      </c>
      <c r="O440" s="65" t="s">
        <v>1780</v>
      </c>
      <c r="P440" s="65" t="s">
        <v>481</v>
      </c>
      <c r="Q440" s="65">
        <v>1</v>
      </c>
      <c r="R440" s="65" t="s">
        <v>42</v>
      </c>
      <c r="S440" s="65" t="s">
        <v>44</v>
      </c>
      <c r="T440" s="65" t="s">
        <v>44</v>
      </c>
      <c r="U440" s="65" t="s">
        <v>45</v>
      </c>
      <c r="V440" s="65" t="s">
        <v>46</v>
      </c>
      <c r="W440" s="65">
        <v>101.69</v>
      </c>
      <c r="X440" s="65" t="s">
        <v>61</v>
      </c>
      <c r="Y440" s="65" t="s">
        <v>48</v>
      </c>
      <c r="Z440" s="65" t="s">
        <v>49</v>
      </c>
      <c r="AA440" s="65">
        <v>982536223</v>
      </c>
      <c r="AB440" s="65" t="s">
        <v>482</v>
      </c>
    </row>
    <row r="441" spans="1:28" x14ac:dyDescent="0.3">
      <c r="A441" s="1">
        <v>46252</v>
      </c>
      <c r="B441" s="65" t="s">
        <v>1781</v>
      </c>
      <c r="C441" s="65" t="s">
        <v>29</v>
      </c>
      <c r="D441" s="65" t="s">
        <v>1782</v>
      </c>
      <c r="E441" s="65" t="s">
        <v>31</v>
      </c>
      <c r="F441" s="65" t="s">
        <v>1783</v>
      </c>
      <c r="G441" s="65" t="s">
        <v>1784</v>
      </c>
      <c r="H441" s="65" t="s">
        <v>1785</v>
      </c>
      <c r="I441" s="65" t="s">
        <v>1232</v>
      </c>
      <c r="J441" s="65" t="s">
        <v>209</v>
      </c>
      <c r="K441" s="65" t="s">
        <v>37</v>
      </c>
      <c r="L441" s="65" t="s">
        <v>1786</v>
      </c>
      <c r="M441" s="65" t="s">
        <v>608</v>
      </c>
      <c r="N441" s="65" t="s">
        <v>1784</v>
      </c>
      <c r="O441" s="65" t="s">
        <v>1787</v>
      </c>
      <c r="P441" s="65" t="s">
        <v>201</v>
      </c>
      <c r="Q441" s="65">
        <v>1</v>
      </c>
      <c r="R441" s="65" t="s">
        <v>42</v>
      </c>
      <c r="S441" s="65" t="s">
        <v>44</v>
      </c>
      <c r="T441" s="65" t="s">
        <v>44</v>
      </c>
      <c r="U441" s="65" t="s">
        <v>45</v>
      </c>
      <c r="V441" s="65" t="s">
        <v>60</v>
      </c>
      <c r="W441" s="65">
        <v>42.37</v>
      </c>
      <c r="X441" s="65" t="s">
        <v>47</v>
      </c>
      <c r="Y441" s="65" t="s">
        <v>48</v>
      </c>
      <c r="Z441" s="65" t="s">
        <v>49</v>
      </c>
      <c r="AA441" s="65"/>
      <c r="AB441" s="65" t="s">
        <v>1236</v>
      </c>
    </row>
    <row r="442" spans="1:28" x14ac:dyDescent="0.3">
      <c r="A442" s="1">
        <v>46252</v>
      </c>
      <c r="B442" s="65" t="s">
        <v>1781</v>
      </c>
      <c r="C442" s="65" t="s">
        <v>29</v>
      </c>
      <c r="D442" s="65" t="s">
        <v>1782</v>
      </c>
      <c r="E442" s="65" t="s">
        <v>31</v>
      </c>
      <c r="F442" s="65" t="s">
        <v>1783</v>
      </c>
      <c r="G442" s="65" t="s">
        <v>1784</v>
      </c>
      <c r="H442" s="65" t="s">
        <v>1785</v>
      </c>
      <c r="I442" s="65" t="s">
        <v>1232</v>
      </c>
      <c r="J442" s="65" t="s">
        <v>209</v>
      </c>
      <c r="K442" s="65" t="s">
        <v>37</v>
      </c>
      <c r="L442" s="65" t="s">
        <v>1786</v>
      </c>
      <c r="M442" s="65" t="s">
        <v>608</v>
      </c>
      <c r="N442" s="65" t="s">
        <v>1784</v>
      </c>
      <c r="O442" s="65" t="s">
        <v>1787</v>
      </c>
      <c r="P442" s="65" t="s">
        <v>202</v>
      </c>
      <c r="Q442" s="65">
        <v>1</v>
      </c>
      <c r="R442" s="65" t="s">
        <v>42</v>
      </c>
      <c r="S442" s="65" t="s">
        <v>44</v>
      </c>
      <c r="T442" s="65" t="s">
        <v>44</v>
      </c>
      <c r="U442" s="65" t="s">
        <v>45</v>
      </c>
      <c r="V442" s="65" t="s">
        <v>60</v>
      </c>
      <c r="W442" s="65">
        <v>42.37</v>
      </c>
      <c r="X442" s="65" t="s">
        <v>47</v>
      </c>
      <c r="Y442" s="65" t="s">
        <v>48</v>
      </c>
      <c r="Z442" s="65" t="s">
        <v>49</v>
      </c>
      <c r="AA442" s="65"/>
      <c r="AB442" s="65" t="s">
        <v>1236</v>
      </c>
    </row>
    <row r="443" spans="1:28" x14ac:dyDescent="0.3">
      <c r="A443" s="1">
        <v>46252</v>
      </c>
      <c r="B443" s="65" t="s">
        <v>1788</v>
      </c>
      <c r="C443" s="65" t="s">
        <v>29</v>
      </c>
      <c r="D443" s="65" t="s">
        <v>1789</v>
      </c>
      <c r="E443" s="65" t="s">
        <v>31</v>
      </c>
      <c r="F443" s="65" t="s">
        <v>1790</v>
      </c>
      <c r="G443" s="65" t="s">
        <v>1791</v>
      </c>
      <c r="H443" s="65" t="s">
        <v>1792</v>
      </c>
      <c r="I443" s="65" t="s">
        <v>774</v>
      </c>
      <c r="J443" s="65" t="s">
        <v>775</v>
      </c>
      <c r="K443" s="65" t="s">
        <v>37</v>
      </c>
      <c r="L443" s="65" t="s">
        <v>1793</v>
      </c>
      <c r="M443" s="65" t="s">
        <v>1794</v>
      </c>
      <c r="N443" s="65" t="s">
        <v>1791</v>
      </c>
      <c r="O443" s="65" t="s">
        <v>1795</v>
      </c>
      <c r="P443" s="65" t="s">
        <v>618</v>
      </c>
      <c r="Q443" s="65">
        <v>1</v>
      </c>
      <c r="R443" s="65" t="s">
        <v>42</v>
      </c>
      <c r="S443" s="65" t="s">
        <v>44</v>
      </c>
      <c r="T443" s="65" t="s">
        <v>44</v>
      </c>
      <c r="U443" s="65" t="s">
        <v>45</v>
      </c>
      <c r="V443" s="65" t="s">
        <v>60</v>
      </c>
      <c r="W443" s="65">
        <v>12.71</v>
      </c>
      <c r="X443" s="65" t="s">
        <v>619</v>
      </c>
      <c r="Y443" s="65" t="s">
        <v>48</v>
      </c>
      <c r="Z443" s="65" t="s">
        <v>49</v>
      </c>
      <c r="AA443" s="65"/>
      <c r="AB443" s="65"/>
    </row>
    <row r="444" spans="1:28" x14ac:dyDescent="0.3">
      <c r="A444" s="1">
        <v>46252</v>
      </c>
      <c r="B444" s="65" t="s">
        <v>1788</v>
      </c>
      <c r="C444" s="65" t="s">
        <v>29</v>
      </c>
      <c r="D444" s="65" t="s">
        <v>1789</v>
      </c>
      <c r="E444" s="65" t="s">
        <v>31</v>
      </c>
      <c r="F444" s="65" t="s">
        <v>1790</v>
      </c>
      <c r="G444" s="65" t="s">
        <v>1791</v>
      </c>
      <c r="H444" s="65" t="s">
        <v>1792</v>
      </c>
      <c r="I444" s="65" t="s">
        <v>774</v>
      </c>
      <c r="J444" s="65" t="s">
        <v>775</v>
      </c>
      <c r="K444" s="65" t="s">
        <v>37</v>
      </c>
      <c r="L444" s="65" t="s">
        <v>1793</v>
      </c>
      <c r="M444" s="65" t="s">
        <v>1794</v>
      </c>
      <c r="N444" s="65" t="s">
        <v>1791</v>
      </c>
      <c r="O444" s="65" t="s">
        <v>1795</v>
      </c>
      <c r="P444" s="65" t="s">
        <v>620</v>
      </c>
      <c r="Q444" s="65">
        <v>1</v>
      </c>
      <c r="R444" s="65" t="s">
        <v>42</v>
      </c>
      <c r="S444" s="65" t="s">
        <v>44</v>
      </c>
      <c r="T444" s="65" t="s">
        <v>44</v>
      </c>
      <c r="U444" s="65" t="s">
        <v>45</v>
      </c>
      <c r="V444" s="65" t="s">
        <v>60</v>
      </c>
      <c r="W444" s="65">
        <v>21.19</v>
      </c>
      <c r="X444" s="65" t="s">
        <v>619</v>
      </c>
      <c r="Y444" s="65" t="s">
        <v>48</v>
      </c>
      <c r="Z444" s="65" t="s">
        <v>49</v>
      </c>
      <c r="AA444" s="65"/>
      <c r="AB444" s="65"/>
    </row>
    <row r="445" spans="1:28" x14ac:dyDescent="0.3">
      <c r="A445" s="1">
        <v>46252</v>
      </c>
      <c r="B445" s="65" t="s">
        <v>1788</v>
      </c>
      <c r="C445" s="65" t="s">
        <v>29</v>
      </c>
      <c r="D445" s="65" t="s">
        <v>1789</v>
      </c>
      <c r="E445" s="65" t="s">
        <v>31</v>
      </c>
      <c r="F445" s="65" t="s">
        <v>1790</v>
      </c>
      <c r="G445" s="65" t="s">
        <v>1791</v>
      </c>
      <c r="H445" s="65" t="s">
        <v>1792</v>
      </c>
      <c r="I445" s="65" t="s">
        <v>774</v>
      </c>
      <c r="J445" s="65" t="s">
        <v>775</v>
      </c>
      <c r="K445" s="65" t="s">
        <v>37</v>
      </c>
      <c r="L445" s="65" t="s">
        <v>1793</v>
      </c>
      <c r="M445" s="65" t="s">
        <v>1794</v>
      </c>
      <c r="N445" s="65" t="s">
        <v>1791</v>
      </c>
      <c r="O445" s="65" t="s">
        <v>1795</v>
      </c>
      <c r="P445" s="65" t="s">
        <v>621</v>
      </c>
      <c r="Q445" s="65">
        <v>1</v>
      </c>
      <c r="R445" s="65" t="s">
        <v>42</v>
      </c>
      <c r="S445" s="65" t="s">
        <v>44</v>
      </c>
      <c r="T445" s="65" t="s">
        <v>44</v>
      </c>
      <c r="U445" s="65" t="s">
        <v>45</v>
      </c>
      <c r="V445" s="65" t="s">
        <v>60</v>
      </c>
      <c r="W445" s="65">
        <v>12.71</v>
      </c>
      <c r="X445" s="65" t="s">
        <v>619</v>
      </c>
      <c r="Y445" s="65" t="s">
        <v>48</v>
      </c>
      <c r="Z445" s="65" t="s">
        <v>49</v>
      </c>
      <c r="AA445" s="65"/>
      <c r="AB445" s="65"/>
    </row>
    <row r="446" spans="1:28" x14ac:dyDescent="0.3">
      <c r="A446" s="1">
        <v>46252</v>
      </c>
      <c r="B446" s="65" t="s">
        <v>1788</v>
      </c>
      <c r="C446" s="65" t="s">
        <v>29</v>
      </c>
      <c r="D446" s="65" t="s">
        <v>1789</v>
      </c>
      <c r="E446" s="65" t="s">
        <v>31</v>
      </c>
      <c r="F446" s="65" t="s">
        <v>1790</v>
      </c>
      <c r="G446" s="65" t="s">
        <v>1791</v>
      </c>
      <c r="H446" s="65" t="s">
        <v>1792</v>
      </c>
      <c r="I446" s="65" t="s">
        <v>774</v>
      </c>
      <c r="J446" s="65" t="s">
        <v>775</v>
      </c>
      <c r="K446" s="65" t="s">
        <v>37</v>
      </c>
      <c r="L446" s="65" t="s">
        <v>1793</v>
      </c>
      <c r="M446" s="65" t="s">
        <v>1794</v>
      </c>
      <c r="N446" s="65" t="s">
        <v>1791</v>
      </c>
      <c r="O446" s="65" t="s">
        <v>1795</v>
      </c>
      <c r="P446" s="65" t="s">
        <v>622</v>
      </c>
      <c r="Q446" s="65">
        <v>1</v>
      </c>
      <c r="R446" s="65" t="s">
        <v>42</v>
      </c>
      <c r="S446" s="65" t="s">
        <v>44</v>
      </c>
      <c r="T446" s="65" t="s">
        <v>44</v>
      </c>
      <c r="U446" s="65" t="s">
        <v>45</v>
      </c>
      <c r="V446" s="65" t="s">
        <v>60</v>
      </c>
      <c r="W446" s="65">
        <v>12.71</v>
      </c>
      <c r="X446" s="65" t="s">
        <v>619</v>
      </c>
      <c r="Y446" s="65" t="s">
        <v>48</v>
      </c>
      <c r="Z446" s="65" t="s">
        <v>49</v>
      </c>
      <c r="AA446" s="65"/>
      <c r="AB446" s="65"/>
    </row>
    <row r="447" spans="1:28" x14ac:dyDescent="0.3">
      <c r="A447" s="1">
        <v>46252</v>
      </c>
      <c r="B447" s="65" t="s">
        <v>1788</v>
      </c>
      <c r="C447" s="65" t="s">
        <v>29</v>
      </c>
      <c r="D447" s="65" t="s">
        <v>1789</v>
      </c>
      <c r="E447" s="65" t="s">
        <v>31</v>
      </c>
      <c r="F447" s="65" t="s">
        <v>1790</v>
      </c>
      <c r="G447" s="65" t="s">
        <v>1791</v>
      </c>
      <c r="H447" s="65" t="s">
        <v>1792</v>
      </c>
      <c r="I447" s="65" t="s">
        <v>774</v>
      </c>
      <c r="J447" s="65" t="s">
        <v>775</v>
      </c>
      <c r="K447" s="65" t="s">
        <v>37</v>
      </c>
      <c r="L447" s="65" t="s">
        <v>1793</v>
      </c>
      <c r="M447" s="65" t="s">
        <v>1794</v>
      </c>
      <c r="N447" s="65" t="s">
        <v>1791</v>
      </c>
      <c r="O447" s="65" t="s">
        <v>1795</v>
      </c>
      <c r="P447" s="65" t="s">
        <v>833</v>
      </c>
      <c r="Q447" s="65">
        <v>1</v>
      </c>
      <c r="R447" s="65" t="s">
        <v>42</v>
      </c>
      <c r="S447" s="65" t="s">
        <v>44</v>
      </c>
      <c r="T447" s="65" t="s">
        <v>44</v>
      </c>
      <c r="U447" s="65" t="s">
        <v>45</v>
      </c>
      <c r="V447" s="65" t="s">
        <v>60</v>
      </c>
      <c r="W447" s="65">
        <v>50.85</v>
      </c>
      <c r="X447" s="65" t="s">
        <v>619</v>
      </c>
      <c r="Y447" s="65" t="s">
        <v>48</v>
      </c>
      <c r="Z447" s="65" t="s">
        <v>49</v>
      </c>
      <c r="AA447" s="65"/>
      <c r="AB447" s="65"/>
    </row>
    <row r="448" spans="1:28" x14ac:dyDescent="0.3">
      <c r="A448" s="1">
        <v>46252</v>
      </c>
      <c r="B448" s="65" t="s">
        <v>1796</v>
      </c>
      <c r="C448" s="65" t="s">
        <v>29</v>
      </c>
      <c r="D448" s="65" t="s">
        <v>1797</v>
      </c>
      <c r="E448" s="65" t="s">
        <v>31</v>
      </c>
      <c r="F448" s="65" t="s">
        <v>1798</v>
      </c>
      <c r="G448" s="65" t="s">
        <v>1791</v>
      </c>
      <c r="H448" s="65" t="s">
        <v>1792</v>
      </c>
      <c r="I448" s="65" t="s">
        <v>1232</v>
      </c>
      <c r="J448" s="65" t="s">
        <v>209</v>
      </c>
      <c r="K448" s="65" t="s">
        <v>37</v>
      </c>
      <c r="L448" s="65" t="s">
        <v>1793</v>
      </c>
      <c r="M448" s="65" t="s">
        <v>1794</v>
      </c>
      <c r="N448" s="65" t="s">
        <v>1791</v>
      </c>
      <c r="O448" s="65" t="s">
        <v>1799</v>
      </c>
      <c r="P448" s="65" t="s">
        <v>201</v>
      </c>
      <c r="Q448" s="65">
        <v>1</v>
      </c>
      <c r="R448" s="65" t="s">
        <v>42</v>
      </c>
      <c r="S448" s="65" t="s">
        <v>44</v>
      </c>
      <c r="T448" s="65" t="s">
        <v>44</v>
      </c>
      <c r="U448" s="65" t="s">
        <v>45</v>
      </c>
      <c r="V448" s="65" t="s">
        <v>60</v>
      </c>
      <c r="W448" s="65">
        <v>42.37</v>
      </c>
      <c r="X448" s="65" t="s">
        <v>47</v>
      </c>
      <c r="Y448" s="65" t="s">
        <v>48</v>
      </c>
      <c r="Z448" s="65" t="s">
        <v>49</v>
      </c>
      <c r="AA448" s="65"/>
      <c r="AB448" s="65" t="s">
        <v>1236</v>
      </c>
    </row>
    <row r="449" spans="1:28" x14ac:dyDescent="0.3">
      <c r="A449" s="1">
        <v>46252</v>
      </c>
      <c r="B449" s="65" t="s">
        <v>1796</v>
      </c>
      <c r="C449" s="65" t="s">
        <v>29</v>
      </c>
      <c r="D449" s="65" t="s">
        <v>1797</v>
      </c>
      <c r="E449" s="65" t="s">
        <v>31</v>
      </c>
      <c r="F449" s="65" t="s">
        <v>1798</v>
      </c>
      <c r="G449" s="65" t="s">
        <v>1791</v>
      </c>
      <c r="H449" s="65" t="s">
        <v>1792</v>
      </c>
      <c r="I449" s="65" t="s">
        <v>1232</v>
      </c>
      <c r="J449" s="65" t="s">
        <v>209</v>
      </c>
      <c r="K449" s="65" t="s">
        <v>37</v>
      </c>
      <c r="L449" s="65" t="s">
        <v>1793</v>
      </c>
      <c r="M449" s="65" t="s">
        <v>1794</v>
      </c>
      <c r="N449" s="65" t="s">
        <v>1791</v>
      </c>
      <c r="O449" s="65" t="s">
        <v>1799</v>
      </c>
      <c r="P449" s="65" t="s">
        <v>202</v>
      </c>
      <c r="Q449" s="65">
        <v>1</v>
      </c>
      <c r="R449" s="65" t="s">
        <v>42</v>
      </c>
      <c r="S449" s="65" t="s">
        <v>44</v>
      </c>
      <c r="T449" s="65" t="s">
        <v>44</v>
      </c>
      <c r="U449" s="65" t="s">
        <v>45</v>
      </c>
      <c r="V449" s="65" t="s">
        <v>60</v>
      </c>
      <c r="W449" s="65">
        <v>42.37</v>
      </c>
      <c r="X449" s="65" t="s">
        <v>47</v>
      </c>
      <c r="Y449" s="65" t="s">
        <v>48</v>
      </c>
      <c r="Z449" s="65" t="s">
        <v>49</v>
      </c>
      <c r="AA449" s="65"/>
      <c r="AB449" s="65" t="s">
        <v>1236</v>
      </c>
    </row>
    <row r="450" spans="1:28" x14ac:dyDescent="0.3">
      <c r="A450" s="1">
        <v>46252</v>
      </c>
      <c r="B450" s="65" t="s">
        <v>1800</v>
      </c>
      <c r="C450" s="65" t="s">
        <v>29</v>
      </c>
      <c r="D450" s="65" t="s">
        <v>1801</v>
      </c>
      <c r="E450" s="65" t="s">
        <v>31</v>
      </c>
      <c r="F450" s="65" t="s">
        <v>1802</v>
      </c>
      <c r="G450" s="65" t="s">
        <v>1803</v>
      </c>
      <c r="H450" s="65" t="s">
        <v>1804</v>
      </c>
      <c r="I450" s="65" t="s">
        <v>136</v>
      </c>
      <c r="J450" s="65" t="s">
        <v>137</v>
      </c>
      <c r="K450" s="65" t="s">
        <v>37</v>
      </c>
      <c r="L450" s="65" t="s">
        <v>1805</v>
      </c>
      <c r="M450" s="65" t="s">
        <v>1806</v>
      </c>
      <c r="N450" s="65" t="s">
        <v>1803</v>
      </c>
      <c r="O450" s="65" t="s">
        <v>1807</v>
      </c>
      <c r="P450" s="65" t="s">
        <v>101</v>
      </c>
      <c r="Q450" s="65">
        <v>1</v>
      </c>
      <c r="R450" s="65" t="s">
        <v>42</v>
      </c>
      <c r="S450" s="65" t="s">
        <v>44</v>
      </c>
      <c r="T450" s="65" t="s">
        <v>44</v>
      </c>
      <c r="U450" s="65" t="s">
        <v>45</v>
      </c>
      <c r="V450" s="65" t="s">
        <v>60</v>
      </c>
      <c r="W450" s="65">
        <v>186.44</v>
      </c>
      <c r="X450" s="65" t="s">
        <v>47</v>
      </c>
      <c r="Y450" s="65" t="s">
        <v>48</v>
      </c>
      <c r="Z450" s="65" t="s">
        <v>49</v>
      </c>
      <c r="AA450" s="65">
        <v>987407712</v>
      </c>
      <c r="AB450" s="65" t="s">
        <v>141</v>
      </c>
    </row>
    <row r="451" spans="1:28" x14ac:dyDescent="0.3">
      <c r="A451" s="1">
        <v>46252</v>
      </c>
      <c r="B451" s="65" t="s">
        <v>1808</v>
      </c>
      <c r="C451" s="65" t="s">
        <v>29</v>
      </c>
      <c r="D451" s="65" t="s">
        <v>1809</v>
      </c>
      <c r="E451" s="65" t="s">
        <v>31</v>
      </c>
      <c r="F451" s="65" t="s">
        <v>1810</v>
      </c>
      <c r="G451" s="65" t="s">
        <v>1811</v>
      </c>
      <c r="H451" s="65" t="s">
        <v>1812</v>
      </c>
      <c r="I451" s="65" t="s">
        <v>1322</v>
      </c>
      <c r="J451" s="65" t="s">
        <v>36</v>
      </c>
      <c r="K451" s="65" t="s">
        <v>37</v>
      </c>
      <c r="L451" s="65" t="s">
        <v>1813</v>
      </c>
      <c r="M451" s="65" t="s">
        <v>1814</v>
      </c>
      <c r="N451" s="65" t="s">
        <v>1811</v>
      </c>
      <c r="O451" s="65" t="s">
        <v>1815</v>
      </c>
      <c r="P451" s="65" t="s">
        <v>202</v>
      </c>
      <c r="Q451" s="65">
        <v>1</v>
      </c>
      <c r="R451" s="65" t="s">
        <v>42</v>
      </c>
      <c r="S451" s="65" t="s">
        <v>44</v>
      </c>
      <c r="T451" s="65" t="s">
        <v>44</v>
      </c>
      <c r="U451" s="65" t="s">
        <v>45</v>
      </c>
      <c r="V451" s="65" t="s">
        <v>60</v>
      </c>
      <c r="W451" s="65">
        <v>42.37</v>
      </c>
      <c r="X451" s="65" t="s">
        <v>47</v>
      </c>
      <c r="Y451" s="65" t="s">
        <v>48</v>
      </c>
      <c r="Z451" s="65" t="s">
        <v>49</v>
      </c>
      <c r="AA451" s="65">
        <v>999111362</v>
      </c>
      <c r="AB451" s="65" t="s">
        <v>1326</v>
      </c>
    </row>
    <row r="452" spans="1:28" x14ac:dyDescent="0.3">
      <c r="A452" s="1">
        <v>46252</v>
      </c>
      <c r="B452" s="65" t="s">
        <v>1808</v>
      </c>
      <c r="C452" s="65" t="s">
        <v>29</v>
      </c>
      <c r="D452" s="65" t="s">
        <v>1809</v>
      </c>
      <c r="E452" s="65" t="s">
        <v>31</v>
      </c>
      <c r="F452" s="65" t="s">
        <v>1810</v>
      </c>
      <c r="G452" s="65" t="s">
        <v>1811</v>
      </c>
      <c r="H452" s="65" t="s">
        <v>1812</v>
      </c>
      <c r="I452" s="65" t="s">
        <v>1322</v>
      </c>
      <c r="J452" s="65" t="s">
        <v>36</v>
      </c>
      <c r="K452" s="65" t="s">
        <v>37</v>
      </c>
      <c r="L452" s="65" t="s">
        <v>1813</v>
      </c>
      <c r="M452" s="65" t="s">
        <v>1814</v>
      </c>
      <c r="N452" s="65" t="s">
        <v>1811</v>
      </c>
      <c r="O452" s="65" t="s">
        <v>1815</v>
      </c>
      <c r="P452" s="65" t="s">
        <v>201</v>
      </c>
      <c r="Q452" s="65">
        <v>1</v>
      </c>
      <c r="R452" s="65" t="s">
        <v>42</v>
      </c>
      <c r="S452" s="65" t="s">
        <v>44</v>
      </c>
      <c r="T452" s="65" t="s">
        <v>44</v>
      </c>
      <c r="U452" s="65" t="s">
        <v>45</v>
      </c>
      <c r="V452" s="65" t="s">
        <v>60</v>
      </c>
      <c r="W452" s="65">
        <v>42.37</v>
      </c>
      <c r="X452" s="65" t="s">
        <v>47</v>
      </c>
      <c r="Y452" s="65" t="s">
        <v>48</v>
      </c>
      <c r="Z452" s="65" t="s">
        <v>49</v>
      </c>
      <c r="AA452" s="65">
        <v>999111362</v>
      </c>
      <c r="AB452" s="65" t="s">
        <v>1326</v>
      </c>
    </row>
    <row r="453" spans="1:28" x14ac:dyDescent="0.3">
      <c r="A453" s="1">
        <v>46252</v>
      </c>
      <c r="B453" s="65" t="s">
        <v>1816</v>
      </c>
      <c r="C453" s="65" t="s">
        <v>29</v>
      </c>
      <c r="D453" s="65" t="s">
        <v>1817</v>
      </c>
      <c r="E453" s="65" t="s">
        <v>31</v>
      </c>
      <c r="F453" s="65" t="s">
        <v>1818</v>
      </c>
      <c r="G453" s="65" t="s">
        <v>1819</v>
      </c>
      <c r="H453" s="65" t="s">
        <v>1820</v>
      </c>
      <c r="I453" s="65" t="s">
        <v>774</v>
      </c>
      <c r="J453" s="65" t="s">
        <v>775</v>
      </c>
      <c r="K453" s="65" t="s">
        <v>37</v>
      </c>
      <c r="L453" s="65" t="s">
        <v>1821</v>
      </c>
      <c r="M453" s="65" t="s">
        <v>1822</v>
      </c>
      <c r="N453" s="65" t="s">
        <v>1819</v>
      </c>
      <c r="O453" s="65" t="s">
        <v>1823</v>
      </c>
      <c r="P453" s="65" t="s">
        <v>201</v>
      </c>
      <c r="Q453" s="65">
        <v>1</v>
      </c>
      <c r="R453" s="65" t="s">
        <v>42</v>
      </c>
      <c r="S453" s="65" t="s">
        <v>44</v>
      </c>
      <c r="T453" s="65" t="s">
        <v>44</v>
      </c>
      <c r="U453" s="65" t="s">
        <v>45</v>
      </c>
      <c r="V453" s="65" t="s">
        <v>60</v>
      </c>
      <c r="W453" s="65">
        <v>42.37</v>
      </c>
      <c r="X453" s="65" t="s">
        <v>47</v>
      </c>
      <c r="Y453" s="65" t="s">
        <v>48</v>
      </c>
      <c r="Z453" s="65" t="s">
        <v>49</v>
      </c>
      <c r="AA453" s="65"/>
      <c r="AB453" s="65"/>
    </row>
    <row r="454" spans="1:28" x14ac:dyDescent="0.3">
      <c r="A454" s="1">
        <v>46252</v>
      </c>
      <c r="B454" s="65" t="s">
        <v>1816</v>
      </c>
      <c r="C454" s="65" t="s">
        <v>29</v>
      </c>
      <c r="D454" s="65" t="s">
        <v>1817</v>
      </c>
      <c r="E454" s="65" t="s">
        <v>31</v>
      </c>
      <c r="F454" s="65" t="s">
        <v>1818</v>
      </c>
      <c r="G454" s="65" t="s">
        <v>1819</v>
      </c>
      <c r="H454" s="65" t="s">
        <v>1820</v>
      </c>
      <c r="I454" s="65" t="s">
        <v>774</v>
      </c>
      <c r="J454" s="65" t="s">
        <v>775</v>
      </c>
      <c r="K454" s="65" t="s">
        <v>37</v>
      </c>
      <c r="L454" s="65" t="s">
        <v>1821</v>
      </c>
      <c r="M454" s="65" t="s">
        <v>1822</v>
      </c>
      <c r="N454" s="65" t="s">
        <v>1819</v>
      </c>
      <c r="O454" s="65" t="s">
        <v>1823</v>
      </c>
      <c r="P454" s="65" t="s">
        <v>202</v>
      </c>
      <c r="Q454" s="65">
        <v>1</v>
      </c>
      <c r="R454" s="65" t="s">
        <v>42</v>
      </c>
      <c r="S454" s="65" t="s">
        <v>44</v>
      </c>
      <c r="T454" s="65" t="s">
        <v>44</v>
      </c>
      <c r="U454" s="65" t="s">
        <v>45</v>
      </c>
      <c r="V454" s="65" t="s">
        <v>60</v>
      </c>
      <c r="W454" s="65">
        <v>42.37</v>
      </c>
      <c r="X454" s="65" t="s">
        <v>47</v>
      </c>
      <c r="Y454" s="65" t="s">
        <v>48</v>
      </c>
      <c r="Z454" s="65" t="s">
        <v>49</v>
      </c>
      <c r="AA454" s="65"/>
      <c r="AB454" s="65"/>
    </row>
    <row r="455" spans="1:28" x14ac:dyDescent="0.3">
      <c r="A455" s="1">
        <v>46252</v>
      </c>
      <c r="B455" s="65" t="s">
        <v>1824</v>
      </c>
      <c r="C455" s="65" t="s">
        <v>29</v>
      </c>
      <c r="D455" s="65" t="s">
        <v>1825</v>
      </c>
      <c r="E455" s="65" t="s">
        <v>31</v>
      </c>
      <c r="F455" s="65" t="s">
        <v>1826</v>
      </c>
      <c r="G455" s="65" t="s">
        <v>1827</v>
      </c>
      <c r="H455" s="65" t="s">
        <v>1828</v>
      </c>
      <c r="I455" s="65" t="s">
        <v>1829</v>
      </c>
      <c r="J455" s="65" t="s">
        <v>262</v>
      </c>
      <c r="K455" s="65" t="s">
        <v>37</v>
      </c>
      <c r="L455" s="65" t="s">
        <v>1830</v>
      </c>
      <c r="M455" s="65" t="s">
        <v>1814</v>
      </c>
      <c r="N455" s="65" t="s">
        <v>1827</v>
      </c>
      <c r="O455" s="65" t="s">
        <v>1831</v>
      </c>
      <c r="P455" s="65" t="s">
        <v>41</v>
      </c>
      <c r="Q455" s="65">
        <v>1</v>
      </c>
      <c r="R455" s="65" t="s">
        <v>42</v>
      </c>
      <c r="S455" s="65" t="s">
        <v>44</v>
      </c>
      <c r="T455" s="65" t="s">
        <v>44</v>
      </c>
      <c r="U455" s="65" t="s">
        <v>45</v>
      </c>
      <c r="V455" s="65" t="s">
        <v>60</v>
      </c>
      <c r="W455" s="65">
        <v>186.44</v>
      </c>
      <c r="X455" s="65" t="s">
        <v>47</v>
      </c>
      <c r="Y455" s="65" t="s">
        <v>48</v>
      </c>
      <c r="Z455" s="65" t="s">
        <v>49</v>
      </c>
      <c r="AA455" s="65">
        <v>999700200</v>
      </c>
      <c r="AB455" s="65" t="s">
        <v>1832</v>
      </c>
    </row>
    <row r="456" spans="1:28" x14ac:dyDescent="0.3">
      <c r="A456" s="1">
        <v>46252</v>
      </c>
      <c r="B456" s="65" t="s">
        <v>1833</v>
      </c>
      <c r="C456" s="65" t="s">
        <v>268</v>
      </c>
      <c r="D456" s="65" t="s">
        <v>1834</v>
      </c>
      <c r="E456" s="65" t="s">
        <v>31</v>
      </c>
      <c r="F456" s="65" t="s">
        <v>1835</v>
      </c>
      <c r="G456" s="65" t="s">
        <v>1836</v>
      </c>
      <c r="H456" s="65" t="s">
        <v>1837</v>
      </c>
      <c r="I456" s="65"/>
      <c r="J456" s="65"/>
      <c r="K456" s="65" t="s">
        <v>37</v>
      </c>
      <c r="L456" s="65" t="s">
        <v>1838</v>
      </c>
      <c r="M456" s="65" t="s">
        <v>1839</v>
      </c>
      <c r="N456" s="65" t="s">
        <v>1840</v>
      </c>
      <c r="O456" s="65" t="s">
        <v>1841</v>
      </c>
      <c r="P456" s="65" t="s">
        <v>288</v>
      </c>
      <c r="Q456" s="65">
        <v>1</v>
      </c>
      <c r="R456" s="65" t="s">
        <v>42</v>
      </c>
      <c r="S456" s="65" t="s">
        <v>44</v>
      </c>
      <c r="T456" s="65" t="s">
        <v>44</v>
      </c>
      <c r="U456" s="65" t="s">
        <v>45</v>
      </c>
      <c r="V456" s="65" t="s">
        <v>46</v>
      </c>
      <c r="W456" s="65">
        <v>0</v>
      </c>
      <c r="X456" s="65" t="s">
        <v>289</v>
      </c>
      <c r="Y456" s="65" t="s">
        <v>48</v>
      </c>
      <c r="Z456" s="65" t="s">
        <v>49</v>
      </c>
      <c r="AA456" s="65"/>
      <c r="AB456" s="65"/>
    </row>
    <row r="457" spans="1:28" x14ac:dyDescent="0.3">
      <c r="A457" s="1">
        <v>46252</v>
      </c>
      <c r="B457" s="65" t="s">
        <v>1833</v>
      </c>
      <c r="C457" s="65" t="s">
        <v>268</v>
      </c>
      <c r="D457" s="65" t="s">
        <v>1834</v>
      </c>
      <c r="E457" s="65" t="s">
        <v>31</v>
      </c>
      <c r="F457" s="65" t="s">
        <v>1835</v>
      </c>
      <c r="G457" s="65" t="s">
        <v>1836</v>
      </c>
      <c r="H457" s="65" t="s">
        <v>1837</v>
      </c>
      <c r="I457" s="65"/>
      <c r="J457" s="65"/>
      <c r="K457" s="65" t="s">
        <v>37</v>
      </c>
      <c r="L457" s="65" t="s">
        <v>1838</v>
      </c>
      <c r="M457" s="65" t="s">
        <v>1839</v>
      </c>
      <c r="N457" s="65" t="s">
        <v>1840</v>
      </c>
      <c r="O457" s="65" t="s">
        <v>1841</v>
      </c>
      <c r="P457" s="65" t="s">
        <v>973</v>
      </c>
      <c r="Q457" s="65">
        <v>1</v>
      </c>
      <c r="R457" s="65" t="s">
        <v>42</v>
      </c>
      <c r="S457" s="65" t="s">
        <v>44</v>
      </c>
      <c r="T457" s="65" t="s">
        <v>44</v>
      </c>
      <c r="U457" s="65" t="s">
        <v>45</v>
      </c>
      <c r="V457" s="65" t="s">
        <v>46</v>
      </c>
      <c r="W457" s="65">
        <v>1016.95</v>
      </c>
      <c r="X457" s="65" t="s">
        <v>289</v>
      </c>
      <c r="Y457" s="65" t="s">
        <v>48</v>
      </c>
      <c r="Z457" s="65" t="s">
        <v>49</v>
      </c>
      <c r="AA457" s="65"/>
      <c r="AB457" s="65"/>
    </row>
    <row r="458" spans="1:28" x14ac:dyDescent="0.3">
      <c r="A458" s="1">
        <v>46252</v>
      </c>
      <c r="B458" s="65" t="s">
        <v>1842</v>
      </c>
      <c r="C458" s="65" t="s">
        <v>268</v>
      </c>
      <c r="D458" s="65" t="s">
        <v>1843</v>
      </c>
      <c r="E458" s="65" t="s">
        <v>31</v>
      </c>
      <c r="F458" s="65" t="s">
        <v>1844</v>
      </c>
      <c r="G458" s="65" t="s">
        <v>1784</v>
      </c>
      <c r="H458" s="65" t="s">
        <v>1785</v>
      </c>
      <c r="I458" s="65" t="s">
        <v>774</v>
      </c>
      <c r="J458" s="65" t="s">
        <v>775</v>
      </c>
      <c r="K458" s="65" t="s">
        <v>37</v>
      </c>
      <c r="L458" s="65" t="s">
        <v>1786</v>
      </c>
      <c r="M458" s="65" t="s">
        <v>608</v>
      </c>
      <c r="N458" s="65" t="s">
        <v>798</v>
      </c>
      <c r="O458" s="65" t="s">
        <v>1845</v>
      </c>
      <c r="P458" s="65" t="s">
        <v>288</v>
      </c>
      <c r="Q458" s="65">
        <v>1</v>
      </c>
      <c r="R458" s="65" t="s">
        <v>42</v>
      </c>
      <c r="S458" s="65" t="s">
        <v>44</v>
      </c>
      <c r="T458" s="65" t="s">
        <v>44</v>
      </c>
      <c r="U458" s="65" t="s">
        <v>45</v>
      </c>
      <c r="V458" s="65" t="s">
        <v>60</v>
      </c>
      <c r="W458" s="65">
        <v>0</v>
      </c>
      <c r="X458" s="65" t="s">
        <v>289</v>
      </c>
      <c r="Y458" s="65" t="s">
        <v>48</v>
      </c>
      <c r="Z458" s="65" t="s">
        <v>49</v>
      </c>
      <c r="AA458" s="65"/>
      <c r="AB458" s="65"/>
    </row>
    <row r="459" spans="1:28" x14ac:dyDescent="0.3">
      <c r="A459" s="1">
        <v>46252</v>
      </c>
      <c r="B459" s="65" t="s">
        <v>1842</v>
      </c>
      <c r="C459" s="65" t="s">
        <v>268</v>
      </c>
      <c r="D459" s="65" t="s">
        <v>1843</v>
      </c>
      <c r="E459" s="65" t="s">
        <v>31</v>
      </c>
      <c r="F459" s="65" t="s">
        <v>1844</v>
      </c>
      <c r="G459" s="65" t="s">
        <v>1784</v>
      </c>
      <c r="H459" s="65" t="s">
        <v>1785</v>
      </c>
      <c r="I459" s="65" t="s">
        <v>774</v>
      </c>
      <c r="J459" s="65" t="s">
        <v>775</v>
      </c>
      <c r="K459" s="65" t="s">
        <v>37</v>
      </c>
      <c r="L459" s="65" t="s">
        <v>1786</v>
      </c>
      <c r="M459" s="65" t="s">
        <v>608</v>
      </c>
      <c r="N459" s="65" t="s">
        <v>798</v>
      </c>
      <c r="O459" s="65" t="s">
        <v>1845</v>
      </c>
      <c r="P459" s="65" t="s">
        <v>290</v>
      </c>
      <c r="Q459" s="65">
        <v>1</v>
      </c>
      <c r="R459" s="65" t="s">
        <v>42</v>
      </c>
      <c r="S459" s="65" t="s">
        <v>44</v>
      </c>
      <c r="T459" s="65" t="s">
        <v>44</v>
      </c>
      <c r="U459" s="65" t="s">
        <v>45</v>
      </c>
      <c r="V459" s="65" t="s">
        <v>60</v>
      </c>
      <c r="W459" s="65">
        <v>1525.42</v>
      </c>
      <c r="X459" s="65" t="s">
        <v>289</v>
      </c>
      <c r="Y459" s="65" t="s">
        <v>48</v>
      </c>
      <c r="Z459" s="65" t="s">
        <v>49</v>
      </c>
      <c r="AA459" s="65"/>
      <c r="AB459" s="65"/>
    </row>
    <row r="460" spans="1:28" x14ac:dyDescent="0.3">
      <c r="A460" s="1">
        <v>46252</v>
      </c>
      <c r="B460" s="65" t="s">
        <v>1846</v>
      </c>
      <c r="C460" s="65" t="s">
        <v>268</v>
      </c>
      <c r="D460" s="65" t="s">
        <v>1847</v>
      </c>
      <c r="E460" s="65" t="s">
        <v>31</v>
      </c>
      <c r="F460" s="65" t="s">
        <v>1848</v>
      </c>
      <c r="G460" s="65" t="s">
        <v>1791</v>
      </c>
      <c r="H460" s="65" t="s">
        <v>1792</v>
      </c>
      <c r="I460" s="65" t="s">
        <v>774</v>
      </c>
      <c r="J460" s="65" t="s">
        <v>775</v>
      </c>
      <c r="K460" s="65" t="s">
        <v>37</v>
      </c>
      <c r="L460" s="65" t="s">
        <v>1793</v>
      </c>
      <c r="M460" s="65" t="s">
        <v>1794</v>
      </c>
      <c r="N460" s="65" t="s">
        <v>798</v>
      </c>
      <c r="O460" s="65" t="s">
        <v>1849</v>
      </c>
      <c r="P460" s="65" t="s">
        <v>288</v>
      </c>
      <c r="Q460" s="65">
        <v>1</v>
      </c>
      <c r="R460" s="65" t="s">
        <v>42</v>
      </c>
      <c r="S460" s="65" t="s">
        <v>44</v>
      </c>
      <c r="T460" s="65" t="s">
        <v>44</v>
      </c>
      <c r="U460" s="65" t="s">
        <v>45</v>
      </c>
      <c r="V460" s="65" t="s">
        <v>60</v>
      </c>
      <c r="W460" s="65">
        <v>0</v>
      </c>
      <c r="X460" s="65" t="s">
        <v>289</v>
      </c>
      <c r="Y460" s="65" t="s">
        <v>48</v>
      </c>
      <c r="Z460" s="65" t="s">
        <v>49</v>
      </c>
      <c r="AA460" s="65"/>
      <c r="AB460" s="65"/>
    </row>
    <row r="461" spans="1:28" x14ac:dyDescent="0.3">
      <c r="A461" s="1">
        <v>46252</v>
      </c>
      <c r="B461" s="65" t="s">
        <v>1846</v>
      </c>
      <c r="C461" s="65" t="s">
        <v>268</v>
      </c>
      <c r="D461" s="65" t="s">
        <v>1847</v>
      </c>
      <c r="E461" s="65" t="s">
        <v>31</v>
      </c>
      <c r="F461" s="65" t="s">
        <v>1848</v>
      </c>
      <c r="G461" s="65" t="s">
        <v>1791</v>
      </c>
      <c r="H461" s="65" t="s">
        <v>1792</v>
      </c>
      <c r="I461" s="65" t="s">
        <v>774</v>
      </c>
      <c r="J461" s="65" t="s">
        <v>775</v>
      </c>
      <c r="K461" s="65" t="s">
        <v>37</v>
      </c>
      <c r="L461" s="65" t="s">
        <v>1793</v>
      </c>
      <c r="M461" s="65" t="s">
        <v>1794</v>
      </c>
      <c r="N461" s="65" t="s">
        <v>798</v>
      </c>
      <c r="O461" s="65" t="s">
        <v>1849</v>
      </c>
      <c r="P461" s="65" t="s">
        <v>290</v>
      </c>
      <c r="Q461" s="65">
        <v>1</v>
      </c>
      <c r="R461" s="65" t="s">
        <v>42</v>
      </c>
      <c r="S461" s="65" t="s">
        <v>44</v>
      </c>
      <c r="T461" s="65" t="s">
        <v>44</v>
      </c>
      <c r="U461" s="65" t="s">
        <v>45</v>
      </c>
      <c r="V461" s="65" t="s">
        <v>60</v>
      </c>
      <c r="W461" s="65">
        <v>762.71</v>
      </c>
      <c r="X461" s="65" t="s">
        <v>289</v>
      </c>
      <c r="Y461" s="65" t="s">
        <v>48</v>
      </c>
      <c r="Z461" s="65" t="s">
        <v>49</v>
      </c>
      <c r="AA461" s="65"/>
      <c r="AB461" s="65"/>
    </row>
    <row r="462" spans="1:28" x14ac:dyDescent="0.3">
      <c r="A462" s="1">
        <v>46252</v>
      </c>
      <c r="B462" s="65" t="s">
        <v>1850</v>
      </c>
      <c r="C462" s="65" t="s">
        <v>268</v>
      </c>
      <c r="D462" s="65" t="s">
        <v>1851</v>
      </c>
      <c r="E462" s="65" t="s">
        <v>31</v>
      </c>
      <c r="F462" s="65" t="s">
        <v>1852</v>
      </c>
      <c r="G462" s="65" t="s">
        <v>1819</v>
      </c>
      <c r="H462" s="65" t="s">
        <v>1820</v>
      </c>
      <c r="I462" s="65"/>
      <c r="J462" s="65"/>
      <c r="K462" s="65" t="s">
        <v>37</v>
      </c>
      <c r="L462" s="65" t="s">
        <v>1821</v>
      </c>
      <c r="M462" s="65" t="s">
        <v>1822</v>
      </c>
      <c r="N462" s="65" t="s">
        <v>798</v>
      </c>
      <c r="O462" s="65" t="s">
        <v>1853</v>
      </c>
      <c r="P462" s="65" t="s">
        <v>288</v>
      </c>
      <c r="Q462" s="65">
        <v>1</v>
      </c>
      <c r="R462" s="65" t="s">
        <v>42</v>
      </c>
      <c r="S462" s="65" t="s">
        <v>44</v>
      </c>
      <c r="T462" s="65" t="s">
        <v>44</v>
      </c>
      <c r="U462" s="65" t="s">
        <v>45</v>
      </c>
      <c r="V462" s="65" t="s">
        <v>60</v>
      </c>
      <c r="W462" s="65">
        <v>0</v>
      </c>
      <c r="X462" s="65" t="s">
        <v>289</v>
      </c>
      <c r="Y462" s="65" t="s">
        <v>48</v>
      </c>
      <c r="Z462" s="65" t="s">
        <v>49</v>
      </c>
      <c r="AA462" s="65"/>
      <c r="AB462" s="65"/>
    </row>
    <row r="463" spans="1:28" x14ac:dyDescent="0.3">
      <c r="A463" s="1">
        <v>46252</v>
      </c>
      <c r="B463" s="65" t="s">
        <v>1850</v>
      </c>
      <c r="C463" s="65" t="s">
        <v>268</v>
      </c>
      <c r="D463" s="65" t="s">
        <v>1851</v>
      </c>
      <c r="E463" s="65" t="s">
        <v>31</v>
      </c>
      <c r="F463" s="65" t="s">
        <v>1852</v>
      </c>
      <c r="G463" s="65" t="s">
        <v>1819</v>
      </c>
      <c r="H463" s="65" t="s">
        <v>1820</v>
      </c>
      <c r="I463" s="65"/>
      <c r="J463" s="65"/>
      <c r="K463" s="65" t="s">
        <v>37</v>
      </c>
      <c r="L463" s="65" t="s">
        <v>1821</v>
      </c>
      <c r="M463" s="65" t="s">
        <v>1822</v>
      </c>
      <c r="N463" s="65" t="s">
        <v>798</v>
      </c>
      <c r="O463" s="65" t="s">
        <v>1853</v>
      </c>
      <c r="P463" s="65" t="s">
        <v>290</v>
      </c>
      <c r="Q463" s="65">
        <v>1</v>
      </c>
      <c r="R463" s="65" t="s">
        <v>42</v>
      </c>
      <c r="S463" s="65" t="s">
        <v>44</v>
      </c>
      <c r="T463" s="65" t="s">
        <v>44</v>
      </c>
      <c r="U463" s="65" t="s">
        <v>45</v>
      </c>
      <c r="V463" s="65" t="s">
        <v>60</v>
      </c>
      <c r="W463" s="65">
        <v>1525.42</v>
      </c>
      <c r="X463" s="65" t="s">
        <v>289</v>
      </c>
      <c r="Y463" s="65" t="s">
        <v>48</v>
      </c>
      <c r="Z463" s="65" t="s">
        <v>49</v>
      </c>
      <c r="AA463" s="65"/>
      <c r="AB463" s="65"/>
    </row>
    <row r="464" spans="1:28" x14ac:dyDescent="0.3">
      <c r="A464" s="1">
        <v>46252</v>
      </c>
      <c r="B464" s="65" t="s">
        <v>1854</v>
      </c>
      <c r="C464" s="65" t="s">
        <v>268</v>
      </c>
      <c r="D464" s="65" t="s">
        <v>1855</v>
      </c>
      <c r="E464" s="65" t="s">
        <v>31</v>
      </c>
      <c r="F464" s="65" t="s">
        <v>1856</v>
      </c>
      <c r="G464" s="65" t="s">
        <v>1811</v>
      </c>
      <c r="H464" s="65" t="s">
        <v>1812</v>
      </c>
      <c r="I464" s="65" t="s">
        <v>774</v>
      </c>
      <c r="J464" s="65" t="s">
        <v>775</v>
      </c>
      <c r="K464" s="65" t="s">
        <v>37</v>
      </c>
      <c r="L464" s="65" t="s">
        <v>1813</v>
      </c>
      <c r="M464" s="65" t="s">
        <v>1814</v>
      </c>
      <c r="N464" s="65" t="s">
        <v>798</v>
      </c>
      <c r="O464" s="65" t="s">
        <v>1857</v>
      </c>
      <c r="P464" s="65" t="s">
        <v>288</v>
      </c>
      <c r="Q464" s="65">
        <v>1</v>
      </c>
      <c r="R464" s="65" t="s">
        <v>42</v>
      </c>
      <c r="S464" s="65" t="s">
        <v>44</v>
      </c>
      <c r="T464" s="65" t="s">
        <v>44</v>
      </c>
      <c r="U464" s="65" t="s">
        <v>45</v>
      </c>
      <c r="V464" s="65" t="s">
        <v>60</v>
      </c>
      <c r="W464" s="65">
        <v>0</v>
      </c>
      <c r="X464" s="65" t="s">
        <v>289</v>
      </c>
      <c r="Y464" s="65" t="s">
        <v>48</v>
      </c>
      <c r="Z464" s="65" t="s">
        <v>49</v>
      </c>
      <c r="AA464" s="65"/>
      <c r="AB464" s="65"/>
    </row>
    <row r="465" spans="1:28" x14ac:dyDescent="0.3">
      <c r="A465" s="1">
        <v>46252</v>
      </c>
      <c r="B465" s="65" t="s">
        <v>1854</v>
      </c>
      <c r="C465" s="65" t="s">
        <v>268</v>
      </c>
      <c r="D465" s="65" t="s">
        <v>1855</v>
      </c>
      <c r="E465" s="65" t="s">
        <v>31</v>
      </c>
      <c r="F465" s="65" t="s">
        <v>1856</v>
      </c>
      <c r="G465" s="65" t="s">
        <v>1811</v>
      </c>
      <c r="H465" s="65" t="s">
        <v>1812</v>
      </c>
      <c r="I465" s="65" t="s">
        <v>774</v>
      </c>
      <c r="J465" s="65" t="s">
        <v>775</v>
      </c>
      <c r="K465" s="65" t="s">
        <v>37</v>
      </c>
      <c r="L465" s="65" t="s">
        <v>1813</v>
      </c>
      <c r="M465" s="65" t="s">
        <v>1814</v>
      </c>
      <c r="N465" s="65" t="s">
        <v>798</v>
      </c>
      <c r="O465" s="65" t="s">
        <v>1857</v>
      </c>
      <c r="P465" s="65" t="s">
        <v>290</v>
      </c>
      <c r="Q465" s="65">
        <v>1</v>
      </c>
      <c r="R465" s="65" t="s">
        <v>42</v>
      </c>
      <c r="S465" s="65" t="s">
        <v>44</v>
      </c>
      <c r="T465" s="65" t="s">
        <v>44</v>
      </c>
      <c r="U465" s="65" t="s">
        <v>45</v>
      </c>
      <c r="V465" s="65" t="s">
        <v>60</v>
      </c>
      <c r="W465" s="65">
        <v>762.71</v>
      </c>
      <c r="X465" s="65" t="s">
        <v>289</v>
      </c>
      <c r="Y465" s="65" t="s">
        <v>48</v>
      </c>
      <c r="Z465" s="65" t="s">
        <v>49</v>
      </c>
      <c r="AA465" s="65"/>
      <c r="AB465" s="65"/>
    </row>
    <row r="466" spans="1:28" x14ac:dyDescent="0.3">
      <c r="A466" s="1">
        <v>46252</v>
      </c>
      <c r="B466" s="65" t="s">
        <v>1858</v>
      </c>
      <c r="C466" s="65" t="s">
        <v>29</v>
      </c>
      <c r="D466" s="65" t="s">
        <v>1859</v>
      </c>
      <c r="E466" s="65" t="s">
        <v>31</v>
      </c>
      <c r="F466" s="65" t="s">
        <v>1860</v>
      </c>
      <c r="G466" s="65" t="s">
        <v>1861</v>
      </c>
      <c r="H466" s="65" t="s">
        <v>1862</v>
      </c>
      <c r="I466" s="65" t="s">
        <v>4680</v>
      </c>
      <c r="J466" s="65" t="s">
        <v>1864</v>
      </c>
      <c r="K466" s="65" t="s">
        <v>37</v>
      </c>
      <c r="L466" s="65" t="s">
        <v>1865</v>
      </c>
      <c r="M466" s="65" t="s">
        <v>1866</v>
      </c>
      <c r="N466" s="65" t="s">
        <v>1861</v>
      </c>
      <c r="O466" s="65" t="s">
        <v>1867</v>
      </c>
      <c r="P466" s="65" t="s">
        <v>202</v>
      </c>
      <c r="Q466" s="65">
        <v>1</v>
      </c>
      <c r="R466" s="65" t="s">
        <v>42</v>
      </c>
      <c r="S466" s="65" t="s">
        <v>44</v>
      </c>
      <c r="T466" s="65" t="s">
        <v>44</v>
      </c>
      <c r="U466" s="65" t="s">
        <v>45</v>
      </c>
      <c r="V466" s="65" t="s">
        <v>60</v>
      </c>
      <c r="W466" s="65">
        <v>135.59</v>
      </c>
      <c r="X466" s="65" t="s">
        <v>47</v>
      </c>
      <c r="Y466" s="65" t="s">
        <v>48</v>
      </c>
      <c r="Z466" s="65" t="s">
        <v>49</v>
      </c>
      <c r="AA466" s="65">
        <v>901918745</v>
      </c>
      <c r="AB466" s="65"/>
    </row>
    <row r="467" spans="1:28" x14ac:dyDescent="0.3">
      <c r="A467" s="1">
        <v>46253</v>
      </c>
      <c r="B467" s="65" t="s">
        <v>1868</v>
      </c>
      <c r="C467" s="65" t="s">
        <v>268</v>
      </c>
      <c r="D467" s="65" t="s">
        <v>1869</v>
      </c>
      <c r="E467" s="65" t="s">
        <v>31</v>
      </c>
      <c r="F467" s="65" t="s">
        <v>1870</v>
      </c>
      <c r="G467" s="65" t="s">
        <v>1871</v>
      </c>
      <c r="H467" s="65" t="s">
        <v>1872</v>
      </c>
      <c r="I467" s="65" t="s">
        <v>1873</v>
      </c>
      <c r="J467" s="65"/>
      <c r="K467" s="65" t="s">
        <v>37</v>
      </c>
      <c r="L467" s="65" t="s">
        <v>1874</v>
      </c>
      <c r="M467" s="65" t="s">
        <v>1875</v>
      </c>
      <c r="N467" s="65" t="s">
        <v>1876</v>
      </c>
      <c r="O467" s="65" t="s">
        <v>1877</v>
      </c>
      <c r="P467" s="65" t="s">
        <v>202</v>
      </c>
      <c r="Q467" s="65">
        <v>1</v>
      </c>
      <c r="R467" s="65" t="s">
        <v>42</v>
      </c>
      <c r="S467" s="65" t="s">
        <v>44</v>
      </c>
      <c r="T467" s="65" t="s">
        <v>44</v>
      </c>
      <c r="U467" s="65" t="s">
        <v>45</v>
      </c>
      <c r="V467" s="65" t="s">
        <v>46</v>
      </c>
      <c r="W467" s="65">
        <v>135.59</v>
      </c>
      <c r="X467" s="65" t="s">
        <v>47</v>
      </c>
      <c r="Y467" s="65" t="s">
        <v>48</v>
      </c>
      <c r="Z467" s="65" t="s">
        <v>49</v>
      </c>
      <c r="AA467" s="65"/>
      <c r="AB467" s="65"/>
    </row>
    <row r="468" spans="1:28" x14ac:dyDescent="0.3">
      <c r="A468" s="1">
        <v>46253</v>
      </c>
      <c r="B468" s="65" t="s">
        <v>1878</v>
      </c>
      <c r="C468" s="65" t="s">
        <v>29</v>
      </c>
      <c r="D468" s="65" t="s">
        <v>1879</v>
      </c>
      <c r="E468" s="65" t="s">
        <v>31</v>
      </c>
      <c r="F468" s="65" t="s">
        <v>1880</v>
      </c>
      <c r="G468" s="65" t="s">
        <v>1881</v>
      </c>
      <c r="H468" s="65" t="s">
        <v>1882</v>
      </c>
      <c r="I468" s="65" t="s">
        <v>662</v>
      </c>
      <c r="J468" s="65" t="s">
        <v>36</v>
      </c>
      <c r="K468" s="65" t="s">
        <v>37</v>
      </c>
      <c r="L468" s="65" t="s">
        <v>1883</v>
      </c>
      <c r="M468" s="65" t="s">
        <v>1884</v>
      </c>
      <c r="N468" s="65" t="s">
        <v>1881</v>
      </c>
      <c r="O468" s="65" t="s">
        <v>1885</v>
      </c>
      <c r="P468" s="65" t="s">
        <v>101</v>
      </c>
      <c r="Q468" s="65">
        <v>1</v>
      </c>
      <c r="R468" s="65" t="s">
        <v>42</v>
      </c>
      <c r="S468" s="65" t="s">
        <v>44</v>
      </c>
      <c r="T468" s="65" t="s">
        <v>44</v>
      </c>
      <c r="U468" s="65" t="s">
        <v>45</v>
      </c>
      <c r="V468" s="65" t="s">
        <v>46</v>
      </c>
      <c r="W468" s="65">
        <v>186.44</v>
      </c>
      <c r="X468" s="65" t="s">
        <v>47</v>
      </c>
      <c r="Y468" s="65" t="s">
        <v>48</v>
      </c>
      <c r="Z468" s="65" t="s">
        <v>49</v>
      </c>
      <c r="AA468" s="65">
        <v>997145685</v>
      </c>
      <c r="AB468" s="65" t="s">
        <v>666</v>
      </c>
    </row>
    <row r="469" spans="1:28" x14ac:dyDescent="0.3">
      <c r="A469" s="1">
        <v>46253</v>
      </c>
      <c r="B469" s="65" t="s">
        <v>1886</v>
      </c>
      <c r="C469" s="65" t="s">
        <v>268</v>
      </c>
      <c r="D469" s="65" t="s">
        <v>1887</v>
      </c>
      <c r="E469" s="65" t="s">
        <v>31</v>
      </c>
      <c r="F469" s="65" t="s">
        <v>1888</v>
      </c>
      <c r="G469" s="65" t="s">
        <v>1889</v>
      </c>
      <c r="H469" s="65" t="s">
        <v>1890</v>
      </c>
      <c r="I469" s="65" t="s">
        <v>3385</v>
      </c>
      <c r="J469" s="65" t="s">
        <v>1891</v>
      </c>
      <c r="K469" s="65" t="s">
        <v>37</v>
      </c>
      <c r="L469" s="65" t="s">
        <v>1892</v>
      </c>
      <c r="M469" s="65" t="s">
        <v>1893</v>
      </c>
      <c r="N469" s="65" t="s">
        <v>1894</v>
      </c>
      <c r="O469" s="65" t="s">
        <v>1895</v>
      </c>
      <c r="P469" s="65" t="s">
        <v>90</v>
      </c>
      <c r="Q469" s="65">
        <v>1</v>
      </c>
      <c r="R469" s="65" t="s">
        <v>42</v>
      </c>
      <c r="S469" s="65" t="s">
        <v>44</v>
      </c>
      <c r="T469" s="65" t="s">
        <v>44</v>
      </c>
      <c r="U469" s="65" t="s">
        <v>45</v>
      </c>
      <c r="V469" s="65" t="s">
        <v>46</v>
      </c>
      <c r="W469" s="65">
        <v>135.59</v>
      </c>
      <c r="X469" s="65" t="s">
        <v>47</v>
      </c>
      <c r="Y469" s="65" t="s">
        <v>48</v>
      </c>
      <c r="Z469" s="65" t="s">
        <v>49</v>
      </c>
      <c r="AA469" s="65">
        <v>999421990</v>
      </c>
      <c r="AB469" s="65"/>
    </row>
    <row r="470" spans="1:28" x14ac:dyDescent="0.3">
      <c r="A470" s="1">
        <v>46253</v>
      </c>
      <c r="B470" s="65" t="s">
        <v>1896</v>
      </c>
      <c r="C470" s="65" t="s">
        <v>29</v>
      </c>
      <c r="D470" s="65" t="s">
        <v>1897</v>
      </c>
      <c r="E470" s="65" t="s">
        <v>31</v>
      </c>
      <c r="F470" s="65" t="s">
        <v>1898</v>
      </c>
      <c r="G470" s="65" t="s">
        <v>1899</v>
      </c>
      <c r="H470" s="65" t="s">
        <v>1900</v>
      </c>
      <c r="I470" s="65" t="s">
        <v>411</v>
      </c>
      <c r="J470" s="65" t="s">
        <v>412</v>
      </c>
      <c r="K470" s="65" t="s">
        <v>37</v>
      </c>
      <c r="L470" s="65" t="s">
        <v>1901</v>
      </c>
      <c r="M470" s="65" t="s">
        <v>1902</v>
      </c>
      <c r="N470" s="65" t="s">
        <v>1899</v>
      </c>
      <c r="O470" s="65" t="s">
        <v>1903</v>
      </c>
      <c r="P470" s="65" t="s">
        <v>159</v>
      </c>
      <c r="Q470" s="65">
        <v>1</v>
      </c>
      <c r="R470" s="65" t="s">
        <v>42</v>
      </c>
      <c r="S470" s="65" t="s">
        <v>44</v>
      </c>
      <c r="T470" s="65" t="s">
        <v>44</v>
      </c>
      <c r="U470" s="65" t="s">
        <v>45</v>
      </c>
      <c r="V470" s="65" t="s">
        <v>60</v>
      </c>
      <c r="W470" s="65">
        <v>135.59</v>
      </c>
      <c r="X470" s="65" t="s">
        <v>47</v>
      </c>
      <c r="Y470" s="65" t="s">
        <v>48</v>
      </c>
      <c r="Z470" s="65" t="s">
        <v>49</v>
      </c>
      <c r="AA470" s="65">
        <v>982673362</v>
      </c>
      <c r="AB470" s="65" t="s">
        <v>416</v>
      </c>
    </row>
    <row r="471" spans="1:28" x14ac:dyDescent="0.3">
      <c r="A471" s="1">
        <v>46253</v>
      </c>
      <c r="B471" s="65" t="s">
        <v>1904</v>
      </c>
      <c r="C471" s="65" t="s">
        <v>29</v>
      </c>
      <c r="D471" s="65" t="s">
        <v>1905</v>
      </c>
      <c r="E471" s="65" t="s">
        <v>31</v>
      </c>
      <c r="F471" s="65" t="s">
        <v>1906</v>
      </c>
      <c r="G471" s="65" t="s">
        <v>1907</v>
      </c>
      <c r="H471" s="65" t="s">
        <v>1908</v>
      </c>
      <c r="I471" s="65" t="s">
        <v>434</v>
      </c>
      <c r="J471" s="65" t="s">
        <v>435</v>
      </c>
      <c r="K471" s="65" t="s">
        <v>37</v>
      </c>
      <c r="L471" s="65" t="s">
        <v>1909</v>
      </c>
      <c r="M471" s="65" t="s">
        <v>1910</v>
      </c>
      <c r="N471" s="65" t="s">
        <v>1907</v>
      </c>
      <c r="O471" s="65" t="s">
        <v>1911</v>
      </c>
      <c r="P471" s="65" t="s">
        <v>101</v>
      </c>
      <c r="Q471" s="65">
        <v>1</v>
      </c>
      <c r="R471" s="65" t="s">
        <v>70</v>
      </c>
      <c r="S471" s="65" t="s">
        <v>43</v>
      </c>
      <c r="T471" s="65" t="s">
        <v>44</v>
      </c>
      <c r="U471" s="65" t="s">
        <v>71</v>
      </c>
      <c r="V471" s="65" t="s">
        <v>184</v>
      </c>
      <c r="W471" s="65">
        <v>186.44</v>
      </c>
      <c r="X471" s="65" t="s">
        <v>47</v>
      </c>
      <c r="Y471" s="65" t="s">
        <v>48</v>
      </c>
      <c r="Z471" s="65" t="s">
        <v>73</v>
      </c>
      <c r="AA471" s="65">
        <v>992903716</v>
      </c>
      <c r="AB471" s="65" t="s">
        <v>439</v>
      </c>
    </row>
    <row r="472" spans="1:28" x14ac:dyDescent="0.3">
      <c r="A472" s="1">
        <v>46253</v>
      </c>
      <c r="B472" s="65" t="s">
        <v>1904</v>
      </c>
      <c r="C472" s="65" t="s">
        <v>29</v>
      </c>
      <c r="D472" s="65" t="s">
        <v>1905</v>
      </c>
      <c r="E472" s="65" t="s">
        <v>31</v>
      </c>
      <c r="F472" s="65" t="s">
        <v>1906</v>
      </c>
      <c r="G472" s="65" t="s">
        <v>1907</v>
      </c>
      <c r="H472" s="65" t="s">
        <v>1908</v>
      </c>
      <c r="I472" s="65" t="s">
        <v>434</v>
      </c>
      <c r="J472" s="65" t="s">
        <v>435</v>
      </c>
      <c r="K472" s="65" t="s">
        <v>37</v>
      </c>
      <c r="L472" s="65" t="s">
        <v>1909</v>
      </c>
      <c r="M472" s="65" t="s">
        <v>1910</v>
      </c>
      <c r="N472" s="65" t="s">
        <v>1907</v>
      </c>
      <c r="O472" s="65" t="s">
        <v>1911</v>
      </c>
      <c r="P472" s="65" t="s">
        <v>159</v>
      </c>
      <c r="Q472" s="65">
        <v>1</v>
      </c>
      <c r="R472" s="65" t="s">
        <v>70</v>
      </c>
      <c r="S472" s="65" t="s">
        <v>43</v>
      </c>
      <c r="T472" s="65" t="s">
        <v>44</v>
      </c>
      <c r="U472" s="65" t="s">
        <v>71</v>
      </c>
      <c r="V472" s="65" t="s">
        <v>184</v>
      </c>
      <c r="W472" s="65">
        <v>135.59</v>
      </c>
      <c r="X472" s="65" t="s">
        <v>47</v>
      </c>
      <c r="Y472" s="65" t="s">
        <v>48</v>
      </c>
      <c r="Z472" s="65" t="s">
        <v>73</v>
      </c>
      <c r="AA472" s="65">
        <v>992903716</v>
      </c>
      <c r="AB472" s="65" t="s">
        <v>439</v>
      </c>
    </row>
    <row r="473" spans="1:28" x14ac:dyDescent="0.3">
      <c r="A473" s="1">
        <v>46253</v>
      </c>
      <c r="B473" s="65" t="s">
        <v>1912</v>
      </c>
      <c r="C473" s="65" t="s">
        <v>29</v>
      </c>
      <c r="D473" s="65" t="s">
        <v>1913</v>
      </c>
      <c r="E473" s="65" t="s">
        <v>31</v>
      </c>
      <c r="F473" s="65" t="s">
        <v>1914</v>
      </c>
      <c r="G473" s="65" t="s">
        <v>1915</v>
      </c>
      <c r="H473" s="65" t="s">
        <v>1916</v>
      </c>
      <c r="I473" s="65" t="s">
        <v>704</v>
      </c>
      <c r="J473" s="65" t="s">
        <v>705</v>
      </c>
      <c r="K473" s="65" t="s">
        <v>37</v>
      </c>
      <c r="L473" s="65" t="s">
        <v>1917</v>
      </c>
      <c r="M473" s="65" t="s">
        <v>1918</v>
      </c>
      <c r="N473" s="65" t="s">
        <v>1915</v>
      </c>
      <c r="O473" s="65" t="s">
        <v>1919</v>
      </c>
      <c r="P473" s="65" t="s">
        <v>41</v>
      </c>
      <c r="Q473" s="65">
        <v>1</v>
      </c>
      <c r="R473" s="65" t="s">
        <v>42</v>
      </c>
      <c r="S473" s="65" t="s">
        <v>44</v>
      </c>
      <c r="T473" s="65" t="s">
        <v>44</v>
      </c>
      <c r="U473" s="65" t="s">
        <v>45</v>
      </c>
      <c r="V473" s="65" t="s">
        <v>60</v>
      </c>
      <c r="W473" s="65">
        <v>186.44</v>
      </c>
      <c r="X473" s="65" t="s">
        <v>47</v>
      </c>
      <c r="Y473" s="65" t="s">
        <v>48</v>
      </c>
      <c r="Z473" s="65" t="s">
        <v>49</v>
      </c>
      <c r="AA473" s="65">
        <v>998418895</v>
      </c>
      <c r="AB473" s="65" t="s">
        <v>709</v>
      </c>
    </row>
    <row r="474" spans="1:28" x14ac:dyDescent="0.3">
      <c r="A474" s="1">
        <v>46253</v>
      </c>
      <c r="B474" s="65" t="s">
        <v>1920</v>
      </c>
      <c r="C474" s="65" t="s">
        <v>29</v>
      </c>
      <c r="D474" s="65" t="s">
        <v>1921</v>
      </c>
      <c r="E474" s="65" t="s">
        <v>31</v>
      </c>
      <c r="F474" s="65" t="s">
        <v>1922</v>
      </c>
      <c r="G474" s="65" t="s">
        <v>1923</v>
      </c>
      <c r="H474" s="65" t="s">
        <v>1924</v>
      </c>
      <c r="I474" s="65" t="s">
        <v>715</v>
      </c>
      <c r="J474" s="65" t="s">
        <v>716</v>
      </c>
      <c r="K474" s="65" t="s">
        <v>37</v>
      </c>
      <c r="L474" s="65" t="s">
        <v>1925</v>
      </c>
      <c r="M474" s="65" t="s">
        <v>1926</v>
      </c>
      <c r="N474" s="65" t="s">
        <v>1923</v>
      </c>
      <c r="O474" s="65" t="s">
        <v>1927</v>
      </c>
      <c r="P474" s="65" t="s">
        <v>159</v>
      </c>
      <c r="Q474" s="65">
        <v>1</v>
      </c>
      <c r="R474" s="65" t="s">
        <v>42</v>
      </c>
      <c r="S474" s="65" t="s">
        <v>44</v>
      </c>
      <c r="T474" s="65" t="s">
        <v>44</v>
      </c>
      <c r="U474" s="65" t="s">
        <v>531</v>
      </c>
      <c r="V474" s="65" t="s">
        <v>1285</v>
      </c>
      <c r="W474" s="65">
        <v>135.59</v>
      </c>
      <c r="X474" s="65" t="s">
        <v>47</v>
      </c>
      <c r="Y474" s="65" t="s">
        <v>48</v>
      </c>
      <c r="Z474" s="65" t="s">
        <v>534</v>
      </c>
      <c r="AA474" s="65">
        <v>955356636</v>
      </c>
      <c r="AB474" s="65" t="s">
        <v>720</v>
      </c>
    </row>
    <row r="475" spans="1:28" x14ac:dyDescent="0.3">
      <c r="A475" s="1">
        <v>46253</v>
      </c>
      <c r="B475" s="65" t="s">
        <v>1920</v>
      </c>
      <c r="C475" s="65" t="s">
        <v>29</v>
      </c>
      <c r="D475" s="65" t="s">
        <v>1921</v>
      </c>
      <c r="E475" s="65" t="s">
        <v>31</v>
      </c>
      <c r="F475" s="65" t="s">
        <v>1922</v>
      </c>
      <c r="G475" s="65" t="s">
        <v>1923</v>
      </c>
      <c r="H475" s="65" t="s">
        <v>1924</v>
      </c>
      <c r="I475" s="65" t="s">
        <v>715</v>
      </c>
      <c r="J475" s="65" t="s">
        <v>716</v>
      </c>
      <c r="K475" s="65" t="s">
        <v>37</v>
      </c>
      <c r="L475" s="65" t="s">
        <v>1925</v>
      </c>
      <c r="M475" s="65" t="s">
        <v>1926</v>
      </c>
      <c r="N475" s="65" t="s">
        <v>1923</v>
      </c>
      <c r="O475" s="65" t="s">
        <v>1927</v>
      </c>
      <c r="P475" s="65" t="s">
        <v>202</v>
      </c>
      <c r="Q475" s="65">
        <v>1</v>
      </c>
      <c r="R475" s="65" t="s">
        <v>42</v>
      </c>
      <c r="S475" s="65" t="s">
        <v>44</v>
      </c>
      <c r="T475" s="65" t="s">
        <v>44</v>
      </c>
      <c r="U475" s="65" t="s">
        <v>531</v>
      </c>
      <c r="V475" s="65" t="s">
        <v>1285</v>
      </c>
      <c r="W475" s="65">
        <v>135.59</v>
      </c>
      <c r="X475" s="65" t="s">
        <v>47</v>
      </c>
      <c r="Y475" s="65" t="s">
        <v>48</v>
      </c>
      <c r="Z475" s="65" t="s">
        <v>534</v>
      </c>
      <c r="AA475" s="65">
        <v>955356636</v>
      </c>
      <c r="AB475" s="65" t="s">
        <v>720</v>
      </c>
    </row>
    <row r="476" spans="1:28" x14ac:dyDescent="0.3">
      <c r="A476" s="1">
        <v>46253</v>
      </c>
      <c r="B476" s="65" t="s">
        <v>1928</v>
      </c>
      <c r="C476" s="65" t="s">
        <v>268</v>
      </c>
      <c r="D476" s="65" t="s">
        <v>1929</v>
      </c>
      <c r="E476" s="65" t="s">
        <v>31</v>
      </c>
      <c r="F476" s="65" t="s">
        <v>1930</v>
      </c>
      <c r="G476" s="65" t="s">
        <v>1106</v>
      </c>
      <c r="H476" s="65" t="s">
        <v>1107</v>
      </c>
      <c r="I476" s="65" t="s">
        <v>1108</v>
      </c>
      <c r="J476" s="65" t="s">
        <v>209</v>
      </c>
      <c r="K476" s="65" t="s">
        <v>37</v>
      </c>
      <c r="L476" s="65" t="s">
        <v>1109</v>
      </c>
      <c r="M476" s="65" t="s">
        <v>1110</v>
      </c>
      <c r="N476" s="65" t="s">
        <v>1111</v>
      </c>
      <c r="O476" s="65" t="s">
        <v>1931</v>
      </c>
      <c r="P476" s="65" t="s">
        <v>213</v>
      </c>
      <c r="Q476" s="65">
        <v>1</v>
      </c>
      <c r="R476" s="65" t="s">
        <v>42</v>
      </c>
      <c r="S476" s="65" t="s">
        <v>44</v>
      </c>
      <c r="T476" s="65" t="s">
        <v>44</v>
      </c>
      <c r="U476" s="65" t="s">
        <v>45</v>
      </c>
      <c r="V476" s="65" t="s">
        <v>60</v>
      </c>
      <c r="W476" s="65">
        <v>254.24</v>
      </c>
      <c r="X476" s="65" t="s">
        <v>61</v>
      </c>
      <c r="Y476" s="65" t="s">
        <v>48</v>
      </c>
      <c r="Z476" s="65" t="s">
        <v>49</v>
      </c>
      <c r="AA476" s="65">
        <v>970582106</v>
      </c>
      <c r="AB476" s="65" t="s">
        <v>1113</v>
      </c>
    </row>
    <row r="477" spans="1:28" x14ac:dyDescent="0.3">
      <c r="A477" s="1">
        <v>46254</v>
      </c>
      <c r="B477" s="65" t="s">
        <v>1932</v>
      </c>
      <c r="C477" s="65" t="s">
        <v>29</v>
      </c>
      <c r="D477" s="65" t="s">
        <v>1933</v>
      </c>
      <c r="E477" s="65" t="s">
        <v>31</v>
      </c>
      <c r="F477" s="65" t="s">
        <v>1934</v>
      </c>
      <c r="G477" s="65" t="s">
        <v>1935</v>
      </c>
      <c r="H477" s="65" t="s">
        <v>1936</v>
      </c>
      <c r="I477" s="65" t="s">
        <v>774</v>
      </c>
      <c r="J477" s="65" t="s">
        <v>775</v>
      </c>
      <c r="K477" s="65" t="s">
        <v>37</v>
      </c>
      <c r="L477" s="65" t="s">
        <v>1937</v>
      </c>
      <c r="M477" s="65" t="s">
        <v>1938</v>
      </c>
      <c r="N477" s="65" t="s">
        <v>1935</v>
      </c>
      <c r="O477" s="65" t="s">
        <v>1939</v>
      </c>
      <c r="P477" s="65" t="s">
        <v>201</v>
      </c>
      <c r="Q477" s="65">
        <v>1</v>
      </c>
      <c r="R477" s="65" t="s">
        <v>42</v>
      </c>
      <c r="S477" s="65" t="s">
        <v>44</v>
      </c>
      <c r="T477" s="65" t="s">
        <v>44</v>
      </c>
      <c r="U477" s="65" t="s">
        <v>45</v>
      </c>
      <c r="V477" s="65" t="s">
        <v>60</v>
      </c>
      <c r="W477" s="65">
        <v>42.37</v>
      </c>
      <c r="X477" s="65" t="s">
        <v>47</v>
      </c>
      <c r="Y477" s="65" t="s">
        <v>48</v>
      </c>
      <c r="Z477" s="65" t="s">
        <v>49</v>
      </c>
      <c r="AA477" s="65"/>
      <c r="AB477" s="65"/>
    </row>
    <row r="478" spans="1:28" x14ac:dyDescent="0.3">
      <c r="A478" s="1">
        <v>46254</v>
      </c>
      <c r="B478" s="65" t="s">
        <v>1932</v>
      </c>
      <c r="C478" s="65" t="s">
        <v>29</v>
      </c>
      <c r="D478" s="65" t="s">
        <v>1933</v>
      </c>
      <c r="E478" s="65" t="s">
        <v>31</v>
      </c>
      <c r="F478" s="65" t="s">
        <v>1934</v>
      </c>
      <c r="G478" s="65" t="s">
        <v>1935</v>
      </c>
      <c r="H478" s="65" t="s">
        <v>1936</v>
      </c>
      <c r="I478" s="65" t="s">
        <v>774</v>
      </c>
      <c r="J478" s="65" t="s">
        <v>775</v>
      </c>
      <c r="K478" s="65" t="s">
        <v>37</v>
      </c>
      <c r="L478" s="65" t="s">
        <v>1937</v>
      </c>
      <c r="M478" s="65" t="s">
        <v>1938</v>
      </c>
      <c r="N478" s="65" t="s">
        <v>1935</v>
      </c>
      <c r="O478" s="65" t="s">
        <v>1939</v>
      </c>
      <c r="P478" s="65" t="s">
        <v>202</v>
      </c>
      <c r="Q478" s="65">
        <v>1</v>
      </c>
      <c r="R478" s="65" t="s">
        <v>42</v>
      </c>
      <c r="S478" s="65" t="s">
        <v>44</v>
      </c>
      <c r="T478" s="65" t="s">
        <v>44</v>
      </c>
      <c r="U478" s="65" t="s">
        <v>45</v>
      </c>
      <c r="V478" s="65" t="s">
        <v>60</v>
      </c>
      <c r="W478" s="65">
        <v>42.37</v>
      </c>
      <c r="X478" s="65" t="s">
        <v>47</v>
      </c>
      <c r="Y478" s="65" t="s">
        <v>48</v>
      </c>
      <c r="Z478" s="65" t="s">
        <v>49</v>
      </c>
      <c r="AA478" s="65"/>
      <c r="AB478" s="65"/>
    </row>
    <row r="479" spans="1:28" x14ac:dyDescent="0.3">
      <c r="A479" s="1">
        <v>46254</v>
      </c>
      <c r="B479" s="65" t="s">
        <v>1940</v>
      </c>
      <c r="C479" s="65" t="s">
        <v>29</v>
      </c>
      <c r="D479" s="65" t="s">
        <v>1941</v>
      </c>
      <c r="E479" s="65" t="s">
        <v>31</v>
      </c>
      <c r="F479" s="65" t="s">
        <v>1942</v>
      </c>
      <c r="G479" s="65" t="s">
        <v>1943</v>
      </c>
      <c r="H479" s="65" t="s">
        <v>1944</v>
      </c>
      <c r="I479" s="65" t="s">
        <v>136</v>
      </c>
      <c r="J479" s="65" t="s">
        <v>137</v>
      </c>
      <c r="K479" s="65" t="s">
        <v>37</v>
      </c>
      <c r="L479" s="65" t="s">
        <v>1945</v>
      </c>
      <c r="M479" s="65" t="s">
        <v>1946</v>
      </c>
      <c r="N479" s="65" t="s">
        <v>1943</v>
      </c>
      <c r="O479" s="65" t="s">
        <v>1947</v>
      </c>
      <c r="P479" s="65" t="s">
        <v>101</v>
      </c>
      <c r="Q479" s="65">
        <v>1</v>
      </c>
      <c r="R479" s="65" t="s">
        <v>42</v>
      </c>
      <c r="S479" s="65" t="s">
        <v>44</v>
      </c>
      <c r="T479" s="65" t="s">
        <v>44</v>
      </c>
      <c r="U479" s="65" t="s">
        <v>45</v>
      </c>
      <c r="V479" s="65" t="s">
        <v>60</v>
      </c>
      <c r="W479" s="65">
        <v>186.44</v>
      </c>
      <c r="X479" s="65" t="s">
        <v>47</v>
      </c>
      <c r="Y479" s="65" t="s">
        <v>48</v>
      </c>
      <c r="Z479" s="65" t="s">
        <v>49</v>
      </c>
      <c r="AA479" s="65">
        <v>987407712</v>
      </c>
      <c r="AB479" s="65" t="s">
        <v>141</v>
      </c>
    </row>
    <row r="480" spans="1:28" x14ac:dyDescent="0.3">
      <c r="A480" s="1">
        <v>46254</v>
      </c>
      <c r="B480" s="65" t="s">
        <v>1948</v>
      </c>
      <c r="C480" s="65" t="s">
        <v>29</v>
      </c>
      <c r="D480" s="65" t="s">
        <v>1949</v>
      </c>
      <c r="E480" s="65" t="s">
        <v>31</v>
      </c>
      <c r="F480" s="65" t="s">
        <v>1950</v>
      </c>
      <c r="G480" s="65" t="s">
        <v>1951</v>
      </c>
      <c r="H480" s="65" t="s">
        <v>1952</v>
      </c>
      <c r="I480" s="65" t="s">
        <v>2739</v>
      </c>
      <c r="J480" s="65" t="s">
        <v>209</v>
      </c>
      <c r="K480" s="65" t="s">
        <v>37</v>
      </c>
      <c r="L480" s="65" t="s">
        <v>1953</v>
      </c>
      <c r="M480" s="65" t="s">
        <v>1954</v>
      </c>
      <c r="N480" s="65" t="s">
        <v>1951</v>
      </c>
      <c r="O480" s="65" t="s">
        <v>1955</v>
      </c>
      <c r="P480" s="65" t="s">
        <v>159</v>
      </c>
      <c r="Q480" s="65">
        <v>1</v>
      </c>
      <c r="R480" s="65" t="s">
        <v>42</v>
      </c>
      <c r="S480" s="65" t="s">
        <v>44</v>
      </c>
      <c r="T480" s="65" t="s">
        <v>44</v>
      </c>
      <c r="U480" s="65" t="s">
        <v>71</v>
      </c>
      <c r="V480" s="65" t="s">
        <v>184</v>
      </c>
      <c r="W480" s="65">
        <v>135.59</v>
      </c>
      <c r="X480" s="65" t="s">
        <v>47</v>
      </c>
      <c r="Y480" s="65" t="s">
        <v>48</v>
      </c>
      <c r="Z480" s="65" t="s">
        <v>73</v>
      </c>
      <c r="AA480" s="65"/>
      <c r="AB480" s="65"/>
    </row>
    <row r="481" spans="1:28" x14ac:dyDescent="0.3">
      <c r="A481" s="1">
        <v>46254</v>
      </c>
      <c r="B481" s="65" t="s">
        <v>1956</v>
      </c>
      <c r="C481" s="65" t="s">
        <v>29</v>
      </c>
      <c r="D481" s="65" t="s">
        <v>1957</v>
      </c>
      <c r="E481" s="65" t="s">
        <v>31</v>
      </c>
      <c r="F481" s="65" t="s">
        <v>1958</v>
      </c>
      <c r="G481" s="65" t="s">
        <v>1959</v>
      </c>
      <c r="H481" s="65" t="s">
        <v>1960</v>
      </c>
      <c r="I481" s="65" t="s">
        <v>1961</v>
      </c>
      <c r="J481" s="65"/>
      <c r="K481" s="65" t="s">
        <v>37</v>
      </c>
      <c r="L481" s="65" t="s">
        <v>1962</v>
      </c>
      <c r="M481" s="65" t="s">
        <v>1963</v>
      </c>
      <c r="N481" s="65" t="s">
        <v>1959</v>
      </c>
      <c r="O481" s="65" t="s">
        <v>1964</v>
      </c>
      <c r="P481" s="65" t="s">
        <v>159</v>
      </c>
      <c r="Q481" s="65">
        <v>1</v>
      </c>
      <c r="R481" s="65" t="s">
        <v>42</v>
      </c>
      <c r="S481" s="65" t="s">
        <v>44</v>
      </c>
      <c r="T481" s="65" t="s">
        <v>44</v>
      </c>
      <c r="U481" s="65" t="s">
        <v>531</v>
      </c>
      <c r="V481" s="65" t="s">
        <v>1965</v>
      </c>
      <c r="W481" s="65">
        <v>135.59</v>
      </c>
      <c r="X481" s="65" t="s">
        <v>47</v>
      </c>
      <c r="Y481" s="65" t="s">
        <v>48</v>
      </c>
      <c r="Z481" s="65" t="s">
        <v>534</v>
      </c>
      <c r="AA481" s="65"/>
      <c r="AB481" s="65"/>
    </row>
    <row r="482" spans="1:28" x14ac:dyDescent="0.3">
      <c r="A482" s="1">
        <v>46254</v>
      </c>
      <c r="B482" s="65" t="s">
        <v>1966</v>
      </c>
      <c r="C482" s="65" t="s">
        <v>29</v>
      </c>
      <c r="D482" s="65" t="s">
        <v>1967</v>
      </c>
      <c r="E482" s="65" t="s">
        <v>31</v>
      </c>
      <c r="F482" s="65" t="s">
        <v>1968</v>
      </c>
      <c r="G482" s="65" t="s">
        <v>1969</v>
      </c>
      <c r="H482" s="65" t="s">
        <v>1970</v>
      </c>
      <c r="I482" s="65" t="s">
        <v>1153</v>
      </c>
      <c r="J482" s="65" t="s">
        <v>1154</v>
      </c>
      <c r="K482" s="65" t="s">
        <v>37</v>
      </c>
      <c r="L482" s="65" t="s">
        <v>1971</v>
      </c>
      <c r="M482" s="65" t="s">
        <v>1972</v>
      </c>
      <c r="N482" s="65" t="s">
        <v>1969</v>
      </c>
      <c r="O482" s="65" t="s">
        <v>1973</v>
      </c>
      <c r="P482" s="65" t="s">
        <v>41</v>
      </c>
      <c r="Q482" s="65">
        <v>1</v>
      </c>
      <c r="R482" s="65" t="s">
        <v>70</v>
      </c>
      <c r="S482" s="65" t="s">
        <v>43</v>
      </c>
      <c r="T482" s="65" t="s">
        <v>44</v>
      </c>
      <c r="U482" s="65" t="s">
        <v>71</v>
      </c>
      <c r="V482" s="65" t="s">
        <v>72</v>
      </c>
      <c r="W482" s="65">
        <v>186.44</v>
      </c>
      <c r="X482" s="65" t="s">
        <v>47</v>
      </c>
      <c r="Y482" s="65" t="s">
        <v>48</v>
      </c>
      <c r="Z482" s="65" t="s">
        <v>73</v>
      </c>
      <c r="AA482" s="65">
        <v>995868651</v>
      </c>
      <c r="AB482" s="65" t="s">
        <v>1158</v>
      </c>
    </row>
    <row r="483" spans="1:28" x14ac:dyDescent="0.3">
      <c r="A483" s="1">
        <v>46254</v>
      </c>
      <c r="B483" s="65" t="s">
        <v>1974</v>
      </c>
      <c r="C483" s="65" t="s">
        <v>268</v>
      </c>
      <c r="D483" s="65" t="s">
        <v>1975</v>
      </c>
      <c r="E483" s="65" t="s">
        <v>31</v>
      </c>
      <c r="F483" s="65" t="s">
        <v>1976</v>
      </c>
      <c r="G483" s="65" t="s">
        <v>1977</v>
      </c>
      <c r="H483" s="65" t="s">
        <v>1978</v>
      </c>
      <c r="I483" s="65"/>
      <c r="J483" s="65"/>
      <c r="K483" s="65" t="s">
        <v>37</v>
      </c>
      <c r="L483" s="65" t="s">
        <v>1979</v>
      </c>
      <c r="M483" s="65" t="s">
        <v>1980</v>
      </c>
      <c r="N483" s="65" t="s">
        <v>765</v>
      </c>
      <c r="O483" s="65" t="s">
        <v>1981</v>
      </c>
      <c r="P483" s="65" t="s">
        <v>481</v>
      </c>
      <c r="Q483" s="65">
        <v>1</v>
      </c>
      <c r="R483" s="65" t="s">
        <v>42</v>
      </c>
      <c r="S483" s="65" t="s">
        <v>44</v>
      </c>
      <c r="T483" s="65" t="s">
        <v>44</v>
      </c>
      <c r="U483" s="65" t="s">
        <v>45</v>
      </c>
      <c r="V483" s="65" t="s">
        <v>60</v>
      </c>
      <c r="W483" s="65">
        <v>101.69</v>
      </c>
      <c r="X483" s="65" t="s">
        <v>61</v>
      </c>
      <c r="Y483" s="65" t="s">
        <v>48</v>
      </c>
      <c r="Z483" s="65" t="s">
        <v>49</v>
      </c>
      <c r="AA483" s="65"/>
      <c r="AB483" s="65"/>
    </row>
    <row r="484" spans="1:28" x14ac:dyDescent="0.3">
      <c r="A484" s="1">
        <v>46254</v>
      </c>
      <c r="B484" s="65" t="s">
        <v>1982</v>
      </c>
      <c r="C484" s="65" t="s">
        <v>29</v>
      </c>
      <c r="D484" s="65" t="s">
        <v>1983</v>
      </c>
      <c r="E484" s="65" t="s">
        <v>31</v>
      </c>
      <c r="F484" s="65" t="s">
        <v>1984</v>
      </c>
      <c r="G484" s="65" t="s">
        <v>1985</v>
      </c>
      <c r="H484" s="65" t="s">
        <v>1986</v>
      </c>
      <c r="I484" s="65" t="s">
        <v>1615</v>
      </c>
      <c r="J484" s="65" t="s">
        <v>1616</v>
      </c>
      <c r="K484" s="65" t="s">
        <v>37</v>
      </c>
      <c r="L484" s="65" t="s">
        <v>1987</v>
      </c>
      <c r="M484" s="65" t="s">
        <v>1988</v>
      </c>
      <c r="N484" s="65" t="s">
        <v>1985</v>
      </c>
      <c r="O484" s="65" t="s">
        <v>1989</v>
      </c>
      <c r="P484" s="65" t="s">
        <v>159</v>
      </c>
      <c r="Q484" s="65">
        <v>1</v>
      </c>
      <c r="R484" s="65" t="s">
        <v>70</v>
      </c>
      <c r="S484" s="65" t="s">
        <v>43</v>
      </c>
      <c r="T484" s="65" t="s">
        <v>44</v>
      </c>
      <c r="U484" s="65" t="s">
        <v>71</v>
      </c>
      <c r="V484" s="65" t="s">
        <v>72</v>
      </c>
      <c r="W484" s="65">
        <v>135.59</v>
      </c>
      <c r="X484" s="65" t="s">
        <v>47</v>
      </c>
      <c r="Y484" s="65" t="s">
        <v>48</v>
      </c>
      <c r="Z484" s="65" t="s">
        <v>73</v>
      </c>
      <c r="AA484" s="65">
        <v>950418896</v>
      </c>
      <c r="AB484" s="65"/>
    </row>
    <row r="485" spans="1:28" x14ac:dyDescent="0.3">
      <c r="A485" s="1">
        <v>46254</v>
      </c>
      <c r="B485" s="65" t="s">
        <v>1990</v>
      </c>
      <c r="C485" s="65" t="s">
        <v>29</v>
      </c>
      <c r="D485" s="65" t="s">
        <v>1991</v>
      </c>
      <c r="E485" s="65" t="s">
        <v>31</v>
      </c>
      <c r="F485" s="65" t="s">
        <v>1992</v>
      </c>
      <c r="G485" s="65" t="s">
        <v>1993</v>
      </c>
      <c r="H485" s="65" t="s">
        <v>1994</v>
      </c>
      <c r="I485" s="65" t="s">
        <v>662</v>
      </c>
      <c r="J485" s="65" t="s">
        <v>36</v>
      </c>
      <c r="K485" s="65" t="s">
        <v>37</v>
      </c>
      <c r="L485" s="65" t="s">
        <v>1995</v>
      </c>
      <c r="M485" s="65" t="s">
        <v>1996</v>
      </c>
      <c r="N485" s="65" t="s">
        <v>1993</v>
      </c>
      <c r="O485" s="65" t="s">
        <v>1997</v>
      </c>
      <c r="P485" s="65" t="s">
        <v>201</v>
      </c>
      <c r="Q485" s="65">
        <v>1</v>
      </c>
      <c r="R485" s="65" t="s">
        <v>42</v>
      </c>
      <c r="S485" s="65" t="s">
        <v>44</v>
      </c>
      <c r="T485" s="65" t="s">
        <v>44</v>
      </c>
      <c r="U485" s="65" t="s">
        <v>45</v>
      </c>
      <c r="V485" s="65" t="s">
        <v>60</v>
      </c>
      <c r="W485" s="65">
        <v>152.54</v>
      </c>
      <c r="X485" s="65" t="s">
        <v>47</v>
      </c>
      <c r="Y485" s="65" t="s">
        <v>48</v>
      </c>
      <c r="Z485" s="65" t="s">
        <v>49</v>
      </c>
      <c r="AA485" s="65">
        <v>997145685</v>
      </c>
      <c r="AB485" s="65" t="s">
        <v>666</v>
      </c>
    </row>
    <row r="486" spans="1:28" x14ac:dyDescent="0.3">
      <c r="A486" s="1">
        <v>46254</v>
      </c>
      <c r="B486" s="65" t="s">
        <v>1990</v>
      </c>
      <c r="C486" s="65" t="s">
        <v>29</v>
      </c>
      <c r="D486" s="65" t="s">
        <v>1991</v>
      </c>
      <c r="E486" s="65" t="s">
        <v>31</v>
      </c>
      <c r="F486" s="65" t="s">
        <v>1992</v>
      </c>
      <c r="G486" s="65" t="s">
        <v>1993</v>
      </c>
      <c r="H486" s="65" t="s">
        <v>1994</v>
      </c>
      <c r="I486" s="65" t="s">
        <v>662</v>
      </c>
      <c r="J486" s="65" t="s">
        <v>36</v>
      </c>
      <c r="K486" s="65" t="s">
        <v>37</v>
      </c>
      <c r="L486" s="65" t="s">
        <v>1995</v>
      </c>
      <c r="M486" s="65" t="s">
        <v>1996</v>
      </c>
      <c r="N486" s="65" t="s">
        <v>1993</v>
      </c>
      <c r="O486" s="65" t="s">
        <v>1997</v>
      </c>
      <c r="P486" s="65" t="s">
        <v>202</v>
      </c>
      <c r="Q486" s="65">
        <v>1</v>
      </c>
      <c r="R486" s="65" t="s">
        <v>42</v>
      </c>
      <c r="S486" s="65" t="s">
        <v>44</v>
      </c>
      <c r="T486" s="65" t="s">
        <v>44</v>
      </c>
      <c r="U486" s="65" t="s">
        <v>45</v>
      </c>
      <c r="V486" s="65" t="s">
        <v>60</v>
      </c>
      <c r="W486" s="65">
        <v>135.59</v>
      </c>
      <c r="X486" s="65" t="s">
        <v>47</v>
      </c>
      <c r="Y486" s="65" t="s">
        <v>48</v>
      </c>
      <c r="Z486" s="65" t="s">
        <v>49</v>
      </c>
      <c r="AA486" s="65">
        <v>997145685</v>
      </c>
      <c r="AB486" s="65" t="s">
        <v>666</v>
      </c>
    </row>
    <row r="487" spans="1:28" x14ac:dyDescent="0.3">
      <c r="A487" s="1">
        <v>46255</v>
      </c>
      <c r="B487" s="65" t="s">
        <v>1998</v>
      </c>
      <c r="C487" s="65" t="s">
        <v>29</v>
      </c>
      <c r="D487" s="65" t="s">
        <v>1999</v>
      </c>
      <c r="E487" s="65" t="s">
        <v>31</v>
      </c>
      <c r="F487" s="65" t="s">
        <v>2000</v>
      </c>
      <c r="G487" s="65" t="s">
        <v>2001</v>
      </c>
      <c r="H487" s="65" t="s">
        <v>2002</v>
      </c>
      <c r="I487" s="65" t="s">
        <v>1232</v>
      </c>
      <c r="J487" s="65" t="s">
        <v>209</v>
      </c>
      <c r="K487" s="65" t="s">
        <v>37</v>
      </c>
      <c r="L487" s="65" t="s">
        <v>2003</v>
      </c>
      <c r="M487" s="65" t="s">
        <v>2004</v>
      </c>
      <c r="N487" s="65" t="s">
        <v>2001</v>
      </c>
      <c r="O487" s="65" t="s">
        <v>2005</v>
      </c>
      <c r="P487" s="65" t="s">
        <v>101</v>
      </c>
      <c r="Q487" s="65">
        <v>1</v>
      </c>
      <c r="R487" s="65" t="s">
        <v>42</v>
      </c>
      <c r="S487" s="65" t="s">
        <v>44</v>
      </c>
      <c r="T487" s="65" t="s">
        <v>44</v>
      </c>
      <c r="U487" s="65" t="s">
        <v>45</v>
      </c>
      <c r="V487" s="65" t="s">
        <v>46</v>
      </c>
      <c r="W487" s="65">
        <v>186.44</v>
      </c>
      <c r="X487" s="65" t="s">
        <v>47</v>
      </c>
      <c r="Y487" s="65" t="s">
        <v>48</v>
      </c>
      <c r="Z487" s="65" t="s">
        <v>49</v>
      </c>
      <c r="AA487" s="65"/>
      <c r="AB487" s="65" t="s">
        <v>1236</v>
      </c>
    </row>
    <row r="488" spans="1:28" x14ac:dyDescent="0.3">
      <c r="A488" s="1">
        <v>46255</v>
      </c>
      <c r="B488" s="65" t="s">
        <v>1998</v>
      </c>
      <c r="C488" s="65" t="s">
        <v>29</v>
      </c>
      <c r="D488" s="65" t="s">
        <v>1999</v>
      </c>
      <c r="E488" s="65" t="s">
        <v>31</v>
      </c>
      <c r="F488" s="65" t="s">
        <v>2000</v>
      </c>
      <c r="G488" s="65" t="s">
        <v>2001</v>
      </c>
      <c r="H488" s="65" t="s">
        <v>2002</v>
      </c>
      <c r="I488" s="65" t="s">
        <v>1232</v>
      </c>
      <c r="J488" s="65" t="s">
        <v>209</v>
      </c>
      <c r="K488" s="65" t="s">
        <v>37</v>
      </c>
      <c r="L488" s="65" t="s">
        <v>2003</v>
      </c>
      <c r="M488" s="65" t="s">
        <v>2004</v>
      </c>
      <c r="N488" s="65" t="s">
        <v>2001</v>
      </c>
      <c r="O488" s="65" t="s">
        <v>2005</v>
      </c>
      <c r="P488" s="65" t="s">
        <v>158</v>
      </c>
      <c r="Q488" s="65">
        <v>1</v>
      </c>
      <c r="R488" s="65" t="s">
        <v>42</v>
      </c>
      <c r="S488" s="65" t="s">
        <v>44</v>
      </c>
      <c r="T488" s="65" t="s">
        <v>44</v>
      </c>
      <c r="U488" s="65" t="s">
        <v>45</v>
      </c>
      <c r="V488" s="65" t="s">
        <v>46</v>
      </c>
      <c r="W488" s="65">
        <v>152.54</v>
      </c>
      <c r="X488" s="65" t="s">
        <v>47</v>
      </c>
      <c r="Y488" s="65" t="s">
        <v>48</v>
      </c>
      <c r="Z488" s="65" t="s">
        <v>49</v>
      </c>
      <c r="AA488" s="65"/>
      <c r="AB488" s="65" t="s">
        <v>1236</v>
      </c>
    </row>
    <row r="489" spans="1:28" x14ac:dyDescent="0.3">
      <c r="A489" s="1">
        <v>46256</v>
      </c>
      <c r="B489" s="65" t="s">
        <v>2006</v>
      </c>
      <c r="C489" s="65" t="s">
        <v>29</v>
      </c>
      <c r="D489" s="65" t="s">
        <v>2007</v>
      </c>
      <c r="E489" s="65" t="s">
        <v>31</v>
      </c>
      <c r="F489" s="65" t="s">
        <v>2008</v>
      </c>
      <c r="G489" s="65" t="s">
        <v>2009</v>
      </c>
      <c r="H489" s="65" t="s">
        <v>2010</v>
      </c>
      <c r="I489" s="65" t="s">
        <v>411</v>
      </c>
      <c r="J489" s="65" t="s">
        <v>412</v>
      </c>
      <c r="K489" s="65" t="s">
        <v>37</v>
      </c>
      <c r="L489" s="65" t="s">
        <v>2011</v>
      </c>
      <c r="M489" s="65" t="s">
        <v>2012</v>
      </c>
      <c r="N489" s="65" t="s">
        <v>2009</v>
      </c>
      <c r="O489" s="65" t="s">
        <v>2013</v>
      </c>
      <c r="P489" s="65" t="s">
        <v>41</v>
      </c>
      <c r="Q489" s="65">
        <v>1</v>
      </c>
      <c r="R489" s="65" t="s">
        <v>42</v>
      </c>
      <c r="S489" s="65" t="s">
        <v>44</v>
      </c>
      <c r="T489" s="65" t="s">
        <v>44</v>
      </c>
      <c r="U489" s="65" t="s">
        <v>45</v>
      </c>
      <c r="V489" s="65" t="s">
        <v>60</v>
      </c>
      <c r="W489" s="65">
        <v>186.44</v>
      </c>
      <c r="X489" s="65" t="s">
        <v>47</v>
      </c>
      <c r="Y489" s="65" t="s">
        <v>48</v>
      </c>
      <c r="Z489" s="65" t="s">
        <v>49</v>
      </c>
      <c r="AA489" s="65">
        <v>982673362</v>
      </c>
      <c r="AB489" s="65" t="s">
        <v>416</v>
      </c>
    </row>
    <row r="490" spans="1:28" x14ac:dyDescent="0.3">
      <c r="A490" s="1">
        <v>46256</v>
      </c>
      <c r="B490" s="65" t="s">
        <v>2006</v>
      </c>
      <c r="C490" s="65" t="s">
        <v>29</v>
      </c>
      <c r="D490" s="65" t="s">
        <v>2007</v>
      </c>
      <c r="E490" s="65" t="s">
        <v>31</v>
      </c>
      <c r="F490" s="65" t="s">
        <v>2008</v>
      </c>
      <c r="G490" s="65" t="s">
        <v>2009</v>
      </c>
      <c r="H490" s="65" t="s">
        <v>2010</v>
      </c>
      <c r="I490" s="65" t="s">
        <v>411</v>
      </c>
      <c r="J490" s="65" t="s">
        <v>412</v>
      </c>
      <c r="K490" s="65" t="s">
        <v>37</v>
      </c>
      <c r="L490" s="65" t="s">
        <v>2011</v>
      </c>
      <c r="M490" s="65" t="s">
        <v>2012</v>
      </c>
      <c r="N490" s="65" t="s">
        <v>2009</v>
      </c>
      <c r="O490" s="65" t="s">
        <v>2013</v>
      </c>
      <c r="P490" s="65" t="s">
        <v>101</v>
      </c>
      <c r="Q490" s="65">
        <v>1</v>
      </c>
      <c r="R490" s="65" t="s">
        <v>42</v>
      </c>
      <c r="S490" s="65" t="s">
        <v>44</v>
      </c>
      <c r="T490" s="65" t="s">
        <v>44</v>
      </c>
      <c r="U490" s="65" t="s">
        <v>45</v>
      </c>
      <c r="V490" s="65" t="s">
        <v>60</v>
      </c>
      <c r="W490" s="65">
        <v>186.44</v>
      </c>
      <c r="X490" s="65" t="s">
        <v>47</v>
      </c>
      <c r="Y490" s="65" t="s">
        <v>48</v>
      </c>
      <c r="Z490" s="65" t="s">
        <v>49</v>
      </c>
      <c r="AA490" s="65">
        <v>982673362</v>
      </c>
      <c r="AB490" s="65" t="s">
        <v>416</v>
      </c>
    </row>
    <row r="491" spans="1:28" x14ac:dyDescent="0.3">
      <c r="A491" s="1">
        <v>46256</v>
      </c>
      <c r="B491" s="65" t="s">
        <v>2014</v>
      </c>
      <c r="C491" s="65" t="s">
        <v>29</v>
      </c>
      <c r="D491" s="65" t="s">
        <v>1774</v>
      </c>
      <c r="E491" s="65" t="s">
        <v>31</v>
      </c>
      <c r="F491" s="65" t="s">
        <v>2015</v>
      </c>
      <c r="G491" s="65" t="s">
        <v>1899</v>
      </c>
      <c r="H491" s="65" t="s">
        <v>1900</v>
      </c>
      <c r="I491" s="65" t="s">
        <v>411</v>
      </c>
      <c r="J491" s="65" t="s">
        <v>412</v>
      </c>
      <c r="K491" s="65" t="s">
        <v>37</v>
      </c>
      <c r="L491" s="65" t="s">
        <v>1901</v>
      </c>
      <c r="M491" s="65" t="s">
        <v>1902</v>
      </c>
      <c r="N491" s="65" t="s">
        <v>1899</v>
      </c>
      <c r="O491" s="65" t="s">
        <v>2016</v>
      </c>
      <c r="P491" s="65" t="s">
        <v>2017</v>
      </c>
      <c r="Q491" s="65">
        <v>1</v>
      </c>
      <c r="R491" s="65" t="s">
        <v>42</v>
      </c>
      <c r="S491" s="65" t="s">
        <v>44</v>
      </c>
      <c r="T491" s="65" t="s">
        <v>44</v>
      </c>
      <c r="U491" s="65" t="s">
        <v>531</v>
      </c>
      <c r="V491" s="65" t="s">
        <v>1965</v>
      </c>
      <c r="W491" s="65">
        <v>63.56</v>
      </c>
      <c r="X491" s="65" t="s">
        <v>2018</v>
      </c>
      <c r="Y491" s="65" t="s">
        <v>48</v>
      </c>
      <c r="Z491" s="65" t="s">
        <v>534</v>
      </c>
      <c r="AA491" s="65">
        <v>982673362</v>
      </c>
      <c r="AB491" s="65" t="s">
        <v>416</v>
      </c>
    </row>
    <row r="492" spans="1:28" x14ac:dyDescent="0.3">
      <c r="A492" s="1">
        <v>46256</v>
      </c>
      <c r="B492" s="65" t="s">
        <v>2019</v>
      </c>
      <c r="C492" s="65" t="s">
        <v>29</v>
      </c>
      <c r="D492" s="65" t="s">
        <v>2020</v>
      </c>
      <c r="E492" s="65" t="s">
        <v>31</v>
      </c>
      <c r="F492" s="65" t="s">
        <v>2021</v>
      </c>
      <c r="G492" s="65" t="s">
        <v>2022</v>
      </c>
      <c r="H492" s="65" t="s">
        <v>2023</v>
      </c>
      <c r="I492" s="65" t="s">
        <v>2024</v>
      </c>
      <c r="J492" s="65" t="s">
        <v>2025</v>
      </c>
      <c r="K492" s="65" t="s">
        <v>37</v>
      </c>
      <c r="L492" s="65" t="s">
        <v>2026</v>
      </c>
      <c r="M492" s="65" t="s">
        <v>2027</v>
      </c>
      <c r="N492" s="65" t="s">
        <v>2022</v>
      </c>
      <c r="O492" s="65" t="s">
        <v>2028</v>
      </c>
      <c r="P492" s="65" t="s">
        <v>101</v>
      </c>
      <c r="Q492" s="65">
        <v>1</v>
      </c>
      <c r="R492" s="65" t="s">
        <v>42</v>
      </c>
      <c r="S492" s="65" t="s">
        <v>44</v>
      </c>
      <c r="T492" s="65" t="s">
        <v>44</v>
      </c>
      <c r="U492" s="65" t="s">
        <v>45</v>
      </c>
      <c r="V492" s="65" t="s">
        <v>60</v>
      </c>
      <c r="W492" s="65">
        <v>186.44</v>
      </c>
      <c r="X492" s="65" t="s">
        <v>47</v>
      </c>
      <c r="Y492" s="65" t="s">
        <v>48</v>
      </c>
      <c r="Z492" s="65" t="s">
        <v>49</v>
      </c>
      <c r="AA492" s="65">
        <v>986661693</v>
      </c>
      <c r="AB492" s="65" t="s">
        <v>2029</v>
      </c>
    </row>
    <row r="493" spans="1:28" x14ac:dyDescent="0.3">
      <c r="A493" s="1">
        <v>46256</v>
      </c>
      <c r="B493" s="65" t="s">
        <v>2030</v>
      </c>
      <c r="C493" s="65" t="s">
        <v>29</v>
      </c>
      <c r="D493" s="65" t="s">
        <v>2031</v>
      </c>
      <c r="E493" s="65" t="s">
        <v>31</v>
      </c>
      <c r="F493" s="65" t="s">
        <v>2032</v>
      </c>
      <c r="G493" s="65" t="s">
        <v>2033</v>
      </c>
      <c r="H493" s="65" t="s">
        <v>2034</v>
      </c>
      <c r="I493" s="65" t="s">
        <v>1386</v>
      </c>
      <c r="J493" s="65" t="s">
        <v>4005</v>
      </c>
      <c r="K493" s="65" t="s">
        <v>37</v>
      </c>
      <c r="L493" s="65" t="s">
        <v>2035</v>
      </c>
      <c r="M493" s="65" t="s">
        <v>2036</v>
      </c>
      <c r="N493" s="65" t="s">
        <v>2033</v>
      </c>
      <c r="O493" s="65" t="s">
        <v>2037</v>
      </c>
      <c r="P493" s="65" t="s">
        <v>159</v>
      </c>
      <c r="Q493" s="65">
        <v>1</v>
      </c>
      <c r="R493" s="65" t="s">
        <v>42</v>
      </c>
      <c r="S493" s="65" t="s">
        <v>44</v>
      </c>
      <c r="T493" s="65" t="s">
        <v>44</v>
      </c>
      <c r="U493" s="65" t="s">
        <v>45</v>
      </c>
      <c r="V493" s="65" t="s">
        <v>46</v>
      </c>
      <c r="W493" s="65">
        <v>135.59</v>
      </c>
      <c r="X493" s="65" t="s">
        <v>47</v>
      </c>
      <c r="Y493" s="65" t="s">
        <v>48</v>
      </c>
      <c r="Z493" s="65" t="s">
        <v>49</v>
      </c>
      <c r="AA493" s="65">
        <v>917791542</v>
      </c>
      <c r="AB493" s="65" t="s">
        <v>1390</v>
      </c>
    </row>
    <row r="494" spans="1:28" x14ac:dyDescent="0.3">
      <c r="A494" s="1">
        <v>46256</v>
      </c>
      <c r="B494" s="65" t="s">
        <v>2038</v>
      </c>
      <c r="C494" s="65" t="s">
        <v>29</v>
      </c>
      <c r="D494" s="65" t="s">
        <v>2039</v>
      </c>
      <c r="E494" s="65" t="s">
        <v>31</v>
      </c>
      <c r="F494" s="65" t="s">
        <v>2040</v>
      </c>
      <c r="G494" s="65" t="s">
        <v>2041</v>
      </c>
      <c r="H494" s="65" t="s">
        <v>2042</v>
      </c>
      <c r="I494" s="65" t="s">
        <v>1386</v>
      </c>
      <c r="J494" s="65" t="s">
        <v>4005</v>
      </c>
      <c r="K494" s="65" t="s">
        <v>37</v>
      </c>
      <c r="L494" s="65" t="s">
        <v>2043</v>
      </c>
      <c r="M494" s="65" t="s">
        <v>2044</v>
      </c>
      <c r="N494" s="65" t="s">
        <v>2041</v>
      </c>
      <c r="O494" s="65" t="s">
        <v>2045</v>
      </c>
      <c r="P494" s="65" t="s">
        <v>159</v>
      </c>
      <c r="Q494" s="65">
        <v>1</v>
      </c>
      <c r="R494" s="65" t="s">
        <v>42</v>
      </c>
      <c r="S494" s="65" t="s">
        <v>44</v>
      </c>
      <c r="T494" s="65" t="s">
        <v>44</v>
      </c>
      <c r="U494" s="65" t="s">
        <v>45</v>
      </c>
      <c r="V494" s="65" t="s">
        <v>46</v>
      </c>
      <c r="W494" s="65">
        <v>135.59</v>
      </c>
      <c r="X494" s="65" t="s">
        <v>47</v>
      </c>
      <c r="Y494" s="65" t="s">
        <v>48</v>
      </c>
      <c r="Z494" s="65" t="s">
        <v>49</v>
      </c>
      <c r="AA494" s="65">
        <v>917791542</v>
      </c>
      <c r="AB494" s="65" t="s">
        <v>1390</v>
      </c>
    </row>
    <row r="495" spans="1:28" x14ac:dyDescent="0.3">
      <c r="A495" s="1">
        <v>46256</v>
      </c>
      <c r="B495" s="65" t="s">
        <v>2046</v>
      </c>
      <c r="C495" s="65" t="s">
        <v>29</v>
      </c>
      <c r="D495" s="65" t="s">
        <v>2047</v>
      </c>
      <c r="E495" s="65" t="s">
        <v>31</v>
      </c>
      <c r="F495" s="65" t="s">
        <v>2048</v>
      </c>
      <c r="G495" s="65" t="s">
        <v>2049</v>
      </c>
      <c r="H495" s="65" t="s">
        <v>2050</v>
      </c>
      <c r="I495" s="65" t="s">
        <v>2739</v>
      </c>
      <c r="J495" s="65" t="s">
        <v>209</v>
      </c>
      <c r="K495" s="65" t="s">
        <v>37</v>
      </c>
      <c r="L495" s="65" t="s">
        <v>2051</v>
      </c>
      <c r="M495" s="65" t="s">
        <v>2052</v>
      </c>
      <c r="N495" s="65" t="s">
        <v>2049</v>
      </c>
      <c r="O495" s="65" t="s">
        <v>2053</v>
      </c>
      <c r="P495" s="65" t="s">
        <v>202</v>
      </c>
      <c r="Q495" s="65">
        <v>1</v>
      </c>
      <c r="R495" s="65" t="s">
        <v>42</v>
      </c>
      <c r="S495" s="65" t="s">
        <v>44</v>
      </c>
      <c r="T495" s="65" t="s">
        <v>44</v>
      </c>
      <c r="U495" s="65" t="s">
        <v>71</v>
      </c>
      <c r="V495" s="65" t="s">
        <v>2054</v>
      </c>
      <c r="W495" s="65">
        <v>135.59</v>
      </c>
      <c r="X495" s="65" t="s">
        <v>47</v>
      </c>
      <c r="Y495" s="65" t="s">
        <v>48</v>
      </c>
      <c r="Z495" s="65" t="s">
        <v>73</v>
      </c>
      <c r="AA495" s="65"/>
      <c r="AB495" s="65"/>
    </row>
    <row r="496" spans="1:28" x14ac:dyDescent="0.3">
      <c r="A496" s="1">
        <v>46256</v>
      </c>
      <c r="B496" s="65" t="s">
        <v>2055</v>
      </c>
      <c r="C496" s="65" t="s">
        <v>29</v>
      </c>
      <c r="D496" s="65" t="s">
        <v>2056</v>
      </c>
      <c r="E496" s="65" t="s">
        <v>31</v>
      </c>
      <c r="F496" s="65" t="s">
        <v>2057</v>
      </c>
      <c r="G496" s="65" t="s">
        <v>2058</v>
      </c>
      <c r="H496" s="65" t="s">
        <v>2059</v>
      </c>
      <c r="I496" s="65" t="s">
        <v>434</v>
      </c>
      <c r="J496" s="65" t="s">
        <v>435</v>
      </c>
      <c r="K496" s="65" t="s">
        <v>37</v>
      </c>
      <c r="L496" s="65" t="s">
        <v>2060</v>
      </c>
      <c r="M496" s="65" t="s">
        <v>2061</v>
      </c>
      <c r="N496" s="65" t="s">
        <v>2058</v>
      </c>
      <c r="O496" s="65" t="s">
        <v>2062</v>
      </c>
      <c r="P496" s="65" t="s">
        <v>90</v>
      </c>
      <c r="Q496" s="65">
        <v>1</v>
      </c>
      <c r="R496" s="65" t="s">
        <v>70</v>
      </c>
      <c r="S496" s="65" t="s">
        <v>43</v>
      </c>
      <c r="T496" s="65" t="s">
        <v>44</v>
      </c>
      <c r="U496" s="65" t="s">
        <v>71</v>
      </c>
      <c r="V496" s="65" t="s">
        <v>72</v>
      </c>
      <c r="W496" s="65">
        <v>135.59</v>
      </c>
      <c r="X496" s="65" t="s">
        <v>47</v>
      </c>
      <c r="Y496" s="65" t="s">
        <v>48</v>
      </c>
      <c r="Z496" s="65" t="s">
        <v>73</v>
      </c>
      <c r="AA496" s="65">
        <v>992903716</v>
      </c>
      <c r="AB496" s="65" t="s">
        <v>439</v>
      </c>
    </row>
    <row r="497" spans="1:28" x14ac:dyDescent="0.3">
      <c r="A497" s="1">
        <v>46256</v>
      </c>
      <c r="B497" s="65" t="s">
        <v>2063</v>
      </c>
      <c r="C497" s="65" t="s">
        <v>29</v>
      </c>
      <c r="D497" s="65" t="s">
        <v>2064</v>
      </c>
      <c r="E497" s="65" t="s">
        <v>31</v>
      </c>
      <c r="F497" s="65" t="s">
        <v>2065</v>
      </c>
      <c r="G497" s="65" t="s">
        <v>2066</v>
      </c>
      <c r="H497" s="65" t="s">
        <v>2067</v>
      </c>
      <c r="I497" s="65" t="s">
        <v>774</v>
      </c>
      <c r="J497" s="65" t="s">
        <v>775</v>
      </c>
      <c r="K497" s="65" t="s">
        <v>37</v>
      </c>
      <c r="L497" s="65" t="s">
        <v>2068</v>
      </c>
      <c r="M497" s="65" t="s">
        <v>2069</v>
      </c>
      <c r="N497" s="65" t="s">
        <v>2066</v>
      </c>
      <c r="O497" s="65" t="s">
        <v>2070</v>
      </c>
      <c r="P497" s="65" t="s">
        <v>101</v>
      </c>
      <c r="Q497" s="65">
        <v>1</v>
      </c>
      <c r="R497" s="65" t="s">
        <v>42</v>
      </c>
      <c r="S497" s="65" t="s">
        <v>44</v>
      </c>
      <c r="T497" s="65" t="s">
        <v>44</v>
      </c>
      <c r="U497" s="65" t="s">
        <v>71</v>
      </c>
      <c r="V497" s="65" t="s">
        <v>72</v>
      </c>
      <c r="W497" s="65">
        <v>186.44</v>
      </c>
      <c r="X497" s="65" t="s">
        <v>47</v>
      </c>
      <c r="Y497" s="65" t="s">
        <v>48</v>
      </c>
      <c r="Z497" s="65" t="s">
        <v>73</v>
      </c>
      <c r="AA497" s="65"/>
      <c r="AB497" s="65"/>
    </row>
    <row r="498" spans="1:28" x14ac:dyDescent="0.3">
      <c r="A498" s="1">
        <v>46258</v>
      </c>
      <c r="B498" s="65" t="s">
        <v>2071</v>
      </c>
      <c r="C498" s="65" t="s">
        <v>29</v>
      </c>
      <c r="D498" s="65" t="s">
        <v>2072</v>
      </c>
      <c r="E498" s="65" t="s">
        <v>31</v>
      </c>
      <c r="F498" s="65" t="s">
        <v>2073</v>
      </c>
      <c r="G498" s="65" t="s">
        <v>2074</v>
      </c>
      <c r="H498" s="65" t="s">
        <v>2075</v>
      </c>
      <c r="I498" s="65" t="s">
        <v>411</v>
      </c>
      <c r="J498" s="65" t="s">
        <v>412</v>
      </c>
      <c r="K498" s="65" t="s">
        <v>37</v>
      </c>
      <c r="L498" s="65" t="s">
        <v>2076</v>
      </c>
      <c r="M498" s="65" t="s">
        <v>2077</v>
      </c>
      <c r="N498" s="65" t="s">
        <v>2074</v>
      </c>
      <c r="O498" s="65" t="s">
        <v>2078</v>
      </c>
      <c r="P498" s="65" t="s">
        <v>41</v>
      </c>
      <c r="Q498" s="65">
        <v>1</v>
      </c>
      <c r="R498" s="65" t="s">
        <v>42</v>
      </c>
      <c r="S498" s="65" t="s">
        <v>44</v>
      </c>
      <c r="T498" s="65" t="s">
        <v>44</v>
      </c>
      <c r="U498" s="65" t="s">
        <v>45</v>
      </c>
      <c r="V498" s="65" t="s">
        <v>46</v>
      </c>
      <c r="W498" s="65">
        <v>186.44</v>
      </c>
      <c r="X498" s="65" t="s">
        <v>47</v>
      </c>
      <c r="Y498" s="65" t="s">
        <v>48</v>
      </c>
      <c r="Z498" s="65" t="s">
        <v>49</v>
      </c>
      <c r="AA498" s="65">
        <v>982673362</v>
      </c>
      <c r="AB498" s="65" t="s">
        <v>416</v>
      </c>
    </row>
    <row r="499" spans="1:28" x14ac:dyDescent="0.3">
      <c r="A499" s="1">
        <v>46258</v>
      </c>
      <c r="B499" s="65" t="s">
        <v>2079</v>
      </c>
      <c r="C499" s="65" t="s">
        <v>29</v>
      </c>
      <c r="D499" s="65" t="s">
        <v>2080</v>
      </c>
      <c r="E499" s="65" t="s">
        <v>31</v>
      </c>
      <c r="F499" s="65" t="s">
        <v>2081</v>
      </c>
      <c r="G499" s="65" t="s">
        <v>2074</v>
      </c>
      <c r="H499" s="65" t="s">
        <v>2075</v>
      </c>
      <c r="I499" s="65" t="s">
        <v>411</v>
      </c>
      <c r="J499" s="65" t="s">
        <v>412</v>
      </c>
      <c r="K499" s="65" t="s">
        <v>37</v>
      </c>
      <c r="L499" s="65" t="s">
        <v>2076</v>
      </c>
      <c r="M499" s="65" t="s">
        <v>2077</v>
      </c>
      <c r="N499" s="65" t="s">
        <v>2074</v>
      </c>
      <c r="O499" s="65" t="s">
        <v>2082</v>
      </c>
      <c r="P499" s="65" t="s">
        <v>101</v>
      </c>
      <c r="Q499" s="65">
        <v>1</v>
      </c>
      <c r="R499" s="65" t="s">
        <v>42</v>
      </c>
      <c r="S499" s="65" t="s">
        <v>44</v>
      </c>
      <c r="T499" s="65" t="s">
        <v>44</v>
      </c>
      <c r="U499" s="65" t="s">
        <v>45</v>
      </c>
      <c r="V499" s="65" t="s">
        <v>46</v>
      </c>
      <c r="W499" s="65">
        <v>186.44</v>
      </c>
      <c r="X499" s="65" t="s">
        <v>47</v>
      </c>
      <c r="Y499" s="65" t="s">
        <v>48</v>
      </c>
      <c r="Z499" s="65" t="s">
        <v>49</v>
      </c>
      <c r="AA499" s="65">
        <v>982673362</v>
      </c>
      <c r="AB499" s="65" t="s">
        <v>416</v>
      </c>
    </row>
    <row r="500" spans="1:28" x14ac:dyDescent="0.3">
      <c r="A500" s="1">
        <v>46258</v>
      </c>
      <c r="B500" s="65" t="s">
        <v>2083</v>
      </c>
      <c r="C500" s="65" t="s">
        <v>29</v>
      </c>
      <c r="D500" s="65" t="s">
        <v>2084</v>
      </c>
      <c r="E500" s="65" t="s">
        <v>31</v>
      </c>
      <c r="F500" s="65" t="s">
        <v>2085</v>
      </c>
      <c r="G500" s="65" t="s">
        <v>2086</v>
      </c>
      <c r="H500" s="65" t="s">
        <v>2087</v>
      </c>
      <c r="I500" s="65" t="s">
        <v>136</v>
      </c>
      <c r="J500" s="65" t="s">
        <v>137</v>
      </c>
      <c r="K500" s="65" t="s">
        <v>37</v>
      </c>
      <c r="L500" s="65" t="s">
        <v>2088</v>
      </c>
      <c r="M500" s="65" t="s">
        <v>2089</v>
      </c>
      <c r="N500" s="65" t="s">
        <v>2086</v>
      </c>
      <c r="O500" s="65" t="s">
        <v>2090</v>
      </c>
      <c r="P500" s="65" t="s">
        <v>41</v>
      </c>
      <c r="Q500" s="65">
        <v>1</v>
      </c>
      <c r="R500" s="65" t="s">
        <v>42</v>
      </c>
      <c r="S500" s="65" t="s">
        <v>44</v>
      </c>
      <c r="T500" s="65" t="s">
        <v>44</v>
      </c>
      <c r="U500" s="65" t="s">
        <v>45</v>
      </c>
      <c r="V500" s="65" t="s">
        <v>46</v>
      </c>
      <c r="W500" s="65">
        <v>186.44</v>
      </c>
      <c r="X500" s="65" t="s">
        <v>47</v>
      </c>
      <c r="Y500" s="65" t="s">
        <v>48</v>
      </c>
      <c r="Z500" s="65" t="s">
        <v>49</v>
      </c>
      <c r="AA500" s="65">
        <v>987407712</v>
      </c>
      <c r="AB500" s="65" t="s">
        <v>141</v>
      </c>
    </row>
    <row r="501" spans="1:28" x14ac:dyDescent="0.3">
      <c r="A501" s="1">
        <v>46258</v>
      </c>
      <c r="B501" s="65" t="s">
        <v>2091</v>
      </c>
      <c r="C501" s="65" t="s">
        <v>29</v>
      </c>
      <c r="D501" s="65" t="s">
        <v>2092</v>
      </c>
      <c r="E501" s="65" t="s">
        <v>31</v>
      </c>
      <c r="F501" s="65" t="s">
        <v>2093</v>
      </c>
      <c r="G501" s="65" t="s">
        <v>2094</v>
      </c>
      <c r="H501" s="65" t="s">
        <v>2095</v>
      </c>
      <c r="I501" s="65" t="s">
        <v>662</v>
      </c>
      <c r="J501" s="65" t="s">
        <v>36</v>
      </c>
      <c r="K501" s="65" t="s">
        <v>37</v>
      </c>
      <c r="L501" s="65" t="s">
        <v>2096</v>
      </c>
      <c r="M501" s="65" t="s">
        <v>2097</v>
      </c>
      <c r="N501" s="65" t="s">
        <v>2094</v>
      </c>
      <c r="O501" s="65" t="s">
        <v>2098</v>
      </c>
      <c r="P501" s="65" t="s">
        <v>101</v>
      </c>
      <c r="Q501" s="65">
        <v>1</v>
      </c>
      <c r="R501" s="65" t="s">
        <v>42</v>
      </c>
      <c r="S501" s="65" t="s">
        <v>44</v>
      </c>
      <c r="T501" s="65" t="s">
        <v>44</v>
      </c>
      <c r="U501" s="65" t="s">
        <v>45</v>
      </c>
      <c r="V501" s="65" t="s">
        <v>46</v>
      </c>
      <c r="W501" s="65">
        <v>186.44</v>
      </c>
      <c r="X501" s="65" t="s">
        <v>47</v>
      </c>
      <c r="Y501" s="65" t="s">
        <v>48</v>
      </c>
      <c r="Z501" s="65" t="s">
        <v>49</v>
      </c>
      <c r="AA501" s="65">
        <v>997145685</v>
      </c>
      <c r="AB501" s="65" t="s">
        <v>666</v>
      </c>
    </row>
    <row r="502" spans="1:28" x14ac:dyDescent="0.3">
      <c r="A502" s="1">
        <v>46258</v>
      </c>
      <c r="B502" s="65" t="s">
        <v>2099</v>
      </c>
      <c r="C502" s="65" t="s">
        <v>29</v>
      </c>
      <c r="D502" s="65" t="s">
        <v>2100</v>
      </c>
      <c r="E502" s="65" t="s">
        <v>31</v>
      </c>
      <c r="F502" s="65" t="s">
        <v>2101</v>
      </c>
      <c r="G502" s="65" t="s">
        <v>2102</v>
      </c>
      <c r="H502" s="65" t="s">
        <v>2103</v>
      </c>
      <c r="I502" s="65" t="s">
        <v>704</v>
      </c>
      <c r="J502" s="65" t="s">
        <v>705</v>
      </c>
      <c r="K502" s="65" t="s">
        <v>37</v>
      </c>
      <c r="L502" s="65" t="s">
        <v>2104</v>
      </c>
      <c r="M502" s="65" t="s">
        <v>2105</v>
      </c>
      <c r="N502" s="65" t="s">
        <v>2102</v>
      </c>
      <c r="O502" s="65" t="s">
        <v>2106</v>
      </c>
      <c r="P502" s="65" t="s">
        <v>159</v>
      </c>
      <c r="Q502" s="65">
        <v>1</v>
      </c>
      <c r="R502" s="65" t="s">
        <v>42</v>
      </c>
      <c r="S502" s="65" t="s">
        <v>44</v>
      </c>
      <c r="T502" s="65" t="s">
        <v>44</v>
      </c>
      <c r="U502" s="65" t="s">
        <v>45</v>
      </c>
      <c r="V502" s="65" t="s">
        <v>46</v>
      </c>
      <c r="W502" s="65">
        <v>135.59</v>
      </c>
      <c r="X502" s="65" t="s">
        <v>47</v>
      </c>
      <c r="Y502" s="65" t="s">
        <v>48</v>
      </c>
      <c r="Z502" s="65" t="s">
        <v>49</v>
      </c>
      <c r="AA502" s="65">
        <v>998418895</v>
      </c>
      <c r="AB502" s="65" t="s">
        <v>709</v>
      </c>
    </row>
    <row r="503" spans="1:28" x14ac:dyDescent="0.3">
      <c r="A503" s="1">
        <v>46258</v>
      </c>
      <c r="B503" s="65" t="s">
        <v>2099</v>
      </c>
      <c r="C503" s="65" t="s">
        <v>29</v>
      </c>
      <c r="D503" s="65" t="s">
        <v>2100</v>
      </c>
      <c r="E503" s="65" t="s">
        <v>31</v>
      </c>
      <c r="F503" s="65" t="s">
        <v>2101</v>
      </c>
      <c r="G503" s="65" t="s">
        <v>2102</v>
      </c>
      <c r="H503" s="65" t="s">
        <v>2103</v>
      </c>
      <c r="I503" s="65" t="s">
        <v>704</v>
      </c>
      <c r="J503" s="65" t="s">
        <v>705</v>
      </c>
      <c r="K503" s="65" t="s">
        <v>37</v>
      </c>
      <c r="L503" s="65" t="s">
        <v>2104</v>
      </c>
      <c r="M503" s="65" t="s">
        <v>2105</v>
      </c>
      <c r="N503" s="65" t="s">
        <v>2102</v>
      </c>
      <c r="O503" s="65" t="s">
        <v>2106</v>
      </c>
      <c r="P503" s="65" t="s">
        <v>158</v>
      </c>
      <c r="Q503" s="65">
        <v>1</v>
      </c>
      <c r="R503" s="65" t="s">
        <v>42</v>
      </c>
      <c r="S503" s="65" t="s">
        <v>44</v>
      </c>
      <c r="T503" s="65" t="s">
        <v>44</v>
      </c>
      <c r="U503" s="65" t="s">
        <v>45</v>
      </c>
      <c r="V503" s="65" t="s">
        <v>46</v>
      </c>
      <c r="W503" s="65">
        <v>152.54</v>
      </c>
      <c r="X503" s="65" t="s">
        <v>47</v>
      </c>
      <c r="Y503" s="65" t="s">
        <v>48</v>
      </c>
      <c r="Z503" s="65" t="s">
        <v>49</v>
      </c>
      <c r="AA503" s="65">
        <v>998418895</v>
      </c>
      <c r="AB503" s="65" t="s">
        <v>709</v>
      </c>
    </row>
    <row r="504" spans="1:28" x14ac:dyDescent="0.3">
      <c r="A504" s="1">
        <v>46258</v>
      </c>
      <c r="B504" s="65" t="s">
        <v>2099</v>
      </c>
      <c r="C504" s="65" t="s">
        <v>29</v>
      </c>
      <c r="D504" s="65" t="s">
        <v>2100</v>
      </c>
      <c r="E504" s="65" t="s">
        <v>31</v>
      </c>
      <c r="F504" s="65" t="s">
        <v>2101</v>
      </c>
      <c r="G504" s="65" t="s">
        <v>2102</v>
      </c>
      <c r="H504" s="65" t="s">
        <v>2103</v>
      </c>
      <c r="I504" s="65" t="s">
        <v>704</v>
      </c>
      <c r="J504" s="65" t="s">
        <v>705</v>
      </c>
      <c r="K504" s="65" t="s">
        <v>37</v>
      </c>
      <c r="L504" s="65" t="s">
        <v>2104</v>
      </c>
      <c r="M504" s="65" t="s">
        <v>2105</v>
      </c>
      <c r="N504" s="65" t="s">
        <v>2102</v>
      </c>
      <c r="O504" s="65" t="s">
        <v>2106</v>
      </c>
      <c r="P504" s="65" t="s">
        <v>101</v>
      </c>
      <c r="Q504" s="65">
        <v>1</v>
      </c>
      <c r="R504" s="65" t="s">
        <v>42</v>
      </c>
      <c r="S504" s="65" t="s">
        <v>44</v>
      </c>
      <c r="T504" s="65" t="s">
        <v>44</v>
      </c>
      <c r="U504" s="65" t="s">
        <v>45</v>
      </c>
      <c r="V504" s="65" t="s">
        <v>46</v>
      </c>
      <c r="W504" s="65">
        <v>186.44</v>
      </c>
      <c r="X504" s="65" t="s">
        <v>47</v>
      </c>
      <c r="Y504" s="65" t="s">
        <v>48</v>
      </c>
      <c r="Z504" s="65" t="s">
        <v>49</v>
      </c>
      <c r="AA504" s="65">
        <v>998418895</v>
      </c>
      <c r="AB504" s="65" t="s">
        <v>709</v>
      </c>
    </row>
    <row r="505" spans="1:28" x14ac:dyDescent="0.3">
      <c r="A505" s="1">
        <v>46258</v>
      </c>
      <c r="B505" s="65" t="s">
        <v>2107</v>
      </c>
      <c r="C505" s="65" t="s">
        <v>29</v>
      </c>
      <c r="D505" s="65" t="s">
        <v>2108</v>
      </c>
      <c r="E505" s="65" t="s">
        <v>31</v>
      </c>
      <c r="F505" s="65" t="s">
        <v>2109</v>
      </c>
      <c r="G505" s="65" t="s">
        <v>2110</v>
      </c>
      <c r="H505" s="65" t="s">
        <v>2111</v>
      </c>
      <c r="I505" s="65" t="s">
        <v>1386</v>
      </c>
      <c r="J505" s="65" t="s">
        <v>4005</v>
      </c>
      <c r="K505" s="65" t="s">
        <v>37</v>
      </c>
      <c r="L505" s="65" t="s">
        <v>2112</v>
      </c>
      <c r="M505" s="65" t="s">
        <v>2113</v>
      </c>
      <c r="N505" s="65" t="s">
        <v>2110</v>
      </c>
      <c r="O505" s="65" t="s">
        <v>2114</v>
      </c>
      <c r="P505" s="65" t="s">
        <v>202</v>
      </c>
      <c r="Q505" s="65">
        <v>1</v>
      </c>
      <c r="R505" s="65" t="s">
        <v>42</v>
      </c>
      <c r="S505" s="65" t="s">
        <v>44</v>
      </c>
      <c r="T505" s="65" t="s">
        <v>44</v>
      </c>
      <c r="U505" s="65" t="s">
        <v>71</v>
      </c>
      <c r="V505" s="65" t="s">
        <v>2054</v>
      </c>
      <c r="W505" s="65">
        <v>135.59</v>
      </c>
      <c r="X505" s="65" t="s">
        <v>47</v>
      </c>
      <c r="Y505" s="65" t="s">
        <v>48</v>
      </c>
      <c r="Z505" s="65" t="s">
        <v>73</v>
      </c>
      <c r="AA505" s="65">
        <v>917791542</v>
      </c>
      <c r="AB505" s="65" t="s">
        <v>1390</v>
      </c>
    </row>
    <row r="506" spans="1:28" x14ac:dyDescent="0.3">
      <c r="A506" s="1">
        <v>46258</v>
      </c>
      <c r="B506" s="65" t="s">
        <v>2115</v>
      </c>
      <c r="C506" s="65" t="s">
        <v>29</v>
      </c>
      <c r="D506" s="65" t="s">
        <v>2116</v>
      </c>
      <c r="E506" s="65" t="s">
        <v>31</v>
      </c>
      <c r="F506" s="65" t="s">
        <v>2117</v>
      </c>
      <c r="G506" s="65" t="s">
        <v>2118</v>
      </c>
      <c r="H506" s="65" t="s">
        <v>2119</v>
      </c>
      <c r="I506" s="65" t="s">
        <v>1322</v>
      </c>
      <c r="J506" s="65" t="s">
        <v>36</v>
      </c>
      <c r="K506" s="65" t="s">
        <v>37</v>
      </c>
      <c r="L506" s="65" t="s">
        <v>2120</v>
      </c>
      <c r="M506" s="65" t="s">
        <v>2121</v>
      </c>
      <c r="N506" s="65" t="s">
        <v>2118</v>
      </c>
      <c r="O506" s="65" t="s">
        <v>2122</v>
      </c>
      <c r="P506" s="65" t="s">
        <v>101</v>
      </c>
      <c r="Q506" s="65">
        <v>1</v>
      </c>
      <c r="R506" s="65" t="s">
        <v>70</v>
      </c>
      <c r="S506" s="65" t="s">
        <v>43</v>
      </c>
      <c r="T506" s="65" t="s">
        <v>44</v>
      </c>
      <c r="U506" s="65" t="s">
        <v>71</v>
      </c>
      <c r="V506" s="65" t="s">
        <v>72</v>
      </c>
      <c r="W506" s="65">
        <v>186.44</v>
      </c>
      <c r="X506" s="65" t="s">
        <v>47</v>
      </c>
      <c r="Y506" s="65" t="s">
        <v>48</v>
      </c>
      <c r="Z506" s="65" t="s">
        <v>73</v>
      </c>
      <c r="AA506" s="65">
        <v>999111362</v>
      </c>
      <c r="AB506" s="65" t="s">
        <v>1326</v>
      </c>
    </row>
    <row r="507" spans="1:28" x14ac:dyDescent="0.3">
      <c r="A507" s="1">
        <v>46258</v>
      </c>
      <c r="B507" s="65" t="s">
        <v>2123</v>
      </c>
      <c r="C507" s="65" t="s">
        <v>29</v>
      </c>
      <c r="D507" s="65" t="s">
        <v>2124</v>
      </c>
      <c r="E507" s="65" t="s">
        <v>31</v>
      </c>
      <c r="F507" s="65" t="s">
        <v>2125</v>
      </c>
      <c r="G507" s="65" t="s">
        <v>2126</v>
      </c>
      <c r="H507" s="65" t="s">
        <v>2127</v>
      </c>
      <c r="I507" s="65" t="s">
        <v>2128</v>
      </c>
      <c r="J507" s="65" t="s">
        <v>1542</v>
      </c>
      <c r="K507" s="65" t="s">
        <v>37</v>
      </c>
      <c r="L507" s="65" t="s">
        <v>2129</v>
      </c>
      <c r="M507" s="65" t="s">
        <v>2130</v>
      </c>
      <c r="N507" s="65" t="s">
        <v>2126</v>
      </c>
      <c r="O507" s="65" t="s">
        <v>2131</v>
      </c>
      <c r="P507" s="65" t="s">
        <v>101</v>
      </c>
      <c r="Q507" s="65">
        <v>1</v>
      </c>
      <c r="R507" s="65" t="s">
        <v>42</v>
      </c>
      <c r="S507" s="65" t="s">
        <v>44</v>
      </c>
      <c r="T507" s="65" t="s">
        <v>44</v>
      </c>
      <c r="U507" s="65" t="s">
        <v>45</v>
      </c>
      <c r="V507" s="65" t="s">
        <v>46</v>
      </c>
      <c r="W507" s="65">
        <v>186.44</v>
      </c>
      <c r="X507" s="65" t="s">
        <v>47</v>
      </c>
      <c r="Y507" s="65" t="s">
        <v>48</v>
      </c>
      <c r="Z507" s="65" t="s">
        <v>49</v>
      </c>
      <c r="AA507" s="65">
        <v>943089042</v>
      </c>
      <c r="AB507" s="65"/>
    </row>
    <row r="508" spans="1:28" x14ac:dyDescent="0.3">
      <c r="A508" s="1">
        <v>46258</v>
      </c>
      <c r="B508" s="65" t="s">
        <v>2132</v>
      </c>
      <c r="C508" s="65" t="s">
        <v>29</v>
      </c>
      <c r="D508" s="65" t="s">
        <v>2133</v>
      </c>
      <c r="E508" s="65" t="s">
        <v>31</v>
      </c>
      <c r="F508" s="65" t="s">
        <v>2134</v>
      </c>
      <c r="G508" s="65" t="s">
        <v>2135</v>
      </c>
      <c r="H508" s="65" t="s">
        <v>2136</v>
      </c>
      <c r="I508" s="65" t="s">
        <v>628</v>
      </c>
      <c r="J508" s="65" t="s">
        <v>629</v>
      </c>
      <c r="K508" s="65" t="s">
        <v>37</v>
      </c>
      <c r="L508" s="65" t="s">
        <v>2137</v>
      </c>
      <c r="M508" s="65" t="s">
        <v>2138</v>
      </c>
      <c r="N508" s="65" t="s">
        <v>2135</v>
      </c>
      <c r="O508" s="65" t="s">
        <v>2139</v>
      </c>
      <c r="P508" s="65" t="s">
        <v>41</v>
      </c>
      <c r="Q508" s="65">
        <v>1</v>
      </c>
      <c r="R508" s="65" t="s">
        <v>70</v>
      </c>
      <c r="S508" s="65" t="s">
        <v>43</v>
      </c>
      <c r="T508" s="65" t="s">
        <v>44</v>
      </c>
      <c r="U508" s="65" t="s">
        <v>71</v>
      </c>
      <c r="V508" s="65" t="s">
        <v>72</v>
      </c>
      <c r="W508" s="65">
        <v>186.44</v>
      </c>
      <c r="X508" s="65" t="s">
        <v>47</v>
      </c>
      <c r="Y508" s="65" t="s">
        <v>48</v>
      </c>
      <c r="Z508" s="65" t="s">
        <v>73</v>
      </c>
      <c r="AA508" s="65">
        <v>978789268</v>
      </c>
      <c r="AB508" s="65" t="s">
        <v>633</v>
      </c>
    </row>
    <row r="509" spans="1:28" x14ac:dyDescent="0.3">
      <c r="A509" s="1">
        <v>46258</v>
      </c>
      <c r="B509" s="65" t="s">
        <v>2140</v>
      </c>
      <c r="C509" s="65" t="s">
        <v>268</v>
      </c>
      <c r="D509" s="65" t="s">
        <v>2141</v>
      </c>
      <c r="E509" s="65" t="s">
        <v>31</v>
      </c>
      <c r="F509" s="65" t="s">
        <v>2142</v>
      </c>
      <c r="G509" s="65" t="s">
        <v>2143</v>
      </c>
      <c r="H509" s="65" t="s">
        <v>2144</v>
      </c>
      <c r="I509" s="65" t="s">
        <v>2145</v>
      </c>
      <c r="J509" s="65" t="s">
        <v>2146</v>
      </c>
      <c r="K509" s="65" t="s">
        <v>37</v>
      </c>
      <c r="L509" s="65" t="s">
        <v>2147</v>
      </c>
      <c r="M509" s="65" t="s">
        <v>2148</v>
      </c>
      <c r="N509" s="65" t="s">
        <v>2149</v>
      </c>
      <c r="O509" s="65" t="s">
        <v>2150</v>
      </c>
      <c r="P509" s="65" t="s">
        <v>90</v>
      </c>
      <c r="Q509" s="65">
        <v>1</v>
      </c>
      <c r="R509" s="65" t="s">
        <v>42</v>
      </c>
      <c r="S509" s="65" t="s">
        <v>44</v>
      </c>
      <c r="T509" s="65" t="s">
        <v>44</v>
      </c>
      <c r="U509" s="65" t="s">
        <v>45</v>
      </c>
      <c r="V509" s="65" t="s">
        <v>46</v>
      </c>
      <c r="W509" s="65">
        <v>135.59</v>
      </c>
      <c r="X509" s="65" t="s">
        <v>47</v>
      </c>
      <c r="Y509" s="65" t="s">
        <v>48</v>
      </c>
      <c r="Z509" s="65" t="s">
        <v>49</v>
      </c>
      <c r="AA509" s="65">
        <v>990006387</v>
      </c>
      <c r="AB509" s="65"/>
    </row>
    <row r="510" spans="1:28" x14ac:dyDescent="0.3">
      <c r="A510" s="1">
        <v>46259</v>
      </c>
      <c r="B510" s="65" t="s">
        <v>2151</v>
      </c>
      <c r="C510" s="65" t="s">
        <v>29</v>
      </c>
      <c r="D510" s="65" t="s">
        <v>2152</v>
      </c>
      <c r="E510" s="65" t="s">
        <v>31</v>
      </c>
      <c r="F510" s="65" t="s">
        <v>2153</v>
      </c>
      <c r="G510" s="65" t="s">
        <v>2154</v>
      </c>
      <c r="H510" s="65" t="s">
        <v>2155</v>
      </c>
      <c r="I510" s="65" t="s">
        <v>774</v>
      </c>
      <c r="J510" s="65" t="s">
        <v>775</v>
      </c>
      <c r="K510" s="65" t="s">
        <v>37</v>
      </c>
      <c r="L510" s="65" t="s">
        <v>2156</v>
      </c>
      <c r="M510" s="65" t="s">
        <v>2157</v>
      </c>
      <c r="N510" s="65" t="s">
        <v>2154</v>
      </c>
      <c r="O510" s="65" t="s">
        <v>2158</v>
      </c>
      <c r="P510" s="65" t="s">
        <v>641</v>
      </c>
      <c r="Q510" s="65">
        <v>1</v>
      </c>
      <c r="R510" s="65" t="s">
        <v>42</v>
      </c>
      <c r="S510" s="65" t="s">
        <v>44</v>
      </c>
      <c r="T510" s="65" t="s">
        <v>44</v>
      </c>
      <c r="U510" s="65" t="s">
        <v>45</v>
      </c>
      <c r="V510" s="65" t="s">
        <v>46</v>
      </c>
      <c r="W510" s="65">
        <v>84.75</v>
      </c>
      <c r="X510" s="65" t="s">
        <v>47</v>
      </c>
      <c r="Y510" s="65" t="s">
        <v>48</v>
      </c>
      <c r="Z510" s="65" t="s">
        <v>49</v>
      </c>
      <c r="AA510" s="65"/>
      <c r="AB510" s="65"/>
    </row>
    <row r="511" spans="1:28" x14ac:dyDescent="0.3">
      <c r="A511" s="1">
        <v>46259</v>
      </c>
      <c r="B511" s="65" t="s">
        <v>2159</v>
      </c>
      <c r="C511" s="65" t="s">
        <v>29</v>
      </c>
      <c r="D511" s="65" t="s">
        <v>2160</v>
      </c>
      <c r="E511" s="65" t="s">
        <v>31</v>
      </c>
      <c r="F511" s="65" t="s">
        <v>2161</v>
      </c>
      <c r="G511" s="65" t="s">
        <v>2154</v>
      </c>
      <c r="H511" s="65" t="s">
        <v>2155</v>
      </c>
      <c r="I511" s="65" t="s">
        <v>774</v>
      </c>
      <c r="J511" s="65" t="s">
        <v>775</v>
      </c>
      <c r="K511" s="65" t="s">
        <v>37</v>
      </c>
      <c r="L511" s="65" t="s">
        <v>2156</v>
      </c>
      <c r="M511" s="65" t="s">
        <v>2157</v>
      </c>
      <c r="N511" s="65" t="s">
        <v>2154</v>
      </c>
      <c r="O511" s="65" t="s">
        <v>2162</v>
      </c>
      <c r="P511" s="65" t="s">
        <v>828</v>
      </c>
      <c r="Q511" s="65">
        <v>1</v>
      </c>
      <c r="R511" s="65" t="s">
        <v>42</v>
      </c>
      <c r="S511" s="65" t="s">
        <v>44</v>
      </c>
      <c r="T511" s="65" t="s">
        <v>44</v>
      </c>
      <c r="U511" s="65" t="s">
        <v>45</v>
      </c>
      <c r="V511" s="65" t="s">
        <v>46</v>
      </c>
      <c r="W511" s="65">
        <v>127.12</v>
      </c>
      <c r="X511" s="65" t="s">
        <v>47</v>
      </c>
      <c r="Y511" s="65" t="s">
        <v>48</v>
      </c>
      <c r="Z511" s="65" t="s">
        <v>49</v>
      </c>
      <c r="AA511" s="65"/>
      <c r="AB511" s="65"/>
    </row>
    <row r="512" spans="1:28" x14ac:dyDescent="0.3">
      <c r="A512" s="1">
        <v>46259</v>
      </c>
      <c r="B512" s="65" t="s">
        <v>2163</v>
      </c>
      <c r="C512" s="65" t="s">
        <v>268</v>
      </c>
      <c r="D512" s="65" t="s">
        <v>2164</v>
      </c>
      <c r="E512" s="65" t="s">
        <v>31</v>
      </c>
      <c r="F512" s="65" t="s">
        <v>2165</v>
      </c>
      <c r="G512" s="65" t="s">
        <v>2166</v>
      </c>
      <c r="H512" s="65" t="s">
        <v>2167</v>
      </c>
      <c r="I512" s="65" t="s">
        <v>1322</v>
      </c>
      <c r="J512" s="65" t="s">
        <v>36</v>
      </c>
      <c r="K512" s="65" t="s">
        <v>37</v>
      </c>
      <c r="L512" s="65" t="s">
        <v>2168</v>
      </c>
      <c r="M512" s="65" t="s">
        <v>2169</v>
      </c>
      <c r="N512" s="65" t="s">
        <v>2170</v>
      </c>
      <c r="O512" s="65" t="s">
        <v>2171</v>
      </c>
      <c r="P512" s="65" t="s">
        <v>41</v>
      </c>
      <c r="Q512" s="65">
        <v>1</v>
      </c>
      <c r="R512" s="65" t="s">
        <v>42</v>
      </c>
      <c r="S512" s="65" t="s">
        <v>44</v>
      </c>
      <c r="T512" s="65" t="s">
        <v>44</v>
      </c>
      <c r="U512" s="65" t="s">
        <v>45</v>
      </c>
      <c r="V512" s="65" t="s">
        <v>60</v>
      </c>
      <c r="W512" s="65">
        <v>186.44</v>
      </c>
      <c r="X512" s="65" t="s">
        <v>47</v>
      </c>
      <c r="Y512" s="65" t="s">
        <v>48</v>
      </c>
      <c r="Z512" s="65" t="s">
        <v>49</v>
      </c>
      <c r="AA512" s="65">
        <v>999111362</v>
      </c>
      <c r="AB512" s="65" t="s">
        <v>1326</v>
      </c>
    </row>
    <row r="513" spans="1:28" x14ac:dyDescent="0.3">
      <c r="A513" s="1">
        <v>46259</v>
      </c>
      <c r="B513" s="65" t="s">
        <v>2172</v>
      </c>
      <c r="C513" s="65" t="s">
        <v>268</v>
      </c>
      <c r="D513" s="65" t="s">
        <v>2173</v>
      </c>
      <c r="E513" s="65" t="s">
        <v>31</v>
      </c>
      <c r="F513" s="65" t="s">
        <v>2174</v>
      </c>
      <c r="G513" s="65" t="s">
        <v>2175</v>
      </c>
      <c r="H513" s="65" t="s">
        <v>2176</v>
      </c>
      <c r="I513" s="65" t="s">
        <v>2177</v>
      </c>
      <c r="J513" s="65"/>
      <c r="K513" s="65" t="s">
        <v>37</v>
      </c>
      <c r="L513" s="65" t="s">
        <v>2178</v>
      </c>
      <c r="M513" s="65" t="s">
        <v>2179</v>
      </c>
      <c r="N513" s="65" t="s">
        <v>2180</v>
      </c>
      <c r="O513" s="65" t="s">
        <v>2181</v>
      </c>
      <c r="P513" s="65" t="s">
        <v>202</v>
      </c>
      <c r="Q513" s="65">
        <v>1</v>
      </c>
      <c r="R513" s="65" t="s">
        <v>42</v>
      </c>
      <c r="S513" s="65" t="s">
        <v>44</v>
      </c>
      <c r="T513" s="65" t="s">
        <v>44</v>
      </c>
      <c r="U513" s="65" t="s">
        <v>45</v>
      </c>
      <c r="V513" s="65" t="s">
        <v>60</v>
      </c>
      <c r="W513" s="65">
        <v>135.59</v>
      </c>
      <c r="X513" s="65" t="s">
        <v>47</v>
      </c>
      <c r="Y513" s="65" t="s">
        <v>48</v>
      </c>
      <c r="Z513" s="65" t="s">
        <v>49</v>
      </c>
      <c r="AA513" s="65"/>
      <c r="AB513" s="65"/>
    </row>
    <row r="514" spans="1:28" x14ac:dyDescent="0.3">
      <c r="A514" s="1">
        <v>46259</v>
      </c>
      <c r="B514" s="65" t="s">
        <v>2182</v>
      </c>
      <c r="C514" s="65" t="s">
        <v>268</v>
      </c>
      <c r="D514" s="65" t="s">
        <v>2183</v>
      </c>
      <c r="E514" s="65" t="s">
        <v>31</v>
      </c>
      <c r="F514" s="65" t="s">
        <v>2184</v>
      </c>
      <c r="G514" s="65" t="s">
        <v>2185</v>
      </c>
      <c r="H514" s="65" t="s">
        <v>2186</v>
      </c>
      <c r="I514" s="65" t="s">
        <v>273</v>
      </c>
      <c r="J514" s="65" t="s">
        <v>274</v>
      </c>
      <c r="K514" s="65" t="s">
        <v>37</v>
      </c>
      <c r="L514" s="65" t="s">
        <v>2187</v>
      </c>
      <c r="M514" s="65" t="s">
        <v>2188</v>
      </c>
      <c r="N514" s="65" t="s">
        <v>277</v>
      </c>
      <c r="O514" s="65" t="s">
        <v>2189</v>
      </c>
      <c r="P514" s="65" t="s">
        <v>288</v>
      </c>
      <c r="Q514" s="65">
        <v>1</v>
      </c>
      <c r="R514" s="65" t="s">
        <v>42</v>
      </c>
      <c r="S514" s="65" t="s">
        <v>44</v>
      </c>
      <c r="T514" s="65" t="s">
        <v>44</v>
      </c>
      <c r="U514" s="65" t="s">
        <v>45</v>
      </c>
      <c r="V514" s="65" t="s">
        <v>46</v>
      </c>
      <c r="W514" s="65">
        <v>0</v>
      </c>
      <c r="X514" s="65" t="s">
        <v>289</v>
      </c>
      <c r="Y514" s="65" t="s">
        <v>48</v>
      </c>
      <c r="Z514" s="65" t="s">
        <v>49</v>
      </c>
      <c r="AA514" s="65">
        <v>950133748</v>
      </c>
      <c r="AB514" s="65" t="s">
        <v>279</v>
      </c>
    </row>
    <row r="515" spans="1:28" x14ac:dyDescent="0.3">
      <c r="A515" s="1">
        <v>46259</v>
      </c>
      <c r="B515" s="65" t="s">
        <v>2182</v>
      </c>
      <c r="C515" s="65" t="s">
        <v>268</v>
      </c>
      <c r="D515" s="65" t="s">
        <v>2183</v>
      </c>
      <c r="E515" s="65" t="s">
        <v>31</v>
      </c>
      <c r="F515" s="65" t="s">
        <v>2184</v>
      </c>
      <c r="G515" s="65" t="s">
        <v>2185</v>
      </c>
      <c r="H515" s="65" t="s">
        <v>2186</v>
      </c>
      <c r="I515" s="65" t="s">
        <v>273</v>
      </c>
      <c r="J515" s="65" t="s">
        <v>274</v>
      </c>
      <c r="K515" s="65" t="s">
        <v>37</v>
      </c>
      <c r="L515" s="65" t="s">
        <v>2187</v>
      </c>
      <c r="M515" s="65" t="s">
        <v>2188</v>
      </c>
      <c r="N515" s="65" t="s">
        <v>277</v>
      </c>
      <c r="O515" s="65" t="s">
        <v>2189</v>
      </c>
      <c r="P515" s="65" t="s">
        <v>290</v>
      </c>
      <c r="Q515" s="65">
        <v>1</v>
      </c>
      <c r="R515" s="65" t="s">
        <v>42</v>
      </c>
      <c r="S515" s="65" t="s">
        <v>44</v>
      </c>
      <c r="T515" s="65" t="s">
        <v>44</v>
      </c>
      <c r="U515" s="65" t="s">
        <v>45</v>
      </c>
      <c r="V515" s="65" t="s">
        <v>46</v>
      </c>
      <c r="W515" s="65">
        <v>3211.86</v>
      </c>
      <c r="X515" s="65" t="s">
        <v>289</v>
      </c>
      <c r="Y515" s="65" t="s">
        <v>48</v>
      </c>
      <c r="Z515" s="65" t="s">
        <v>49</v>
      </c>
      <c r="AA515" s="65">
        <v>950133748</v>
      </c>
      <c r="AB515" s="65" t="s">
        <v>279</v>
      </c>
    </row>
    <row r="516" spans="1:28" x14ac:dyDescent="0.3">
      <c r="A516" s="1">
        <v>46259</v>
      </c>
      <c r="B516" s="65" t="s">
        <v>2190</v>
      </c>
      <c r="C516" s="65" t="s">
        <v>268</v>
      </c>
      <c r="D516" s="65" t="s">
        <v>2191</v>
      </c>
      <c r="E516" s="65" t="s">
        <v>31</v>
      </c>
      <c r="F516" s="65" t="s">
        <v>2192</v>
      </c>
      <c r="G516" s="65" t="s">
        <v>2193</v>
      </c>
      <c r="H516" s="65" t="s">
        <v>2194</v>
      </c>
      <c r="I516" s="65" t="s">
        <v>273</v>
      </c>
      <c r="J516" s="65" t="s">
        <v>274</v>
      </c>
      <c r="K516" s="65" t="s">
        <v>37</v>
      </c>
      <c r="L516" s="65" t="s">
        <v>2195</v>
      </c>
      <c r="M516" s="65" t="s">
        <v>2196</v>
      </c>
      <c r="N516" s="65" t="s">
        <v>277</v>
      </c>
      <c r="O516" s="65" t="s">
        <v>2197</v>
      </c>
      <c r="P516" s="65" t="s">
        <v>288</v>
      </c>
      <c r="Q516" s="65">
        <v>1</v>
      </c>
      <c r="R516" s="65" t="s">
        <v>42</v>
      </c>
      <c r="S516" s="65" t="s">
        <v>44</v>
      </c>
      <c r="T516" s="65" t="s">
        <v>44</v>
      </c>
      <c r="U516" s="65" t="s">
        <v>45</v>
      </c>
      <c r="V516" s="65" t="s">
        <v>46</v>
      </c>
      <c r="W516" s="65">
        <v>0</v>
      </c>
      <c r="X516" s="65" t="s">
        <v>289</v>
      </c>
      <c r="Y516" s="65" t="s">
        <v>48</v>
      </c>
      <c r="Z516" s="65" t="s">
        <v>49</v>
      </c>
      <c r="AA516" s="65">
        <v>950133748</v>
      </c>
      <c r="AB516" s="65" t="s">
        <v>279</v>
      </c>
    </row>
    <row r="517" spans="1:28" x14ac:dyDescent="0.3">
      <c r="A517" s="1">
        <v>46259</v>
      </c>
      <c r="B517" s="65" t="s">
        <v>2190</v>
      </c>
      <c r="C517" s="65" t="s">
        <v>268</v>
      </c>
      <c r="D517" s="65" t="s">
        <v>2191</v>
      </c>
      <c r="E517" s="65" t="s">
        <v>31</v>
      </c>
      <c r="F517" s="65" t="s">
        <v>2192</v>
      </c>
      <c r="G517" s="65" t="s">
        <v>2193</v>
      </c>
      <c r="H517" s="65" t="s">
        <v>2194</v>
      </c>
      <c r="I517" s="65" t="s">
        <v>273</v>
      </c>
      <c r="J517" s="65" t="s">
        <v>274</v>
      </c>
      <c r="K517" s="65" t="s">
        <v>37</v>
      </c>
      <c r="L517" s="65" t="s">
        <v>2195</v>
      </c>
      <c r="M517" s="65" t="s">
        <v>2196</v>
      </c>
      <c r="N517" s="65" t="s">
        <v>277</v>
      </c>
      <c r="O517" s="65" t="s">
        <v>2197</v>
      </c>
      <c r="P517" s="65" t="s">
        <v>290</v>
      </c>
      <c r="Q517" s="65">
        <v>1</v>
      </c>
      <c r="R517" s="65" t="s">
        <v>42</v>
      </c>
      <c r="S517" s="65" t="s">
        <v>44</v>
      </c>
      <c r="T517" s="65" t="s">
        <v>44</v>
      </c>
      <c r="U517" s="65" t="s">
        <v>45</v>
      </c>
      <c r="V517" s="65" t="s">
        <v>46</v>
      </c>
      <c r="W517" s="65">
        <v>1305.08</v>
      </c>
      <c r="X517" s="65" t="s">
        <v>289</v>
      </c>
      <c r="Y517" s="65" t="s">
        <v>48</v>
      </c>
      <c r="Z517" s="65" t="s">
        <v>49</v>
      </c>
      <c r="AA517" s="65">
        <v>950133748</v>
      </c>
      <c r="AB517" s="65" t="s">
        <v>279</v>
      </c>
    </row>
    <row r="518" spans="1:28" x14ac:dyDescent="0.3">
      <c r="A518" s="1">
        <v>46259</v>
      </c>
      <c r="B518" s="65" t="s">
        <v>2198</v>
      </c>
      <c r="C518" s="65" t="s">
        <v>268</v>
      </c>
      <c r="D518" s="65" t="s">
        <v>2199</v>
      </c>
      <c r="E518" s="65" t="s">
        <v>31</v>
      </c>
      <c r="F518" s="65" t="s">
        <v>2200</v>
      </c>
      <c r="G518" s="65" t="s">
        <v>2185</v>
      </c>
      <c r="H518" s="65" t="s">
        <v>2186</v>
      </c>
      <c r="I518" s="65" t="s">
        <v>273</v>
      </c>
      <c r="J518" s="65" t="s">
        <v>274</v>
      </c>
      <c r="K518" s="65" t="s">
        <v>37</v>
      </c>
      <c r="L518" s="65" t="s">
        <v>2187</v>
      </c>
      <c r="M518" s="65" t="s">
        <v>2188</v>
      </c>
      <c r="N518" s="65" t="s">
        <v>277</v>
      </c>
      <c r="O518" s="65" t="s">
        <v>2201</v>
      </c>
      <c r="P518" s="65" t="s">
        <v>201</v>
      </c>
      <c r="Q518" s="65">
        <v>1</v>
      </c>
      <c r="R518" s="65" t="s">
        <v>42</v>
      </c>
      <c r="S518" s="65" t="s">
        <v>44</v>
      </c>
      <c r="T518" s="65" t="s">
        <v>44</v>
      </c>
      <c r="U518" s="65" t="s">
        <v>45</v>
      </c>
      <c r="V518" s="65" t="s">
        <v>60</v>
      </c>
      <c r="W518" s="65">
        <v>152.54</v>
      </c>
      <c r="X518" s="65" t="s">
        <v>47</v>
      </c>
      <c r="Y518" s="65" t="s">
        <v>48</v>
      </c>
      <c r="Z518" s="65" t="s">
        <v>49</v>
      </c>
      <c r="AA518" s="65">
        <v>950133748</v>
      </c>
      <c r="AB518" s="65" t="s">
        <v>279</v>
      </c>
    </row>
    <row r="519" spans="1:28" x14ac:dyDescent="0.3">
      <c r="A519" s="1">
        <v>46259</v>
      </c>
      <c r="B519" s="65" t="s">
        <v>2202</v>
      </c>
      <c r="C519" s="65" t="s">
        <v>29</v>
      </c>
      <c r="D519" s="65" t="s">
        <v>2203</v>
      </c>
      <c r="E519" s="65" t="s">
        <v>31</v>
      </c>
      <c r="F519" s="65" t="s">
        <v>2204</v>
      </c>
      <c r="G519" s="65" t="s">
        <v>2205</v>
      </c>
      <c r="H519" s="65" t="s">
        <v>2206</v>
      </c>
      <c r="I519" s="65" t="s">
        <v>1873</v>
      </c>
      <c r="J519" s="65"/>
      <c r="K519" s="65" t="s">
        <v>37</v>
      </c>
      <c r="L519" s="65" t="s">
        <v>2207</v>
      </c>
      <c r="M519" s="65" t="s">
        <v>2208</v>
      </c>
      <c r="N519" s="65" t="s">
        <v>2205</v>
      </c>
      <c r="O519" s="65" t="s">
        <v>2209</v>
      </c>
      <c r="P519" s="65" t="s">
        <v>202</v>
      </c>
      <c r="Q519" s="65">
        <v>1</v>
      </c>
      <c r="R519" s="65" t="s">
        <v>42</v>
      </c>
      <c r="S519" s="65" t="s">
        <v>44</v>
      </c>
      <c r="T519" s="65" t="s">
        <v>44</v>
      </c>
      <c r="U519" s="65" t="s">
        <v>71</v>
      </c>
      <c r="V519" s="65" t="s">
        <v>2054</v>
      </c>
      <c r="W519" s="65">
        <v>135.59</v>
      </c>
      <c r="X519" s="65" t="s">
        <v>47</v>
      </c>
      <c r="Y519" s="65" t="s">
        <v>48</v>
      </c>
      <c r="Z519" s="65" t="s">
        <v>73</v>
      </c>
      <c r="AA519" s="65"/>
      <c r="AB519" s="65"/>
    </row>
    <row r="520" spans="1:28" x14ac:dyDescent="0.3">
      <c r="A520" s="1">
        <v>46260</v>
      </c>
      <c r="B520" s="65" t="s">
        <v>2210</v>
      </c>
      <c r="C520" s="65" t="s">
        <v>29</v>
      </c>
      <c r="D520" s="65" t="s">
        <v>2211</v>
      </c>
      <c r="E520" s="65" t="s">
        <v>31</v>
      </c>
      <c r="F520" s="65" t="s">
        <v>2212</v>
      </c>
      <c r="G520" s="65" t="s">
        <v>2213</v>
      </c>
      <c r="H520" s="65" t="s">
        <v>2214</v>
      </c>
      <c r="I520" s="65" t="s">
        <v>2177</v>
      </c>
      <c r="J520" s="65"/>
      <c r="K520" s="65" t="s">
        <v>37</v>
      </c>
      <c r="L520" s="65" t="s">
        <v>2215</v>
      </c>
      <c r="M520" s="65" t="s">
        <v>2216</v>
      </c>
      <c r="N520" s="65" t="s">
        <v>2213</v>
      </c>
      <c r="O520" s="65" t="s">
        <v>2217</v>
      </c>
      <c r="P520" s="65" t="s">
        <v>202</v>
      </c>
      <c r="Q520" s="65">
        <v>1</v>
      </c>
      <c r="R520" s="65" t="s">
        <v>42</v>
      </c>
      <c r="S520" s="65" t="s">
        <v>44</v>
      </c>
      <c r="T520" s="65" t="s">
        <v>44</v>
      </c>
      <c r="U520" s="65" t="s">
        <v>45</v>
      </c>
      <c r="V520" s="65" t="s">
        <v>46</v>
      </c>
      <c r="W520" s="65">
        <v>135.59</v>
      </c>
      <c r="X520" s="65" t="s">
        <v>47</v>
      </c>
      <c r="Y520" s="65" t="s">
        <v>48</v>
      </c>
      <c r="Z520" s="65" t="s">
        <v>49</v>
      </c>
      <c r="AA520" s="65"/>
      <c r="AB520" s="65"/>
    </row>
    <row r="521" spans="1:28" x14ac:dyDescent="0.3">
      <c r="A521" s="1">
        <v>46260</v>
      </c>
      <c r="B521" s="65" t="s">
        <v>2218</v>
      </c>
      <c r="C521" s="65" t="s">
        <v>268</v>
      </c>
      <c r="D521" s="65" t="s">
        <v>2219</v>
      </c>
      <c r="E521" s="65" t="s">
        <v>31</v>
      </c>
      <c r="F521" s="65" t="s">
        <v>2220</v>
      </c>
      <c r="G521" s="65" t="s">
        <v>2221</v>
      </c>
      <c r="H521" s="65" t="s">
        <v>2222</v>
      </c>
      <c r="I521" s="65" t="s">
        <v>2226</v>
      </c>
      <c r="J521" s="65" t="s">
        <v>36</v>
      </c>
      <c r="K521" s="65" t="s">
        <v>37</v>
      </c>
      <c r="L521" s="65" t="s">
        <v>2224</v>
      </c>
      <c r="M521" s="65" t="s">
        <v>2225</v>
      </c>
      <c r="N521" s="65" t="s">
        <v>2226</v>
      </c>
      <c r="O521" s="65" t="s">
        <v>2227</v>
      </c>
      <c r="P521" s="65" t="s">
        <v>481</v>
      </c>
      <c r="Q521" s="65">
        <v>2</v>
      </c>
      <c r="R521" s="65" t="s">
        <v>42</v>
      </c>
      <c r="S521" s="65" t="s">
        <v>44</v>
      </c>
      <c r="T521" s="65" t="s">
        <v>44</v>
      </c>
      <c r="U521" s="65" t="s">
        <v>45</v>
      </c>
      <c r="V521" s="65" t="s">
        <v>60</v>
      </c>
      <c r="W521" s="65">
        <v>203.39</v>
      </c>
      <c r="X521" s="65" t="s">
        <v>61</v>
      </c>
      <c r="Y521" s="65" t="s">
        <v>48</v>
      </c>
      <c r="Z521" s="65" t="s">
        <v>49</v>
      </c>
      <c r="AA521" s="65"/>
      <c r="AB521" s="65"/>
    </row>
    <row r="522" spans="1:28" x14ac:dyDescent="0.3">
      <c r="A522" s="1">
        <v>46260</v>
      </c>
      <c r="B522" s="65" t="s">
        <v>2228</v>
      </c>
      <c r="C522" s="65" t="s">
        <v>29</v>
      </c>
      <c r="D522" s="65" t="s">
        <v>2229</v>
      </c>
      <c r="E522" s="65" t="s">
        <v>31</v>
      </c>
      <c r="F522" s="65" t="s">
        <v>2230</v>
      </c>
      <c r="G522" s="65" t="s">
        <v>2231</v>
      </c>
      <c r="H522" s="65" t="s">
        <v>2232</v>
      </c>
      <c r="I522" s="65" t="s">
        <v>2795</v>
      </c>
      <c r="J522" s="65" t="s">
        <v>209</v>
      </c>
      <c r="K522" s="65" t="s">
        <v>37</v>
      </c>
      <c r="L522" s="65" t="s">
        <v>2233</v>
      </c>
      <c r="M522" s="65" t="s">
        <v>2234</v>
      </c>
      <c r="N522" s="65" t="s">
        <v>2231</v>
      </c>
      <c r="O522" s="65" t="s">
        <v>2235</v>
      </c>
      <c r="P522" s="65" t="s">
        <v>159</v>
      </c>
      <c r="Q522" s="65">
        <v>1</v>
      </c>
      <c r="R522" s="65" t="s">
        <v>42</v>
      </c>
      <c r="S522" s="65" t="s">
        <v>44</v>
      </c>
      <c r="T522" s="65" t="s">
        <v>44</v>
      </c>
      <c r="U522" s="65" t="s">
        <v>45</v>
      </c>
      <c r="V522" s="65" t="s">
        <v>60</v>
      </c>
      <c r="W522" s="65">
        <v>135.59</v>
      </c>
      <c r="X522" s="65" t="s">
        <v>47</v>
      </c>
      <c r="Y522" s="65" t="s">
        <v>48</v>
      </c>
      <c r="Z522" s="65" t="s">
        <v>49</v>
      </c>
      <c r="AA522" s="65">
        <v>994872106</v>
      </c>
      <c r="AB522" s="65" t="s">
        <v>1253</v>
      </c>
    </row>
    <row r="523" spans="1:28" x14ac:dyDescent="0.3">
      <c r="A523" s="1">
        <v>46260</v>
      </c>
      <c r="B523" s="65" t="s">
        <v>2236</v>
      </c>
      <c r="C523" s="65" t="s">
        <v>29</v>
      </c>
      <c r="D523" s="65" t="s">
        <v>2237</v>
      </c>
      <c r="E523" s="65" t="s">
        <v>31</v>
      </c>
      <c r="F523" s="65" t="s">
        <v>2238</v>
      </c>
      <c r="G523" s="65" t="s">
        <v>2239</v>
      </c>
      <c r="H523" s="65" t="s">
        <v>2240</v>
      </c>
      <c r="I523" s="65" t="s">
        <v>2241</v>
      </c>
      <c r="J523" s="65" t="s">
        <v>209</v>
      </c>
      <c r="K523" s="65" t="s">
        <v>37</v>
      </c>
      <c r="L523" s="65" t="s">
        <v>2242</v>
      </c>
      <c r="M523" s="65" t="s">
        <v>2243</v>
      </c>
      <c r="N523" s="65" t="s">
        <v>2239</v>
      </c>
      <c r="O523" s="65" t="s">
        <v>2244</v>
      </c>
      <c r="P523" s="65" t="s">
        <v>159</v>
      </c>
      <c r="Q523" s="65">
        <v>1</v>
      </c>
      <c r="R523" s="65" t="s">
        <v>42</v>
      </c>
      <c r="S523" s="65" t="s">
        <v>44</v>
      </c>
      <c r="T523" s="65" t="s">
        <v>44</v>
      </c>
      <c r="U523" s="65" t="s">
        <v>45</v>
      </c>
      <c r="V523" s="65" t="s">
        <v>46</v>
      </c>
      <c r="W523" s="65">
        <v>135.59</v>
      </c>
      <c r="X523" s="65" t="s">
        <v>47</v>
      </c>
      <c r="Y523" s="65" t="s">
        <v>48</v>
      </c>
      <c r="Z523" s="65" t="s">
        <v>49</v>
      </c>
      <c r="AA523" s="65">
        <v>996106133</v>
      </c>
      <c r="AB523" s="65"/>
    </row>
    <row r="524" spans="1:28" x14ac:dyDescent="0.3">
      <c r="A524" s="1">
        <v>46260</v>
      </c>
      <c r="B524" s="65" t="s">
        <v>2245</v>
      </c>
      <c r="C524" s="65" t="s">
        <v>268</v>
      </c>
      <c r="D524" s="65" t="s">
        <v>2246</v>
      </c>
      <c r="E524" s="65" t="s">
        <v>31</v>
      </c>
      <c r="F524" s="65" t="s">
        <v>2247</v>
      </c>
      <c r="G524" s="65" t="s">
        <v>2248</v>
      </c>
      <c r="H524" s="65" t="s">
        <v>2249</v>
      </c>
      <c r="I524" s="65" t="s">
        <v>762</v>
      </c>
      <c r="J524" s="65" t="s">
        <v>209</v>
      </c>
      <c r="K524" s="65" t="s">
        <v>37</v>
      </c>
      <c r="L524" s="65" t="s">
        <v>2250</v>
      </c>
      <c r="M524" s="65" t="s">
        <v>2251</v>
      </c>
      <c r="N524" s="65" t="s">
        <v>765</v>
      </c>
      <c r="O524" s="65" t="s">
        <v>2252</v>
      </c>
      <c r="P524" s="65" t="s">
        <v>481</v>
      </c>
      <c r="Q524" s="65">
        <v>1</v>
      </c>
      <c r="R524" s="65" t="s">
        <v>42</v>
      </c>
      <c r="S524" s="65" t="s">
        <v>44</v>
      </c>
      <c r="T524" s="65" t="s">
        <v>44</v>
      </c>
      <c r="U524" s="65" t="s">
        <v>45</v>
      </c>
      <c r="V524" s="65" t="s">
        <v>60</v>
      </c>
      <c r="W524" s="65">
        <v>101.69</v>
      </c>
      <c r="X524" s="65" t="s">
        <v>61</v>
      </c>
      <c r="Y524" s="65" t="s">
        <v>48</v>
      </c>
      <c r="Z524" s="65" t="s">
        <v>49</v>
      </c>
      <c r="AA524" s="65">
        <v>969791876</v>
      </c>
      <c r="AB524" s="65" t="s">
        <v>768</v>
      </c>
    </row>
    <row r="525" spans="1:28" x14ac:dyDescent="0.3">
      <c r="A525" s="1">
        <v>46260</v>
      </c>
      <c r="B525" s="65" t="s">
        <v>2253</v>
      </c>
      <c r="C525" s="65" t="s">
        <v>29</v>
      </c>
      <c r="D525" s="65" t="s">
        <v>2254</v>
      </c>
      <c r="E525" s="65" t="s">
        <v>31</v>
      </c>
      <c r="F525" s="65" t="s">
        <v>2255</v>
      </c>
      <c r="G525" s="65" t="s">
        <v>2256</v>
      </c>
      <c r="H525" s="65" t="s">
        <v>2257</v>
      </c>
      <c r="I525" s="65" t="s">
        <v>2739</v>
      </c>
      <c r="J525" s="65" t="s">
        <v>209</v>
      </c>
      <c r="K525" s="65" t="s">
        <v>37</v>
      </c>
      <c r="L525" s="65" t="s">
        <v>2258</v>
      </c>
      <c r="M525" s="65" t="s">
        <v>2259</v>
      </c>
      <c r="N525" s="65" t="s">
        <v>2256</v>
      </c>
      <c r="O525" s="65" t="s">
        <v>2260</v>
      </c>
      <c r="P525" s="65" t="s">
        <v>202</v>
      </c>
      <c r="Q525" s="65">
        <v>1</v>
      </c>
      <c r="R525" s="65" t="s">
        <v>42</v>
      </c>
      <c r="S525" s="65" t="s">
        <v>44</v>
      </c>
      <c r="T525" s="65" t="s">
        <v>44</v>
      </c>
      <c r="U525" s="65" t="s">
        <v>45</v>
      </c>
      <c r="V525" s="65" t="s">
        <v>60</v>
      </c>
      <c r="W525" s="65">
        <v>135.59</v>
      </c>
      <c r="X525" s="65" t="s">
        <v>47</v>
      </c>
      <c r="Y525" s="65" t="s">
        <v>48</v>
      </c>
      <c r="Z525" s="65" t="s">
        <v>49</v>
      </c>
      <c r="AA525" s="65"/>
      <c r="AB525" s="65"/>
    </row>
    <row r="526" spans="1:28" x14ac:dyDescent="0.3">
      <c r="A526" s="1">
        <v>46260</v>
      </c>
      <c r="B526" s="65" t="s">
        <v>2261</v>
      </c>
      <c r="C526" s="65" t="s">
        <v>29</v>
      </c>
      <c r="D526" s="65" t="s">
        <v>2262</v>
      </c>
      <c r="E526" s="65" t="s">
        <v>31</v>
      </c>
      <c r="F526" s="65" t="s">
        <v>2263</v>
      </c>
      <c r="G526" s="65" t="s">
        <v>2264</v>
      </c>
      <c r="H526" s="65" t="s">
        <v>2265</v>
      </c>
      <c r="I526" s="65"/>
      <c r="J526" s="65"/>
      <c r="K526" s="65" t="s">
        <v>37</v>
      </c>
      <c r="L526" s="65" t="s">
        <v>2266</v>
      </c>
      <c r="M526" s="65" t="s">
        <v>2267</v>
      </c>
      <c r="N526" s="65" t="s">
        <v>2264</v>
      </c>
      <c r="O526" s="65" t="s">
        <v>2268</v>
      </c>
      <c r="P526" s="65" t="s">
        <v>2269</v>
      </c>
      <c r="Q526" s="65">
        <v>1</v>
      </c>
      <c r="R526" s="65" t="s">
        <v>70</v>
      </c>
      <c r="S526" s="65" t="s">
        <v>43</v>
      </c>
      <c r="T526" s="65" t="s">
        <v>44</v>
      </c>
      <c r="U526" s="65" t="s">
        <v>71</v>
      </c>
      <c r="V526" s="65" t="s">
        <v>72</v>
      </c>
      <c r="W526" s="65">
        <v>76.27</v>
      </c>
      <c r="X526" s="65" t="s">
        <v>47</v>
      </c>
      <c r="Y526" s="65" t="s">
        <v>48</v>
      </c>
      <c r="Z526" s="65" t="s">
        <v>73</v>
      </c>
      <c r="AA526" s="65"/>
      <c r="AB526" s="65"/>
    </row>
    <row r="527" spans="1:28" x14ac:dyDescent="0.3">
      <c r="A527" s="1">
        <v>46260</v>
      </c>
      <c r="B527" s="65" t="s">
        <v>2261</v>
      </c>
      <c r="C527" s="65" t="s">
        <v>29</v>
      </c>
      <c r="D527" s="65" t="s">
        <v>2262</v>
      </c>
      <c r="E527" s="65" t="s">
        <v>31</v>
      </c>
      <c r="F527" s="65" t="s">
        <v>2263</v>
      </c>
      <c r="G527" s="65" t="s">
        <v>2264</v>
      </c>
      <c r="H527" s="65" t="s">
        <v>2265</v>
      </c>
      <c r="I527" s="65"/>
      <c r="J527" s="65"/>
      <c r="K527" s="65" t="s">
        <v>37</v>
      </c>
      <c r="L527" s="65" t="s">
        <v>2266</v>
      </c>
      <c r="M527" s="65" t="s">
        <v>2267</v>
      </c>
      <c r="N527" s="65" t="s">
        <v>2264</v>
      </c>
      <c r="O527" s="65" t="s">
        <v>2268</v>
      </c>
      <c r="P527" s="65" t="s">
        <v>101</v>
      </c>
      <c r="Q527" s="65">
        <v>1</v>
      </c>
      <c r="R527" s="65" t="s">
        <v>70</v>
      </c>
      <c r="S527" s="65" t="s">
        <v>43</v>
      </c>
      <c r="T527" s="65" t="s">
        <v>44</v>
      </c>
      <c r="U527" s="65" t="s">
        <v>71</v>
      </c>
      <c r="V527" s="65" t="s">
        <v>72</v>
      </c>
      <c r="W527" s="65">
        <v>186.44</v>
      </c>
      <c r="X527" s="65" t="s">
        <v>47</v>
      </c>
      <c r="Y527" s="65" t="s">
        <v>48</v>
      </c>
      <c r="Z527" s="65" t="s">
        <v>73</v>
      </c>
      <c r="AA527" s="65"/>
      <c r="AB527" s="65"/>
    </row>
    <row r="528" spans="1:28" x14ac:dyDescent="0.3">
      <c r="A528" s="1">
        <v>46260</v>
      </c>
      <c r="B528" s="65" t="s">
        <v>2270</v>
      </c>
      <c r="C528" s="65" t="s">
        <v>29</v>
      </c>
      <c r="D528" s="65" t="s">
        <v>2271</v>
      </c>
      <c r="E528" s="65" t="s">
        <v>31</v>
      </c>
      <c r="F528" s="65" t="s">
        <v>2272</v>
      </c>
      <c r="G528" s="65" t="s">
        <v>2273</v>
      </c>
      <c r="H528" s="65" t="s">
        <v>2274</v>
      </c>
      <c r="I528" s="65" t="s">
        <v>136</v>
      </c>
      <c r="J528" s="65" t="s">
        <v>137</v>
      </c>
      <c r="K528" s="65" t="s">
        <v>37</v>
      </c>
      <c r="L528" s="65" t="s">
        <v>2275</v>
      </c>
      <c r="M528" s="65" t="s">
        <v>2276</v>
      </c>
      <c r="N528" s="65" t="s">
        <v>2273</v>
      </c>
      <c r="O528" s="65" t="s">
        <v>2277</v>
      </c>
      <c r="P528" s="65" t="s">
        <v>202</v>
      </c>
      <c r="Q528" s="65">
        <v>1</v>
      </c>
      <c r="R528" s="65" t="s">
        <v>42</v>
      </c>
      <c r="S528" s="65" t="s">
        <v>44</v>
      </c>
      <c r="T528" s="65" t="s">
        <v>44</v>
      </c>
      <c r="U528" s="65" t="s">
        <v>45</v>
      </c>
      <c r="V528" s="65" t="s">
        <v>60</v>
      </c>
      <c r="W528" s="65">
        <v>152.54</v>
      </c>
      <c r="X528" s="65" t="s">
        <v>47</v>
      </c>
      <c r="Y528" s="65" t="s">
        <v>48</v>
      </c>
      <c r="Z528" s="65" t="s">
        <v>49</v>
      </c>
      <c r="AA528" s="65">
        <v>987407712</v>
      </c>
      <c r="AB528" s="65" t="s">
        <v>141</v>
      </c>
    </row>
    <row r="529" spans="1:28" x14ac:dyDescent="0.3">
      <c r="A529" s="1">
        <v>46260</v>
      </c>
      <c r="B529" s="65" t="s">
        <v>2278</v>
      </c>
      <c r="C529" s="65" t="s">
        <v>268</v>
      </c>
      <c r="D529" s="65" t="s">
        <v>2279</v>
      </c>
      <c r="E529" s="65" t="s">
        <v>31</v>
      </c>
      <c r="F529" s="65" t="s">
        <v>2280</v>
      </c>
      <c r="G529" s="65" t="s">
        <v>2281</v>
      </c>
      <c r="H529" s="65" t="s">
        <v>2282</v>
      </c>
      <c r="I529" s="65" t="s">
        <v>1560</v>
      </c>
      <c r="J529" s="65" t="s">
        <v>705</v>
      </c>
      <c r="K529" s="65" t="s">
        <v>37</v>
      </c>
      <c r="L529" s="65" t="s">
        <v>2283</v>
      </c>
      <c r="M529" s="65" t="s">
        <v>2284</v>
      </c>
      <c r="N529" s="65" t="s">
        <v>1563</v>
      </c>
      <c r="O529" s="65" t="s">
        <v>2285</v>
      </c>
      <c r="P529" s="65" t="s">
        <v>1565</v>
      </c>
      <c r="Q529" s="65">
        <v>2</v>
      </c>
      <c r="R529" s="65" t="s">
        <v>42</v>
      </c>
      <c r="S529" s="65" t="s">
        <v>44</v>
      </c>
      <c r="T529" s="65" t="s">
        <v>44</v>
      </c>
      <c r="U529" s="65" t="s">
        <v>45</v>
      </c>
      <c r="V529" s="65" t="s">
        <v>60</v>
      </c>
      <c r="W529" s="65">
        <v>305.08</v>
      </c>
      <c r="X529" s="65" t="s">
        <v>61</v>
      </c>
      <c r="Y529" s="65" t="s">
        <v>48</v>
      </c>
      <c r="Z529" s="65" t="s">
        <v>49</v>
      </c>
      <c r="AA529" s="65"/>
      <c r="AB529" s="65"/>
    </row>
    <row r="530" spans="1:28" x14ac:dyDescent="0.3">
      <c r="A530" s="1">
        <v>46261</v>
      </c>
      <c r="B530" s="65" t="s">
        <v>2286</v>
      </c>
      <c r="C530" s="65" t="s">
        <v>29</v>
      </c>
      <c r="D530" s="65" t="s">
        <v>2287</v>
      </c>
      <c r="E530" s="65" t="s">
        <v>31</v>
      </c>
      <c r="F530" s="65" t="s">
        <v>2288</v>
      </c>
      <c r="G530" s="65" t="s">
        <v>2289</v>
      </c>
      <c r="H530" s="65" t="s">
        <v>2290</v>
      </c>
      <c r="I530" s="65" t="s">
        <v>2291</v>
      </c>
      <c r="J530" s="65" t="s">
        <v>1542</v>
      </c>
      <c r="K530" s="65" t="s">
        <v>37</v>
      </c>
      <c r="L530" s="65" t="s">
        <v>2292</v>
      </c>
      <c r="M530" s="65" t="s">
        <v>2293</v>
      </c>
      <c r="N530" s="65" t="s">
        <v>2289</v>
      </c>
      <c r="O530" s="65" t="s">
        <v>2294</v>
      </c>
      <c r="P530" s="65" t="s">
        <v>41</v>
      </c>
      <c r="Q530" s="65">
        <v>1</v>
      </c>
      <c r="R530" s="65" t="s">
        <v>42</v>
      </c>
      <c r="S530" s="65" t="s">
        <v>44</v>
      </c>
      <c r="T530" s="65" t="s">
        <v>44</v>
      </c>
      <c r="U530" s="65" t="s">
        <v>45</v>
      </c>
      <c r="V530" s="65" t="s">
        <v>60</v>
      </c>
      <c r="W530" s="65">
        <v>186.44</v>
      </c>
      <c r="X530" s="65" t="s">
        <v>47</v>
      </c>
      <c r="Y530" s="65" t="s">
        <v>48</v>
      </c>
      <c r="Z530" s="65" t="s">
        <v>49</v>
      </c>
      <c r="AA530" s="65">
        <v>945093839</v>
      </c>
      <c r="AB530" s="65" t="s">
        <v>2295</v>
      </c>
    </row>
    <row r="531" spans="1:28" x14ac:dyDescent="0.3">
      <c r="A531" s="1">
        <v>46261</v>
      </c>
      <c r="B531" s="65" t="s">
        <v>2296</v>
      </c>
      <c r="C531" s="65" t="s">
        <v>29</v>
      </c>
      <c r="D531" s="65" t="s">
        <v>2297</v>
      </c>
      <c r="E531" s="65" t="s">
        <v>31</v>
      </c>
      <c r="F531" s="65" t="s">
        <v>2298</v>
      </c>
      <c r="G531" s="65" t="s">
        <v>2299</v>
      </c>
      <c r="H531" s="65" t="s">
        <v>2300</v>
      </c>
      <c r="I531" s="65" t="s">
        <v>1829</v>
      </c>
      <c r="J531" s="65" t="s">
        <v>262</v>
      </c>
      <c r="K531" s="65" t="s">
        <v>37</v>
      </c>
      <c r="L531" s="65" t="s">
        <v>2302</v>
      </c>
      <c r="M531" s="65" t="s">
        <v>2303</v>
      </c>
      <c r="N531" s="65" t="s">
        <v>2299</v>
      </c>
      <c r="O531" s="65" t="s">
        <v>2304</v>
      </c>
      <c r="P531" s="65" t="s">
        <v>41</v>
      </c>
      <c r="Q531" s="65">
        <v>1</v>
      </c>
      <c r="R531" s="65" t="s">
        <v>42</v>
      </c>
      <c r="S531" s="65" t="s">
        <v>44</v>
      </c>
      <c r="T531" s="65" t="s">
        <v>44</v>
      </c>
      <c r="U531" s="65" t="s">
        <v>45</v>
      </c>
      <c r="V531" s="65" t="s">
        <v>60</v>
      </c>
      <c r="W531" s="65">
        <v>186.44</v>
      </c>
      <c r="X531" s="65" t="s">
        <v>47</v>
      </c>
      <c r="Y531" s="65" t="s">
        <v>48</v>
      </c>
      <c r="Z531" s="65" t="s">
        <v>49</v>
      </c>
      <c r="AA531" s="65">
        <v>999700200</v>
      </c>
      <c r="AB531" s="65" t="s">
        <v>1832</v>
      </c>
    </row>
    <row r="532" spans="1:28" x14ac:dyDescent="0.3">
      <c r="A532" s="1">
        <v>46261</v>
      </c>
      <c r="B532" s="65" t="s">
        <v>2305</v>
      </c>
      <c r="C532" s="65" t="s">
        <v>29</v>
      </c>
      <c r="D532" s="65" t="s">
        <v>2306</v>
      </c>
      <c r="E532" s="65" t="s">
        <v>31</v>
      </c>
      <c r="F532" s="65" t="s">
        <v>2307</v>
      </c>
      <c r="G532" s="65" t="s">
        <v>2308</v>
      </c>
      <c r="H532" s="65" t="s">
        <v>2309</v>
      </c>
      <c r="I532" s="65" t="s">
        <v>2310</v>
      </c>
      <c r="J532" s="65" t="s">
        <v>2311</v>
      </c>
      <c r="K532" s="65" t="s">
        <v>37</v>
      </c>
      <c r="L532" s="65" t="s">
        <v>2312</v>
      </c>
      <c r="M532" s="65" t="s">
        <v>2313</v>
      </c>
      <c r="N532" s="65" t="s">
        <v>2308</v>
      </c>
      <c r="O532" s="65" t="s">
        <v>2314</v>
      </c>
      <c r="P532" s="65" t="s">
        <v>159</v>
      </c>
      <c r="Q532" s="65">
        <v>1</v>
      </c>
      <c r="R532" s="65" t="s">
        <v>42</v>
      </c>
      <c r="S532" s="65" t="s">
        <v>44</v>
      </c>
      <c r="T532" s="65" t="s">
        <v>44</v>
      </c>
      <c r="U532" s="65" t="s">
        <v>531</v>
      </c>
      <c r="V532" s="65" t="s">
        <v>1965</v>
      </c>
      <c r="W532" s="65">
        <v>135.59</v>
      </c>
      <c r="X532" s="65" t="s">
        <v>47</v>
      </c>
      <c r="Y532" s="65" t="s">
        <v>48</v>
      </c>
      <c r="Z532" s="65" t="s">
        <v>534</v>
      </c>
      <c r="AA532" s="65">
        <v>996132853</v>
      </c>
      <c r="AB532" s="65"/>
    </row>
    <row r="533" spans="1:28" x14ac:dyDescent="0.3">
      <c r="A533" s="1">
        <v>46261</v>
      </c>
      <c r="B533" s="65" t="s">
        <v>2315</v>
      </c>
      <c r="C533" s="65" t="s">
        <v>29</v>
      </c>
      <c r="D533" s="65" t="s">
        <v>2316</v>
      </c>
      <c r="E533" s="65" t="s">
        <v>31</v>
      </c>
      <c r="F533" s="65" t="s">
        <v>2317</v>
      </c>
      <c r="G533" s="65" t="s">
        <v>1044</v>
      </c>
      <c r="H533" s="65" t="s">
        <v>1045</v>
      </c>
      <c r="I533" s="65" t="s">
        <v>774</v>
      </c>
      <c r="J533" s="65" t="s">
        <v>775</v>
      </c>
      <c r="K533" s="65" t="s">
        <v>37</v>
      </c>
      <c r="L533" s="65" t="s">
        <v>1046</v>
      </c>
      <c r="M533" s="65" t="s">
        <v>1047</v>
      </c>
      <c r="N533" s="65" t="s">
        <v>1044</v>
      </c>
      <c r="O533" s="65" t="s">
        <v>2318</v>
      </c>
      <c r="P533" s="65" t="s">
        <v>641</v>
      </c>
      <c r="Q533" s="65">
        <v>1</v>
      </c>
      <c r="R533" s="65" t="s">
        <v>42</v>
      </c>
      <c r="S533" s="65" t="s">
        <v>44</v>
      </c>
      <c r="T533" s="65" t="s">
        <v>44</v>
      </c>
      <c r="U533" s="65" t="s">
        <v>45</v>
      </c>
      <c r="V533" s="65" t="s">
        <v>46</v>
      </c>
      <c r="W533" s="65">
        <v>84.75</v>
      </c>
      <c r="X533" s="65" t="s">
        <v>47</v>
      </c>
      <c r="Y533" s="65" t="s">
        <v>48</v>
      </c>
      <c r="Z533" s="65" t="s">
        <v>49</v>
      </c>
      <c r="AA533" s="65"/>
      <c r="AB533" s="65"/>
    </row>
    <row r="534" spans="1:28" x14ac:dyDescent="0.3">
      <c r="A534" s="1">
        <v>46261</v>
      </c>
      <c r="B534" s="65" t="s">
        <v>2319</v>
      </c>
      <c r="C534" s="65" t="s">
        <v>29</v>
      </c>
      <c r="D534" s="65" t="s">
        <v>2320</v>
      </c>
      <c r="E534" s="65" t="s">
        <v>31</v>
      </c>
      <c r="F534" s="65" t="s">
        <v>2321</v>
      </c>
      <c r="G534" s="65" t="s">
        <v>2322</v>
      </c>
      <c r="H534" s="65" t="s">
        <v>2323</v>
      </c>
      <c r="I534" s="65" t="s">
        <v>1386</v>
      </c>
      <c r="J534" s="65" t="s">
        <v>4005</v>
      </c>
      <c r="K534" s="65" t="s">
        <v>37</v>
      </c>
      <c r="L534" s="65" t="s">
        <v>2324</v>
      </c>
      <c r="M534" s="65" t="s">
        <v>2325</v>
      </c>
      <c r="N534" s="65" t="s">
        <v>2322</v>
      </c>
      <c r="O534" s="65" t="s">
        <v>2326</v>
      </c>
      <c r="P534" s="65" t="s">
        <v>202</v>
      </c>
      <c r="Q534" s="65">
        <v>1</v>
      </c>
      <c r="R534" s="65" t="s">
        <v>42</v>
      </c>
      <c r="S534" s="65" t="s">
        <v>44</v>
      </c>
      <c r="T534" s="65" t="s">
        <v>44</v>
      </c>
      <c r="U534" s="65" t="s">
        <v>45</v>
      </c>
      <c r="V534" s="65" t="s">
        <v>60</v>
      </c>
      <c r="W534" s="65">
        <v>135.59</v>
      </c>
      <c r="X534" s="65" t="s">
        <v>47</v>
      </c>
      <c r="Y534" s="65" t="s">
        <v>48</v>
      </c>
      <c r="Z534" s="65" t="s">
        <v>49</v>
      </c>
      <c r="AA534" s="65">
        <v>917791542</v>
      </c>
      <c r="AB534" s="65" t="s">
        <v>1390</v>
      </c>
    </row>
    <row r="535" spans="1:28" x14ac:dyDescent="0.3">
      <c r="A535" s="1">
        <v>46261</v>
      </c>
      <c r="B535" s="65" t="s">
        <v>2327</v>
      </c>
      <c r="C535" s="65" t="s">
        <v>268</v>
      </c>
      <c r="D535" s="65" t="s">
        <v>2328</v>
      </c>
      <c r="E535" s="65" t="s">
        <v>31</v>
      </c>
      <c r="F535" s="65" t="s">
        <v>2329</v>
      </c>
      <c r="G535" s="65" t="s">
        <v>1248</v>
      </c>
      <c r="H535" s="65" t="s">
        <v>1249</v>
      </c>
      <c r="I535" s="65" t="s">
        <v>2330</v>
      </c>
      <c r="J535" s="65" t="s">
        <v>705</v>
      </c>
      <c r="K535" s="65" t="s">
        <v>37</v>
      </c>
      <c r="L535" s="65" t="s">
        <v>1250</v>
      </c>
      <c r="M535" s="65" t="s">
        <v>608</v>
      </c>
      <c r="N535" s="65" t="s">
        <v>1251</v>
      </c>
      <c r="O535" s="65" t="s">
        <v>2331</v>
      </c>
      <c r="P535" s="65" t="s">
        <v>288</v>
      </c>
      <c r="Q535" s="65">
        <v>1</v>
      </c>
      <c r="R535" s="65" t="s">
        <v>42</v>
      </c>
      <c r="S535" s="65" t="s">
        <v>44</v>
      </c>
      <c r="T535" s="65" t="s">
        <v>44</v>
      </c>
      <c r="U535" s="65" t="s">
        <v>45</v>
      </c>
      <c r="V535" s="65" t="s">
        <v>46</v>
      </c>
      <c r="W535" s="65">
        <v>0</v>
      </c>
      <c r="X535" s="65" t="s">
        <v>289</v>
      </c>
      <c r="Y535" s="65" t="s">
        <v>48</v>
      </c>
      <c r="Z535" s="65" t="s">
        <v>49</v>
      </c>
      <c r="AA535" s="65"/>
      <c r="AB535" s="65"/>
    </row>
    <row r="536" spans="1:28" x14ac:dyDescent="0.3">
      <c r="A536" s="1">
        <v>46261</v>
      </c>
      <c r="B536" s="65" t="s">
        <v>2327</v>
      </c>
      <c r="C536" s="65" t="s">
        <v>268</v>
      </c>
      <c r="D536" s="65" t="s">
        <v>2328</v>
      </c>
      <c r="E536" s="65" t="s">
        <v>31</v>
      </c>
      <c r="F536" s="65" t="s">
        <v>2329</v>
      </c>
      <c r="G536" s="65" t="s">
        <v>1248</v>
      </c>
      <c r="H536" s="65" t="s">
        <v>1249</v>
      </c>
      <c r="I536" s="65" t="s">
        <v>2330</v>
      </c>
      <c r="J536" s="65" t="s">
        <v>705</v>
      </c>
      <c r="K536" s="65" t="s">
        <v>37</v>
      </c>
      <c r="L536" s="65" t="s">
        <v>1250</v>
      </c>
      <c r="M536" s="65" t="s">
        <v>608</v>
      </c>
      <c r="N536" s="65" t="s">
        <v>1251</v>
      </c>
      <c r="O536" s="65" t="s">
        <v>2331</v>
      </c>
      <c r="P536" s="65" t="s">
        <v>290</v>
      </c>
      <c r="Q536" s="65">
        <v>1</v>
      </c>
      <c r="R536" s="65" t="s">
        <v>42</v>
      </c>
      <c r="S536" s="65" t="s">
        <v>44</v>
      </c>
      <c r="T536" s="65" t="s">
        <v>44</v>
      </c>
      <c r="U536" s="65" t="s">
        <v>45</v>
      </c>
      <c r="V536" s="65" t="s">
        <v>46</v>
      </c>
      <c r="W536" s="65">
        <v>847.46</v>
      </c>
      <c r="X536" s="65" t="s">
        <v>289</v>
      </c>
      <c r="Y536" s="65" t="s">
        <v>48</v>
      </c>
      <c r="Z536" s="65" t="s">
        <v>49</v>
      </c>
      <c r="AA536" s="65"/>
      <c r="AB536" s="65"/>
    </row>
    <row r="537" spans="1:28" x14ac:dyDescent="0.3">
      <c r="A537" s="1">
        <v>46261</v>
      </c>
      <c r="B537" s="65" t="s">
        <v>2332</v>
      </c>
      <c r="C537" s="65" t="s">
        <v>268</v>
      </c>
      <c r="D537" s="65" t="s">
        <v>2333</v>
      </c>
      <c r="E537" s="65" t="s">
        <v>31</v>
      </c>
      <c r="F537" s="65" t="s">
        <v>2334</v>
      </c>
      <c r="G537" s="65" t="s">
        <v>2335</v>
      </c>
      <c r="H537" s="65" t="s">
        <v>2336</v>
      </c>
      <c r="I537" s="65" t="s">
        <v>774</v>
      </c>
      <c r="J537" s="65" t="s">
        <v>775</v>
      </c>
      <c r="K537" s="65" t="s">
        <v>37</v>
      </c>
      <c r="L537" s="65" t="s">
        <v>2337</v>
      </c>
      <c r="M537" s="65" t="s">
        <v>608</v>
      </c>
      <c r="N537" s="65" t="s">
        <v>1251</v>
      </c>
      <c r="O537" s="65" t="s">
        <v>2338</v>
      </c>
      <c r="P537" s="65" t="s">
        <v>288</v>
      </c>
      <c r="Q537" s="65">
        <v>1</v>
      </c>
      <c r="R537" s="65" t="s">
        <v>42</v>
      </c>
      <c r="S537" s="65" t="s">
        <v>44</v>
      </c>
      <c r="T537" s="65" t="s">
        <v>44</v>
      </c>
      <c r="U537" s="65" t="s">
        <v>45</v>
      </c>
      <c r="V537" s="65" t="s">
        <v>46</v>
      </c>
      <c r="W537" s="65">
        <v>0</v>
      </c>
      <c r="X537" s="65" t="s">
        <v>289</v>
      </c>
      <c r="Y537" s="65" t="s">
        <v>48</v>
      </c>
      <c r="Z537" s="65" t="s">
        <v>49</v>
      </c>
      <c r="AA537" s="65"/>
      <c r="AB537" s="65"/>
    </row>
    <row r="538" spans="1:28" x14ac:dyDescent="0.3">
      <c r="A538" s="1">
        <v>46261</v>
      </c>
      <c r="B538" s="65" t="s">
        <v>2332</v>
      </c>
      <c r="C538" s="65" t="s">
        <v>268</v>
      </c>
      <c r="D538" s="65" t="s">
        <v>2333</v>
      </c>
      <c r="E538" s="65" t="s">
        <v>31</v>
      </c>
      <c r="F538" s="65" t="s">
        <v>2334</v>
      </c>
      <c r="G538" s="65" t="s">
        <v>2335</v>
      </c>
      <c r="H538" s="65" t="s">
        <v>2336</v>
      </c>
      <c r="I538" s="65" t="s">
        <v>774</v>
      </c>
      <c r="J538" s="65" t="s">
        <v>775</v>
      </c>
      <c r="K538" s="65" t="s">
        <v>37</v>
      </c>
      <c r="L538" s="65" t="s">
        <v>2337</v>
      </c>
      <c r="M538" s="65" t="s">
        <v>608</v>
      </c>
      <c r="N538" s="65" t="s">
        <v>1251</v>
      </c>
      <c r="O538" s="65" t="s">
        <v>2338</v>
      </c>
      <c r="P538" s="65" t="s">
        <v>1137</v>
      </c>
      <c r="Q538" s="65">
        <v>1</v>
      </c>
      <c r="R538" s="65" t="s">
        <v>42</v>
      </c>
      <c r="S538" s="65" t="s">
        <v>44</v>
      </c>
      <c r="T538" s="65" t="s">
        <v>44</v>
      </c>
      <c r="U538" s="65" t="s">
        <v>45</v>
      </c>
      <c r="V538" s="65" t="s">
        <v>46</v>
      </c>
      <c r="W538" s="65">
        <v>635.59</v>
      </c>
      <c r="X538" s="65" t="s">
        <v>289</v>
      </c>
      <c r="Y538" s="65" t="s">
        <v>48</v>
      </c>
      <c r="Z538" s="65" t="s">
        <v>49</v>
      </c>
      <c r="AA538" s="65"/>
      <c r="AB538" s="65"/>
    </row>
    <row r="539" spans="1:28" x14ac:dyDescent="0.3">
      <c r="A539" s="1">
        <v>46261</v>
      </c>
      <c r="B539" s="65" t="s">
        <v>2339</v>
      </c>
      <c r="C539" s="65" t="s">
        <v>29</v>
      </c>
      <c r="D539" s="65" t="s">
        <v>2340</v>
      </c>
      <c r="E539" s="65" t="s">
        <v>31</v>
      </c>
      <c r="F539" s="65" t="s">
        <v>2341</v>
      </c>
      <c r="G539" s="65" t="s">
        <v>2342</v>
      </c>
      <c r="H539" s="65" t="s">
        <v>2343</v>
      </c>
      <c r="I539" s="65" t="s">
        <v>774</v>
      </c>
      <c r="J539" s="65" t="s">
        <v>775</v>
      </c>
      <c r="K539" s="65" t="s">
        <v>37</v>
      </c>
      <c r="L539" s="65" t="s">
        <v>2344</v>
      </c>
      <c r="M539" s="65" t="s">
        <v>2345</v>
      </c>
      <c r="N539" s="65" t="s">
        <v>2342</v>
      </c>
      <c r="O539" s="65" t="s">
        <v>2346</v>
      </c>
      <c r="P539" s="65" t="s">
        <v>90</v>
      </c>
      <c r="Q539" s="65">
        <v>1</v>
      </c>
      <c r="R539" s="65" t="s">
        <v>42</v>
      </c>
      <c r="S539" s="65" t="s">
        <v>44</v>
      </c>
      <c r="T539" s="65" t="s">
        <v>44</v>
      </c>
      <c r="U539" s="65" t="s">
        <v>45</v>
      </c>
      <c r="V539" s="65" t="s">
        <v>46</v>
      </c>
      <c r="W539" s="65">
        <v>135.59</v>
      </c>
      <c r="X539" s="65" t="s">
        <v>47</v>
      </c>
      <c r="Y539" s="65" t="s">
        <v>48</v>
      </c>
      <c r="Z539" s="65" t="s">
        <v>49</v>
      </c>
      <c r="AA539" s="65"/>
      <c r="AB539" s="65"/>
    </row>
    <row r="540" spans="1:28" x14ac:dyDescent="0.3">
      <c r="A540" s="1">
        <v>46261</v>
      </c>
      <c r="B540" s="65" t="s">
        <v>2339</v>
      </c>
      <c r="C540" s="65" t="s">
        <v>29</v>
      </c>
      <c r="D540" s="65" t="s">
        <v>2340</v>
      </c>
      <c r="E540" s="65" t="s">
        <v>31</v>
      </c>
      <c r="F540" s="65" t="s">
        <v>2341</v>
      </c>
      <c r="G540" s="65" t="s">
        <v>2342</v>
      </c>
      <c r="H540" s="65" t="s">
        <v>2343</v>
      </c>
      <c r="I540" s="65" t="s">
        <v>774</v>
      </c>
      <c r="J540" s="65" t="s">
        <v>775</v>
      </c>
      <c r="K540" s="65" t="s">
        <v>37</v>
      </c>
      <c r="L540" s="65" t="s">
        <v>2344</v>
      </c>
      <c r="M540" s="65" t="s">
        <v>2345</v>
      </c>
      <c r="N540" s="65" t="s">
        <v>2342</v>
      </c>
      <c r="O540" s="65" t="s">
        <v>2346</v>
      </c>
      <c r="P540" s="65" t="s">
        <v>41</v>
      </c>
      <c r="Q540" s="65">
        <v>1</v>
      </c>
      <c r="R540" s="65" t="s">
        <v>42</v>
      </c>
      <c r="S540" s="65" t="s">
        <v>44</v>
      </c>
      <c r="T540" s="65" t="s">
        <v>44</v>
      </c>
      <c r="U540" s="65" t="s">
        <v>45</v>
      </c>
      <c r="V540" s="65" t="s">
        <v>46</v>
      </c>
      <c r="W540" s="65">
        <v>186.44</v>
      </c>
      <c r="X540" s="65" t="s">
        <v>47</v>
      </c>
      <c r="Y540" s="65" t="s">
        <v>48</v>
      </c>
      <c r="Z540" s="65" t="s">
        <v>49</v>
      </c>
      <c r="AA540" s="65"/>
      <c r="AB540" s="65"/>
    </row>
    <row r="541" spans="1:28" x14ac:dyDescent="0.3">
      <c r="A541" s="1">
        <v>46261</v>
      </c>
      <c r="B541" s="65" t="s">
        <v>2347</v>
      </c>
      <c r="C541" s="65" t="s">
        <v>268</v>
      </c>
      <c r="D541" s="65" t="s">
        <v>2348</v>
      </c>
      <c r="E541" s="65" t="s">
        <v>31</v>
      </c>
      <c r="F541" s="65" t="s">
        <v>2349</v>
      </c>
      <c r="G541" s="65" t="s">
        <v>1935</v>
      </c>
      <c r="H541" s="65" t="s">
        <v>1936</v>
      </c>
      <c r="I541" s="65" t="s">
        <v>774</v>
      </c>
      <c r="J541" s="65" t="s">
        <v>775</v>
      </c>
      <c r="K541" s="65" t="s">
        <v>37</v>
      </c>
      <c r="L541" s="65" t="s">
        <v>1937</v>
      </c>
      <c r="M541" s="65" t="s">
        <v>1938</v>
      </c>
      <c r="N541" s="65" t="s">
        <v>798</v>
      </c>
      <c r="O541" s="65" t="s">
        <v>2350</v>
      </c>
      <c r="P541" s="65" t="s">
        <v>288</v>
      </c>
      <c r="Q541" s="65">
        <v>1</v>
      </c>
      <c r="R541" s="65" t="s">
        <v>42</v>
      </c>
      <c r="S541" s="65" t="s">
        <v>44</v>
      </c>
      <c r="T541" s="65" t="s">
        <v>44</v>
      </c>
      <c r="U541" s="65" t="s">
        <v>45</v>
      </c>
      <c r="V541" s="65" t="s">
        <v>60</v>
      </c>
      <c r="W541" s="65">
        <v>0</v>
      </c>
      <c r="X541" s="65" t="s">
        <v>289</v>
      </c>
      <c r="Y541" s="65" t="s">
        <v>48</v>
      </c>
      <c r="Z541" s="65" t="s">
        <v>49</v>
      </c>
      <c r="AA541" s="65"/>
      <c r="AB541" s="65"/>
    </row>
    <row r="542" spans="1:28" x14ac:dyDescent="0.3">
      <c r="A542" s="1">
        <v>46261</v>
      </c>
      <c r="B542" s="65" t="s">
        <v>2347</v>
      </c>
      <c r="C542" s="65" t="s">
        <v>268</v>
      </c>
      <c r="D542" s="65" t="s">
        <v>2348</v>
      </c>
      <c r="E542" s="65" t="s">
        <v>31</v>
      </c>
      <c r="F542" s="65" t="s">
        <v>2349</v>
      </c>
      <c r="G542" s="65" t="s">
        <v>1935</v>
      </c>
      <c r="H542" s="65" t="s">
        <v>1936</v>
      </c>
      <c r="I542" s="65" t="s">
        <v>774</v>
      </c>
      <c r="J542" s="65" t="s">
        <v>775</v>
      </c>
      <c r="K542" s="65" t="s">
        <v>37</v>
      </c>
      <c r="L542" s="65" t="s">
        <v>1937</v>
      </c>
      <c r="M542" s="65" t="s">
        <v>1938</v>
      </c>
      <c r="N542" s="65" t="s">
        <v>798</v>
      </c>
      <c r="O542" s="65" t="s">
        <v>2350</v>
      </c>
      <c r="P542" s="65" t="s">
        <v>290</v>
      </c>
      <c r="Q542" s="65">
        <v>1</v>
      </c>
      <c r="R542" s="65" t="s">
        <v>42</v>
      </c>
      <c r="S542" s="65" t="s">
        <v>44</v>
      </c>
      <c r="T542" s="65" t="s">
        <v>44</v>
      </c>
      <c r="U542" s="65" t="s">
        <v>45</v>
      </c>
      <c r="V542" s="65" t="s">
        <v>60</v>
      </c>
      <c r="W542" s="65">
        <v>762.71</v>
      </c>
      <c r="X542" s="65" t="s">
        <v>289</v>
      </c>
      <c r="Y542" s="65" t="s">
        <v>48</v>
      </c>
      <c r="Z542" s="65" t="s">
        <v>49</v>
      </c>
      <c r="AA542" s="65"/>
      <c r="AB542" s="65"/>
    </row>
    <row r="543" spans="1:28" x14ac:dyDescent="0.3">
      <c r="A543" s="1">
        <v>46261</v>
      </c>
      <c r="B543" s="65" t="s">
        <v>2351</v>
      </c>
      <c r="C543" s="65" t="s">
        <v>268</v>
      </c>
      <c r="D543" s="65" t="s">
        <v>2352</v>
      </c>
      <c r="E543" s="65" t="s">
        <v>31</v>
      </c>
      <c r="F543" s="65" t="s">
        <v>2353</v>
      </c>
      <c r="G543" s="65" t="s">
        <v>2354</v>
      </c>
      <c r="H543" s="65" t="s">
        <v>2355</v>
      </c>
      <c r="I543" s="65" t="s">
        <v>1108</v>
      </c>
      <c r="J543" s="65" t="s">
        <v>209</v>
      </c>
      <c r="K543" s="65" t="s">
        <v>37</v>
      </c>
      <c r="L543" s="65" t="s">
        <v>2356</v>
      </c>
      <c r="M543" s="65" t="s">
        <v>608</v>
      </c>
      <c r="N543" s="65" t="s">
        <v>1111</v>
      </c>
      <c r="O543" s="65" t="s">
        <v>2357</v>
      </c>
      <c r="P543" s="65" t="s">
        <v>288</v>
      </c>
      <c r="Q543" s="65">
        <v>1</v>
      </c>
      <c r="R543" s="65" t="s">
        <v>42</v>
      </c>
      <c r="S543" s="65" t="s">
        <v>44</v>
      </c>
      <c r="T543" s="65" t="s">
        <v>44</v>
      </c>
      <c r="U543" s="65" t="s">
        <v>45</v>
      </c>
      <c r="V543" s="65" t="s">
        <v>60</v>
      </c>
      <c r="W543" s="65">
        <v>0</v>
      </c>
      <c r="X543" s="65" t="s">
        <v>289</v>
      </c>
      <c r="Y543" s="65" t="s">
        <v>48</v>
      </c>
      <c r="Z543" s="65" t="s">
        <v>49</v>
      </c>
      <c r="AA543" s="65">
        <v>970582106</v>
      </c>
      <c r="AB543" s="65" t="s">
        <v>1113</v>
      </c>
    </row>
    <row r="544" spans="1:28" x14ac:dyDescent="0.3">
      <c r="A544" s="1">
        <v>46261</v>
      </c>
      <c r="B544" s="65" t="s">
        <v>2351</v>
      </c>
      <c r="C544" s="65" t="s">
        <v>268</v>
      </c>
      <c r="D544" s="65" t="s">
        <v>2352</v>
      </c>
      <c r="E544" s="65" t="s">
        <v>31</v>
      </c>
      <c r="F544" s="65" t="s">
        <v>2353</v>
      </c>
      <c r="G544" s="65" t="s">
        <v>2354</v>
      </c>
      <c r="H544" s="65" t="s">
        <v>2355</v>
      </c>
      <c r="I544" s="65" t="s">
        <v>1108</v>
      </c>
      <c r="J544" s="65" t="s">
        <v>209</v>
      </c>
      <c r="K544" s="65" t="s">
        <v>37</v>
      </c>
      <c r="L544" s="65" t="s">
        <v>2356</v>
      </c>
      <c r="M544" s="65" t="s">
        <v>608</v>
      </c>
      <c r="N544" s="65" t="s">
        <v>1111</v>
      </c>
      <c r="O544" s="65" t="s">
        <v>2357</v>
      </c>
      <c r="P544" s="65" t="s">
        <v>2358</v>
      </c>
      <c r="Q544" s="65">
        <v>1</v>
      </c>
      <c r="R544" s="65" t="s">
        <v>42</v>
      </c>
      <c r="S544" s="65" t="s">
        <v>44</v>
      </c>
      <c r="T544" s="65" t="s">
        <v>44</v>
      </c>
      <c r="U544" s="65" t="s">
        <v>45</v>
      </c>
      <c r="V544" s="65" t="s">
        <v>60</v>
      </c>
      <c r="W544" s="65">
        <v>139.83000000000001</v>
      </c>
      <c r="X544" s="65" t="s">
        <v>289</v>
      </c>
      <c r="Y544" s="65" t="s">
        <v>48</v>
      </c>
      <c r="Z544" s="65" t="s">
        <v>49</v>
      </c>
      <c r="AA544" s="65">
        <v>970582106</v>
      </c>
      <c r="AB544" s="65" t="s">
        <v>1113</v>
      </c>
    </row>
    <row r="545" spans="1:28" x14ac:dyDescent="0.3">
      <c r="A545" s="1">
        <v>46261</v>
      </c>
      <c r="B545" s="65" t="s">
        <v>2359</v>
      </c>
      <c r="C545" s="65" t="s">
        <v>268</v>
      </c>
      <c r="D545" s="65" t="s">
        <v>2360</v>
      </c>
      <c r="E545" s="65" t="s">
        <v>31</v>
      </c>
      <c r="F545" s="65" t="s">
        <v>2361</v>
      </c>
      <c r="G545" s="65" t="s">
        <v>2362</v>
      </c>
      <c r="H545" s="65" t="s">
        <v>2363</v>
      </c>
      <c r="I545" s="65" t="s">
        <v>1108</v>
      </c>
      <c r="J545" s="65" t="s">
        <v>209</v>
      </c>
      <c r="K545" s="65" t="s">
        <v>37</v>
      </c>
      <c r="L545" s="65" t="s">
        <v>2364</v>
      </c>
      <c r="M545" s="65" t="s">
        <v>608</v>
      </c>
      <c r="N545" s="65" t="s">
        <v>1111</v>
      </c>
      <c r="O545" s="65" t="s">
        <v>2365</v>
      </c>
      <c r="P545" s="65" t="s">
        <v>213</v>
      </c>
      <c r="Q545" s="65">
        <v>1</v>
      </c>
      <c r="R545" s="65" t="s">
        <v>42</v>
      </c>
      <c r="S545" s="65" t="s">
        <v>44</v>
      </c>
      <c r="T545" s="65" t="s">
        <v>44</v>
      </c>
      <c r="U545" s="65" t="s">
        <v>45</v>
      </c>
      <c r="V545" s="65" t="s">
        <v>60</v>
      </c>
      <c r="W545" s="65">
        <v>254.24</v>
      </c>
      <c r="X545" s="65" t="s">
        <v>61</v>
      </c>
      <c r="Y545" s="65" t="s">
        <v>48</v>
      </c>
      <c r="Z545" s="65" t="s">
        <v>49</v>
      </c>
      <c r="AA545" s="65">
        <v>970582106</v>
      </c>
      <c r="AB545" s="65" t="s">
        <v>1113</v>
      </c>
    </row>
    <row r="546" spans="1:28" x14ac:dyDescent="0.3">
      <c r="A546" s="1">
        <v>46261</v>
      </c>
      <c r="B546" s="65" t="s">
        <v>2366</v>
      </c>
      <c r="C546" s="65" t="s">
        <v>29</v>
      </c>
      <c r="D546" s="65" t="s">
        <v>2367</v>
      </c>
      <c r="E546" s="65" t="s">
        <v>31</v>
      </c>
      <c r="F546" s="65" t="s">
        <v>2368</v>
      </c>
      <c r="G546" s="65" t="s">
        <v>2369</v>
      </c>
      <c r="H546" s="65" t="s">
        <v>2370</v>
      </c>
      <c r="I546" s="65" t="s">
        <v>2371</v>
      </c>
      <c r="J546" s="65" t="s">
        <v>1423</v>
      </c>
      <c r="K546" s="65" t="s">
        <v>37</v>
      </c>
      <c r="L546" s="65" t="s">
        <v>2372</v>
      </c>
      <c r="M546" s="65" t="s">
        <v>2373</v>
      </c>
      <c r="N546" s="65" t="s">
        <v>2369</v>
      </c>
      <c r="O546" s="65" t="s">
        <v>2374</v>
      </c>
      <c r="P546" s="65" t="s">
        <v>90</v>
      </c>
      <c r="Q546" s="65">
        <v>1</v>
      </c>
      <c r="R546" s="65" t="s">
        <v>42</v>
      </c>
      <c r="S546" s="65" t="s">
        <v>44</v>
      </c>
      <c r="T546" s="65" t="s">
        <v>44</v>
      </c>
      <c r="U546" s="65" t="s">
        <v>45</v>
      </c>
      <c r="V546" s="65" t="s">
        <v>60</v>
      </c>
      <c r="W546" s="65">
        <v>135.59</v>
      </c>
      <c r="X546" s="65" t="s">
        <v>47</v>
      </c>
      <c r="Y546" s="65" t="s">
        <v>48</v>
      </c>
      <c r="Z546" s="65" t="s">
        <v>49</v>
      </c>
      <c r="AA546" s="65">
        <v>991104175</v>
      </c>
      <c r="AB546" s="65"/>
    </row>
    <row r="547" spans="1:28" x14ac:dyDescent="0.3">
      <c r="A547" s="1">
        <v>46262</v>
      </c>
      <c r="B547" s="65" t="s">
        <v>2375</v>
      </c>
      <c r="C547" s="65" t="s">
        <v>268</v>
      </c>
      <c r="D547" s="65" t="s">
        <v>2376</v>
      </c>
      <c r="E547" s="65" t="s">
        <v>31</v>
      </c>
      <c r="F547" s="65" t="s">
        <v>2377</v>
      </c>
      <c r="G547" s="65" t="s">
        <v>1044</v>
      </c>
      <c r="H547" s="65" t="s">
        <v>1045</v>
      </c>
      <c r="I547" s="65" t="s">
        <v>774</v>
      </c>
      <c r="J547" s="65" t="s">
        <v>775</v>
      </c>
      <c r="K547" s="65" t="s">
        <v>37</v>
      </c>
      <c r="L547" s="65" t="s">
        <v>1046</v>
      </c>
      <c r="M547" s="65" t="s">
        <v>1047</v>
      </c>
      <c r="N547" s="65" t="s">
        <v>798</v>
      </c>
      <c r="O547" s="65" t="s">
        <v>2378</v>
      </c>
      <c r="P547" s="65" t="s">
        <v>288</v>
      </c>
      <c r="Q547" s="65">
        <v>1</v>
      </c>
      <c r="R547" s="65" t="s">
        <v>42</v>
      </c>
      <c r="S547" s="65" t="s">
        <v>44</v>
      </c>
      <c r="T547" s="65" t="s">
        <v>44</v>
      </c>
      <c r="U547" s="65" t="s">
        <v>45</v>
      </c>
      <c r="V547" s="65" t="s">
        <v>46</v>
      </c>
      <c r="W547" s="65">
        <v>0</v>
      </c>
      <c r="X547" s="65" t="s">
        <v>289</v>
      </c>
      <c r="Y547" s="65" t="s">
        <v>48</v>
      </c>
      <c r="Z547" s="65" t="s">
        <v>49</v>
      </c>
      <c r="AA547" s="65"/>
      <c r="AB547" s="65"/>
    </row>
    <row r="548" spans="1:28" x14ac:dyDescent="0.3">
      <c r="A548" s="1">
        <v>46262</v>
      </c>
      <c r="B548" s="65" t="s">
        <v>2375</v>
      </c>
      <c r="C548" s="65" t="s">
        <v>268</v>
      </c>
      <c r="D548" s="65" t="s">
        <v>2376</v>
      </c>
      <c r="E548" s="65" t="s">
        <v>31</v>
      </c>
      <c r="F548" s="65" t="s">
        <v>2377</v>
      </c>
      <c r="G548" s="65" t="s">
        <v>1044</v>
      </c>
      <c r="H548" s="65" t="s">
        <v>1045</v>
      </c>
      <c r="I548" s="65" t="s">
        <v>774</v>
      </c>
      <c r="J548" s="65" t="s">
        <v>775</v>
      </c>
      <c r="K548" s="65" t="s">
        <v>37</v>
      </c>
      <c r="L548" s="65" t="s">
        <v>1046</v>
      </c>
      <c r="M548" s="65" t="s">
        <v>1047</v>
      </c>
      <c r="N548" s="65" t="s">
        <v>798</v>
      </c>
      <c r="O548" s="65" t="s">
        <v>2378</v>
      </c>
      <c r="P548" s="65" t="s">
        <v>2379</v>
      </c>
      <c r="Q548" s="65">
        <v>1</v>
      </c>
      <c r="R548" s="65" t="s">
        <v>42</v>
      </c>
      <c r="S548" s="65" t="s">
        <v>44</v>
      </c>
      <c r="T548" s="65" t="s">
        <v>44</v>
      </c>
      <c r="U548" s="65" t="s">
        <v>45</v>
      </c>
      <c r="V548" s="65" t="s">
        <v>46</v>
      </c>
      <c r="W548" s="65">
        <v>1169.49</v>
      </c>
      <c r="X548" s="65" t="s">
        <v>289</v>
      </c>
      <c r="Y548" s="65" t="s">
        <v>48</v>
      </c>
      <c r="Z548" s="65" t="s">
        <v>49</v>
      </c>
      <c r="AA548" s="65"/>
      <c r="AB548" s="65"/>
    </row>
    <row r="549" spans="1:28" x14ac:dyDescent="0.3">
      <c r="A549" s="1">
        <v>46262</v>
      </c>
      <c r="B549" s="65" t="s">
        <v>2380</v>
      </c>
      <c r="C549" s="65" t="s">
        <v>29</v>
      </c>
      <c r="D549" s="65" t="s">
        <v>2381</v>
      </c>
      <c r="E549" s="65" t="s">
        <v>31</v>
      </c>
      <c r="F549" s="65" t="s">
        <v>2382</v>
      </c>
      <c r="G549" s="65" t="s">
        <v>2383</v>
      </c>
      <c r="H549" s="65" t="s">
        <v>2384</v>
      </c>
      <c r="I549" s="65" t="s">
        <v>662</v>
      </c>
      <c r="J549" s="65" t="s">
        <v>36</v>
      </c>
      <c r="K549" s="65" t="s">
        <v>37</v>
      </c>
      <c r="L549" s="65" t="s">
        <v>2385</v>
      </c>
      <c r="M549" s="65" t="s">
        <v>2386</v>
      </c>
      <c r="N549" s="65" t="s">
        <v>2383</v>
      </c>
      <c r="O549" s="65" t="s">
        <v>2387</v>
      </c>
      <c r="P549" s="65" t="s">
        <v>201</v>
      </c>
      <c r="Q549" s="65">
        <v>1</v>
      </c>
      <c r="R549" s="65" t="s">
        <v>42</v>
      </c>
      <c r="S549" s="65" t="s">
        <v>44</v>
      </c>
      <c r="T549" s="65" t="s">
        <v>44</v>
      </c>
      <c r="U549" s="65" t="s">
        <v>45</v>
      </c>
      <c r="V549" s="65" t="s">
        <v>60</v>
      </c>
      <c r="W549" s="65">
        <v>152.54</v>
      </c>
      <c r="X549" s="65" t="s">
        <v>47</v>
      </c>
      <c r="Y549" s="65" t="s">
        <v>48</v>
      </c>
      <c r="Z549" s="65" t="s">
        <v>49</v>
      </c>
      <c r="AA549" s="65">
        <v>997145685</v>
      </c>
      <c r="AB549" s="65" t="s">
        <v>666</v>
      </c>
    </row>
    <row r="550" spans="1:28" x14ac:dyDescent="0.3">
      <c r="A550" s="1">
        <v>46262</v>
      </c>
      <c r="B550" s="65" t="s">
        <v>2388</v>
      </c>
      <c r="C550" s="65" t="s">
        <v>29</v>
      </c>
      <c r="D550" s="65" t="s">
        <v>2389</v>
      </c>
      <c r="E550" s="65" t="s">
        <v>31</v>
      </c>
      <c r="F550" s="65" t="s">
        <v>2390</v>
      </c>
      <c r="G550" s="65" t="s">
        <v>2391</v>
      </c>
      <c r="H550" s="65" t="s">
        <v>2392</v>
      </c>
      <c r="I550" s="65" t="s">
        <v>411</v>
      </c>
      <c r="J550" s="65" t="s">
        <v>412</v>
      </c>
      <c r="K550" s="65" t="s">
        <v>37</v>
      </c>
      <c r="L550" s="65" t="s">
        <v>2393</v>
      </c>
      <c r="M550" s="65" t="s">
        <v>2394</v>
      </c>
      <c r="N550" s="65" t="s">
        <v>2391</v>
      </c>
      <c r="O550" s="65" t="s">
        <v>2395</v>
      </c>
      <c r="P550" s="65" t="s">
        <v>41</v>
      </c>
      <c r="Q550" s="65">
        <v>1</v>
      </c>
      <c r="R550" s="65" t="s">
        <v>42</v>
      </c>
      <c r="S550" s="65" t="s">
        <v>44</v>
      </c>
      <c r="T550" s="65" t="s">
        <v>44</v>
      </c>
      <c r="U550" s="65" t="s">
        <v>531</v>
      </c>
      <c r="V550" s="65" t="s">
        <v>1965</v>
      </c>
      <c r="W550" s="65">
        <v>186.44</v>
      </c>
      <c r="X550" s="65" t="s">
        <v>47</v>
      </c>
      <c r="Y550" s="65" t="s">
        <v>48</v>
      </c>
      <c r="Z550" s="65" t="s">
        <v>534</v>
      </c>
      <c r="AA550" s="65">
        <v>982673362</v>
      </c>
      <c r="AB550" s="65" t="s">
        <v>416</v>
      </c>
    </row>
    <row r="551" spans="1:28" x14ac:dyDescent="0.3">
      <c r="A551" s="1">
        <v>46262</v>
      </c>
      <c r="B551" s="65" t="s">
        <v>2388</v>
      </c>
      <c r="C551" s="65" t="s">
        <v>29</v>
      </c>
      <c r="D551" s="65" t="s">
        <v>2389</v>
      </c>
      <c r="E551" s="65" t="s">
        <v>31</v>
      </c>
      <c r="F551" s="65" t="s">
        <v>2390</v>
      </c>
      <c r="G551" s="65" t="s">
        <v>2391</v>
      </c>
      <c r="H551" s="65" t="s">
        <v>2392</v>
      </c>
      <c r="I551" s="65" t="s">
        <v>411</v>
      </c>
      <c r="J551" s="65" t="s">
        <v>412</v>
      </c>
      <c r="K551" s="65" t="s">
        <v>37</v>
      </c>
      <c r="L551" s="65" t="s">
        <v>2393</v>
      </c>
      <c r="M551" s="65" t="s">
        <v>2394</v>
      </c>
      <c r="N551" s="65" t="s">
        <v>2391</v>
      </c>
      <c r="O551" s="65" t="s">
        <v>2395</v>
      </c>
      <c r="P551" s="65" t="s">
        <v>101</v>
      </c>
      <c r="Q551" s="65">
        <v>1</v>
      </c>
      <c r="R551" s="65" t="s">
        <v>42</v>
      </c>
      <c r="S551" s="65" t="s">
        <v>44</v>
      </c>
      <c r="T551" s="65" t="s">
        <v>44</v>
      </c>
      <c r="U551" s="65" t="s">
        <v>531</v>
      </c>
      <c r="V551" s="65" t="s">
        <v>1965</v>
      </c>
      <c r="W551" s="65">
        <v>186.44</v>
      </c>
      <c r="X551" s="65" t="s">
        <v>47</v>
      </c>
      <c r="Y551" s="65" t="s">
        <v>48</v>
      </c>
      <c r="Z551" s="65" t="s">
        <v>534</v>
      </c>
      <c r="AA551" s="65">
        <v>982673362</v>
      </c>
      <c r="AB551" s="65" t="s">
        <v>416</v>
      </c>
    </row>
    <row r="552" spans="1:28" x14ac:dyDescent="0.3">
      <c r="A552" s="1">
        <v>46263</v>
      </c>
      <c r="B552" s="65" t="s">
        <v>2396</v>
      </c>
      <c r="C552" s="65" t="s">
        <v>29</v>
      </c>
      <c r="D552" s="65" t="s">
        <v>2397</v>
      </c>
      <c r="E552" s="65" t="s">
        <v>31</v>
      </c>
      <c r="F552" s="65" t="s">
        <v>2398</v>
      </c>
      <c r="G552" s="65" t="s">
        <v>2399</v>
      </c>
      <c r="H552" s="65" t="s">
        <v>2400</v>
      </c>
      <c r="I552" s="65" t="s">
        <v>2401</v>
      </c>
      <c r="J552" s="65" t="s">
        <v>262</v>
      </c>
      <c r="K552" s="65" t="s">
        <v>37</v>
      </c>
      <c r="L552" s="65" t="s">
        <v>2402</v>
      </c>
      <c r="M552" s="65" t="s">
        <v>2403</v>
      </c>
      <c r="N552" s="65" t="s">
        <v>2399</v>
      </c>
      <c r="O552" s="65" t="s">
        <v>2404</v>
      </c>
      <c r="P552" s="65" t="s">
        <v>41</v>
      </c>
      <c r="Q552" s="65">
        <v>1</v>
      </c>
      <c r="R552" s="65" t="s">
        <v>42</v>
      </c>
      <c r="S552" s="65" t="s">
        <v>44</v>
      </c>
      <c r="T552" s="65" t="s">
        <v>44</v>
      </c>
      <c r="U552" s="65" t="s">
        <v>45</v>
      </c>
      <c r="V552" s="65" t="s">
        <v>60</v>
      </c>
      <c r="W552" s="65">
        <v>186.44</v>
      </c>
      <c r="X552" s="65" t="s">
        <v>47</v>
      </c>
      <c r="Y552" s="65" t="s">
        <v>48</v>
      </c>
      <c r="Z552" s="65" t="s">
        <v>49</v>
      </c>
      <c r="AA552" s="65">
        <v>987407109</v>
      </c>
      <c r="AB552" s="65" t="s">
        <v>2405</v>
      </c>
    </row>
    <row r="553" spans="1:28" x14ac:dyDescent="0.3">
      <c r="A553" s="1">
        <v>46263</v>
      </c>
      <c r="B553" s="65" t="s">
        <v>2406</v>
      </c>
      <c r="C553" s="65" t="s">
        <v>29</v>
      </c>
      <c r="D553" s="65" t="s">
        <v>2407</v>
      </c>
      <c r="E553" s="65" t="s">
        <v>31</v>
      </c>
      <c r="F553" s="65" t="s">
        <v>2408</v>
      </c>
      <c r="G553" s="65" t="s">
        <v>2409</v>
      </c>
      <c r="H553" s="65" t="s">
        <v>2410</v>
      </c>
      <c r="I553" s="65" t="s">
        <v>1300</v>
      </c>
      <c r="J553" s="65" t="s">
        <v>365</v>
      </c>
      <c r="K553" s="65" t="s">
        <v>37</v>
      </c>
      <c r="L553" s="65" t="s">
        <v>2411</v>
      </c>
      <c r="M553" s="65" t="s">
        <v>2412</v>
      </c>
      <c r="N553" s="65" t="s">
        <v>2409</v>
      </c>
      <c r="O553" s="65" t="s">
        <v>2413</v>
      </c>
      <c r="P553" s="65" t="s">
        <v>130</v>
      </c>
      <c r="Q553" s="65">
        <v>1</v>
      </c>
      <c r="R553" s="65" t="s">
        <v>70</v>
      </c>
      <c r="S553" s="65" t="s">
        <v>43</v>
      </c>
      <c r="T553" s="65" t="s">
        <v>44</v>
      </c>
      <c r="U553" s="65" t="s">
        <v>71</v>
      </c>
      <c r="V553" s="65" t="s">
        <v>184</v>
      </c>
      <c r="W553" s="65">
        <v>152.54</v>
      </c>
      <c r="X553" s="65" t="s">
        <v>47</v>
      </c>
      <c r="Y553" s="65" t="s">
        <v>48</v>
      </c>
      <c r="Z553" s="65" t="s">
        <v>73</v>
      </c>
      <c r="AA553" s="65">
        <v>980702810</v>
      </c>
      <c r="AB553" s="65" t="s">
        <v>1305</v>
      </c>
    </row>
    <row r="554" spans="1:28" x14ac:dyDescent="0.3">
      <c r="A554" s="1">
        <v>46265</v>
      </c>
      <c r="B554" s="65" t="s">
        <v>2414</v>
      </c>
      <c r="C554" s="65" t="s">
        <v>268</v>
      </c>
      <c r="D554" s="65" t="s">
        <v>2415</v>
      </c>
      <c r="E554" s="65" t="s">
        <v>31</v>
      </c>
      <c r="F554" s="65" t="s">
        <v>2416</v>
      </c>
      <c r="G554" s="65" t="s">
        <v>2417</v>
      </c>
      <c r="H554" s="65" t="s">
        <v>2418</v>
      </c>
      <c r="I554" s="65" t="s">
        <v>2419</v>
      </c>
      <c r="J554" s="65" t="s">
        <v>2420</v>
      </c>
      <c r="K554" s="65" t="s">
        <v>37</v>
      </c>
      <c r="L554" s="65" t="s">
        <v>2421</v>
      </c>
      <c r="M554" s="65" t="s">
        <v>2422</v>
      </c>
      <c r="N554" s="65" t="s">
        <v>1747</v>
      </c>
      <c r="O554" s="65" t="s">
        <v>2423</v>
      </c>
      <c r="P554" s="65" t="s">
        <v>481</v>
      </c>
      <c r="Q554" s="65">
        <v>1</v>
      </c>
      <c r="R554" s="65" t="s">
        <v>42</v>
      </c>
      <c r="S554" s="65" t="s">
        <v>44</v>
      </c>
      <c r="T554" s="65" t="s">
        <v>44</v>
      </c>
      <c r="U554" s="65" t="s">
        <v>45</v>
      </c>
      <c r="V554" s="65" t="s">
        <v>46</v>
      </c>
      <c r="W554" s="65">
        <v>101.69</v>
      </c>
      <c r="X554" s="65" t="s">
        <v>61</v>
      </c>
      <c r="Y554" s="65" t="s">
        <v>48</v>
      </c>
      <c r="Z554" s="65" t="s">
        <v>49</v>
      </c>
      <c r="AA554" s="65"/>
      <c r="AB554" s="65"/>
    </row>
    <row r="555" spans="1:28" x14ac:dyDescent="0.3">
      <c r="A555" s="1">
        <v>46265</v>
      </c>
      <c r="B555" s="65" t="s">
        <v>2424</v>
      </c>
      <c r="C555" s="65" t="s">
        <v>29</v>
      </c>
      <c r="D555" s="65" t="s">
        <v>2425</v>
      </c>
      <c r="E555" s="65" t="s">
        <v>31</v>
      </c>
      <c r="F555" s="65" t="s">
        <v>2426</v>
      </c>
      <c r="G555" s="65" t="s">
        <v>2427</v>
      </c>
      <c r="H555" s="65" t="s">
        <v>2428</v>
      </c>
      <c r="I555" s="65" t="s">
        <v>1108</v>
      </c>
      <c r="J555" s="65" t="s">
        <v>209</v>
      </c>
      <c r="K555" s="65" t="s">
        <v>37</v>
      </c>
      <c r="L555" s="65" t="s">
        <v>2429</v>
      </c>
      <c r="M555" s="65" t="s">
        <v>2430</v>
      </c>
      <c r="N555" s="65" t="s">
        <v>2427</v>
      </c>
      <c r="O555" s="65" t="s">
        <v>2431</v>
      </c>
      <c r="P555" s="65" t="s">
        <v>159</v>
      </c>
      <c r="Q555" s="65">
        <v>1</v>
      </c>
      <c r="R555" s="65" t="s">
        <v>42</v>
      </c>
      <c r="S555" s="65" t="s">
        <v>44</v>
      </c>
      <c r="T555" s="65" t="s">
        <v>44</v>
      </c>
      <c r="U555" s="65" t="s">
        <v>45</v>
      </c>
      <c r="V555" s="65" t="s">
        <v>46</v>
      </c>
      <c r="W555" s="65">
        <v>135.59</v>
      </c>
      <c r="X555" s="65" t="s">
        <v>47</v>
      </c>
      <c r="Y555" s="65" t="s">
        <v>48</v>
      </c>
      <c r="Z555" s="65" t="s">
        <v>49</v>
      </c>
      <c r="AA555" s="65">
        <v>970582106</v>
      </c>
      <c r="AB555" s="65" t="s">
        <v>1113</v>
      </c>
    </row>
    <row r="556" spans="1:28" x14ac:dyDescent="0.3">
      <c r="A556" s="1">
        <v>46265</v>
      </c>
      <c r="B556" s="65" t="s">
        <v>2432</v>
      </c>
      <c r="C556" s="65" t="s">
        <v>29</v>
      </c>
      <c r="D556" s="65" t="s">
        <v>2433</v>
      </c>
      <c r="E556" s="65" t="s">
        <v>31</v>
      </c>
      <c r="F556" s="65" t="s">
        <v>2434</v>
      </c>
      <c r="G556" s="65" t="s">
        <v>2435</v>
      </c>
      <c r="H556" s="65" t="s">
        <v>2436</v>
      </c>
      <c r="I556" s="65" t="s">
        <v>1322</v>
      </c>
      <c r="J556" s="65" t="s">
        <v>36</v>
      </c>
      <c r="K556" s="65" t="s">
        <v>37</v>
      </c>
      <c r="L556" s="65" t="s">
        <v>2437</v>
      </c>
      <c r="M556" s="65" t="s">
        <v>2438</v>
      </c>
      <c r="N556" s="65" t="s">
        <v>2435</v>
      </c>
      <c r="O556" s="65" t="s">
        <v>2439</v>
      </c>
      <c r="P556" s="65" t="s">
        <v>201</v>
      </c>
      <c r="Q556" s="65">
        <v>1</v>
      </c>
      <c r="R556" s="65" t="s">
        <v>42</v>
      </c>
      <c r="S556" s="65" t="s">
        <v>44</v>
      </c>
      <c r="T556" s="65" t="s">
        <v>44</v>
      </c>
      <c r="U556" s="65" t="s">
        <v>45</v>
      </c>
      <c r="V556" s="65" t="s">
        <v>60</v>
      </c>
      <c r="W556" s="65">
        <v>152.54</v>
      </c>
      <c r="X556" s="65" t="s">
        <v>47</v>
      </c>
      <c r="Y556" s="65" t="s">
        <v>48</v>
      </c>
      <c r="Z556" s="65" t="s">
        <v>49</v>
      </c>
      <c r="AA556" s="65">
        <v>999111362</v>
      </c>
      <c r="AB556" s="65" t="s">
        <v>1326</v>
      </c>
    </row>
    <row r="557" spans="1:28" x14ac:dyDescent="0.3">
      <c r="A557" s="1">
        <v>46266</v>
      </c>
      <c r="B557" s="65" t="s">
        <v>2440</v>
      </c>
      <c r="C557" s="65" t="s">
        <v>29</v>
      </c>
      <c r="D557" s="65" t="s">
        <v>2441</v>
      </c>
      <c r="E557" s="65" t="s">
        <v>31</v>
      </c>
      <c r="F557" s="65" t="s">
        <v>2442</v>
      </c>
      <c r="G557" s="65" t="s">
        <v>2443</v>
      </c>
      <c r="H557" s="65" t="s">
        <v>2444</v>
      </c>
      <c r="I557" s="65" t="s">
        <v>4007</v>
      </c>
      <c r="J557" s="65" t="s">
        <v>4008</v>
      </c>
      <c r="K557" s="65" t="s">
        <v>37</v>
      </c>
      <c r="L557" s="65" t="s">
        <v>2445</v>
      </c>
      <c r="M557" s="65" t="s">
        <v>2446</v>
      </c>
      <c r="N557" s="65" t="s">
        <v>2443</v>
      </c>
      <c r="O557" s="65" t="s">
        <v>2447</v>
      </c>
      <c r="P557" s="65" t="s">
        <v>1157</v>
      </c>
      <c r="Q557" s="65">
        <v>1</v>
      </c>
      <c r="R557" s="65" t="s">
        <v>42</v>
      </c>
      <c r="S557" s="65" t="s">
        <v>44</v>
      </c>
      <c r="T557" s="65" t="s">
        <v>44</v>
      </c>
      <c r="U557" s="65" t="s">
        <v>45</v>
      </c>
      <c r="V557" s="65" t="s">
        <v>60</v>
      </c>
      <c r="W557" s="65">
        <v>338.98</v>
      </c>
      <c r="X557" s="65" t="s">
        <v>47</v>
      </c>
      <c r="Y557" s="65" t="s">
        <v>48</v>
      </c>
      <c r="Z557" s="65" t="s">
        <v>49</v>
      </c>
      <c r="AA557" s="65"/>
      <c r="AB557" s="65"/>
    </row>
    <row r="558" spans="1:28" x14ac:dyDescent="0.3">
      <c r="A558" s="1">
        <v>46266</v>
      </c>
      <c r="B558" s="65" t="s">
        <v>2448</v>
      </c>
      <c r="C558" s="65" t="s">
        <v>29</v>
      </c>
      <c r="D558" s="65" t="s">
        <v>2449</v>
      </c>
      <c r="E558" s="65" t="s">
        <v>31</v>
      </c>
      <c r="F558" s="65" t="s">
        <v>2450</v>
      </c>
      <c r="G558" s="65" t="s">
        <v>2451</v>
      </c>
      <c r="H558" s="65" t="s">
        <v>2452</v>
      </c>
      <c r="I558" s="65" t="s">
        <v>774</v>
      </c>
      <c r="J558" s="65" t="s">
        <v>775</v>
      </c>
      <c r="K558" s="65" t="s">
        <v>37</v>
      </c>
      <c r="L558" s="65" t="s">
        <v>2453</v>
      </c>
      <c r="M558" s="65" t="s">
        <v>2454</v>
      </c>
      <c r="N558" s="65" t="s">
        <v>2451</v>
      </c>
      <c r="O558" s="65" t="s">
        <v>2455</v>
      </c>
      <c r="P558" s="65" t="s">
        <v>641</v>
      </c>
      <c r="Q558" s="65">
        <v>1</v>
      </c>
      <c r="R558" s="65" t="s">
        <v>42</v>
      </c>
      <c r="S558" s="65" t="s">
        <v>44</v>
      </c>
      <c r="T558" s="65" t="s">
        <v>44</v>
      </c>
      <c r="U558" s="65" t="s">
        <v>45</v>
      </c>
      <c r="V558" s="65" t="s">
        <v>46</v>
      </c>
      <c r="W558" s="65">
        <v>84.75</v>
      </c>
      <c r="X558" s="65" t="s">
        <v>47</v>
      </c>
      <c r="Y558" s="65" t="s">
        <v>48</v>
      </c>
      <c r="Z558" s="65" t="s">
        <v>49</v>
      </c>
      <c r="AA558" s="65"/>
      <c r="AB558" s="65"/>
    </row>
    <row r="559" spans="1:28" x14ac:dyDescent="0.3">
      <c r="A559" s="1">
        <v>46266</v>
      </c>
      <c r="B559" s="65" t="s">
        <v>2456</v>
      </c>
      <c r="C559" s="65" t="s">
        <v>29</v>
      </c>
      <c r="D559" s="65" t="s">
        <v>2457</v>
      </c>
      <c r="E559" s="65" t="s">
        <v>31</v>
      </c>
      <c r="F559" s="65" t="s">
        <v>2458</v>
      </c>
      <c r="G559" s="65" t="s">
        <v>2459</v>
      </c>
      <c r="H559" s="65" t="s">
        <v>2460</v>
      </c>
      <c r="I559" s="65" t="s">
        <v>2461</v>
      </c>
      <c r="J559" s="65" t="s">
        <v>1120</v>
      </c>
      <c r="K559" s="65" t="s">
        <v>37</v>
      </c>
      <c r="L559" s="65" t="s">
        <v>2462</v>
      </c>
      <c r="M559" s="65" t="s">
        <v>2463</v>
      </c>
      <c r="N559" s="65" t="s">
        <v>2459</v>
      </c>
      <c r="O559" s="65" t="s">
        <v>2464</v>
      </c>
      <c r="P559" s="65" t="s">
        <v>41</v>
      </c>
      <c r="Q559" s="65">
        <v>1</v>
      </c>
      <c r="R559" s="65" t="s">
        <v>42</v>
      </c>
      <c r="S559" s="65" t="s">
        <v>44</v>
      </c>
      <c r="T559" s="65" t="s">
        <v>44</v>
      </c>
      <c r="U559" s="65" t="s">
        <v>45</v>
      </c>
      <c r="V559" s="65" t="s">
        <v>60</v>
      </c>
      <c r="W559" s="65">
        <v>186.44</v>
      </c>
      <c r="X559" s="65" t="s">
        <v>47</v>
      </c>
      <c r="Y559" s="65" t="s">
        <v>48</v>
      </c>
      <c r="Z559" s="65" t="s">
        <v>49</v>
      </c>
      <c r="AA559" s="65">
        <v>992789956</v>
      </c>
      <c r="AB559" s="65" t="s">
        <v>2465</v>
      </c>
    </row>
    <row r="560" spans="1:28" x14ac:dyDescent="0.3">
      <c r="A560" s="1">
        <v>46266</v>
      </c>
      <c r="B560" s="65" t="s">
        <v>2466</v>
      </c>
      <c r="C560" s="65" t="s">
        <v>29</v>
      </c>
      <c r="D560" s="65" t="s">
        <v>2467</v>
      </c>
      <c r="E560" s="65" t="s">
        <v>31</v>
      </c>
      <c r="F560" s="65" t="s">
        <v>2468</v>
      </c>
      <c r="G560" s="65" t="s">
        <v>2469</v>
      </c>
      <c r="H560" s="65" t="s">
        <v>2470</v>
      </c>
      <c r="I560" s="65" t="s">
        <v>774</v>
      </c>
      <c r="J560" s="65" t="s">
        <v>775</v>
      </c>
      <c r="K560" s="65" t="s">
        <v>37</v>
      </c>
      <c r="L560" s="65" t="s">
        <v>2471</v>
      </c>
      <c r="M560" s="65" t="s">
        <v>2472</v>
      </c>
      <c r="N560" s="65" t="s">
        <v>2469</v>
      </c>
      <c r="O560" s="65" t="s">
        <v>2473</v>
      </c>
      <c r="P560" s="65" t="s">
        <v>641</v>
      </c>
      <c r="Q560" s="65">
        <v>1</v>
      </c>
      <c r="R560" s="65" t="s">
        <v>42</v>
      </c>
      <c r="S560" s="65" t="s">
        <v>44</v>
      </c>
      <c r="T560" s="65" t="s">
        <v>44</v>
      </c>
      <c r="U560" s="65" t="s">
        <v>45</v>
      </c>
      <c r="V560" s="65" t="s">
        <v>46</v>
      </c>
      <c r="W560" s="65">
        <v>84.75</v>
      </c>
      <c r="X560" s="65" t="s">
        <v>47</v>
      </c>
      <c r="Y560" s="65" t="s">
        <v>48</v>
      </c>
      <c r="Z560" s="65" t="s">
        <v>49</v>
      </c>
      <c r="AA560" s="65"/>
      <c r="AB560" s="65"/>
    </row>
    <row r="561" spans="1:28" x14ac:dyDescent="0.3">
      <c r="A561" s="1">
        <v>46266</v>
      </c>
      <c r="B561" s="65" t="s">
        <v>2474</v>
      </c>
      <c r="C561" s="65" t="s">
        <v>29</v>
      </c>
      <c r="D561" s="65" t="s">
        <v>2475</v>
      </c>
      <c r="E561" s="65" t="s">
        <v>31</v>
      </c>
      <c r="F561" s="65" t="s">
        <v>2476</v>
      </c>
      <c r="G561" s="65" t="s">
        <v>2477</v>
      </c>
      <c r="H561" s="65" t="s">
        <v>2478</v>
      </c>
      <c r="I561" s="65" t="s">
        <v>774</v>
      </c>
      <c r="J561" s="65" t="s">
        <v>775</v>
      </c>
      <c r="K561" s="65" t="s">
        <v>37</v>
      </c>
      <c r="L561" s="65" t="s">
        <v>2479</v>
      </c>
      <c r="M561" s="65" t="s">
        <v>2480</v>
      </c>
      <c r="N561" s="65" t="s">
        <v>2477</v>
      </c>
      <c r="O561" s="65" t="s">
        <v>2481</v>
      </c>
      <c r="P561" s="65" t="s">
        <v>641</v>
      </c>
      <c r="Q561" s="65">
        <v>1</v>
      </c>
      <c r="R561" s="65" t="s">
        <v>42</v>
      </c>
      <c r="S561" s="65" t="s">
        <v>44</v>
      </c>
      <c r="T561" s="65" t="s">
        <v>44</v>
      </c>
      <c r="U561" s="65" t="s">
        <v>45</v>
      </c>
      <c r="V561" s="65" t="s">
        <v>46</v>
      </c>
      <c r="W561" s="65">
        <v>84.75</v>
      </c>
      <c r="X561" s="65" t="s">
        <v>47</v>
      </c>
      <c r="Y561" s="65" t="s">
        <v>48</v>
      </c>
      <c r="Z561" s="65" t="s">
        <v>49</v>
      </c>
      <c r="AA561" s="65"/>
      <c r="AB561" s="65"/>
    </row>
    <row r="562" spans="1:28" x14ac:dyDescent="0.3">
      <c r="A562" s="1">
        <v>46266</v>
      </c>
      <c r="B562" s="65" t="s">
        <v>2482</v>
      </c>
      <c r="C562" s="65" t="s">
        <v>29</v>
      </c>
      <c r="D562" s="65" t="s">
        <v>2483</v>
      </c>
      <c r="E562" s="65" t="s">
        <v>31</v>
      </c>
      <c r="F562" s="65" t="s">
        <v>2484</v>
      </c>
      <c r="G562" s="65" t="s">
        <v>2485</v>
      </c>
      <c r="H562" s="65" t="s">
        <v>2486</v>
      </c>
      <c r="I562" s="65"/>
      <c r="J562" s="65"/>
      <c r="K562" s="65" t="s">
        <v>37</v>
      </c>
      <c r="L562" s="65" t="s">
        <v>2488</v>
      </c>
      <c r="M562" s="65" t="s">
        <v>608</v>
      </c>
      <c r="N562" s="65" t="s">
        <v>2485</v>
      </c>
      <c r="O562" s="65" t="s">
        <v>2489</v>
      </c>
      <c r="P562" s="65" t="s">
        <v>59</v>
      </c>
      <c r="Q562" s="65">
        <v>1</v>
      </c>
      <c r="R562" s="65" t="s">
        <v>42</v>
      </c>
      <c r="S562" s="65" t="s">
        <v>44</v>
      </c>
      <c r="T562" s="65" t="s">
        <v>44</v>
      </c>
      <c r="U562" s="65" t="s">
        <v>45</v>
      </c>
      <c r="V562" s="65" t="s">
        <v>46</v>
      </c>
      <c r="W562" s="65">
        <v>139.83000000000001</v>
      </c>
      <c r="X562" s="65" t="s">
        <v>289</v>
      </c>
      <c r="Y562" s="65" t="s">
        <v>48</v>
      </c>
      <c r="Z562" s="65" t="s">
        <v>49</v>
      </c>
      <c r="AA562" s="65"/>
      <c r="AB562" s="65"/>
    </row>
    <row r="563" spans="1:28" x14ac:dyDescent="0.3">
      <c r="A563" s="1">
        <v>46266</v>
      </c>
      <c r="B563" s="65" t="s">
        <v>2482</v>
      </c>
      <c r="C563" s="65" t="s">
        <v>29</v>
      </c>
      <c r="D563" s="65" t="s">
        <v>2483</v>
      </c>
      <c r="E563" s="65" t="s">
        <v>31</v>
      </c>
      <c r="F563" s="65" t="s">
        <v>2484</v>
      </c>
      <c r="G563" s="65" t="s">
        <v>2485</v>
      </c>
      <c r="H563" s="65" t="s">
        <v>2486</v>
      </c>
      <c r="I563" s="65"/>
      <c r="J563" s="65"/>
      <c r="K563" s="65" t="s">
        <v>37</v>
      </c>
      <c r="L563" s="65" t="s">
        <v>2488</v>
      </c>
      <c r="M563" s="65" t="s">
        <v>608</v>
      </c>
      <c r="N563" s="65" t="s">
        <v>2485</v>
      </c>
      <c r="O563" s="65" t="s">
        <v>2489</v>
      </c>
      <c r="P563" s="65" t="s">
        <v>288</v>
      </c>
      <c r="Q563" s="65">
        <v>1</v>
      </c>
      <c r="R563" s="65" t="s">
        <v>42</v>
      </c>
      <c r="S563" s="65" t="s">
        <v>44</v>
      </c>
      <c r="T563" s="65" t="s">
        <v>44</v>
      </c>
      <c r="U563" s="65" t="s">
        <v>45</v>
      </c>
      <c r="V563" s="65" t="s">
        <v>46</v>
      </c>
      <c r="W563" s="65">
        <v>0</v>
      </c>
      <c r="X563" s="65" t="s">
        <v>289</v>
      </c>
      <c r="Y563" s="65" t="s">
        <v>48</v>
      </c>
      <c r="Z563" s="65" t="s">
        <v>49</v>
      </c>
      <c r="AA563" s="65"/>
      <c r="AB563" s="65"/>
    </row>
    <row r="564" spans="1:28" x14ac:dyDescent="0.3">
      <c r="A564" s="1">
        <v>46266</v>
      </c>
      <c r="B564" s="65" t="s">
        <v>2491</v>
      </c>
      <c r="C564" s="65" t="s">
        <v>29</v>
      </c>
      <c r="D564" s="65" t="s">
        <v>2492</v>
      </c>
      <c r="E564" s="65" t="s">
        <v>31</v>
      </c>
      <c r="F564" s="65" t="s">
        <v>2493</v>
      </c>
      <c r="G564" s="65" t="s">
        <v>1615</v>
      </c>
      <c r="H564" s="65" t="s">
        <v>2494</v>
      </c>
      <c r="I564" s="65" t="s">
        <v>1615</v>
      </c>
      <c r="J564" s="65" t="s">
        <v>1616</v>
      </c>
      <c r="K564" s="65" t="s">
        <v>37</v>
      </c>
      <c r="L564" s="65" t="s">
        <v>1617</v>
      </c>
      <c r="M564" s="65" t="s">
        <v>1618</v>
      </c>
      <c r="N564" s="65" t="s">
        <v>1615</v>
      </c>
      <c r="O564" s="65" t="s">
        <v>2495</v>
      </c>
      <c r="P564" s="65" t="s">
        <v>1215</v>
      </c>
      <c r="Q564" s="65">
        <v>1</v>
      </c>
      <c r="R564" s="65" t="s">
        <v>70</v>
      </c>
      <c r="S564" s="65" t="s">
        <v>43</v>
      </c>
      <c r="T564" s="65" t="s">
        <v>44</v>
      </c>
      <c r="U564" s="65" t="s">
        <v>71</v>
      </c>
      <c r="V564" s="65" t="s">
        <v>72</v>
      </c>
      <c r="W564" s="65">
        <v>139.83000000000001</v>
      </c>
      <c r="X564" s="65" t="s">
        <v>289</v>
      </c>
      <c r="Y564" s="65" t="s">
        <v>48</v>
      </c>
      <c r="Z564" s="65" t="s">
        <v>73</v>
      </c>
      <c r="AA564" s="65">
        <v>950418896</v>
      </c>
      <c r="AB564" s="65"/>
    </row>
    <row r="565" spans="1:28" x14ac:dyDescent="0.3">
      <c r="A565" s="1">
        <v>46266</v>
      </c>
      <c r="B565" s="65" t="s">
        <v>2491</v>
      </c>
      <c r="C565" s="65" t="s">
        <v>29</v>
      </c>
      <c r="D565" s="65" t="s">
        <v>2492</v>
      </c>
      <c r="E565" s="65" t="s">
        <v>31</v>
      </c>
      <c r="F565" s="65" t="s">
        <v>2493</v>
      </c>
      <c r="G565" s="65" t="s">
        <v>1615</v>
      </c>
      <c r="H565" s="65" t="s">
        <v>2494</v>
      </c>
      <c r="I565" s="65" t="s">
        <v>1615</v>
      </c>
      <c r="J565" s="65" t="s">
        <v>1616</v>
      </c>
      <c r="K565" s="65" t="s">
        <v>37</v>
      </c>
      <c r="L565" s="65" t="s">
        <v>1617</v>
      </c>
      <c r="M565" s="65" t="s">
        <v>1618</v>
      </c>
      <c r="N565" s="65" t="s">
        <v>1615</v>
      </c>
      <c r="O565" s="65" t="s">
        <v>2495</v>
      </c>
      <c r="P565" s="65" t="s">
        <v>288</v>
      </c>
      <c r="Q565" s="65">
        <v>1</v>
      </c>
      <c r="R565" s="65" t="s">
        <v>70</v>
      </c>
      <c r="S565" s="65" t="s">
        <v>43</v>
      </c>
      <c r="T565" s="65" t="s">
        <v>44</v>
      </c>
      <c r="U565" s="65" t="s">
        <v>71</v>
      </c>
      <c r="V565" s="65" t="s">
        <v>72</v>
      </c>
      <c r="W565" s="65">
        <v>0</v>
      </c>
      <c r="X565" s="65" t="s">
        <v>289</v>
      </c>
      <c r="Y565" s="65" t="s">
        <v>48</v>
      </c>
      <c r="Z565" s="65" t="s">
        <v>73</v>
      </c>
      <c r="AA565" s="65">
        <v>950418896</v>
      </c>
      <c r="AB565" s="65"/>
    </row>
    <row r="566" spans="1:28" x14ac:dyDescent="0.3">
      <c r="A566" s="1">
        <v>46266</v>
      </c>
      <c r="B566" s="65" t="s">
        <v>4009</v>
      </c>
      <c r="C566" s="65" t="s">
        <v>29</v>
      </c>
      <c r="D566" s="65" t="s">
        <v>4010</v>
      </c>
      <c r="E566" s="65" t="s">
        <v>31</v>
      </c>
      <c r="F566" s="65" t="s">
        <v>4011</v>
      </c>
      <c r="G566" s="65" t="s">
        <v>4012</v>
      </c>
      <c r="H566" s="65" t="s">
        <v>4013</v>
      </c>
      <c r="I566" s="65" t="s">
        <v>1322</v>
      </c>
      <c r="J566" s="65" t="s">
        <v>36</v>
      </c>
      <c r="K566" s="65" t="s">
        <v>37</v>
      </c>
      <c r="L566" s="65" t="s">
        <v>4014</v>
      </c>
      <c r="M566" s="65" t="s">
        <v>4015</v>
      </c>
      <c r="N566" s="65" t="s">
        <v>4012</v>
      </c>
      <c r="O566" s="65" t="s">
        <v>4016</v>
      </c>
      <c r="P566" s="65" t="s">
        <v>90</v>
      </c>
      <c r="Q566" s="65">
        <v>1</v>
      </c>
      <c r="R566" s="65" t="s">
        <v>42</v>
      </c>
      <c r="S566" s="65" t="s">
        <v>44</v>
      </c>
      <c r="T566" s="65" t="s">
        <v>44</v>
      </c>
      <c r="U566" s="65" t="s">
        <v>531</v>
      </c>
      <c r="V566" s="65" t="s">
        <v>1965</v>
      </c>
      <c r="W566" s="65">
        <v>135.59</v>
      </c>
      <c r="X566" s="65" t="s">
        <v>47</v>
      </c>
      <c r="Y566" s="65" t="s">
        <v>48</v>
      </c>
      <c r="Z566" s="65" t="s">
        <v>534</v>
      </c>
      <c r="AA566" s="65">
        <v>999111362</v>
      </c>
      <c r="AB566" s="65" t="s">
        <v>1326</v>
      </c>
    </row>
    <row r="567" spans="1:28" x14ac:dyDescent="0.3">
      <c r="A567" s="1">
        <v>46267</v>
      </c>
      <c r="B567" s="65" t="s">
        <v>2496</v>
      </c>
      <c r="C567" s="65" t="s">
        <v>29</v>
      </c>
      <c r="D567" s="65" t="s">
        <v>2497</v>
      </c>
      <c r="E567" s="65" t="s">
        <v>31</v>
      </c>
      <c r="F567" s="65" t="s">
        <v>2498</v>
      </c>
      <c r="G567" s="65" t="s">
        <v>2074</v>
      </c>
      <c r="H567" s="65" t="s">
        <v>2075</v>
      </c>
      <c r="I567" s="65" t="s">
        <v>411</v>
      </c>
      <c r="J567" s="65" t="s">
        <v>412</v>
      </c>
      <c r="K567" s="65" t="s">
        <v>37</v>
      </c>
      <c r="L567" s="65" t="s">
        <v>2076</v>
      </c>
      <c r="M567" s="65" t="s">
        <v>2077</v>
      </c>
      <c r="N567" s="65" t="s">
        <v>2074</v>
      </c>
      <c r="O567" s="65" t="s">
        <v>2499</v>
      </c>
      <c r="P567" s="65" t="s">
        <v>159</v>
      </c>
      <c r="Q567" s="65">
        <v>1</v>
      </c>
      <c r="R567" s="65" t="s">
        <v>42</v>
      </c>
      <c r="S567" s="65" t="s">
        <v>44</v>
      </c>
      <c r="T567" s="65" t="s">
        <v>44</v>
      </c>
      <c r="U567" s="65" t="s">
        <v>45</v>
      </c>
      <c r="V567" s="65" t="s">
        <v>46</v>
      </c>
      <c r="W567" s="65">
        <v>135.59</v>
      </c>
      <c r="X567" s="65" t="s">
        <v>47</v>
      </c>
      <c r="Y567" s="65" t="s">
        <v>48</v>
      </c>
      <c r="Z567" s="65" t="s">
        <v>49</v>
      </c>
      <c r="AA567" s="65">
        <v>982673362</v>
      </c>
      <c r="AB567" s="65" t="s">
        <v>416</v>
      </c>
    </row>
    <row r="568" spans="1:28" x14ac:dyDescent="0.3">
      <c r="A568" s="1">
        <v>46267</v>
      </c>
      <c r="B568" s="65" t="s">
        <v>2500</v>
      </c>
      <c r="C568" s="65" t="s">
        <v>268</v>
      </c>
      <c r="D568" s="65" t="s">
        <v>2501</v>
      </c>
      <c r="E568" s="65" t="s">
        <v>31</v>
      </c>
      <c r="F568" s="65" t="s">
        <v>2502</v>
      </c>
      <c r="G568" s="65" t="s">
        <v>1012</v>
      </c>
      <c r="H568" s="65" t="s">
        <v>1013</v>
      </c>
      <c r="I568" s="65" t="s">
        <v>774</v>
      </c>
      <c r="J568" s="65" t="s">
        <v>775</v>
      </c>
      <c r="K568" s="65" t="s">
        <v>37</v>
      </c>
      <c r="L568" s="65" t="s">
        <v>1014</v>
      </c>
      <c r="M568" s="65" t="s">
        <v>1015</v>
      </c>
      <c r="N568" s="65" t="s">
        <v>798</v>
      </c>
      <c r="O568" s="65" t="s">
        <v>2503</v>
      </c>
      <c r="P568" s="65" t="s">
        <v>2379</v>
      </c>
      <c r="Q568" s="65">
        <v>1</v>
      </c>
      <c r="R568" s="65" t="s">
        <v>42</v>
      </c>
      <c r="S568" s="65" t="s">
        <v>44</v>
      </c>
      <c r="T568" s="65" t="s">
        <v>44</v>
      </c>
      <c r="U568" s="65" t="s">
        <v>45</v>
      </c>
      <c r="V568" s="65" t="s">
        <v>46</v>
      </c>
      <c r="W568" s="65">
        <v>1169.49</v>
      </c>
      <c r="X568" s="65" t="s">
        <v>289</v>
      </c>
      <c r="Y568" s="65" t="s">
        <v>48</v>
      </c>
      <c r="Z568" s="65" t="s">
        <v>49</v>
      </c>
      <c r="AA568" s="65"/>
      <c r="AB568" s="65"/>
    </row>
    <row r="569" spans="1:28" x14ac:dyDescent="0.3">
      <c r="A569" s="1">
        <v>46267</v>
      </c>
      <c r="B569" s="65" t="s">
        <v>2500</v>
      </c>
      <c r="C569" s="65" t="s">
        <v>268</v>
      </c>
      <c r="D569" s="65" t="s">
        <v>2501</v>
      </c>
      <c r="E569" s="65" t="s">
        <v>31</v>
      </c>
      <c r="F569" s="65" t="s">
        <v>2502</v>
      </c>
      <c r="G569" s="65" t="s">
        <v>1012</v>
      </c>
      <c r="H569" s="65" t="s">
        <v>1013</v>
      </c>
      <c r="I569" s="65" t="s">
        <v>774</v>
      </c>
      <c r="J569" s="65" t="s">
        <v>775</v>
      </c>
      <c r="K569" s="65" t="s">
        <v>37</v>
      </c>
      <c r="L569" s="65" t="s">
        <v>1014</v>
      </c>
      <c r="M569" s="65" t="s">
        <v>1015</v>
      </c>
      <c r="N569" s="65" t="s">
        <v>798</v>
      </c>
      <c r="O569" s="65" t="s">
        <v>2503</v>
      </c>
      <c r="P569" s="65" t="s">
        <v>288</v>
      </c>
      <c r="Q569" s="65">
        <v>1</v>
      </c>
      <c r="R569" s="65" t="s">
        <v>42</v>
      </c>
      <c r="S569" s="65" t="s">
        <v>44</v>
      </c>
      <c r="T569" s="65" t="s">
        <v>44</v>
      </c>
      <c r="U569" s="65" t="s">
        <v>45</v>
      </c>
      <c r="V569" s="65" t="s">
        <v>46</v>
      </c>
      <c r="W569" s="65">
        <v>0</v>
      </c>
      <c r="X569" s="65" t="s">
        <v>289</v>
      </c>
      <c r="Y569" s="65" t="s">
        <v>48</v>
      </c>
      <c r="Z569" s="65" t="s">
        <v>49</v>
      </c>
      <c r="AA569" s="65"/>
      <c r="AB569" s="65"/>
    </row>
    <row r="570" spans="1:28" x14ac:dyDescent="0.3">
      <c r="A570" s="1">
        <v>46267</v>
      </c>
      <c r="B570" s="65" t="s">
        <v>2504</v>
      </c>
      <c r="C570" s="65" t="s">
        <v>268</v>
      </c>
      <c r="D570" s="65" t="s">
        <v>2505</v>
      </c>
      <c r="E570" s="65" t="s">
        <v>31</v>
      </c>
      <c r="F570" s="65" t="s">
        <v>2506</v>
      </c>
      <c r="G570" s="65" t="s">
        <v>2451</v>
      </c>
      <c r="H570" s="65" t="s">
        <v>2452</v>
      </c>
      <c r="I570" s="65" t="s">
        <v>774</v>
      </c>
      <c r="J570" s="65" t="s">
        <v>775</v>
      </c>
      <c r="K570" s="65" t="s">
        <v>37</v>
      </c>
      <c r="L570" s="65" t="s">
        <v>2453</v>
      </c>
      <c r="M570" s="65" t="s">
        <v>2454</v>
      </c>
      <c r="N570" s="65" t="s">
        <v>798</v>
      </c>
      <c r="O570" s="65" t="s">
        <v>2507</v>
      </c>
      <c r="P570" s="65" t="s">
        <v>290</v>
      </c>
      <c r="Q570" s="65">
        <v>1</v>
      </c>
      <c r="R570" s="65" t="s">
        <v>42</v>
      </c>
      <c r="S570" s="65" t="s">
        <v>44</v>
      </c>
      <c r="T570" s="65" t="s">
        <v>44</v>
      </c>
      <c r="U570" s="65" t="s">
        <v>45</v>
      </c>
      <c r="V570" s="65" t="s">
        <v>46</v>
      </c>
      <c r="W570" s="65">
        <v>762.71</v>
      </c>
      <c r="X570" s="65" t="s">
        <v>289</v>
      </c>
      <c r="Y570" s="65" t="s">
        <v>48</v>
      </c>
      <c r="Z570" s="65" t="s">
        <v>49</v>
      </c>
      <c r="AA570" s="65"/>
      <c r="AB570" s="65"/>
    </row>
    <row r="571" spans="1:28" x14ac:dyDescent="0.3">
      <c r="A571" s="1">
        <v>46267</v>
      </c>
      <c r="B571" s="65" t="s">
        <v>2504</v>
      </c>
      <c r="C571" s="65" t="s">
        <v>268</v>
      </c>
      <c r="D571" s="65" t="s">
        <v>2505</v>
      </c>
      <c r="E571" s="65" t="s">
        <v>31</v>
      </c>
      <c r="F571" s="65" t="s">
        <v>2506</v>
      </c>
      <c r="G571" s="65" t="s">
        <v>2451</v>
      </c>
      <c r="H571" s="65" t="s">
        <v>2452</v>
      </c>
      <c r="I571" s="65" t="s">
        <v>774</v>
      </c>
      <c r="J571" s="65" t="s">
        <v>775</v>
      </c>
      <c r="K571" s="65" t="s">
        <v>37</v>
      </c>
      <c r="L571" s="65" t="s">
        <v>2453</v>
      </c>
      <c r="M571" s="65" t="s">
        <v>2454</v>
      </c>
      <c r="N571" s="65" t="s">
        <v>798</v>
      </c>
      <c r="O571" s="65" t="s">
        <v>2507</v>
      </c>
      <c r="P571" s="65" t="s">
        <v>288</v>
      </c>
      <c r="Q571" s="65">
        <v>1</v>
      </c>
      <c r="R571" s="65" t="s">
        <v>42</v>
      </c>
      <c r="S571" s="65" t="s">
        <v>44</v>
      </c>
      <c r="T571" s="65" t="s">
        <v>44</v>
      </c>
      <c r="U571" s="65" t="s">
        <v>45</v>
      </c>
      <c r="V571" s="65" t="s">
        <v>46</v>
      </c>
      <c r="W571" s="65">
        <v>0</v>
      </c>
      <c r="X571" s="65" t="s">
        <v>289</v>
      </c>
      <c r="Y571" s="65" t="s">
        <v>48</v>
      </c>
      <c r="Z571" s="65" t="s">
        <v>49</v>
      </c>
      <c r="AA571" s="65"/>
      <c r="AB571" s="65"/>
    </row>
    <row r="572" spans="1:28" x14ac:dyDescent="0.3">
      <c r="A572" s="1">
        <v>46267</v>
      </c>
      <c r="B572" s="65" t="s">
        <v>2508</v>
      </c>
      <c r="C572" s="65" t="s">
        <v>268</v>
      </c>
      <c r="D572" s="65" t="s">
        <v>2509</v>
      </c>
      <c r="E572" s="65" t="s">
        <v>31</v>
      </c>
      <c r="F572" s="65" t="s">
        <v>2510</v>
      </c>
      <c r="G572" s="65" t="s">
        <v>2335</v>
      </c>
      <c r="H572" s="65" t="s">
        <v>2336</v>
      </c>
      <c r="I572" s="65" t="s">
        <v>2795</v>
      </c>
      <c r="J572" s="65" t="s">
        <v>209</v>
      </c>
      <c r="K572" s="65" t="s">
        <v>37</v>
      </c>
      <c r="L572" s="65" t="s">
        <v>2337</v>
      </c>
      <c r="M572" s="65" t="s">
        <v>608</v>
      </c>
      <c r="N572" s="65" t="s">
        <v>1251</v>
      </c>
      <c r="O572" s="65" t="s">
        <v>2511</v>
      </c>
      <c r="P572" s="65" t="s">
        <v>290</v>
      </c>
      <c r="Q572" s="65">
        <v>1</v>
      </c>
      <c r="R572" s="65" t="s">
        <v>42</v>
      </c>
      <c r="S572" s="65" t="s">
        <v>44</v>
      </c>
      <c r="T572" s="65" t="s">
        <v>44</v>
      </c>
      <c r="U572" s="65" t="s">
        <v>45</v>
      </c>
      <c r="V572" s="65" t="s">
        <v>46</v>
      </c>
      <c r="W572" s="65">
        <v>762.71</v>
      </c>
      <c r="X572" s="65" t="s">
        <v>289</v>
      </c>
      <c r="Y572" s="65" t="s">
        <v>48</v>
      </c>
      <c r="Z572" s="65" t="s">
        <v>49</v>
      </c>
      <c r="AA572" s="65">
        <v>994872106</v>
      </c>
      <c r="AB572" s="65" t="s">
        <v>1253</v>
      </c>
    </row>
    <row r="573" spans="1:28" x14ac:dyDescent="0.3">
      <c r="A573" s="1">
        <v>46267</v>
      </c>
      <c r="B573" s="65" t="s">
        <v>2508</v>
      </c>
      <c r="C573" s="65" t="s">
        <v>268</v>
      </c>
      <c r="D573" s="65" t="s">
        <v>2509</v>
      </c>
      <c r="E573" s="65" t="s">
        <v>31</v>
      </c>
      <c r="F573" s="65" t="s">
        <v>2510</v>
      </c>
      <c r="G573" s="65" t="s">
        <v>2335</v>
      </c>
      <c r="H573" s="65" t="s">
        <v>2336</v>
      </c>
      <c r="I573" s="65" t="s">
        <v>2795</v>
      </c>
      <c r="J573" s="65" t="s">
        <v>209</v>
      </c>
      <c r="K573" s="65" t="s">
        <v>37</v>
      </c>
      <c r="L573" s="65" t="s">
        <v>2337</v>
      </c>
      <c r="M573" s="65" t="s">
        <v>608</v>
      </c>
      <c r="N573" s="65" t="s">
        <v>1251</v>
      </c>
      <c r="O573" s="65" t="s">
        <v>2511</v>
      </c>
      <c r="P573" s="65" t="s">
        <v>288</v>
      </c>
      <c r="Q573" s="65">
        <v>1</v>
      </c>
      <c r="R573" s="65" t="s">
        <v>42</v>
      </c>
      <c r="S573" s="65" t="s">
        <v>44</v>
      </c>
      <c r="T573" s="65" t="s">
        <v>44</v>
      </c>
      <c r="U573" s="65" t="s">
        <v>45</v>
      </c>
      <c r="V573" s="65" t="s">
        <v>46</v>
      </c>
      <c r="W573" s="65">
        <v>0</v>
      </c>
      <c r="X573" s="65" t="s">
        <v>289</v>
      </c>
      <c r="Y573" s="65" t="s">
        <v>48</v>
      </c>
      <c r="Z573" s="65" t="s">
        <v>49</v>
      </c>
      <c r="AA573" s="65">
        <v>994872106</v>
      </c>
      <c r="AB573" s="65" t="s">
        <v>1253</v>
      </c>
    </row>
    <row r="574" spans="1:28" x14ac:dyDescent="0.3">
      <c r="A574" s="1">
        <v>46267</v>
      </c>
      <c r="B574" s="65" t="s">
        <v>2512</v>
      </c>
      <c r="C574" s="65" t="s">
        <v>29</v>
      </c>
      <c r="D574" s="65" t="s">
        <v>2513</v>
      </c>
      <c r="E574" s="65" t="s">
        <v>31</v>
      </c>
      <c r="F574" s="65" t="s">
        <v>2514</v>
      </c>
      <c r="G574" s="65" t="s">
        <v>2515</v>
      </c>
      <c r="H574" s="65" t="s">
        <v>2516</v>
      </c>
      <c r="I574" s="65" t="s">
        <v>1322</v>
      </c>
      <c r="J574" s="65" t="s">
        <v>36</v>
      </c>
      <c r="K574" s="65" t="s">
        <v>37</v>
      </c>
      <c r="L574" s="65" t="s">
        <v>2517</v>
      </c>
      <c r="M574" s="65" t="s">
        <v>2518</v>
      </c>
      <c r="N574" s="65" t="s">
        <v>2515</v>
      </c>
      <c r="O574" s="65" t="s">
        <v>2519</v>
      </c>
      <c r="P574" s="65" t="s">
        <v>101</v>
      </c>
      <c r="Q574" s="65">
        <v>1</v>
      </c>
      <c r="R574" s="65" t="s">
        <v>42</v>
      </c>
      <c r="S574" s="65" t="s">
        <v>44</v>
      </c>
      <c r="T574" s="65" t="s">
        <v>44</v>
      </c>
      <c r="U574" s="65" t="s">
        <v>45</v>
      </c>
      <c r="V574" s="65" t="s">
        <v>46</v>
      </c>
      <c r="W574" s="65">
        <v>186.44</v>
      </c>
      <c r="X574" s="65" t="s">
        <v>47</v>
      </c>
      <c r="Y574" s="65" t="s">
        <v>48</v>
      </c>
      <c r="Z574" s="65" t="s">
        <v>49</v>
      </c>
      <c r="AA574" s="65">
        <v>999111362</v>
      </c>
      <c r="AB574" s="65" t="s">
        <v>1326</v>
      </c>
    </row>
    <row r="575" spans="1:28" x14ac:dyDescent="0.3">
      <c r="A575" s="1">
        <v>46267</v>
      </c>
      <c r="B575" s="65" t="s">
        <v>2520</v>
      </c>
      <c r="C575" s="65" t="s">
        <v>268</v>
      </c>
      <c r="D575" s="65" t="s">
        <v>2521</v>
      </c>
      <c r="E575" s="65" t="s">
        <v>31</v>
      </c>
      <c r="F575" s="65" t="s">
        <v>2522</v>
      </c>
      <c r="G575" s="65" t="s">
        <v>2477</v>
      </c>
      <c r="H575" s="65" t="s">
        <v>2478</v>
      </c>
      <c r="I575" s="65" t="s">
        <v>774</v>
      </c>
      <c r="J575" s="65" t="s">
        <v>775</v>
      </c>
      <c r="K575" s="65" t="s">
        <v>37</v>
      </c>
      <c r="L575" s="65" t="s">
        <v>2479</v>
      </c>
      <c r="M575" s="65" t="s">
        <v>2480</v>
      </c>
      <c r="N575" s="65" t="s">
        <v>798</v>
      </c>
      <c r="O575" s="65" t="s">
        <v>2523</v>
      </c>
      <c r="P575" s="65" t="s">
        <v>290</v>
      </c>
      <c r="Q575" s="65">
        <v>1</v>
      </c>
      <c r="R575" s="65" t="s">
        <v>42</v>
      </c>
      <c r="S575" s="65" t="s">
        <v>44</v>
      </c>
      <c r="T575" s="65" t="s">
        <v>44</v>
      </c>
      <c r="U575" s="65" t="s">
        <v>45</v>
      </c>
      <c r="V575" s="65" t="s">
        <v>46</v>
      </c>
      <c r="W575" s="65">
        <v>762.71</v>
      </c>
      <c r="X575" s="65" t="s">
        <v>289</v>
      </c>
      <c r="Y575" s="65" t="s">
        <v>48</v>
      </c>
      <c r="Z575" s="65" t="s">
        <v>49</v>
      </c>
      <c r="AA575" s="65"/>
      <c r="AB575" s="65"/>
    </row>
    <row r="576" spans="1:28" x14ac:dyDescent="0.3">
      <c r="A576" s="1">
        <v>46267</v>
      </c>
      <c r="B576" s="65" t="s">
        <v>2520</v>
      </c>
      <c r="C576" s="65" t="s">
        <v>268</v>
      </c>
      <c r="D576" s="65" t="s">
        <v>2521</v>
      </c>
      <c r="E576" s="65" t="s">
        <v>31</v>
      </c>
      <c r="F576" s="65" t="s">
        <v>2522</v>
      </c>
      <c r="G576" s="65" t="s">
        <v>2477</v>
      </c>
      <c r="H576" s="65" t="s">
        <v>2478</v>
      </c>
      <c r="I576" s="65" t="s">
        <v>774</v>
      </c>
      <c r="J576" s="65" t="s">
        <v>775</v>
      </c>
      <c r="K576" s="65" t="s">
        <v>37</v>
      </c>
      <c r="L576" s="65" t="s">
        <v>2479</v>
      </c>
      <c r="M576" s="65" t="s">
        <v>2480</v>
      </c>
      <c r="N576" s="65" t="s">
        <v>798</v>
      </c>
      <c r="O576" s="65" t="s">
        <v>2523</v>
      </c>
      <c r="P576" s="65" t="s">
        <v>288</v>
      </c>
      <c r="Q576" s="65">
        <v>1</v>
      </c>
      <c r="R576" s="65" t="s">
        <v>42</v>
      </c>
      <c r="S576" s="65" t="s">
        <v>44</v>
      </c>
      <c r="T576" s="65" t="s">
        <v>44</v>
      </c>
      <c r="U576" s="65" t="s">
        <v>45</v>
      </c>
      <c r="V576" s="65" t="s">
        <v>46</v>
      </c>
      <c r="W576" s="65">
        <v>0</v>
      </c>
      <c r="X576" s="65" t="s">
        <v>289</v>
      </c>
      <c r="Y576" s="65" t="s">
        <v>48</v>
      </c>
      <c r="Z576" s="65" t="s">
        <v>49</v>
      </c>
      <c r="AA576" s="65"/>
      <c r="AB576" s="65"/>
    </row>
    <row r="577" spans="1:28" x14ac:dyDescent="0.3">
      <c r="A577" s="1">
        <v>46267</v>
      </c>
      <c r="B577" s="65" t="s">
        <v>4017</v>
      </c>
      <c r="C577" s="65" t="s">
        <v>29</v>
      </c>
      <c r="D577" s="65" t="s">
        <v>4018</v>
      </c>
      <c r="E577" s="65" t="s">
        <v>31</v>
      </c>
      <c r="F577" s="65" t="s">
        <v>4019</v>
      </c>
      <c r="G577" s="65" t="s">
        <v>4020</v>
      </c>
      <c r="H577" s="65" t="s">
        <v>4021</v>
      </c>
      <c r="I577" s="65" t="s">
        <v>136</v>
      </c>
      <c r="J577" s="65" t="s">
        <v>137</v>
      </c>
      <c r="K577" s="65" t="s">
        <v>37</v>
      </c>
      <c r="L577" s="65" t="s">
        <v>4022</v>
      </c>
      <c r="M577" s="65" t="s">
        <v>4023</v>
      </c>
      <c r="N577" s="65" t="s">
        <v>4020</v>
      </c>
      <c r="O577" s="65" t="s">
        <v>4024</v>
      </c>
      <c r="P577" s="65" t="s">
        <v>90</v>
      </c>
      <c r="Q577" s="65">
        <v>1</v>
      </c>
      <c r="R577" s="65" t="s">
        <v>42</v>
      </c>
      <c r="S577" s="65" t="s">
        <v>44</v>
      </c>
      <c r="T577" s="65" t="s">
        <v>44</v>
      </c>
      <c r="U577" s="65" t="s">
        <v>71</v>
      </c>
      <c r="V577" s="65" t="s">
        <v>72</v>
      </c>
      <c r="W577" s="65">
        <v>135.59</v>
      </c>
      <c r="X577" s="65" t="s">
        <v>47</v>
      </c>
      <c r="Y577" s="65" t="s">
        <v>48</v>
      </c>
      <c r="Z577" s="65" t="s">
        <v>73</v>
      </c>
      <c r="AA577" s="65">
        <v>987407712</v>
      </c>
      <c r="AB577" s="65" t="s">
        <v>141</v>
      </c>
    </row>
    <row r="578" spans="1:28" x14ac:dyDescent="0.3">
      <c r="A578" s="1">
        <v>46267</v>
      </c>
      <c r="B578" s="65" t="s">
        <v>4025</v>
      </c>
      <c r="C578" s="65" t="s">
        <v>29</v>
      </c>
      <c r="D578" s="65" t="s">
        <v>4026</v>
      </c>
      <c r="E578" s="65" t="s">
        <v>31</v>
      </c>
      <c r="F578" s="65" t="s">
        <v>4027</v>
      </c>
      <c r="G578" s="65" t="s">
        <v>4028</v>
      </c>
      <c r="H578" s="65" t="s">
        <v>4029</v>
      </c>
      <c r="I578" s="65" t="s">
        <v>1322</v>
      </c>
      <c r="J578" s="65" t="s">
        <v>36</v>
      </c>
      <c r="K578" s="65" t="s">
        <v>37</v>
      </c>
      <c r="L578" s="65" t="s">
        <v>4030</v>
      </c>
      <c r="M578" s="65" t="s">
        <v>4031</v>
      </c>
      <c r="N578" s="65" t="s">
        <v>4028</v>
      </c>
      <c r="O578" s="65" t="s">
        <v>4032</v>
      </c>
      <c r="P578" s="65" t="s">
        <v>202</v>
      </c>
      <c r="Q578" s="65">
        <v>1</v>
      </c>
      <c r="R578" s="65" t="s">
        <v>42</v>
      </c>
      <c r="S578" s="65" t="s">
        <v>44</v>
      </c>
      <c r="T578" s="65" t="s">
        <v>44</v>
      </c>
      <c r="U578" s="65" t="s">
        <v>71</v>
      </c>
      <c r="V578" s="65" t="s">
        <v>184</v>
      </c>
      <c r="W578" s="65">
        <v>135.59</v>
      </c>
      <c r="X578" s="65" t="s">
        <v>47</v>
      </c>
      <c r="Y578" s="65" t="s">
        <v>48</v>
      </c>
      <c r="Z578" s="65" t="s">
        <v>73</v>
      </c>
      <c r="AA578" s="65">
        <v>999111362</v>
      </c>
      <c r="AB578" s="65" t="s">
        <v>1326</v>
      </c>
    </row>
    <row r="579" spans="1:28" x14ac:dyDescent="0.3">
      <c r="A579" s="1">
        <v>46268</v>
      </c>
      <c r="B579" s="65" t="s">
        <v>2524</v>
      </c>
      <c r="C579" s="65" t="s">
        <v>29</v>
      </c>
      <c r="D579" s="65" t="s">
        <v>2525</v>
      </c>
      <c r="E579" s="65" t="s">
        <v>31</v>
      </c>
      <c r="F579" s="65" t="s">
        <v>2526</v>
      </c>
      <c r="G579" s="65" t="s">
        <v>2527</v>
      </c>
      <c r="H579" s="65" t="s">
        <v>2528</v>
      </c>
      <c r="I579" s="65" t="s">
        <v>477</v>
      </c>
      <c r="J579" s="65" t="s">
        <v>209</v>
      </c>
      <c r="K579" s="65" t="s">
        <v>37</v>
      </c>
      <c r="L579" s="65" t="s">
        <v>2529</v>
      </c>
      <c r="M579" s="65" t="s">
        <v>2530</v>
      </c>
      <c r="N579" s="65" t="s">
        <v>2527</v>
      </c>
      <c r="O579" s="65" t="s">
        <v>2531</v>
      </c>
      <c r="P579" s="65" t="s">
        <v>90</v>
      </c>
      <c r="Q579" s="65">
        <v>1</v>
      </c>
      <c r="R579" s="65" t="s">
        <v>70</v>
      </c>
      <c r="S579" s="65" t="s">
        <v>43</v>
      </c>
      <c r="T579" s="65" t="s">
        <v>44</v>
      </c>
      <c r="U579" s="65" t="s">
        <v>71</v>
      </c>
      <c r="V579" s="65" t="s">
        <v>72</v>
      </c>
      <c r="W579" s="65">
        <v>135.59</v>
      </c>
      <c r="X579" s="65" t="s">
        <v>47</v>
      </c>
      <c r="Y579" s="65" t="s">
        <v>48</v>
      </c>
      <c r="Z579" s="65" t="s">
        <v>73</v>
      </c>
      <c r="AA579" s="65">
        <v>982536223</v>
      </c>
      <c r="AB579" s="65" t="s">
        <v>482</v>
      </c>
    </row>
    <row r="580" spans="1:28" x14ac:dyDescent="0.3">
      <c r="A580" s="1">
        <v>46268</v>
      </c>
      <c r="B580" s="65" t="s">
        <v>2532</v>
      </c>
      <c r="C580" s="65" t="s">
        <v>29</v>
      </c>
      <c r="D580" s="65" t="s">
        <v>2533</v>
      </c>
      <c r="E580" s="65" t="s">
        <v>31</v>
      </c>
      <c r="F580" s="65" t="s">
        <v>2534</v>
      </c>
      <c r="G580" s="65" t="s">
        <v>2535</v>
      </c>
      <c r="H580" s="65" t="s">
        <v>2536</v>
      </c>
      <c r="I580" s="65" t="s">
        <v>762</v>
      </c>
      <c r="J580" s="65" t="s">
        <v>209</v>
      </c>
      <c r="K580" s="65" t="s">
        <v>37</v>
      </c>
      <c r="L580" s="65" t="s">
        <v>2537</v>
      </c>
      <c r="M580" s="65" t="s">
        <v>2538</v>
      </c>
      <c r="N580" s="65" t="s">
        <v>2535</v>
      </c>
      <c r="O580" s="65" t="s">
        <v>2539</v>
      </c>
      <c r="P580" s="65" t="s">
        <v>41</v>
      </c>
      <c r="Q580" s="65">
        <v>1</v>
      </c>
      <c r="R580" s="65" t="s">
        <v>42</v>
      </c>
      <c r="S580" s="65" t="s">
        <v>44</v>
      </c>
      <c r="T580" s="65" t="s">
        <v>44</v>
      </c>
      <c r="U580" s="65" t="s">
        <v>45</v>
      </c>
      <c r="V580" s="65" t="s">
        <v>60</v>
      </c>
      <c r="W580" s="65">
        <v>186.44</v>
      </c>
      <c r="X580" s="65" t="s">
        <v>47</v>
      </c>
      <c r="Y580" s="65" t="s">
        <v>48</v>
      </c>
      <c r="Z580" s="65" t="s">
        <v>49</v>
      </c>
      <c r="AA580" s="65">
        <v>969791876</v>
      </c>
      <c r="AB580" s="65" t="s">
        <v>768</v>
      </c>
    </row>
    <row r="581" spans="1:28" x14ac:dyDescent="0.3">
      <c r="A581" s="1">
        <v>46268</v>
      </c>
      <c r="B581" s="65" t="s">
        <v>2532</v>
      </c>
      <c r="C581" s="65" t="s">
        <v>29</v>
      </c>
      <c r="D581" s="65" t="s">
        <v>2533</v>
      </c>
      <c r="E581" s="65" t="s">
        <v>31</v>
      </c>
      <c r="F581" s="65" t="s">
        <v>2534</v>
      </c>
      <c r="G581" s="65" t="s">
        <v>2535</v>
      </c>
      <c r="H581" s="65" t="s">
        <v>2536</v>
      </c>
      <c r="I581" s="65" t="s">
        <v>762</v>
      </c>
      <c r="J581" s="65" t="s">
        <v>209</v>
      </c>
      <c r="K581" s="65" t="s">
        <v>37</v>
      </c>
      <c r="L581" s="65" t="s">
        <v>2537</v>
      </c>
      <c r="M581" s="65" t="s">
        <v>2538</v>
      </c>
      <c r="N581" s="65" t="s">
        <v>2535</v>
      </c>
      <c r="O581" s="65" t="s">
        <v>2539</v>
      </c>
      <c r="P581" s="65" t="s">
        <v>101</v>
      </c>
      <c r="Q581" s="65">
        <v>1</v>
      </c>
      <c r="R581" s="65" t="s">
        <v>42</v>
      </c>
      <c r="S581" s="65" t="s">
        <v>44</v>
      </c>
      <c r="T581" s="65" t="s">
        <v>44</v>
      </c>
      <c r="U581" s="65" t="s">
        <v>45</v>
      </c>
      <c r="V581" s="65" t="s">
        <v>60</v>
      </c>
      <c r="W581" s="65">
        <v>186.44</v>
      </c>
      <c r="X581" s="65" t="s">
        <v>47</v>
      </c>
      <c r="Y581" s="65" t="s">
        <v>48</v>
      </c>
      <c r="Z581" s="65" t="s">
        <v>49</v>
      </c>
      <c r="AA581" s="65">
        <v>969791876</v>
      </c>
      <c r="AB581" s="65" t="s">
        <v>768</v>
      </c>
    </row>
    <row r="582" spans="1:28" x14ac:dyDescent="0.3">
      <c r="A582" s="1">
        <v>46268</v>
      </c>
      <c r="B582" s="65" t="s">
        <v>2540</v>
      </c>
      <c r="C582" s="65" t="s">
        <v>268</v>
      </c>
      <c r="D582" s="65" t="s">
        <v>2541</v>
      </c>
      <c r="E582" s="65" t="s">
        <v>31</v>
      </c>
      <c r="F582" s="65" t="s">
        <v>2542</v>
      </c>
      <c r="G582" s="65" t="s">
        <v>2154</v>
      </c>
      <c r="H582" s="65" t="s">
        <v>2155</v>
      </c>
      <c r="I582" s="65" t="s">
        <v>774</v>
      </c>
      <c r="J582" s="65" t="s">
        <v>775</v>
      </c>
      <c r="K582" s="65" t="s">
        <v>37</v>
      </c>
      <c r="L582" s="65" t="s">
        <v>2156</v>
      </c>
      <c r="M582" s="65" t="s">
        <v>2157</v>
      </c>
      <c r="N582" s="65" t="s">
        <v>798</v>
      </c>
      <c r="O582" s="65" t="s">
        <v>2543</v>
      </c>
      <c r="P582" s="65" t="s">
        <v>290</v>
      </c>
      <c r="Q582" s="65">
        <v>1</v>
      </c>
      <c r="R582" s="65" t="s">
        <v>42</v>
      </c>
      <c r="S582" s="65" t="s">
        <v>44</v>
      </c>
      <c r="T582" s="65" t="s">
        <v>44</v>
      </c>
      <c r="U582" s="65" t="s">
        <v>45</v>
      </c>
      <c r="V582" s="65" t="s">
        <v>60</v>
      </c>
      <c r="W582" s="65">
        <v>1525.42</v>
      </c>
      <c r="X582" s="65" t="s">
        <v>289</v>
      </c>
      <c r="Y582" s="65" t="s">
        <v>48</v>
      </c>
      <c r="Z582" s="65" t="s">
        <v>49</v>
      </c>
      <c r="AA582" s="65"/>
      <c r="AB582" s="65"/>
    </row>
    <row r="583" spans="1:28" x14ac:dyDescent="0.3">
      <c r="A583" s="1">
        <v>46268</v>
      </c>
      <c r="B583" s="65" t="s">
        <v>2540</v>
      </c>
      <c r="C583" s="65" t="s">
        <v>268</v>
      </c>
      <c r="D583" s="65" t="s">
        <v>2541</v>
      </c>
      <c r="E583" s="65" t="s">
        <v>31</v>
      </c>
      <c r="F583" s="65" t="s">
        <v>2542</v>
      </c>
      <c r="G583" s="65" t="s">
        <v>2154</v>
      </c>
      <c r="H583" s="65" t="s">
        <v>2155</v>
      </c>
      <c r="I583" s="65" t="s">
        <v>774</v>
      </c>
      <c r="J583" s="65" t="s">
        <v>775</v>
      </c>
      <c r="K583" s="65" t="s">
        <v>37</v>
      </c>
      <c r="L583" s="65" t="s">
        <v>2156</v>
      </c>
      <c r="M583" s="65" t="s">
        <v>2157</v>
      </c>
      <c r="N583" s="65" t="s">
        <v>798</v>
      </c>
      <c r="O583" s="65" t="s">
        <v>2543</v>
      </c>
      <c r="P583" s="65" t="s">
        <v>288</v>
      </c>
      <c r="Q583" s="65">
        <v>1</v>
      </c>
      <c r="R583" s="65" t="s">
        <v>42</v>
      </c>
      <c r="S583" s="65" t="s">
        <v>44</v>
      </c>
      <c r="T583" s="65" t="s">
        <v>44</v>
      </c>
      <c r="U583" s="65" t="s">
        <v>45</v>
      </c>
      <c r="V583" s="65" t="s">
        <v>60</v>
      </c>
      <c r="W583" s="65">
        <v>0</v>
      </c>
      <c r="X583" s="65" t="s">
        <v>289</v>
      </c>
      <c r="Y583" s="65" t="s">
        <v>48</v>
      </c>
      <c r="Z583" s="65" t="s">
        <v>49</v>
      </c>
      <c r="AA583" s="65"/>
      <c r="AB583" s="65"/>
    </row>
    <row r="584" spans="1:28" x14ac:dyDescent="0.3">
      <c r="A584" s="1">
        <v>46268</v>
      </c>
      <c r="B584" s="65" t="s">
        <v>4033</v>
      </c>
      <c r="C584" s="65" t="s">
        <v>29</v>
      </c>
      <c r="D584" s="65" t="s">
        <v>4034</v>
      </c>
      <c r="E584" s="65" t="s">
        <v>31</v>
      </c>
      <c r="F584" s="65" t="s">
        <v>4035</v>
      </c>
      <c r="G584" s="65" t="s">
        <v>4036</v>
      </c>
      <c r="H584" s="65" t="s">
        <v>4037</v>
      </c>
      <c r="I584" s="65" t="s">
        <v>715</v>
      </c>
      <c r="J584" s="65" t="s">
        <v>716</v>
      </c>
      <c r="K584" s="65" t="s">
        <v>37</v>
      </c>
      <c r="L584" s="65" t="s">
        <v>4038</v>
      </c>
      <c r="M584" s="65" t="s">
        <v>4039</v>
      </c>
      <c r="N584" s="65" t="s">
        <v>4036</v>
      </c>
      <c r="O584" s="65" t="s">
        <v>4040</v>
      </c>
      <c r="P584" s="65" t="s">
        <v>130</v>
      </c>
      <c r="Q584" s="65">
        <v>1</v>
      </c>
      <c r="R584" s="65" t="s">
        <v>42</v>
      </c>
      <c r="S584" s="65" t="s">
        <v>44</v>
      </c>
      <c r="T584" s="65" t="s">
        <v>44</v>
      </c>
      <c r="U584" s="65" t="s">
        <v>71</v>
      </c>
      <c r="V584" s="65" t="s">
        <v>2054</v>
      </c>
      <c r="W584" s="65">
        <v>152.54</v>
      </c>
      <c r="X584" s="65" t="s">
        <v>47</v>
      </c>
      <c r="Y584" s="65" t="s">
        <v>48</v>
      </c>
      <c r="Z584" s="65" t="s">
        <v>73</v>
      </c>
      <c r="AA584" s="65">
        <v>955356636</v>
      </c>
      <c r="AB584" s="65" t="s">
        <v>720</v>
      </c>
    </row>
    <row r="585" spans="1:28" x14ac:dyDescent="0.3">
      <c r="A585" s="1">
        <v>46269</v>
      </c>
      <c r="B585" s="65" t="s">
        <v>2544</v>
      </c>
      <c r="C585" s="65" t="s">
        <v>268</v>
      </c>
      <c r="D585" s="65" t="s">
        <v>2545</v>
      </c>
      <c r="E585" s="65" t="s">
        <v>31</v>
      </c>
      <c r="F585" s="65" t="s">
        <v>2546</v>
      </c>
      <c r="G585" s="65" t="s">
        <v>2547</v>
      </c>
      <c r="H585" s="65" t="s">
        <v>2548</v>
      </c>
      <c r="I585" s="65" t="s">
        <v>273</v>
      </c>
      <c r="J585" s="65" t="s">
        <v>274</v>
      </c>
      <c r="K585" s="65" t="s">
        <v>37</v>
      </c>
      <c r="L585" s="65" t="s">
        <v>2549</v>
      </c>
      <c r="M585" s="65" t="s">
        <v>2550</v>
      </c>
      <c r="N585" s="65" t="s">
        <v>277</v>
      </c>
      <c r="O585" s="65" t="s">
        <v>2551</v>
      </c>
      <c r="P585" s="65" t="s">
        <v>290</v>
      </c>
      <c r="Q585" s="65">
        <v>1</v>
      </c>
      <c r="R585" s="65" t="s">
        <v>42</v>
      </c>
      <c r="S585" s="65" t="s">
        <v>44</v>
      </c>
      <c r="T585" s="65" t="s">
        <v>44</v>
      </c>
      <c r="U585" s="65" t="s">
        <v>45</v>
      </c>
      <c r="V585" s="65" t="s">
        <v>46</v>
      </c>
      <c r="W585" s="65">
        <v>1050.8499999999999</v>
      </c>
      <c r="X585" s="65" t="s">
        <v>289</v>
      </c>
      <c r="Y585" s="65" t="s">
        <v>48</v>
      </c>
      <c r="Z585" s="65" t="s">
        <v>49</v>
      </c>
      <c r="AA585" s="65">
        <v>950133748</v>
      </c>
      <c r="AB585" s="65" t="s">
        <v>279</v>
      </c>
    </row>
    <row r="586" spans="1:28" x14ac:dyDescent="0.3">
      <c r="A586" s="1">
        <v>46269</v>
      </c>
      <c r="B586" s="65" t="s">
        <v>2544</v>
      </c>
      <c r="C586" s="65" t="s">
        <v>268</v>
      </c>
      <c r="D586" s="65" t="s">
        <v>2545</v>
      </c>
      <c r="E586" s="65" t="s">
        <v>31</v>
      </c>
      <c r="F586" s="65" t="s">
        <v>2546</v>
      </c>
      <c r="G586" s="65" t="s">
        <v>2547</v>
      </c>
      <c r="H586" s="65" t="s">
        <v>2548</v>
      </c>
      <c r="I586" s="65" t="s">
        <v>273</v>
      </c>
      <c r="J586" s="65" t="s">
        <v>274</v>
      </c>
      <c r="K586" s="65" t="s">
        <v>37</v>
      </c>
      <c r="L586" s="65" t="s">
        <v>2549</v>
      </c>
      <c r="M586" s="65" t="s">
        <v>2550</v>
      </c>
      <c r="N586" s="65" t="s">
        <v>277</v>
      </c>
      <c r="O586" s="65" t="s">
        <v>2551</v>
      </c>
      <c r="P586" s="65" t="s">
        <v>288</v>
      </c>
      <c r="Q586" s="65">
        <v>1</v>
      </c>
      <c r="R586" s="65" t="s">
        <v>42</v>
      </c>
      <c r="S586" s="65" t="s">
        <v>44</v>
      </c>
      <c r="T586" s="65" t="s">
        <v>44</v>
      </c>
      <c r="U586" s="65" t="s">
        <v>45</v>
      </c>
      <c r="V586" s="65" t="s">
        <v>46</v>
      </c>
      <c r="W586" s="65">
        <v>0</v>
      </c>
      <c r="X586" s="65" t="s">
        <v>289</v>
      </c>
      <c r="Y586" s="65" t="s">
        <v>48</v>
      </c>
      <c r="Z586" s="65" t="s">
        <v>49</v>
      </c>
      <c r="AA586" s="65">
        <v>950133748</v>
      </c>
      <c r="AB586" s="65" t="s">
        <v>279</v>
      </c>
    </row>
    <row r="587" spans="1:28" x14ac:dyDescent="0.3">
      <c r="A587" s="1">
        <v>46269</v>
      </c>
      <c r="B587" s="65" t="s">
        <v>2552</v>
      </c>
      <c r="C587" s="65" t="s">
        <v>29</v>
      </c>
      <c r="D587" s="65" t="s">
        <v>2553</v>
      </c>
      <c r="E587" s="65" t="s">
        <v>31</v>
      </c>
      <c r="F587" s="65" t="s">
        <v>2554</v>
      </c>
      <c r="G587" s="65" t="s">
        <v>2555</v>
      </c>
      <c r="H587" s="65" t="s">
        <v>2556</v>
      </c>
      <c r="I587" s="65" t="s">
        <v>2557</v>
      </c>
      <c r="J587" s="65" t="s">
        <v>2558</v>
      </c>
      <c r="K587" s="65" t="s">
        <v>37</v>
      </c>
      <c r="L587" s="65" t="s">
        <v>2559</v>
      </c>
      <c r="M587" s="65" t="s">
        <v>2560</v>
      </c>
      <c r="N587" s="65" t="s">
        <v>2555</v>
      </c>
      <c r="O587" s="65" t="s">
        <v>2561</v>
      </c>
      <c r="P587" s="65" t="s">
        <v>1157</v>
      </c>
      <c r="Q587" s="65">
        <v>1</v>
      </c>
      <c r="R587" s="65" t="s">
        <v>42</v>
      </c>
      <c r="S587" s="65" t="s">
        <v>44</v>
      </c>
      <c r="T587" s="65" t="s">
        <v>44</v>
      </c>
      <c r="U587" s="65" t="s">
        <v>45</v>
      </c>
      <c r="V587" s="65" t="s">
        <v>46</v>
      </c>
      <c r="W587" s="65">
        <v>338.98</v>
      </c>
      <c r="X587" s="65" t="s">
        <v>47</v>
      </c>
      <c r="Y587" s="65" t="s">
        <v>48</v>
      </c>
      <c r="Z587" s="65" t="s">
        <v>49</v>
      </c>
      <c r="AA587" s="65">
        <v>949900695</v>
      </c>
      <c r="AB587" s="65" t="s">
        <v>2562</v>
      </c>
    </row>
    <row r="588" spans="1:28" x14ac:dyDescent="0.3">
      <c r="A588" s="1">
        <v>46269</v>
      </c>
      <c r="B588" s="65" t="s">
        <v>2563</v>
      </c>
      <c r="C588" s="65" t="s">
        <v>268</v>
      </c>
      <c r="D588" s="65" t="s">
        <v>2564</v>
      </c>
      <c r="E588" s="65" t="s">
        <v>31</v>
      </c>
      <c r="F588" s="65" t="s">
        <v>2565</v>
      </c>
      <c r="G588" s="65" t="s">
        <v>2185</v>
      </c>
      <c r="H588" s="65" t="s">
        <v>2186</v>
      </c>
      <c r="I588" s="65" t="s">
        <v>273</v>
      </c>
      <c r="J588" s="65" t="s">
        <v>274</v>
      </c>
      <c r="K588" s="65" t="s">
        <v>37</v>
      </c>
      <c r="L588" s="65" t="s">
        <v>2187</v>
      </c>
      <c r="M588" s="65" t="s">
        <v>2188</v>
      </c>
      <c r="N588" s="65" t="s">
        <v>277</v>
      </c>
      <c r="O588" s="65" t="s">
        <v>2566</v>
      </c>
      <c r="P588" s="65" t="s">
        <v>290</v>
      </c>
      <c r="Q588" s="65">
        <v>1</v>
      </c>
      <c r="R588" s="65" t="s">
        <v>42</v>
      </c>
      <c r="S588" s="65" t="s">
        <v>44</v>
      </c>
      <c r="T588" s="65" t="s">
        <v>44</v>
      </c>
      <c r="U588" s="65" t="s">
        <v>45</v>
      </c>
      <c r="V588" s="65" t="s">
        <v>46</v>
      </c>
      <c r="W588" s="65">
        <v>3211.86</v>
      </c>
      <c r="X588" s="65" t="s">
        <v>289</v>
      </c>
      <c r="Y588" s="65" t="s">
        <v>48</v>
      </c>
      <c r="Z588" s="65" t="s">
        <v>49</v>
      </c>
      <c r="AA588" s="65">
        <v>950133748</v>
      </c>
      <c r="AB588" s="65" t="s">
        <v>279</v>
      </c>
    </row>
    <row r="589" spans="1:28" x14ac:dyDescent="0.3">
      <c r="A589" s="1">
        <v>46269</v>
      </c>
      <c r="B589" s="65" t="s">
        <v>2563</v>
      </c>
      <c r="C589" s="65" t="s">
        <v>268</v>
      </c>
      <c r="D589" s="65" t="s">
        <v>2564</v>
      </c>
      <c r="E589" s="65" t="s">
        <v>31</v>
      </c>
      <c r="F589" s="65" t="s">
        <v>2565</v>
      </c>
      <c r="G589" s="65" t="s">
        <v>2185</v>
      </c>
      <c r="H589" s="65" t="s">
        <v>2186</v>
      </c>
      <c r="I589" s="65" t="s">
        <v>273</v>
      </c>
      <c r="J589" s="65" t="s">
        <v>274</v>
      </c>
      <c r="K589" s="65" t="s">
        <v>37</v>
      </c>
      <c r="L589" s="65" t="s">
        <v>2187</v>
      </c>
      <c r="M589" s="65" t="s">
        <v>2188</v>
      </c>
      <c r="N589" s="65" t="s">
        <v>277</v>
      </c>
      <c r="O589" s="65" t="s">
        <v>2566</v>
      </c>
      <c r="P589" s="65" t="s">
        <v>288</v>
      </c>
      <c r="Q589" s="65">
        <v>1</v>
      </c>
      <c r="R589" s="65" t="s">
        <v>42</v>
      </c>
      <c r="S589" s="65" t="s">
        <v>44</v>
      </c>
      <c r="T589" s="65" t="s">
        <v>44</v>
      </c>
      <c r="U589" s="65" t="s">
        <v>45</v>
      </c>
      <c r="V589" s="65" t="s">
        <v>46</v>
      </c>
      <c r="W589" s="65">
        <v>0</v>
      </c>
      <c r="X589" s="65" t="s">
        <v>289</v>
      </c>
      <c r="Y589" s="65" t="s">
        <v>48</v>
      </c>
      <c r="Z589" s="65" t="s">
        <v>49</v>
      </c>
      <c r="AA589" s="65">
        <v>950133748</v>
      </c>
      <c r="AB589" s="65" t="s">
        <v>279</v>
      </c>
    </row>
    <row r="590" spans="1:28" x14ac:dyDescent="0.3">
      <c r="A590" s="1">
        <v>46269</v>
      </c>
      <c r="B590" s="65" t="s">
        <v>2567</v>
      </c>
      <c r="C590" s="65" t="s">
        <v>268</v>
      </c>
      <c r="D590" s="65" t="s">
        <v>2568</v>
      </c>
      <c r="E590" s="65" t="s">
        <v>31</v>
      </c>
      <c r="F590" s="65" t="s">
        <v>2569</v>
      </c>
      <c r="G590" s="65" t="s">
        <v>2547</v>
      </c>
      <c r="H590" s="65" t="s">
        <v>2548</v>
      </c>
      <c r="I590" s="65" t="s">
        <v>273</v>
      </c>
      <c r="J590" s="65" t="s">
        <v>274</v>
      </c>
      <c r="K590" s="65" t="s">
        <v>37</v>
      </c>
      <c r="L590" s="65" t="s">
        <v>2549</v>
      </c>
      <c r="M590" s="65" t="s">
        <v>2550</v>
      </c>
      <c r="N590" s="65" t="s">
        <v>277</v>
      </c>
      <c r="O590" s="65" t="s">
        <v>2570</v>
      </c>
      <c r="P590" s="65" t="s">
        <v>201</v>
      </c>
      <c r="Q590" s="65">
        <v>1</v>
      </c>
      <c r="R590" s="65" t="s">
        <v>42</v>
      </c>
      <c r="S590" s="65" t="s">
        <v>44</v>
      </c>
      <c r="T590" s="65" t="s">
        <v>44</v>
      </c>
      <c r="U590" s="65" t="s">
        <v>45</v>
      </c>
      <c r="V590" s="65" t="s">
        <v>60</v>
      </c>
      <c r="W590" s="65">
        <v>152.54</v>
      </c>
      <c r="X590" s="65" t="s">
        <v>47</v>
      </c>
      <c r="Y590" s="65" t="s">
        <v>48</v>
      </c>
      <c r="Z590" s="65" t="s">
        <v>49</v>
      </c>
      <c r="AA590" s="65">
        <v>950133748</v>
      </c>
      <c r="AB590" s="65" t="s">
        <v>279</v>
      </c>
    </row>
    <row r="591" spans="1:28" x14ac:dyDescent="0.3">
      <c r="A591" s="1">
        <v>46269</v>
      </c>
      <c r="B591" s="65" t="s">
        <v>2571</v>
      </c>
      <c r="C591" s="65" t="s">
        <v>29</v>
      </c>
      <c r="D591" s="65" t="s">
        <v>2572</v>
      </c>
      <c r="E591" s="65" t="s">
        <v>31</v>
      </c>
      <c r="F591" s="65" t="s">
        <v>2573</v>
      </c>
      <c r="G591" s="65" t="s">
        <v>2574</v>
      </c>
      <c r="H591" s="65" t="s">
        <v>2575</v>
      </c>
      <c r="I591" s="65"/>
      <c r="J591" s="65"/>
      <c r="K591" s="65" t="s">
        <v>37</v>
      </c>
      <c r="L591" s="65" t="s">
        <v>2576</v>
      </c>
      <c r="M591" s="65" t="s">
        <v>2577</v>
      </c>
      <c r="N591" s="65" t="s">
        <v>2574</v>
      </c>
      <c r="O591" s="65" t="s">
        <v>2578</v>
      </c>
      <c r="P591" s="65" t="s">
        <v>159</v>
      </c>
      <c r="Q591" s="65">
        <v>1</v>
      </c>
      <c r="R591" s="65" t="s">
        <v>42</v>
      </c>
      <c r="S591" s="65" t="s">
        <v>44</v>
      </c>
      <c r="T591" s="65" t="s">
        <v>44</v>
      </c>
      <c r="U591" s="65" t="s">
        <v>45</v>
      </c>
      <c r="V591" s="65" t="s">
        <v>60</v>
      </c>
      <c r="W591" s="65">
        <v>135.59</v>
      </c>
      <c r="X591" s="65" t="s">
        <v>47</v>
      </c>
      <c r="Y591" s="65" t="s">
        <v>48</v>
      </c>
      <c r="Z591" s="65" t="s">
        <v>49</v>
      </c>
      <c r="AA591" s="65"/>
      <c r="AB591" s="65"/>
    </row>
    <row r="592" spans="1:28" x14ac:dyDescent="0.3">
      <c r="A592" s="1">
        <v>46269</v>
      </c>
      <c r="B592" s="65" t="s">
        <v>4041</v>
      </c>
      <c r="C592" s="65" t="s">
        <v>29</v>
      </c>
      <c r="D592" s="65" t="s">
        <v>4042</v>
      </c>
      <c r="E592" s="65" t="s">
        <v>31</v>
      </c>
      <c r="F592" s="65" t="s">
        <v>4043</v>
      </c>
      <c r="G592" s="65" t="s">
        <v>4044</v>
      </c>
      <c r="H592" s="65" t="s">
        <v>4045</v>
      </c>
      <c r="I592" s="65" t="s">
        <v>762</v>
      </c>
      <c r="J592" s="65" t="s">
        <v>209</v>
      </c>
      <c r="K592" s="65" t="s">
        <v>37</v>
      </c>
      <c r="L592" s="65" t="s">
        <v>4046</v>
      </c>
      <c r="M592" s="65" t="s">
        <v>4047</v>
      </c>
      <c r="N592" s="65" t="s">
        <v>4044</v>
      </c>
      <c r="O592" s="65" t="s">
        <v>4048</v>
      </c>
      <c r="P592" s="65" t="s">
        <v>159</v>
      </c>
      <c r="Q592" s="65">
        <v>1</v>
      </c>
      <c r="R592" s="65" t="s">
        <v>42</v>
      </c>
      <c r="S592" s="65" t="s">
        <v>44</v>
      </c>
      <c r="T592" s="65" t="s">
        <v>44</v>
      </c>
      <c r="U592" s="65" t="s">
        <v>531</v>
      </c>
      <c r="V592" s="65" t="s">
        <v>4049</v>
      </c>
      <c r="W592" s="65">
        <v>135.59</v>
      </c>
      <c r="X592" s="65" t="s">
        <v>47</v>
      </c>
      <c r="Y592" s="65" t="s">
        <v>48</v>
      </c>
      <c r="Z592" s="65" t="s">
        <v>534</v>
      </c>
      <c r="AA592" s="65">
        <v>969791876</v>
      </c>
      <c r="AB592" s="65" t="s">
        <v>768</v>
      </c>
    </row>
    <row r="593" spans="1:28" x14ac:dyDescent="0.3">
      <c r="A593" s="1">
        <v>46270</v>
      </c>
      <c r="B593" s="65" t="s">
        <v>2579</v>
      </c>
      <c r="C593" s="65" t="s">
        <v>268</v>
      </c>
      <c r="D593" s="65" t="s">
        <v>2580</v>
      </c>
      <c r="E593" s="65" t="s">
        <v>31</v>
      </c>
      <c r="F593" s="65" t="s">
        <v>2581</v>
      </c>
      <c r="G593" s="65" t="s">
        <v>2582</v>
      </c>
      <c r="H593" s="65" t="s">
        <v>2583</v>
      </c>
      <c r="I593" s="65" t="s">
        <v>704</v>
      </c>
      <c r="J593" s="65" t="s">
        <v>705</v>
      </c>
      <c r="K593" s="65" t="s">
        <v>37</v>
      </c>
      <c r="L593" s="65" t="s">
        <v>2584</v>
      </c>
      <c r="M593" s="65" t="s">
        <v>2585</v>
      </c>
      <c r="N593" s="65" t="s">
        <v>2586</v>
      </c>
      <c r="O593" s="65" t="s">
        <v>2587</v>
      </c>
      <c r="P593" s="65" t="s">
        <v>101</v>
      </c>
      <c r="Q593" s="65">
        <v>1</v>
      </c>
      <c r="R593" s="65" t="s">
        <v>70</v>
      </c>
      <c r="S593" s="65" t="s">
        <v>43</v>
      </c>
      <c r="T593" s="65" t="s">
        <v>44</v>
      </c>
      <c r="U593" s="65" t="s">
        <v>71</v>
      </c>
      <c r="V593" s="65" t="s">
        <v>72</v>
      </c>
      <c r="W593" s="65">
        <v>169.49</v>
      </c>
      <c r="X593" s="65" t="s">
        <v>47</v>
      </c>
      <c r="Y593" s="65" t="s">
        <v>48</v>
      </c>
      <c r="Z593" s="65" t="s">
        <v>73</v>
      </c>
      <c r="AA593" s="65">
        <v>998418895</v>
      </c>
      <c r="AB593" s="65" t="s">
        <v>709</v>
      </c>
    </row>
    <row r="594" spans="1:28" x14ac:dyDescent="0.3">
      <c r="A594" s="1">
        <v>46270</v>
      </c>
      <c r="B594" s="65" t="s">
        <v>2579</v>
      </c>
      <c r="C594" s="65" t="s">
        <v>268</v>
      </c>
      <c r="D594" s="65" t="s">
        <v>2580</v>
      </c>
      <c r="E594" s="65" t="s">
        <v>31</v>
      </c>
      <c r="F594" s="65" t="s">
        <v>2581</v>
      </c>
      <c r="G594" s="65" t="s">
        <v>2582</v>
      </c>
      <c r="H594" s="65" t="s">
        <v>2583</v>
      </c>
      <c r="I594" s="65" t="s">
        <v>704</v>
      </c>
      <c r="J594" s="65" t="s">
        <v>705</v>
      </c>
      <c r="K594" s="65" t="s">
        <v>37</v>
      </c>
      <c r="L594" s="65" t="s">
        <v>2584</v>
      </c>
      <c r="M594" s="65" t="s">
        <v>2585</v>
      </c>
      <c r="N594" s="65" t="s">
        <v>2586</v>
      </c>
      <c r="O594" s="65" t="s">
        <v>2587</v>
      </c>
      <c r="P594" s="65" t="s">
        <v>41</v>
      </c>
      <c r="Q594" s="65">
        <v>1</v>
      </c>
      <c r="R594" s="65" t="s">
        <v>70</v>
      </c>
      <c r="S594" s="65" t="s">
        <v>43</v>
      </c>
      <c r="T594" s="65" t="s">
        <v>44</v>
      </c>
      <c r="U594" s="65" t="s">
        <v>71</v>
      </c>
      <c r="V594" s="65" t="s">
        <v>72</v>
      </c>
      <c r="W594" s="65">
        <v>169.49</v>
      </c>
      <c r="X594" s="65" t="s">
        <v>47</v>
      </c>
      <c r="Y594" s="65" t="s">
        <v>48</v>
      </c>
      <c r="Z594" s="65" t="s">
        <v>73</v>
      </c>
      <c r="AA594" s="65">
        <v>998418895</v>
      </c>
      <c r="AB594" s="65" t="s">
        <v>709</v>
      </c>
    </row>
    <row r="595" spans="1:28" x14ac:dyDescent="0.3">
      <c r="A595" s="1">
        <v>46270</v>
      </c>
      <c r="B595" s="65" t="s">
        <v>2588</v>
      </c>
      <c r="C595" s="65" t="s">
        <v>268</v>
      </c>
      <c r="D595" s="65" t="s">
        <v>2589</v>
      </c>
      <c r="E595" s="65" t="s">
        <v>31</v>
      </c>
      <c r="F595" s="65" t="s">
        <v>2590</v>
      </c>
      <c r="G595" s="65" t="s">
        <v>2591</v>
      </c>
      <c r="H595" s="65" t="s">
        <v>2592</v>
      </c>
      <c r="I595" s="65" t="s">
        <v>2591</v>
      </c>
      <c r="J595" s="65"/>
      <c r="K595" s="65" t="s">
        <v>37</v>
      </c>
      <c r="L595" s="65" t="s">
        <v>2593</v>
      </c>
      <c r="M595" s="65" t="s">
        <v>2594</v>
      </c>
      <c r="N595" s="65" t="s">
        <v>1111</v>
      </c>
      <c r="O595" s="65" t="s">
        <v>2595</v>
      </c>
      <c r="P595" s="65" t="s">
        <v>213</v>
      </c>
      <c r="Q595" s="65">
        <v>1</v>
      </c>
      <c r="R595" s="65" t="s">
        <v>42</v>
      </c>
      <c r="S595" s="65" t="s">
        <v>44</v>
      </c>
      <c r="T595" s="65" t="s">
        <v>44</v>
      </c>
      <c r="U595" s="65" t="s">
        <v>45</v>
      </c>
      <c r="V595" s="65" t="s">
        <v>60</v>
      </c>
      <c r="W595" s="65">
        <v>254.24</v>
      </c>
      <c r="X595" s="65" t="s">
        <v>61</v>
      </c>
      <c r="Y595" s="65" t="s">
        <v>48</v>
      </c>
      <c r="Z595" s="65" t="s">
        <v>49</v>
      </c>
      <c r="AA595" s="65"/>
      <c r="AB595" s="65"/>
    </row>
    <row r="596" spans="1:28" x14ac:dyDescent="0.3">
      <c r="A596" s="1">
        <v>46270</v>
      </c>
      <c r="B596" s="65" t="s">
        <v>4050</v>
      </c>
      <c r="C596" s="65" t="s">
        <v>29</v>
      </c>
      <c r="D596" s="65" t="s">
        <v>4051</v>
      </c>
      <c r="E596" s="65" t="s">
        <v>31</v>
      </c>
      <c r="F596" s="65" t="s">
        <v>4052</v>
      </c>
      <c r="G596" s="65" t="s">
        <v>4053</v>
      </c>
      <c r="H596" s="65" t="s">
        <v>4054</v>
      </c>
      <c r="I596" s="65" t="s">
        <v>3154</v>
      </c>
      <c r="J596" s="65" t="s">
        <v>3158</v>
      </c>
      <c r="K596" s="65" t="s">
        <v>37</v>
      </c>
      <c r="L596" s="65" t="s">
        <v>4055</v>
      </c>
      <c r="M596" s="65" t="s">
        <v>4056</v>
      </c>
      <c r="N596" s="65" t="s">
        <v>4053</v>
      </c>
      <c r="O596" s="65" t="s">
        <v>4057</v>
      </c>
      <c r="P596" s="65" t="s">
        <v>130</v>
      </c>
      <c r="Q596" s="65">
        <v>1</v>
      </c>
      <c r="R596" s="65" t="s">
        <v>42</v>
      </c>
      <c r="S596" s="65" t="s">
        <v>44</v>
      </c>
      <c r="T596" s="65" t="s">
        <v>44</v>
      </c>
      <c r="U596" s="65" t="s">
        <v>531</v>
      </c>
      <c r="V596" s="65" t="s">
        <v>4049</v>
      </c>
      <c r="W596" s="65">
        <v>152.54</v>
      </c>
      <c r="X596" s="65" t="s">
        <v>47</v>
      </c>
      <c r="Y596" s="65" t="s">
        <v>48</v>
      </c>
      <c r="Z596" s="65" t="s">
        <v>534</v>
      </c>
      <c r="AA596" s="65">
        <v>926323940</v>
      </c>
      <c r="AB596" s="65" t="s">
        <v>3156</v>
      </c>
    </row>
    <row r="597" spans="1:28" x14ac:dyDescent="0.3">
      <c r="A597" s="1">
        <v>46270</v>
      </c>
      <c r="B597" s="65" t="s">
        <v>4058</v>
      </c>
      <c r="C597" s="65" t="s">
        <v>29</v>
      </c>
      <c r="D597" s="65" t="s">
        <v>4059</v>
      </c>
      <c r="E597" s="65" t="s">
        <v>31</v>
      </c>
      <c r="F597" s="65" t="s">
        <v>4060</v>
      </c>
      <c r="G597" s="65" t="s">
        <v>4061</v>
      </c>
      <c r="H597" s="65" t="s">
        <v>4062</v>
      </c>
      <c r="I597" s="65" t="s">
        <v>774</v>
      </c>
      <c r="J597" s="65" t="s">
        <v>775</v>
      </c>
      <c r="K597" s="65" t="s">
        <v>37</v>
      </c>
      <c r="L597" s="65" t="s">
        <v>4063</v>
      </c>
      <c r="M597" s="65" t="s">
        <v>4064</v>
      </c>
      <c r="N597" s="65" t="s">
        <v>4061</v>
      </c>
      <c r="O597" s="65" t="s">
        <v>4065</v>
      </c>
      <c r="P597" s="65" t="s">
        <v>90</v>
      </c>
      <c r="Q597" s="65">
        <v>1</v>
      </c>
      <c r="R597" s="65" t="s">
        <v>42</v>
      </c>
      <c r="S597" s="65" t="s">
        <v>44</v>
      </c>
      <c r="T597" s="65" t="s">
        <v>44</v>
      </c>
      <c r="U597" s="65" t="s">
        <v>531</v>
      </c>
      <c r="V597" s="65" t="s">
        <v>1965</v>
      </c>
      <c r="W597" s="65">
        <v>135.59</v>
      </c>
      <c r="X597" s="65" t="s">
        <v>47</v>
      </c>
      <c r="Y597" s="65" t="s">
        <v>48</v>
      </c>
      <c r="Z597" s="65" t="s">
        <v>534</v>
      </c>
      <c r="AA597" s="65"/>
      <c r="AB597" s="65"/>
    </row>
    <row r="598" spans="1:28" x14ac:dyDescent="0.3">
      <c r="A598" s="1">
        <v>46270</v>
      </c>
      <c r="B598" s="65" t="s">
        <v>4066</v>
      </c>
      <c r="C598" s="65" t="s">
        <v>29</v>
      </c>
      <c r="D598" s="65" t="s">
        <v>4067</v>
      </c>
      <c r="E598" s="65" t="s">
        <v>31</v>
      </c>
      <c r="F598" s="65" t="s">
        <v>4068</v>
      </c>
      <c r="G598" s="65" t="s">
        <v>4069</v>
      </c>
      <c r="H598" s="65" t="s">
        <v>4070</v>
      </c>
      <c r="I598" s="65" t="s">
        <v>1322</v>
      </c>
      <c r="J598" s="65" t="s">
        <v>36</v>
      </c>
      <c r="K598" s="65" t="s">
        <v>37</v>
      </c>
      <c r="L598" s="65" t="s">
        <v>4071</v>
      </c>
      <c r="M598" s="65" t="s">
        <v>4072</v>
      </c>
      <c r="N598" s="65" t="s">
        <v>4069</v>
      </c>
      <c r="O598" s="65" t="s">
        <v>4073</v>
      </c>
      <c r="P598" s="65" t="s">
        <v>159</v>
      </c>
      <c r="Q598" s="65">
        <v>1</v>
      </c>
      <c r="R598" s="65" t="s">
        <v>42</v>
      </c>
      <c r="S598" s="65" t="s">
        <v>44</v>
      </c>
      <c r="T598" s="65" t="s">
        <v>44</v>
      </c>
      <c r="U598" s="65" t="s">
        <v>71</v>
      </c>
      <c r="V598" s="65" t="s">
        <v>184</v>
      </c>
      <c r="W598" s="65">
        <v>135.59</v>
      </c>
      <c r="X598" s="65" t="s">
        <v>47</v>
      </c>
      <c r="Y598" s="65" t="s">
        <v>48</v>
      </c>
      <c r="Z598" s="65" t="s">
        <v>73</v>
      </c>
      <c r="AA598" s="65">
        <v>999111362</v>
      </c>
      <c r="AB598" s="65" t="s">
        <v>1326</v>
      </c>
    </row>
    <row r="599" spans="1:28" x14ac:dyDescent="0.3">
      <c r="A599" s="1">
        <v>46270</v>
      </c>
      <c r="B599" s="65" t="s">
        <v>4074</v>
      </c>
      <c r="C599" s="65" t="s">
        <v>268</v>
      </c>
      <c r="D599" s="65" t="s">
        <v>4075</v>
      </c>
      <c r="E599" s="65" t="s">
        <v>31</v>
      </c>
      <c r="F599" s="65" t="s">
        <v>4076</v>
      </c>
      <c r="G599" s="65" t="s">
        <v>4077</v>
      </c>
      <c r="H599" s="65" t="s">
        <v>4078</v>
      </c>
      <c r="I599" s="65" t="s">
        <v>434</v>
      </c>
      <c r="J599" s="65" t="s">
        <v>435</v>
      </c>
      <c r="K599" s="65" t="s">
        <v>37</v>
      </c>
      <c r="L599" s="65" t="s">
        <v>4079</v>
      </c>
      <c r="M599" s="65" t="s">
        <v>4080</v>
      </c>
      <c r="N599" s="65" t="s">
        <v>4077</v>
      </c>
      <c r="O599" s="65" t="s">
        <v>4081</v>
      </c>
      <c r="P599" s="65" t="s">
        <v>202</v>
      </c>
      <c r="Q599" s="65">
        <v>1</v>
      </c>
      <c r="R599" s="65" t="s">
        <v>42</v>
      </c>
      <c r="S599" s="65" t="s">
        <v>44</v>
      </c>
      <c r="T599" s="65" t="s">
        <v>44</v>
      </c>
      <c r="U599" s="65" t="s">
        <v>531</v>
      </c>
      <c r="V599" s="65" t="s">
        <v>4049</v>
      </c>
      <c r="W599" s="65">
        <v>135.59</v>
      </c>
      <c r="X599" s="65" t="s">
        <v>47</v>
      </c>
      <c r="Y599" s="65" t="s">
        <v>48</v>
      </c>
      <c r="Z599" s="65" t="s">
        <v>534</v>
      </c>
      <c r="AA599" s="65">
        <v>992903716</v>
      </c>
      <c r="AB599" s="65" t="s">
        <v>439</v>
      </c>
    </row>
    <row r="600" spans="1:28" x14ac:dyDescent="0.3">
      <c r="A600" s="1">
        <v>46270</v>
      </c>
      <c r="B600" s="65" t="s">
        <v>4074</v>
      </c>
      <c r="C600" s="65" t="s">
        <v>268</v>
      </c>
      <c r="D600" s="65" t="s">
        <v>4075</v>
      </c>
      <c r="E600" s="65" t="s">
        <v>31</v>
      </c>
      <c r="F600" s="65" t="s">
        <v>4076</v>
      </c>
      <c r="G600" s="65" t="s">
        <v>4077</v>
      </c>
      <c r="H600" s="65" t="s">
        <v>4078</v>
      </c>
      <c r="I600" s="65" t="s">
        <v>434</v>
      </c>
      <c r="J600" s="65" t="s">
        <v>435</v>
      </c>
      <c r="K600" s="65" t="s">
        <v>37</v>
      </c>
      <c r="L600" s="65" t="s">
        <v>4079</v>
      </c>
      <c r="M600" s="65" t="s">
        <v>4080</v>
      </c>
      <c r="N600" s="65" t="s">
        <v>4077</v>
      </c>
      <c r="O600" s="65" t="s">
        <v>4081</v>
      </c>
      <c r="P600" s="65" t="s">
        <v>130</v>
      </c>
      <c r="Q600" s="65">
        <v>1</v>
      </c>
      <c r="R600" s="65" t="s">
        <v>42</v>
      </c>
      <c r="S600" s="65" t="s">
        <v>44</v>
      </c>
      <c r="T600" s="65" t="s">
        <v>44</v>
      </c>
      <c r="U600" s="65" t="s">
        <v>531</v>
      </c>
      <c r="V600" s="65" t="s">
        <v>4049</v>
      </c>
      <c r="W600" s="65">
        <v>152.54</v>
      </c>
      <c r="X600" s="65" t="s">
        <v>47</v>
      </c>
      <c r="Y600" s="65" t="s">
        <v>48</v>
      </c>
      <c r="Z600" s="65" t="s">
        <v>534</v>
      </c>
      <c r="AA600" s="65">
        <v>992903716</v>
      </c>
      <c r="AB600" s="65" t="s">
        <v>439</v>
      </c>
    </row>
    <row r="601" spans="1:28" x14ac:dyDescent="0.3">
      <c r="A601" s="1">
        <v>46272</v>
      </c>
      <c r="B601" s="65" t="s">
        <v>2596</v>
      </c>
      <c r="C601" s="65" t="s">
        <v>29</v>
      </c>
      <c r="D601" s="65" t="s">
        <v>2597</v>
      </c>
      <c r="E601" s="65" t="s">
        <v>31</v>
      </c>
      <c r="F601" s="65" t="s">
        <v>2598</v>
      </c>
      <c r="G601" s="65" t="s">
        <v>2599</v>
      </c>
      <c r="H601" s="65" t="s">
        <v>2600</v>
      </c>
      <c r="I601" s="65" t="s">
        <v>662</v>
      </c>
      <c r="J601" s="65" t="s">
        <v>36</v>
      </c>
      <c r="K601" s="65" t="s">
        <v>37</v>
      </c>
      <c r="L601" s="65" t="s">
        <v>2601</v>
      </c>
      <c r="M601" s="65" t="s">
        <v>2602</v>
      </c>
      <c r="N601" s="65" t="s">
        <v>2599</v>
      </c>
      <c r="O601" s="65" t="s">
        <v>2603</v>
      </c>
      <c r="P601" s="65" t="s">
        <v>90</v>
      </c>
      <c r="Q601" s="65">
        <v>1</v>
      </c>
      <c r="R601" s="65" t="s">
        <v>70</v>
      </c>
      <c r="S601" s="65" t="s">
        <v>43</v>
      </c>
      <c r="T601" s="65" t="s">
        <v>44</v>
      </c>
      <c r="U601" s="65" t="s">
        <v>71</v>
      </c>
      <c r="V601" s="65" t="s">
        <v>184</v>
      </c>
      <c r="W601" s="65">
        <v>135.59</v>
      </c>
      <c r="X601" s="65" t="s">
        <v>47</v>
      </c>
      <c r="Y601" s="65" t="s">
        <v>48</v>
      </c>
      <c r="Z601" s="65" t="s">
        <v>73</v>
      </c>
      <c r="AA601" s="65">
        <v>997145685</v>
      </c>
      <c r="AB601" s="65" t="s">
        <v>666</v>
      </c>
    </row>
    <row r="602" spans="1:28" x14ac:dyDescent="0.3">
      <c r="A602" s="1">
        <v>46272</v>
      </c>
      <c r="B602" s="65" t="s">
        <v>2604</v>
      </c>
      <c r="C602" s="65" t="s">
        <v>29</v>
      </c>
      <c r="D602" s="65" t="s">
        <v>2605</v>
      </c>
      <c r="E602" s="65" t="s">
        <v>31</v>
      </c>
      <c r="F602" s="65" t="s">
        <v>2606</v>
      </c>
      <c r="G602" s="65" t="s">
        <v>2607</v>
      </c>
      <c r="H602" s="65" t="s">
        <v>2608</v>
      </c>
      <c r="I602" s="65" t="s">
        <v>2291</v>
      </c>
      <c r="J602" s="65" t="s">
        <v>1542</v>
      </c>
      <c r="K602" s="65" t="s">
        <v>37</v>
      </c>
      <c r="L602" s="65" t="s">
        <v>2609</v>
      </c>
      <c r="M602" s="65" t="s">
        <v>2610</v>
      </c>
      <c r="N602" s="65" t="s">
        <v>2607</v>
      </c>
      <c r="O602" s="65" t="s">
        <v>2611</v>
      </c>
      <c r="P602" s="65" t="s">
        <v>101</v>
      </c>
      <c r="Q602" s="65">
        <v>1</v>
      </c>
      <c r="R602" s="65" t="s">
        <v>70</v>
      </c>
      <c r="S602" s="65" t="s">
        <v>43</v>
      </c>
      <c r="T602" s="65" t="s">
        <v>44</v>
      </c>
      <c r="U602" s="65" t="s">
        <v>71</v>
      </c>
      <c r="V602" s="65" t="s">
        <v>184</v>
      </c>
      <c r="W602" s="65">
        <v>186.44</v>
      </c>
      <c r="X602" s="65" t="s">
        <v>47</v>
      </c>
      <c r="Y602" s="65" t="s">
        <v>48</v>
      </c>
      <c r="Z602" s="65" t="s">
        <v>73</v>
      </c>
      <c r="AA602" s="65">
        <v>945093839</v>
      </c>
      <c r="AB602" s="65" t="s">
        <v>2295</v>
      </c>
    </row>
    <row r="603" spans="1:28" x14ac:dyDescent="0.3">
      <c r="A603" s="1">
        <v>46272</v>
      </c>
      <c r="B603" s="65" t="s">
        <v>2612</v>
      </c>
      <c r="C603" s="65" t="s">
        <v>29</v>
      </c>
      <c r="D603" s="65" t="s">
        <v>2613</v>
      </c>
      <c r="E603" s="65" t="s">
        <v>31</v>
      </c>
      <c r="F603" s="65" t="s">
        <v>2614</v>
      </c>
      <c r="G603" s="65" t="s">
        <v>2615</v>
      </c>
      <c r="H603" s="65" t="s">
        <v>2616</v>
      </c>
      <c r="I603" s="65" t="s">
        <v>715</v>
      </c>
      <c r="J603" s="65" t="s">
        <v>716</v>
      </c>
      <c r="K603" s="65" t="s">
        <v>37</v>
      </c>
      <c r="L603" s="65" t="s">
        <v>2617</v>
      </c>
      <c r="M603" s="65" t="s">
        <v>2618</v>
      </c>
      <c r="N603" s="65" t="s">
        <v>2615</v>
      </c>
      <c r="O603" s="65" t="s">
        <v>2619</v>
      </c>
      <c r="P603" s="65" t="s">
        <v>101</v>
      </c>
      <c r="Q603" s="65">
        <v>1</v>
      </c>
      <c r="R603" s="65" t="s">
        <v>42</v>
      </c>
      <c r="S603" s="65" t="s">
        <v>44</v>
      </c>
      <c r="T603" s="65" t="s">
        <v>44</v>
      </c>
      <c r="U603" s="65" t="s">
        <v>45</v>
      </c>
      <c r="V603" s="65" t="s">
        <v>60</v>
      </c>
      <c r="W603" s="65">
        <v>186.44</v>
      </c>
      <c r="X603" s="65" t="s">
        <v>47</v>
      </c>
      <c r="Y603" s="65" t="s">
        <v>48</v>
      </c>
      <c r="Z603" s="65" t="s">
        <v>49</v>
      </c>
      <c r="AA603" s="65">
        <v>955356636</v>
      </c>
      <c r="AB603" s="65" t="s">
        <v>720</v>
      </c>
    </row>
    <row r="604" spans="1:28" x14ac:dyDescent="0.3">
      <c r="A604" s="1">
        <v>46272</v>
      </c>
      <c r="B604" s="65" t="s">
        <v>4082</v>
      </c>
      <c r="C604" s="65" t="s">
        <v>29</v>
      </c>
      <c r="D604" s="65" t="s">
        <v>4083</v>
      </c>
      <c r="E604" s="65" t="s">
        <v>31</v>
      </c>
      <c r="F604" s="65" t="s">
        <v>4084</v>
      </c>
      <c r="G604" s="65" t="s">
        <v>4085</v>
      </c>
      <c r="H604" s="65" t="s">
        <v>4086</v>
      </c>
      <c r="I604" s="65" t="s">
        <v>2795</v>
      </c>
      <c r="J604" s="65" t="s">
        <v>209</v>
      </c>
      <c r="K604" s="65" t="s">
        <v>37</v>
      </c>
      <c r="L604" s="65" t="s">
        <v>4087</v>
      </c>
      <c r="M604" s="65" t="s">
        <v>4088</v>
      </c>
      <c r="N604" s="65" t="s">
        <v>4085</v>
      </c>
      <c r="O604" s="65" t="s">
        <v>4089</v>
      </c>
      <c r="P604" s="65" t="s">
        <v>90</v>
      </c>
      <c r="Q604" s="65">
        <v>1</v>
      </c>
      <c r="R604" s="65" t="s">
        <v>42</v>
      </c>
      <c r="S604" s="65" t="s">
        <v>44</v>
      </c>
      <c r="T604" s="65" t="s">
        <v>44</v>
      </c>
      <c r="U604" s="65" t="s">
        <v>71</v>
      </c>
      <c r="V604" s="65" t="s">
        <v>72</v>
      </c>
      <c r="W604" s="65">
        <v>135.59</v>
      </c>
      <c r="X604" s="65" t="s">
        <v>47</v>
      </c>
      <c r="Y604" s="65" t="s">
        <v>48</v>
      </c>
      <c r="Z604" s="65" t="s">
        <v>73</v>
      </c>
      <c r="AA604" s="65">
        <v>994872106</v>
      </c>
      <c r="AB604" s="65" t="s">
        <v>1253</v>
      </c>
    </row>
    <row r="605" spans="1:28" x14ac:dyDescent="0.3">
      <c r="A605" s="1">
        <v>46272</v>
      </c>
      <c r="B605" s="65" t="s">
        <v>4090</v>
      </c>
      <c r="C605" s="65" t="s">
        <v>29</v>
      </c>
      <c r="D605" s="65" t="s">
        <v>4091</v>
      </c>
      <c r="E605" s="65" t="s">
        <v>31</v>
      </c>
      <c r="F605" s="65" t="s">
        <v>4092</v>
      </c>
      <c r="G605" s="65" t="s">
        <v>4093</v>
      </c>
      <c r="H605" s="65" t="s">
        <v>4094</v>
      </c>
      <c r="I605" s="65" t="s">
        <v>3116</v>
      </c>
      <c r="J605" s="65" t="s">
        <v>2558</v>
      </c>
      <c r="K605" s="65" t="s">
        <v>37</v>
      </c>
      <c r="L605" s="65" t="s">
        <v>4095</v>
      </c>
      <c r="M605" s="65" t="s">
        <v>4096</v>
      </c>
      <c r="N605" s="65" t="s">
        <v>4093</v>
      </c>
      <c r="O605" s="65" t="s">
        <v>4097</v>
      </c>
      <c r="P605" s="65" t="s">
        <v>130</v>
      </c>
      <c r="Q605" s="65">
        <v>1</v>
      </c>
      <c r="R605" s="65" t="s">
        <v>42</v>
      </c>
      <c r="S605" s="65" t="s">
        <v>44</v>
      </c>
      <c r="T605" s="65" t="s">
        <v>44</v>
      </c>
      <c r="U605" s="65" t="s">
        <v>45</v>
      </c>
      <c r="V605" s="65" t="s">
        <v>60</v>
      </c>
      <c r="W605" s="65">
        <v>152.54</v>
      </c>
      <c r="X605" s="65" t="s">
        <v>47</v>
      </c>
      <c r="Y605" s="65" t="s">
        <v>48</v>
      </c>
      <c r="Z605" s="65" t="s">
        <v>49</v>
      </c>
      <c r="AA605" s="65">
        <v>973914900</v>
      </c>
      <c r="AB605" s="65" t="s">
        <v>3117</v>
      </c>
    </row>
    <row r="606" spans="1:28" x14ac:dyDescent="0.3">
      <c r="A606" s="1">
        <v>46272</v>
      </c>
      <c r="B606" s="65" t="s">
        <v>4098</v>
      </c>
      <c r="C606" s="65" t="s">
        <v>29</v>
      </c>
      <c r="D606" s="65" t="s">
        <v>4099</v>
      </c>
      <c r="E606" s="65" t="s">
        <v>31</v>
      </c>
      <c r="F606" s="65" t="s">
        <v>4100</v>
      </c>
      <c r="G606" s="65" t="s">
        <v>4101</v>
      </c>
      <c r="H606" s="65" t="s">
        <v>4102</v>
      </c>
      <c r="I606" s="65" t="s">
        <v>774</v>
      </c>
      <c r="J606" s="65" t="s">
        <v>775</v>
      </c>
      <c r="K606" s="65" t="s">
        <v>37</v>
      </c>
      <c r="L606" s="65" t="s">
        <v>4103</v>
      </c>
      <c r="M606" s="65" t="s">
        <v>4104</v>
      </c>
      <c r="N606" s="65" t="s">
        <v>4101</v>
      </c>
      <c r="O606" s="65" t="s">
        <v>4105</v>
      </c>
      <c r="P606" s="65" t="s">
        <v>159</v>
      </c>
      <c r="Q606" s="65">
        <v>1</v>
      </c>
      <c r="R606" s="65" t="s">
        <v>42</v>
      </c>
      <c r="S606" s="65" t="s">
        <v>44</v>
      </c>
      <c r="T606" s="65" t="s">
        <v>44</v>
      </c>
      <c r="U606" s="65" t="s">
        <v>45</v>
      </c>
      <c r="V606" s="65" t="s">
        <v>60</v>
      </c>
      <c r="W606" s="65">
        <v>135.59</v>
      </c>
      <c r="X606" s="65" t="s">
        <v>47</v>
      </c>
      <c r="Y606" s="65" t="s">
        <v>48</v>
      </c>
      <c r="Z606" s="65" t="s">
        <v>49</v>
      </c>
      <c r="AA606" s="65"/>
      <c r="AB606" s="65"/>
    </row>
    <row r="607" spans="1:28" x14ac:dyDescent="0.3">
      <c r="A607" s="1">
        <v>46272</v>
      </c>
      <c r="B607" s="65" t="s">
        <v>4106</v>
      </c>
      <c r="C607" s="65" t="s">
        <v>29</v>
      </c>
      <c r="D607" s="65" t="s">
        <v>4107</v>
      </c>
      <c r="E607" s="65" t="s">
        <v>31</v>
      </c>
      <c r="F607" s="65" t="s">
        <v>4108</v>
      </c>
      <c r="G607" s="65" t="s">
        <v>4109</v>
      </c>
      <c r="H607" s="65" t="s">
        <v>4110</v>
      </c>
      <c r="I607" s="65" t="s">
        <v>704</v>
      </c>
      <c r="J607" s="65" t="s">
        <v>705</v>
      </c>
      <c r="K607" s="65" t="s">
        <v>37</v>
      </c>
      <c r="L607" s="65" t="s">
        <v>4111</v>
      </c>
      <c r="M607" s="65" t="s">
        <v>4112</v>
      </c>
      <c r="N607" s="65" t="s">
        <v>4109</v>
      </c>
      <c r="O607" s="65" t="s">
        <v>4113</v>
      </c>
      <c r="P607" s="65" t="s">
        <v>130</v>
      </c>
      <c r="Q607" s="65">
        <v>1</v>
      </c>
      <c r="R607" s="65" t="s">
        <v>42</v>
      </c>
      <c r="S607" s="65" t="s">
        <v>44</v>
      </c>
      <c r="T607" s="65" t="s">
        <v>44</v>
      </c>
      <c r="U607" s="65" t="s">
        <v>45</v>
      </c>
      <c r="V607" s="65" t="s">
        <v>60</v>
      </c>
      <c r="W607" s="65">
        <v>152.54</v>
      </c>
      <c r="X607" s="65" t="s">
        <v>47</v>
      </c>
      <c r="Y607" s="65" t="s">
        <v>48</v>
      </c>
      <c r="Z607" s="65" t="s">
        <v>49</v>
      </c>
      <c r="AA607" s="65">
        <v>998418895</v>
      </c>
      <c r="AB607" s="65" t="s">
        <v>709</v>
      </c>
    </row>
    <row r="608" spans="1:28" x14ac:dyDescent="0.3">
      <c r="A608" s="1">
        <v>46272</v>
      </c>
      <c r="B608" s="65" t="s">
        <v>4114</v>
      </c>
      <c r="C608" s="65" t="s">
        <v>29</v>
      </c>
      <c r="D608" s="65" t="s">
        <v>4115</v>
      </c>
      <c r="E608" s="65" t="s">
        <v>31</v>
      </c>
      <c r="F608" s="65" t="s">
        <v>4116</v>
      </c>
      <c r="G608" s="65" t="s">
        <v>4117</v>
      </c>
      <c r="H608" s="65" t="s">
        <v>4118</v>
      </c>
      <c r="I608" s="65" t="s">
        <v>662</v>
      </c>
      <c r="J608" s="65" t="s">
        <v>36</v>
      </c>
      <c r="K608" s="65" t="s">
        <v>37</v>
      </c>
      <c r="L608" s="65" t="s">
        <v>4119</v>
      </c>
      <c r="M608" s="65" t="s">
        <v>4120</v>
      </c>
      <c r="N608" s="65" t="s">
        <v>4117</v>
      </c>
      <c r="O608" s="65" t="s">
        <v>4121</v>
      </c>
      <c r="P608" s="65" t="s">
        <v>159</v>
      </c>
      <c r="Q608" s="65">
        <v>1</v>
      </c>
      <c r="R608" s="65" t="s">
        <v>42</v>
      </c>
      <c r="S608" s="65" t="s">
        <v>44</v>
      </c>
      <c r="T608" s="65" t="s">
        <v>44</v>
      </c>
      <c r="U608" s="65" t="s">
        <v>45</v>
      </c>
      <c r="V608" s="65" t="s">
        <v>60</v>
      </c>
      <c r="W608" s="65">
        <v>135.59</v>
      </c>
      <c r="X608" s="65" t="s">
        <v>47</v>
      </c>
      <c r="Y608" s="65" t="s">
        <v>48</v>
      </c>
      <c r="Z608" s="65" t="s">
        <v>49</v>
      </c>
      <c r="AA608" s="65">
        <v>997145685</v>
      </c>
      <c r="AB608" s="65" t="s">
        <v>666</v>
      </c>
    </row>
    <row r="609" spans="1:28" x14ac:dyDescent="0.3">
      <c r="A609" s="1">
        <v>46273</v>
      </c>
      <c r="B609" s="65" t="s">
        <v>2620</v>
      </c>
      <c r="C609" s="65" t="s">
        <v>29</v>
      </c>
      <c r="D609" s="65" t="s">
        <v>2621</v>
      </c>
      <c r="E609" s="65" t="s">
        <v>31</v>
      </c>
      <c r="F609" s="65" t="s">
        <v>2622</v>
      </c>
      <c r="G609" s="65" t="s">
        <v>2623</v>
      </c>
      <c r="H609" s="65" t="s">
        <v>2624</v>
      </c>
      <c r="I609" s="65" t="s">
        <v>662</v>
      </c>
      <c r="J609" s="65" t="s">
        <v>36</v>
      </c>
      <c r="K609" s="65" t="s">
        <v>37</v>
      </c>
      <c r="L609" s="65" t="s">
        <v>2625</v>
      </c>
      <c r="M609" s="65" t="s">
        <v>2626</v>
      </c>
      <c r="N609" s="65" t="s">
        <v>2623</v>
      </c>
      <c r="O609" s="65" t="s">
        <v>2627</v>
      </c>
      <c r="P609" s="65" t="s">
        <v>41</v>
      </c>
      <c r="Q609" s="65">
        <v>1</v>
      </c>
      <c r="R609" s="65" t="s">
        <v>70</v>
      </c>
      <c r="S609" s="65" t="s">
        <v>43</v>
      </c>
      <c r="T609" s="65" t="s">
        <v>44</v>
      </c>
      <c r="U609" s="65" t="s">
        <v>71</v>
      </c>
      <c r="V609" s="65" t="s">
        <v>184</v>
      </c>
      <c r="W609" s="65">
        <v>186.44</v>
      </c>
      <c r="X609" s="65" t="s">
        <v>47</v>
      </c>
      <c r="Y609" s="65" t="s">
        <v>48</v>
      </c>
      <c r="Z609" s="65" t="s">
        <v>73</v>
      </c>
      <c r="AA609" s="65">
        <v>997145685</v>
      </c>
      <c r="AB609" s="65" t="s">
        <v>666</v>
      </c>
    </row>
    <row r="610" spans="1:28" x14ac:dyDescent="0.3">
      <c r="A610" s="1">
        <v>46273</v>
      </c>
      <c r="B610" s="65" t="s">
        <v>4122</v>
      </c>
      <c r="C610" s="65" t="s">
        <v>29</v>
      </c>
      <c r="D610" s="65" t="s">
        <v>4123</v>
      </c>
      <c r="E610" s="65" t="s">
        <v>31</v>
      </c>
      <c r="F610" s="65" t="s">
        <v>4124</v>
      </c>
      <c r="G610" s="65" t="s">
        <v>4125</v>
      </c>
      <c r="H610" s="65" t="s">
        <v>4126</v>
      </c>
      <c r="I610" s="65" t="s">
        <v>715</v>
      </c>
      <c r="J610" s="65" t="s">
        <v>716</v>
      </c>
      <c r="K610" s="65" t="s">
        <v>37</v>
      </c>
      <c r="L610" s="65" t="s">
        <v>4127</v>
      </c>
      <c r="M610" s="65" t="s">
        <v>4128</v>
      </c>
      <c r="N610" s="65" t="s">
        <v>4125</v>
      </c>
      <c r="O610" s="65" t="s">
        <v>4129</v>
      </c>
      <c r="P610" s="65" t="s">
        <v>90</v>
      </c>
      <c r="Q610" s="65">
        <v>1</v>
      </c>
      <c r="R610" s="65" t="s">
        <v>42</v>
      </c>
      <c r="S610" s="65" t="s">
        <v>44</v>
      </c>
      <c r="T610" s="65" t="s">
        <v>44</v>
      </c>
      <c r="U610" s="65" t="s">
        <v>71</v>
      </c>
      <c r="V610" s="65" t="s">
        <v>184</v>
      </c>
      <c r="W610" s="65">
        <v>135.59</v>
      </c>
      <c r="X610" s="65" t="s">
        <v>47</v>
      </c>
      <c r="Y610" s="65" t="s">
        <v>48</v>
      </c>
      <c r="Z610" s="65" t="s">
        <v>73</v>
      </c>
      <c r="AA610" s="65">
        <v>955356636</v>
      </c>
      <c r="AB610" s="65" t="s">
        <v>720</v>
      </c>
    </row>
    <row r="611" spans="1:28" x14ac:dyDescent="0.3">
      <c r="A611" s="1">
        <v>46273</v>
      </c>
      <c r="B611" s="65" t="s">
        <v>4130</v>
      </c>
      <c r="C611" s="65" t="s">
        <v>29</v>
      </c>
      <c r="D611" s="65" t="s">
        <v>4131</v>
      </c>
      <c r="E611" s="65" t="s">
        <v>31</v>
      </c>
      <c r="F611" s="65" t="s">
        <v>4132</v>
      </c>
      <c r="G611" s="65" t="s">
        <v>4133</v>
      </c>
      <c r="H611" s="65" t="s">
        <v>4134</v>
      </c>
      <c r="I611" s="65" t="s">
        <v>3219</v>
      </c>
      <c r="J611" s="65" t="s">
        <v>1542</v>
      </c>
      <c r="K611" s="65" t="s">
        <v>37</v>
      </c>
      <c r="L611" s="65" t="s">
        <v>4135</v>
      </c>
      <c r="M611" s="65" t="s">
        <v>4136</v>
      </c>
      <c r="N611" s="65" t="s">
        <v>4133</v>
      </c>
      <c r="O611" s="65" t="s">
        <v>4137</v>
      </c>
      <c r="P611" s="65" t="s">
        <v>159</v>
      </c>
      <c r="Q611" s="65">
        <v>1</v>
      </c>
      <c r="R611" s="65" t="s">
        <v>42</v>
      </c>
      <c r="S611" s="65" t="s">
        <v>44</v>
      </c>
      <c r="T611" s="65" t="s">
        <v>44</v>
      </c>
      <c r="U611" s="65" t="s">
        <v>45</v>
      </c>
      <c r="V611" s="65" t="s">
        <v>60</v>
      </c>
      <c r="W611" s="65">
        <v>135.59</v>
      </c>
      <c r="X611" s="65" t="s">
        <v>47</v>
      </c>
      <c r="Y611" s="65" t="s">
        <v>48</v>
      </c>
      <c r="Z611" s="65" t="s">
        <v>49</v>
      </c>
      <c r="AA611" s="65">
        <v>995175656</v>
      </c>
      <c r="AB611" s="65" t="s">
        <v>3220</v>
      </c>
    </row>
    <row r="612" spans="1:28" x14ac:dyDescent="0.3">
      <c r="A612" s="1">
        <v>46273</v>
      </c>
      <c r="B612" s="65" t="s">
        <v>4138</v>
      </c>
      <c r="C612" s="65" t="s">
        <v>29</v>
      </c>
      <c r="D612" s="65" t="s">
        <v>4139</v>
      </c>
      <c r="E612" s="65" t="s">
        <v>31</v>
      </c>
      <c r="F612" s="65" t="s">
        <v>4140</v>
      </c>
      <c r="G612" s="65" t="s">
        <v>4141</v>
      </c>
      <c r="H612" s="65" t="s">
        <v>4142</v>
      </c>
      <c r="I612" s="65" t="s">
        <v>762</v>
      </c>
      <c r="J612" s="65" t="s">
        <v>209</v>
      </c>
      <c r="K612" s="65" t="s">
        <v>37</v>
      </c>
      <c r="L612" s="65" t="s">
        <v>4143</v>
      </c>
      <c r="M612" s="65" t="s">
        <v>4144</v>
      </c>
      <c r="N612" s="65" t="s">
        <v>4141</v>
      </c>
      <c r="O612" s="65" t="s">
        <v>4145</v>
      </c>
      <c r="P612" s="65" t="s">
        <v>90</v>
      </c>
      <c r="Q612" s="65">
        <v>1</v>
      </c>
      <c r="R612" s="65" t="s">
        <v>42</v>
      </c>
      <c r="S612" s="65" t="s">
        <v>44</v>
      </c>
      <c r="T612" s="65" t="s">
        <v>44</v>
      </c>
      <c r="U612" s="65" t="s">
        <v>531</v>
      </c>
      <c r="V612" s="65" t="s">
        <v>4049</v>
      </c>
      <c r="W612" s="65">
        <v>135.59</v>
      </c>
      <c r="X612" s="65" t="s">
        <v>47</v>
      </c>
      <c r="Y612" s="65" t="s">
        <v>48</v>
      </c>
      <c r="Z612" s="65" t="s">
        <v>534</v>
      </c>
      <c r="AA612" s="65">
        <v>969791876</v>
      </c>
      <c r="AB612" s="65" t="s">
        <v>768</v>
      </c>
    </row>
    <row r="613" spans="1:28" x14ac:dyDescent="0.3">
      <c r="A613" s="1">
        <v>46273</v>
      </c>
      <c r="B613" s="65" t="s">
        <v>4146</v>
      </c>
      <c r="C613" s="65" t="s">
        <v>29</v>
      </c>
      <c r="D613" s="65" t="s">
        <v>4147</v>
      </c>
      <c r="E613" s="65" t="s">
        <v>31</v>
      </c>
      <c r="F613" s="65" t="s">
        <v>4148</v>
      </c>
      <c r="G613" s="65" t="s">
        <v>4149</v>
      </c>
      <c r="H613" s="65" t="s">
        <v>4150</v>
      </c>
      <c r="I613" s="65" t="s">
        <v>1595</v>
      </c>
      <c r="J613" s="65" t="s">
        <v>1596</v>
      </c>
      <c r="K613" s="65" t="s">
        <v>37</v>
      </c>
      <c r="L613" s="65" t="s">
        <v>4151</v>
      </c>
      <c r="M613" s="65" t="s">
        <v>4152</v>
      </c>
      <c r="N613" s="65" t="s">
        <v>4149</v>
      </c>
      <c r="O613" s="65" t="s">
        <v>4153</v>
      </c>
      <c r="P613" s="65" t="s">
        <v>130</v>
      </c>
      <c r="Q613" s="65">
        <v>1</v>
      </c>
      <c r="R613" s="65" t="s">
        <v>42</v>
      </c>
      <c r="S613" s="65" t="s">
        <v>44</v>
      </c>
      <c r="T613" s="65" t="s">
        <v>44</v>
      </c>
      <c r="U613" s="65" t="s">
        <v>71</v>
      </c>
      <c r="V613" s="65" t="s">
        <v>184</v>
      </c>
      <c r="W613" s="65">
        <v>152.54</v>
      </c>
      <c r="X613" s="65" t="s">
        <v>47</v>
      </c>
      <c r="Y613" s="65" t="s">
        <v>48</v>
      </c>
      <c r="Z613" s="65" t="s">
        <v>73</v>
      </c>
      <c r="AA613" s="65">
        <v>980543337</v>
      </c>
      <c r="AB613" s="65" t="s">
        <v>1600</v>
      </c>
    </row>
    <row r="614" spans="1:28" x14ac:dyDescent="0.3">
      <c r="A614" s="1">
        <v>46273</v>
      </c>
      <c r="B614" s="65" t="s">
        <v>4154</v>
      </c>
      <c r="C614" s="65" t="s">
        <v>29</v>
      </c>
      <c r="D614" s="65" t="s">
        <v>4155</v>
      </c>
      <c r="E614" s="65" t="s">
        <v>31</v>
      </c>
      <c r="F614" s="65" t="s">
        <v>4156</v>
      </c>
      <c r="G614" s="65" t="s">
        <v>4141</v>
      </c>
      <c r="H614" s="65" t="s">
        <v>4142</v>
      </c>
      <c r="I614" s="65" t="s">
        <v>3537</v>
      </c>
      <c r="J614" s="65" t="s">
        <v>209</v>
      </c>
      <c r="K614" s="65" t="s">
        <v>37</v>
      </c>
      <c r="L614" s="65" t="s">
        <v>4143</v>
      </c>
      <c r="M614" s="65" t="s">
        <v>4144</v>
      </c>
      <c r="N614" s="65" t="s">
        <v>4141</v>
      </c>
      <c r="O614" s="65" t="s">
        <v>4145</v>
      </c>
      <c r="P614" s="65" t="s">
        <v>1157</v>
      </c>
      <c r="Q614" s="65">
        <v>1</v>
      </c>
      <c r="R614" s="65" t="s">
        <v>42</v>
      </c>
      <c r="S614" s="65" t="s">
        <v>44</v>
      </c>
      <c r="T614" s="65" t="s">
        <v>44</v>
      </c>
      <c r="U614" s="65" t="s">
        <v>531</v>
      </c>
      <c r="V614" s="65" t="s">
        <v>4049</v>
      </c>
      <c r="W614" s="65">
        <v>338.98</v>
      </c>
      <c r="X614" s="65" t="s">
        <v>47</v>
      </c>
      <c r="Y614" s="65" t="s">
        <v>48</v>
      </c>
      <c r="Z614" s="65" t="s">
        <v>534</v>
      </c>
      <c r="AA614" s="65">
        <v>997061004</v>
      </c>
      <c r="AB614" s="65"/>
    </row>
    <row r="615" spans="1:28" x14ac:dyDescent="0.3">
      <c r="A615" s="1">
        <v>46274</v>
      </c>
      <c r="B615" s="65" t="s">
        <v>2628</v>
      </c>
      <c r="C615" s="65" t="s">
        <v>29</v>
      </c>
      <c r="D615" s="65" t="s">
        <v>2629</v>
      </c>
      <c r="E615" s="65" t="s">
        <v>31</v>
      </c>
      <c r="F615" s="65" t="s">
        <v>2630</v>
      </c>
      <c r="G615" s="65" t="s">
        <v>2631</v>
      </c>
      <c r="H615" s="65" t="s">
        <v>2632</v>
      </c>
      <c r="I615" s="65" t="s">
        <v>3030</v>
      </c>
      <c r="J615" s="65" t="s">
        <v>775</v>
      </c>
      <c r="K615" s="65" t="s">
        <v>37</v>
      </c>
      <c r="L615" s="65" t="s">
        <v>2633</v>
      </c>
      <c r="M615" s="65" t="s">
        <v>2634</v>
      </c>
      <c r="N615" s="65" t="s">
        <v>2631</v>
      </c>
      <c r="O615" s="65" t="s">
        <v>2635</v>
      </c>
      <c r="P615" s="65" t="s">
        <v>41</v>
      </c>
      <c r="Q615" s="65">
        <v>1</v>
      </c>
      <c r="R615" s="65" t="s">
        <v>42</v>
      </c>
      <c r="S615" s="65" t="s">
        <v>44</v>
      </c>
      <c r="T615" s="65" t="s">
        <v>44</v>
      </c>
      <c r="U615" s="65" t="s">
        <v>45</v>
      </c>
      <c r="V615" s="65" t="s">
        <v>60</v>
      </c>
      <c r="W615" s="65">
        <v>186.44</v>
      </c>
      <c r="X615" s="65" t="s">
        <v>47</v>
      </c>
      <c r="Y615" s="65" t="s">
        <v>48</v>
      </c>
      <c r="Z615" s="65" t="s">
        <v>49</v>
      </c>
      <c r="AA615" s="65">
        <v>937242809</v>
      </c>
      <c r="AB615" s="65" t="s">
        <v>3031</v>
      </c>
    </row>
    <row r="616" spans="1:28" x14ac:dyDescent="0.3">
      <c r="A616" s="1">
        <v>46274</v>
      </c>
      <c r="B616" s="65" t="s">
        <v>2628</v>
      </c>
      <c r="C616" s="65" t="s">
        <v>29</v>
      </c>
      <c r="D616" s="65" t="s">
        <v>2629</v>
      </c>
      <c r="E616" s="65" t="s">
        <v>31</v>
      </c>
      <c r="F616" s="65" t="s">
        <v>2630</v>
      </c>
      <c r="G616" s="65" t="s">
        <v>2631</v>
      </c>
      <c r="H616" s="65" t="s">
        <v>2632</v>
      </c>
      <c r="I616" s="65" t="s">
        <v>3030</v>
      </c>
      <c r="J616" s="65" t="s">
        <v>775</v>
      </c>
      <c r="K616" s="65" t="s">
        <v>37</v>
      </c>
      <c r="L616" s="65" t="s">
        <v>2633</v>
      </c>
      <c r="M616" s="65" t="s">
        <v>2634</v>
      </c>
      <c r="N616" s="65" t="s">
        <v>2631</v>
      </c>
      <c r="O616" s="65" t="s">
        <v>2635</v>
      </c>
      <c r="P616" s="65" t="s">
        <v>101</v>
      </c>
      <c r="Q616" s="65">
        <v>1</v>
      </c>
      <c r="R616" s="65" t="s">
        <v>42</v>
      </c>
      <c r="S616" s="65" t="s">
        <v>44</v>
      </c>
      <c r="T616" s="65" t="s">
        <v>44</v>
      </c>
      <c r="U616" s="65" t="s">
        <v>45</v>
      </c>
      <c r="V616" s="65" t="s">
        <v>60</v>
      </c>
      <c r="W616" s="65">
        <v>186.44</v>
      </c>
      <c r="X616" s="65" t="s">
        <v>47</v>
      </c>
      <c r="Y616" s="65" t="s">
        <v>48</v>
      </c>
      <c r="Z616" s="65" t="s">
        <v>49</v>
      </c>
      <c r="AA616" s="65">
        <v>937242809</v>
      </c>
      <c r="AB616" s="65" t="s">
        <v>3031</v>
      </c>
    </row>
    <row r="617" spans="1:28" x14ac:dyDescent="0.3">
      <c r="A617" s="1">
        <v>46274</v>
      </c>
      <c r="B617" s="65" t="s">
        <v>2636</v>
      </c>
      <c r="C617" s="65" t="s">
        <v>29</v>
      </c>
      <c r="D617" s="65" t="s">
        <v>2637</v>
      </c>
      <c r="E617" s="65" t="s">
        <v>31</v>
      </c>
      <c r="F617" s="65" t="s">
        <v>2638</v>
      </c>
      <c r="G617" s="65" t="s">
        <v>1615</v>
      </c>
      <c r="H617" s="65" t="s">
        <v>2494</v>
      </c>
      <c r="I617" s="65" t="s">
        <v>1615</v>
      </c>
      <c r="J617" s="65" t="s">
        <v>1616</v>
      </c>
      <c r="K617" s="65" t="s">
        <v>37</v>
      </c>
      <c r="L617" s="65" t="s">
        <v>1617</v>
      </c>
      <c r="M617" s="65" t="s">
        <v>1618</v>
      </c>
      <c r="N617" s="65" t="s">
        <v>1615</v>
      </c>
      <c r="O617" s="65" t="s">
        <v>2639</v>
      </c>
      <c r="P617" s="65" t="s">
        <v>1215</v>
      </c>
      <c r="Q617" s="65">
        <v>1</v>
      </c>
      <c r="R617" s="65" t="s">
        <v>70</v>
      </c>
      <c r="S617" s="65" t="s">
        <v>43</v>
      </c>
      <c r="T617" s="65" t="s">
        <v>44</v>
      </c>
      <c r="U617" s="65" t="s">
        <v>71</v>
      </c>
      <c r="V617" s="65" t="s">
        <v>184</v>
      </c>
      <c r="W617" s="65">
        <v>139.83000000000001</v>
      </c>
      <c r="X617" s="65" t="s">
        <v>289</v>
      </c>
      <c r="Y617" s="65" t="s">
        <v>48</v>
      </c>
      <c r="Z617" s="65" t="s">
        <v>73</v>
      </c>
      <c r="AA617" s="65">
        <v>950418896</v>
      </c>
      <c r="AB617" s="65"/>
    </row>
    <row r="618" spans="1:28" x14ac:dyDescent="0.3">
      <c r="A618" s="1">
        <v>46274</v>
      </c>
      <c r="B618" s="65" t="s">
        <v>2636</v>
      </c>
      <c r="C618" s="65" t="s">
        <v>29</v>
      </c>
      <c r="D618" s="65" t="s">
        <v>2637</v>
      </c>
      <c r="E618" s="65" t="s">
        <v>31</v>
      </c>
      <c r="F618" s="65" t="s">
        <v>2638</v>
      </c>
      <c r="G618" s="65" t="s">
        <v>1615</v>
      </c>
      <c r="H618" s="65" t="s">
        <v>2494</v>
      </c>
      <c r="I618" s="65" t="s">
        <v>1615</v>
      </c>
      <c r="J618" s="65" t="s">
        <v>1616</v>
      </c>
      <c r="K618" s="65" t="s">
        <v>37</v>
      </c>
      <c r="L618" s="65" t="s">
        <v>1617</v>
      </c>
      <c r="M618" s="65" t="s">
        <v>1618</v>
      </c>
      <c r="N618" s="65" t="s">
        <v>1615</v>
      </c>
      <c r="O618" s="65" t="s">
        <v>2639</v>
      </c>
      <c r="P618" s="65" t="s">
        <v>288</v>
      </c>
      <c r="Q618" s="65">
        <v>1</v>
      </c>
      <c r="R618" s="65" t="s">
        <v>70</v>
      </c>
      <c r="S618" s="65" t="s">
        <v>43</v>
      </c>
      <c r="T618" s="65" t="s">
        <v>44</v>
      </c>
      <c r="U618" s="65" t="s">
        <v>71</v>
      </c>
      <c r="V618" s="65" t="s">
        <v>184</v>
      </c>
      <c r="W618" s="65">
        <v>0</v>
      </c>
      <c r="X618" s="65" t="s">
        <v>289</v>
      </c>
      <c r="Y618" s="65" t="s">
        <v>48</v>
      </c>
      <c r="Z618" s="65" t="s">
        <v>73</v>
      </c>
      <c r="AA618" s="65">
        <v>950418896</v>
      </c>
      <c r="AB618" s="65"/>
    </row>
    <row r="619" spans="1:28" x14ac:dyDescent="0.3">
      <c r="A619" s="1">
        <v>46274</v>
      </c>
      <c r="B619" s="65" t="s">
        <v>2640</v>
      </c>
      <c r="C619" s="65" t="s">
        <v>29</v>
      </c>
      <c r="D619" s="65" t="s">
        <v>2641</v>
      </c>
      <c r="E619" s="65" t="s">
        <v>31</v>
      </c>
      <c r="F619" s="65" t="s">
        <v>2642</v>
      </c>
      <c r="G619" s="65" t="s">
        <v>1248</v>
      </c>
      <c r="H619" s="65" t="s">
        <v>1249</v>
      </c>
      <c r="I619" s="65" t="s">
        <v>2795</v>
      </c>
      <c r="J619" s="65" t="s">
        <v>209</v>
      </c>
      <c r="K619" s="65" t="s">
        <v>37</v>
      </c>
      <c r="L619" s="65" t="s">
        <v>1250</v>
      </c>
      <c r="M619" s="65" t="s">
        <v>608</v>
      </c>
      <c r="N619" s="65" t="s">
        <v>1251</v>
      </c>
      <c r="O619" s="65" t="s">
        <v>2643</v>
      </c>
      <c r="P619" s="65" t="s">
        <v>288</v>
      </c>
      <c r="Q619" s="65">
        <v>1</v>
      </c>
      <c r="R619" s="65" t="s">
        <v>42</v>
      </c>
      <c r="S619" s="65" t="s">
        <v>44</v>
      </c>
      <c r="T619" s="65" t="s">
        <v>44</v>
      </c>
      <c r="U619" s="65" t="s">
        <v>45</v>
      </c>
      <c r="V619" s="65" t="s">
        <v>46</v>
      </c>
      <c r="W619" s="65">
        <v>0</v>
      </c>
      <c r="X619" s="65" t="s">
        <v>289</v>
      </c>
      <c r="Y619" s="65" t="s">
        <v>48</v>
      </c>
      <c r="Z619" s="65" t="s">
        <v>49</v>
      </c>
      <c r="AA619" s="65">
        <v>994872106</v>
      </c>
      <c r="AB619" s="65" t="s">
        <v>1253</v>
      </c>
    </row>
    <row r="620" spans="1:28" x14ac:dyDescent="0.3">
      <c r="A620" s="1">
        <v>46274</v>
      </c>
      <c r="B620" s="65" t="s">
        <v>2640</v>
      </c>
      <c r="C620" s="65" t="s">
        <v>29</v>
      </c>
      <c r="D620" s="65" t="s">
        <v>2641</v>
      </c>
      <c r="E620" s="65" t="s">
        <v>31</v>
      </c>
      <c r="F620" s="65" t="s">
        <v>2642</v>
      </c>
      <c r="G620" s="65" t="s">
        <v>1248</v>
      </c>
      <c r="H620" s="65" t="s">
        <v>1249</v>
      </c>
      <c r="I620" s="65" t="s">
        <v>2795</v>
      </c>
      <c r="J620" s="65" t="s">
        <v>209</v>
      </c>
      <c r="K620" s="65" t="s">
        <v>37</v>
      </c>
      <c r="L620" s="65" t="s">
        <v>1250</v>
      </c>
      <c r="M620" s="65" t="s">
        <v>608</v>
      </c>
      <c r="N620" s="65" t="s">
        <v>1251</v>
      </c>
      <c r="O620" s="65" t="s">
        <v>2643</v>
      </c>
      <c r="P620" s="65" t="s">
        <v>290</v>
      </c>
      <c r="Q620" s="65">
        <v>1</v>
      </c>
      <c r="R620" s="65" t="s">
        <v>42</v>
      </c>
      <c r="S620" s="65" t="s">
        <v>44</v>
      </c>
      <c r="T620" s="65" t="s">
        <v>44</v>
      </c>
      <c r="U620" s="65" t="s">
        <v>45</v>
      </c>
      <c r="V620" s="65" t="s">
        <v>46</v>
      </c>
      <c r="W620" s="65">
        <v>762.71</v>
      </c>
      <c r="X620" s="65" t="s">
        <v>289</v>
      </c>
      <c r="Y620" s="65" t="s">
        <v>48</v>
      </c>
      <c r="Z620" s="65" t="s">
        <v>49</v>
      </c>
      <c r="AA620" s="65">
        <v>994872106</v>
      </c>
      <c r="AB620" s="65" t="s">
        <v>1253</v>
      </c>
    </row>
    <row r="621" spans="1:28" x14ac:dyDescent="0.3">
      <c r="A621" s="1">
        <v>46274</v>
      </c>
      <c r="B621" s="65" t="s">
        <v>2644</v>
      </c>
      <c r="C621" s="65" t="s">
        <v>268</v>
      </c>
      <c r="D621" s="65" t="s">
        <v>2645</v>
      </c>
      <c r="E621" s="65" t="s">
        <v>31</v>
      </c>
      <c r="F621" s="65" t="s">
        <v>2646</v>
      </c>
      <c r="G621" s="65" t="s">
        <v>2647</v>
      </c>
      <c r="H621" s="65" t="s">
        <v>2648</v>
      </c>
      <c r="I621" s="65" t="s">
        <v>2795</v>
      </c>
      <c r="J621" s="65" t="s">
        <v>209</v>
      </c>
      <c r="K621" s="65" t="s">
        <v>37</v>
      </c>
      <c r="L621" s="65" t="s">
        <v>2649</v>
      </c>
      <c r="M621" s="65" t="s">
        <v>608</v>
      </c>
      <c r="N621" s="65" t="s">
        <v>1251</v>
      </c>
      <c r="O621" s="65" t="s">
        <v>2650</v>
      </c>
      <c r="P621" s="65" t="s">
        <v>290</v>
      </c>
      <c r="Q621" s="65">
        <v>1</v>
      </c>
      <c r="R621" s="65" t="s">
        <v>42</v>
      </c>
      <c r="S621" s="65" t="s">
        <v>44</v>
      </c>
      <c r="T621" s="65" t="s">
        <v>44</v>
      </c>
      <c r="U621" s="65" t="s">
        <v>45</v>
      </c>
      <c r="V621" s="65" t="s">
        <v>46</v>
      </c>
      <c r="W621" s="65">
        <v>847.46</v>
      </c>
      <c r="X621" s="65" t="s">
        <v>289</v>
      </c>
      <c r="Y621" s="65" t="s">
        <v>48</v>
      </c>
      <c r="Z621" s="65" t="s">
        <v>49</v>
      </c>
      <c r="AA621" s="65">
        <v>994872106</v>
      </c>
      <c r="AB621" s="65" t="s">
        <v>1253</v>
      </c>
    </row>
    <row r="622" spans="1:28" x14ac:dyDescent="0.3">
      <c r="A622" s="1">
        <v>46274</v>
      </c>
      <c r="B622" s="65" t="s">
        <v>2644</v>
      </c>
      <c r="C622" s="65" t="s">
        <v>268</v>
      </c>
      <c r="D622" s="65" t="s">
        <v>2645</v>
      </c>
      <c r="E622" s="65" t="s">
        <v>31</v>
      </c>
      <c r="F622" s="65" t="s">
        <v>2646</v>
      </c>
      <c r="G622" s="65" t="s">
        <v>2647</v>
      </c>
      <c r="H622" s="65" t="s">
        <v>2648</v>
      </c>
      <c r="I622" s="65" t="s">
        <v>2795</v>
      </c>
      <c r="J622" s="65" t="s">
        <v>209</v>
      </c>
      <c r="K622" s="65" t="s">
        <v>37</v>
      </c>
      <c r="L622" s="65" t="s">
        <v>2649</v>
      </c>
      <c r="M622" s="65" t="s">
        <v>608</v>
      </c>
      <c r="N622" s="65" t="s">
        <v>1251</v>
      </c>
      <c r="O622" s="65" t="s">
        <v>2650</v>
      </c>
      <c r="P622" s="65" t="s">
        <v>288</v>
      </c>
      <c r="Q622" s="65">
        <v>1</v>
      </c>
      <c r="R622" s="65" t="s">
        <v>42</v>
      </c>
      <c r="S622" s="65" t="s">
        <v>44</v>
      </c>
      <c r="T622" s="65" t="s">
        <v>44</v>
      </c>
      <c r="U622" s="65" t="s">
        <v>45</v>
      </c>
      <c r="V622" s="65" t="s">
        <v>46</v>
      </c>
      <c r="W622" s="65">
        <v>0</v>
      </c>
      <c r="X622" s="65" t="s">
        <v>289</v>
      </c>
      <c r="Y622" s="65" t="s">
        <v>48</v>
      </c>
      <c r="Z622" s="65" t="s">
        <v>49</v>
      </c>
      <c r="AA622" s="65">
        <v>994872106</v>
      </c>
      <c r="AB622" s="65" t="s">
        <v>1253</v>
      </c>
    </row>
    <row r="623" spans="1:28" x14ac:dyDescent="0.3">
      <c r="A623" s="1">
        <v>46274</v>
      </c>
      <c r="B623" s="65" t="s">
        <v>4157</v>
      </c>
      <c r="C623" s="65" t="s">
        <v>29</v>
      </c>
      <c r="D623" s="65" t="s">
        <v>4158</v>
      </c>
      <c r="E623" s="65" t="s">
        <v>31</v>
      </c>
      <c r="F623" s="65" t="s">
        <v>4159</v>
      </c>
      <c r="G623" s="65" t="s">
        <v>4160</v>
      </c>
      <c r="H623" s="65" t="s">
        <v>4161</v>
      </c>
      <c r="I623" s="65" t="s">
        <v>1873</v>
      </c>
      <c r="J623" s="65"/>
      <c r="K623" s="65" t="s">
        <v>37</v>
      </c>
      <c r="L623" s="65" t="s">
        <v>4162</v>
      </c>
      <c r="M623" s="65" t="s">
        <v>4163</v>
      </c>
      <c r="N623" s="65" t="s">
        <v>4160</v>
      </c>
      <c r="O623" s="65" t="s">
        <v>4164</v>
      </c>
      <c r="P623" s="65" t="s">
        <v>90</v>
      </c>
      <c r="Q623" s="65">
        <v>1</v>
      </c>
      <c r="R623" s="65" t="s">
        <v>42</v>
      </c>
      <c r="S623" s="65" t="s">
        <v>44</v>
      </c>
      <c r="T623" s="65" t="s">
        <v>44</v>
      </c>
      <c r="U623" s="65" t="s">
        <v>71</v>
      </c>
      <c r="V623" s="65" t="s">
        <v>72</v>
      </c>
      <c r="W623" s="65">
        <v>135.59</v>
      </c>
      <c r="X623" s="65" t="s">
        <v>47</v>
      </c>
      <c r="Y623" s="65" t="s">
        <v>48</v>
      </c>
      <c r="Z623" s="65" t="s">
        <v>73</v>
      </c>
      <c r="AA623" s="65"/>
      <c r="AB623" s="65"/>
    </row>
    <row r="624" spans="1:28" x14ac:dyDescent="0.3">
      <c r="A624" s="1">
        <v>46274</v>
      </c>
      <c r="B624" s="65" t="s">
        <v>4165</v>
      </c>
      <c r="C624" s="65" t="s">
        <v>29</v>
      </c>
      <c r="D624" s="65" t="s">
        <v>4166</v>
      </c>
      <c r="E624" s="65" t="s">
        <v>31</v>
      </c>
      <c r="F624" s="65" t="s">
        <v>4167</v>
      </c>
      <c r="G624" s="65" t="s">
        <v>4168</v>
      </c>
      <c r="H624" s="65" t="s">
        <v>4169</v>
      </c>
      <c r="I624" s="65" t="s">
        <v>1108</v>
      </c>
      <c r="J624" s="65" t="s">
        <v>209</v>
      </c>
      <c r="K624" s="65" t="s">
        <v>37</v>
      </c>
      <c r="L624" s="65" t="s">
        <v>4170</v>
      </c>
      <c r="M624" s="65" t="s">
        <v>4171</v>
      </c>
      <c r="N624" s="65" t="s">
        <v>4168</v>
      </c>
      <c r="O624" s="65" t="s">
        <v>4172</v>
      </c>
      <c r="P624" s="65" t="s">
        <v>90</v>
      </c>
      <c r="Q624" s="65">
        <v>1</v>
      </c>
      <c r="R624" s="65" t="s">
        <v>42</v>
      </c>
      <c r="S624" s="65" t="s">
        <v>44</v>
      </c>
      <c r="T624" s="65" t="s">
        <v>44</v>
      </c>
      <c r="U624" s="65" t="s">
        <v>531</v>
      </c>
      <c r="V624" s="65" t="s">
        <v>4049</v>
      </c>
      <c r="W624" s="65">
        <v>135.59</v>
      </c>
      <c r="X624" s="65" t="s">
        <v>47</v>
      </c>
      <c r="Y624" s="65" t="s">
        <v>48</v>
      </c>
      <c r="Z624" s="65" t="s">
        <v>534</v>
      </c>
      <c r="AA624" s="65">
        <v>970582106</v>
      </c>
      <c r="AB624" s="65" t="s">
        <v>1113</v>
      </c>
    </row>
    <row r="625" spans="1:28" x14ac:dyDescent="0.3">
      <c r="A625" s="1">
        <v>46274</v>
      </c>
      <c r="B625" s="65" t="s">
        <v>4173</v>
      </c>
      <c r="C625" s="65" t="s">
        <v>29</v>
      </c>
      <c r="D625" s="65" t="s">
        <v>4174</v>
      </c>
      <c r="E625" s="65" t="s">
        <v>31</v>
      </c>
      <c r="F625" s="65" t="s">
        <v>4175</v>
      </c>
      <c r="G625" s="65" t="s">
        <v>4176</v>
      </c>
      <c r="H625" s="65" t="s">
        <v>4177</v>
      </c>
      <c r="I625" s="65" t="s">
        <v>1873</v>
      </c>
      <c r="J625" s="65"/>
      <c r="K625" s="65" t="s">
        <v>37</v>
      </c>
      <c r="L625" s="65" t="s">
        <v>4178</v>
      </c>
      <c r="M625" s="65" t="s">
        <v>4179</v>
      </c>
      <c r="N625" s="65" t="s">
        <v>4176</v>
      </c>
      <c r="O625" s="65" t="s">
        <v>4180</v>
      </c>
      <c r="P625" s="65" t="s">
        <v>90</v>
      </c>
      <c r="Q625" s="65">
        <v>1</v>
      </c>
      <c r="R625" s="65" t="s">
        <v>42</v>
      </c>
      <c r="S625" s="65" t="s">
        <v>44</v>
      </c>
      <c r="T625" s="65" t="s">
        <v>44</v>
      </c>
      <c r="U625" s="65" t="s">
        <v>71</v>
      </c>
      <c r="V625" s="65" t="s">
        <v>184</v>
      </c>
      <c r="W625" s="65">
        <v>135.59</v>
      </c>
      <c r="X625" s="65" t="s">
        <v>47</v>
      </c>
      <c r="Y625" s="65" t="s">
        <v>48</v>
      </c>
      <c r="Z625" s="65" t="s">
        <v>73</v>
      </c>
      <c r="AA625" s="65"/>
      <c r="AB625" s="65"/>
    </row>
    <row r="626" spans="1:28" x14ac:dyDescent="0.3">
      <c r="A626" s="1">
        <v>46274</v>
      </c>
      <c r="B626" s="65" t="s">
        <v>4181</v>
      </c>
      <c r="C626" s="65" t="s">
        <v>268</v>
      </c>
      <c r="D626" s="65" t="s">
        <v>4182</v>
      </c>
      <c r="E626" s="65" t="s">
        <v>31</v>
      </c>
      <c r="F626" s="65" t="s">
        <v>4183</v>
      </c>
      <c r="G626" s="65" t="s">
        <v>4184</v>
      </c>
      <c r="H626" s="65" t="s">
        <v>4185</v>
      </c>
      <c r="I626" s="65" t="s">
        <v>116</v>
      </c>
      <c r="J626" s="65" t="s">
        <v>117</v>
      </c>
      <c r="K626" s="65" t="s">
        <v>37</v>
      </c>
      <c r="L626" s="65" t="s">
        <v>4186</v>
      </c>
      <c r="M626" s="65" t="s">
        <v>4187</v>
      </c>
      <c r="N626" s="65" t="s">
        <v>4188</v>
      </c>
      <c r="O626" s="65" t="s">
        <v>4189</v>
      </c>
      <c r="P626" s="65" t="s">
        <v>202</v>
      </c>
      <c r="Q626" s="65">
        <v>1</v>
      </c>
      <c r="R626" s="65" t="s">
        <v>42</v>
      </c>
      <c r="S626" s="65" t="s">
        <v>44</v>
      </c>
      <c r="T626" s="65" t="s">
        <v>44</v>
      </c>
      <c r="U626" s="65" t="s">
        <v>45</v>
      </c>
      <c r="V626" s="65" t="s">
        <v>60</v>
      </c>
      <c r="W626" s="65">
        <v>135.59</v>
      </c>
      <c r="X626" s="65" t="s">
        <v>47</v>
      </c>
      <c r="Y626" s="65" t="s">
        <v>48</v>
      </c>
      <c r="Z626" s="65" t="s">
        <v>49</v>
      </c>
      <c r="AA626" s="65">
        <v>945319366</v>
      </c>
      <c r="AB626" s="65" t="s">
        <v>121</v>
      </c>
    </row>
    <row r="627" spans="1:28" x14ac:dyDescent="0.3">
      <c r="A627" s="1">
        <v>46274</v>
      </c>
      <c r="B627" s="65" t="s">
        <v>4190</v>
      </c>
      <c r="C627" s="65" t="s">
        <v>29</v>
      </c>
      <c r="D627" s="65" t="s">
        <v>4191</v>
      </c>
      <c r="E627" s="65" t="s">
        <v>31</v>
      </c>
      <c r="F627" s="65" t="s">
        <v>4192</v>
      </c>
      <c r="G627" s="65" t="s">
        <v>4193</v>
      </c>
      <c r="H627" s="65" t="s">
        <v>4194</v>
      </c>
      <c r="I627" s="65" t="s">
        <v>774</v>
      </c>
      <c r="J627" s="65" t="s">
        <v>775</v>
      </c>
      <c r="K627" s="65" t="s">
        <v>37</v>
      </c>
      <c r="L627" s="65" t="s">
        <v>4195</v>
      </c>
      <c r="M627" s="65" t="s">
        <v>4196</v>
      </c>
      <c r="N627" s="65" t="s">
        <v>4193</v>
      </c>
      <c r="O627" s="65" t="s">
        <v>4197</v>
      </c>
      <c r="P627" s="65" t="s">
        <v>90</v>
      </c>
      <c r="Q627" s="65">
        <v>1</v>
      </c>
      <c r="R627" s="65" t="s">
        <v>42</v>
      </c>
      <c r="S627" s="65" t="s">
        <v>44</v>
      </c>
      <c r="T627" s="65" t="s">
        <v>44</v>
      </c>
      <c r="U627" s="65" t="s">
        <v>45</v>
      </c>
      <c r="V627" s="65" t="s">
        <v>60</v>
      </c>
      <c r="W627" s="65">
        <v>135.59</v>
      </c>
      <c r="X627" s="65" t="s">
        <v>47</v>
      </c>
      <c r="Y627" s="65" t="s">
        <v>48</v>
      </c>
      <c r="Z627" s="65" t="s">
        <v>49</v>
      </c>
      <c r="AA627" s="65"/>
      <c r="AB627" s="65"/>
    </row>
    <row r="628" spans="1:28" x14ac:dyDescent="0.3">
      <c r="A628" s="1">
        <v>46275</v>
      </c>
      <c r="B628" s="65" t="s">
        <v>2651</v>
      </c>
      <c r="C628" s="65" t="s">
        <v>29</v>
      </c>
      <c r="D628" s="65" t="s">
        <v>2652</v>
      </c>
      <c r="E628" s="65" t="s">
        <v>31</v>
      </c>
      <c r="F628" s="65" t="s">
        <v>2653</v>
      </c>
      <c r="G628" s="65" t="s">
        <v>2654</v>
      </c>
      <c r="H628" s="65" t="s">
        <v>2655</v>
      </c>
      <c r="I628" s="65" t="s">
        <v>434</v>
      </c>
      <c r="J628" s="65" t="s">
        <v>435</v>
      </c>
      <c r="K628" s="65" t="s">
        <v>37</v>
      </c>
      <c r="L628" s="65" t="s">
        <v>2656</v>
      </c>
      <c r="M628" s="65" t="s">
        <v>2657</v>
      </c>
      <c r="N628" s="65" t="s">
        <v>2654</v>
      </c>
      <c r="O628" s="65" t="s">
        <v>2658</v>
      </c>
      <c r="P628" s="65" t="s">
        <v>201</v>
      </c>
      <c r="Q628" s="65">
        <v>1</v>
      </c>
      <c r="R628" s="65" t="s">
        <v>42</v>
      </c>
      <c r="S628" s="65" t="s">
        <v>44</v>
      </c>
      <c r="T628" s="65" t="s">
        <v>44</v>
      </c>
      <c r="U628" s="65" t="s">
        <v>45</v>
      </c>
      <c r="V628" s="65" t="s">
        <v>46</v>
      </c>
      <c r="W628" s="65">
        <v>152.54</v>
      </c>
      <c r="X628" s="65" t="s">
        <v>47</v>
      </c>
      <c r="Y628" s="65" t="s">
        <v>48</v>
      </c>
      <c r="Z628" s="65" t="s">
        <v>49</v>
      </c>
      <c r="AA628" s="65">
        <v>992903716</v>
      </c>
      <c r="AB628" s="65" t="s">
        <v>439</v>
      </c>
    </row>
    <row r="629" spans="1:28" x14ac:dyDescent="0.3">
      <c r="A629" s="1">
        <v>46275</v>
      </c>
      <c r="B629" s="65" t="s">
        <v>4198</v>
      </c>
      <c r="C629" s="65" t="s">
        <v>29</v>
      </c>
      <c r="D629" s="65" t="s">
        <v>4199</v>
      </c>
      <c r="E629" s="65" t="s">
        <v>31</v>
      </c>
      <c r="F629" s="65" t="s">
        <v>4200</v>
      </c>
      <c r="G629" s="65" t="s">
        <v>4201</v>
      </c>
      <c r="H629" s="65" t="s">
        <v>4202</v>
      </c>
      <c r="I629" s="65" t="s">
        <v>662</v>
      </c>
      <c r="J629" s="65" t="s">
        <v>36</v>
      </c>
      <c r="K629" s="65" t="s">
        <v>37</v>
      </c>
      <c r="L629" s="65" t="s">
        <v>4203</v>
      </c>
      <c r="M629" s="65" t="s">
        <v>608</v>
      </c>
      <c r="N629" s="65" t="s">
        <v>4201</v>
      </c>
      <c r="O629" s="65" t="s">
        <v>4204</v>
      </c>
      <c r="P629" s="65" t="s">
        <v>130</v>
      </c>
      <c r="Q629" s="65">
        <v>1</v>
      </c>
      <c r="R629" s="65" t="s">
        <v>42</v>
      </c>
      <c r="S629" s="65" t="s">
        <v>44</v>
      </c>
      <c r="T629" s="65" t="s">
        <v>44</v>
      </c>
      <c r="U629" s="65" t="s">
        <v>71</v>
      </c>
      <c r="V629" s="65" t="s">
        <v>72</v>
      </c>
      <c r="W629" s="65">
        <v>152.54</v>
      </c>
      <c r="X629" s="65" t="s">
        <v>47</v>
      </c>
      <c r="Y629" s="65" t="s">
        <v>48</v>
      </c>
      <c r="Z629" s="65" t="s">
        <v>73</v>
      </c>
      <c r="AA629" s="65">
        <v>997145685</v>
      </c>
      <c r="AB629" s="65" t="s">
        <v>666</v>
      </c>
    </row>
    <row r="630" spans="1:28" x14ac:dyDescent="0.3">
      <c r="A630" s="1">
        <v>46275</v>
      </c>
      <c r="B630" s="65" t="s">
        <v>4205</v>
      </c>
      <c r="C630" s="65" t="s">
        <v>29</v>
      </c>
      <c r="D630" s="65" t="s">
        <v>4206</v>
      </c>
      <c r="E630" s="65" t="s">
        <v>31</v>
      </c>
      <c r="F630" s="65" t="s">
        <v>4207</v>
      </c>
      <c r="G630" s="65" t="s">
        <v>4208</v>
      </c>
      <c r="H630" s="65" t="s">
        <v>4209</v>
      </c>
      <c r="I630" s="65" t="s">
        <v>715</v>
      </c>
      <c r="J630" s="65" t="s">
        <v>716</v>
      </c>
      <c r="K630" s="65" t="s">
        <v>37</v>
      </c>
      <c r="L630" s="65" t="s">
        <v>4210</v>
      </c>
      <c r="M630" s="65" t="s">
        <v>4211</v>
      </c>
      <c r="N630" s="65" t="s">
        <v>4208</v>
      </c>
      <c r="O630" s="65" t="s">
        <v>4212</v>
      </c>
      <c r="P630" s="65" t="s">
        <v>90</v>
      </c>
      <c r="Q630" s="65">
        <v>1</v>
      </c>
      <c r="R630" s="65" t="s">
        <v>42</v>
      </c>
      <c r="S630" s="65" t="s">
        <v>44</v>
      </c>
      <c r="T630" s="65" t="s">
        <v>44</v>
      </c>
      <c r="U630" s="65" t="s">
        <v>71</v>
      </c>
      <c r="V630" s="65" t="s">
        <v>72</v>
      </c>
      <c r="W630" s="65">
        <v>135.59</v>
      </c>
      <c r="X630" s="65" t="s">
        <v>47</v>
      </c>
      <c r="Y630" s="65" t="s">
        <v>48</v>
      </c>
      <c r="Z630" s="65" t="s">
        <v>73</v>
      </c>
      <c r="AA630" s="65">
        <v>955356636</v>
      </c>
      <c r="AB630" s="65" t="s">
        <v>720</v>
      </c>
    </row>
    <row r="631" spans="1:28" x14ac:dyDescent="0.3">
      <c r="A631" s="1">
        <v>46276</v>
      </c>
      <c r="B631" s="65" t="s">
        <v>2659</v>
      </c>
      <c r="C631" s="65" t="s">
        <v>29</v>
      </c>
      <c r="D631" s="65" t="s">
        <v>2660</v>
      </c>
      <c r="E631" s="65" t="s">
        <v>31</v>
      </c>
      <c r="F631" s="65" t="s">
        <v>2661</v>
      </c>
      <c r="G631" s="65" t="s">
        <v>2662</v>
      </c>
      <c r="H631" s="65" t="s">
        <v>2663</v>
      </c>
      <c r="I631" s="65" t="s">
        <v>1322</v>
      </c>
      <c r="J631" s="65" t="s">
        <v>36</v>
      </c>
      <c r="K631" s="65" t="s">
        <v>37</v>
      </c>
      <c r="L631" s="65" t="s">
        <v>2664</v>
      </c>
      <c r="M631" s="65" t="s">
        <v>2665</v>
      </c>
      <c r="N631" s="65" t="s">
        <v>2662</v>
      </c>
      <c r="O631" s="65" t="s">
        <v>2666</v>
      </c>
      <c r="P631" s="65" t="s">
        <v>101</v>
      </c>
      <c r="Q631" s="65">
        <v>1</v>
      </c>
      <c r="R631" s="65" t="s">
        <v>42</v>
      </c>
      <c r="S631" s="65" t="s">
        <v>44</v>
      </c>
      <c r="T631" s="65" t="s">
        <v>44</v>
      </c>
      <c r="U631" s="65" t="s">
        <v>45</v>
      </c>
      <c r="V631" s="65" t="s">
        <v>46</v>
      </c>
      <c r="W631" s="65">
        <v>186.44</v>
      </c>
      <c r="X631" s="65" t="s">
        <v>47</v>
      </c>
      <c r="Y631" s="65" t="s">
        <v>48</v>
      </c>
      <c r="Z631" s="65" t="s">
        <v>49</v>
      </c>
      <c r="AA631" s="65">
        <v>999111362</v>
      </c>
      <c r="AB631" s="65" t="s">
        <v>1326</v>
      </c>
    </row>
    <row r="632" spans="1:28" x14ac:dyDescent="0.3">
      <c r="A632" s="1">
        <v>46276</v>
      </c>
      <c r="B632" s="65" t="s">
        <v>2667</v>
      </c>
      <c r="C632" s="65" t="s">
        <v>29</v>
      </c>
      <c r="D632" s="65" t="s">
        <v>2668</v>
      </c>
      <c r="E632" s="65" t="s">
        <v>31</v>
      </c>
      <c r="F632" s="65" t="s">
        <v>2669</v>
      </c>
      <c r="G632" s="65" t="s">
        <v>2670</v>
      </c>
      <c r="H632" s="65" t="s">
        <v>2671</v>
      </c>
      <c r="I632" s="65" t="s">
        <v>715</v>
      </c>
      <c r="J632" s="65" t="s">
        <v>716</v>
      </c>
      <c r="K632" s="65" t="s">
        <v>37</v>
      </c>
      <c r="L632" s="65" t="s">
        <v>2672</v>
      </c>
      <c r="M632" s="65" t="s">
        <v>2673</v>
      </c>
      <c r="N632" s="65" t="s">
        <v>2670</v>
      </c>
      <c r="O632" s="65" t="s">
        <v>2674</v>
      </c>
      <c r="P632" s="65" t="s">
        <v>101</v>
      </c>
      <c r="Q632" s="65">
        <v>1</v>
      </c>
      <c r="R632" s="65" t="s">
        <v>42</v>
      </c>
      <c r="S632" s="65" t="s">
        <v>44</v>
      </c>
      <c r="T632" s="65" t="s">
        <v>44</v>
      </c>
      <c r="U632" s="65" t="s">
        <v>45</v>
      </c>
      <c r="V632" s="65" t="s">
        <v>46</v>
      </c>
      <c r="W632" s="65">
        <v>186.44</v>
      </c>
      <c r="X632" s="65" t="s">
        <v>47</v>
      </c>
      <c r="Y632" s="65" t="s">
        <v>48</v>
      </c>
      <c r="Z632" s="65" t="s">
        <v>49</v>
      </c>
      <c r="AA632" s="65">
        <v>955356636</v>
      </c>
      <c r="AB632" s="65" t="s">
        <v>720</v>
      </c>
    </row>
    <row r="633" spans="1:28" x14ac:dyDescent="0.3">
      <c r="A633" s="1">
        <v>46276</v>
      </c>
      <c r="B633" s="65" t="s">
        <v>4213</v>
      </c>
      <c r="C633" s="65" t="s">
        <v>29</v>
      </c>
      <c r="D633" s="65" t="s">
        <v>4214</v>
      </c>
      <c r="E633" s="65" t="s">
        <v>31</v>
      </c>
      <c r="F633" s="65" t="s">
        <v>4215</v>
      </c>
      <c r="G633" s="65" t="s">
        <v>4012</v>
      </c>
      <c r="H633" s="65" t="s">
        <v>4013</v>
      </c>
      <c r="I633" s="65" t="s">
        <v>1322</v>
      </c>
      <c r="J633" s="65" t="s">
        <v>36</v>
      </c>
      <c r="K633" s="65" t="s">
        <v>37</v>
      </c>
      <c r="L633" s="65" t="s">
        <v>4014</v>
      </c>
      <c r="M633" s="65" t="s">
        <v>4015</v>
      </c>
      <c r="N633" s="65" t="s">
        <v>4012</v>
      </c>
      <c r="O633" s="65" t="s">
        <v>4216</v>
      </c>
      <c r="P633" s="65" t="s">
        <v>90</v>
      </c>
      <c r="Q633" s="65">
        <v>1</v>
      </c>
      <c r="R633" s="65" t="s">
        <v>42</v>
      </c>
      <c r="S633" s="65" t="s">
        <v>44</v>
      </c>
      <c r="T633" s="65" t="s">
        <v>44</v>
      </c>
      <c r="U633" s="65" t="s">
        <v>71</v>
      </c>
      <c r="V633" s="65" t="s">
        <v>72</v>
      </c>
      <c r="W633" s="65">
        <v>135.59</v>
      </c>
      <c r="X633" s="65" t="s">
        <v>47</v>
      </c>
      <c r="Y633" s="65" t="s">
        <v>48</v>
      </c>
      <c r="Z633" s="65" t="s">
        <v>73</v>
      </c>
      <c r="AA633" s="65">
        <v>999111362</v>
      </c>
      <c r="AB633" s="65" t="s">
        <v>1326</v>
      </c>
    </row>
    <row r="634" spans="1:28" x14ac:dyDescent="0.3">
      <c r="A634" s="1">
        <v>46276</v>
      </c>
      <c r="B634" s="65" t="s">
        <v>4217</v>
      </c>
      <c r="C634" s="65" t="s">
        <v>29</v>
      </c>
      <c r="D634" s="65" t="s">
        <v>4218</v>
      </c>
      <c r="E634" s="65" t="s">
        <v>31</v>
      </c>
      <c r="F634" s="65" t="s">
        <v>4219</v>
      </c>
      <c r="G634" s="65" t="s">
        <v>4220</v>
      </c>
      <c r="H634" s="65" t="s">
        <v>4221</v>
      </c>
      <c r="I634" s="65" t="s">
        <v>2739</v>
      </c>
      <c r="J634" s="65" t="s">
        <v>209</v>
      </c>
      <c r="K634" s="65" t="s">
        <v>37</v>
      </c>
      <c r="L634" s="65" t="s">
        <v>4222</v>
      </c>
      <c r="M634" s="65" t="s">
        <v>4223</v>
      </c>
      <c r="N634" s="65" t="s">
        <v>4220</v>
      </c>
      <c r="O634" s="65" t="s">
        <v>4224</v>
      </c>
      <c r="P634" s="65" t="s">
        <v>90</v>
      </c>
      <c r="Q634" s="65">
        <v>1</v>
      </c>
      <c r="R634" s="65" t="s">
        <v>42</v>
      </c>
      <c r="S634" s="65" t="s">
        <v>44</v>
      </c>
      <c r="T634" s="65" t="s">
        <v>44</v>
      </c>
      <c r="U634" s="65" t="s">
        <v>71</v>
      </c>
      <c r="V634" s="65" t="s">
        <v>72</v>
      </c>
      <c r="W634" s="65">
        <v>135.59</v>
      </c>
      <c r="X634" s="65" t="s">
        <v>47</v>
      </c>
      <c r="Y634" s="65" t="s">
        <v>48</v>
      </c>
      <c r="Z634" s="65" t="s">
        <v>73</v>
      </c>
      <c r="AA634" s="65"/>
      <c r="AB634" s="65"/>
    </row>
    <row r="635" spans="1:28" x14ac:dyDescent="0.3">
      <c r="A635" s="1">
        <v>46276</v>
      </c>
      <c r="B635" s="65" t="s">
        <v>4225</v>
      </c>
      <c r="C635" s="65" t="s">
        <v>29</v>
      </c>
      <c r="D635" s="65" t="s">
        <v>4226</v>
      </c>
      <c r="E635" s="65" t="s">
        <v>31</v>
      </c>
      <c r="F635" s="65" t="s">
        <v>4227</v>
      </c>
      <c r="G635" s="65" t="s">
        <v>4228</v>
      </c>
      <c r="H635" s="65" t="s">
        <v>4229</v>
      </c>
      <c r="I635" s="65" t="s">
        <v>434</v>
      </c>
      <c r="J635" s="65" t="s">
        <v>435</v>
      </c>
      <c r="K635" s="65" t="s">
        <v>37</v>
      </c>
      <c r="L635" s="65" t="s">
        <v>4230</v>
      </c>
      <c r="M635" s="65" t="s">
        <v>4231</v>
      </c>
      <c r="N635" s="65" t="s">
        <v>4228</v>
      </c>
      <c r="O635" s="65" t="s">
        <v>4232</v>
      </c>
      <c r="P635" s="65" t="s">
        <v>90</v>
      </c>
      <c r="Q635" s="65">
        <v>1</v>
      </c>
      <c r="R635" s="65" t="s">
        <v>42</v>
      </c>
      <c r="S635" s="65" t="s">
        <v>44</v>
      </c>
      <c r="T635" s="65" t="s">
        <v>44</v>
      </c>
      <c r="U635" s="65" t="s">
        <v>45</v>
      </c>
      <c r="V635" s="65" t="s">
        <v>60</v>
      </c>
      <c r="W635" s="65">
        <v>135.59</v>
      </c>
      <c r="X635" s="65" t="s">
        <v>47</v>
      </c>
      <c r="Y635" s="65" t="s">
        <v>48</v>
      </c>
      <c r="Z635" s="65" t="s">
        <v>49</v>
      </c>
      <c r="AA635" s="65">
        <v>992903716</v>
      </c>
      <c r="AB635" s="65" t="s">
        <v>439</v>
      </c>
    </row>
    <row r="636" spans="1:28" x14ac:dyDescent="0.3">
      <c r="A636" s="1">
        <v>46277</v>
      </c>
      <c r="B636" s="65" t="s">
        <v>2675</v>
      </c>
      <c r="C636" s="65" t="s">
        <v>29</v>
      </c>
      <c r="D636" s="65" t="s">
        <v>2676</v>
      </c>
      <c r="E636" s="65" t="s">
        <v>31</v>
      </c>
      <c r="F636" s="65" t="s">
        <v>2677</v>
      </c>
      <c r="G636" s="65" t="s">
        <v>2678</v>
      </c>
      <c r="H636" s="65" t="s">
        <v>2679</v>
      </c>
      <c r="I636" s="65" t="s">
        <v>1073</v>
      </c>
      <c r="J636" s="65" t="s">
        <v>97</v>
      </c>
      <c r="K636" s="65" t="s">
        <v>37</v>
      </c>
      <c r="L636" s="65" t="s">
        <v>2681</v>
      </c>
      <c r="M636" s="65" t="s">
        <v>2682</v>
      </c>
      <c r="N636" s="65" t="s">
        <v>2678</v>
      </c>
      <c r="O636" s="65" t="s">
        <v>2683</v>
      </c>
      <c r="P636" s="65" t="s">
        <v>159</v>
      </c>
      <c r="Q636" s="65">
        <v>1</v>
      </c>
      <c r="R636" s="65" t="s">
        <v>42</v>
      </c>
      <c r="S636" s="65" t="s">
        <v>44</v>
      </c>
      <c r="T636" s="65" t="s">
        <v>44</v>
      </c>
      <c r="U636" s="65" t="s">
        <v>45</v>
      </c>
      <c r="V636" s="65" t="s">
        <v>46</v>
      </c>
      <c r="W636" s="65">
        <v>135.59</v>
      </c>
      <c r="X636" s="65" t="s">
        <v>47</v>
      </c>
      <c r="Y636" s="65" t="s">
        <v>48</v>
      </c>
      <c r="Z636" s="65" t="s">
        <v>49</v>
      </c>
      <c r="AA636" s="65">
        <v>999986041</v>
      </c>
      <c r="AB636" s="65" t="s">
        <v>1077</v>
      </c>
    </row>
    <row r="637" spans="1:28" x14ac:dyDescent="0.3">
      <c r="A637" s="1">
        <v>46277</v>
      </c>
      <c r="B637" s="65" t="s">
        <v>2685</v>
      </c>
      <c r="C637" s="65" t="s">
        <v>29</v>
      </c>
      <c r="D637" s="65" t="s">
        <v>2686</v>
      </c>
      <c r="E637" s="65" t="s">
        <v>31</v>
      </c>
      <c r="F637" s="65" t="s">
        <v>2687</v>
      </c>
      <c r="G637" s="65" t="s">
        <v>2688</v>
      </c>
      <c r="H637" s="65" t="s">
        <v>2689</v>
      </c>
      <c r="I637" s="65" t="s">
        <v>1322</v>
      </c>
      <c r="J637" s="65" t="s">
        <v>36</v>
      </c>
      <c r="K637" s="65" t="s">
        <v>37</v>
      </c>
      <c r="L637" s="65" t="s">
        <v>2692</v>
      </c>
      <c r="M637" s="65" t="s">
        <v>2693</v>
      </c>
      <c r="N637" s="65" t="s">
        <v>2688</v>
      </c>
      <c r="O637" s="65" t="s">
        <v>2694</v>
      </c>
      <c r="P637" s="65" t="s">
        <v>201</v>
      </c>
      <c r="Q637" s="65">
        <v>1</v>
      </c>
      <c r="R637" s="65" t="s">
        <v>42</v>
      </c>
      <c r="S637" s="65" t="s">
        <v>44</v>
      </c>
      <c r="T637" s="65" t="s">
        <v>44</v>
      </c>
      <c r="U637" s="65" t="s">
        <v>45</v>
      </c>
      <c r="V637" s="65" t="s">
        <v>46</v>
      </c>
      <c r="W637" s="65">
        <v>152.54</v>
      </c>
      <c r="X637" s="65" t="s">
        <v>47</v>
      </c>
      <c r="Y637" s="65" t="s">
        <v>48</v>
      </c>
      <c r="Z637" s="65" t="s">
        <v>49</v>
      </c>
      <c r="AA637" s="65">
        <v>999111362</v>
      </c>
      <c r="AB637" s="65" t="s">
        <v>1326</v>
      </c>
    </row>
    <row r="638" spans="1:28" x14ac:dyDescent="0.3">
      <c r="A638" s="1">
        <v>46277</v>
      </c>
      <c r="B638" s="65" t="s">
        <v>2695</v>
      </c>
      <c r="C638" s="65" t="s">
        <v>29</v>
      </c>
      <c r="D638" s="65" t="s">
        <v>2696</v>
      </c>
      <c r="E638" s="65" t="s">
        <v>31</v>
      </c>
      <c r="F638" s="65" t="s">
        <v>2697</v>
      </c>
      <c r="G638" s="65" t="s">
        <v>2698</v>
      </c>
      <c r="H638" s="65" t="s">
        <v>2699</v>
      </c>
      <c r="I638" s="65" t="s">
        <v>704</v>
      </c>
      <c r="J638" s="65" t="s">
        <v>705</v>
      </c>
      <c r="K638" s="65" t="s">
        <v>37</v>
      </c>
      <c r="L638" s="65" t="s">
        <v>2700</v>
      </c>
      <c r="M638" s="65" t="s">
        <v>2701</v>
      </c>
      <c r="N638" s="65" t="s">
        <v>2698</v>
      </c>
      <c r="O638" s="65" t="s">
        <v>2702</v>
      </c>
      <c r="P638" s="65" t="s">
        <v>90</v>
      </c>
      <c r="Q638" s="65">
        <v>1</v>
      </c>
      <c r="R638" s="65" t="s">
        <v>42</v>
      </c>
      <c r="S638" s="65" t="s">
        <v>44</v>
      </c>
      <c r="T638" s="65" t="s">
        <v>44</v>
      </c>
      <c r="U638" s="65" t="s">
        <v>45</v>
      </c>
      <c r="V638" s="65" t="s">
        <v>60</v>
      </c>
      <c r="W638" s="65">
        <v>135.59</v>
      </c>
      <c r="X638" s="65" t="s">
        <v>47</v>
      </c>
      <c r="Y638" s="65" t="s">
        <v>48</v>
      </c>
      <c r="Z638" s="65" t="s">
        <v>49</v>
      </c>
      <c r="AA638" s="65">
        <v>998418895</v>
      </c>
      <c r="AB638" s="65" t="s">
        <v>709</v>
      </c>
    </row>
    <row r="639" spans="1:28" x14ac:dyDescent="0.3">
      <c r="A639" s="1">
        <v>46277</v>
      </c>
      <c r="B639" s="65" t="s">
        <v>4233</v>
      </c>
      <c r="C639" s="65" t="s">
        <v>29</v>
      </c>
      <c r="D639" s="65" t="s">
        <v>4234</v>
      </c>
      <c r="E639" s="65" t="s">
        <v>31</v>
      </c>
      <c r="F639" s="65" t="s">
        <v>4235</v>
      </c>
      <c r="G639" s="65" t="s">
        <v>4236</v>
      </c>
      <c r="H639" s="65" t="s">
        <v>4237</v>
      </c>
      <c r="I639" s="65" t="s">
        <v>3322</v>
      </c>
      <c r="J639" s="65" t="s">
        <v>209</v>
      </c>
      <c r="K639" s="65" t="s">
        <v>37</v>
      </c>
      <c r="L639" s="65" t="s">
        <v>4238</v>
      </c>
      <c r="M639" s="65" t="s">
        <v>4239</v>
      </c>
      <c r="N639" s="65" t="s">
        <v>4236</v>
      </c>
      <c r="O639" s="65" t="s">
        <v>4240</v>
      </c>
      <c r="P639" s="65" t="s">
        <v>159</v>
      </c>
      <c r="Q639" s="65">
        <v>1</v>
      </c>
      <c r="R639" s="65" t="s">
        <v>42</v>
      </c>
      <c r="S639" s="65" t="s">
        <v>44</v>
      </c>
      <c r="T639" s="65" t="s">
        <v>44</v>
      </c>
      <c r="U639" s="65" t="s">
        <v>71</v>
      </c>
      <c r="V639" s="65" t="s">
        <v>72</v>
      </c>
      <c r="W639" s="65">
        <v>135.59</v>
      </c>
      <c r="X639" s="65" t="s">
        <v>47</v>
      </c>
      <c r="Y639" s="65" t="s">
        <v>48</v>
      </c>
      <c r="Z639" s="65" t="s">
        <v>73</v>
      </c>
      <c r="AA639" s="65">
        <v>995560200</v>
      </c>
      <c r="AB639" s="65" t="s">
        <v>3323</v>
      </c>
    </row>
    <row r="640" spans="1:28" x14ac:dyDescent="0.3">
      <c r="A640" s="1">
        <v>46277</v>
      </c>
      <c r="B640" s="65" t="s">
        <v>4241</v>
      </c>
      <c r="C640" s="65" t="s">
        <v>29</v>
      </c>
      <c r="D640" s="65" t="s">
        <v>4242</v>
      </c>
      <c r="E640" s="65" t="s">
        <v>31</v>
      </c>
      <c r="F640" s="65" t="s">
        <v>4243</v>
      </c>
      <c r="G640" s="65" t="s">
        <v>4244</v>
      </c>
      <c r="H640" s="65" t="s">
        <v>4245</v>
      </c>
      <c r="I640" s="65" t="s">
        <v>1108</v>
      </c>
      <c r="J640" s="65" t="s">
        <v>209</v>
      </c>
      <c r="K640" s="65" t="s">
        <v>37</v>
      </c>
      <c r="L640" s="65" t="s">
        <v>4246</v>
      </c>
      <c r="M640" s="65" t="s">
        <v>4247</v>
      </c>
      <c r="N640" s="65" t="s">
        <v>4244</v>
      </c>
      <c r="O640" s="65" t="s">
        <v>4248</v>
      </c>
      <c r="P640" s="65" t="s">
        <v>202</v>
      </c>
      <c r="Q640" s="65">
        <v>1</v>
      </c>
      <c r="R640" s="65" t="s">
        <v>42</v>
      </c>
      <c r="S640" s="65" t="s">
        <v>44</v>
      </c>
      <c r="T640" s="65" t="s">
        <v>44</v>
      </c>
      <c r="U640" s="65" t="s">
        <v>45</v>
      </c>
      <c r="V640" s="65" t="s">
        <v>60</v>
      </c>
      <c r="W640" s="65">
        <v>135.59</v>
      </c>
      <c r="X640" s="65" t="s">
        <v>47</v>
      </c>
      <c r="Y640" s="65" t="s">
        <v>48</v>
      </c>
      <c r="Z640" s="65" t="s">
        <v>49</v>
      </c>
      <c r="AA640" s="65">
        <v>970582106</v>
      </c>
      <c r="AB640" s="65" t="s">
        <v>1113</v>
      </c>
    </row>
    <row r="641" spans="1:28" x14ac:dyDescent="0.3">
      <c r="A641" s="1">
        <v>46277</v>
      </c>
      <c r="B641" s="65" t="s">
        <v>4241</v>
      </c>
      <c r="C641" s="65" t="s">
        <v>29</v>
      </c>
      <c r="D641" s="65" t="s">
        <v>4242</v>
      </c>
      <c r="E641" s="65" t="s">
        <v>31</v>
      </c>
      <c r="F641" s="65" t="s">
        <v>4243</v>
      </c>
      <c r="G641" s="65" t="s">
        <v>4244</v>
      </c>
      <c r="H641" s="65" t="s">
        <v>4245</v>
      </c>
      <c r="I641" s="65" t="s">
        <v>1108</v>
      </c>
      <c r="J641" s="65" t="s">
        <v>209</v>
      </c>
      <c r="K641" s="65" t="s">
        <v>37</v>
      </c>
      <c r="L641" s="65" t="s">
        <v>4246</v>
      </c>
      <c r="M641" s="65" t="s">
        <v>4247</v>
      </c>
      <c r="N641" s="65" t="s">
        <v>4244</v>
      </c>
      <c r="O641" s="65" t="s">
        <v>4248</v>
      </c>
      <c r="P641" s="65" t="s">
        <v>201</v>
      </c>
      <c r="Q641" s="65">
        <v>1</v>
      </c>
      <c r="R641" s="65" t="s">
        <v>42</v>
      </c>
      <c r="S641" s="65" t="s">
        <v>44</v>
      </c>
      <c r="T641" s="65" t="s">
        <v>44</v>
      </c>
      <c r="U641" s="65" t="s">
        <v>45</v>
      </c>
      <c r="V641" s="65" t="s">
        <v>60</v>
      </c>
      <c r="W641" s="65">
        <v>152.54</v>
      </c>
      <c r="X641" s="65" t="s">
        <v>47</v>
      </c>
      <c r="Y641" s="65" t="s">
        <v>48</v>
      </c>
      <c r="Z641" s="65" t="s">
        <v>49</v>
      </c>
      <c r="AA641" s="65">
        <v>970582106</v>
      </c>
      <c r="AB641" s="65" t="s">
        <v>1113</v>
      </c>
    </row>
    <row r="642" spans="1:28" x14ac:dyDescent="0.3">
      <c r="A642" s="1">
        <v>46277</v>
      </c>
      <c r="B642" s="65" t="s">
        <v>4249</v>
      </c>
      <c r="C642" s="65" t="s">
        <v>29</v>
      </c>
      <c r="D642" s="65" t="s">
        <v>4250</v>
      </c>
      <c r="E642" s="65" t="s">
        <v>31</v>
      </c>
      <c r="F642" s="65" t="s">
        <v>4251</v>
      </c>
      <c r="G642" s="65" t="s">
        <v>4252</v>
      </c>
      <c r="H642" s="65" t="s">
        <v>4253</v>
      </c>
      <c r="I642" s="65" t="s">
        <v>774</v>
      </c>
      <c r="J642" s="65" t="s">
        <v>775</v>
      </c>
      <c r="K642" s="65" t="s">
        <v>37</v>
      </c>
      <c r="L642" s="65" t="s">
        <v>4254</v>
      </c>
      <c r="M642" s="65" t="s">
        <v>4255</v>
      </c>
      <c r="N642" s="65" t="s">
        <v>4252</v>
      </c>
      <c r="O642" s="65" t="s">
        <v>4256</v>
      </c>
      <c r="P642" s="65" t="s">
        <v>130</v>
      </c>
      <c r="Q642" s="65">
        <v>1</v>
      </c>
      <c r="R642" s="65" t="s">
        <v>42</v>
      </c>
      <c r="S642" s="65" t="s">
        <v>44</v>
      </c>
      <c r="T642" s="65" t="s">
        <v>44</v>
      </c>
      <c r="U642" s="65" t="s">
        <v>71</v>
      </c>
      <c r="V642" s="65" t="s">
        <v>184</v>
      </c>
      <c r="W642" s="65">
        <v>152.54</v>
      </c>
      <c r="X642" s="65" t="s">
        <v>47</v>
      </c>
      <c r="Y642" s="65" t="s">
        <v>48</v>
      </c>
      <c r="Z642" s="65" t="s">
        <v>73</v>
      </c>
      <c r="AA642" s="65"/>
      <c r="AB642" s="65"/>
    </row>
    <row r="643" spans="1:28" x14ac:dyDescent="0.3">
      <c r="A643" s="1">
        <v>46279</v>
      </c>
      <c r="B643" s="65" t="s">
        <v>2703</v>
      </c>
      <c r="C643" s="65" t="s">
        <v>29</v>
      </c>
      <c r="D643" s="65" t="s">
        <v>2704</v>
      </c>
      <c r="E643" s="65" t="s">
        <v>31</v>
      </c>
      <c r="F643" s="65" t="s">
        <v>2705</v>
      </c>
      <c r="G643" s="65" t="s">
        <v>2706</v>
      </c>
      <c r="H643" s="65" t="s">
        <v>4257</v>
      </c>
      <c r="I643" s="65" t="s">
        <v>1595</v>
      </c>
      <c r="J643" s="65" t="s">
        <v>1596</v>
      </c>
      <c r="K643" s="65" t="s">
        <v>37</v>
      </c>
      <c r="L643" s="65" t="s">
        <v>2707</v>
      </c>
      <c r="M643" s="65" t="s">
        <v>2708</v>
      </c>
      <c r="N643" s="65" t="s">
        <v>2706</v>
      </c>
      <c r="O643" s="65" t="s">
        <v>2709</v>
      </c>
      <c r="P643" s="65" t="s">
        <v>101</v>
      </c>
      <c r="Q643" s="65">
        <v>1</v>
      </c>
      <c r="R643" s="65" t="s">
        <v>70</v>
      </c>
      <c r="S643" s="65" t="s">
        <v>43</v>
      </c>
      <c r="T643" s="65" t="s">
        <v>44</v>
      </c>
      <c r="U643" s="65" t="s">
        <v>71</v>
      </c>
      <c r="V643" s="65" t="s">
        <v>184</v>
      </c>
      <c r="W643" s="65">
        <v>186.44</v>
      </c>
      <c r="X643" s="65" t="s">
        <v>47</v>
      </c>
      <c r="Y643" s="65" t="s">
        <v>48</v>
      </c>
      <c r="Z643" s="65" t="s">
        <v>73</v>
      </c>
      <c r="AA643" s="65">
        <v>980543337</v>
      </c>
      <c r="AB643" s="65" t="s">
        <v>1600</v>
      </c>
    </row>
    <row r="644" spans="1:28" x14ac:dyDescent="0.3">
      <c r="A644" s="1">
        <v>46279</v>
      </c>
      <c r="B644" s="65" t="s">
        <v>2710</v>
      </c>
      <c r="C644" s="65" t="s">
        <v>29</v>
      </c>
      <c r="D644" s="65" t="s">
        <v>2711</v>
      </c>
      <c r="E644" s="65" t="s">
        <v>31</v>
      </c>
      <c r="F644" s="65" t="s">
        <v>2712</v>
      </c>
      <c r="G644" s="65" t="s">
        <v>2713</v>
      </c>
      <c r="H644" s="65" t="s">
        <v>2714</v>
      </c>
      <c r="I644" s="65" t="s">
        <v>715</v>
      </c>
      <c r="J644" s="65" t="s">
        <v>716</v>
      </c>
      <c r="K644" s="65" t="s">
        <v>37</v>
      </c>
      <c r="L644" s="65" t="s">
        <v>2715</v>
      </c>
      <c r="M644" s="65" t="s">
        <v>2716</v>
      </c>
      <c r="N644" s="65" t="s">
        <v>2713</v>
      </c>
      <c r="O644" s="65" t="s">
        <v>2717</v>
      </c>
      <c r="P644" s="65" t="s">
        <v>41</v>
      </c>
      <c r="Q644" s="65">
        <v>1</v>
      </c>
      <c r="R644" s="65" t="s">
        <v>70</v>
      </c>
      <c r="S644" s="65" t="s">
        <v>43</v>
      </c>
      <c r="T644" s="65" t="s">
        <v>44</v>
      </c>
      <c r="U644" s="65" t="s">
        <v>71</v>
      </c>
      <c r="V644" s="65" t="s">
        <v>72</v>
      </c>
      <c r="W644" s="65">
        <v>186.44</v>
      </c>
      <c r="X644" s="65" t="s">
        <v>47</v>
      </c>
      <c r="Y644" s="65" t="s">
        <v>48</v>
      </c>
      <c r="Z644" s="65" t="s">
        <v>73</v>
      </c>
      <c r="AA644" s="65">
        <v>955356636</v>
      </c>
      <c r="AB644" s="65" t="s">
        <v>720</v>
      </c>
    </row>
    <row r="645" spans="1:28" x14ac:dyDescent="0.3">
      <c r="A645" s="1">
        <v>46279</v>
      </c>
      <c r="B645" s="65" t="s">
        <v>2710</v>
      </c>
      <c r="C645" s="65" t="s">
        <v>29</v>
      </c>
      <c r="D645" s="65" t="s">
        <v>2711</v>
      </c>
      <c r="E645" s="65" t="s">
        <v>31</v>
      </c>
      <c r="F645" s="65" t="s">
        <v>2712</v>
      </c>
      <c r="G645" s="65" t="s">
        <v>2713</v>
      </c>
      <c r="H645" s="65" t="s">
        <v>2714</v>
      </c>
      <c r="I645" s="65" t="s">
        <v>715</v>
      </c>
      <c r="J645" s="65" t="s">
        <v>716</v>
      </c>
      <c r="K645" s="65" t="s">
        <v>37</v>
      </c>
      <c r="L645" s="65" t="s">
        <v>2715</v>
      </c>
      <c r="M645" s="65" t="s">
        <v>2716</v>
      </c>
      <c r="N645" s="65" t="s">
        <v>2713</v>
      </c>
      <c r="O645" s="65" t="s">
        <v>2717</v>
      </c>
      <c r="P645" s="65" t="s">
        <v>159</v>
      </c>
      <c r="Q645" s="65">
        <v>1</v>
      </c>
      <c r="R645" s="65" t="s">
        <v>70</v>
      </c>
      <c r="S645" s="65" t="s">
        <v>43</v>
      </c>
      <c r="T645" s="65" t="s">
        <v>44</v>
      </c>
      <c r="U645" s="65" t="s">
        <v>71</v>
      </c>
      <c r="V645" s="65" t="s">
        <v>72</v>
      </c>
      <c r="W645" s="65">
        <v>135.59</v>
      </c>
      <c r="X645" s="65" t="s">
        <v>47</v>
      </c>
      <c r="Y645" s="65" t="s">
        <v>48</v>
      </c>
      <c r="Z645" s="65" t="s">
        <v>73</v>
      </c>
      <c r="AA645" s="65">
        <v>955356636</v>
      </c>
      <c r="AB645" s="65" t="s">
        <v>720</v>
      </c>
    </row>
    <row r="646" spans="1:28" x14ac:dyDescent="0.3">
      <c r="A646" s="1">
        <v>46279</v>
      </c>
      <c r="B646" s="65" t="s">
        <v>2718</v>
      </c>
      <c r="C646" s="65" t="s">
        <v>268</v>
      </c>
      <c r="D646" s="65" t="s">
        <v>2719</v>
      </c>
      <c r="E646" s="65" t="s">
        <v>31</v>
      </c>
      <c r="F646" s="65" t="s">
        <v>2720</v>
      </c>
      <c r="G646" s="65" t="s">
        <v>2721</v>
      </c>
      <c r="H646" s="65" t="s">
        <v>2722</v>
      </c>
      <c r="I646" s="65" t="s">
        <v>3537</v>
      </c>
      <c r="J646" s="65" t="s">
        <v>209</v>
      </c>
      <c r="K646" s="65" t="s">
        <v>37</v>
      </c>
      <c r="L646" s="65" t="s">
        <v>2723</v>
      </c>
      <c r="M646" s="65" t="s">
        <v>2724</v>
      </c>
      <c r="N646" s="65" t="s">
        <v>1840</v>
      </c>
      <c r="O646" s="65" t="s">
        <v>2725</v>
      </c>
      <c r="P646" s="65" t="s">
        <v>288</v>
      </c>
      <c r="Q646" s="65">
        <v>1</v>
      </c>
      <c r="R646" s="65" t="s">
        <v>42</v>
      </c>
      <c r="S646" s="65" t="s">
        <v>44</v>
      </c>
      <c r="T646" s="65" t="s">
        <v>44</v>
      </c>
      <c r="U646" s="65" t="s">
        <v>45</v>
      </c>
      <c r="V646" s="65" t="s">
        <v>46</v>
      </c>
      <c r="W646" s="65">
        <v>0</v>
      </c>
      <c r="X646" s="65" t="s">
        <v>289</v>
      </c>
      <c r="Y646" s="65" t="s">
        <v>48</v>
      </c>
      <c r="Z646" s="65" t="s">
        <v>49</v>
      </c>
      <c r="AA646" s="65">
        <v>997061004</v>
      </c>
      <c r="AB646" s="65"/>
    </row>
    <row r="647" spans="1:28" x14ac:dyDescent="0.3">
      <c r="A647" s="1">
        <v>46279</v>
      </c>
      <c r="B647" s="65" t="s">
        <v>2718</v>
      </c>
      <c r="C647" s="65" t="s">
        <v>268</v>
      </c>
      <c r="D647" s="65" t="s">
        <v>2719</v>
      </c>
      <c r="E647" s="65" t="s">
        <v>31</v>
      </c>
      <c r="F647" s="65" t="s">
        <v>2720</v>
      </c>
      <c r="G647" s="65" t="s">
        <v>2721</v>
      </c>
      <c r="H647" s="65" t="s">
        <v>2722</v>
      </c>
      <c r="I647" s="65" t="s">
        <v>3537</v>
      </c>
      <c r="J647" s="65" t="s">
        <v>209</v>
      </c>
      <c r="K647" s="65" t="s">
        <v>37</v>
      </c>
      <c r="L647" s="65" t="s">
        <v>2723</v>
      </c>
      <c r="M647" s="65" t="s">
        <v>2724</v>
      </c>
      <c r="N647" s="65" t="s">
        <v>1840</v>
      </c>
      <c r="O647" s="65" t="s">
        <v>2725</v>
      </c>
      <c r="P647" s="65" t="s">
        <v>973</v>
      </c>
      <c r="Q647" s="65">
        <v>1</v>
      </c>
      <c r="R647" s="65" t="s">
        <v>42</v>
      </c>
      <c r="S647" s="65" t="s">
        <v>44</v>
      </c>
      <c r="T647" s="65" t="s">
        <v>44</v>
      </c>
      <c r="U647" s="65" t="s">
        <v>45</v>
      </c>
      <c r="V647" s="65" t="s">
        <v>46</v>
      </c>
      <c r="W647" s="65">
        <v>805.08</v>
      </c>
      <c r="X647" s="65" t="s">
        <v>289</v>
      </c>
      <c r="Y647" s="65" t="s">
        <v>48</v>
      </c>
      <c r="Z647" s="65" t="s">
        <v>49</v>
      </c>
      <c r="AA647" s="65">
        <v>997061004</v>
      </c>
      <c r="AB647" s="65"/>
    </row>
    <row r="648" spans="1:28" x14ac:dyDescent="0.3">
      <c r="A648" s="1">
        <v>46279</v>
      </c>
      <c r="B648" s="65" t="s">
        <v>2726</v>
      </c>
      <c r="C648" s="65" t="s">
        <v>29</v>
      </c>
      <c r="D648" s="65" t="s">
        <v>2727</v>
      </c>
      <c r="E648" s="65" t="s">
        <v>31</v>
      </c>
      <c r="F648" s="65" t="s">
        <v>2728</v>
      </c>
      <c r="G648" s="65" t="s">
        <v>2729</v>
      </c>
      <c r="H648" s="65" t="s">
        <v>2730</v>
      </c>
      <c r="I648" s="65" t="s">
        <v>434</v>
      </c>
      <c r="J648" s="65" t="s">
        <v>435</v>
      </c>
      <c r="K648" s="65" t="s">
        <v>37</v>
      </c>
      <c r="L648" s="65" t="s">
        <v>2731</v>
      </c>
      <c r="M648" s="65" t="s">
        <v>2732</v>
      </c>
      <c r="N648" s="65" t="s">
        <v>2729</v>
      </c>
      <c r="O648" s="65" t="s">
        <v>2733</v>
      </c>
      <c r="P648" s="65" t="s">
        <v>158</v>
      </c>
      <c r="Q648" s="65">
        <v>1</v>
      </c>
      <c r="R648" s="65" t="s">
        <v>42</v>
      </c>
      <c r="S648" s="65" t="s">
        <v>44</v>
      </c>
      <c r="T648" s="65" t="s">
        <v>44</v>
      </c>
      <c r="U648" s="65" t="s">
        <v>45</v>
      </c>
      <c r="V648" s="65" t="s">
        <v>46</v>
      </c>
      <c r="W648" s="65">
        <v>152.54</v>
      </c>
      <c r="X648" s="65" t="s">
        <v>47</v>
      </c>
      <c r="Y648" s="65" t="s">
        <v>48</v>
      </c>
      <c r="Z648" s="65" t="s">
        <v>49</v>
      </c>
      <c r="AA648" s="65">
        <v>992903716</v>
      </c>
      <c r="AB648" s="65" t="s">
        <v>439</v>
      </c>
    </row>
    <row r="649" spans="1:28" x14ac:dyDescent="0.3">
      <c r="A649" s="1">
        <v>46279</v>
      </c>
      <c r="B649" s="65" t="s">
        <v>2734</v>
      </c>
      <c r="C649" s="65" t="s">
        <v>268</v>
      </c>
      <c r="D649" s="65" t="s">
        <v>2735</v>
      </c>
      <c r="E649" s="65" t="s">
        <v>31</v>
      </c>
      <c r="F649" s="65" t="s">
        <v>2736</v>
      </c>
      <c r="G649" s="65" t="s">
        <v>2737</v>
      </c>
      <c r="H649" s="65" t="s">
        <v>2738</v>
      </c>
      <c r="I649" s="65" t="s">
        <v>2739</v>
      </c>
      <c r="J649" s="65" t="s">
        <v>209</v>
      </c>
      <c r="K649" s="65" t="s">
        <v>37</v>
      </c>
      <c r="L649" s="65" t="s">
        <v>2740</v>
      </c>
      <c r="M649" s="65" t="s">
        <v>608</v>
      </c>
      <c r="N649" s="65" t="s">
        <v>2739</v>
      </c>
      <c r="O649" s="65" t="s">
        <v>2741</v>
      </c>
      <c r="P649" s="65" t="s">
        <v>371</v>
      </c>
      <c r="Q649" s="65">
        <v>1</v>
      </c>
      <c r="R649" s="65" t="s">
        <v>42</v>
      </c>
      <c r="S649" s="65" t="s">
        <v>44</v>
      </c>
      <c r="T649" s="65" t="s">
        <v>44</v>
      </c>
      <c r="U649" s="65" t="s">
        <v>45</v>
      </c>
      <c r="V649" s="65" t="s">
        <v>60</v>
      </c>
      <c r="W649" s="65">
        <v>635.59</v>
      </c>
      <c r="X649" s="65" t="s">
        <v>289</v>
      </c>
      <c r="Y649" s="65" t="s">
        <v>48</v>
      </c>
      <c r="Z649" s="65" t="s">
        <v>49</v>
      </c>
      <c r="AA649" s="65"/>
      <c r="AB649" s="65"/>
    </row>
    <row r="650" spans="1:28" x14ac:dyDescent="0.3">
      <c r="A650" s="1">
        <v>46279</v>
      </c>
      <c r="B650" s="65" t="s">
        <v>2734</v>
      </c>
      <c r="C650" s="65" t="s">
        <v>268</v>
      </c>
      <c r="D650" s="65" t="s">
        <v>2735</v>
      </c>
      <c r="E650" s="65" t="s">
        <v>31</v>
      </c>
      <c r="F650" s="65" t="s">
        <v>2736</v>
      </c>
      <c r="G650" s="65" t="s">
        <v>2737</v>
      </c>
      <c r="H650" s="65" t="s">
        <v>2738</v>
      </c>
      <c r="I650" s="65" t="s">
        <v>2739</v>
      </c>
      <c r="J650" s="65" t="s">
        <v>209</v>
      </c>
      <c r="K650" s="65" t="s">
        <v>37</v>
      </c>
      <c r="L650" s="65" t="s">
        <v>2740</v>
      </c>
      <c r="M650" s="65" t="s">
        <v>608</v>
      </c>
      <c r="N650" s="65" t="s">
        <v>2739</v>
      </c>
      <c r="O650" s="65" t="s">
        <v>2741</v>
      </c>
      <c r="P650" s="65" t="s">
        <v>288</v>
      </c>
      <c r="Q650" s="65">
        <v>1</v>
      </c>
      <c r="R650" s="65" t="s">
        <v>42</v>
      </c>
      <c r="S650" s="65" t="s">
        <v>44</v>
      </c>
      <c r="T650" s="65" t="s">
        <v>44</v>
      </c>
      <c r="U650" s="65" t="s">
        <v>45</v>
      </c>
      <c r="V650" s="65" t="s">
        <v>60</v>
      </c>
      <c r="W650" s="65">
        <v>0</v>
      </c>
      <c r="X650" s="65" t="s">
        <v>289</v>
      </c>
      <c r="Y650" s="65" t="s">
        <v>48</v>
      </c>
      <c r="Z650" s="65" t="s">
        <v>49</v>
      </c>
      <c r="AA650" s="65"/>
      <c r="AB650" s="65"/>
    </row>
    <row r="651" spans="1:28" x14ac:dyDescent="0.3">
      <c r="A651" s="1">
        <v>46279</v>
      </c>
      <c r="B651" s="65" t="s">
        <v>4258</v>
      </c>
      <c r="C651" s="65" t="s">
        <v>29</v>
      </c>
      <c r="D651" s="65" t="s">
        <v>4259</v>
      </c>
      <c r="E651" s="65" t="s">
        <v>31</v>
      </c>
      <c r="F651" s="65" t="s">
        <v>4260</v>
      </c>
      <c r="G651" s="65" t="s">
        <v>4261</v>
      </c>
      <c r="H651" s="65" t="s">
        <v>4262</v>
      </c>
      <c r="I651" s="65" t="s">
        <v>136</v>
      </c>
      <c r="J651" s="65" t="s">
        <v>137</v>
      </c>
      <c r="K651" s="65" t="s">
        <v>37</v>
      </c>
      <c r="L651" s="65" t="s">
        <v>4263</v>
      </c>
      <c r="M651" s="65" t="s">
        <v>4264</v>
      </c>
      <c r="N651" s="65" t="s">
        <v>4261</v>
      </c>
      <c r="O651" s="65" t="s">
        <v>4265</v>
      </c>
      <c r="P651" s="65" t="s">
        <v>201</v>
      </c>
      <c r="Q651" s="65">
        <v>1</v>
      </c>
      <c r="R651" s="65" t="s">
        <v>42</v>
      </c>
      <c r="S651" s="65" t="s">
        <v>44</v>
      </c>
      <c r="T651" s="65" t="s">
        <v>44</v>
      </c>
      <c r="U651" s="65" t="s">
        <v>45</v>
      </c>
      <c r="V651" s="65" t="s">
        <v>60</v>
      </c>
      <c r="W651" s="65">
        <v>152.54</v>
      </c>
      <c r="X651" s="65" t="s">
        <v>47</v>
      </c>
      <c r="Y651" s="65" t="s">
        <v>48</v>
      </c>
      <c r="Z651" s="65" t="s">
        <v>49</v>
      </c>
      <c r="AA651" s="65">
        <v>987407712</v>
      </c>
      <c r="AB651" s="65" t="s">
        <v>141</v>
      </c>
    </row>
    <row r="652" spans="1:28" x14ac:dyDescent="0.3">
      <c r="A652" s="1">
        <v>46279</v>
      </c>
      <c r="B652" s="65" t="s">
        <v>4258</v>
      </c>
      <c r="C652" s="65" t="s">
        <v>29</v>
      </c>
      <c r="D652" s="65" t="s">
        <v>4259</v>
      </c>
      <c r="E652" s="65" t="s">
        <v>31</v>
      </c>
      <c r="F652" s="65" t="s">
        <v>4260</v>
      </c>
      <c r="G652" s="65" t="s">
        <v>4261</v>
      </c>
      <c r="H652" s="65" t="s">
        <v>4262</v>
      </c>
      <c r="I652" s="65" t="s">
        <v>136</v>
      </c>
      <c r="J652" s="65" t="s">
        <v>137</v>
      </c>
      <c r="K652" s="65" t="s">
        <v>37</v>
      </c>
      <c r="L652" s="65" t="s">
        <v>4263</v>
      </c>
      <c r="M652" s="65" t="s">
        <v>4264</v>
      </c>
      <c r="N652" s="65" t="s">
        <v>4261</v>
      </c>
      <c r="O652" s="65" t="s">
        <v>4265</v>
      </c>
      <c r="P652" s="65" t="s">
        <v>202</v>
      </c>
      <c r="Q652" s="65">
        <v>1</v>
      </c>
      <c r="R652" s="65" t="s">
        <v>42</v>
      </c>
      <c r="S652" s="65" t="s">
        <v>44</v>
      </c>
      <c r="T652" s="65" t="s">
        <v>44</v>
      </c>
      <c r="U652" s="65" t="s">
        <v>45</v>
      </c>
      <c r="V652" s="65" t="s">
        <v>60</v>
      </c>
      <c r="W652" s="65">
        <v>135.59</v>
      </c>
      <c r="X652" s="65" t="s">
        <v>47</v>
      </c>
      <c r="Y652" s="65" t="s">
        <v>48</v>
      </c>
      <c r="Z652" s="65" t="s">
        <v>49</v>
      </c>
      <c r="AA652" s="65">
        <v>987407712</v>
      </c>
      <c r="AB652" s="65" t="s">
        <v>141</v>
      </c>
    </row>
    <row r="653" spans="1:28" x14ac:dyDescent="0.3">
      <c r="A653" s="1">
        <v>46279</v>
      </c>
      <c r="B653" s="65" t="s">
        <v>4266</v>
      </c>
      <c r="C653" s="65" t="s">
        <v>29</v>
      </c>
      <c r="D653" s="65" t="s">
        <v>4267</v>
      </c>
      <c r="E653" s="65" t="s">
        <v>31</v>
      </c>
      <c r="F653" s="65" t="s">
        <v>4268</v>
      </c>
      <c r="G653" s="65" t="s">
        <v>4269</v>
      </c>
      <c r="H653" s="65" t="s">
        <v>4270</v>
      </c>
      <c r="I653" s="65" t="s">
        <v>2739</v>
      </c>
      <c r="J653" s="65" t="s">
        <v>209</v>
      </c>
      <c r="K653" s="65" t="s">
        <v>37</v>
      </c>
      <c r="L653" s="65" t="s">
        <v>4271</v>
      </c>
      <c r="M653" s="65" t="s">
        <v>4272</v>
      </c>
      <c r="N653" s="65" t="s">
        <v>4269</v>
      </c>
      <c r="O653" s="65" t="s">
        <v>4273</v>
      </c>
      <c r="P653" s="65" t="s">
        <v>159</v>
      </c>
      <c r="Q653" s="65">
        <v>1</v>
      </c>
      <c r="R653" s="65" t="s">
        <v>42</v>
      </c>
      <c r="S653" s="65" t="s">
        <v>44</v>
      </c>
      <c r="T653" s="65" t="s">
        <v>44</v>
      </c>
      <c r="U653" s="65" t="s">
        <v>531</v>
      </c>
      <c r="V653" s="65" t="s">
        <v>4049</v>
      </c>
      <c r="W653" s="65">
        <v>135.59</v>
      </c>
      <c r="X653" s="65" t="s">
        <v>47</v>
      </c>
      <c r="Y653" s="65" t="s">
        <v>48</v>
      </c>
      <c r="Z653" s="65" t="s">
        <v>534</v>
      </c>
      <c r="AA653" s="65"/>
      <c r="AB653" s="65"/>
    </row>
    <row r="654" spans="1:28" x14ac:dyDescent="0.3">
      <c r="A654" s="1">
        <v>46280</v>
      </c>
      <c r="B654" s="65" t="s">
        <v>2742</v>
      </c>
      <c r="C654" s="65" t="s">
        <v>29</v>
      </c>
      <c r="D654" s="65" t="s">
        <v>2743</v>
      </c>
      <c r="E654" s="65" t="s">
        <v>31</v>
      </c>
      <c r="F654" s="65" t="s">
        <v>2744</v>
      </c>
      <c r="G654" s="65" t="s">
        <v>2745</v>
      </c>
      <c r="H654" s="65" t="s">
        <v>2746</v>
      </c>
      <c r="I654" s="65" t="s">
        <v>3116</v>
      </c>
      <c r="J654" s="65" t="s">
        <v>2558</v>
      </c>
      <c r="K654" s="65" t="s">
        <v>37</v>
      </c>
      <c r="L654" s="65" t="s">
        <v>2747</v>
      </c>
      <c r="M654" s="65" t="s">
        <v>2748</v>
      </c>
      <c r="N654" s="65" t="s">
        <v>2745</v>
      </c>
      <c r="O654" s="65" t="s">
        <v>2749</v>
      </c>
      <c r="P654" s="65" t="s">
        <v>159</v>
      </c>
      <c r="Q654" s="65">
        <v>1</v>
      </c>
      <c r="R654" s="65" t="s">
        <v>70</v>
      </c>
      <c r="S654" s="65" t="s">
        <v>43</v>
      </c>
      <c r="T654" s="65" t="s">
        <v>44</v>
      </c>
      <c r="U654" s="65" t="s">
        <v>71</v>
      </c>
      <c r="V654" s="65" t="s">
        <v>72</v>
      </c>
      <c r="W654" s="65">
        <v>135.59</v>
      </c>
      <c r="X654" s="65" t="s">
        <v>47</v>
      </c>
      <c r="Y654" s="65" t="s">
        <v>48</v>
      </c>
      <c r="Z654" s="65" t="s">
        <v>73</v>
      </c>
      <c r="AA654" s="65">
        <v>973914900</v>
      </c>
      <c r="AB654" s="65" t="s">
        <v>3117</v>
      </c>
    </row>
    <row r="655" spans="1:28" x14ac:dyDescent="0.3">
      <c r="A655" s="1">
        <v>46280</v>
      </c>
      <c r="B655" s="65" t="s">
        <v>2750</v>
      </c>
      <c r="C655" s="65" t="s">
        <v>268</v>
      </c>
      <c r="D655" s="65" t="s">
        <v>2751</v>
      </c>
      <c r="E655" s="65" t="s">
        <v>31</v>
      </c>
      <c r="F655" s="65" t="s">
        <v>2752</v>
      </c>
      <c r="G655" s="65" t="s">
        <v>2753</v>
      </c>
      <c r="H655" s="65" t="s">
        <v>2754</v>
      </c>
      <c r="I655" s="65" t="s">
        <v>273</v>
      </c>
      <c r="J655" s="65" t="s">
        <v>274</v>
      </c>
      <c r="K655" s="65" t="s">
        <v>37</v>
      </c>
      <c r="L655" s="65" t="s">
        <v>2755</v>
      </c>
      <c r="M655" s="65" t="s">
        <v>2756</v>
      </c>
      <c r="N655" s="65" t="s">
        <v>277</v>
      </c>
      <c r="O655" s="65" t="s">
        <v>2757</v>
      </c>
      <c r="P655" s="65" t="s">
        <v>290</v>
      </c>
      <c r="Q655" s="65">
        <v>1</v>
      </c>
      <c r="R655" s="65" t="s">
        <v>42</v>
      </c>
      <c r="S655" s="65" t="s">
        <v>44</v>
      </c>
      <c r="T655" s="65" t="s">
        <v>44</v>
      </c>
      <c r="U655" s="65" t="s">
        <v>45</v>
      </c>
      <c r="V655" s="65" t="s">
        <v>46</v>
      </c>
      <c r="W655" s="65">
        <v>1050.8499999999999</v>
      </c>
      <c r="X655" s="65" t="s">
        <v>289</v>
      </c>
      <c r="Y655" s="65" t="s">
        <v>48</v>
      </c>
      <c r="Z655" s="65" t="s">
        <v>49</v>
      </c>
      <c r="AA655" s="65">
        <v>950133748</v>
      </c>
      <c r="AB655" s="65" t="s">
        <v>279</v>
      </c>
    </row>
    <row r="656" spans="1:28" x14ac:dyDescent="0.3">
      <c r="A656" s="1">
        <v>46280</v>
      </c>
      <c r="B656" s="65" t="s">
        <v>2750</v>
      </c>
      <c r="C656" s="65" t="s">
        <v>268</v>
      </c>
      <c r="D656" s="65" t="s">
        <v>2751</v>
      </c>
      <c r="E656" s="65" t="s">
        <v>31</v>
      </c>
      <c r="F656" s="65" t="s">
        <v>2752</v>
      </c>
      <c r="G656" s="65" t="s">
        <v>2753</v>
      </c>
      <c r="H656" s="65" t="s">
        <v>2754</v>
      </c>
      <c r="I656" s="65" t="s">
        <v>273</v>
      </c>
      <c r="J656" s="65" t="s">
        <v>274</v>
      </c>
      <c r="K656" s="65" t="s">
        <v>37</v>
      </c>
      <c r="L656" s="65" t="s">
        <v>2755</v>
      </c>
      <c r="M656" s="65" t="s">
        <v>2756</v>
      </c>
      <c r="N656" s="65" t="s">
        <v>277</v>
      </c>
      <c r="O656" s="65" t="s">
        <v>2757</v>
      </c>
      <c r="P656" s="65" t="s">
        <v>288</v>
      </c>
      <c r="Q656" s="65">
        <v>1</v>
      </c>
      <c r="R656" s="65" t="s">
        <v>42</v>
      </c>
      <c r="S656" s="65" t="s">
        <v>44</v>
      </c>
      <c r="T656" s="65" t="s">
        <v>44</v>
      </c>
      <c r="U656" s="65" t="s">
        <v>45</v>
      </c>
      <c r="V656" s="65" t="s">
        <v>46</v>
      </c>
      <c r="W656" s="65">
        <v>0</v>
      </c>
      <c r="X656" s="65" t="s">
        <v>289</v>
      </c>
      <c r="Y656" s="65" t="s">
        <v>48</v>
      </c>
      <c r="Z656" s="65" t="s">
        <v>49</v>
      </c>
      <c r="AA656" s="65">
        <v>950133748</v>
      </c>
      <c r="AB656" s="65" t="s">
        <v>279</v>
      </c>
    </row>
    <row r="657" spans="1:28" x14ac:dyDescent="0.3">
      <c r="A657" s="1">
        <v>46280</v>
      </c>
      <c r="B657" s="65" t="s">
        <v>2758</v>
      </c>
      <c r="C657" s="65" t="s">
        <v>268</v>
      </c>
      <c r="D657" s="65" t="s">
        <v>2759</v>
      </c>
      <c r="E657" s="65" t="s">
        <v>31</v>
      </c>
      <c r="F657" s="65" t="s">
        <v>2760</v>
      </c>
      <c r="G657" s="65" t="s">
        <v>2761</v>
      </c>
      <c r="H657" s="65" t="s">
        <v>2762</v>
      </c>
      <c r="I657" s="65" t="s">
        <v>273</v>
      </c>
      <c r="J657" s="65" t="s">
        <v>274</v>
      </c>
      <c r="K657" s="65" t="s">
        <v>37</v>
      </c>
      <c r="L657" s="65" t="s">
        <v>2763</v>
      </c>
      <c r="M657" s="65" t="s">
        <v>2764</v>
      </c>
      <c r="N657" s="65" t="s">
        <v>277</v>
      </c>
      <c r="O657" s="65" t="s">
        <v>2765</v>
      </c>
      <c r="P657" s="65" t="s">
        <v>288</v>
      </c>
      <c r="Q657" s="65">
        <v>1</v>
      </c>
      <c r="R657" s="65" t="s">
        <v>42</v>
      </c>
      <c r="S657" s="65" t="s">
        <v>44</v>
      </c>
      <c r="T657" s="65" t="s">
        <v>44</v>
      </c>
      <c r="U657" s="65" t="s">
        <v>45</v>
      </c>
      <c r="V657" s="65" t="s">
        <v>60</v>
      </c>
      <c r="W657" s="65">
        <v>0</v>
      </c>
      <c r="X657" s="65" t="s">
        <v>289</v>
      </c>
      <c r="Y657" s="65" t="s">
        <v>48</v>
      </c>
      <c r="Z657" s="65" t="s">
        <v>49</v>
      </c>
      <c r="AA657" s="65">
        <v>950133748</v>
      </c>
      <c r="AB657" s="65" t="s">
        <v>279</v>
      </c>
    </row>
    <row r="658" spans="1:28" x14ac:dyDescent="0.3">
      <c r="A658" s="1">
        <v>46280</v>
      </c>
      <c r="B658" s="65" t="s">
        <v>2758</v>
      </c>
      <c r="C658" s="65" t="s">
        <v>268</v>
      </c>
      <c r="D658" s="65" t="s">
        <v>2759</v>
      </c>
      <c r="E658" s="65" t="s">
        <v>31</v>
      </c>
      <c r="F658" s="65" t="s">
        <v>2760</v>
      </c>
      <c r="G658" s="65" t="s">
        <v>2761</v>
      </c>
      <c r="H658" s="65" t="s">
        <v>2762</v>
      </c>
      <c r="I658" s="65" t="s">
        <v>273</v>
      </c>
      <c r="J658" s="65" t="s">
        <v>274</v>
      </c>
      <c r="K658" s="65" t="s">
        <v>37</v>
      </c>
      <c r="L658" s="65" t="s">
        <v>2763</v>
      </c>
      <c r="M658" s="65" t="s">
        <v>2764</v>
      </c>
      <c r="N658" s="65" t="s">
        <v>277</v>
      </c>
      <c r="O658" s="65" t="s">
        <v>2765</v>
      </c>
      <c r="P658" s="65" t="s">
        <v>371</v>
      </c>
      <c r="Q658" s="65">
        <v>1</v>
      </c>
      <c r="R658" s="65" t="s">
        <v>42</v>
      </c>
      <c r="S658" s="65" t="s">
        <v>44</v>
      </c>
      <c r="T658" s="65" t="s">
        <v>44</v>
      </c>
      <c r="U658" s="65" t="s">
        <v>45</v>
      </c>
      <c r="V658" s="65" t="s">
        <v>60</v>
      </c>
      <c r="W658" s="65">
        <v>805.08</v>
      </c>
      <c r="X658" s="65" t="s">
        <v>289</v>
      </c>
      <c r="Y658" s="65" t="s">
        <v>48</v>
      </c>
      <c r="Z658" s="65" t="s">
        <v>49</v>
      </c>
      <c r="AA658" s="65">
        <v>950133748</v>
      </c>
      <c r="AB658" s="65" t="s">
        <v>279</v>
      </c>
    </row>
    <row r="659" spans="1:28" x14ac:dyDescent="0.3">
      <c r="A659" s="1">
        <v>46280</v>
      </c>
      <c r="B659" s="65" t="s">
        <v>2766</v>
      </c>
      <c r="C659" s="65" t="s">
        <v>268</v>
      </c>
      <c r="D659" s="65" t="s">
        <v>2767</v>
      </c>
      <c r="E659" s="65" t="s">
        <v>31</v>
      </c>
      <c r="F659" s="65" t="s">
        <v>2768</v>
      </c>
      <c r="G659" s="65" t="s">
        <v>2761</v>
      </c>
      <c r="H659" s="65" t="s">
        <v>2762</v>
      </c>
      <c r="I659" s="65" t="s">
        <v>273</v>
      </c>
      <c r="J659" s="65" t="s">
        <v>274</v>
      </c>
      <c r="K659" s="65" t="s">
        <v>37</v>
      </c>
      <c r="L659" s="65" t="s">
        <v>2763</v>
      </c>
      <c r="M659" s="65" t="s">
        <v>2764</v>
      </c>
      <c r="N659" s="65" t="s">
        <v>277</v>
      </c>
      <c r="O659" s="65" t="s">
        <v>2769</v>
      </c>
      <c r="P659" s="65" t="s">
        <v>130</v>
      </c>
      <c r="Q659" s="65">
        <v>1</v>
      </c>
      <c r="R659" s="65" t="s">
        <v>42</v>
      </c>
      <c r="S659" s="65" t="s">
        <v>44</v>
      </c>
      <c r="T659" s="65" t="s">
        <v>44</v>
      </c>
      <c r="U659" s="65" t="s">
        <v>45</v>
      </c>
      <c r="V659" s="65" t="s">
        <v>60</v>
      </c>
      <c r="W659" s="65">
        <v>152.54</v>
      </c>
      <c r="X659" s="65" t="s">
        <v>47</v>
      </c>
      <c r="Y659" s="65" t="s">
        <v>48</v>
      </c>
      <c r="Z659" s="65" t="s">
        <v>49</v>
      </c>
      <c r="AA659" s="65">
        <v>950133748</v>
      </c>
      <c r="AB659" s="65" t="s">
        <v>279</v>
      </c>
    </row>
    <row r="660" spans="1:28" x14ac:dyDescent="0.3">
      <c r="A660" s="1">
        <v>46280</v>
      </c>
      <c r="B660" s="65" t="s">
        <v>2770</v>
      </c>
      <c r="C660" s="65" t="s">
        <v>268</v>
      </c>
      <c r="D660" s="65" t="s">
        <v>2771</v>
      </c>
      <c r="E660" s="65" t="s">
        <v>31</v>
      </c>
      <c r="F660" s="65" t="s">
        <v>2772</v>
      </c>
      <c r="G660" s="65" t="s">
        <v>2773</v>
      </c>
      <c r="H660" s="65" t="s">
        <v>2774</v>
      </c>
      <c r="I660" s="65" t="s">
        <v>273</v>
      </c>
      <c r="J660" s="65" t="s">
        <v>274</v>
      </c>
      <c r="K660" s="65" t="s">
        <v>37</v>
      </c>
      <c r="L660" s="65" t="s">
        <v>2775</v>
      </c>
      <c r="M660" s="65" t="s">
        <v>2776</v>
      </c>
      <c r="N660" s="65" t="s">
        <v>277</v>
      </c>
      <c r="O660" s="65" t="s">
        <v>2777</v>
      </c>
      <c r="P660" s="65" t="s">
        <v>59</v>
      </c>
      <c r="Q660" s="65">
        <v>2</v>
      </c>
      <c r="R660" s="65" t="s">
        <v>42</v>
      </c>
      <c r="S660" s="65" t="s">
        <v>44</v>
      </c>
      <c r="T660" s="65" t="s">
        <v>44</v>
      </c>
      <c r="U660" s="65" t="s">
        <v>45</v>
      </c>
      <c r="V660" s="65" t="s">
        <v>60</v>
      </c>
      <c r="W660" s="65">
        <v>203.39</v>
      </c>
      <c r="X660" s="65" t="s">
        <v>61</v>
      </c>
      <c r="Y660" s="65" t="s">
        <v>48</v>
      </c>
      <c r="Z660" s="65" t="s">
        <v>49</v>
      </c>
      <c r="AA660" s="65">
        <v>950133748</v>
      </c>
      <c r="AB660" s="65" t="s">
        <v>279</v>
      </c>
    </row>
    <row r="661" spans="1:28" x14ac:dyDescent="0.3">
      <c r="A661" s="1">
        <v>46281</v>
      </c>
      <c r="B661" s="65" t="s">
        <v>2778</v>
      </c>
      <c r="C661" s="65" t="s">
        <v>268</v>
      </c>
      <c r="D661" s="65" t="s">
        <v>2779</v>
      </c>
      <c r="E661" s="65" t="s">
        <v>31</v>
      </c>
      <c r="F661" s="65" t="s">
        <v>2780</v>
      </c>
      <c r="G661" s="65" t="s">
        <v>605</v>
      </c>
      <c r="H661" s="65" t="s">
        <v>606</v>
      </c>
      <c r="I661" s="65" t="s">
        <v>2739</v>
      </c>
      <c r="J661" s="65" t="s">
        <v>209</v>
      </c>
      <c r="K661" s="65" t="s">
        <v>37</v>
      </c>
      <c r="L661" s="65" t="s">
        <v>607</v>
      </c>
      <c r="M661" s="65" t="s">
        <v>608</v>
      </c>
      <c r="N661" s="65" t="s">
        <v>2739</v>
      </c>
      <c r="O661" s="65" t="s">
        <v>2781</v>
      </c>
      <c r="P661" s="65" t="s">
        <v>213</v>
      </c>
      <c r="Q661" s="65">
        <v>1</v>
      </c>
      <c r="R661" s="65" t="s">
        <v>42</v>
      </c>
      <c r="S661" s="65" t="s">
        <v>44</v>
      </c>
      <c r="T661" s="65" t="s">
        <v>44</v>
      </c>
      <c r="U661" s="65" t="s">
        <v>45</v>
      </c>
      <c r="V661" s="65" t="s">
        <v>60</v>
      </c>
      <c r="W661" s="65">
        <v>254.24</v>
      </c>
      <c r="X661" s="65" t="s">
        <v>61</v>
      </c>
      <c r="Y661" s="65" t="s">
        <v>48</v>
      </c>
      <c r="Z661" s="65" t="s">
        <v>49</v>
      </c>
      <c r="AA661" s="65"/>
      <c r="AB661" s="65"/>
    </row>
    <row r="662" spans="1:28" x14ac:dyDescent="0.3">
      <c r="A662" s="1">
        <v>46281</v>
      </c>
      <c r="B662" s="65" t="s">
        <v>2782</v>
      </c>
      <c r="C662" s="65" t="s">
        <v>29</v>
      </c>
      <c r="D662" s="65" t="s">
        <v>2783</v>
      </c>
      <c r="E662" s="65" t="s">
        <v>31</v>
      </c>
      <c r="F662" s="65" t="s">
        <v>2784</v>
      </c>
      <c r="G662" s="65" t="s">
        <v>2785</v>
      </c>
      <c r="H662" s="65" t="s">
        <v>2786</v>
      </c>
      <c r="I662" s="65" t="s">
        <v>662</v>
      </c>
      <c r="J662" s="65" t="s">
        <v>36</v>
      </c>
      <c r="K662" s="65" t="s">
        <v>37</v>
      </c>
      <c r="L662" s="65" t="s">
        <v>2787</v>
      </c>
      <c r="M662" s="65" t="s">
        <v>2788</v>
      </c>
      <c r="N662" s="65" t="s">
        <v>2785</v>
      </c>
      <c r="O662" s="65" t="s">
        <v>2789</v>
      </c>
      <c r="P662" s="65" t="s">
        <v>159</v>
      </c>
      <c r="Q662" s="65">
        <v>1</v>
      </c>
      <c r="R662" s="65" t="s">
        <v>42</v>
      </c>
      <c r="S662" s="65" t="s">
        <v>44</v>
      </c>
      <c r="T662" s="65" t="s">
        <v>44</v>
      </c>
      <c r="U662" s="65" t="s">
        <v>45</v>
      </c>
      <c r="V662" s="65" t="s">
        <v>46</v>
      </c>
      <c r="W662" s="65">
        <v>135.59</v>
      </c>
      <c r="X662" s="65" t="s">
        <v>47</v>
      </c>
      <c r="Y662" s="65" t="s">
        <v>48</v>
      </c>
      <c r="Z662" s="65" t="s">
        <v>49</v>
      </c>
      <c r="AA662" s="65">
        <v>997145685</v>
      </c>
      <c r="AB662" s="65" t="s">
        <v>666</v>
      </c>
    </row>
    <row r="663" spans="1:28" x14ac:dyDescent="0.3">
      <c r="A663" s="1">
        <v>46281</v>
      </c>
      <c r="B663" s="65" t="s">
        <v>4274</v>
      </c>
      <c r="C663" s="65" t="s">
        <v>29</v>
      </c>
      <c r="D663" s="65" t="s">
        <v>4275</v>
      </c>
      <c r="E663" s="65" t="s">
        <v>31</v>
      </c>
      <c r="F663" s="65" t="s">
        <v>4276</v>
      </c>
      <c r="G663" s="65" t="s">
        <v>4277</v>
      </c>
      <c r="H663" s="65" t="s">
        <v>4278</v>
      </c>
      <c r="I663" s="65" t="s">
        <v>136</v>
      </c>
      <c r="J663" s="65" t="s">
        <v>137</v>
      </c>
      <c r="K663" s="65" t="s">
        <v>37</v>
      </c>
      <c r="L663" s="65" t="s">
        <v>4279</v>
      </c>
      <c r="M663" s="65" t="s">
        <v>4280</v>
      </c>
      <c r="N663" s="65" t="s">
        <v>4277</v>
      </c>
      <c r="O663" s="65" t="s">
        <v>4281</v>
      </c>
      <c r="P663" s="65" t="s">
        <v>159</v>
      </c>
      <c r="Q663" s="65">
        <v>1</v>
      </c>
      <c r="R663" s="65" t="s">
        <v>42</v>
      </c>
      <c r="S663" s="65" t="s">
        <v>44</v>
      </c>
      <c r="T663" s="65" t="s">
        <v>44</v>
      </c>
      <c r="U663" s="65" t="s">
        <v>45</v>
      </c>
      <c r="V663" s="65" t="s">
        <v>60</v>
      </c>
      <c r="W663" s="65">
        <v>135.59</v>
      </c>
      <c r="X663" s="65" t="s">
        <v>47</v>
      </c>
      <c r="Y663" s="65" t="s">
        <v>48</v>
      </c>
      <c r="Z663" s="65" t="s">
        <v>49</v>
      </c>
      <c r="AA663" s="65">
        <v>987407712</v>
      </c>
      <c r="AB663" s="65" t="s">
        <v>141</v>
      </c>
    </row>
    <row r="664" spans="1:28" x14ac:dyDescent="0.3">
      <c r="A664" s="1">
        <v>46282</v>
      </c>
      <c r="B664" s="65" t="s">
        <v>2790</v>
      </c>
      <c r="C664" s="65" t="s">
        <v>29</v>
      </c>
      <c r="D664" s="65" t="s">
        <v>2791</v>
      </c>
      <c r="E664" s="65" t="s">
        <v>31</v>
      </c>
      <c r="F664" s="65" t="s">
        <v>2792</v>
      </c>
      <c r="G664" s="65" t="s">
        <v>2793</v>
      </c>
      <c r="H664" s="65" t="s">
        <v>2794</v>
      </c>
      <c r="I664" s="65" t="s">
        <v>715</v>
      </c>
      <c r="J664" s="65" t="s">
        <v>716</v>
      </c>
      <c r="K664" s="65" t="s">
        <v>37</v>
      </c>
      <c r="L664" s="65" t="s">
        <v>2796</v>
      </c>
      <c r="M664" s="65" t="s">
        <v>2797</v>
      </c>
      <c r="N664" s="65" t="s">
        <v>2793</v>
      </c>
      <c r="O664" s="65" t="s">
        <v>2798</v>
      </c>
      <c r="P664" s="65" t="s">
        <v>130</v>
      </c>
      <c r="Q664" s="65">
        <v>1</v>
      </c>
      <c r="R664" s="65" t="s">
        <v>42</v>
      </c>
      <c r="S664" s="65" t="s">
        <v>44</v>
      </c>
      <c r="T664" s="65" t="s">
        <v>44</v>
      </c>
      <c r="U664" s="65" t="s">
        <v>45</v>
      </c>
      <c r="V664" s="65" t="s">
        <v>46</v>
      </c>
      <c r="W664" s="65">
        <v>152.54</v>
      </c>
      <c r="X664" s="65" t="s">
        <v>47</v>
      </c>
      <c r="Y664" s="65" t="s">
        <v>48</v>
      </c>
      <c r="Z664" s="65" t="s">
        <v>49</v>
      </c>
      <c r="AA664" s="65">
        <v>955356636</v>
      </c>
      <c r="AB664" s="65" t="s">
        <v>720</v>
      </c>
    </row>
    <row r="665" spans="1:28" x14ac:dyDescent="0.3">
      <c r="A665" s="1">
        <v>46282</v>
      </c>
      <c r="B665" s="65" t="s">
        <v>2799</v>
      </c>
      <c r="C665" s="65" t="s">
        <v>399</v>
      </c>
      <c r="D665" s="65" t="s">
        <v>2791</v>
      </c>
      <c r="E665" s="65" t="s">
        <v>400</v>
      </c>
      <c r="F665" s="65" t="s">
        <v>2800</v>
      </c>
      <c r="G665" s="65" t="s">
        <v>2793</v>
      </c>
      <c r="H665" s="65" t="s">
        <v>2794</v>
      </c>
      <c r="I665" s="65" t="s">
        <v>715</v>
      </c>
      <c r="J665" s="65" t="s">
        <v>716</v>
      </c>
      <c r="K665" s="65" t="s">
        <v>400</v>
      </c>
      <c r="L665" s="65" t="s">
        <v>2796</v>
      </c>
      <c r="M665" s="65" t="s">
        <v>2797</v>
      </c>
      <c r="N665" s="65" t="s">
        <v>2793</v>
      </c>
      <c r="O665" s="65" t="s">
        <v>2798</v>
      </c>
      <c r="P665" s="65" t="s">
        <v>130</v>
      </c>
      <c r="Q665" s="65">
        <v>1</v>
      </c>
      <c r="R665" s="65" t="s">
        <v>42</v>
      </c>
      <c r="S665" s="65" t="s">
        <v>44</v>
      </c>
      <c r="T665" s="65" t="s">
        <v>44</v>
      </c>
      <c r="U665" s="65" t="s">
        <v>45</v>
      </c>
      <c r="V665" s="65" t="s">
        <v>46</v>
      </c>
      <c r="W665" s="65">
        <v>-152.54</v>
      </c>
      <c r="X665" s="65" t="s">
        <v>47</v>
      </c>
      <c r="Y665" s="65" t="s">
        <v>48</v>
      </c>
      <c r="Z665" s="65" t="s">
        <v>49</v>
      </c>
      <c r="AA665" s="65">
        <v>955356636</v>
      </c>
      <c r="AB665" s="65" t="s">
        <v>720</v>
      </c>
    </row>
    <row r="666" spans="1:28" x14ac:dyDescent="0.3">
      <c r="A666" s="1">
        <v>46282</v>
      </c>
      <c r="B666" s="65" t="s">
        <v>2801</v>
      </c>
      <c r="C666" s="65" t="s">
        <v>29</v>
      </c>
      <c r="D666" s="65" t="s">
        <v>2802</v>
      </c>
      <c r="E666" s="65" t="s">
        <v>31</v>
      </c>
      <c r="F666" s="65" t="s">
        <v>2803</v>
      </c>
      <c r="G666" s="65" t="s">
        <v>2804</v>
      </c>
      <c r="H666" s="65" t="s">
        <v>2805</v>
      </c>
      <c r="I666" s="65" t="s">
        <v>4282</v>
      </c>
      <c r="J666" s="65"/>
      <c r="K666" s="65" t="s">
        <v>37</v>
      </c>
      <c r="L666" s="65" t="s">
        <v>2806</v>
      </c>
      <c r="M666" s="65" t="s">
        <v>2807</v>
      </c>
      <c r="N666" s="65" t="s">
        <v>2804</v>
      </c>
      <c r="O666" s="65" t="s">
        <v>2808</v>
      </c>
      <c r="P666" s="65" t="s">
        <v>1565</v>
      </c>
      <c r="Q666" s="65">
        <v>1</v>
      </c>
      <c r="R666" s="65" t="s">
        <v>42</v>
      </c>
      <c r="S666" s="65" t="s">
        <v>44</v>
      </c>
      <c r="T666" s="65" t="s">
        <v>44</v>
      </c>
      <c r="U666" s="65" t="s">
        <v>45</v>
      </c>
      <c r="V666" s="65" t="s">
        <v>46</v>
      </c>
      <c r="W666" s="65">
        <v>152.54</v>
      </c>
      <c r="X666" s="65" t="s">
        <v>61</v>
      </c>
      <c r="Y666" s="65" t="s">
        <v>48</v>
      </c>
      <c r="Z666" s="65" t="s">
        <v>49</v>
      </c>
      <c r="AA666" s="65"/>
      <c r="AB666" s="65"/>
    </row>
    <row r="667" spans="1:28" x14ac:dyDescent="0.3">
      <c r="A667" s="1">
        <v>46282</v>
      </c>
      <c r="B667" s="65" t="s">
        <v>2809</v>
      </c>
      <c r="C667" s="65" t="s">
        <v>29</v>
      </c>
      <c r="D667" s="65" t="s">
        <v>2810</v>
      </c>
      <c r="E667" s="65" t="s">
        <v>31</v>
      </c>
      <c r="F667" s="65" t="s">
        <v>2811</v>
      </c>
      <c r="G667" s="65" t="s">
        <v>2812</v>
      </c>
      <c r="H667" s="65" t="s">
        <v>2813</v>
      </c>
      <c r="I667" s="65" t="s">
        <v>1153</v>
      </c>
      <c r="J667" s="65" t="s">
        <v>1154</v>
      </c>
      <c r="K667" s="65" t="s">
        <v>37</v>
      </c>
      <c r="L667" s="65" t="s">
        <v>2814</v>
      </c>
      <c r="M667" s="65" t="s">
        <v>2815</v>
      </c>
      <c r="N667" s="65" t="s">
        <v>2812</v>
      </c>
      <c r="O667" s="65" t="s">
        <v>2816</v>
      </c>
      <c r="P667" s="65" t="s">
        <v>202</v>
      </c>
      <c r="Q667" s="65">
        <v>1</v>
      </c>
      <c r="R667" s="65" t="s">
        <v>42</v>
      </c>
      <c r="S667" s="65" t="s">
        <v>44</v>
      </c>
      <c r="T667" s="65" t="s">
        <v>44</v>
      </c>
      <c r="U667" s="65" t="s">
        <v>45</v>
      </c>
      <c r="V667" s="65" t="s">
        <v>60</v>
      </c>
      <c r="W667" s="65">
        <v>135.59</v>
      </c>
      <c r="X667" s="65" t="s">
        <v>47</v>
      </c>
      <c r="Y667" s="65" t="s">
        <v>48</v>
      </c>
      <c r="Z667" s="65" t="s">
        <v>49</v>
      </c>
      <c r="AA667" s="65">
        <v>995868651</v>
      </c>
      <c r="AB667" s="65" t="s">
        <v>1158</v>
      </c>
    </row>
    <row r="668" spans="1:28" x14ac:dyDescent="0.3">
      <c r="A668" s="1">
        <v>46282</v>
      </c>
      <c r="B668" s="65" t="s">
        <v>2817</v>
      </c>
      <c r="C668" s="65" t="s">
        <v>29</v>
      </c>
      <c r="D668" s="65" t="s">
        <v>2818</v>
      </c>
      <c r="E668" s="65" t="s">
        <v>31</v>
      </c>
      <c r="F668" s="65" t="s">
        <v>2819</v>
      </c>
      <c r="G668" s="65" t="s">
        <v>2820</v>
      </c>
      <c r="H668" s="65" t="s">
        <v>2821</v>
      </c>
      <c r="I668" s="65" t="s">
        <v>477</v>
      </c>
      <c r="J668" s="65" t="s">
        <v>209</v>
      </c>
      <c r="K668" s="65" t="s">
        <v>37</v>
      </c>
      <c r="L668" s="65" t="s">
        <v>2822</v>
      </c>
      <c r="M668" s="65" t="s">
        <v>2823</v>
      </c>
      <c r="N668" s="65" t="s">
        <v>2820</v>
      </c>
      <c r="O668" s="65" t="s">
        <v>2824</v>
      </c>
      <c r="P668" s="65" t="s">
        <v>101</v>
      </c>
      <c r="Q668" s="65">
        <v>1</v>
      </c>
      <c r="R668" s="65" t="s">
        <v>70</v>
      </c>
      <c r="S668" s="65" t="s">
        <v>43</v>
      </c>
      <c r="T668" s="65" t="s">
        <v>44</v>
      </c>
      <c r="U668" s="65" t="s">
        <v>71</v>
      </c>
      <c r="V668" s="65" t="s">
        <v>72</v>
      </c>
      <c r="W668" s="65">
        <v>186.44</v>
      </c>
      <c r="X668" s="65" t="s">
        <v>47</v>
      </c>
      <c r="Y668" s="65" t="s">
        <v>48</v>
      </c>
      <c r="Z668" s="65" t="s">
        <v>73</v>
      </c>
      <c r="AA668" s="65">
        <v>982536223</v>
      </c>
      <c r="AB668" s="65" t="s">
        <v>482</v>
      </c>
    </row>
    <row r="669" spans="1:28" x14ac:dyDescent="0.3">
      <c r="A669" s="1">
        <v>46282</v>
      </c>
      <c r="B669" s="65" t="s">
        <v>2825</v>
      </c>
      <c r="C669" s="65" t="s">
        <v>268</v>
      </c>
      <c r="D669" s="65" t="s">
        <v>2826</v>
      </c>
      <c r="E669" s="65" t="s">
        <v>31</v>
      </c>
      <c r="F669" s="65" t="s">
        <v>2827</v>
      </c>
      <c r="G669" s="65" t="s">
        <v>2828</v>
      </c>
      <c r="H669" s="65" t="s">
        <v>2829</v>
      </c>
      <c r="I669" s="65" t="s">
        <v>3030</v>
      </c>
      <c r="J669" s="65" t="s">
        <v>775</v>
      </c>
      <c r="K669" s="65" t="s">
        <v>37</v>
      </c>
      <c r="L669" s="65" t="s">
        <v>2830</v>
      </c>
      <c r="M669" s="65" t="s">
        <v>2831</v>
      </c>
      <c r="N669" s="65" t="s">
        <v>2832</v>
      </c>
      <c r="O669" s="65" t="s">
        <v>2833</v>
      </c>
      <c r="P669" s="65" t="s">
        <v>41</v>
      </c>
      <c r="Q669" s="65">
        <v>1</v>
      </c>
      <c r="R669" s="65" t="s">
        <v>42</v>
      </c>
      <c r="S669" s="65" t="s">
        <v>44</v>
      </c>
      <c r="T669" s="65" t="s">
        <v>44</v>
      </c>
      <c r="U669" s="65" t="s">
        <v>45</v>
      </c>
      <c r="V669" s="65" t="s">
        <v>60</v>
      </c>
      <c r="W669" s="65">
        <v>186.44</v>
      </c>
      <c r="X669" s="65" t="s">
        <v>47</v>
      </c>
      <c r="Y669" s="65" t="s">
        <v>48</v>
      </c>
      <c r="Z669" s="65" t="s">
        <v>49</v>
      </c>
      <c r="AA669" s="65">
        <v>937242809</v>
      </c>
      <c r="AB669" s="65" t="s">
        <v>3031</v>
      </c>
    </row>
    <row r="670" spans="1:28" x14ac:dyDescent="0.3">
      <c r="A670" s="1">
        <v>46283</v>
      </c>
      <c r="B670" s="65" t="s">
        <v>4283</v>
      </c>
      <c r="C670" s="65" t="s">
        <v>29</v>
      </c>
      <c r="D670" s="65" t="s">
        <v>4284</v>
      </c>
      <c r="E670" s="65" t="s">
        <v>31</v>
      </c>
      <c r="F670" s="65" t="s">
        <v>4285</v>
      </c>
      <c r="G670" s="65" t="s">
        <v>4286</v>
      </c>
      <c r="H670" s="65" t="s">
        <v>4287</v>
      </c>
      <c r="I670" s="65" t="s">
        <v>136</v>
      </c>
      <c r="J670" s="65" t="s">
        <v>137</v>
      </c>
      <c r="K670" s="65" t="s">
        <v>37</v>
      </c>
      <c r="L670" s="65" t="s">
        <v>4288</v>
      </c>
      <c r="M670" s="65" t="s">
        <v>4289</v>
      </c>
      <c r="N670" s="65" t="s">
        <v>4286</v>
      </c>
      <c r="O670" s="65" t="s">
        <v>4290</v>
      </c>
      <c r="P670" s="65" t="s">
        <v>130</v>
      </c>
      <c r="Q670" s="65">
        <v>1</v>
      </c>
      <c r="R670" s="65" t="s">
        <v>42</v>
      </c>
      <c r="S670" s="65" t="s">
        <v>44</v>
      </c>
      <c r="T670" s="65" t="s">
        <v>44</v>
      </c>
      <c r="U670" s="65" t="s">
        <v>71</v>
      </c>
      <c r="V670" s="65" t="s">
        <v>72</v>
      </c>
      <c r="W670" s="65">
        <v>152.54</v>
      </c>
      <c r="X670" s="65" t="s">
        <v>47</v>
      </c>
      <c r="Y670" s="65" t="s">
        <v>48</v>
      </c>
      <c r="Z670" s="65" t="s">
        <v>73</v>
      </c>
      <c r="AA670" s="65">
        <v>987407712</v>
      </c>
      <c r="AB670" s="65" t="s">
        <v>141</v>
      </c>
    </row>
    <row r="671" spans="1:28" x14ac:dyDescent="0.3">
      <c r="A671" s="1">
        <v>46283</v>
      </c>
      <c r="B671" s="65" t="s">
        <v>4291</v>
      </c>
      <c r="C671" s="65" t="s">
        <v>29</v>
      </c>
      <c r="D671" s="65" t="s">
        <v>4292</v>
      </c>
      <c r="E671" s="65" t="s">
        <v>31</v>
      </c>
      <c r="F671" s="65" t="s">
        <v>4293</v>
      </c>
      <c r="G671" s="65" t="s">
        <v>4294</v>
      </c>
      <c r="H671" s="65" t="s">
        <v>4295</v>
      </c>
      <c r="I671" s="65" t="s">
        <v>1440</v>
      </c>
      <c r="J671" s="65" t="s">
        <v>1098</v>
      </c>
      <c r="K671" s="65" t="s">
        <v>37</v>
      </c>
      <c r="L671" s="65" t="s">
        <v>4296</v>
      </c>
      <c r="M671" s="65" t="s">
        <v>4297</v>
      </c>
      <c r="N671" s="65" t="s">
        <v>4294</v>
      </c>
      <c r="O671" s="65" t="s">
        <v>4298</v>
      </c>
      <c r="P671" s="65" t="s">
        <v>130</v>
      </c>
      <c r="Q671" s="65">
        <v>1</v>
      </c>
      <c r="R671" s="65" t="s">
        <v>42</v>
      </c>
      <c r="S671" s="65" t="s">
        <v>44</v>
      </c>
      <c r="T671" s="65" t="s">
        <v>44</v>
      </c>
      <c r="U671" s="65" t="s">
        <v>71</v>
      </c>
      <c r="V671" s="65" t="s">
        <v>72</v>
      </c>
      <c r="W671" s="65">
        <v>152.54</v>
      </c>
      <c r="X671" s="65" t="s">
        <v>47</v>
      </c>
      <c r="Y671" s="65" t="s">
        <v>48</v>
      </c>
      <c r="Z671" s="65" t="s">
        <v>73</v>
      </c>
      <c r="AA671" s="65">
        <v>999418834</v>
      </c>
      <c r="AB671" s="65" t="s">
        <v>1442</v>
      </c>
    </row>
    <row r="672" spans="1:28" x14ac:dyDescent="0.3">
      <c r="A672" s="1">
        <v>46284</v>
      </c>
      <c r="B672" s="65" t="s">
        <v>2834</v>
      </c>
      <c r="C672" s="65" t="s">
        <v>29</v>
      </c>
      <c r="D672" s="65" t="s">
        <v>2835</v>
      </c>
      <c r="E672" s="65" t="s">
        <v>31</v>
      </c>
      <c r="F672" s="65" t="s">
        <v>2836</v>
      </c>
      <c r="G672" s="65" t="s">
        <v>2837</v>
      </c>
      <c r="H672" s="65" t="s">
        <v>2838</v>
      </c>
      <c r="I672" s="65" t="s">
        <v>1108</v>
      </c>
      <c r="J672" s="65" t="s">
        <v>209</v>
      </c>
      <c r="K672" s="65" t="s">
        <v>37</v>
      </c>
      <c r="L672" s="65" t="s">
        <v>2839</v>
      </c>
      <c r="M672" s="65" t="s">
        <v>2840</v>
      </c>
      <c r="N672" s="65" t="s">
        <v>2837</v>
      </c>
      <c r="O672" s="65" t="s">
        <v>2841</v>
      </c>
      <c r="P672" s="65" t="s">
        <v>130</v>
      </c>
      <c r="Q672" s="65">
        <v>1</v>
      </c>
      <c r="R672" s="65" t="s">
        <v>70</v>
      </c>
      <c r="S672" s="65" t="s">
        <v>43</v>
      </c>
      <c r="T672" s="65" t="s">
        <v>44</v>
      </c>
      <c r="U672" s="65" t="s">
        <v>71</v>
      </c>
      <c r="V672" s="65" t="s">
        <v>72</v>
      </c>
      <c r="W672" s="65">
        <v>152.54</v>
      </c>
      <c r="X672" s="65" t="s">
        <v>47</v>
      </c>
      <c r="Y672" s="65" t="s">
        <v>48</v>
      </c>
      <c r="Z672" s="65" t="s">
        <v>73</v>
      </c>
      <c r="AA672" s="65">
        <v>970582106</v>
      </c>
      <c r="AB672" s="65" t="s">
        <v>1113</v>
      </c>
    </row>
    <row r="673" spans="1:28" x14ac:dyDescent="0.3">
      <c r="A673" s="1">
        <v>46284</v>
      </c>
      <c r="B673" s="65" t="s">
        <v>2842</v>
      </c>
      <c r="C673" s="65" t="s">
        <v>29</v>
      </c>
      <c r="D673" s="65" t="s">
        <v>2843</v>
      </c>
      <c r="E673" s="65" t="s">
        <v>31</v>
      </c>
      <c r="F673" s="65" t="s">
        <v>2844</v>
      </c>
      <c r="G673" s="65" t="s">
        <v>2845</v>
      </c>
      <c r="H673" s="65" t="s">
        <v>2846</v>
      </c>
      <c r="I673" s="65" t="s">
        <v>774</v>
      </c>
      <c r="J673" s="65" t="s">
        <v>775</v>
      </c>
      <c r="K673" s="65" t="s">
        <v>37</v>
      </c>
      <c r="L673" s="65" t="s">
        <v>2847</v>
      </c>
      <c r="M673" s="65" t="s">
        <v>2848</v>
      </c>
      <c r="N673" s="65" t="s">
        <v>2845</v>
      </c>
      <c r="O673" s="65" t="s">
        <v>2849</v>
      </c>
      <c r="P673" s="65" t="s">
        <v>90</v>
      </c>
      <c r="Q673" s="65">
        <v>1</v>
      </c>
      <c r="R673" s="65" t="s">
        <v>42</v>
      </c>
      <c r="S673" s="65" t="s">
        <v>44</v>
      </c>
      <c r="T673" s="65" t="s">
        <v>44</v>
      </c>
      <c r="U673" s="65" t="s">
        <v>45</v>
      </c>
      <c r="V673" s="65" t="s">
        <v>60</v>
      </c>
      <c r="W673" s="65">
        <v>135.59</v>
      </c>
      <c r="X673" s="65" t="s">
        <v>47</v>
      </c>
      <c r="Y673" s="65" t="s">
        <v>48</v>
      </c>
      <c r="Z673" s="65" t="s">
        <v>49</v>
      </c>
      <c r="AA673" s="65"/>
      <c r="AB673" s="65"/>
    </row>
    <row r="674" spans="1:28" x14ac:dyDescent="0.3">
      <c r="A674" s="1">
        <v>46284</v>
      </c>
      <c r="B674" s="65" t="s">
        <v>2850</v>
      </c>
      <c r="C674" s="65" t="s">
        <v>29</v>
      </c>
      <c r="D674" s="65" t="s">
        <v>2851</v>
      </c>
      <c r="E674" s="65" t="s">
        <v>31</v>
      </c>
      <c r="F674" s="65" t="s">
        <v>2852</v>
      </c>
      <c r="G674" s="65" t="s">
        <v>2853</v>
      </c>
      <c r="H674" s="65" t="s">
        <v>2854</v>
      </c>
      <c r="I674" s="65" t="s">
        <v>136</v>
      </c>
      <c r="J674" s="65" t="s">
        <v>137</v>
      </c>
      <c r="K674" s="65" t="s">
        <v>37</v>
      </c>
      <c r="L674" s="65" t="s">
        <v>2855</v>
      </c>
      <c r="M674" s="65" t="s">
        <v>2856</v>
      </c>
      <c r="N674" s="65" t="s">
        <v>2853</v>
      </c>
      <c r="O674" s="65" t="s">
        <v>2857</v>
      </c>
      <c r="P674" s="65" t="s">
        <v>201</v>
      </c>
      <c r="Q674" s="65">
        <v>1</v>
      </c>
      <c r="R674" s="65" t="s">
        <v>42</v>
      </c>
      <c r="S674" s="65" t="s">
        <v>44</v>
      </c>
      <c r="T674" s="65" t="s">
        <v>44</v>
      </c>
      <c r="U674" s="65" t="s">
        <v>45</v>
      </c>
      <c r="V674" s="65" t="s">
        <v>60</v>
      </c>
      <c r="W674" s="65">
        <v>152.54</v>
      </c>
      <c r="X674" s="65" t="s">
        <v>47</v>
      </c>
      <c r="Y674" s="65" t="s">
        <v>48</v>
      </c>
      <c r="Z674" s="65" t="s">
        <v>49</v>
      </c>
      <c r="AA674" s="65">
        <v>987407712</v>
      </c>
      <c r="AB674" s="65" t="s">
        <v>141</v>
      </c>
    </row>
    <row r="675" spans="1:28" x14ac:dyDescent="0.3">
      <c r="A675" s="1">
        <v>46284</v>
      </c>
      <c r="B675" s="65" t="s">
        <v>4299</v>
      </c>
      <c r="C675" s="65" t="s">
        <v>268</v>
      </c>
      <c r="D675" s="65" t="s">
        <v>4300</v>
      </c>
      <c r="E675" s="65" t="s">
        <v>31</v>
      </c>
      <c r="F675" s="65" t="s">
        <v>4301</v>
      </c>
      <c r="G675" s="65" t="s">
        <v>4302</v>
      </c>
      <c r="H675" s="65" t="s">
        <v>4303</v>
      </c>
      <c r="I675" s="65" t="s">
        <v>273</v>
      </c>
      <c r="J675" s="65" t="s">
        <v>274</v>
      </c>
      <c r="K675" s="65" t="s">
        <v>37</v>
      </c>
      <c r="L675" s="65" t="s">
        <v>4304</v>
      </c>
      <c r="M675" s="65" t="s">
        <v>4305</v>
      </c>
      <c r="N675" s="65" t="s">
        <v>4306</v>
      </c>
      <c r="O675" s="65" t="s">
        <v>4307</v>
      </c>
      <c r="P675" s="65" t="s">
        <v>159</v>
      </c>
      <c r="Q675" s="65">
        <v>1</v>
      </c>
      <c r="R675" s="65" t="s">
        <v>42</v>
      </c>
      <c r="S675" s="65" t="s">
        <v>44</v>
      </c>
      <c r="T675" s="65" t="s">
        <v>44</v>
      </c>
      <c r="U675" s="65" t="s">
        <v>71</v>
      </c>
      <c r="V675" s="65" t="s">
        <v>184</v>
      </c>
      <c r="W675" s="65">
        <v>135.59</v>
      </c>
      <c r="X675" s="65" t="s">
        <v>47</v>
      </c>
      <c r="Y675" s="65" t="s">
        <v>48</v>
      </c>
      <c r="Z675" s="65" t="s">
        <v>73</v>
      </c>
      <c r="AA675" s="65">
        <v>950133748</v>
      </c>
      <c r="AB675" s="65" t="s">
        <v>279</v>
      </c>
    </row>
    <row r="676" spans="1:28" x14ac:dyDescent="0.3">
      <c r="A676" s="1">
        <v>46284</v>
      </c>
      <c r="B676" s="65" t="s">
        <v>4308</v>
      </c>
      <c r="C676" s="65" t="s">
        <v>29</v>
      </c>
      <c r="D676" s="65" t="s">
        <v>4309</v>
      </c>
      <c r="E676" s="65" t="s">
        <v>31</v>
      </c>
      <c r="F676" s="65" t="s">
        <v>4310</v>
      </c>
      <c r="G676" s="65" t="s">
        <v>4311</v>
      </c>
      <c r="H676" s="65" t="s">
        <v>4312</v>
      </c>
      <c r="I676" s="65"/>
      <c r="J676" s="65"/>
      <c r="K676" s="65" t="s">
        <v>37</v>
      </c>
      <c r="L676" s="65" t="s">
        <v>4313</v>
      </c>
      <c r="M676" s="65" t="s">
        <v>4314</v>
      </c>
      <c r="N676" s="65" t="s">
        <v>4311</v>
      </c>
      <c r="O676" s="65" t="s">
        <v>4315</v>
      </c>
      <c r="P676" s="65" t="s">
        <v>90</v>
      </c>
      <c r="Q676" s="65">
        <v>1</v>
      </c>
      <c r="R676" s="65" t="s">
        <v>42</v>
      </c>
      <c r="S676" s="65" t="s">
        <v>44</v>
      </c>
      <c r="T676" s="65" t="s">
        <v>44</v>
      </c>
      <c r="U676" s="65" t="s">
        <v>531</v>
      </c>
      <c r="V676" s="65" t="s">
        <v>1965</v>
      </c>
      <c r="W676" s="65">
        <v>135.59</v>
      </c>
      <c r="X676" s="65" t="s">
        <v>47</v>
      </c>
      <c r="Y676" s="65" t="s">
        <v>48</v>
      </c>
      <c r="Z676" s="65" t="s">
        <v>534</v>
      </c>
      <c r="AA676" s="65"/>
      <c r="AB676" s="65"/>
    </row>
    <row r="677" spans="1:28" x14ac:dyDescent="0.3">
      <c r="A677" s="1">
        <v>46284</v>
      </c>
      <c r="B677" s="65" t="s">
        <v>4316</v>
      </c>
      <c r="C677" s="65" t="s">
        <v>29</v>
      </c>
      <c r="D677" s="65" t="s">
        <v>4317</v>
      </c>
      <c r="E677" s="65" t="s">
        <v>31</v>
      </c>
      <c r="F677" s="65" t="s">
        <v>4318</v>
      </c>
      <c r="G677" s="65" t="s">
        <v>4319</v>
      </c>
      <c r="H677" s="65" t="s">
        <v>4320</v>
      </c>
      <c r="I677" s="65" t="s">
        <v>774</v>
      </c>
      <c r="J677" s="65" t="s">
        <v>775</v>
      </c>
      <c r="K677" s="65" t="s">
        <v>37</v>
      </c>
      <c r="L677" s="65" t="s">
        <v>4321</v>
      </c>
      <c r="M677" s="65" t="s">
        <v>4322</v>
      </c>
      <c r="N677" s="65" t="s">
        <v>4319</v>
      </c>
      <c r="O677" s="65" t="s">
        <v>4323</v>
      </c>
      <c r="P677" s="65" t="s">
        <v>201</v>
      </c>
      <c r="Q677" s="65">
        <v>1</v>
      </c>
      <c r="R677" s="65" t="s">
        <v>42</v>
      </c>
      <c r="S677" s="65" t="s">
        <v>44</v>
      </c>
      <c r="T677" s="65" t="s">
        <v>44</v>
      </c>
      <c r="U677" s="65" t="s">
        <v>45</v>
      </c>
      <c r="V677" s="65" t="s">
        <v>60</v>
      </c>
      <c r="W677" s="65">
        <v>152.54</v>
      </c>
      <c r="X677" s="65" t="s">
        <v>47</v>
      </c>
      <c r="Y677" s="65" t="s">
        <v>48</v>
      </c>
      <c r="Z677" s="65" t="s">
        <v>49</v>
      </c>
      <c r="AA677" s="65"/>
      <c r="AB677" s="65"/>
    </row>
    <row r="678" spans="1:28" x14ac:dyDescent="0.3">
      <c r="A678" s="1">
        <v>46284</v>
      </c>
      <c r="B678" s="65" t="s">
        <v>4324</v>
      </c>
      <c r="C678" s="65" t="s">
        <v>29</v>
      </c>
      <c r="D678" s="65" t="s">
        <v>4325</v>
      </c>
      <c r="E678" s="65" t="s">
        <v>31</v>
      </c>
      <c r="F678" s="65" t="s">
        <v>4326</v>
      </c>
      <c r="G678" s="65" t="s">
        <v>4327</v>
      </c>
      <c r="H678" s="65" t="s">
        <v>4328</v>
      </c>
      <c r="I678" s="65"/>
      <c r="J678" s="65"/>
      <c r="K678" s="65" t="s">
        <v>37</v>
      </c>
      <c r="L678" s="65" t="s">
        <v>4329</v>
      </c>
      <c r="M678" s="65" t="s">
        <v>4330</v>
      </c>
      <c r="N678" s="65" t="s">
        <v>4327</v>
      </c>
      <c r="O678" s="65" t="s">
        <v>4331</v>
      </c>
      <c r="P678" s="65" t="s">
        <v>202</v>
      </c>
      <c r="Q678" s="65">
        <v>1</v>
      </c>
      <c r="R678" s="65" t="s">
        <v>42</v>
      </c>
      <c r="S678" s="65" t="s">
        <v>44</v>
      </c>
      <c r="T678" s="65" t="s">
        <v>44</v>
      </c>
      <c r="U678" s="65" t="s">
        <v>45</v>
      </c>
      <c r="V678" s="65" t="s">
        <v>60</v>
      </c>
      <c r="W678" s="65">
        <v>135.59</v>
      </c>
      <c r="X678" s="65" t="s">
        <v>47</v>
      </c>
      <c r="Y678" s="65" t="s">
        <v>48</v>
      </c>
      <c r="Z678" s="65" t="s">
        <v>49</v>
      </c>
      <c r="AA678" s="65"/>
      <c r="AB678" s="65"/>
    </row>
    <row r="679" spans="1:28" x14ac:dyDescent="0.3">
      <c r="A679" s="1">
        <v>46284</v>
      </c>
      <c r="B679" s="65" t="s">
        <v>4324</v>
      </c>
      <c r="C679" s="65" t="s">
        <v>29</v>
      </c>
      <c r="D679" s="65" t="s">
        <v>4325</v>
      </c>
      <c r="E679" s="65" t="s">
        <v>31</v>
      </c>
      <c r="F679" s="65" t="s">
        <v>4326</v>
      </c>
      <c r="G679" s="65" t="s">
        <v>4327</v>
      </c>
      <c r="H679" s="65" t="s">
        <v>4328</v>
      </c>
      <c r="I679" s="65"/>
      <c r="J679" s="65"/>
      <c r="K679" s="65" t="s">
        <v>37</v>
      </c>
      <c r="L679" s="65" t="s">
        <v>4329</v>
      </c>
      <c r="M679" s="65" t="s">
        <v>4330</v>
      </c>
      <c r="N679" s="65" t="s">
        <v>4327</v>
      </c>
      <c r="O679" s="65" t="s">
        <v>4331</v>
      </c>
      <c r="P679" s="65" t="s">
        <v>201</v>
      </c>
      <c r="Q679" s="65">
        <v>1</v>
      </c>
      <c r="R679" s="65" t="s">
        <v>42</v>
      </c>
      <c r="S679" s="65" t="s">
        <v>44</v>
      </c>
      <c r="T679" s="65" t="s">
        <v>44</v>
      </c>
      <c r="U679" s="65" t="s">
        <v>45</v>
      </c>
      <c r="V679" s="65" t="s">
        <v>60</v>
      </c>
      <c r="W679" s="65">
        <v>152.54</v>
      </c>
      <c r="X679" s="65" t="s">
        <v>47</v>
      </c>
      <c r="Y679" s="65" t="s">
        <v>48</v>
      </c>
      <c r="Z679" s="65" t="s">
        <v>49</v>
      </c>
      <c r="AA679" s="65"/>
      <c r="AB679" s="65"/>
    </row>
    <row r="680" spans="1:28" x14ac:dyDescent="0.3">
      <c r="A680" s="1">
        <v>46284</v>
      </c>
      <c r="B680" s="65" t="s">
        <v>4332</v>
      </c>
      <c r="C680" s="65" t="s">
        <v>29</v>
      </c>
      <c r="D680" s="65" t="s">
        <v>4333</v>
      </c>
      <c r="E680" s="65" t="s">
        <v>31</v>
      </c>
      <c r="F680" s="65" t="s">
        <v>4334</v>
      </c>
      <c r="G680" s="65" t="s">
        <v>4335</v>
      </c>
      <c r="H680" s="65" t="s">
        <v>4336</v>
      </c>
      <c r="I680" s="65" t="s">
        <v>715</v>
      </c>
      <c r="J680" s="65" t="s">
        <v>716</v>
      </c>
      <c r="K680" s="65" t="s">
        <v>37</v>
      </c>
      <c r="L680" s="65" t="s">
        <v>4337</v>
      </c>
      <c r="M680" s="65" t="s">
        <v>4338</v>
      </c>
      <c r="N680" s="65" t="s">
        <v>4335</v>
      </c>
      <c r="O680" s="65" t="s">
        <v>4339</v>
      </c>
      <c r="P680" s="65" t="s">
        <v>90</v>
      </c>
      <c r="Q680" s="65">
        <v>1</v>
      </c>
      <c r="R680" s="65" t="s">
        <v>42</v>
      </c>
      <c r="S680" s="65" t="s">
        <v>44</v>
      </c>
      <c r="T680" s="65" t="s">
        <v>44</v>
      </c>
      <c r="U680" s="65" t="s">
        <v>531</v>
      </c>
      <c r="V680" s="65" t="s">
        <v>1965</v>
      </c>
      <c r="W680" s="65">
        <v>135.59</v>
      </c>
      <c r="X680" s="65" t="s">
        <v>47</v>
      </c>
      <c r="Y680" s="65" t="s">
        <v>48</v>
      </c>
      <c r="Z680" s="65" t="s">
        <v>534</v>
      </c>
      <c r="AA680" s="65">
        <v>955356636</v>
      </c>
      <c r="AB680" s="65" t="s">
        <v>720</v>
      </c>
    </row>
    <row r="681" spans="1:28" x14ac:dyDescent="0.3">
      <c r="A681" s="1">
        <v>46286</v>
      </c>
      <c r="B681" s="65" t="s">
        <v>2858</v>
      </c>
      <c r="C681" s="65" t="s">
        <v>29</v>
      </c>
      <c r="D681" s="65" t="s">
        <v>2859</v>
      </c>
      <c r="E681" s="65" t="s">
        <v>31</v>
      </c>
      <c r="F681" s="65" t="s">
        <v>2860</v>
      </c>
      <c r="G681" s="65" t="s">
        <v>2861</v>
      </c>
      <c r="H681" s="65" t="s">
        <v>2862</v>
      </c>
      <c r="I681" s="65" t="s">
        <v>136</v>
      </c>
      <c r="J681" s="65" t="s">
        <v>137</v>
      </c>
      <c r="K681" s="65" t="s">
        <v>37</v>
      </c>
      <c r="L681" s="65" t="s">
        <v>2863</v>
      </c>
      <c r="M681" s="65" t="s">
        <v>2864</v>
      </c>
      <c r="N681" s="65" t="s">
        <v>2861</v>
      </c>
      <c r="O681" s="65" t="s">
        <v>2865</v>
      </c>
      <c r="P681" s="65" t="s">
        <v>90</v>
      </c>
      <c r="Q681" s="65">
        <v>1</v>
      </c>
      <c r="R681" s="65" t="s">
        <v>42</v>
      </c>
      <c r="S681" s="65" t="s">
        <v>44</v>
      </c>
      <c r="T681" s="65" t="s">
        <v>44</v>
      </c>
      <c r="U681" s="65" t="s">
        <v>45</v>
      </c>
      <c r="V681" s="65" t="s">
        <v>60</v>
      </c>
      <c r="W681" s="65">
        <v>135.59</v>
      </c>
      <c r="X681" s="65" t="s">
        <v>47</v>
      </c>
      <c r="Y681" s="65" t="s">
        <v>48</v>
      </c>
      <c r="Z681" s="65" t="s">
        <v>49</v>
      </c>
      <c r="AA681" s="65">
        <v>987407712</v>
      </c>
      <c r="AB681" s="65" t="s">
        <v>141</v>
      </c>
    </row>
    <row r="682" spans="1:28" x14ac:dyDescent="0.3">
      <c r="A682" s="1">
        <v>46286</v>
      </c>
      <c r="B682" s="65" t="s">
        <v>2858</v>
      </c>
      <c r="C682" s="65" t="s">
        <v>29</v>
      </c>
      <c r="D682" s="65" t="s">
        <v>2859</v>
      </c>
      <c r="E682" s="65" t="s">
        <v>31</v>
      </c>
      <c r="F682" s="65" t="s">
        <v>2860</v>
      </c>
      <c r="G682" s="65" t="s">
        <v>2861</v>
      </c>
      <c r="H682" s="65" t="s">
        <v>2862</v>
      </c>
      <c r="I682" s="65" t="s">
        <v>136</v>
      </c>
      <c r="J682" s="65" t="s">
        <v>137</v>
      </c>
      <c r="K682" s="65" t="s">
        <v>37</v>
      </c>
      <c r="L682" s="65" t="s">
        <v>2863</v>
      </c>
      <c r="M682" s="65" t="s">
        <v>2864</v>
      </c>
      <c r="N682" s="65" t="s">
        <v>2861</v>
      </c>
      <c r="O682" s="65" t="s">
        <v>2865</v>
      </c>
      <c r="P682" s="65" t="s">
        <v>202</v>
      </c>
      <c r="Q682" s="65">
        <v>1</v>
      </c>
      <c r="R682" s="65" t="s">
        <v>42</v>
      </c>
      <c r="S682" s="65" t="s">
        <v>44</v>
      </c>
      <c r="T682" s="65" t="s">
        <v>44</v>
      </c>
      <c r="U682" s="65" t="s">
        <v>45</v>
      </c>
      <c r="V682" s="65" t="s">
        <v>60</v>
      </c>
      <c r="W682" s="65">
        <v>152.54</v>
      </c>
      <c r="X682" s="65" t="s">
        <v>47</v>
      </c>
      <c r="Y682" s="65" t="s">
        <v>48</v>
      </c>
      <c r="Z682" s="65" t="s">
        <v>49</v>
      </c>
      <c r="AA682" s="65">
        <v>987407712</v>
      </c>
      <c r="AB682" s="65" t="s">
        <v>141</v>
      </c>
    </row>
    <row r="683" spans="1:28" x14ac:dyDescent="0.3">
      <c r="A683" s="1">
        <v>46286</v>
      </c>
      <c r="B683" s="65" t="s">
        <v>2866</v>
      </c>
      <c r="C683" s="65" t="s">
        <v>268</v>
      </c>
      <c r="D683" s="65" t="s">
        <v>2867</v>
      </c>
      <c r="E683" s="65" t="s">
        <v>31</v>
      </c>
      <c r="F683" s="65" t="s">
        <v>2868</v>
      </c>
      <c r="G683" s="65" t="s">
        <v>2869</v>
      </c>
      <c r="H683" s="65" t="s">
        <v>2870</v>
      </c>
      <c r="I683" s="65" t="s">
        <v>774</v>
      </c>
      <c r="J683" s="65" t="s">
        <v>775</v>
      </c>
      <c r="K683" s="65" t="s">
        <v>37</v>
      </c>
      <c r="L683" s="65" t="s">
        <v>2871</v>
      </c>
      <c r="M683" s="65" t="s">
        <v>2872</v>
      </c>
      <c r="N683" s="65" t="s">
        <v>2873</v>
      </c>
      <c r="O683" s="65" t="s">
        <v>2874</v>
      </c>
      <c r="P683" s="65" t="s">
        <v>158</v>
      </c>
      <c r="Q683" s="65">
        <v>1</v>
      </c>
      <c r="R683" s="65" t="s">
        <v>70</v>
      </c>
      <c r="S683" s="65" t="s">
        <v>43</v>
      </c>
      <c r="T683" s="65" t="s">
        <v>44</v>
      </c>
      <c r="U683" s="65" t="s">
        <v>71</v>
      </c>
      <c r="V683" s="65" t="s">
        <v>72</v>
      </c>
      <c r="W683" s="65">
        <v>152.54</v>
      </c>
      <c r="X683" s="65" t="s">
        <v>47</v>
      </c>
      <c r="Y683" s="65" t="s">
        <v>48</v>
      </c>
      <c r="Z683" s="65" t="s">
        <v>73</v>
      </c>
      <c r="AA683" s="65"/>
      <c r="AB683" s="65"/>
    </row>
    <row r="684" spans="1:28" x14ac:dyDescent="0.3">
      <c r="A684" s="1">
        <v>46286</v>
      </c>
      <c r="B684" s="65" t="s">
        <v>2866</v>
      </c>
      <c r="C684" s="65" t="s">
        <v>268</v>
      </c>
      <c r="D684" s="65" t="s">
        <v>2867</v>
      </c>
      <c r="E684" s="65" t="s">
        <v>31</v>
      </c>
      <c r="F684" s="65" t="s">
        <v>2868</v>
      </c>
      <c r="G684" s="65" t="s">
        <v>2869</v>
      </c>
      <c r="H684" s="65" t="s">
        <v>2870</v>
      </c>
      <c r="I684" s="65" t="s">
        <v>774</v>
      </c>
      <c r="J684" s="65" t="s">
        <v>775</v>
      </c>
      <c r="K684" s="65" t="s">
        <v>37</v>
      </c>
      <c r="L684" s="65" t="s">
        <v>2871</v>
      </c>
      <c r="M684" s="65" t="s">
        <v>2872</v>
      </c>
      <c r="N684" s="65" t="s">
        <v>2873</v>
      </c>
      <c r="O684" s="65" t="s">
        <v>2874</v>
      </c>
      <c r="P684" s="65" t="s">
        <v>2875</v>
      </c>
      <c r="Q684" s="65">
        <v>1</v>
      </c>
      <c r="R684" s="65" t="s">
        <v>70</v>
      </c>
      <c r="S684" s="65" t="s">
        <v>43</v>
      </c>
      <c r="T684" s="65" t="s">
        <v>44</v>
      </c>
      <c r="U684" s="65" t="s">
        <v>71</v>
      </c>
      <c r="V684" s="65" t="s">
        <v>72</v>
      </c>
      <c r="W684" s="65">
        <v>186.44</v>
      </c>
      <c r="X684" s="65" t="s">
        <v>47</v>
      </c>
      <c r="Y684" s="65" t="s">
        <v>48</v>
      </c>
      <c r="Z684" s="65" t="s">
        <v>73</v>
      </c>
      <c r="AA684" s="65"/>
      <c r="AB684" s="65"/>
    </row>
    <row r="685" spans="1:28" x14ac:dyDescent="0.3">
      <c r="A685" s="1">
        <v>46286</v>
      </c>
      <c r="B685" s="65" t="s">
        <v>2866</v>
      </c>
      <c r="C685" s="65" t="s">
        <v>268</v>
      </c>
      <c r="D685" s="65" t="s">
        <v>2867</v>
      </c>
      <c r="E685" s="65" t="s">
        <v>31</v>
      </c>
      <c r="F685" s="65" t="s">
        <v>2868</v>
      </c>
      <c r="G685" s="65" t="s">
        <v>2869</v>
      </c>
      <c r="H685" s="65" t="s">
        <v>2870</v>
      </c>
      <c r="I685" s="65" t="s">
        <v>774</v>
      </c>
      <c r="J685" s="65" t="s">
        <v>775</v>
      </c>
      <c r="K685" s="65" t="s">
        <v>37</v>
      </c>
      <c r="L685" s="65" t="s">
        <v>2871</v>
      </c>
      <c r="M685" s="65" t="s">
        <v>2872</v>
      </c>
      <c r="N685" s="65" t="s">
        <v>2873</v>
      </c>
      <c r="O685" s="65" t="s">
        <v>2874</v>
      </c>
      <c r="P685" s="65" t="s">
        <v>101</v>
      </c>
      <c r="Q685" s="65">
        <v>1</v>
      </c>
      <c r="R685" s="65" t="s">
        <v>70</v>
      </c>
      <c r="S685" s="65" t="s">
        <v>43</v>
      </c>
      <c r="T685" s="65" t="s">
        <v>44</v>
      </c>
      <c r="U685" s="65" t="s">
        <v>71</v>
      </c>
      <c r="V685" s="65" t="s">
        <v>72</v>
      </c>
      <c r="W685" s="65">
        <v>186.44</v>
      </c>
      <c r="X685" s="65" t="s">
        <v>47</v>
      </c>
      <c r="Y685" s="65" t="s">
        <v>48</v>
      </c>
      <c r="Z685" s="65" t="s">
        <v>73</v>
      </c>
      <c r="AA685" s="65"/>
      <c r="AB685" s="65"/>
    </row>
    <row r="686" spans="1:28" x14ac:dyDescent="0.3">
      <c r="A686" s="1">
        <v>46286</v>
      </c>
      <c r="B686" s="65" t="s">
        <v>2866</v>
      </c>
      <c r="C686" s="65" t="s">
        <v>268</v>
      </c>
      <c r="D686" s="65" t="s">
        <v>2867</v>
      </c>
      <c r="E686" s="65" t="s">
        <v>31</v>
      </c>
      <c r="F686" s="65" t="s">
        <v>2868</v>
      </c>
      <c r="G686" s="65" t="s">
        <v>2869</v>
      </c>
      <c r="H686" s="65" t="s">
        <v>2870</v>
      </c>
      <c r="I686" s="65" t="s">
        <v>774</v>
      </c>
      <c r="J686" s="65" t="s">
        <v>775</v>
      </c>
      <c r="K686" s="65" t="s">
        <v>37</v>
      </c>
      <c r="L686" s="65" t="s">
        <v>2871</v>
      </c>
      <c r="M686" s="65" t="s">
        <v>2872</v>
      </c>
      <c r="N686" s="65" t="s">
        <v>2873</v>
      </c>
      <c r="O686" s="65" t="s">
        <v>2874</v>
      </c>
      <c r="P686" s="65" t="s">
        <v>159</v>
      </c>
      <c r="Q686" s="65">
        <v>1</v>
      </c>
      <c r="R686" s="65" t="s">
        <v>70</v>
      </c>
      <c r="S686" s="65" t="s">
        <v>43</v>
      </c>
      <c r="T686" s="65" t="s">
        <v>44</v>
      </c>
      <c r="U686" s="65" t="s">
        <v>71</v>
      </c>
      <c r="V686" s="65" t="s">
        <v>72</v>
      </c>
      <c r="W686" s="65">
        <v>135.59</v>
      </c>
      <c r="X686" s="65" t="s">
        <v>47</v>
      </c>
      <c r="Y686" s="65" t="s">
        <v>48</v>
      </c>
      <c r="Z686" s="65" t="s">
        <v>73</v>
      </c>
      <c r="AA686" s="65"/>
      <c r="AB686" s="65"/>
    </row>
    <row r="687" spans="1:28" x14ac:dyDescent="0.3">
      <c r="A687" s="1">
        <v>46286</v>
      </c>
      <c r="B687" s="65" t="s">
        <v>2876</v>
      </c>
      <c r="C687" s="65" t="s">
        <v>268</v>
      </c>
      <c r="D687" s="65" t="s">
        <v>2877</v>
      </c>
      <c r="E687" s="65" t="s">
        <v>31</v>
      </c>
      <c r="F687" s="65" t="s">
        <v>2878</v>
      </c>
      <c r="G687" s="65" t="s">
        <v>2879</v>
      </c>
      <c r="H687" s="65" t="s">
        <v>2880</v>
      </c>
      <c r="I687" s="65" t="s">
        <v>762</v>
      </c>
      <c r="J687" s="65" t="s">
        <v>209</v>
      </c>
      <c r="K687" s="65" t="s">
        <v>37</v>
      </c>
      <c r="L687" s="65" t="s">
        <v>2881</v>
      </c>
      <c r="M687" s="65" t="s">
        <v>2882</v>
      </c>
      <c r="N687" s="65" t="s">
        <v>765</v>
      </c>
      <c r="O687" s="65" t="s">
        <v>2883</v>
      </c>
      <c r="P687" s="65" t="s">
        <v>59</v>
      </c>
      <c r="Q687" s="65">
        <v>1</v>
      </c>
      <c r="R687" s="65" t="s">
        <v>42</v>
      </c>
      <c r="S687" s="65" t="s">
        <v>44</v>
      </c>
      <c r="T687" s="65" t="s">
        <v>44</v>
      </c>
      <c r="U687" s="65" t="s">
        <v>45</v>
      </c>
      <c r="V687" s="65" t="s">
        <v>60</v>
      </c>
      <c r="W687" s="65">
        <v>101.69</v>
      </c>
      <c r="X687" s="65" t="s">
        <v>61</v>
      </c>
      <c r="Y687" s="65" t="s">
        <v>48</v>
      </c>
      <c r="Z687" s="65" t="s">
        <v>49</v>
      </c>
      <c r="AA687" s="65">
        <v>969791876</v>
      </c>
      <c r="AB687" s="65" t="s">
        <v>768</v>
      </c>
    </row>
    <row r="688" spans="1:28" x14ac:dyDescent="0.3">
      <c r="A688" s="1">
        <v>46286</v>
      </c>
      <c r="B688" s="65" t="s">
        <v>2884</v>
      </c>
      <c r="C688" s="65" t="s">
        <v>29</v>
      </c>
      <c r="D688" s="65" t="s">
        <v>2885</v>
      </c>
      <c r="E688" s="65" t="s">
        <v>31</v>
      </c>
      <c r="F688" s="65" t="s">
        <v>2886</v>
      </c>
      <c r="G688" s="65" t="s">
        <v>2887</v>
      </c>
      <c r="H688" s="65" t="s">
        <v>2888</v>
      </c>
      <c r="I688" s="65" t="s">
        <v>2739</v>
      </c>
      <c r="J688" s="65" t="s">
        <v>209</v>
      </c>
      <c r="K688" s="65" t="s">
        <v>37</v>
      </c>
      <c r="L688" s="65" t="s">
        <v>2889</v>
      </c>
      <c r="M688" s="65" t="s">
        <v>2890</v>
      </c>
      <c r="N688" s="65" t="s">
        <v>2887</v>
      </c>
      <c r="O688" s="65" t="s">
        <v>2891</v>
      </c>
      <c r="P688" s="65" t="s">
        <v>130</v>
      </c>
      <c r="Q688" s="65">
        <v>1</v>
      </c>
      <c r="R688" s="65" t="s">
        <v>70</v>
      </c>
      <c r="S688" s="65" t="s">
        <v>43</v>
      </c>
      <c r="T688" s="65" t="s">
        <v>44</v>
      </c>
      <c r="U688" s="65" t="s">
        <v>71</v>
      </c>
      <c r="V688" s="65" t="s">
        <v>72</v>
      </c>
      <c r="W688" s="65">
        <v>152.54</v>
      </c>
      <c r="X688" s="65" t="s">
        <v>47</v>
      </c>
      <c r="Y688" s="65" t="s">
        <v>48</v>
      </c>
      <c r="Z688" s="65" t="s">
        <v>73</v>
      </c>
      <c r="AA688" s="65"/>
      <c r="AB688" s="65"/>
    </row>
    <row r="689" spans="1:28" x14ac:dyDescent="0.3">
      <c r="A689" s="1">
        <v>46286</v>
      </c>
      <c r="B689" s="65" t="s">
        <v>2892</v>
      </c>
      <c r="C689" s="65" t="s">
        <v>268</v>
      </c>
      <c r="D689" s="65" t="s">
        <v>2893</v>
      </c>
      <c r="E689" s="65" t="s">
        <v>31</v>
      </c>
      <c r="F689" s="65" t="s">
        <v>2894</v>
      </c>
      <c r="G689" s="65" t="s">
        <v>2895</v>
      </c>
      <c r="H689" s="65" t="s">
        <v>2896</v>
      </c>
      <c r="I689" s="65" t="s">
        <v>1108</v>
      </c>
      <c r="J689" s="65" t="s">
        <v>209</v>
      </c>
      <c r="K689" s="65" t="s">
        <v>37</v>
      </c>
      <c r="L689" s="65" t="s">
        <v>2897</v>
      </c>
      <c r="M689" s="65" t="s">
        <v>2898</v>
      </c>
      <c r="N689" s="65" t="s">
        <v>1111</v>
      </c>
      <c r="O689" s="65" t="s">
        <v>2899</v>
      </c>
      <c r="P689" s="65" t="s">
        <v>59</v>
      </c>
      <c r="Q689" s="65">
        <v>1</v>
      </c>
      <c r="R689" s="65" t="s">
        <v>42</v>
      </c>
      <c r="S689" s="65" t="s">
        <v>44</v>
      </c>
      <c r="T689" s="65" t="s">
        <v>44</v>
      </c>
      <c r="U689" s="65" t="s">
        <v>45</v>
      </c>
      <c r="V689" s="65" t="s">
        <v>60</v>
      </c>
      <c r="W689" s="65">
        <v>101.69</v>
      </c>
      <c r="X689" s="65" t="s">
        <v>61</v>
      </c>
      <c r="Y689" s="65" t="s">
        <v>48</v>
      </c>
      <c r="Z689" s="65" t="s">
        <v>49</v>
      </c>
      <c r="AA689" s="65">
        <v>970582106</v>
      </c>
      <c r="AB689" s="65" t="s">
        <v>1113</v>
      </c>
    </row>
    <row r="690" spans="1:28" x14ac:dyDescent="0.3">
      <c r="A690" s="1">
        <v>46286</v>
      </c>
      <c r="B690" s="65" t="s">
        <v>2900</v>
      </c>
      <c r="C690" s="65" t="s">
        <v>29</v>
      </c>
      <c r="D690" s="65" t="s">
        <v>2901</v>
      </c>
      <c r="E690" s="65" t="s">
        <v>31</v>
      </c>
      <c r="F690" s="65" t="s">
        <v>2902</v>
      </c>
      <c r="G690" s="65" t="s">
        <v>2903</v>
      </c>
      <c r="H690" s="65" t="s">
        <v>2904</v>
      </c>
      <c r="I690" s="65" t="s">
        <v>1516</v>
      </c>
      <c r="J690" s="65" t="s">
        <v>629</v>
      </c>
      <c r="K690" s="65" t="s">
        <v>37</v>
      </c>
      <c r="L690" s="65" t="s">
        <v>2905</v>
      </c>
      <c r="M690" s="65" t="s">
        <v>2906</v>
      </c>
      <c r="N690" s="65" t="s">
        <v>2903</v>
      </c>
      <c r="O690" s="65" t="s">
        <v>2907</v>
      </c>
      <c r="P690" s="65" t="s">
        <v>101</v>
      </c>
      <c r="Q690" s="65">
        <v>1</v>
      </c>
      <c r="R690" s="65" t="s">
        <v>70</v>
      </c>
      <c r="S690" s="65" t="s">
        <v>43</v>
      </c>
      <c r="T690" s="65" t="s">
        <v>44</v>
      </c>
      <c r="U690" s="65" t="s">
        <v>71</v>
      </c>
      <c r="V690" s="65" t="s">
        <v>72</v>
      </c>
      <c r="W690" s="65">
        <v>186.44</v>
      </c>
      <c r="X690" s="65" t="s">
        <v>47</v>
      </c>
      <c r="Y690" s="65" t="s">
        <v>48</v>
      </c>
      <c r="Z690" s="65" t="s">
        <v>73</v>
      </c>
      <c r="AA690" s="65">
        <v>947422476</v>
      </c>
      <c r="AB690" s="65"/>
    </row>
    <row r="691" spans="1:28" x14ac:dyDescent="0.3">
      <c r="A691" s="1">
        <v>46286</v>
      </c>
      <c r="B691" s="65" t="s">
        <v>4340</v>
      </c>
      <c r="C691" s="65" t="s">
        <v>29</v>
      </c>
      <c r="D691" s="65" t="s">
        <v>4341</v>
      </c>
      <c r="E691" s="65" t="s">
        <v>31</v>
      </c>
      <c r="F691" s="65" t="s">
        <v>4342</v>
      </c>
      <c r="G691" s="65" t="s">
        <v>4343</v>
      </c>
      <c r="H691" s="65" t="s">
        <v>4344</v>
      </c>
      <c r="I691" s="65" t="s">
        <v>2795</v>
      </c>
      <c r="J691" s="65" t="s">
        <v>209</v>
      </c>
      <c r="K691" s="65" t="s">
        <v>37</v>
      </c>
      <c r="L691" s="65" t="s">
        <v>4345</v>
      </c>
      <c r="M691" s="65" t="s">
        <v>4346</v>
      </c>
      <c r="N691" s="65" t="s">
        <v>4343</v>
      </c>
      <c r="O691" s="65" t="s">
        <v>4347</v>
      </c>
      <c r="P691" s="65" t="s">
        <v>130</v>
      </c>
      <c r="Q691" s="65">
        <v>1</v>
      </c>
      <c r="R691" s="65" t="s">
        <v>42</v>
      </c>
      <c r="S691" s="65" t="s">
        <v>44</v>
      </c>
      <c r="T691" s="65" t="s">
        <v>44</v>
      </c>
      <c r="U691" s="65" t="s">
        <v>71</v>
      </c>
      <c r="V691" s="65" t="s">
        <v>184</v>
      </c>
      <c r="W691" s="65">
        <v>152.54</v>
      </c>
      <c r="X691" s="65" t="s">
        <v>47</v>
      </c>
      <c r="Y691" s="65" t="s">
        <v>48</v>
      </c>
      <c r="Z691" s="65" t="s">
        <v>73</v>
      </c>
      <c r="AA691" s="65">
        <v>994872106</v>
      </c>
      <c r="AB691" s="65" t="s">
        <v>1253</v>
      </c>
    </row>
    <row r="692" spans="1:28" x14ac:dyDescent="0.3">
      <c r="A692" s="1">
        <v>46286</v>
      </c>
      <c r="B692" s="65" t="s">
        <v>4348</v>
      </c>
      <c r="C692" s="65" t="s">
        <v>29</v>
      </c>
      <c r="D692" s="65" t="s">
        <v>4349</v>
      </c>
      <c r="E692" s="65" t="s">
        <v>31</v>
      </c>
      <c r="F692" s="65" t="s">
        <v>4350</v>
      </c>
      <c r="G692" s="65" t="s">
        <v>4351</v>
      </c>
      <c r="H692" s="65" t="s">
        <v>4352</v>
      </c>
      <c r="I692" s="65" t="s">
        <v>2291</v>
      </c>
      <c r="J692" s="65" t="s">
        <v>1542</v>
      </c>
      <c r="K692" s="65" t="s">
        <v>37</v>
      </c>
      <c r="L692" s="65" t="s">
        <v>4353</v>
      </c>
      <c r="M692" s="65" t="s">
        <v>4354</v>
      </c>
      <c r="N692" s="65" t="s">
        <v>4351</v>
      </c>
      <c r="O692" s="65" t="s">
        <v>4355</v>
      </c>
      <c r="P692" s="65" t="s">
        <v>90</v>
      </c>
      <c r="Q692" s="65">
        <v>1</v>
      </c>
      <c r="R692" s="65" t="s">
        <v>42</v>
      </c>
      <c r="S692" s="65" t="s">
        <v>44</v>
      </c>
      <c r="T692" s="65" t="s">
        <v>44</v>
      </c>
      <c r="U692" s="65" t="s">
        <v>45</v>
      </c>
      <c r="V692" s="65" t="s">
        <v>60</v>
      </c>
      <c r="W692" s="65">
        <v>135.59</v>
      </c>
      <c r="X692" s="65" t="s">
        <v>47</v>
      </c>
      <c r="Y692" s="65" t="s">
        <v>48</v>
      </c>
      <c r="Z692" s="65" t="s">
        <v>49</v>
      </c>
      <c r="AA692" s="65">
        <v>945093839</v>
      </c>
      <c r="AB692" s="65" t="s">
        <v>2295</v>
      </c>
    </row>
    <row r="693" spans="1:28" x14ac:dyDescent="0.3">
      <c r="A693" s="1">
        <v>46286</v>
      </c>
      <c r="B693" s="65" t="s">
        <v>4356</v>
      </c>
      <c r="C693" s="65" t="s">
        <v>29</v>
      </c>
      <c r="D693" s="65" t="s">
        <v>4357</v>
      </c>
      <c r="E693" s="65" t="s">
        <v>31</v>
      </c>
      <c r="F693" s="65" t="s">
        <v>4358</v>
      </c>
      <c r="G693" s="65" t="s">
        <v>4359</v>
      </c>
      <c r="H693" s="65" t="s">
        <v>4360</v>
      </c>
      <c r="I693" s="65" t="s">
        <v>774</v>
      </c>
      <c r="J693" s="65" t="s">
        <v>775</v>
      </c>
      <c r="K693" s="65" t="s">
        <v>37</v>
      </c>
      <c r="L693" s="65" t="s">
        <v>4361</v>
      </c>
      <c r="M693" s="65" t="s">
        <v>4362</v>
      </c>
      <c r="N693" s="65" t="s">
        <v>4359</v>
      </c>
      <c r="O693" s="65" t="s">
        <v>4363</v>
      </c>
      <c r="P693" s="65" t="s">
        <v>90</v>
      </c>
      <c r="Q693" s="65">
        <v>1</v>
      </c>
      <c r="R693" s="65" t="s">
        <v>42</v>
      </c>
      <c r="S693" s="65" t="s">
        <v>44</v>
      </c>
      <c r="T693" s="65" t="s">
        <v>44</v>
      </c>
      <c r="U693" s="65" t="s">
        <v>45</v>
      </c>
      <c r="V693" s="65" t="s">
        <v>60</v>
      </c>
      <c r="W693" s="65">
        <v>135.59</v>
      </c>
      <c r="X693" s="65" t="s">
        <v>47</v>
      </c>
      <c r="Y693" s="65" t="s">
        <v>48</v>
      </c>
      <c r="Z693" s="65" t="s">
        <v>49</v>
      </c>
      <c r="AA693" s="65"/>
      <c r="AB693" s="65"/>
    </row>
    <row r="694" spans="1:28" x14ac:dyDescent="0.3">
      <c r="A694" s="1">
        <v>46287</v>
      </c>
      <c r="B694" s="65" t="s">
        <v>2908</v>
      </c>
      <c r="C694" s="65" t="s">
        <v>29</v>
      </c>
      <c r="D694" s="65" t="s">
        <v>2909</v>
      </c>
      <c r="E694" s="65" t="s">
        <v>31</v>
      </c>
      <c r="F694" s="65" t="s">
        <v>2910</v>
      </c>
      <c r="G694" s="65" t="s">
        <v>2911</v>
      </c>
      <c r="H694" s="65" t="s">
        <v>2912</v>
      </c>
      <c r="I694" s="65" t="s">
        <v>774</v>
      </c>
      <c r="J694" s="65" t="s">
        <v>775</v>
      </c>
      <c r="K694" s="65" t="s">
        <v>37</v>
      </c>
      <c r="L694" s="65" t="s">
        <v>2913</v>
      </c>
      <c r="M694" s="65" t="s">
        <v>2914</v>
      </c>
      <c r="N694" s="65" t="s">
        <v>2911</v>
      </c>
      <c r="O694" s="65" t="s">
        <v>2915</v>
      </c>
      <c r="P694" s="65" t="s">
        <v>828</v>
      </c>
      <c r="Q694" s="65">
        <v>1</v>
      </c>
      <c r="R694" s="65" t="s">
        <v>42</v>
      </c>
      <c r="S694" s="65" t="s">
        <v>44</v>
      </c>
      <c r="T694" s="65" t="s">
        <v>44</v>
      </c>
      <c r="U694" s="65" t="s">
        <v>45</v>
      </c>
      <c r="V694" s="65" t="s">
        <v>46</v>
      </c>
      <c r="W694" s="65">
        <v>127.12</v>
      </c>
      <c r="X694" s="65" t="s">
        <v>47</v>
      </c>
      <c r="Y694" s="65" t="s">
        <v>48</v>
      </c>
      <c r="Z694" s="65" t="s">
        <v>49</v>
      </c>
      <c r="AA694" s="65"/>
      <c r="AB694" s="65"/>
    </row>
    <row r="695" spans="1:28" x14ac:dyDescent="0.3">
      <c r="A695" s="1">
        <v>46287</v>
      </c>
      <c r="B695" s="65" t="s">
        <v>2916</v>
      </c>
      <c r="C695" s="65" t="s">
        <v>29</v>
      </c>
      <c r="D695" s="65" t="s">
        <v>2917</v>
      </c>
      <c r="E695" s="65" t="s">
        <v>31</v>
      </c>
      <c r="F695" s="65" t="s">
        <v>2918</v>
      </c>
      <c r="G695" s="65" t="s">
        <v>2911</v>
      </c>
      <c r="H695" s="65" t="s">
        <v>2912</v>
      </c>
      <c r="I695" s="65" t="s">
        <v>774</v>
      </c>
      <c r="J695" s="65" t="s">
        <v>775</v>
      </c>
      <c r="K695" s="65" t="s">
        <v>37</v>
      </c>
      <c r="L695" s="65" t="s">
        <v>2913</v>
      </c>
      <c r="M695" s="65" t="s">
        <v>2914</v>
      </c>
      <c r="N695" s="65" t="s">
        <v>2911</v>
      </c>
      <c r="O695" s="65" t="s">
        <v>2919</v>
      </c>
      <c r="P695" s="65" t="s">
        <v>622</v>
      </c>
      <c r="Q695" s="65">
        <v>1</v>
      </c>
      <c r="R695" s="65" t="s">
        <v>42</v>
      </c>
      <c r="S695" s="65" t="s">
        <v>44</v>
      </c>
      <c r="T695" s="65" t="s">
        <v>44</v>
      </c>
      <c r="U695" s="65" t="s">
        <v>45</v>
      </c>
      <c r="V695" s="65" t="s">
        <v>46</v>
      </c>
      <c r="W695" s="65">
        <v>12.71</v>
      </c>
      <c r="X695" s="65" t="s">
        <v>619</v>
      </c>
      <c r="Y695" s="65" t="s">
        <v>48</v>
      </c>
      <c r="Z695" s="65" t="s">
        <v>49</v>
      </c>
      <c r="AA695" s="65"/>
      <c r="AB695" s="65"/>
    </row>
    <row r="696" spans="1:28" x14ac:dyDescent="0.3">
      <c r="A696" s="1">
        <v>46287</v>
      </c>
      <c r="B696" s="65" t="s">
        <v>2916</v>
      </c>
      <c r="C696" s="65" t="s">
        <v>29</v>
      </c>
      <c r="D696" s="65" t="s">
        <v>2917</v>
      </c>
      <c r="E696" s="65" t="s">
        <v>31</v>
      </c>
      <c r="F696" s="65" t="s">
        <v>2918</v>
      </c>
      <c r="G696" s="65" t="s">
        <v>2911</v>
      </c>
      <c r="H696" s="65" t="s">
        <v>2912</v>
      </c>
      <c r="I696" s="65" t="s">
        <v>774</v>
      </c>
      <c r="J696" s="65" t="s">
        <v>775</v>
      </c>
      <c r="K696" s="65" t="s">
        <v>37</v>
      </c>
      <c r="L696" s="65" t="s">
        <v>2913</v>
      </c>
      <c r="M696" s="65" t="s">
        <v>2914</v>
      </c>
      <c r="N696" s="65" t="s">
        <v>2911</v>
      </c>
      <c r="O696" s="65" t="s">
        <v>2919</v>
      </c>
      <c r="P696" s="65" t="s">
        <v>621</v>
      </c>
      <c r="Q696" s="65">
        <v>1</v>
      </c>
      <c r="R696" s="65" t="s">
        <v>42</v>
      </c>
      <c r="S696" s="65" t="s">
        <v>44</v>
      </c>
      <c r="T696" s="65" t="s">
        <v>44</v>
      </c>
      <c r="U696" s="65" t="s">
        <v>45</v>
      </c>
      <c r="V696" s="65" t="s">
        <v>46</v>
      </c>
      <c r="W696" s="65">
        <v>12.71</v>
      </c>
      <c r="X696" s="65" t="s">
        <v>619</v>
      </c>
      <c r="Y696" s="65" t="s">
        <v>48</v>
      </c>
      <c r="Z696" s="65" t="s">
        <v>49</v>
      </c>
      <c r="AA696" s="65"/>
      <c r="AB696" s="65"/>
    </row>
    <row r="697" spans="1:28" x14ac:dyDescent="0.3">
      <c r="A697" s="1">
        <v>46287</v>
      </c>
      <c r="B697" s="65" t="s">
        <v>2916</v>
      </c>
      <c r="C697" s="65" t="s">
        <v>29</v>
      </c>
      <c r="D697" s="65" t="s">
        <v>2917</v>
      </c>
      <c r="E697" s="65" t="s">
        <v>31</v>
      </c>
      <c r="F697" s="65" t="s">
        <v>2918</v>
      </c>
      <c r="G697" s="65" t="s">
        <v>2911</v>
      </c>
      <c r="H697" s="65" t="s">
        <v>2912</v>
      </c>
      <c r="I697" s="65" t="s">
        <v>774</v>
      </c>
      <c r="J697" s="65" t="s">
        <v>775</v>
      </c>
      <c r="K697" s="65" t="s">
        <v>37</v>
      </c>
      <c r="L697" s="65" t="s">
        <v>2913</v>
      </c>
      <c r="M697" s="65" t="s">
        <v>2914</v>
      </c>
      <c r="N697" s="65" t="s">
        <v>2911</v>
      </c>
      <c r="O697" s="65" t="s">
        <v>2919</v>
      </c>
      <c r="P697" s="65" t="s">
        <v>618</v>
      </c>
      <c r="Q697" s="65">
        <v>1</v>
      </c>
      <c r="R697" s="65" t="s">
        <v>42</v>
      </c>
      <c r="S697" s="65" t="s">
        <v>44</v>
      </c>
      <c r="T697" s="65" t="s">
        <v>44</v>
      </c>
      <c r="U697" s="65" t="s">
        <v>45</v>
      </c>
      <c r="V697" s="65" t="s">
        <v>46</v>
      </c>
      <c r="W697" s="65">
        <v>12.71</v>
      </c>
      <c r="X697" s="65" t="s">
        <v>619</v>
      </c>
      <c r="Y697" s="65" t="s">
        <v>48</v>
      </c>
      <c r="Z697" s="65" t="s">
        <v>49</v>
      </c>
      <c r="AA697" s="65"/>
      <c r="AB697" s="65"/>
    </row>
    <row r="698" spans="1:28" x14ac:dyDescent="0.3">
      <c r="A698" s="1">
        <v>46287</v>
      </c>
      <c r="B698" s="65" t="s">
        <v>2916</v>
      </c>
      <c r="C698" s="65" t="s">
        <v>29</v>
      </c>
      <c r="D698" s="65" t="s">
        <v>2917</v>
      </c>
      <c r="E698" s="65" t="s">
        <v>31</v>
      </c>
      <c r="F698" s="65" t="s">
        <v>2918</v>
      </c>
      <c r="G698" s="65" t="s">
        <v>2911</v>
      </c>
      <c r="H698" s="65" t="s">
        <v>2912</v>
      </c>
      <c r="I698" s="65" t="s">
        <v>774</v>
      </c>
      <c r="J698" s="65" t="s">
        <v>775</v>
      </c>
      <c r="K698" s="65" t="s">
        <v>37</v>
      </c>
      <c r="L698" s="65" t="s">
        <v>2913</v>
      </c>
      <c r="M698" s="65" t="s">
        <v>2914</v>
      </c>
      <c r="N698" s="65" t="s">
        <v>2911</v>
      </c>
      <c r="O698" s="65" t="s">
        <v>2919</v>
      </c>
      <c r="P698" s="65" t="s">
        <v>833</v>
      </c>
      <c r="Q698" s="65">
        <v>1</v>
      </c>
      <c r="R698" s="65" t="s">
        <v>42</v>
      </c>
      <c r="S698" s="65" t="s">
        <v>44</v>
      </c>
      <c r="T698" s="65" t="s">
        <v>44</v>
      </c>
      <c r="U698" s="65" t="s">
        <v>45</v>
      </c>
      <c r="V698" s="65" t="s">
        <v>46</v>
      </c>
      <c r="W698" s="65">
        <v>50.85</v>
      </c>
      <c r="X698" s="65" t="s">
        <v>619</v>
      </c>
      <c r="Y698" s="65" t="s">
        <v>48</v>
      </c>
      <c r="Z698" s="65" t="s">
        <v>49</v>
      </c>
      <c r="AA698" s="65"/>
      <c r="AB698" s="65"/>
    </row>
    <row r="699" spans="1:28" x14ac:dyDescent="0.3">
      <c r="A699" s="1">
        <v>46287</v>
      </c>
      <c r="B699" s="65" t="s">
        <v>2916</v>
      </c>
      <c r="C699" s="65" t="s">
        <v>29</v>
      </c>
      <c r="D699" s="65" t="s">
        <v>2917</v>
      </c>
      <c r="E699" s="65" t="s">
        <v>31</v>
      </c>
      <c r="F699" s="65" t="s">
        <v>2918</v>
      </c>
      <c r="G699" s="65" t="s">
        <v>2911</v>
      </c>
      <c r="H699" s="65" t="s">
        <v>2912</v>
      </c>
      <c r="I699" s="65" t="s">
        <v>774</v>
      </c>
      <c r="J699" s="65" t="s">
        <v>775</v>
      </c>
      <c r="K699" s="65" t="s">
        <v>37</v>
      </c>
      <c r="L699" s="65" t="s">
        <v>2913</v>
      </c>
      <c r="M699" s="65" t="s">
        <v>2914</v>
      </c>
      <c r="N699" s="65" t="s">
        <v>2911</v>
      </c>
      <c r="O699" s="65" t="s">
        <v>2919</v>
      </c>
      <c r="P699" s="65" t="s">
        <v>620</v>
      </c>
      <c r="Q699" s="65">
        <v>1</v>
      </c>
      <c r="R699" s="65" t="s">
        <v>42</v>
      </c>
      <c r="S699" s="65" t="s">
        <v>44</v>
      </c>
      <c r="T699" s="65" t="s">
        <v>44</v>
      </c>
      <c r="U699" s="65" t="s">
        <v>45</v>
      </c>
      <c r="V699" s="65" t="s">
        <v>46</v>
      </c>
      <c r="W699" s="65">
        <v>21.19</v>
      </c>
      <c r="X699" s="65" t="s">
        <v>619</v>
      </c>
      <c r="Y699" s="65" t="s">
        <v>48</v>
      </c>
      <c r="Z699" s="65" t="s">
        <v>49</v>
      </c>
      <c r="AA699" s="65"/>
      <c r="AB699" s="65"/>
    </row>
    <row r="700" spans="1:28" x14ac:dyDescent="0.3">
      <c r="A700" s="1">
        <v>46287</v>
      </c>
      <c r="B700" s="65" t="s">
        <v>2920</v>
      </c>
      <c r="C700" s="65" t="s">
        <v>29</v>
      </c>
      <c r="D700" s="65" t="s">
        <v>2921</v>
      </c>
      <c r="E700" s="65" t="s">
        <v>31</v>
      </c>
      <c r="F700" s="65" t="s">
        <v>2922</v>
      </c>
      <c r="G700" s="65" t="s">
        <v>2911</v>
      </c>
      <c r="H700" s="65" t="s">
        <v>2912</v>
      </c>
      <c r="I700" s="65" t="s">
        <v>774</v>
      </c>
      <c r="J700" s="65" t="s">
        <v>775</v>
      </c>
      <c r="K700" s="65" t="s">
        <v>37</v>
      </c>
      <c r="L700" s="65" t="s">
        <v>2913</v>
      </c>
      <c r="M700" s="65" t="s">
        <v>2914</v>
      </c>
      <c r="N700" s="65" t="s">
        <v>2911</v>
      </c>
      <c r="O700" s="65" t="s">
        <v>2923</v>
      </c>
      <c r="P700" s="65" t="s">
        <v>641</v>
      </c>
      <c r="Q700" s="65">
        <v>1</v>
      </c>
      <c r="R700" s="65" t="s">
        <v>42</v>
      </c>
      <c r="S700" s="65" t="s">
        <v>44</v>
      </c>
      <c r="T700" s="65" t="s">
        <v>44</v>
      </c>
      <c r="U700" s="65" t="s">
        <v>45</v>
      </c>
      <c r="V700" s="65" t="s">
        <v>46</v>
      </c>
      <c r="W700" s="65">
        <v>84.75</v>
      </c>
      <c r="X700" s="65" t="s">
        <v>47</v>
      </c>
      <c r="Y700" s="65" t="s">
        <v>48</v>
      </c>
      <c r="Z700" s="65" t="s">
        <v>49</v>
      </c>
      <c r="AA700" s="65"/>
      <c r="AB700" s="65"/>
    </row>
    <row r="701" spans="1:28" x14ac:dyDescent="0.3">
      <c r="A701" s="1">
        <v>46287</v>
      </c>
      <c r="B701" s="65" t="s">
        <v>2924</v>
      </c>
      <c r="C701" s="65" t="s">
        <v>29</v>
      </c>
      <c r="D701" s="65" t="s">
        <v>2925</v>
      </c>
      <c r="E701" s="65" t="s">
        <v>31</v>
      </c>
      <c r="F701" s="65" t="s">
        <v>2926</v>
      </c>
      <c r="G701" s="65" t="s">
        <v>2927</v>
      </c>
      <c r="H701" s="65" t="s">
        <v>2928</v>
      </c>
      <c r="I701" s="65" t="s">
        <v>774</v>
      </c>
      <c r="J701" s="65" t="s">
        <v>775</v>
      </c>
      <c r="K701" s="65" t="s">
        <v>37</v>
      </c>
      <c r="L701" s="65" t="s">
        <v>2929</v>
      </c>
      <c r="M701" s="65" t="s">
        <v>2930</v>
      </c>
      <c r="N701" s="65" t="s">
        <v>2927</v>
      </c>
      <c r="O701" s="65" t="s">
        <v>2931</v>
      </c>
      <c r="P701" s="65" t="s">
        <v>620</v>
      </c>
      <c r="Q701" s="65">
        <v>1</v>
      </c>
      <c r="R701" s="65" t="s">
        <v>42</v>
      </c>
      <c r="S701" s="65" t="s">
        <v>44</v>
      </c>
      <c r="T701" s="65" t="s">
        <v>44</v>
      </c>
      <c r="U701" s="65" t="s">
        <v>45</v>
      </c>
      <c r="V701" s="65" t="s">
        <v>46</v>
      </c>
      <c r="W701" s="65">
        <v>21.19</v>
      </c>
      <c r="X701" s="65" t="s">
        <v>619</v>
      </c>
      <c r="Y701" s="65" t="s">
        <v>48</v>
      </c>
      <c r="Z701" s="65" t="s">
        <v>49</v>
      </c>
      <c r="AA701" s="65"/>
      <c r="AB701" s="65"/>
    </row>
    <row r="702" spans="1:28" x14ac:dyDescent="0.3">
      <c r="A702" s="1">
        <v>46287</v>
      </c>
      <c r="B702" s="65" t="s">
        <v>2924</v>
      </c>
      <c r="C702" s="65" t="s">
        <v>29</v>
      </c>
      <c r="D702" s="65" t="s">
        <v>2925</v>
      </c>
      <c r="E702" s="65" t="s">
        <v>31</v>
      </c>
      <c r="F702" s="65" t="s">
        <v>2926</v>
      </c>
      <c r="G702" s="65" t="s">
        <v>2927</v>
      </c>
      <c r="H702" s="65" t="s">
        <v>2928</v>
      </c>
      <c r="I702" s="65" t="s">
        <v>774</v>
      </c>
      <c r="J702" s="65" t="s">
        <v>775</v>
      </c>
      <c r="K702" s="65" t="s">
        <v>37</v>
      </c>
      <c r="L702" s="65" t="s">
        <v>2929</v>
      </c>
      <c r="M702" s="65" t="s">
        <v>2930</v>
      </c>
      <c r="N702" s="65" t="s">
        <v>2927</v>
      </c>
      <c r="O702" s="65" t="s">
        <v>2931</v>
      </c>
      <c r="P702" s="65" t="s">
        <v>833</v>
      </c>
      <c r="Q702" s="65">
        <v>1</v>
      </c>
      <c r="R702" s="65" t="s">
        <v>42</v>
      </c>
      <c r="S702" s="65" t="s">
        <v>44</v>
      </c>
      <c r="T702" s="65" t="s">
        <v>44</v>
      </c>
      <c r="U702" s="65" t="s">
        <v>45</v>
      </c>
      <c r="V702" s="65" t="s">
        <v>46</v>
      </c>
      <c r="W702" s="65">
        <v>50.85</v>
      </c>
      <c r="X702" s="65" t="s">
        <v>619</v>
      </c>
      <c r="Y702" s="65" t="s">
        <v>48</v>
      </c>
      <c r="Z702" s="65" t="s">
        <v>49</v>
      </c>
      <c r="AA702" s="65"/>
      <c r="AB702" s="65"/>
    </row>
    <row r="703" spans="1:28" x14ac:dyDescent="0.3">
      <c r="A703" s="1">
        <v>46287</v>
      </c>
      <c r="B703" s="65" t="s">
        <v>2924</v>
      </c>
      <c r="C703" s="65" t="s">
        <v>29</v>
      </c>
      <c r="D703" s="65" t="s">
        <v>2925</v>
      </c>
      <c r="E703" s="65" t="s">
        <v>31</v>
      </c>
      <c r="F703" s="65" t="s">
        <v>2926</v>
      </c>
      <c r="G703" s="65" t="s">
        <v>2927</v>
      </c>
      <c r="H703" s="65" t="s">
        <v>2928</v>
      </c>
      <c r="I703" s="65" t="s">
        <v>774</v>
      </c>
      <c r="J703" s="65" t="s">
        <v>775</v>
      </c>
      <c r="K703" s="65" t="s">
        <v>37</v>
      </c>
      <c r="L703" s="65" t="s">
        <v>2929</v>
      </c>
      <c r="M703" s="65" t="s">
        <v>2930</v>
      </c>
      <c r="N703" s="65" t="s">
        <v>2927</v>
      </c>
      <c r="O703" s="65" t="s">
        <v>2931</v>
      </c>
      <c r="P703" s="65" t="s">
        <v>618</v>
      </c>
      <c r="Q703" s="65">
        <v>1</v>
      </c>
      <c r="R703" s="65" t="s">
        <v>42</v>
      </c>
      <c r="S703" s="65" t="s">
        <v>44</v>
      </c>
      <c r="T703" s="65" t="s">
        <v>44</v>
      </c>
      <c r="U703" s="65" t="s">
        <v>45</v>
      </c>
      <c r="V703" s="65" t="s">
        <v>46</v>
      </c>
      <c r="W703" s="65">
        <v>12.71</v>
      </c>
      <c r="X703" s="65" t="s">
        <v>619</v>
      </c>
      <c r="Y703" s="65" t="s">
        <v>48</v>
      </c>
      <c r="Z703" s="65" t="s">
        <v>49</v>
      </c>
      <c r="AA703" s="65"/>
      <c r="AB703" s="65"/>
    </row>
    <row r="704" spans="1:28" x14ac:dyDescent="0.3">
      <c r="A704" s="1">
        <v>46287</v>
      </c>
      <c r="B704" s="65" t="s">
        <v>2924</v>
      </c>
      <c r="C704" s="65" t="s">
        <v>29</v>
      </c>
      <c r="D704" s="65" t="s">
        <v>2925</v>
      </c>
      <c r="E704" s="65" t="s">
        <v>31</v>
      </c>
      <c r="F704" s="65" t="s">
        <v>2926</v>
      </c>
      <c r="G704" s="65" t="s">
        <v>2927</v>
      </c>
      <c r="H704" s="65" t="s">
        <v>2928</v>
      </c>
      <c r="I704" s="65" t="s">
        <v>774</v>
      </c>
      <c r="J704" s="65" t="s">
        <v>775</v>
      </c>
      <c r="K704" s="65" t="s">
        <v>37</v>
      </c>
      <c r="L704" s="65" t="s">
        <v>2929</v>
      </c>
      <c r="M704" s="65" t="s">
        <v>2930</v>
      </c>
      <c r="N704" s="65" t="s">
        <v>2927</v>
      </c>
      <c r="O704" s="65" t="s">
        <v>2931</v>
      </c>
      <c r="P704" s="65" t="s">
        <v>621</v>
      </c>
      <c r="Q704" s="65">
        <v>1</v>
      </c>
      <c r="R704" s="65" t="s">
        <v>42</v>
      </c>
      <c r="S704" s="65" t="s">
        <v>44</v>
      </c>
      <c r="T704" s="65" t="s">
        <v>44</v>
      </c>
      <c r="U704" s="65" t="s">
        <v>45</v>
      </c>
      <c r="V704" s="65" t="s">
        <v>46</v>
      </c>
      <c r="W704" s="65">
        <v>12.71</v>
      </c>
      <c r="X704" s="65" t="s">
        <v>619</v>
      </c>
      <c r="Y704" s="65" t="s">
        <v>48</v>
      </c>
      <c r="Z704" s="65" t="s">
        <v>49</v>
      </c>
      <c r="AA704" s="65"/>
      <c r="AB704" s="65"/>
    </row>
    <row r="705" spans="1:28" x14ac:dyDescent="0.3">
      <c r="A705" s="1">
        <v>46287</v>
      </c>
      <c r="B705" s="65" t="s">
        <v>2924</v>
      </c>
      <c r="C705" s="65" t="s">
        <v>29</v>
      </c>
      <c r="D705" s="65" t="s">
        <v>2925</v>
      </c>
      <c r="E705" s="65" t="s">
        <v>31</v>
      </c>
      <c r="F705" s="65" t="s">
        <v>2926</v>
      </c>
      <c r="G705" s="65" t="s">
        <v>2927</v>
      </c>
      <c r="H705" s="65" t="s">
        <v>2928</v>
      </c>
      <c r="I705" s="65" t="s">
        <v>774</v>
      </c>
      <c r="J705" s="65" t="s">
        <v>775</v>
      </c>
      <c r="K705" s="65" t="s">
        <v>37</v>
      </c>
      <c r="L705" s="65" t="s">
        <v>2929</v>
      </c>
      <c r="M705" s="65" t="s">
        <v>2930</v>
      </c>
      <c r="N705" s="65" t="s">
        <v>2927</v>
      </c>
      <c r="O705" s="65" t="s">
        <v>2931</v>
      </c>
      <c r="P705" s="65" t="s">
        <v>622</v>
      </c>
      <c r="Q705" s="65">
        <v>1</v>
      </c>
      <c r="R705" s="65" t="s">
        <v>42</v>
      </c>
      <c r="S705" s="65" t="s">
        <v>44</v>
      </c>
      <c r="T705" s="65" t="s">
        <v>44</v>
      </c>
      <c r="U705" s="65" t="s">
        <v>45</v>
      </c>
      <c r="V705" s="65" t="s">
        <v>46</v>
      </c>
      <c r="W705" s="65">
        <v>12.71</v>
      </c>
      <c r="X705" s="65" t="s">
        <v>619</v>
      </c>
      <c r="Y705" s="65" t="s">
        <v>48</v>
      </c>
      <c r="Z705" s="65" t="s">
        <v>49</v>
      </c>
      <c r="AA705" s="65"/>
      <c r="AB705" s="65"/>
    </row>
    <row r="706" spans="1:28" x14ac:dyDescent="0.3">
      <c r="A706" s="1">
        <v>46287</v>
      </c>
      <c r="B706" s="65" t="s">
        <v>2932</v>
      </c>
      <c r="C706" s="65" t="s">
        <v>29</v>
      </c>
      <c r="D706" s="65" t="s">
        <v>2933</v>
      </c>
      <c r="E706" s="65" t="s">
        <v>31</v>
      </c>
      <c r="F706" s="65" t="s">
        <v>2934</v>
      </c>
      <c r="G706" s="65" t="s">
        <v>2927</v>
      </c>
      <c r="H706" s="65" t="s">
        <v>2928</v>
      </c>
      <c r="I706" s="65" t="s">
        <v>774</v>
      </c>
      <c r="J706" s="65" t="s">
        <v>775</v>
      </c>
      <c r="K706" s="65" t="s">
        <v>37</v>
      </c>
      <c r="L706" s="65" t="s">
        <v>2929</v>
      </c>
      <c r="M706" s="65" t="s">
        <v>2930</v>
      </c>
      <c r="N706" s="65" t="s">
        <v>2927</v>
      </c>
      <c r="O706" s="65" t="s">
        <v>2935</v>
      </c>
      <c r="P706" s="65" t="s">
        <v>828</v>
      </c>
      <c r="Q706" s="65">
        <v>1</v>
      </c>
      <c r="R706" s="65" t="s">
        <v>42</v>
      </c>
      <c r="S706" s="65" t="s">
        <v>44</v>
      </c>
      <c r="T706" s="65" t="s">
        <v>44</v>
      </c>
      <c r="U706" s="65" t="s">
        <v>45</v>
      </c>
      <c r="V706" s="65" t="s">
        <v>46</v>
      </c>
      <c r="W706" s="65">
        <v>127.12</v>
      </c>
      <c r="X706" s="65" t="s">
        <v>47</v>
      </c>
      <c r="Y706" s="65" t="s">
        <v>48</v>
      </c>
      <c r="Z706" s="65" t="s">
        <v>49</v>
      </c>
      <c r="AA706" s="65"/>
      <c r="AB706" s="65"/>
    </row>
    <row r="707" spans="1:28" x14ac:dyDescent="0.3">
      <c r="A707" s="1">
        <v>46287</v>
      </c>
      <c r="B707" s="65" t="s">
        <v>2936</v>
      </c>
      <c r="C707" s="65" t="s">
        <v>29</v>
      </c>
      <c r="D707" s="65" t="s">
        <v>2937</v>
      </c>
      <c r="E707" s="65" t="s">
        <v>31</v>
      </c>
      <c r="F707" s="65" t="s">
        <v>2938</v>
      </c>
      <c r="G707" s="65" t="s">
        <v>2927</v>
      </c>
      <c r="H707" s="65" t="s">
        <v>2928</v>
      </c>
      <c r="I707" s="65" t="s">
        <v>774</v>
      </c>
      <c r="J707" s="65" t="s">
        <v>775</v>
      </c>
      <c r="K707" s="65" t="s">
        <v>37</v>
      </c>
      <c r="L707" s="65" t="s">
        <v>2929</v>
      </c>
      <c r="M707" s="65" t="s">
        <v>2930</v>
      </c>
      <c r="N707" s="65" t="s">
        <v>2927</v>
      </c>
      <c r="O707" s="65" t="s">
        <v>2939</v>
      </c>
      <c r="P707" s="65" t="s">
        <v>641</v>
      </c>
      <c r="Q707" s="65">
        <v>1</v>
      </c>
      <c r="R707" s="65" t="s">
        <v>42</v>
      </c>
      <c r="S707" s="65" t="s">
        <v>44</v>
      </c>
      <c r="T707" s="65" t="s">
        <v>44</v>
      </c>
      <c r="U707" s="65" t="s">
        <v>45</v>
      </c>
      <c r="V707" s="65" t="s">
        <v>46</v>
      </c>
      <c r="W707" s="65">
        <v>84.75</v>
      </c>
      <c r="X707" s="65" t="s">
        <v>47</v>
      </c>
      <c r="Y707" s="65" t="s">
        <v>48</v>
      </c>
      <c r="Z707" s="65" t="s">
        <v>49</v>
      </c>
      <c r="AA707" s="65"/>
      <c r="AB707" s="65"/>
    </row>
    <row r="708" spans="1:28" x14ac:dyDescent="0.3">
      <c r="A708" s="1">
        <v>46287</v>
      </c>
      <c r="B708" s="65" t="s">
        <v>2940</v>
      </c>
      <c r="C708" s="65" t="s">
        <v>29</v>
      </c>
      <c r="D708" s="65" t="s">
        <v>2941</v>
      </c>
      <c r="E708" s="65" t="s">
        <v>31</v>
      </c>
      <c r="F708" s="65" t="s">
        <v>2942</v>
      </c>
      <c r="G708" s="65" t="s">
        <v>2943</v>
      </c>
      <c r="H708" s="65" t="s">
        <v>2944</v>
      </c>
      <c r="I708" s="65" t="s">
        <v>715</v>
      </c>
      <c r="J708" s="65" t="s">
        <v>716</v>
      </c>
      <c r="K708" s="65" t="s">
        <v>37</v>
      </c>
      <c r="L708" s="65" t="s">
        <v>2947</v>
      </c>
      <c r="M708" s="65" t="s">
        <v>2948</v>
      </c>
      <c r="N708" s="65" t="s">
        <v>2943</v>
      </c>
      <c r="O708" s="65" t="s">
        <v>2949</v>
      </c>
      <c r="P708" s="65" t="s">
        <v>41</v>
      </c>
      <c r="Q708" s="65">
        <v>1</v>
      </c>
      <c r="R708" s="65" t="s">
        <v>42</v>
      </c>
      <c r="S708" s="65" t="s">
        <v>44</v>
      </c>
      <c r="T708" s="65" t="s">
        <v>44</v>
      </c>
      <c r="U708" s="65" t="s">
        <v>45</v>
      </c>
      <c r="V708" s="65" t="s">
        <v>60</v>
      </c>
      <c r="W708" s="65">
        <v>186.44</v>
      </c>
      <c r="X708" s="65" t="s">
        <v>47</v>
      </c>
      <c r="Y708" s="65" t="s">
        <v>48</v>
      </c>
      <c r="Z708" s="65" t="s">
        <v>49</v>
      </c>
      <c r="AA708" s="65">
        <v>955356636</v>
      </c>
      <c r="AB708" s="65" t="s">
        <v>720</v>
      </c>
    </row>
    <row r="709" spans="1:28" x14ac:dyDescent="0.3">
      <c r="A709" s="1">
        <v>46287</v>
      </c>
      <c r="B709" s="65" t="s">
        <v>2951</v>
      </c>
      <c r="C709" s="65" t="s">
        <v>29</v>
      </c>
      <c r="D709" s="65" t="s">
        <v>2952</v>
      </c>
      <c r="E709" s="65" t="s">
        <v>31</v>
      </c>
      <c r="F709" s="65" t="s">
        <v>2953</v>
      </c>
      <c r="G709" s="65" t="s">
        <v>2954</v>
      </c>
      <c r="H709" s="65" t="s">
        <v>2955</v>
      </c>
      <c r="I709" s="65" t="s">
        <v>774</v>
      </c>
      <c r="J709" s="65" t="s">
        <v>775</v>
      </c>
      <c r="K709" s="65" t="s">
        <v>37</v>
      </c>
      <c r="L709" s="65" t="s">
        <v>2956</v>
      </c>
      <c r="M709" s="65" t="s">
        <v>2957</v>
      </c>
      <c r="N709" s="65" t="s">
        <v>2954</v>
      </c>
      <c r="O709" s="65" t="s">
        <v>2958</v>
      </c>
      <c r="P709" s="65" t="s">
        <v>641</v>
      </c>
      <c r="Q709" s="65">
        <v>1</v>
      </c>
      <c r="R709" s="65" t="s">
        <v>42</v>
      </c>
      <c r="S709" s="65" t="s">
        <v>44</v>
      </c>
      <c r="T709" s="65" t="s">
        <v>44</v>
      </c>
      <c r="U709" s="65" t="s">
        <v>45</v>
      </c>
      <c r="V709" s="65" t="s">
        <v>46</v>
      </c>
      <c r="W709" s="65">
        <v>84.75</v>
      </c>
      <c r="X709" s="65" t="s">
        <v>47</v>
      </c>
      <c r="Y709" s="65" t="s">
        <v>48</v>
      </c>
      <c r="Z709" s="65" t="s">
        <v>49</v>
      </c>
      <c r="AA709" s="65"/>
      <c r="AB709" s="65"/>
    </row>
    <row r="710" spans="1:28" x14ac:dyDescent="0.3">
      <c r="A710" s="1">
        <v>46287</v>
      </c>
      <c r="B710" s="65" t="s">
        <v>2959</v>
      </c>
      <c r="C710" s="65" t="s">
        <v>29</v>
      </c>
      <c r="D710" s="65" t="s">
        <v>2960</v>
      </c>
      <c r="E710" s="65" t="s">
        <v>31</v>
      </c>
      <c r="F710" s="65" t="s">
        <v>2961</v>
      </c>
      <c r="G710" s="65" t="s">
        <v>2962</v>
      </c>
      <c r="H710" s="65" t="s">
        <v>2963</v>
      </c>
      <c r="I710" s="65" t="s">
        <v>774</v>
      </c>
      <c r="J710" s="65" t="s">
        <v>775</v>
      </c>
      <c r="K710" s="65" t="s">
        <v>37</v>
      </c>
      <c r="L710" s="65" t="s">
        <v>2964</v>
      </c>
      <c r="M710" s="65" t="s">
        <v>2965</v>
      </c>
      <c r="N710" s="65" t="s">
        <v>2962</v>
      </c>
      <c r="O710" s="65" t="s">
        <v>2966</v>
      </c>
      <c r="P710" s="65" t="s">
        <v>641</v>
      </c>
      <c r="Q710" s="65">
        <v>1</v>
      </c>
      <c r="R710" s="65" t="s">
        <v>42</v>
      </c>
      <c r="S710" s="65" t="s">
        <v>44</v>
      </c>
      <c r="T710" s="65" t="s">
        <v>44</v>
      </c>
      <c r="U710" s="65" t="s">
        <v>45</v>
      </c>
      <c r="V710" s="65" t="s">
        <v>46</v>
      </c>
      <c r="W710" s="65">
        <v>84.75</v>
      </c>
      <c r="X710" s="65" t="s">
        <v>47</v>
      </c>
      <c r="Y710" s="65" t="s">
        <v>48</v>
      </c>
      <c r="Z710" s="65" t="s">
        <v>49</v>
      </c>
      <c r="AA710" s="65"/>
      <c r="AB710" s="65"/>
    </row>
    <row r="711" spans="1:28" x14ac:dyDescent="0.3">
      <c r="A711" s="1">
        <v>46287</v>
      </c>
      <c r="B711" s="65" t="s">
        <v>2967</v>
      </c>
      <c r="C711" s="65" t="s">
        <v>29</v>
      </c>
      <c r="D711" s="65" t="s">
        <v>2968</v>
      </c>
      <c r="E711" s="65" t="s">
        <v>31</v>
      </c>
      <c r="F711" s="65" t="s">
        <v>2969</v>
      </c>
      <c r="G711" s="65" t="s">
        <v>2970</v>
      </c>
      <c r="H711" s="65" t="s">
        <v>2971</v>
      </c>
      <c r="I711" s="65" t="s">
        <v>704</v>
      </c>
      <c r="J711" s="65" t="s">
        <v>705</v>
      </c>
      <c r="K711" s="65" t="s">
        <v>37</v>
      </c>
      <c r="L711" s="65" t="s">
        <v>2972</v>
      </c>
      <c r="M711" s="65" t="s">
        <v>2973</v>
      </c>
      <c r="N711" s="65" t="s">
        <v>2970</v>
      </c>
      <c r="O711" s="65" t="s">
        <v>2974</v>
      </c>
      <c r="P711" s="65" t="s">
        <v>159</v>
      </c>
      <c r="Q711" s="65">
        <v>1</v>
      </c>
      <c r="R711" s="65" t="s">
        <v>42</v>
      </c>
      <c r="S711" s="65" t="s">
        <v>44</v>
      </c>
      <c r="T711" s="65" t="s">
        <v>44</v>
      </c>
      <c r="U711" s="65" t="s">
        <v>45</v>
      </c>
      <c r="V711" s="65" t="s">
        <v>60</v>
      </c>
      <c r="W711" s="65">
        <v>135.59</v>
      </c>
      <c r="X711" s="65" t="s">
        <v>47</v>
      </c>
      <c r="Y711" s="65" t="s">
        <v>48</v>
      </c>
      <c r="Z711" s="65" t="s">
        <v>49</v>
      </c>
      <c r="AA711" s="65">
        <v>998418895</v>
      </c>
      <c r="AB711" s="65" t="s">
        <v>709</v>
      </c>
    </row>
    <row r="712" spans="1:28" x14ac:dyDescent="0.3">
      <c r="A712" s="1">
        <v>46287</v>
      </c>
      <c r="B712" s="65" t="s">
        <v>2967</v>
      </c>
      <c r="C712" s="65" t="s">
        <v>29</v>
      </c>
      <c r="D712" s="65" t="s">
        <v>2968</v>
      </c>
      <c r="E712" s="65" t="s">
        <v>31</v>
      </c>
      <c r="F712" s="65" t="s">
        <v>2969</v>
      </c>
      <c r="G712" s="65" t="s">
        <v>2970</v>
      </c>
      <c r="H712" s="65" t="s">
        <v>2971</v>
      </c>
      <c r="I712" s="65" t="s">
        <v>704</v>
      </c>
      <c r="J712" s="65" t="s">
        <v>705</v>
      </c>
      <c r="K712" s="65" t="s">
        <v>37</v>
      </c>
      <c r="L712" s="65" t="s">
        <v>2972</v>
      </c>
      <c r="M712" s="65" t="s">
        <v>2973</v>
      </c>
      <c r="N712" s="65" t="s">
        <v>2970</v>
      </c>
      <c r="O712" s="65" t="s">
        <v>2974</v>
      </c>
      <c r="P712" s="65" t="s">
        <v>101</v>
      </c>
      <c r="Q712" s="65">
        <v>1</v>
      </c>
      <c r="R712" s="65" t="s">
        <v>42</v>
      </c>
      <c r="S712" s="65" t="s">
        <v>44</v>
      </c>
      <c r="T712" s="65" t="s">
        <v>44</v>
      </c>
      <c r="U712" s="65" t="s">
        <v>45</v>
      </c>
      <c r="V712" s="65" t="s">
        <v>60</v>
      </c>
      <c r="W712" s="65">
        <v>186.44</v>
      </c>
      <c r="X712" s="65" t="s">
        <v>47</v>
      </c>
      <c r="Y712" s="65" t="s">
        <v>48</v>
      </c>
      <c r="Z712" s="65" t="s">
        <v>49</v>
      </c>
      <c r="AA712" s="65">
        <v>998418895</v>
      </c>
      <c r="AB712" s="65" t="s">
        <v>709</v>
      </c>
    </row>
    <row r="713" spans="1:28" x14ac:dyDescent="0.3">
      <c r="A713" s="1">
        <v>46287</v>
      </c>
      <c r="B713" s="65" t="s">
        <v>2975</v>
      </c>
      <c r="C713" s="65" t="s">
        <v>268</v>
      </c>
      <c r="D713" s="65" t="s">
        <v>2976</v>
      </c>
      <c r="E713" s="65" t="s">
        <v>31</v>
      </c>
      <c r="F713" s="65" t="s">
        <v>2977</v>
      </c>
      <c r="G713" s="65" t="s">
        <v>2911</v>
      </c>
      <c r="H713" s="65" t="s">
        <v>2912</v>
      </c>
      <c r="I713" s="65" t="s">
        <v>774</v>
      </c>
      <c r="J713" s="65" t="s">
        <v>775</v>
      </c>
      <c r="K713" s="65" t="s">
        <v>37</v>
      </c>
      <c r="L713" s="65" t="s">
        <v>2913</v>
      </c>
      <c r="M713" s="65" t="s">
        <v>2914</v>
      </c>
      <c r="N713" s="65" t="s">
        <v>798</v>
      </c>
      <c r="O713" s="65" t="s">
        <v>2978</v>
      </c>
      <c r="P713" s="65" t="s">
        <v>290</v>
      </c>
      <c r="Q713" s="65">
        <v>1</v>
      </c>
      <c r="R713" s="65" t="s">
        <v>42</v>
      </c>
      <c r="S713" s="65" t="s">
        <v>44</v>
      </c>
      <c r="T713" s="65" t="s">
        <v>44</v>
      </c>
      <c r="U713" s="65" t="s">
        <v>45</v>
      </c>
      <c r="V713" s="65" t="s">
        <v>46</v>
      </c>
      <c r="W713" s="65">
        <v>762.71</v>
      </c>
      <c r="X713" s="65" t="s">
        <v>289</v>
      </c>
      <c r="Y713" s="65" t="s">
        <v>48</v>
      </c>
      <c r="Z713" s="65" t="s">
        <v>49</v>
      </c>
      <c r="AA713" s="65"/>
      <c r="AB713" s="65"/>
    </row>
    <row r="714" spans="1:28" x14ac:dyDescent="0.3">
      <c r="A714" s="1">
        <v>46287</v>
      </c>
      <c r="B714" s="65" t="s">
        <v>2975</v>
      </c>
      <c r="C714" s="65" t="s">
        <v>268</v>
      </c>
      <c r="D714" s="65" t="s">
        <v>2976</v>
      </c>
      <c r="E714" s="65" t="s">
        <v>31</v>
      </c>
      <c r="F714" s="65" t="s">
        <v>2977</v>
      </c>
      <c r="G714" s="65" t="s">
        <v>2911</v>
      </c>
      <c r="H714" s="65" t="s">
        <v>2912</v>
      </c>
      <c r="I714" s="65" t="s">
        <v>774</v>
      </c>
      <c r="J714" s="65" t="s">
        <v>775</v>
      </c>
      <c r="K714" s="65" t="s">
        <v>37</v>
      </c>
      <c r="L714" s="65" t="s">
        <v>2913</v>
      </c>
      <c r="M714" s="65" t="s">
        <v>2914</v>
      </c>
      <c r="N714" s="65" t="s">
        <v>798</v>
      </c>
      <c r="O714" s="65" t="s">
        <v>2978</v>
      </c>
      <c r="P714" s="65" t="s">
        <v>288</v>
      </c>
      <c r="Q714" s="65">
        <v>1</v>
      </c>
      <c r="R714" s="65" t="s">
        <v>42</v>
      </c>
      <c r="S714" s="65" t="s">
        <v>44</v>
      </c>
      <c r="T714" s="65" t="s">
        <v>44</v>
      </c>
      <c r="U714" s="65" t="s">
        <v>45</v>
      </c>
      <c r="V714" s="65" t="s">
        <v>46</v>
      </c>
      <c r="W714" s="65">
        <v>0</v>
      </c>
      <c r="X714" s="65" t="s">
        <v>289</v>
      </c>
      <c r="Y714" s="65" t="s">
        <v>48</v>
      </c>
      <c r="Z714" s="65" t="s">
        <v>49</v>
      </c>
      <c r="AA714" s="65"/>
      <c r="AB714" s="65"/>
    </row>
    <row r="715" spans="1:28" x14ac:dyDescent="0.3">
      <c r="A715" s="1">
        <v>46287</v>
      </c>
      <c r="B715" s="65" t="s">
        <v>2979</v>
      </c>
      <c r="C715" s="65" t="s">
        <v>268</v>
      </c>
      <c r="D715" s="65" t="s">
        <v>2980</v>
      </c>
      <c r="E715" s="65" t="s">
        <v>31</v>
      </c>
      <c r="F715" s="65" t="s">
        <v>2981</v>
      </c>
      <c r="G715" s="65" t="s">
        <v>2954</v>
      </c>
      <c r="H715" s="65" t="s">
        <v>2955</v>
      </c>
      <c r="I715" s="65" t="s">
        <v>774</v>
      </c>
      <c r="J715" s="65" t="s">
        <v>775</v>
      </c>
      <c r="K715" s="65" t="s">
        <v>37</v>
      </c>
      <c r="L715" s="65" t="s">
        <v>2956</v>
      </c>
      <c r="M715" s="65" t="s">
        <v>2957</v>
      </c>
      <c r="N715" s="65" t="s">
        <v>798</v>
      </c>
      <c r="O715" s="65" t="s">
        <v>2982</v>
      </c>
      <c r="P715" s="65" t="s">
        <v>288</v>
      </c>
      <c r="Q715" s="65">
        <v>1</v>
      </c>
      <c r="R715" s="65" t="s">
        <v>42</v>
      </c>
      <c r="S715" s="65" t="s">
        <v>44</v>
      </c>
      <c r="T715" s="65" t="s">
        <v>44</v>
      </c>
      <c r="U715" s="65" t="s">
        <v>45</v>
      </c>
      <c r="V715" s="65" t="s">
        <v>46</v>
      </c>
      <c r="W715" s="65">
        <v>0</v>
      </c>
      <c r="X715" s="65" t="s">
        <v>289</v>
      </c>
      <c r="Y715" s="65" t="s">
        <v>48</v>
      </c>
      <c r="Z715" s="65" t="s">
        <v>49</v>
      </c>
      <c r="AA715" s="65"/>
      <c r="AB715" s="65"/>
    </row>
    <row r="716" spans="1:28" x14ac:dyDescent="0.3">
      <c r="A716" s="1">
        <v>46287</v>
      </c>
      <c r="B716" s="65" t="s">
        <v>2979</v>
      </c>
      <c r="C716" s="65" t="s">
        <v>268</v>
      </c>
      <c r="D716" s="65" t="s">
        <v>2980</v>
      </c>
      <c r="E716" s="65" t="s">
        <v>31</v>
      </c>
      <c r="F716" s="65" t="s">
        <v>2981</v>
      </c>
      <c r="G716" s="65" t="s">
        <v>2954</v>
      </c>
      <c r="H716" s="65" t="s">
        <v>2955</v>
      </c>
      <c r="I716" s="65" t="s">
        <v>774</v>
      </c>
      <c r="J716" s="65" t="s">
        <v>775</v>
      </c>
      <c r="K716" s="65" t="s">
        <v>37</v>
      </c>
      <c r="L716" s="65" t="s">
        <v>2956</v>
      </c>
      <c r="M716" s="65" t="s">
        <v>2957</v>
      </c>
      <c r="N716" s="65" t="s">
        <v>798</v>
      </c>
      <c r="O716" s="65" t="s">
        <v>2982</v>
      </c>
      <c r="P716" s="65" t="s">
        <v>290</v>
      </c>
      <c r="Q716" s="65">
        <v>1</v>
      </c>
      <c r="R716" s="65" t="s">
        <v>42</v>
      </c>
      <c r="S716" s="65" t="s">
        <v>44</v>
      </c>
      <c r="T716" s="65" t="s">
        <v>44</v>
      </c>
      <c r="U716" s="65" t="s">
        <v>45</v>
      </c>
      <c r="V716" s="65" t="s">
        <v>46</v>
      </c>
      <c r="W716" s="65">
        <v>762.71</v>
      </c>
      <c r="X716" s="65" t="s">
        <v>289</v>
      </c>
      <c r="Y716" s="65" t="s">
        <v>48</v>
      </c>
      <c r="Z716" s="65" t="s">
        <v>49</v>
      </c>
      <c r="AA716" s="65"/>
      <c r="AB716" s="65"/>
    </row>
    <row r="717" spans="1:28" x14ac:dyDescent="0.3">
      <c r="A717" s="1">
        <v>46287</v>
      </c>
      <c r="B717" s="65" t="s">
        <v>2983</v>
      </c>
      <c r="C717" s="65" t="s">
        <v>268</v>
      </c>
      <c r="D717" s="65" t="s">
        <v>2984</v>
      </c>
      <c r="E717" s="65" t="s">
        <v>31</v>
      </c>
      <c r="F717" s="65" t="s">
        <v>2985</v>
      </c>
      <c r="G717" s="65" t="s">
        <v>2927</v>
      </c>
      <c r="H717" s="65" t="s">
        <v>2928</v>
      </c>
      <c r="I717" s="65" t="s">
        <v>774</v>
      </c>
      <c r="J717" s="65" t="s">
        <v>775</v>
      </c>
      <c r="K717" s="65" t="s">
        <v>37</v>
      </c>
      <c r="L717" s="65" t="s">
        <v>2929</v>
      </c>
      <c r="M717" s="65" t="s">
        <v>2930</v>
      </c>
      <c r="N717" s="65" t="s">
        <v>798</v>
      </c>
      <c r="O717" s="65" t="s">
        <v>2986</v>
      </c>
      <c r="P717" s="65" t="s">
        <v>288</v>
      </c>
      <c r="Q717" s="65">
        <v>1</v>
      </c>
      <c r="R717" s="65" t="s">
        <v>42</v>
      </c>
      <c r="S717" s="65" t="s">
        <v>44</v>
      </c>
      <c r="T717" s="65" t="s">
        <v>44</v>
      </c>
      <c r="U717" s="65" t="s">
        <v>45</v>
      </c>
      <c r="V717" s="65" t="s">
        <v>60</v>
      </c>
      <c r="W717" s="65">
        <v>0</v>
      </c>
      <c r="X717" s="65" t="s">
        <v>289</v>
      </c>
      <c r="Y717" s="65" t="s">
        <v>48</v>
      </c>
      <c r="Z717" s="65" t="s">
        <v>49</v>
      </c>
      <c r="AA717" s="65"/>
      <c r="AB717" s="65"/>
    </row>
    <row r="718" spans="1:28" x14ac:dyDescent="0.3">
      <c r="A718" s="1">
        <v>46287</v>
      </c>
      <c r="B718" s="65" t="s">
        <v>2983</v>
      </c>
      <c r="C718" s="65" t="s">
        <v>268</v>
      </c>
      <c r="D718" s="65" t="s">
        <v>2984</v>
      </c>
      <c r="E718" s="65" t="s">
        <v>31</v>
      </c>
      <c r="F718" s="65" t="s">
        <v>2985</v>
      </c>
      <c r="G718" s="65" t="s">
        <v>2927</v>
      </c>
      <c r="H718" s="65" t="s">
        <v>2928</v>
      </c>
      <c r="I718" s="65" t="s">
        <v>774</v>
      </c>
      <c r="J718" s="65" t="s">
        <v>775</v>
      </c>
      <c r="K718" s="65" t="s">
        <v>37</v>
      </c>
      <c r="L718" s="65" t="s">
        <v>2929</v>
      </c>
      <c r="M718" s="65" t="s">
        <v>2930</v>
      </c>
      <c r="N718" s="65" t="s">
        <v>798</v>
      </c>
      <c r="O718" s="65" t="s">
        <v>2986</v>
      </c>
      <c r="P718" s="65" t="s">
        <v>290</v>
      </c>
      <c r="Q718" s="65">
        <v>1</v>
      </c>
      <c r="R718" s="65" t="s">
        <v>42</v>
      </c>
      <c r="S718" s="65" t="s">
        <v>44</v>
      </c>
      <c r="T718" s="65" t="s">
        <v>44</v>
      </c>
      <c r="U718" s="65" t="s">
        <v>45</v>
      </c>
      <c r="V718" s="65" t="s">
        <v>60</v>
      </c>
      <c r="W718" s="65">
        <v>762.71</v>
      </c>
      <c r="X718" s="65" t="s">
        <v>289</v>
      </c>
      <c r="Y718" s="65" t="s">
        <v>48</v>
      </c>
      <c r="Z718" s="65" t="s">
        <v>49</v>
      </c>
      <c r="AA718" s="65"/>
      <c r="AB718" s="65"/>
    </row>
    <row r="719" spans="1:28" x14ac:dyDescent="0.3">
      <c r="A719" s="1">
        <v>46287</v>
      </c>
      <c r="B719" s="65" t="s">
        <v>4364</v>
      </c>
      <c r="C719" s="65" t="s">
        <v>29</v>
      </c>
      <c r="D719" s="65" t="s">
        <v>4365</v>
      </c>
      <c r="E719" s="65" t="s">
        <v>31</v>
      </c>
      <c r="F719" s="65" t="s">
        <v>4366</v>
      </c>
      <c r="G719" s="65" t="s">
        <v>4367</v>
      </c>
      <c r="H719" s="65" t="s">
        <v>4368</v>
      </c>
      <c r="I719" s="65"/>
      <c r="J719" s="65"/>
      <c r="K719" s="65" t="s">
        <v>37</v>
      </c>
      <c r="L719" s="65" t="s">
        <v>4369</v>
      </c>
      <c r="M719" s="65" t="s">
        <v>4370</v>
      </c>
      <c r="N719" s="65" t="s">
        <v>4367</v>
      </c>
      <c r="O719" s="65" t="s">
        <v>4371</v>
      </c>
      <c r="P719" s="65" t="s">
        <v>90</v>
      </c>
      <c r="Q719" s="65">
        <v>1</v>
      </c>
      <c r="R719" s="65" t="s">
        <v>42</v>
      </c>
      <c r="S719" s="65" t="s">
        <v>44</v>
      </c>
      <c r="T719" s="65" t="s">
        <v>44</v>
      </c>
      <c r="U719" s="65" t="s">
        <v>45</v>
      </c>
      <c r="V719" s="65" t="s">
        <v>46</v>
      </c>
      <c r="W719" s="65">
        <v>135.59</v>
      </c>
      <c r="X719" s="65" t="s">
        <v>47</v>
      </c>
      <c r="Y719" s="65" t="s">
        <v>48</v>
      </c>
      <c r="Z719" s="65" t="s">
        <v>49</v>
      </c>
      <c r="AA719" s="65"/>
      <c r="AB719" s="65"/>
    </row>
    <row r="720" spans="1:28" x14ac:dyDescent="0.3">
      <c r="A720" s="1">
        <v>46287</v>
      </c>
      <c r="B720" s="65" t="s">
        <v>4364</v>
      </c>
      <c r="C720" s="65" t="s">
        <v>29</v>
      </c>
      <c r="D720" s="65" t="s">
        <v>4365</v>
      </c>
      <c r="E720" s="65" t="s">
        <v>31</v>
      </c>
      <c r="F720" s="65" t="s">
        <v>4366</v>
      </c>
      <c r="G720" s="65" t="s">
        <v>4367</v>
      </c>
      <c r="H720" s="65" t="s">
        <v>4368</v>
      </c>
      <c r="I720" s="65"/>
      <c r="J720" s="65"/>
      <c r="K720" s="65" t="s">
        <v>37</v>
      </c>
      <c r="L720" s="65" t="s">
        <v>4369</v>
      </c>
      <c r="M720" s="65" t="s">
        <v>4370</v>
      </c>
      <c r="N720" s="65" t="s">
        <v>4367</v>
      </c>
      <c r="O720" s="65" t="s">
        <v>4371</v>
      </c>
      <c r="P720" s="65" t="s">
        <v>201</v>
      </c>
      <c r="Q720" s="65">
        <v>1</v>
      </c>
      <c r="R720" s="65" t="s">
        <v>42</v>
      </c>
      <c r="S720" s="65" t="s">
        <v>44</v>
      </c>
      <c r="T720" s="65" t="s">
        <v>44</v>
      </c>
      <c r="U720" s="65" t="s">
        <v>45</v>
      </c>
      <c r="V720" s="65" t="s">
        <v>46</v>
      </c>
      <c r="W720" s="65">
        <v>152.54</v>
      </c>
      <c r="X720" s="65" t="s">
        <v>47</v>
      </c>
      <c r="Y720" s="65" t="s">
        <v>48</v>
      </c>
      <c r="Z720" s="65" t="s">
        <v>49</v>
      </c>
      <c r="AA720" s="65"/>
      <c r="AB720" s="65"/>
    </row>
    <row r="721" spans="1:28" x14ac:dyDescent="0.3">
      <c r="A721" s="1">
        <v>46287</v>
      </c>
      <c r="B721" s="65" t="s">
        <v>4364</v>
      </c>
      <c r="C721" s="65" t="s">
        <v>29</v>
      </c>
      <c r="D721" s="65" t="s">
        <v>4365</v>
      </c>
      <c r="E721" s="65" t="s">
        <v>31</v>
      </c>
      <c r="F721" s="65" t="s">
        <v>4366</v>
      </c>
      <c r="G721" s="65" t="s">
        <v>4367</v>
      </c>
      <c r="H721" s="65" t="s">
        <v>4368</v>
      </c>
      <c r="I721" s="65"/>
      <c r="J721" s="65"/>
      <c r="K721" s="65" t="s">
        <v>37</v>
      </c>
      <c r="L721" s="65" t="s">
        <v>4369</v>
      </c>
      <c r="M721" s="65" t="s">
        <v>4370</v>
      </c>
      <c r="N721" s="65" t="s">
        <v>4367</v>
      </c>
      <c r="O721" s="65" t="s">
        <v>4371</v>
      </c>
      <c r="P721" s="65" t="s">
        <v>202</v>
      </c>
      <c r="Q721" s="65">
        <v>1</v>
      </c>
      <c r="R721" s="65" t="s">
        <v>42</v>
      </c>
      <c r="S721" s="65" t="s">
        <v>44</v>
      </c>
      <c r="T721" s="65" t="s">
        <v>44</v>
      </c>
      <c r="U721" s="65" t="s">
        <v>45</v>
      </c>
      <c r="V721" s="65" t="s">
        <v>46</v>
      </c>
      <c r="W721" s="65">
        <v>135.59</v>
      </c>
      <c r="X721" s="65" t="s">
        <v>47</v>
      </c>
      <c r="Y721" s="65" t="s">
        <v>48</v>
      </c>
      <c r="Z721" s="65" t="s">
        <v>49</v>
      </c>
      <c r="AA721" s="65"/>
      <c r="AB721" s="65"/>
    </row>
    <row r="722" spans="1:28" x14ac:dyDescent="0.3">
      <c r="A722" s="1">
        <v>46287</v>
      </c>
      <c r="B722" s="65" t="s">
        <v>4372</v>
      </c>
      <c r="C722" s="65" t="s">
        <v>29</v>
      </c>
      <c r="D722" s="65" t="s">
        <v>4373</v>
      </c>
      <c r="E722" s="65" t="s">
        <v>31</v>
      </c>
      <c r="F722" s="65" t="s">
        <v>4374</v>
      </c>
      <c r="G722" s="65" t="s">
        <v>4375</v>
      </c>
      <c r="H722" s="65" t="s">
        <v>4376</v>
      </c>
      <c r="I722" s="65" t="s">
        <v>1108</v>
      </c>
      <c r="J722" s="65" t="s">
        <v>209</v>
      </c>
      <c r="K722" s="65" t="s">
        <v>37</v>
      </c>
      <c r="L722" s="65" t="s">
        <v>4377</v>
      </c>
      <c r="M722" s="65" t="s">
        <v>4378</v>
      </c>
      <c r="N722" s="65" t="s">
        <v>4375</v>
      </c>
      <c r="O722" s="65" t="s">
        <v>4379</v>
      </c>
      <c r="P722" s="65" t="s">
        <v>159</v>
      </c>
      <c r="Q722" s="65">
        <v>1</v>
      </c>
      <c r="R722" s="65" t="s">
        <v>42</v>
      </c>
      <c r="S722" s="65" t="s">
        <v>44</v>
      </c>
      <c r="T722" s="65" t="s">
        <v>44</v>
      </c>
      <c r="U722" s="65" t="s">
        <v>45</v>
      </c>
      <c r="V722" s="65" t="s">
        <v>46</v>
      </c>
      <c r="W722" s="65">
        <v>135.59</v>
      </c>
      <c r="X722" s="65" t="s">
        <v>47</v>
      </c>
      <c r="Y722" s="65" t="s">
        <v>48</v>
      </c>
      <c r="Z722" s="65" t="s">
        <v>49</v>
      </c>
      <c r="AA722" s="65">
        <v>970582106</v>
      </c>
      <c r="AB722" s="65" t="s">
        <v>1113</v>
      </c>
    </row>
    <row r="723" spans="1:28" x14ac:dyDescent="0.3">
      <c r="A723" s="1">
        <v>46287</v>
      </c>
      <c r="B723" s="65" t="s">
        <v>4380</v>
      </c>
      <c r="C723" s="65" t="s">
        <v>29</v>
      </c>
      <c r="D723" s="65" t="s">
        <v>4381</v>
      </c>
      <c r="E723" s="65" t="s">
        <v>31</v>
      </c>
      <c r="F723" s="65" t="s">
        <v>4382</v>
      </c>
      <c r="G723" s="65" t="s">
        <v>4383</v>
      </c>
      <c r="H723" s="65" t="s">
        <v>4384</v>
      </c>
      <c r="I723" s="65" t="s">
        <v>774</v>
      </c>
      <c r="J723" s="65" t="s">
        <v>775</v>
      </c>
      <c r="K723" s="65" t="s">
        <v>37</v>
      </c>
      <c r="L723" s="65" t="s">
        <v>4385</v>
      </c>
      <c r="M723" s="65" t="s">
        <v>4386</v>
      </c>
      <c r="N723" s="65" t="s">
        <v>4383</v>
      </c>
      <c r="O723" s="65" t="s">
        <v>4387</v>
      </c>
      <c r="P723" s="65" t="s">
        <v>201</v>
      </c>
      <c r="Q723" s="65">
        <v>1</v>
      </c>
      <c r="R723" s="65" t="s">
        <v>42</v>
      </c>
      <c r="S723" s="65" t="s">
        <v>44</v>
      </c>
      <c r="T723" s="65" t="s">
        <v>44</v>
      </c>
      <c r="U723" s="65" t="s">
        <v>45</v>
      </c>
      <c r="V723" s="65" t="s">
        <v>60</v>
      </c>
      <c r="W723" s="65">
        <v>152.54</v>
      </c>
      <c r="X723" s="65" t="s">
        <v>47</v>
      </c>
      <c r="Y723" s="65" t="s">
        <v>48</v>
      </c>
      <c r="Z723" s="65" t="s">
        <v>49</v>
      </c>
      <c r="AA723" s="65"/>
      <c r="AB723" s="65"/>
    </row>
    <row r="724" spans="1:28" x14ac:dyDescent="0.3">
      <c r="A724" s="1">
        <v>46287</v>
      </c>
      <c r="B724" s="65" t="s">
        <v>4380</v>
      </c>
      <c r="C724" s="65" t="s">
        <v>29</v>
      </c>
      <c r="D724" s="65" t="s">
        <v>4381</v>
      </c>
      <c r="E724" s="65" t="s">
        <v>31</v>
      </c>
      <c r="F724" s="65" t="s">
        <v>4382</v>
      </c>
      <c r="G724" s="65" t="s">
        <v>4383</v>
      </c>
      <c r="H724" s="65" t="s">
        <v>4384</v>
      </c>
      <c r="I724" s="65" t="s">
        <v>774</v>
      </c>
      <c r="J724" s="65" t="s">
        <v>775</v>
      </c>
      <c r="K724" s="65" t="s">
        <v>37</v>
      </c>
      <c r="L724" s="65" t="s">
        <v>4385</v>
      </c>
      <c r="M724" s="65" t="s">
        <v>4386</v>
      </c>
      <c r="N724" s="65" t="s">
        <v>4383</v>
      </c>
      <c r="O724" s="65" t="s">
        <v>4387</v>
      </c>
      <c r="P724" s="65" t="s">
        <v>202</v>
      </c>
      <c r="Q724" s="65">
        <v>1</v>
      </c>
      <c r="R724" s="65" t="s">
        <v>42</v>
      </c>
      <c r="S724" s="65" t="s">
        <v>44</v>
      </c>
      <c r="T724" s="65" t="s">
        <v>44</v>
      </c>
      <c r="U724" s="65" t="s">
        <v>45</v>
      </c>
      <c r="V724" s="65" t="s">
        <v>60</v>
      </c>
      <c r="W724" s="65">
        <v>135.59</v>
      </c>
      <c r="X724" s="65" t="s">
        <v>47</v>
      </c>
      <c r="Y724" s="65" t="s">
        <v>48</v>
      </c>
      <c r="Z724" s="65" t="s">
        <v>49</v>
      </c>
      <c r="AA724" s="65"/>
      <c r="AB724" s="65"/>
    </row>
    <row r="725" spans="1:28" x14ac:dyDescent="0.3">
      <c r="A725" s="1">
        <v>46287</v>
      </c>
      <c r="B725" s="65" t="s">
        <v>4388</v>
      </c>
      <c r="C725" s="65" t="s">
        <v>29</v>
      </c>
      <c r="D725" s="65" t="s">
        <v>4389</v>
      </c>
      <c r="E725" s="65" t="s">
        <v>31</v>
      </c>
      <c r="F725" s="65" t="s">
        <v>4390</v>
      </c>
      <c r="G725" s="65" t="s">
        <v>4391</v>
      </c>
      <c r="H725" s="65" t="s">
        <v>4392</v>
      </c>
      <c r="I725" s="65" t="s">
        <v>1108</v>
      </c>
      <c r="J725" s="65" t="s">
        <v>209</v>
      </c>
      <c r="K725" s="65" t="s">
        <v>37</v>
      </c>
      <c r="L725" s="65" t="s">
        <v>4393</v>
      </c>
      <c r="M725" s="65" t="s">
        <v>4394</v>
      </c>
      <c r="N725" s="65" t="s">
        <v>4391</v>
      </c>
      <c r="O725" s="65" t="s">
        <v>4395</v>
      </c>
      <c r="P725" s="65" t="s">
        <v>90</v>
      </c>
      <c r="Q725" s="65">
        <v>1</v>
      </c>
      <c r="R725" s="65" t="s">
        <v>42</v>
      </c>
      <c r="S725" s="65" t="s">
        <v>44</v>
      </c>
      <c r="T725" s="65" t="s">
        <v>44</v>
      </c>
      <c r="U725" s="65" t="s">
        <v>71</v>
      </c>
      <c r="V725" s="65" t="s">
        <v>72</v>
      </c>
      <c r="W725" s="65">
        <v>135.59</v>
      </c>
      <c r="X725" s="65" t="s">
        <v>47</v>
      </c>
      <c r="Y725" s="65" t="s">
        <v>48</v>
      </c>
      <c r="Z725" s="65" t="s">
        <v>73</v>
      </c>
      <c r="AA725" s="65">
        <v>970582106</v>
      </c>
      <c r="AB725" s="65" t="s">
        <v>1113</v>
      </c>
    </row>
    <row r="726" spans="1:28" x14ac:dyDescent="0.3">
      <c r="A726" s="1">
        <v>46287</v>
      </c>
      <c r="B726" s="65" t="s">
        <v>4396</v>
      </c>
      <c r="C726" s="65" t="s">
        <v>29</v>
      </c>
      <c r="D726" s="65" t="s">
        <v>4397</v>
      </c>
      <c r="E726" s="65" t="s">
        <v>31</v>
      </c>
      <c r="F726" s="65" t="s">
        <v>4398</v>
      </c>
      <c r="G726" s="65" t="s">
        <v>4399</v>
      </c>
      <c r="H726" s="65" t="s">
        <v>4400</v>
      </c>
      <c r="I726" s="65" t="s">
        <v>2795</v>
      </c>
      <c r="J726" s="65" t="s">
        <v>209</v>
      </c>
      <c r="K726" s="65" t="s">
        <v>37</v>
      </c>
      <c r="L726" s="65" t="s">
        <v>4401</v>
      </c>
      <c r="M726" s="65" t="s">
        <v>4402</v>
      </c>
      <c r="N726" s="65" t="s">
        <v>4399</v>
      </c>
      <c r="O726" s="65" t="s">
        <v>4403</v>
      </c>
      <c r="P726" s="65" t="s">
        <v>90</v>
      </c>
      <c r="Q726" s="65">
        <v>1</v>
      </c>
      <c r="R726" s="65" t="s">
        <v>42</v>
      </c>
      <c r="S726" s="65" t="s">
        <v>44</v>
      </c>
      <c r="T726" s="65" t="s">
        <v>44</v>
      </c>
      <c r="U726" s="65" t="s">
        <v>45</v>
      </c>
      <c r="V726" s="65" t="s">
        <v>60</v>
      </c>
      <c r="W726" s="65">
        <v>135.59</v>
      </c>
      <c r="X726" s="65" t="s">
        <v>47</v>
      </c>
      <c r="Y726" s="65" t="s">
        <v>48</v>
      </c>
      <c r="Z726" s="65" t="s">
        <v>49</v>
      </c>
      <c r="AA726" s="65">
        <v>994872106</v>
      </c>
      <c r="AB726" s="65" t="s">
        <v>1253</v>
      </c>
    </row>
    <row r="727" spans="1:28" x14ac:dyDescent="0.3">
      <c r="A727" s="1">
        <v>46288</v>
      </c>
      <c r="B727" s="65" t="s">
        <v>2987</v>
      </c>
      <c r="C727" s="65" t="s">
        <v>29</v>
      </c>
      <c r="D727" s="65" t="s">
        <v>2988</v>
      </c>
      <c r="E727" s="65" t="s">
        <v>31</v>
      </c>
      <c r="F727" s="65" t="s">
        <v>2989</v>
      </c>
      <c r="G727" s="65" t="s">
        <v>2990</v>
      </c>
      <c r="H727" s="65" t="s">
        <v>2991</v>
      </c>
      <c r="I727" s="65" t="s">
        <v>434</v>
      </c>
      <c r="J727" s="65" t="s">
        <v>435</v>
      </c>
      <c r="K727" s="65" t="s">
        <v>37</v>
      </c>
      <c r="L727" s="65" t="s">
        <v>2992</v>
      </c>
      <c r="M727" s="65" t="s">
        <v>2993</v>
      </c>
      <c r="N727" s="65" t="s">
        <v>2990</v>
      </c>
      <c r="O727" s="65" t="s">
        <v>2994</v>
      </c>
      <c r="P727" s="65" t="s">
        <v>349</v>
      </c>
      <c r="Q727" s="65">
        <v>1</v>
      </c>
      <c r="R727" s="65" t="s">
        <v>70</v>
      </c>
      <c r="S727" s="65" t="s">
        <v>43</v>
      </c>
      <c r="T727" s="65" t="s">
        <v>44</v>
      </c>
      <c r="U727" s="65" t="s">
        <v>71</v>
      </c>
      <c r="V727" s="65" t="s">
        <v>184</v>
      </c>
      <c r="W727" s="65">
        <v>169.49</v>
      </c>
      <c r="X727" s="65" t="s">
        <v>47</v>
      </c>
      <c r="Y727" s="65" t="s">
        <v>48</v>
      </c>
      <c r="Z727" s="65" t="s">
        <v>73</v>
      </c>
      <c r="AA727" s="65">
        <v>992903716</v>
      </c>
      <c r="AB727" s="65" t="s">
        <v>439</v>
      </c>
    </row>
    <row r="728" spans="1:28" x14ac:dyDescent="0.3">
      <c r="A728" s="1">
        <v>46288</v>
      </c>
      <c r="B728" s="65" t="s">
        <v>2995</v>
      </c>
      <c r="C728" s="65" t="s">
        <v>29</v>
      </c>
      <c r="D728" s="65" t="s">
        <v>2996</v>
      </c>
      <c r="E728" s="65" t="s">
        <v>31</v>
      </c>
      <c r="F728" s="65" t="s">
        <v>2997</v>
      </c>
      <c r="G728" s="65" t="s">
        <v>2998</v>
      </c>
      <c r="H728" s="65" t="s">
        <v>2999</v>
      </c>
      <c r="I728" s="65" t="s">
        <v>4404</v>
      </c>
      <c r="J728" s="65" t="s">
        <v>629</v>
      </c>
      <c r="K728" s="65" t="s">
        <v>37</v>
      </c>
      <c r="L728" s="65" t="s">
        <v>3000</v>
      </c>
      <c r="M728" s="65" t="s">
        <v>2993</v>
      </c>
      <c r="N728" s="65" t="s">
        <v>2998</v>
      </c>
      <c r="O728" s="65" t="s">
        <v>3001</v>
      </c>
      <c r="P728" s="65" t="s">
        <v>349</v>
      </c>
      <c r="Q728" s="65">
        <v>1</v>
      </c>
      <c r="R728" s="65" t="s">
        <v>70</v>
      </c>
      <c r="S728" s="65" t="s">
        <v>43</v>
      </c>
      <c r="T728" s="65" t="s">
        <v>44</v>
      </c>
      <c r="U728" s="65" t="s">
        <v>71</v>
      </c>
      <c r="V728" s="65" t="s">
        <v>184</v>
      </c>
      <c r="W728" s="65">
        <v>169.49</v>
      </c>
      <c r="X728" s="65" t="s">
        <v>47</v>
      </c>
      <c r="Y728" s="65" t="s">
        <v>48</v>
      </c>
      <c r="Z728" s="65" t="s">
        <v>73</v>
      </c>
      <c r="AA728" s="65">
        <v>942116231</v>
      </c>
      <c r="AB728" s="65"/>
    </row>
    <row r="729" spans="1:28" x14ac:dyDescent="0.3">
      <c r="A729" s="1">
        <v>46288</v>
      </c>
      <c r="B729" s="65" t="s">
        <v>3002</v>
      </c>
      <c r="C729" s="65" t="s">
        <v>399</v>
      </c>
      <c r="D729" s="65" t="s">
        <v>2988</v>
      </c>
      <c r="E729" s="65" t="s">
        <v>400</v>
      </c>
      <c r="F729" s="65" t="s">
        <v>3003</v>
      </c>
      <c r="G729" s="65" t="s">
        <v>2990</v>
      </c>
      <c r="H729" s="65" t="s">
        <v>2991</v>
      </c>
      <c r="I729" s="65" t="s">
        <v>434</v>
      </c>
      <c r="J729" s="65" t="s">
        <v>435</v>
      </c>
      <c r="K729" s="65" t="s">
        <v>400</v>
      </c>
      <c r="L729" s="65" t="s">
        <v>2992</v>
      </c>
      <c r="M729" s="65" t="s">
        <v>2993</v>
      </c>
      <c r="N729" s="65" t="s">
        <v>2990</v>
      </c>
      <c r="O729" s="65" t="s">
        <v>2994</v>
      </c>
      <c r="P729" s="65" t="s">
        <v>349</v>
      </c>
      <c r="Q729" s="65">
        <v>1</v>
      </c>
      <c r="R729" s="65" t="s">
        <v>70</v>
      </c>
      <c r="S729" s="65" t="s">
        <v>43</v>
      </c>
      <c r="T729" s="65" t="s">
        <v>44</v>
      </c>
      <c r="U729" s="65" t="s">
        <v>71</v>
      </c>
      <c r="V729" s="65" t="s">
        <v>184</v>
      </c>
      <c r="W729" s="65">
        <v>-169.49</v>
      </c>
      <c r="X729" s="65" t="s">
        <v>47</v>
      </c>
      <c r="Y729" s="65" t="s">
        <v>48</v>
      </c>
      <c r="Z729" s="65" t="s">
        <v>73</v>
      </c>
      <c r="AA729" s="65">
        <v>992903716</v>
      </c>
      <c r="AB729" s="65" t="s">
        <v>439</v>
      </c>
    </row>
    <row r="730" spans="1:28" x14ac:dyDescent="0.3">
      <c r="A730" s="1">
        <v>46288</v>
      </c>
      <c r="B730" s="65" t="s">
        <v>4405</v>
      </c>
      <c r="C730" s="65" t="s">
        <v>29</v>
      </c>
      <c r="D730" s="65" t="s">
        <v>4406</v>
      </c>
      <c r="E730" s="65" t="s">
        <v>31</v>
      </c>
      <c r="F730" s="65" t="s">
        <v>4407</v>
      </c>
      <c r="G730" s="65" t="s">
        <v>4408</v>
      </c>
      <c r="H730" s="65" t="s">
        <v>4409</v>
      </c>
      <c r="I730" s="65" t="s">
        <v>2795</v>
      </c>
      <c r="J730" s="65" t="s">
        <v>209</v>
      </c>
      <c r="K730" s="65" t="s">
        <v>37</v>
      </c>
      <c r="L730" s="65" t="s">
        <v>4410</v>
      </c>
      <c r="M730" s="65" t="s">
        <v>4411</v>
      </c>
      <c r="N730" s="65" t="s">
        <v>4408</v>
      </c>
      <c r="O730" s="65" t="s">
        <v>4412</v>
      </c>
      <c r="P730" s="65" t="s">
        <v>202</v>
      </c>
      <c r="Q730" s="65">
        <v>1</v>
      </c>
      <c r="R730" s="65" t="s">
        <v>42</v>
      </c>
      <c r="S730" s="65" t="s">
        <v>44</v>
      </c>
      <c r="T730" s="65" t="s">
        <v>44</v>
      </c>
      <c r="U730" s="65" t="s">
        <v>45</v>
      </c>
      <c r="V730" s="65" t="s">
        <v>60</v>
      </c>
      <c r="W730" s="65">
        <v>135.59</v>
      </c>
      <c r="X730" s="65" t="s">
        <v>47</v>
      </c>
      <c r="Y730" s="65" t="s">
        <v>48</v>
      </c>
      <c r="Z730" s="65" t="s">
        <v>49</v>
      </c>
      <c r="AA730" s="65">
        <v>994872106</v>
      </c>
      <c r="AB730" s="65" t="s">
        <v>1253</v>
      </c>
    </row>
    <row r="731" spans="1:28" x14ac:dyDescent="0.3">
      <c r="A731" s="1">
        <v>46288</v>
      </c>
      <c r="B731" s="65" t="s">
        <v>4405</v>
      </c>
      <c r="C731" s="65" t="s">
        <v>29</v>
      </c>
      <c r="D731" s="65" t="s">
        <v>4406</v>
      </c>
      <c r="E731" s="65" t="s">
        <v>31</v>
      </c>
      <c r="F731" s="65" t="s">
        <v>4407</v>
      </c>
      <c r="G731" s="65" t="s">
        <v>4408</v>
      </c>
      <c r="H731" s="65" t="s">
        <v>4409</v>
      </c>
      <c r="I731" s="65" t="s">
        <v>2795</v>
      </c>
      <c r="J731" s="65" t="s">
        <v>209</v>
      </c>
      <c r="K731" s="65" t="s">
        <v>37</v>
      </c>
      <c r="L731" s="65" t="s">
        <v>4410</v>
      </c>
      <c r="M731" s="65" t="s">
        <v>4411</v>
      </c>
      <c r="N731" s="65" t="s">
        <v>4408</v>
      </c>
      <c r="O731" s="65" t="s">
        <v>4412</v>
      </c>
      <c r="P731" s="65" t="s">
        <v>201</v>
      </c>
      <c r="Q731" s="65">
        <v>1</v>
      </c>
      <c r="R731" s="65" t="s">
        <v>42</v>
      </c>
      <c r="S731" s="65" t="s">
        <v>44</v>
      </c>
      <c r="T731" s="65" t="s">
        <v>44</v>
      </c>
      <c r="U731" s="65" t="s">
        <v>45</v>
      </c>
      <c r="V731" s="65" t="s">
        <v>60</v>
      </c>
      <c r="W731" s="65">
        <v>152.54</v>
      </c>
      <c r="X731" s="65" t="s">
        <v>47</v>
      </c>
      <c r="Y731" s="65" t="s">
        <v>48</v>
      </c>
      <c r="Z731" s="65" t="s">
        <v>49</v>
      </c>
      <c r="AA731" s="65">
        <v>994872106</v>
      </c>
      <c r="AB731" s="65" t="s">
        <v>1253</v>
      </c>
    </row>
    <row r="732" spans="1:28" x14ac:dyDescent="0.3">
      <c r="A732" s="1">
        <v>46288</v>
      </c>
      <c r="B732" s="65" t="s">
        <v>4413</v>
      </c>
      <c r="C732" s="65" t="s">
        <v>29</v>
      </c>
      <c r="D732" s="65" t="s">
        <v>4414</v>
      </c>
      <c r="E732" s="65" t="s">
        <v>31</v>
      </c>
      <c r="F732" s="65" t="s">
        <v>4415</v>
      </c>
      <c r="G732" s="65" t="s">
        <v>4416</v>
      </c>
      <c r="H732" s="65" t="s">
        <v>4417</v>
      </c>
      <c r="I732" s="65"/>
      <c r="J732" s="65"/>
      <c r="K732" s="65" t="s">
        <v>37</v>
      </c>
      <c r="L732" s="65" t="s">
        <v>4418</v>
      </c>
      <c r="M732" s="65" t="s">
        <v>4419</v>
      </c>
      <c r="N732" s="65" t="s">
        <v>4416</v>
      </c>
      <c r="O732" s="65" t="s">
        <v>4420</v>
      </c>
      <c r="P732" s="65" t="s">
        <v>90</v>
      </c>
      <c r="Q732" s="65">
        <v>1</v>
      </c>
      <c r="R732" s="65" t="s">
        <v>42</v>
      </c>
      <c r="S732" s="65" t="s">
        <v>44</v>
      </c>
      <c r="T732" s="65" t="s">
        <v>44</v>
      </c>
      <c r="U732" s="65" t="s">
        <v>531</v>
      </c>
      <c r="V732" s="65" t="s">
        <v>4049</v>
      </c>
      <c r="W732" s="65">
        <v>135.59</v>
      </c>
      <c r="X732" s="65" t="s">
        <v>47</v>
      </c>
      <c r="Y732" s="65" t="s">
        <v>48</v>
      </c>
      <c r="Z732" s="65" t="s">
        <v>534</v>
      </c>
      <c r="AA732" s="65"/>
      <c r="AB732" s="65"/>
    </row>
    <row r="733" spans="1:28" x14ac:dyDescent="0.3">
      <c r="A733" s="1">
        <v>46289</v>
      </c>
      <c r="B733" s="65" t="s">
        <v>4421</v>
      </c>
      <c r="C733" s="65" t="s">
        <v>268</v>
      </c>
      <c r="D733" s="65" t="s">
        <v>4422</v>
      </c>
      <c r="E733" s="65" t="s">
        <v>31</v>
      </c>
      <c r="F733" s="65" t="s">
        <v>4423</v>
      </c>
      <c r="G733" s="65" t="s">
        <v>2547</v>
      </c>
      <c r="H733" s="65" t="s">
        <v>2548</v>
      </c>
      <c r="I733" s="65" t="s">
        <v>273</v>
      </c>
      <c r="J733" s="65" t="s">
        <v>274</v>
      </c>
      <c r="K733" s="65" t="s">
        <v>37</v>
      </c>
      <c r="L733" s="65" t="s">
        <v>2549</v>
      </c>
      <c r="M733" s="65" t="s">
        <v>2550</v>
      </c>
      <c r="N733" s="65" t="s">
        <v>277</v>
      </c>
      <c r="O733" s="65" t="s">
        <v>4424</v>
      </c>
      <c r="P733" s="65" t="s">
        <v>290</v>
      </c>
      <c r="Q733" s="65">
        <v>1</v>
      </c>
      <c r="R733" s="65" t="s">
        <v>42</v>
      </c>
      <c r="S733" s="65" t="s">
        <v>44</v>
      </c>
      <c r="T733" s="65" t="s">
        <v>44</v>
      </c>
      <c r="U733" s="65" t="s">
        <v>45</v>
      </c>
      <c r="V733" s="65" t="s">
        <v>46</v>
      </c>
      <c r="W733" s="65">
        <v>1050.8499999999999</v>
      </c>
      <c r="X733" s="65" t="s">
        <v>289</v>
      </c>
      <c r="Y733" s="65" t="s">
        <v>48</v>
      </c>
      <c r="Z733" s="65" t="s">
        <v>49</v>
      </c>
      <c r="AA733" s="65">
        <v>950133748</v>
      </c>
      <c r="AB733" s="65" t="s">
        <v>279</v>
      </c>
    </row>
    <row r="734" spans="1:28" x14ac:dyDescent="0.3">
      <c r="A734" s="1">
        <v>46289</v>
      </c>
      <c r="B734" s="65" t="s">
        <v>4421</v>
      </c>
      <c r="C734" s="65" t="s">
        <v>268</v>
      </c>
      <c r="D734" s="65" t="s">
        <v>4422</v>
      </c>
      <c r="E734" s="65" t="s">
        <v>31</v>
      </c>
      <c r="F734" s="65" t="s">
        <v>4423</v>
      </c>
      <c r="G734" s="65" t="s">
        <v>2547</v>
      </c>
      <c r="H734" s="65" t="s">
        <v>2548</v>
      </c>
      <c r="I734" s="65" t="s">
        <v>273</v>
      </c>
      <c r="J734" s="65" t="s">
        <v>274</v>
      </c>
      <c r="K734" s="65" t="s">
        <v>37</v>
      </c>
      <c r="L734" s="65" t="s">
        <v>2549</v>
      </c>
      <c r="M734" s="65" t="s">
        <v>2550</v>
      </c>
      <c r="N734" s="65" t="s">
        <v>277</v>
      </c>
      <c r="O734" s="65" t="s">
        <v>4424</v>
      </c>
      <c r="P734" s="65" t="s">
        <v>288</v>
      </c>
      <c r="Q734" s="65">
        <v>1</v>
      </c>
      <c r="R734" s="65" t="s">
        <v>42</v>
      </c>
      <c r="S734" s="65" t="s">
        <v>44</v>
      </c>
      <c r="T734" s="65" t="s">
        <v>44</v>
      </c>
      <c r="U734" s="65" t="s">
        <v>45</v>
      </c>
      <c r="V734" s="65" t="s">
        <v>46</v>
      </c>
      <c r="W734" s="65">
        <v>0</v>
      </c>
      <c r="X734" s="65" t="s">
        <v>289</v>
      </c>
      <c r="Y734" s="65" t="s">
        <v>48</v>
      </c>
      <c r="Z734" s="65" t="s">
        <v>49</v>
      </c>
      <c r="AA734" s="65">
        <v>950133748</v>
      </c>
      <c r="AB734" s="65" t="s">
        <v>279</v>
      </c>
    </row>
    <row r="735" spans="1:28" x14ac:dyDescent="0.3">
      <c r="A735" s="1">
        <v>46289</v>
      </c>
      <c r="B735" s="65" t="s">
        <v>4425</v>
      </c>
      <c r="C735" s="65" t="s">
        <v>268</v>
      </c>
      <c r="D735" s="65" t="s">
        <v>4426</v>
      </c>
      <c r="E735" s="65" t="s">
        <v>31</v>
      </c>
      <c r="F735" s="65" t="s">
        <v>4427</v>
      </c>
      <c r="G735" s="65" t="s">
        <v>4428</v>
      </c>
      <c r="H735" s="65" t="s">
        <v>4429</v>
      </c>
      <c r="I735" s="65" t="s">
        <v>136</v>
      </c>
      <c r="J735" s="65" t="s">
        <v>137</v>
      </c>
      <c r="K735" s="65" t="s">
        <v>37</v>
      </c>
      <c r="L735" s="65" t="s">
        <v>4430</v>
      </c>
      <c r="M735" s="65" t="s">
        <v>4431</v>
      </c>
      <c r="N735" s="65" t="s">
        <v>4428</v>
      </c>
      <c r="O735" s="65" t="s">
        <v>4432</v>
      </c>
      <c r="P735" s="65" t="s">
        <v>159</v>
      </c>
      <c r="Q735" s="65">
        <v>1</v>
      </c>
      <c r="R735" s="65" t="s">
        <v>42</v>
      </c>
      <c r="S735" s="65" t="s">
        <v>44</v>
      </c>
      <c r="T735" s="65" t="s">
        <v>44</v>
      </c>
      <c r="U735" s="65" t="s">
        <v>45</v>
      </c>
      <c r="V735" s="65" t="s">
        <v>60</v>
      </c>
      <c r="W735" s="65">
        <v>135.59</v>
      </c>
      <c r="X735" s="65" t="s">
        <v>47</v>
      </c>
      <c r="Y735" s="65" t="s">
        <v>48</v>
      </c>
      <c r="Z735" s="65" t="s">
        <v>49</v>
      </c>
      <c r="AA735" s="65">
        <v>987407712</v>
      </c>
      <c r="AB735" s="65" t="s">
        <v>141</v>
      </c>
    </row>
    <row r="736" spans="1:28" x14ac:dyDescent="0.3">
      <c r="A736" s="1">
        <v>46289</v>
      </c>
      <c r="B736" s="65" t="s">
        <v>4425</v>
      </c>
      <c r="C736" s="65" t="s">
        <v>268</v>
      </c>
      <c r="D736" s="65" t="s">
        <v>4426</v>
      </c>
      <c r="E736" s="65" t="s">
        <v>31</v>
      </c>
      <c r="F736" s="65" t="s">
        <v>4427</v>
      </c>
      <c r="G736" s="65" t="s">
        <v>4428</v>
      </c>
      <c r="H736" s="65" t="s">
        <v>4429</v>
      </c>
      <c r="I736" s="65" t="s">
        <v>136</v>
      </c>
      <c r="J736" s="65" t="s">
        <v>137</v>
      </c>
      <c r="K736" s="65" t="s">
        <v>37</v>
      </c>
      <c r="L736" s="65" t="s">
        <v>4430</v>
      </c>
      <c r="M736" s="65" t="s">
        <v>4431</v>
      </c>
      <c r="N736" s="65" t="s">
        <v>4428</v>
      </c>
      <c r="O736" s="65" t="s">
        <v>4432</v>
      </c>
      <c r="P736" s="65" t="s">
        <v>101</v>
      </c>
      <c r="Q736" s="65">
        <v>1</v>
      </c>
      <c r="R736" s="65" t="s">
        <v>42</v>
      </c>
      <c r="S736" s="65" t="s">
        <v>44</v>
      </c>
      <c r="T736" s="65" t="s">
        <v>44</v>
      </c>
      <c r="U736" s="65" t="s">
        <v>45</v>
      </c>
      <c r="V736" s="65" t="s">
        <v>60</v>
      </c>
      <c r="W736" s="65">
        <v>186.44</v>
      </c>
      <c r="X736" s="65" t="s">
        <v>47</v>
      </c>
      <c r="Y736" s="65" t="s">
        <v>48</v>
      </c>
      <c r="Z736" s="65" t="s">
        <v>49</v>
      </c>
      <c r="AA736" s="65">
        <v>987407712</v>
      </c>
      <c r="AB736" s="65" t="s">
        <v>141</v>
      </c>
    </row>
    <row r="737" spans="1:28" x14ac:dyDescent="0.3">
      <c r="A737" s="1">
        <v>46289</v>
      </c>
      <c r="B737" s="65" t="s">
        <v>4433</v>
      </c>
      <c r="C737" s="65" t="s">
        <v>268</v>
      </c>
      <c r="D737" s="65" t="s">
        <v>2389</v>
      </c>
      <c r="E737" s="65" t="s">
        <v>31</v>
      </c>
      <c r="F737" s="65" t="s">
        <v>4434</v>
      </c>
      <c r="G737" s="65" t="s">
        <v>4435</v>
      </c>
      <c r="H737" s="65" t="s">
        <v>4436</v>
      </c>
      <c r="I737" s="65" t="s">
        <v>1541</v>
      </c>
      <c r="J737" s="65" t="s">
        <v>1542</v>
      </c>
      <c r="K737" s="65" t="s">
        <v>37</v>
      </c>
      <c r="L737" s="65" t="s">
        <v>4437</v>
      </c>
      <c r="M737" s="65" t="s">
        <v>4438</v>
      </c>
      <c r="N737" s="65" t="s">
        <v>1251</v>
      </c>
      <c r="O737" s="65" t="s">
        <v>4439</v>
      </c>
      <c r="P737" s="65" t="s">
        <v>1137</v>
      </c>
      <c r="Q737" s="65">
        <v>1</v>
      </c>
      <c r="R737" s="65" t="s">
        <v>42</v>
      </c>
      <c r="S737" s="65" t="s">
        <v>44</v>
      </c>
      <c r="T737" s="65" t="s">
        <v>44</v>
      </c>
      <c r="U737" s="65" t="s">
        <v>45</v>
      </c>
      <c r="V737" s="65" t="s">
        <v>46</v>
      </c>
      <c r="W737" s="65">
        <v>847.46</v>
      </c>
      <c r="X737" s="65" t="s">
        <v>289</v>
      </c>
      <c r="Y737" s="65" t="s">
        <v>48</v>
      </c>
      <c r="Z737" s="65" t="s">
        <v>49</v>
      </c>
      <c r="AA737" s="65">
        <v>990080724</v>
      </c>
      <c r="AB737" s="65" t="s">
        <v>1546</v>
      </c>
    </row>
    <row r="738" spans="1:28" x14ac:dyDescent="0.3">
      <c r="A738" s="1">
        <v>46289</v>
      </c>
      <c r="B738" s="65" t="s">
        <v>4433</v>
      </c>
      <c r="C738" s="65" t="s">
        <v>268</v>
      </c>
      <c r="D738" s="65" t="s">
        <v>2389</v>
      </c>
      <c r="E738" s="65" t="s">
        <v>31</v>
      </c>
      <c r="F738" s="65" t="s">
        <v>4434</v>
      </c>
      <c r="G738" s="65" t="s">
        <v>4435</v>
      </c>
      <c r="H738" s="65" t="s">
        <v>4436</v>
      </c>
      <c r="I738" s="65" t="s">
        <v>1541</v>
      </c>
      <c r="J738" s="65" t="s">
        <v>1542</v>
      </c>
      <c r="K738" s="65" t="s">
        <v>37</v>
      </c>
      <c r="L738" s="65" t="s">
        <v>4437</v>
      </c>
      <c r="M738" s="65" t="s">
        <v>4438</v>
      </c>
      <c r="N738" s="65" t="s">
        <v>1251</v>
      </c>
      <c r="O738" s="65" t="s">
        <v>4439</v>
      </c>
      <c r="P738" s="65" t="s">
        <v>288</v>
      </c>
      <c r="Q738" s="65">
        <v>1</v>
      </c>
      <c r="R738" s="65" t="s">
        <v>42</v>
      </c>
      <c r="S738" s="65" t="s">
        <v>44</v>
      </c>
      <c r="T738" s="65" t="s">
        <v>44</v>
      </c>
      <c r="U738" s="65" t="s">
        <v>45</v>
      </c>
      <c r="V738" s="65" t="s">
        <v>46</v>
      </c>
      <c r="W738" s="65">
        <v>0</v>
      </c>
      <c r="X738" s="65" t="s">
        <v>289</v>
      </c>
      <c r="Y738" s="65" t="s">
        <v>48</v>
      </c>
      <c r="Z738" s="65" t="s">
        <v>49</v>
      </c>
      <c r="AA738" s="65">
        <v>990080724</v>
      </c>
      <c r="AB738" s="65" t="s">
        <v>1546</v>
      </c>
    </row>
    <row r="739" spans="1:28" x14ac:dyDescent="0.3">
      <c r="A739" s="1">
        <v>46289</v>
      </c>
      <c r="B739" s="65" t="s">
        <v>4440</v>
      </c>
      <c r="C739" s="65" t="s">
        <v>29</v>
      </c>
      <c r="D739" s="65" t="s">
        <v>4441</v>
      </c>
      <c r="E739" s="65" t="s">
        <v>31</v>
      </c>
      <c r="F739" s="65" t="s">
        <v>4442</v>
      </c>
      <c r="G739" s="65" t="s">
        <v>4443</v>
      </c>
      <c r="H739" s="65" t="s">
        <v>4444</v>
      </c>
      <c r="I739" s="65" t="s">
        <v>774</v>
      </c>
      <c r="J739" s="65" t="s">
        <v>775</v>
      </c>
      <c r="K739" s="65" t="s">
        <v>37</v>
      </c>
      <c r="L739" s="65" t="s">
        <v>4445</v>
      </c>
      <c r="M739" s="65" t="s">
        <v>4446</v>
      </c>
      <c r="N739" s="65" t="s">
        <v>4443</v>
      </c>
      <c r="O739" s="65" t="s">
        <v>4447</v>
      </c>
      <c r="P739" s="65" t="s">
        <v>41</v>
      </c>
      <c r="Q739" s="65">
        <v>1</v>
      </c>
      <c r="R739" s="65" t="s">
        <v>42</v>
      </c>
      <c r="S739" s="65" t="s">
        <v>44</v>
      </c>
      <c r="T739" s="65" t="s">
        <v>44</v>
      </c>
      <c r="U739" s="65" t="s">
        <v>71</v>
      </c>
      <c r="V739" s="65" t="s">
        <v>184</v>
      </c>
      <c r="W739" s="65">
        <v>186.44</v>
      </c>
      <c r="X739" s="65" t="s">
        <v>47</v>
      </c>
      <c r="Y739" s="65" t="s">
        <v>48</v>
      </c>
      <c r="Z739" s="65" t="s">
        <v>73</v>
      </c>
      <c r="AA739" s="65"/>
      <c r="AB739" s="65"/>
    </row>
    <row r="740" spans="1:28" x14ac:dyDescent="0.3">
      <c r="A740" s="1">
        <v>46289</v>
      </c>
      <c r="B740" s="65" t="s">
        <v>4448</v>
      </c>
      <c r="C740" s="65" t="s">
        <v>268</v>
      </c>
      <c r="D740" s="65" t="s">
        <v>4449</v>
      </c>
      <c r="E740" s="65" t="s">
        <v>31</v>
      </c>
      <c r="F740" s="65" t="s">
        <v>4450</v>
      </c>
      <c r="G740" s="65" t="s">
        <v>4451</v>
      </c>
      <c r="H740" s="65" t="s">
        <v>4452</v>
      </c>
      <c r="I740" s="65" t="s">
        <v>1322</v>
      </c>
      <c r="J740" s="65" t="s">
        <v>36</v>
      </c>
      <c r="K740" s="65" t="s">
        <v>37</v>
      </c>
      <c r="L740" s="65" t="s">
        <v>4453</v>
      </c>
      <c r="M740" s="65" t="s">
        <v>4454</v>
      </c>
      <c r="N740" s="65" t="s">
        <v>4455</v>
      </c>
      <c r="O740" s="65" t="s">
        <v>4456</v>
      </c>
      <c r="P740" s="65" t="s">
        <v>90</v>
      </c>
      <c r="Q740" s="65">
        <v>1</v>
      </c>
      <c r="R740" s="65" t="s">
        <v>42</v>
      </c>
      <c r="S740" s="65" t="s">
        <v>44</v>
      </c>
      <c r="T740" s="65" t="s">
        <v>44</v>
      </c>
      <c r="U740" s="65" t="s">
        <v>45</v>
      </c>
      <c r="V740" s="65" t="s">
        <v>60</v>
      </c>
      <c r="W740" s="65">
        <v>135.59</v>
      </c>
      <c r="X740" s="65" t="s">
        <v>47</v>
      </c>
      <c r="Y740" s="65" t="s">
        <v>48</v>
      </c>
      <c r="Z740" s="65" t="s">
        <v>49</v>
      </c>
      <c r="AA740" s="65">
        <v>999111362</v>
      </c>
      <c r="AB740" s="65" t="s">
        <v>1326</v>
      </c>
    </row>
    <row r="741" spans="1:28" x14ac:dyDescent="0.3">
      <c r="A741" s="1">
        <v>46289</v>
      </c>
      <c r="B741" s="65" t="s">
        <v>4457</v>
      </c>
      <c r="C741" s="65" t="s">
        <v>29</v>
      </c>
      <c r="D741" s="65" t="s">
        <v>4458</v>
      </c>
      <c r="E741" s="65" t="s">
        <v>31</v>
      </c>
      <c r="F741" s="65" t="s">
        <v>4459</v>
      </c>
      <c r="G741" s="65" t="s">
        <v>4460</v>
      </c>
      <c r="H741" s="65" t="s">
        <v>4461</v>
      </c>
      <c r="I741" s="65" t="s">
        <v>4680</v>
      </c>
      <c r="J741" s="65" t="s">
        <v>1864</v>
      </c>
      <c r="K741" s="65" t="s">
        <v>37</v>
      </c>
      <c r="L741" s="65" t="s">
        <v>4462</v>
      </c>
      <c r="M741" s="65" t="s">
        <v>4463</v>
      </c>
      <c r="N741" s="65" t="s">
        <v>4460</v>
      </c>
      <c r="O741" s="65" t="s">
        <v>4464</v>
      </c>
      <c r="P741" s="65" t="s">
        <v>159</v>
      </c>
      <c r="Q741" s="65">
        <v>1</v>
      </c>
      <c r="R741" s="65" t="s">
        <v>42</v>
      </c>
      <c r="S741" s="65" t="s">
        <v>44</v>
      </c>
      <c r="T741" s="65" t="s">
        <v>44</v>
      </c>
      <c r="U741" s="65" t="s">
        <v>45</v>
      </c>
      <c r="V741" s="65" t="s">
        <v>60</v>
      </c>
      <c r="W741" s="65">
        <v>135.59</v>
      </c>
      <c r="X741" s="65" t="s">
        <v>47</v>
      </c>
      <c r="Y741" s="65" t="s">
        <v>48</v>
      </c>
      <c r="Z741" s="65" t="s">
        <v>49</v>
      </c>
      <c r="AA741" s="65">
        <v>901918745</v>
      </c>
      <c r="AB741" s="65"/>
    </row>
    <row r="742" spans="1:28" x14ac:dyDescent="0.3">
      <c r="A742" s="1">
        <v>46289</v>
      </c>
      <c r="B742" s="65" t="s">
        <v>4465</v>
      </c>
      <c r="C742" s="65" t="s">
        <v>29</v>
      </c>
      <c r="D742" s="65" t="s">
        <v>2501</v>
      </c>
      <c r="E742" s="65" t="s">
        <v>31</v>
      </c>
      <c r="F742" s="65" t="s">
        <v>4466</v>
      </c>
      <c r="G742" s="65" t="s">
        <v>4467</v>
      </c>
      <c r="H742" s="65" t="s">
        <v>4468</v>
      </c>
      <c r="I742" s="65" t="s">
        <v>1322</v>
      </c>
      <c r="J742" s="65" t="s">
        <v>36</v>
      </c>
      <c r="K742" s="65" t="s">
        <v>37</v>
      </c>
      <c r="L742" s="65" t="s">
        <v>4469</v>
      </c>
      <c r="M742" s="65" t="s">
        <v>4470</v>
      </c>
      <c r="N742" s="65" t="s">
        <v>4467</v>
      </c>
      <c r="O742" s="65" t="s">
        <v>4471</v>
      </c>
      <c r="P742" s="65" t="s">
        <v>159</v>
      </c>
      <c r="Q742" s="65">
        <v>1</v>
      </c>
      <c r="R742" s="65" t="s">
        <v>42</v>
      </c>
      <c r="S742" s="65" t="s">
        <v>44</v>
      </c>
      <c r="T742" s="65" t="s">
        <v>44</v>
      </c>
      <c r="U742" s="65" t="s">
        <v>531</v>
      </c>
      <c r="V742" s="65" t="s">
        <v>4049</v>
      </c>
      <c r="W742" s="65">
        <v>135.59</v>
      </c>
      <c r="X742" s="65" t="s">
        <v>47</v>
      </c>
      <c r="Y742" s="65" t="s">
        <v>48</v>
      </c>
      <c r="Z742" s="65" t="s">
        <v>534</v>
      </c>
      <c r="AA742" s="65">
        <v>999111362</v>
      </c>
      <c r="AB742" s="65" t="s">
        <v>1326</v>
      </c>
    </row>
    <row r="743" spans="1:28" x14ac:dyDescent="0.3">
      <c r="A743" s="1">
        <v>46290</v>
      </c>
      <c r="B743" s="65" t="s">
        <v>4472</v>
      </c>
      <c r="C743" s="65" t="s">
        <v>29</v>
      </c>
      <c r="D743" s="65" t="s">
        <v>4473</v>
      </c>
      <c r="E743" s="65" t="s">
        <v>31</v>
      </c>
      <c r="F743" s="65" t="s">
        <v>4474</v>
      </c>
      <c r="G743" s="65" t="s">
        <v>4475</v>
      </c>
      <c r="H743" s="65" t="s">
        <v>4476</v>
      </c>
      <c r="I743" s="65" t="s">
        <v>4477</v>
      </c>
      <c r="J743" s="65"/>
      <c r="K743" s="65" t="s">
        <v>37</v>
      </c>
      <c r="L743" s="65" t="s">
        <v>4478</v>
      </c>
      <c r="M743" s="65" t="s">
        <v>4479</v>
      </c>
      <c r="N743" s="65" t="s">
        <v>4475</v>
      </c>
      <c r="O743" s="65" t="s">
        <v>4480</v>
      </c>
      <c r="P743" s="65" t="s">
        <v>130</v>
      </c>
      <c r="Q743" s="65">
        <v>1</v>
      </c>
      <c r="R743" s="65" t="s">
        <v>42</v>
      </c>
      <c r="S743" s="65" t="s">
        <v>44</v>
      </c>
      <c r="T743" s="65" t="s">
        <v>44</v>
      </c>
      <c r="U743" s="65" t="s">
        <v>71</v>
      </c>
      <c r="V743" s="65" t="s">
        <v>72</v>
      </c>
      <c r="W743" s="65">
        <v>152.54</v>
      </c>
      <c r="X743" s="65" t="s">
        <v>47</v>
      </c>
      <c r="Y743" s="65" t="s">
        <v>48</v>
      </c>
      <c r="Z743" s="65" t="s">
        <v>73</v>
      </c>
      <c r="AA743" s="65"/>
      <c r="AB743" s="65"/>
    </row>
    <row r="744" spans="1:28" x14ac:dyDescent="0.3">
      <c r="A744" s="1">
        <v>46290</v>
      </c>
      <c r="B744" s="65" t="s">
        <v>4481</v>
      </c>
      <c r="C744" s="65" t="s">
        <v>29</v>
      </c>
      <c r="D744" s="65" t="s">
        <v>4482</v>
      </c>
      <c r="E744" s="65" t="s">
        <v>31</v>
      </c>
      <c r="F744" s="65" t="s">
        <v>4483</v>
      </c>
      <c r="G744" s="65" t="s">
        <v>4484</v>
      </c>
      <c r="H744" s="65" t="s">
        <v>4485</v>
      </c>
      <c r="I744" s="65" t="s">
        <v>662</v>
      </c>
      <c r="J744" s="65" t="s">
        <v>36</v>
      </c>
      <c r="K744" s="65" t="s">
        <v>37</v>
      </c>
      <c r="L744" s="65" t="s">
        <v>4486</v>
      </c>
      <c r="M744" s="65" t="s">
        <v>4487</v>
      </c>
      <c r="N744" s="65" t="s">
        <v>4484</v>
      </c>
      <c r="O744" s="65" t="s">
        <v>4488</v>
      </c>
      <c r="P744" s="65" t="s">
        <v>201</v>
      </c>
      <c r="Q744" s="65">
        <v>1</v>
      </c>
      <c r="R744" s="65" t="s">
        <v>42</v>
      </c>
      <c r="S744" s="65" t="s">
        <v>44</v>
      </c>
      <c r="T744" s="65" t="s">
        <v>44</v>
      </c>
      <c r="U744" s="65" t="s">
        <v>531</v>
      </c>
      <c r="V744" s="65" t="s">
        <v>4049</v>
      </c>
      <c r="W744" s="65">
        <v>152.54</v>
      </c>
      <c r="X744" s="65" t="s">
        <v>47</v>
      </c>
      <c r="Y744" s="65" t="s">
        <v>48</v>
      </c>
      <c r="Z744" s="65" t="s">
        <v>534</v>
      </c>
      <c r="AA744" s="65">
        <v>997145685</v>
      </c>
      <c r="AB744" s="65" t="s">
        <v>666</v>
      </c>
    </row>
    <row r="745" spans="1:28" x14ac:dyDescent="0.3">
      <c r="A745" s="1">
        <v>46290</v>
      </c>
      <c r="B745" s="65" t="s">
        <v>4481</v>
      </c>
      <c r="C745" s="65" t="s">
        <v>29</v>
      </c>
      <c r="D745" s="65" t="s">
        <v>4482</v>
      </c>
      <c r="E745" s="65" t="s">
        <v>31</v>
      </c>
      <c r="F745" s="65" t="s">
        <v>4483</v>
      </c>
      <c r="G745" s="65" t="s">
        <v>4484</v>
      </c>
      <c r="H745" s="65" t="s">
        <v>4485</v>
      </c>
      <c r="I745" s="65" t="s">
        <v>662</v>
      </c>
      <c r="J745" s="65" t="s">
        <v>36</v>
      </c>
      <c r="K745" s="65" t="s">
        <v>37</v>
      </c>
      <c r="L745" s="65" t="s">
        <v>4486</v>
      </c>
      <c r="M745" s="65" t="s">
        <v>4487</v>
      </c>
      <c r="N745" s="65" t="s">
        <v>4484</v>
      </c>
      <c r="O745" s="65" t="s">
        <v>4488</v>
      </c>
      <c r="P745" s="65" t="s">
        <v>202</v>
      </c>
      <c r="Q745" s="65">
        <v>1</v>
      </c>
      <c r="R745" s="65" t="s">
        <v>42</v>
      </c>
      <c r="S745" s="65" t="s">
        <v>44</v>
      </c>
      <c r="T745" s="65" t="s">
        <v>44</v>
      </c>
      <c r="U745" s="65" t="s">
        <v>531</v>
      </c>
      <c r="V745" s="65" t="s">
        <v>4049</v>
      </c>
      <c r="W745" s="65">
        <v>135.59</v>
      </c>
      <c r="X745" s="65" t="s">
        <v>47</v>
      </c>
      <c r="Y745" s="65" t="s">
        <v>48</v>
      </c>
      <c r="Z745" s="65" t="s">
        <v>534</v>
      </c>
      <c r="AA745" s="65">
        <v>997145685</v>
      </c>
      <c r="AB745" s="65" t="s">
        <v>666</v>
      </c>
    </row>
    <row r="746" spans="1:28" x14ac:dyDescent="0.3">
      <c r="A746" s="1">
        <v>46290</v>
      </c>
      <c r="B746" s="65" t="s">
        <v>4489</v>
      </c>
      <c r="C746" s="65" t="s">
        <v>29</v>
      </c>
      <c r="D746" s="65" t="s">
        <v>4490</v>
      </c>
      <c r="E746" s="65" t="s">
        <v>31</v>
      </c>
      <c r="F746" s="65" t="s">
        <v>4491</v>
      </c>
      <c r="G746" s="65" t="s">
        <v>4484</v>
      </c>
      <c r="H746" s="65" t="s">
        <v>4485</v>
      </c>
      <c r="I746" s="65" t="s">
        <v>662</v>
      </c>
      <c r="J746" s="65" t="s">
        <v>36</v>
      </c>
      <c r="K746" s="65" t="s">
        <v>37</v>
      </c>
      <c r="L746" s="65" t="s">
        <v>4486</v>
      </c>
      <c r="M746" s="65" t="s">
        <v>4487</v>
      </c>
      <c r="N746" s="65" t="s">
        <v>4484</v>
      </c>
      <c r="O746" s="65" t="s">
        <v>4492</v>
      </c>
      <c r="P746" s="65" t="s">
        <v>202</v>
      </c>
      <c r="Q746" s="65">
        <v>1</v>
      </c>
      <c r="R746" s="65" t="s">
        <v>42</v>
      </c>
      <c r="S746" s="65" t="s">
        <v>44</v>
      </c>
      <c r="T746" s="65" t="s">
        <v>44</v>
      </c>
      <c r="U746" s="65" t="s">
        <v>531</v>
      </c>
      <c r="V746" s="65" t="s">
        <v>4049</v>
      </c>
      <c r="W746" s="65">
        <v>135.59</v>
      </c>
      <c r="X746" s="65" t="s">
        <v>47</v>
      </c>
      <c r="Y746" s="65" t="s">
        <v>48</v>
      </c>
      <c r="Z746" s="65" t="s">
        <v>534</v>
      </c>
      <c r="AA746" s="65">
        <v>997145685</v>
      </c>
      <c r="AB746" s="65" t="s">
        <v>666</v>
      </c>
    </row>
    <row r="747" spans="1:28" x14ac:dyDescent="0.3">
      <c r="A747" s="1">
        <v>46290</v>
      </c>
      <c r="B747" s="65" t="s">
        <v>4489</v>
      </c>
      <c r="C747" s="65" t="s">
        <v>29</v>
      </c>
      <c r="D747" s="65" t="s">
        <v>4490</v>
      </c>
      <c r="E747" s="65" t="s">
        <v>31</v>
      </c>
      <c r="F747" s="65" t="s">
        <v>4491</v>
      </c>
      <c r="G747" s="65" t="s">
        <v>4484</v>
      </c>
      <c r="H747" s="65" t="s">
        <v>4485</v>
      </c>
      <c r="I747" s="65" t="s">
        <v>662</v>
      </c>
      <c r="J747" s="65" t="s">
        <v>36</v>
      </c>
      <c r="K747" s="65" t="s">
        <v>37</v>
      </c>
      <c r="L747" s="65" t="s">
        <v>4486</v>
      </c>
      <c r="M747" s="65" t="s">
        <v>4487</v>
      </c>
      <c r="N747" s="65" t="s">
        <v>4484</v>
      </c>
      <c r="O747" s="65" t="s">
        <v>4492</v>
      </c>
      <c r="P747" s="65" t="s">
        <v>201</v>
      </c>
      <c r="Q747" s="65">
        <v>1</v>
      </c>
      <c r="R747" s="65" t="s">
        <v>42</v>
      </c>
      <c r="S747" s="65" t="s">
        <v>44</v>
      </c>
      <c r="T747" s="65" t="s">
        <v>44</v>
      </c>
      <c r="U747" s="65" t="s">
        <v>531</v>
      </c>
      <c r="V747" s="65" t="s">
        <v>4049</v>
      </c>
      <c r="W747" s="65">
        <v>152.54</v>
      </c>
      <c r="X747" s="65" t="s">
        <v>47</v>
      </c>
      <c r="Y747" s="65" t="s">
        <v>48</v>
      </c>
      <c r="Z747" s="65" t="s">
        <v>534</v>
      </c>
      <c r="AA747" s="65">
        <v>997145685</v>
      </c>
      <c r="AB747" s="65" t="s">
        <v>666</v>
      </c>
    </row>
    <row r="748" spans="1:28" x14ac:dyDescent="0.3">
      <c r="A748" s="1">
        <v>46290</v>
      </c>
      <c r="B748" s="65" t="s">
        <v>4493</v>
      </c>
      <c r="C748" s="65" t="s">
        <v>29</v>
      </c>
      <c r="D748" s="65" t="s">
        <v>4494</v>
      </c>
      <c r="E748" s="65" t="s">
        <v>31</v>
      </c>
      <c r="F748" s="65" t="s">
        <v>4495</v>
      </c>
      <c r="G748" s="65" t="s">
        <v>4496</v>
      </c>
      <c r="H748" s="65" t="s">
        <v>4497</v>
      </c>
      <c r="I748" s="65" t="s">
        <v>2795</v>
      </c>
      <c r="J748" s="65" t="s">
        <v>209</v>
      </c>
      <c r="K748" s="65" t="s">
        <v>37</v>
      </c>
      <c r="L748" s="65" t="s">
        <v>4498</v>
      </c>
      <c r="M748" s="65" t="s">
        <v>4499</v>
      </c>
      <c r="N748" s="65" t="s">
        <v>4496</v>
      </c>
      <c r="O748" s="65" t="s">
        <v>4500</v>
      </c>
      <c r="P748" s="65" t="s">
        <v>159</v>
      </c>
      <c r="Q748" s="65">
        <v>1</v>
      </c>
      <c r="R748" s="65" t="s">
        <v>42</v>
      </c>
      <c r="S748" s="65" t="s">
        <v>44</v>
      </c>
      <c r="T748" s="65" t="s">
        <v>44</v>
      </c>
      <c r="U748" s="65" t="s">
        <v>71</v>
      </c>
      <c r="V748" s="65" t="s">
        <v>72</v>
      </c>
      <c r="W748" s="65">
        <v>135.59</v>
      </c>
      <c r="X748" s="65" t="s">
        <v>47</v>
      </c>
      <c r="Y748" s="65" t="s">
        <v>48</v>
      </c>
      <c r="Z748" s="65" t="s">
        <v>73</v>
      </c>
      <c r="AA748" s="65">
        <v>994872106</v>
      </c>
      <c r="AB748" s="65" t="s">
        <v>1253</v>
      </c>
    </row>
    <row r="749" spans="1:28" x14ac:dyDescent="0.3">
      <c r="A749" s="1">
        <v>46291</v>
      </c>
      <c r="B749" s="65" t="s">
        <v>4501</v>
      </c>
      <c r="C749" s="65" t="s">
        <v>29</v>
      </c>
      <c r="D749" s="65" t="s">
        <v>4502</v>
      </c>
      <c r="E749" s="65" t="s">
        <v>31</v>
      </c>
      <c r="F749" s="65" t="s">
        <v>4503</v>
      </c>
      <c r="G749" s="65" t="s">
        <v>4220</v>
      </c>
      <c r="H749" s="65" t="s">
        <v>4221</v>
      </c>
      <c r="I749" s="65" t="s">
        <v>2739</v>
      </c>
      <c r="J749" s="65" t="s">
        <v>209</v>
      </c>
      <c r="K749" s="65" t="s">
        <v>37</v>
      </c>
      <c r="L749" s="65" t="s">
        <v>4222</v>
      </c>
      <c r="M749" s="65" t="s">
        <v>4504</v>
      </c>
      <c r="N749" s="65" t="s">
        <v>4220</v>
      </c>
      <c r="O749" s="65" t="s">
        <v>4505</v>
      </c>
      <c r="P749" s="65" t="s">
        <v>288</v>
      </c>
      <c r="Q749" s="65">
        <v>1</v>
      </c>
      <c r="R749" s="65" t="s">
        <v>42</v>
      </c>
      <c r="S749" s="65" t="s">
        <v>44</v>
      </c>
      <c r="T749" s="65" t="s">
        <v>44</v>
      </c>
      <c r="U749" s="65" t="s">
        <v>45</v>
      </c>
      <c r="V749" s="65" t="s">
        <v>46</v>
      </c>
      <c r="W749" s="65">
        <v>0</v>
      </c>
      <c r="X749" s="65" t="s">
        <v>289</v>
      </c>
      <c r="Y749" s="65" t="s">
        <v>48</v>
      </c>
      <c r="Z749" s="65" t="s">
        <v>49</v>
      </c>
      <c r="AA749" s="65"/>
      <c r="AB749" s="65"/>
    </row>
    <row r="750" spans="1:28" x14ac:dyDescent="0.3">
      <c r="A750" s="1">
        <v>46291</v>
      </c>
      <c r="B750" s="65" t="s">
        <v>4501</v>
      </c>
      <c r="C750" s="65" t="s">
        <v>29</v>
      </c>
      <c r="D750" s="65" t="s">
        <v>4502</v>
      </c>
      <c r="E750" s="65" t="s">
        <v>31</v>
      </c>
      <c r="F750" s="65" t="s">
        <v>4503</v>
      </c>
      <c r="G750" s="65" t="s">
        <v>4220</v>
      </c>
      <c r="H750" s="65" t="s">
        <v>4221</v>
      </c>
      <c r="I750" s="65" t="s">
        <v>2739</v>
      </c>
      <c r="J750" s="65" t="s">
        <v>209</v>
      </c>
      <c r="K750" s="65" t="s">
        <v>37</v>
      </c>
      <c r="L750" s="65" t="s">
        <v>4222</v>
      </c>
      <c r="M750" s="65" t="s">
        <v>4504</v>
      </c>
      <c r="N750" s="65" t="s">
        <v>4220</v>
      </c>
      <c r="O750" s="65" t="s">
        <v>4505</v>
      </c>
      <c r="P750" s="65" t="s">
        <v>1137</v>
      </c>
      <c r="Q750" s="65">
        <v>1</v>
      </c>
      <c r="R750" s="65" t="s">
        <v>42</v>
      </c>
      <c r="S750" s="65" t="s">
        <v>44</v>
      </c>
      <c r="T750" s="65" t="s">
        <v>44</v>
      </c>
      <c r="U750" s="65" t="s">
        <v>45</v>
      </c>
      <c r="V750" s="65" t="s">
        <v>46</v>
      </c>
      <c r="W750" s="65">
        <v>957.63</v>
      </c>
      <c r="X750" s="65" t="s">
        <v>289</v>
      </c>
      <c r="Y750" s="65" t="s">
        <v>48</v>
      </c>
      <c r="Z750" s="65" t="s">
        <v>49</v>
      </c>
      <c r="AA750" s="65"/>
      <c r="AB750" s="65"/>
    </row>
    <row r="751" spans="1:28" x14ac:dyDescent="0.3">
      <c r="A751" s="1">
        <v>46291</v>
      </c>
      <c r="B751" s="65" t="s">
        <v>4506</v>
      </c>
      <c r="C751" s="65" t="s">
        <v>29</v>
      </c>
      <c r="D751" s="65" t="s">
        <v>4507</v>
      </c>
      <c r="E751" s="65" t="s">
        <v>31</v>
      </c>
      <c r="F751" s="65" t="s">
        <v>4508</v>
      </c>
      <c r="G751" s="65" t="s">
        <v>4509</v>
      </c>
      <c r="H751" s="65" t="s">
        <v>4510</v>
      </c>
      <c r="I751" s="65" t="s">
        <v>715</v>
      </c>
      <c r="J751" s="65" t="s">
        <v>716</v>
      </c>
      <c r="K751" s="65" t="s">
        <v>37</v>
      </c>
      <c r="L751" s="65" t="s">
        <v>4511</v>
      </c>
      <c r="M751" s="65" t="s">
        <v>4512</v>
      </c>
      <c r="N751" s="65" t="s">
        <v>4509</v>
      </c>
      <c r="O751" s="65" t="s">
        <v>4513</v>
      </c>
      <c r="P751" s="65" t="s">
        <v>90</v>
      </c>
      <c r="Q751" s="65">
        <v>1</v>
      </c>
      <c r="R751" s="65" t="s">
        <v>42</v>
      </c>
      <c r="S751" s="65" t="s">
        <v>44</v>
      </c>
      <c r="T751" s="65" t="s">
        <v>44</v>
      </c>
      <c r="U751" s="65" t="s">
        <v>531</v>
      </c>
      <c r="V751" s="65" t="s">
        <v>4049</v>
      </c>
      <c r="W751" s="65">
        <v>135.59</v>
      </c>
      <c r="X751" s="65" t="s">
        <v>47</v>
      </c>
      <c r="Y751" s="65" t="s">
        <v>48</v>
      </c>
      <c r="Z751" s="65" t="s">
        <v>534</v>
      </c>
      <c r="AA751" s="65">
        <v>955356636</v>
      </c>
      <c r="AB751" s="65" t="s">
        <v>720</v>
      </c>
    </row>
    <row r="752" spans="1:28" x14ac:dyDescent="0.3">
      <c r="A752" s="1">
        <v>46291</v>
      </c>
      <c r="B752" s="65" t="s">
        <v>4514</v>
      </c>
      <c r="C752" s="65" t="s">
        <v>29</v>
      </c>
      <c r="D752" s="65" t="s">
        <v>4515</v>
      </c>
      <c r="E752" s="65" t="s">
        <v>31</v>
      </c>
      <c r="F752" s="65" t="s">
        <v>4516</v>
      </c>
      <c r="G752" s="65" t="s">
        <v>4517</v>
      </c>
      <c r="H752" s="65" t="s">
        <v>4518</v>
      </c>
      <c r="I752" s="65" t="s">
        <v>35</v>
      </c>
      <c r="J752" s="65" t="s">
        <v>36</v>
      </c>
      <c r="K752" s="65" t="s">
        <v>37</v>
      </c>
      <c r="L752" s="65" t="s">
        <v>4519</v>
      </c>
      <c r="M752" s="65" t="s">
        <v>4520</v>
      </c>
      <c r="N752" s="65" t="s">
        <v>4517</v>
      </c>
      <c r="O752" s="65" t="s">
        <v>4521</v>
      </c>
      <c r="P752" s="65" t="s">
        <v>90</v>
      </c>
      <c r="Q752" s="65">
        <v>1</v>
      </c>
      <c r="R752" s="65" t="s">
        <v>42</v>
      </c>
      <c r="S752" s="65" t="s">
        <v>44</v>
      </c>
      <c r="T752" s="65" t="s">
        <v>44</v>
      </c>
      <c r="U752" s="65" t="s">
        <v>531</v>
      </c>
      <c r="V752" s="65" t="s">
        <v>4049</v>
      </c>
      <c r="W752" s="65">
        <v>135.59</v>
      </c>
      <c r="X752" s="65" t="s">
        <v>47</v>
      </c>
      <c r="Y752" s="65" t="s">
        <v>48</v>
      </c>
      <c r="Z752" s="65" t="s">
        <v>534</v>
      </c>
      <c r="AA752" s="65">
        <v>999996347</v>
      </c>
      <c r="AB752" s="65" t="s">
        <v>50</v>
      </c>
    </row>
    <row r="753" spans="1:28" x14ac:dyDescent="0.3">
      <c r="A753" s="1">
        <v>46291</v>
      </c>
      <c r="B753" s="65" t="s">
        <v>4522</v>
      </c>
      <c r="C753" s="65" t="s">
        <v>268</v>
      </c>
      <c r="D753" s="65" t="s">
        <v>4523</v>
      </c>
      <c r="E753" s="65" t="s">
        <v>31</v>
      </c>
      <c r="F753" s="65" t="s">
        <v>4524</v>
      </c>
      <c r="G753" s="65" t="s">
        <v>4525</v>
      </c>
      <c r="H753" s="65" t="s">
        <v>4526</v>
      </c>
      <c r="I753" s="65" t="s">
        <v>774</v>
      </c>
      <c r="J753" s="65" t="s">
        <v>775</v>
      </c>
      <c r="K753" s="65" t="s">
        <v>37</v>
      </c>
      <c r="L753" s="65" t="s">
        <v>4527</v>
      </c>
      <c r="M753" s="65" t="s">
        <v>4528</v>
      </c>
      <c r="N753" s="65" t="s">
        <v>4529</v>
      </c>
      <c r="O753" s="65" t="s">
        <v>4530</v>
      </c>
      <c r="P753" s="65" t="s">
        <v>130</v>
      </c>
      <c r="Q753" s="65">
        <v>1</v>
      </c>
      <c r="R753" s="65" t="s">
        <v>42</v>
      </c>
      <c r="S753" s="65" t="s">
        <v>44</v>
      </c>
      <c r="T753" s="65" t="s">
        <v>44</v>
      </c>
      <c r="U753" s="65" t="s">
        <v>45</v>
      </c>
      <c r="V753" s="65" t="s">
        <v>60</v>
      </c>
      <c r="W753" s="65">
        <v>152.54</v>
      </c>
      <c r="X753" s="65" t="s">
        <v>47</v>
      </c>
      <c r="Y753" s="65" t="s">
        <v>48</v>
      </c>
      <c r="Z753" s="65" t="s">
        <v>49</v>
      </c>
      <c r="AA753" s="65"/>
      <c r="AB753" s="65"/>
    </row>
    <row r="754" spans="1:28" x14ac:dyDescent="0.3">
      <c r="A754" s="1">
        <v>46291</v>
      </c>
      <c r="B754" s="65" t="s">
        <v>4522</v>
      </c>
      <c r="C754" s="65" t="s">
        <v>268</v>
      </c>
      <c r="D754" s="65" t="s">
        <v>4523</v>
      </c>
      <c r="E754" s="65" t="s">
        <v>31</v>
      </c>
      <c r="F754" s="65" t="s">
        <v>4524</v>
      </c>
      <c r="G754" s="65" t="s">
        <v>4525</v>
      </c>
      <c r="H754" s="65" t="s">
        <v>4526</v>
      </c>
      <c r="I754" s="65" t="s">
        <v>774</v>
      </c>
      <c r="J754" s="65" t="s">
        <v>775</v>
      </c>
      <c r="K754" s="65" t="s">
        <v>37</v>
      </c>
      <c r="L754" s="65" t="s">
        <v>4527</v>
      </c>
      <c r="M754" s="65" t="s">
        <v>4528</v>
      </c>
      <c r="N754" s="65" t="s">
        <v>4529</v>
      </c>
      <c r="O754" s="65" t="s">
        <v>4530</v>
      </c>
      <c r="P754" s="65" t="s">
        <v>202</v>
      </c>
      <c r="Q754" s="65">
        <v>1</v>
      </c>
      <c r="R754" s="65" t="s">
        <v>42</v>
      </c>
      <c r="S754" s="65" t="s">
        <v>44</v>
      </c>
      <c r="T754" s="65" t="s">
        <v>44</v>
      </c>
      <c r="U754" s="65" t="s">
        <v>45</v>
      </c>
      <c r="V754" s="65" t="s">
        <v>60</v>
      </c>
      <c r="W754" s="65">
        <v>135.59</v>
      </c>
      <c r="X754" s="65" t="s">
        <v>47</v>
      </c>
      <c r="Y754" s="65" t="s">
        <v>48</v>
      </c>
      <c r="Z754" s="65" t="s">
        <v>49</v>
      </c>
      <c r="AA754" s="65"/>
      <c r="AB754" s="65"/>
    </row>
    <row r="755" spans="1:28" x14ac:dyDescent="0.3">
      <c r="A755" s="1">
        <v>46293</v>
      </c>
      <c r="B755" s="65" t="s">
        <v>4531</v>
      </c>
      <c r="C755" s="65" t="s">
        <v>29</v>
      </c>
      <c r="D755" s="65" t="s">
        <v>4532</v>
      </c>
      <c r="E755" s="65" t="s">
        <v>31</v>
      </c>
      <c r="F755" s="65" t="s">
        <v>4533</v>
      </c>
      <c r="G755" s="65" t="s">
        <v>4534</v>
      </c>
      <c r="H755" s="65" t="s">
        <v>4535</v>
      </c>
      <c r="I755" s="65" t="s">
        <v>1516</v>
      </c>
      <c r="J755" s="65" t="s">
        <v>629</v>
      </c>
      <c r="K755" s="65" t="s">
        <v>37</v>
      </c>
      <c r="L755" s="65" t="s">
        <v>4536</v>
      </c>
      <c r="M755" s="65" t="s">
        <v>4537</v>
      </c>
      <c r="N755" s="65" t="s">
        <v>4534</v>
      </c>
      <c r="O755" s="65" t="s">
        <v>4538</v>
      </c>
      <c r="P755" s="65" t="s">
        <v>101</v>
      </c>
      <c r="Q755" s="65">
        <v>1</v>
      </c>
      <c r="R755" s="65" t="s">
        <v>70</v>
      </c>
      <c r="S755" s="65" t="s">
        <v>43</v>
      </c>
      <c r="T755" s="65" t="s">
        <v>44</v>
      </c>
      <c r="U755" s="65" t="s">
        <v>71</v>
      </c>
      <c r="V755" s="65" t="s">
        <v>184</v>
      </c>
      <c r="W755" s="65">
        <v>186.44</v>
      </c>
      <c r="X755" s="65" t="s">
        <v>47</v>
      </c>
      <c r="Y755" s="65" t="s">
        <v>48</v>
      </c>
      <c r="Z755" s="65" t="s">
        <v>73</v>
      </c>
      <c r="AA755" s="65">
        <v>947422476</v>
      </c>
      <c r="AB755" s="65"/>
    </row>
    <row r="756" spans="1:28" x14ac:dyDescent="0.3">
      <c r="A756" s="1">
        <v>46293</v>
      </c>
      <c r="B756" s="65" t="s">
        <v>4539</v>
      </c>
      <c r="C756" s="65" t="s">
        <v>29</v>
      </c>
      <c r="D756" s="65" t="s">
        <v>4540</v>
      </c>
      <c r="E756" s="65" t="s">
        <v>31</v>
      </c>
      <c r="F756" s="65" t="s">
        <v>4541</v>
      </c>
      <c r="G756" s="65" t="s">
        <v>4542</v>
      </c>
      <c r="H756" s="65" t="s">
        <v>4543</v>
      </c>
      <c r="I756" s="65" t="s">
        <v>715</v>
      </c>
      <c r="J756" s="65" t="s">
        <v>716</v>
      </c>
      <c r="K756" s="65" t="s">
        <v>37</v>
      </c>
      <c r="L756" s="65" t="s">
        <v>4544</v>
      </c>
      <c r="M756" s="65" t="s">
        <v>4545</v>
      </c>
      <c r="N756" s="65" t="s">
        <v>4542</v>
      </c>
      <c r="O756" s="65" t="s">
        <v>4546</v>
      </c>
      <c r="P756" s="65" t="s">
        <v>101</v>
      </c>
      <c r="Q756" s="65">
        <v>1</v>
      </c>
      <c r="R756" s="65" t="s">
        <v>70</v>
      </c>
      <c r="S756" s="65" t="s">
        <v>43</v>
      </c>
      <c r="T756" s="65" t="s">
        <v>44</v>
      </c>
      <c r="U756" s="65" t="s">
        <v>71</v>
      </c>
      <c r="V756" s="65" t="s">
        <v>184</v>
      </c>
      <c r="W756" s="65">
        <v>186.44</v>
      </c>
      <c r="X756" s="65" t="s">
        <v>47</v>
      </c>
      <c r="Y756" s="65" t="s">
        <v>48</v>
      </c>
      <c r="Z756" s="65" t="s">
        <v>73</v>
      </c>
      <c r="AA756" s="65">
        <v>955356636</v>
      </c>
      <c r="AB756" s="65" t="s">
        <v>720</v>
      </c>
    </row>
    <row r="757" spans="1:28" x14ac:dyDescent="0.3">
      <c r="A757" s="1">
        <v>46293</v>
      </c>
      <c r="B757" s="65" t="s">
        <v>4547</v>
      </c>
      <c r="C757" s="65" t="s">
        <v>29</v>
      </c>
      <c r="D757" s="65" t="s">
        <v>4548</v>
      </c>
      <c r="E757" s="65" t="s">
        <v>31</v>
      </c>
      <c r="F757" s="65" t="s">
        <v>4549</v>
      </c>
      <c r="G757" s="65" t="s">
        <v>4550</v>
      </c>
      <c r="H757" s="65" t="s">
        <v>4551</v>
      </c>
      <c r="I757" s="65" t="s">
        <v>1108</v>
      </c>
      <c r="J757" s="65" t="s">
        <v>209</v>
      </c>
      <c r="K757" s="65" t="s">
        <v>37</v>
      </c>
      <c r="L757" s="65" t="s">
        <v>4552</v>
      </c>
      <c r="M757" s="65" t="s">
        <v>4553</v>
      </c>
      <c r="N757" s="65" t="s">
        <v>4550</v>
      </c>
      <c r="O757" s="65" t="s">
        <v>4554</v>
      </c>
      <c r="P757" s="65" t="s">
        <v>101</v>
      </c>
      <c r="Q757" s="65">
        <v>1</v>
      </c>
      <c r="R757" s="65" t="s">
        <v>70</v>
      </c>
      <c r="S757" s="65" t="s">
        <v>43</v>
      </c>
      <c r="T757" s="65" t="s">
        <v>44</v>
      </c>
      <c r="U757" s="65" t="s">
        <v>71</v>
      </c>
      <c r="V757" s="65" t="s">
        <v>72</v>
      </c>
      <c r="W757" s="65">
        <v>186.44</v>
      </c>
      <c r="X757" s="65" t="s">
        <v>47</v>
      </c>
      <c r="Y757" s="65" t="s">
        <v>48</v>
      </c>
      <c r="Z757" s="65" t="s">
        <v>73</v>
      </c>
      <c r="AA757" s="65">
        <v>970582106</v>
      </c>
      <c r="AB757" s="65" t="s">
        <v>1113</v>
      </c>
    </row>
    <row r="758" spans="1:28" x14ac:dyDescent="0.3">
      <c r="A758" s="1">
        <v>46293</v>
      </c>
      <c r="B758" s="65" t="s">
        <v>4555</v>
      </c>
      <c r="C758" s="65" t="s">
        <v>29</v>
      </c>
      <c r="D758" s="65" t="s">
        <v>4556</v>
      </c>
      <c r="E758" s="65" t="s">
        <v>31</v>
      </c>
      <c r="F758" s="65" t="s">
        <v>4557</v>
      </c>
      <c r="G758" s="65" t="s">
        <v>4558</v>
      </c>
      <c r="H758" s="65" t="s">
        <v>4559</v>
      </c>
      <c r="I758" s="65" t="s">
        <v>116</v>
      </c>
      <c r="J758" s="65" t="s">
        <v>117</v>
      </c>
      <c r="K758" s="65" t="s">
        <v>37</v>
      </c>
      <c r="L758" s="65" t="s">
        <v>4560</v>
      </c>
      <c r="M758" s="65" t="s">
        <v>4561</v>
      </c>
      <c r="N758" s="65" t="s">
        <v>4558</v>
      </c>
      <c r="O758" s="65" t="s">
        <v>4562</v>
      </c>
      <c r="P758" s="65" t="s">
        <v>158</v>
      </c>
      <c r="Q758" s="65">
        <v>1</v>
      </c>
      <c r="R758" s="65" t="s">
        <v>42</v>
      </c>
      <c r="S758" s="65" t="s">
        <v>44</v>
      </c>
      <c r="T758" s="65" t="s">
        <v>44</v>
      </c>
      <c r="U758" s="65" t="s">
        <v>45</v>
      </c>
      <c r="V758" s="65" t="s">
        <v>60</v>
      </c>
      <c r="W758" s="65">
        <v>152.54</v>
      </c>
      <c r="X758" s="65" t="s">
        <v>47</v>
      </c>
      <c r="Y758" s="65" t="s">
        <v>48</v>
      </c>
      <c r="Z758" s="65" t="s">
        <v>49</v>
      </c>
      <c r="AA758" s="65">
        <v>945319366</v>
      </c>
      <c r="AB758" s="65" t="s">
        <v>121</v>
      </c>
    </row>
    <row r="759" spans="1:28" x14ac:dyDescent="0.3">
      <c r="A759" s="1">
        <v>46293</v>
      </c>
      <c r="B759" s="65" t="s">
        <v>4555</v>
      </c>
      <c r="C759" s="65" t="s">
        <v>29</v>
      </c>
      <c r="D759" s="65" t="s">
        <v>4556</v>
      </c>
      <c r="E759" s="65" t="s">
        <v>31</v>
      </c>
      <c r="F759" s="65" t="s">
        <v>4557</v>
      </c>
      <c r="G759" s="65" t="s">
        <v>4558</v>
      </c>
      <c r="H759" s="65" t="s">
        <v>4559</v>
      </c>
      <c r="I759" s="65" t="s">
        <v>116</v>
      </c>
      <c r="J759" s="65" t="s">
        <v>117</v>
      </c>
      <c r="K759" s="65" t="s">
        <v>37</v>
      </c>
      <c r="L759" s="65" t="s">
        <v>4560</v>
      </c>
      <c r="M759" s="65" t="s">
        <v>4561</v>
      </c>
      <c r="N759" s="65" t="s">
        <v>4558</v>
      </c>
      <c r="O759" s="65" t="s">
        <v>4562</v>
      </c>
      <c r="P759" s="65" t="s">
        <v>101</v>
      </c>
      <c r="Q759" s="65">
        <v>1</v>
      </c>
      <c r="R759" s="65" t="s">
        <v>42</v>
      </c>
      <c r="S759" s="65" t="s">
        <v>44</v>
      </c>
      <c r="T759" s="65" t="s">
        <v>44</v>
      </c>
      <c r="U759" s="65" t="s">
        <v>45</v>
      </c>
      <c r="V759" s="65" t="s">
        <v>60</v>
      </c>
      <c r="W759" s="65">
        <v>186.44</v>
      </c>
      <c r="X759" s="65" t="s">
        <v>47</v>
      </c>
      <c r="Y759" s="65" t="s">
        <v>48</v>
      </c>
      <c r="Z759" s="65" t="s">
        <v>49</v>
      </c>
      <c r="AA759" s="65">
        <v>945319366</v>
      </c>
      <c r="AB759" s="65" t="s">
        <v>121</v>
      </c>
    </row>
    <row r="760" spans="1:28" x14ac:dyDescent="0.3">
      <c r="A760" s="1">
        <v>46293</v>
      </c>
      <c r="B760" s="65" t="s">
        <v>4563</v>
      </c>
      <c r="C760" s="65" t="s">
        <v>29</v>
      </c>
      <c r="D760" s="65" t="s">
        <v>4564</v>
      </c>
      <c r="E760" s="65" t="s">
        <v>31</v>
      </c>
      <c r="F760" s="65" t="s">
        <v>4565</v>
      </c>
      <c r="G760" s="65" t="s">
        <v>4566</v>
      </c>
      <c r="H760" s="65" t="s">
        <v>4567</v>
      </c>
      <c r="I760" s="65" t="s">
        <v>136</v>
      </c>
      <c r="J760" s="65" t="s">
        <v>137</v>
      </c>
      <c r="K760" s="65" t="s">
        <v>37</v>
      </c>
      <c r="L760" s="65" t="s">
        <v>4568</v>
      </c>
      <c r="M760" s="65" t="s">
        <v>4569</v>
      </c>
      <c r="N760" s="65" t="s">
        <v>4566</v>
      </c>
      <c r="O760" s="65" t="s">
        <v>4570</v>
      </c>
      <c r="P760" s="65" t="s">
        <v>41</v>
      </c>
      <c r="Q760" s="65">
        <v>1</v>
      </c>
      <c r="R760" s="65" t="s">
        <v>70</v>
      </c>
      <c r="S760" s="65" t="s">
        <v>43</v>
      </c>
      <c r="T760" s="65" t="s">
        <v>44</v>
      </c>
      <c r="U760" s="65" t="s">
        <v>71</v>
      </c>
      <c r="V760" s="65" t="s">
        <v>72</v>
      </c>
      <c r="W760" s="65">
        <v>186.44</v>
      </c>
      <c r="X760" s="65" t="s">
        <v>47</v>
      </c>
      <c r="Y760" s="65" t="s">
        <v>48</v>
      </c>
      <c r="Z760" s="65" t="s">
        <v>73</v>
      </c>
      <c r="AA760" s="65">
        <v>987407712</v>
      </c>
      <c r="AB760" s="65" t="s">
        <v>141</v>
      </c>
    </row>
    <row r="761" spans="1:28" x14ac:dyDescent="0.3">
      <c r="A761" s="1">
        <v>46293</v>
      </c>
      <c r="B761" s="65" t="s">
        <v>4571</v>
      </c>
      <c r="C761" s="65" t="s">
        <v>29</v>
      </c>
      <c r="D761" s="65" t="s">
        <v>4572</v>
      </c>
      <c r="E761" s="65" t="s">
        <v>31</v>
      </c>
      <c r="F761" s="65" t="s">
        <v>4573</v>
      </c>
      <c r="G761" s="65" t="s">
        <v>4574</v>
      </c>
      <c r="H761" s="65" t="s">
        <v>4575</v>
      </c>
      <c r="I761" s="65" t="s">
        <v>1322</v>
      </c>
      <c r="J761" s="65" t="s">
        <v>36</v>
      </c>
      <c r="K761" s="65" t="s">
        <v>37</v>
      </c>
      <c r="L761" s="65" t="s">
        <v>4576</v>
      </c>
      <c r="M761" s="65" t="s">
        <v>4577</v>
      </c>
      <c r="N761" s="65" t="s">
        <v>4574</v>
      </c>
      <c r="O761" s="65" t="s">
        <v>4578</v>
      </c>
      <c r="P761" s="65" t="s">
        <v>130</v>
      </c>
      <c r="Q761" s="65">
        <v>1</v>
      </c>
      <c r="R761" s="65" t="s">
        <v>42</v>
      </c>
      <c r="S761" s="65" t="s">
        <v>44</v>
      </c>
      <c r="T761" s="65" t="s">
        <v>44</v>
      </c>
      <c r="U761" s="65" t="s">
        <v>531</v>
      </c>
      <c r="V761" s="65" t="s">
        <v>1965</v>
      </c>
      <c r="W761" s="65">
        <v>152.54</v>
      </c>
      <c r="X761" s="65" t="s">
        <v>47</v>
      </c>
      <c r="Y761" s="65" t="s">
        <v>48</v>
      </c>
      <c r="Z761" s="65" t="s">
        <v>534</v>
      </c>
      <c r="AA761" s="65">
        <v>999111362</v>
      </c>
      <c r="AB761" s="65" t="s">
        <v>1326</v>
      </c>
    </row>
    <row r="762" spans="1:28" x14ac:dyDescent="0.3">
      <c r="A762" s="1">
        <v>46293</v>
      </c>
      <c r="B762" s="65" t="s">
        <v>4571</v>
      </c>
      <c r="C762" s="65" t="s">
        <v>29</v>
      </c>
      <c r="D762" s="65" t="s">
        <v>4572</v>
      </c>
      <c r="E762" s="65" t="s">
        <v>31</v>
      </c>
      <c r="F762" s="65" t="s">
        <v>4573</v>
      </c>
      <c r="G762" s="65" t="s">
        <v>4574</v>
      </c>
      <c r="H762" s="65" t="s">
        <v>4575</v>
      </c>
      <c r="I762" s="65" t="s">
        <v>1322</v>
      </c>
      <c r="J762" s="65" t="s">
        <v>36</v>
      </c>
      <c r="K762" s="65" t="s">
        <v>37</v>
      </c>
      <c r="L762" s="65" t="s">
        <v>4576</v>
      </c>
      <c r="M762" s="65" t="s">
        <v>4577</v>
      </c>
      <c r="N762" s="65" t="s">
        <v>4574</v>
      </c>
      <c r="O762" s="65" t="s">
        <v>4578</v>
      </c>
      <c r="P762" s="65" t="s">
        <v>3541</v>
      </c>
      <c r="Q762" s="65">
        <v>1</v>
      </c>
      <c r="R762" s="65" t="s">
        <v>42</v>
      </c>
      <c r="S762" s="65" t="s">
        <v>44</v>
      </c>
      <c r="T762" s="65" t="s">
        <v>44</v>
      </c>
      <c r="U762" s="65" t="s">
        <v>531</v>
      </c>
      <c r="V762" s="65" t="s">
        <v>1965</v>
      </c>
      <c r="W762" s="65">
        <v>211.86</v>
      </c>
      <c r="X762" s="65" t="s">
        <v>47</v>
      </c>
      <c r="Y762" s="65" t="s">
        <v>48</v>
      </c>
      <c r="Z762" s="65" t="s">
        <v>534</v>
      </c>
      <c r="AA762" s="65">
        <v>999111362</v>
      </c>
      <c r="AB762" s="65" t="s">
        <v>1326</v>
      </c>
    </row>
    <row r="763" spans="1:28" x14ac:dyDescent="0.3">
      <c r="A763" s="1">
        <v>46293</v>
      </c>
      <c r="B763" s="65" t="s">
        <v>4579</v>
      </c>
      <c r="C763" s="65" t="s">
        <v>29</v>
      </c>
      <c r="D763" s="65" t="s">
        <v>4580</v>
      </c>
      <c r="E763" s="65" t="s">
        <v>31</v>
      </c>
      <c r="F763" s="65" t="s">
        <v>4581</v>
      </c>
      <c r="G763" s="65" t="s">
        <v>4582</v>
      </c>
      <c r="H763" s="65" t="s">
        <v>4583</v>
      </c>
      <c r="I763" s="65" t="s">
        <v>3072</v>
      </c>
      <c r="J763" s="65" t="s">
        <v>3037</v>
      </c>
      <c r="K763" s="65" t="s">
        <v>37</v>
      </c>
      <c r="L763" s="65" t="s">
        <v>4584</v>
      </c>
      <c r="M763" s="65" t="s">
        <v>4585</v>
      </c>
      <c r="N763" s="65" t="s">
        <v>4582</v>
      </c>
      <c r="O763" s="65" t="s">
        <v>4586</v>
      </c>
      <c r="P763" s="65" t="s">
        <v>90</v>
      </c>
      <c r="Q763" s="65">
        <v>1</v>
      </c>
      <c r="R763" s="65" t="s">
        <v>42</v>
      </c>
      <c r="S763" s="65" t="s">
        <v>44</v>
      </c>
      <c r="T763" s="65" t="s">
        <v>44</v>
      </c>
      <c r="U763" s="65" t="s">
        <v>71</v>
      </c>
      <c r="V763" s="65" t="s">
        <v>2054</v>
      </c>
      <c r="W763" s="65">
        <v>135.59</v>
      </c>
      <c r="X763" s="65" t="s">
        <v>47</v>
      </c>
      <c r="Y763" s="65" t="s">
        <v>48</v>
      </c>
      <c r="Z763" s="65" t="s">
        <v>73</v>
      </c>
      <c r="AA763" s="65">
        <v>985558886</v>
      </c>
      <c r="AB763" s="65" t="s">
        <v>3073</v>
      </c>
    </row>
    <row r="764" spans="1:28" x14ac:dyDescent="0.3">
      <c r="A764" s="1">
        <v>46293</v>
      </c>
      <c r="B764" s="65" t="s">
        <v>4587</v>
      </c>
      <c r="C764" s="65" t="s">
        <v>29</v>
      </c>
      <c r="D764" s="65" t="s">
        <v>4588</v>
      </c>
      <c r="E764" s="65" t="s">
        <v>31</v>
      </c>
      <c r="F764" s="65" t="s">
        <v>4589</v>
      </c>
      <c r="G764" s="65" t="s">
        <v>4590</v>
      </c>
      <c r="H764" s="65" t="s">
        <v>4591</v>
      </c>
      <c r="I764" s="65" t="s">
        <v>774</v>
      </c>
      <c r="J764" s="65" t="s">
        <v>775</v>
      </c>
      <c r="K764" s="65" t="s">
        <v>37</v>
      </c>
      <c r="L764" s="65" t="s">
        <v>4592</v>
      </c>
      <c r="M764" s="65" t="s">
        <v>4593</v>
      </c>
      <c r="N764" s="65" t="s">
        <v>4590</v>
      </c>
      <c r="O764" s="65" t="s">
        <v>4594</v>
      </c>
      <c r="P764" s="65" t="s">
        <v>1157</v>
      </c>
      <c r="Q764" s="65">
        <v>1</v>
      </c>
      <c r="R764" s="65" t="s">
        <v>42</v>
      </c>
      <c r="S764" s="65" t="s">
        <v>44</v>
      </c>
      <c r="T764" s="65" t="s">
        <v>44</v>
      </c>
      <c r="U764" s="65" t="s">
        <v>45</v>
      </c>
      <c r="V764" s="65" t="s">
        <v>60</v>
      </c>
      <c r="W764" s="65">
        <v>338.98</v>
      </c>
      <c r="X764" s="65" t="s">
        <v>47</v>
      </c>
      <c r="Y764" s="65" t="s">
        <v>48</v>
      </c>
      <c r="Z764" s="65" t="s">
        <v>49</v>
      </c>
      <c r="AA764" s="65"/>
      <c r="AB764" s="65"/>
    </row>
    <row r="765" spans="1:28" x14ac:dyDescent="0.3">
      <c r="A765" s="1">
        <v>46293</v>
      </c>
      <c r="B765" s="65" t="s">
        <v>4571</v>
      </c>
      <c r="C765" s="65" t="s">
        <v>29</v>
      </c>
      <c r="D765" s="65" t="s">
        <v>4572</v>
      </c>
      <c r="E765" s="65" t="s">
        <v>31</v>
      </c>
      <c r="F765" s="65" t="s">
        <v>4573</v>
      </c>
      <c r="G765" s="65" t="s">
        <v>4574</v>
      </c>
      <c r="H765" s="65" t="s">
        <v>4575</v>
      </c>
      <c r="I765" s="65" t="s">
        <v>1322</v>
      </c>
      <c r="J765" s="65" t="s">
        <v>36</v>
      </c>
      <c r="K765" s="65" t="s">
        <v>37</v>
      </c>
      <c r="L765" s="65" t="s">
        <v>4576</v>
      </c>
      <c r="M765" s="65" t="s">
        <v>4577</v>
      </c>
      <c r="N765" s="65" t="s">
        <v>4574</v>
      </c>
      <c r="O765" s="65" t="s">
        <v>4578</v>
      </c>
      <c r="P765" s="65" t="s">
        <v>130</v>
      </c>
      <c r="Q765" s="65">
        <v>1</v>
      </c>
      <c r="R765" s="65" t="s">
        <v>42</v>
      </c>
      <c r="S765" s="65" t="s">
        <v>44</v>
      </c>
      <c r="T765" s="65" t="s">
        <v>44</v>
      </c>
      <c r="U765" s="65" t="s">
        <v>531</v>
      </c>
      <c r="V765" s="65" t="s">
        <v>1965</v>
      </c>
      <c r="W765" s="65">
        <v>152.54</v>
      </c>
      <c r="X765" s="65" t="s">
        <v>47</v>
      </c>
      <c r="Y765" s="65" t="s">
        <v>48</v>
      </c>
      <c r="Z765" s="65" t="s">
        <v>534</v>
      </c>
      <c r="AA765" s="65">
        <v>999111362</v>
      </c>
      <c r="AB765" s="65" t="s">
        <v>1326</v>
      </c>
    </row>
    <row r="766" spans="1:28" x14ac:dyDescent="0.3">
      <c r="A766" s="1">
        <v>46294</v>
      </c>
      <c r="B766" s="65" t="s">
        <v>4595</v>
      </c>
      <c r="C766" s="65" t="s">
        <v>29</v>
      </c>
      <c r="D766" s="65" t="s">
        <v>4596</v>
      </c>
      <c r="E766" s="65" t="s">
        <v>31</v>
      </c>
      <c r="F766" s="65" t="s">
        <v>4597</v>
      </c>
      <c r="G766" s="65" t="s">
        <v>4598</v>
      </c>
      <c r="H766" s="65" t="s">
        <v>4599</v>
      </c>
      <c r="I766" s="65" t="s">
        <v>774</v>
      </c>
      <c r="J766" s="65" t="s">
        <v>775</v>
      </c>
      <c r="K766" s="65" t="s">
        <v>37</v>
      </c>
      <c r="L766" s="65" t="s">
        <v>4600</v>
      </c>
      <c r="M766" s="65" t="s">
        <v>4601</v>
      </c>
      <c r="N766" s="65" t="s">
        <v>4598</v>
      </c>
      <c r="O766" s="65" t="s">
        <v>4602</v>
      </c>
      <c r="P766" s="65" t="s">
        <v>641</v>
      </c>
      <c r="Q766" s="65">
        <v>1</v>
      </c>
      <c r="R766" s="65" t="s">
        <v>42</v>
      </c>
      <c r="S766" s="65" t="s">
        <v>44</v>
      </c>
      <c r="T766" s="65" t="s">
        <v>44</v>
      </c>
      <c r="U766" s="65" t="s">
        <v>45</v>
      </c>
      <c r="V766" s="65" t="s">
        <v>46</v>
      </c>
      <c r="W766" s="65">
        <v>84.75</v>
      </c>
      <c r="X766" s="65" t="s">
        <v>47</v>
      </c>
      <c r="Y766" s="65" t="s">
        <v>48</v>
      </c>
      <c r="Z766" s="65" t="s">
        <v>49</v>
      </c>
      <c r="AA766" s="65"/>
      <c r="AB766" s="65"/>
    </row>
    <row r="767" spans="1:28" x14ac:dyDescent="0.3">
      <c r="A767" s="1">
        <v>46294</v>
      </c>
      <c r="B767" s="65" t="s">
        <v>4603</v>
      </c>
      <c r="C767" s="65" t="s">
        <v>29</v>
      </c>
      <c r="D767" s="65" t="s">
        <v>4604</v>
      </c>
      <c r="E767" s="65" t="s">
        <v>31</v>
      </c>
      <c r="F767" s="65" t="s">
        <v>4605</v>
      </c>
      <c r="G767" s="65" t="s">
        <v>4606</v>
      </c>
      <c r="H767" s="65" t="s">
        <v>4607</v>
      </c>
      <c r="I767" s="65" t="s">
        <v>774</v>
      </c>
      <c r="J767" s="65" t="s">
        <v>775</v>
      </c>
      <c r="K767" s="65" t="s">
        <v>37</v>
      </c>
      <c r="L767" s="65" t="s">
        <v>4608</v>
      </c>
      <c r="M767" s="65" t="s">
        <v>4609</v>
      </c>
      <c r="N767" s="65" t="s">
        <v>4606</v>
      </c>
      <c r="O767" s="65" t="s">
        <v>4610</v>
      </c>
      <c r="P767" s="65" t="s">
        <v>202</v>
      </c>
      <c r="Q767" s="65">
        <v>1</v>
      </c>
      <c r="R767" s="65" t="s">
        <v>42</v>
      </c>
      <c r="S767" s="65" t="s">
        <v>44</v>
      </c>
      <c r="T767" s="65" t="s">
        <v>44</v>
      </c>
      <c r="U767" s="65" t="s">
        <v>45</v>
      </c>
      <c r="V767" s="65" t="s">
        <v>60</v>
      </c>
      <c r="W767" s="65">
        <v>42.37</v>
      </c>
      <c r="X767" s="65" t="s">
        <v>47</v>
      </c>
      <c r="Y767" s="65" t="s">
        <v>48</v>
      </c>
      <c r="Z767" s="65" t="s">
        <v>49</v>
      </c>
      <c r="AA767" s="65"/>
      <c r="AB767" s="65"/>
    </row>
    <row r="768" spans="1:28" x14ac:dyDescent="0.3">
      <c r="A768" s="1">
        <v>46294</v>
      </c>
      <c r="B768" s="65" t="s">
        <v>4603</v>
      </c>
      <c r="C768" s="65" t="s">
        <v>29</v>
      </c>
      <c r="D768" s="65" t="s">
        <v>4604</v>
      </c>
      <c r="E768" s="65" t="s">
        <v>31</v>
      </c>
      <c r="F768" s="65" t="s">
        <v>4605</v>
      </c>
      <c r="G768" s="65" t="s">
        <v>4606</v>
      </c>
      <c r="H768" s="65" t="s">
        <v>4607</v>
      </c>
      <c r="I768" s="65" t="s">
        <v>774</v>
      </c>
      <c r="J768" s="65" t="s">
        <v>775</v>
      </c>
      <c r="K768" s="65" t="s">
        <v>37</v>
      </c>
      <c r="L768" s="65" t="s">
        <v>4608</v>
      </c>
      <c r="M768" s="65" t="s">
        <v>4609</v>
      </c>
      <c r="N768" s="65" t="s">
        <v>4606</v>
      </c>
      <c r="O768" s="65" t="s">
        <v>4610</v>
      </c>
      <c r="P768" s="65" t="s">
        <v>201</v>
      </c>
      <c r="Q768" s="65">
        <v>1</v>
      </c>
      <c r="R768" s="65" t="s">
        <v>42</v>
      </c>
      <c r="S768" s="65" t="s">
        <v>44</v>
      </c>
      <c r="T768" s="65" t="s">
        <v>44</v>
      </c>
      <c r="U768" s="65" t="s">
        <v>45</v>
      </c>
      <c r="V768" s="65" t="s">
        <v>60</v>
      </c>
      <c r="W768" s="65">
        <v>42.37</v>
      </c>
      <c r="X768" s="65" t="s">
        <v>47</v>
      </c>
      <c r="Y768" s="65" t="s">
        <v>48</v>
      </c>
      <c r="Z768" s="65" t="s">
        <v>49</v>
      </c>
      <c r="AA768" s="65"/>
      <c r="AB768" s="65"/>
    </row>
    <row r="769" spans="1:28" x14ac:dyDescent="0.3">
      <c r="A769" s="1">
        <v>46294</v>
      </c>
      <c r="B769" s="65" t="s">
        <v>4611</v>
      </c>
      <c r="C769" s="65" t="s">
        <v>29</v>
      </c>
      <c r="D769" s="65" t="s">
        <v>4612</v>
      </c>
      <c r="E769" s="65" t="s">
        <v>31</v>
      </c>
      <c r="F769" s="65" t="s">
        <v>4613</v>
      </c>
      <c r="G769" s="65" t="s">
        <v>4614</v>
      </c>
      <c r="H769" s="65" t="s">
        <v>4615</v>
      </c>
      <c r="I769" s="65" t="s">
        <v>1322</v>
      </c>
      <c r="J769" s="65" t="s">
        <v>36</v>
      </c>
      <c r="K769" s="65" t="s">
        <v>37</v>
      </c>
      <c r="L769" s="65" t="s">
        <v>4616</v>
      </c>
      <c r="M769" s="65" t="s">
        <v>4617</v>
      </c>
      <c r="N769" s="65" t="s">
        <v>4614</v>
      </c>
      <c r="O769" s="65" t="s">
        <v>4618</v>
      </c>
      <c r="P769" s="65" t="s">
        <v>101</v>
      </c>
      <c r="Q769" s="65">
        <v>1</v>
      </c>
      <c r="R769" s="65" t="s">
        <v>42</v>
      </c>
      <c r="S769" s="65" t="s">
        <v>44</v>
      </c>
      <c r="T769" s="65" t="s">
        <v>44</v>
      </c>
      <c r="U769" s="65" t="s">
        <v>45</v>
      </c>
      <c r="V769" s="65" t="s">
        <v>60</v>
      </c>
      <c r="W769" s="65">
        <v>186.44</v>
      </c>
      <c r="X769" s="65" t="s">
        <v>47</v>
      </c>
      <c r="Y769" s="65" t="s">
        <v>48</v>
      </c>
      <c r="Z769" s="65" t="s">
        <v>49</v>
      </c>
      <c r="AA769" s="65">
        <v>999111362</v>
      </c>
      <c r="AB769" s="65" t="s">
        <v>1326</v>
      </c>
    </row>
    <row r="770" spans="1:28" x14ac:dyDescent="0.3">
      <c r="A770" s="1">
        <v>46294</v>
      </c>
      <c r="B770" s="65" t="s">
        <v>4611</v>
      </c>
      <c r="C770" s="65" t="s">
        <v>29</v>
      </c>
      <c r="D770" s="65" t="s">
        <v>4612</v>
      </c>
      <c r="E770" s="65" t="s">
        <v>31</v>
      </c>
      <c r="F770" s="65" t="s">
        <v>4613</v>
      </c>
      <c r="G770" s="65" t="s">
        <v>4614</v>
      </c>
      <c r="H770" s="65" t="s">
        <v>4615</v>
      </c>
      <c r="I770" s="65" t="s">
        <v>1322</v>
      </c>
      <c r="J770" s="65" t="s">
        <v>36</v>
      </c>
      <c r="K770" s="65" t="s">
        <v>37</v>
      </c>
      <c r="L770" s="65" t="s">
        <v>4616</v>
      </c>
      <c r="M770" s="65" t="s">
        <v>4617</v>
      </c>
      <c r="N770" s="65" t="s">
        <v>4614</v>
      </c>
      <c r="O770" s="65" t="s">
        <v>4618</v>
      </c>
      <c r="P770" s="65" t="s">
        <v>41</v>
      </c>
      <c r="Q770" s="65">
        <v>1</v>
      </c>
      <c r="R770" s="65" t="s">
        <v>42</v>
      </c>
      <c r="S770" s="65" t="s">
        <v>44</v>
      </c>
      <c r="T770" s="65" t="s">
        <v>44</v>
      </c>
      <c r="U770" s="65" t="s">
        <v>45</v>
      </c>
      <c r="V770" s="65" t="s">
        <v>60</v>
      </c>
      <c r="W770" s="65">
        <v>186.44</v>
      </c>
      <c r="X770" s="65" t="s">
        <v>47</v>
      </c>
      <c r="Y770" s="65" t="s">
        <v>48</v>
      </c>
      <c r="Z770" s="65" t="s">
        <v>49</v>
      </c>
      <c r="AA770" s="65">
        <v>999111362</v>
      </c>
      <c r="AB770" s="65" t="s">
        <v>1326</v>
      </c>
    </row>
    <row r="771" spans="1:28" x14ac:dyDescent="0.3">
      <c r="A771" s="1">
        <v>46294</v>
      </c>
      <c r="B771" s="65" t="s">
        <v>4611</v>
      </c>
      <c r="C771" s="65" t="s">
        <v>29</v>
      </c>
      <c r="D771" s="65" t="s">
        <v>4612</v>
      </c>
      <c r="E771" s="65" t="s">
        <v>31</v>
      </c>
      <c r="F771" s="65" t="s">
        <v>4613</v>
      </c>
      <c r="G771" s="65" t="s">
        <v>4614</v>
      </c>
      <c r="H771" s="65" t="s">
        <v>4615</v>
      </c>
      <c r="I771" s="65" t="s">
        <v>1322</v>
      </c>
      <c r="J771" s="65" t="s">
        <v>36</v>
      </c>
      <c r="K771" s="65" t="s">
        <v>37</v>
      </c>
      <c r="L771" s="65" t="s">
        <v>4616</v>
      </c>
      <c r="M771" s="65" t="s">
        <v>4617</v>
      </c>
      <c r="N771" s="65" t="s">
        <v>4614</v>
      </c>
      <c r="O771" s="65" t="s">
        <v>4618</v>
      </c>
      <c r="P771" s="65" t="s">
        <v>159</v>
      </c>
      <c r="Q771" s="65">
        <v>1</v>
      </c>
      <c r="R771" s="65" t="s">
        <v>42</v>
      </c>
      <c r="S771" s="65" t="s">
        <v>44</v>
      </c>
      <c r="T771" s="65" t="s">
        <v>44</v>
      </c>
      <c r="U771" s="65" t="s">
        <v>45</v>
      </c>
      <c r="V771" s="65" t="s">
        <v>60</v>
      </c>
      <c r="W771" s="65">
        <v>135.59</v>
      </c>
      <c r="X771" s="65" t="s">
        <v>47</v>
      </c>
      <c r="Y771" s="65" t="s">
        <v>48</v>
      </c>
      <c r="Z771" s="65" t="s">
        <v>49</v>
      </c>
      <c r="AA771" s="65">
        <v>999111362</v>
      </c>
      <c r="AB771" s="65" t="s">
        <v>1326</v>
      </c>
    </row>
    <row r="772" spans="1:28" x14ac:dyDescent="0.3">
      <c r="A772" s="1">
        <v>46294</v>
      </c>
      <c r="B772" s="65" t="s">
        <v>4619</v>
      </c>
      <c r="C772" s="65" t="s">
        <v>268</v>
      </c>
      <c r="D772" s="65" t="s">
        <v>4620</v>
      </c>
      <c r="E772" s="65" t="s">
        <v>31</v>
      </c>
      <c r="F772" s="65" t="s">
        <v>4621</v>
      </c>
      <c r="G772" s="65" t="s">
        <v>4622</v>
      </c>
      <c r="H772" s="65" t="s">
        <v>4623</v>
      </c>
      <c r="I772" s="65" t="s">
        <v>273</v>
      </c>
      <c r="J772" s="65" t="s">
        <v>274</v>
      </c>
      <c r="K772" s="65" t="s">
        <v>37</v>
      </c>
      <c r="L772" s="65" t="s">
        <v>4624</v>
      </c>
      <c r="M772" s="65" t="s">
        <v>608</v>
      </c>
      <c r="N772" s="65" t="s">
        <v>277</v>
      </c>
      <c r="O772" s="65" t="s">
        <v>4625</v>
      </c>
      <c r="P772" s="65" t="s">
        <v>288</v>
      </c>
      <c r="Q772" s="65">
        <v>1</v>
      </c>
      <c r="R772" s="65" t="s">
        <v>42</v>
      </c>
      <c r="S772" s="65" t="s">
        <v>44</v>
      </c>
      <c r="T772" s="65" t="s">
        <v>44</v>
      </c>
      <c r="U772" s="65" t="s">
        <v>45</v>
      </c>
      <c r="V772" s="65" t="s">
        <v>46</v>
      </c>
      <c r="W772" s="65">
        <v>0</v>
      </c>
      <c r="X772" s="65" t="s">
        <v>289</v>
      </c>
      <c r="Y772" s="65" t="s">
        <v>48</v>
      </c>
      <c r="Z772" s="65" t="s">
        <v>49</v>
      </c>
      <c r="AA772" s="65">
        <v>950133748</v>
      </c>
      <c r="AB772" s="65" t="s">
        <v>279</v>
      </c>
    </row>
    <row r="773" spans="1:28" x14ac:dyDescent="0.3">
      <c r="A773" s="1">
        <v>46294</v>
      </c>
      <c r="B773" s="65" t="s">
        <v>4619</v>
      </c>
      <c r="C773" s="65" t="s">
        <v>268</v>
      </c>
      <c r="D773" s="65" t="s">
        <v>4620</v>
      </c>
      <c r="E773" s="65" t="s">
        <v>31</v>
      </c>
      <c r="F773" s="65" t="s">
        <v>4621</v>
      </c>
      <c r="G773" s="65" t="s">
        <v>4622</v>
      </c>
      <c r="H773" s="65" t="s">
        <v>4623</v>
      </c>
      <c r="I773" s="65" t="s">
        <v>273</v>
      </c>
      <c r="J773" s="65" t="s">
        <v>274</v>
      </c>
      <c r="K773" s="65" t="s">
        <v>37</v>
      </c>
      <c r="L773" s="65" t="s">
        <v>4624</v>
      </c>
      <c r="M773" s="65" t="s">
        <v>608</v>
      </c>
      <c r="N773" s="65" t="s">
        <v>277</v>
      </c>
      <c r="O773" s="65" t="s">
        <v>4625</v>
      </c>
      <c r="P773" s="65" t="s">
        <v>290</v>
      </c>
      <c r="Q773" s="65">
        <v>1</v>
      </c>
      <c r="R773" s="65" t="s">
        <v>42</v>
      </c>
      <c r="S773" s="65" t="s">
        <v>44</v>
      </c>
      <c r="T773" s="65" t="s">
        <v>44</v>
      </c>
      <c r="U773" s="65" t="s">
        <v>45</v>
      </c>
      <c r="V773" s="65" t="s">
        <v>46</v>
      </c>
      <c r="W773" s="65">
        <v>1050.8499999999999</v>
      </c>
      <c r="X773" s="65" t="s">
        <v>289</v>
      </c>
      <c r="Y773" s="65" t="s">
        <v>48</v>
      </c>
      <c r="Z773" s="65" t="s">
        <v>49</v>
      </c>
      <c r="AA773" s="65">
        <v>950133748</v>
      </c>
      <c r="AB773" s="65" t="s">
        <v>279</v>
      </c>
    </row>
    <row r="774" spans="1:28" x14ac:dyDescent="0.3">
      <c r="A774" s="1">
        <v>46294</v>
      </c>
      <c r="B774" s="65" t="s">
        <v>4626</v>
      </c>
      <c r="C774" s="65" t="s">
        <v>268</v>
      </c>
      <c r="D774" s="65" t="s">
        <v>4627</v>
      </c>
      <c r="E774" s="65" t="s">
        <v>31</v>
      </c>
      <c r="F774" s="65" t="s">
        <v>4628</v>
      </c>
      <c r="G774" s="65" t="s">
        <v>4606</v>
      </c>
      <c r="H774" s="65" t="s">
        <v>4607</v>
      </c>
      <c r="I774" s="65" t="s">
        <v>774</v>
      </c>
      <c r="J774" s="65" t="s">
        <v>775</v>
      </c>
      <c r="K774" s="65" t="s">
        <v>37</v>
      </c>
      <c r="L774" s="65" t="s">
        <v>4608</v>
      </c>
      <c r="M774" s="65" t="s">
        <v>4609</v>
      </c>
      <c r="N774" s="65" t="s">
        <v>798</v>
      </c>
      <c r="O774" s="65" t="s">
        <v>4629</v>
      </c>
      <c r="P774" s="65" t="s">
        <v>290</v>
      </c>
      <c r="Q774" s="65">
        <v>1</v>
      </c>
      <c r="R774" s="65" t="s">
        <v>42</v>
      </c>
      <c r="S774" s="65" t="s">
        <v>44</v>
      </c>
      <c r="T774" s="65" t="s">
        <v>44</v>
      </c>
      <c r="U774" s="65" t="s">
        <v>45</v>
      </c>
      <c r="V774" s="65" t="s">
        <v>46</v>
      </c>
      <c r="W774" s="65">
        <v>762.71</v>
      </c>
      <c r="X774" s="65" t="s">
        <v>289</v>
      </c>
      <c r="Y774" s="65" t="s">
        <v>48</v>
      </c>
      <c r="Z774" s="65" t="s">
        <v>49</v>
      </c>
      <c r="AA774" s="65"/>
      <c r="AB774" s="65"/>
    </row>
    <row r="775" spans="1:28" x14ac:dyDescent="0.3">
      <c r="A775" s="1">
        <v>46294</v>
      </c>
      <c r="B775" s="65" t="s">
        <v>4626</v>
      </c>
      <c r="C775" s="65" t="s">
        <v>268</v>
      </c>
      <c r="D775" s="65" t="s">
        <v>4627</v>
      </c>
      <c r="E775" s="65" t="s">
        <v>31</v>
      </c>
      <c r="F775" s="65" t="s">
        <v>4628</v>
      </c>
      <c r="G775" s="65" t="s">
        <v>4606</v>
      </c>
      <c r="H775" s="65" t="s">
        <v>4607</v>
      </c>
      <c r="I775" s="65" t="s">
        <v>774</v>
      </c>
      <c r="J775" s="65" t="s">
        <v>775</v>
      </c>
      <c r="K775" s="65" t="s">
        <v>37</v>
      </c>
      <c r="L775" s="65" t="s">
        <v>4608</v>
      </c>
      <c r="M775" s="65" t="s">
        <v>4609</v>
      </c>
      <c r="N775" s="65" t="s">
        <v>798</v>
      </c>
      <c r="O775" s="65" t="s">
        <v>4629</v>
      </c>
      <c r="P775" s="65" t="s">
        <v>288</v>
      </c>
      <c r="Q775" s="65">
        <v>1</v>
      </c>
      <c r="R775" s="65" t="s">
        <v>42</v>
      </c>
      <c r="S775" s="65" t="s">
        <v>44</v>
      </c>
      <c r="T775" s="65" t="s">
        <v>44</v>
      </c>
      <c r="U775" s="65" t="s">
        <v>45</v>
      </c>
      <c r="V775" s="65" t="s">
        <v>46</v>
      </c>
      <c r="W775" s="65">
        <v>0</v>
      </c>
      <c r="X775" s="65" t="s">
        <v>289</v>
      </c>
      <c r="Y775" s="65" t="s">
        <v>48</v>
      </c>
      <c r="Z775" s="65" t="s">
        <v>49</v>
      </c>
      <c r="AA775" s="65"/>
      <c r="AB775" s="65"/>
    </row>
    <row r="776" spans="1:28" x14ac:dyDescent="0.3">
      <c r="A776" s="1">
        <v>46294</v>
      </c>
      <c r="B776" s="65" t="s">
        <v>4630</v>
      </c>
      <c r="C776" s="65" t="s">
        <v>268</v>
      </c>
      <c r="D776" s="65" t="s">
        <v>4631</v>
      </c>
      <c r="E776" s="65" t="s">
        <v>31</v>
      </c>
      <c r="F776" s="65" t="s">
        <v>4632</v>
      </c>
      <c r="G776" s="65" t="s">
        <v>4633</v>
      </c>
      <c r="H776" s="65" t="s">
        <v>4634</v>
      </c>
      <c r="I776" s="65" t="s">
        <v>1143</v>
      </c>
      <c r="J776" s="65" t="s">
        <v>365</v>
      </c>
      <c r="K776" s="65" t="s">
        <v>37</v>
      </c>
      <c r="L776" s="65" t="s">
        <v>4635</v>
      </c>
      <c r="M776" s="65" t="s">
        <v>4636</v>
      </c>
      <c r="N776" s="65" t="s">
        <v>4637</v>
      </c>
      <c r="O776" s="65" t="s">
        <v>4638</v>
      </c>
      <c r="P776" s="65" t="s">
        <v>90</v>
      </c>
      <c r="Q776" s="65">
        <v>1</v>
      </c>
      <c r="R776" s="65" t="s">
        <v>42</v>
      </c>
      <c r="S776" s="65" t="s">
        <v>44</v>
      </c>
      <c r="T776" s="65" t="s">
        <v>44</v>
      </c>
      <c r="U776" s="65" t="s">
        <v>45</v>
      </c>
      <c r="V776" s="65" t="s">
        <v>46</v>
      </c>
      <c r="W776" s="65">
        <v>135.59</v>
      </c>
      <c r="X776" s="65" t="s">
        <v>47</v>
      </c>
      <c r="Y776" s="65" t="s">
        <v>48</v>
      </c>
      <c r="Z776" s="65" t="s">
        <v>49</v>
      </c>
      <c r="AA776" s="65">
        <v>995833213</v>
      </c>
      <c r="AB776" s="65" t="s">
        <v>1147</v>
      </c>
    </row>
    <row r="777" spans="1:28" x14ac:dyDescent="0.3">
      <c r="A777" s="1">
        <v>46294</v>
      </c>
      <c r="B777" s="65" t="s">
        <v>4639</v>
      </c>
      <c r="C777" s="65" t="s">
        <v>399</v>
      </c>
      <c r="D777" s="65" t="s">
        <v>4631</v>
      </c>
      <c r="E777" s="65" t="s">
        <v>400</v>
      </c>
      <c r="F777" s="65" t="s">
        <v>4640</v>
      </c>
      <c r="G777" s="65" t="s">
        <v>4633</v>
      </c>
      <c r="H777" s="65" t="s">
        <v>4634</v>
      </c>
      <c r="I777" s="65" t="s">
        <v>1143</v>
      </c>
      <c r="J777" s="65" t="s">
        <v>365</v>
      </c>
      <c r="K777" s="65" t="s">
        <v>400</v>
      </c>
      <c r="L777" s="65" t="s">
        <v>4635</v>
      </c>
      <c r="M777" s="65" t="s">
        <v>4636</v>
      </c>
      <c r="N777" s="65" t="s">
        <v>4637</v>
      </c>
      <c r="O777" s="65" t="s">
        <v>4638</v>
      </c>
      <c r="P777" s="65" t="s">
        <v>90</v>
      </c>
      <c r="Q777" s="65">
        <v>1</v>
      </c>
      <c r="R777" s="65" t="s">
        <v>42</v>
      </c>
      <c r="S777" s="65" t="s">
        <v>44</v>
      </c>
      <c r="T777" s="65" t="s">
        <v>44</v>
      </c>
      <c r="U777" s="65" t="s">
        <v>45</v>
      </c>
      <c r="V777" s="65" t="s">
        <v>46</v>
      </c>
      <c r="W777" s="65">
        <v>-135.59</v>
      </c>
      <c r="X777" s="65" t="s">
        <v>47</v>
      </c>
      <c r="Y777" s="65" t="s">
        <v>48</v>
      </c>
      <c r="Z777" s="65" t="s">
        <v>49</v>
      </c>
      <c r="AA777" s="65">
        <v>995833213</v>
      </c>
      <c r="AB777" s="65" t="s">
        <v>1147</v>
      </c>
    </row>
    <row r="778" spans="1:28" x14ac:dyDescent="0.3">
      <c r="A778" s="1">
        <v>46294</v>
      </c>
      <c r="B778" s="65" t="s">
        <v>4641</v>
      </c>
      <c r="C778" s="65" t="s">
        <v>29</v>
      </c>
      <c r="D778" s="65" t="s">
        <v>4642</v>
      </c>
      <c r="E778" s="65" t="s">
        <v>31</v>
      </c>
      <c r="F778" s="65" t="s">
        <v>4643</v>
      </c>
      <c r="G778" s="65" t="s">
        <v>4644</v>
      </c>
      <c r="H778" s="65" t="s">
        <v>4645</v>
      </c>
      <c r="I778" s="65" t="s">
        <v>4680</v>
      </c>
      <c r="J778" s="65" t="s">
        <v>1864</v>
      </c>
      <c r="K778" s="65" t="s">
        <v>37</v>
      </c>
      <c r="L778" s="65" t="s">
        <v>4646</v>
      </c>
      <c r="M778" s="65" t="s">
        <v>4647</v>
      </c>
      <c r="N778" s="65" t="s">
        <v>4644</v>
      </c>
      <c r="O778" s="65" t="s">
        <v>4648</v>
      </c>
      <c r="P778" s="65" t="s">
        <v>130</v>
      </c>
      <c r="Q778" s="65">
        <v>1</v>
      </c>
      <c r="R778" s="65" t="s">
        <v>42</v>
      </c>
      <c r="S778" s="65" t="s">
        <v>44</v>
      </c>
      <c r="T778" s="65" t="s">
        <v>44</v>
      </c>
      <c r="U778" s="65" t="s">
        <v>45</v>
      </c>
      <c r="V778" s="65" t="s">
        <v>46</v>
      </c>
      <c r="W778" s="65">
        <v>152.54</v>
      </c>
      <c r="X778" s="65" t="s">
        <v>47</v>
      </c>
      <c r="Y778" s="65" t="s">
        <v>48</v>
      </c>
      <c r="Z778" s="65" t="s">
        <v>49</v>
      </c>
      <c r="AA778" s="65">
        <v>901918745</v>
      </c>
      <c r="AB778" s="65"/>
    </row>
    <row r="779" spans="1:28" x14ac:dyDescent="0.3">
      <c r="A779" s="1">
        <v>46295</v>
      </c>
      <c r="B779" s="65" t="s">
        <v>4649</v>
      </c>
      <c r="C779" s="65" t="s">
        <v>268</v>
      </c>
      <c r="D779" s="65" t="s">
        <v>4650</v>
      </c>
      <c r="E779" s="65" t="s">
        <v>31</v>
      </c>
      <c r="F779" s="65" t="s">
        <v>4651</v>
      </c>
      <c r="G779" s="65" t="s">
        <v>4652</v>
      </c>
      <c r="H779" s="65" t="s">
        <v>4653</v>
      </c>
      <c r="I779" s="65" t="s">
        <v>3116</v>
      </c>
      <c r="J779" s="65" t="s">
        <v>2558</v>
      </c>
      <c r="K779" s="65" t="s">
        <v>37</v>
      </c>
      <c r="L779" s="65" t="s">
        <v>4654</v>
      </c>
      <c r="M779" s="65" t="s">
        <v>4655</v>
      </c>
      <c r="N779" s="65" t="s">
        <v>4656</v>
      </c>
      <c r="O779" s="65" t="s">
        <v>4657</v>
      </c>
      <c r="P779" s="65" t="s">
        <v>101</v>
      </c>
      <c r="Q779" s="65">
        <v>1</v>
      </c>
      <c r="R779" s="65" t="s">
        <v>42</v>
      </c>
      <c r="S779" s="65" t="s">
        <v>44</v>
      </c>
      <c r="T779" s="65" t="s">
        <v>44</v>
      </c>
      <c r="U779" s="65" t="s">
        <v>45</v>
      </c>
      <c r="V779" s="65" t="s">
        <v>46</v>
      </c>
      <c r="W779" s="65">
        <v>186.44</v>
      </c>
      <c r="X779" s="65" t="s">
        <v>47</v>
      </c>
      <c r="Y779" s="65" t="s">
        <v>48</v>
      </c>
      <c r="Z779" s="65" t="s">
        <v>49</v>
      </c>
      <c r="AA779" s="65">
        <v>973914900</v>
      </c>
      <c r="AB779" s="65" t="s">
        <v>3117</v>
      </c>
    </row>
    <row r="780" spans="1:28" x14ac:dyDescent="0.3">
      <c r="A780" s="1">
        <v>46295</v>
      </c>
      <c r="B780" s="65" t="s">
        <v>4658</v>
      </c>
      <c r="C780" s="65" t="s">
        <v>29</v>
      </c>
      <c r="D780" s="65" t="s">
        <v>4659</v>
      </c>
      <c r="E780" s="65" t="s">
        <v>31</v>
      </c>
      <c r="F780" s="65" t="s">
        <v>4660</v>
      </c>
      <c r="G780" s="65" t="s">
        <v>4661</v>
      </c>
      <c r="H780" s="65" t="s">
        <v>4662</v>
      </c>
      <c r="I780" s="65" t="s">
        <v>1322</v>
      </c>
      <c r="J780" s="65" t="s">
        <v>36</v>
      </c>
      <c r="K780" s="65" t="s">
        <v>37</v>
      </c>
      <c r="L780" s="65" t="s">
        <v>4663</v>
      </c>
      <c r="M780" s="65" t="s">
        <v>4664</v>
      </c>
      <c r="N780" s="65" t="s">
        <v>4661</v>
      </c>
      <c r="O780" s="65" t="s">
        <v>4665</v>
      </c>
      <c r="P780" s="65" t="s">
        <v>159</v>
      </c>
      <c r="Q780" s="65">
        <v>1</v>
      </c>
      <c r="R780" s="65" t="s">
        <v>42</v>
      </c>
      <c r="S780" s="65" t="s">
        <v>44</v>
      </c>
      <c r="T780" s="65" t="s">
        <v>44</v>
      </c>
      <c r="U780" s="65" t="s">
        <v>71</v>
      </c>
      <c r="V780" s="65" t="s">
        <v>184</v>
      </c>
      <c r="W780" s="65">
        <v>135.59</v>
      </c>
      <c r="X780" s="65" t="s">
        <v>47</v>
      </c>
      <c r="Y780" s="65" t="s">
        <v>48</v>
      </c>
      <c r="Z780" s="65" t="s">
        <v>73</v>
      </c>
      <c r="AA780" s="65">
        <v>999111362</v>
      </c>
      <c r="AB780" s="65" t="s">
        <v>1326</v>
      </c>
    </row>
    <row r="781" spans="1:28" x14ac:dyDescent="0.3">
      <c r="A781" s="1">
        <v>46296</v>
      </c>
      <c r="B781" s="65" t="s">
        <v>4667</v>
      </c>
      <c r="C781" s="65" t="s">
        <v>29</v>
      </c>
      <c r="D781" s="65" t="s">
        <v>4668</v>
      </c>
      <c r="E781" s="65" t="s">
        <v>31</v>
      </c>
      <c r="F781" s="65" t="s">
        <v>4669</v>
      </c>
      <c r="G781" s="65" t="s">
        <v>4670</v>
      </c>
      <c r="H781" s="65" t="s">
        <v>4671</v>
      </c>
      <c r="I781" s="65" t="s">
        <v>715</v>
      </c>
      <c r="J781" s="65" t="s">
        <v>716</v>
      </c>
      <c r="K781" s="65" t="s">
        <v>37</v>
      </c>
      <c r="L781" s="65" t="s">
        <v>4672</v>
      </c>
      <c r="M781" s="65" t="s">
        <v>4673</v>
      </c>
      <c r="N781" s="65" t="s">
        <v>4670</v>
      </c>
      <c r="O781" s="65" t="s">
        <v>4674</v>
      </c>
      <c r="P781" s="65" t="s">
        <v>90</v>
      </c>
      <c r="Q781" s="65">
        <v>1</v>
      </c>
      <c r="R781" s="65" t="s">
        <v>70</v>
      </c>
      <c r="S781" s="65" t="s">
        <v>43</v>
      </c>
      <c r="T781" s="65" t="s">
        <v>44</v>
      </c>
      <c r="U781" s="65" t="s">
        <v>71</v>
      </c>
      <c r="V781" s="65" t="s">
        <v>184</v>
      </c>
      <c r="W781" s="65">
        <v>135.59</v>
      </c>
      <c r="X781" s="65" t="s">
        <v>47</v>
      </c>
      <c r="Y781" s="65" t="s">
        <v>48</v>
      </c>
      <c r="Z781" s="65" t="s">
        <v>73</v>
      </c>
      <c r="AA781" s="65">
        <v>955356636</v>
      </c>
      <c r="AB781" s="65" t="s">
        <v>720</v>
      </c>
    </row>
    <row r="782" spans="1:28" x14ac:dyDescent="0.3">
      <c r="A782" s="1">
        <v>46296</v>
      </c>
      <c r="B782" s="65" t="s">
        <v>4675</v>
      </c>
      <c r="C782" s="65" t="s">
        <v>29</v>
      </c>
      <c r="D782" s="65" t="s">
        <v>4676</v>
      </c>
      <c r="E782" s="65" t="s">
        <v>31</v>
      </c>
      <c r="F782" s="65" t="s">
        <v>4677</v>
      </c>
      <c r="G782" s="65" t="s">
        <v>4678</v>
      </c>
      <c r="H782" s="65" t="s">
        <v>4679</v>
      </c>
      <c r="I782" s="65" t="s">
        <v>4680</v>
      </c>
      <c r="J782" s="65" t="s">
        <v>1864</v>
      </c>
      <c r="K782" s="65" t="s">
        <v>37</v>
      </c>
      <c r="L782" s="65" t="s">
        <v>4681</v>
      </c>
      <c r="M782" s="65" t="s">
        <v>4682</v>
      </c>
      <c r="N782" s="65" t="s">
        <v>4678</v>
      </c>
      <c r="O782" s="65" t="s">
        <v>4683</v>
      </c>
      <c r="P782" s="65" t="s">
        <v>213</v>
      </c>
      <c r="Q782" s="65">
        <v>1</v>
      </c>
      <c r="R782" s="65" t="s">
        <v>42</v>
      </c>
      <c r="S782" s="65" t="s">
        <v>44</v>
      </c>
      <c r="T782" s="65" t="s">
        <v>44</v>
      </c>
      <c r="U782" s="65" t="s">
        <v>45</v>
      </c>
      <c r="V782" s="65" t="s">
        <v>46</v>
      </c>
      <c r="W782" s="65">
        <v>254.24</v>
      </c>
      <c r="X782" s="65" t="s">
        <v>61</v>
      </c>
      <c r="Y782" s="65" t="s">
        <v>48</v>
      </c>
      <c r="Z782" s="65" t="s">
        <v>49</v>
      </c>
      <c r="AA782" s="65">
        <v>901918745</v>
      </c>
      <c r="AB782" s="65"/>
    </row>
    <row r="783" spans="1:28" x14ac:dyDescent="0.3">
      <c r="A783" s="1">
        <v>46297</v>
      </c>
      <c r="B783" s="65" t="s">
        <v>4993</v>
      </c>
      <c r="C783" s="65" t="s">
        <v>29</v>
      </c>
      <c r="D783" s="65" t="s">
        <v>4994</v>
      </c>
      <c r="E783" s="65" t="s">
        <v>31</v>
      </c>
      <c r="F783" s="65" t="s">
        <v>4995</v>
      </c>
      <c r="G783" s="65" t="s">
        <v>4996</v>
      </c>
      <c r="H783" s="65" t="s">
        <v>4997</v>
      </c>
      <c r="I783" s="65" t="s">
        <v>774</v>
      </c>
      <c r="J783" s="65" t="s">
        <v>775</v>
      </c>
      <c r="K783" s="65" t="s">
        <v>37</v>
      </c>
      <c r="L783" s="65" t="s">
        <v>4998</v>
      </c>
      <c r="M783" s="65" t="s">
        <v>1500</v>
      </c>
      <c r="N783" s="65" t="s">
        <v>4996</v>
      </c>
      <c r="O783" s="65" t="s">
        <v>4999</v>
      </c>
      <c r="P783" s="65" t="s">
        <v>159</v>
      </c>
      <c r="Q783" s="65">
        <v>1</v>
      </c>
      <c r="R783" s="65" t="s">
        <v>42</v>
      </c>
      <c r="S783" s="65" t="s">
        <v>44</v>
      </c>
      <c r="T783" s="65" t="s">
        <v>44</v>
      </c>
      <c r="U783" s="65" t="s">
        <v>71</v>
      </c>
      <c r="V783" s="65" t="s">
        <v>184</v>
      </c>
      <c r="W783" s="65">
        <v>135.59</v>
      </c>
      <c r="X783" s="65" t="s">
        <v>47</v>
      </c>
      <c r="Y783" s="65" t="s">
        <v>48</v>
      </c>
      <c r="Z783" s="65" t="s">
        <v>73</v>
      </c>
      <c r="AA783" s="65"/>
      <c r="AB783" s="65"/>
    </row>
    <row r="784" spans="1:28" x14ac:dyDescent="0.3">
      <c r="A784" s="1">
        <v>46297</v>
      </c>
      <c r="B784" s="65" t="s">
        <v>4684</v>
      </c>
      <c r="C784" s="65" t="s">
        <v>29</v>
      </c>
      <c r="D784" s="65" t="s">
        <v>4685</v>
      </c>
      <c r="E784" s="65" t="s">
        <v>31</v>
      </c>
      <c r="F784" s="65" t="s">
        <v>4686</v>
      </c>
      <c r="G784" s="65" t="s">
        <v>4687</v>
      </c>
      <c r="H784" s="65" t="s">
        <v>4688</v>
      </c>
      <c r="I784" s="65" t="s">
        <v>4689</v>
      </c>
      <c r="J784" s="65" t="s">
        <v>4690</v>
      </c>
      <c r="K784" s="65" t="s">
        <v>37</v>
      </c>
      <c r="L784" s="65" t="s">
        <v>4691</v>
      </c>
      <c r="M784" s="65" t="s">
        <v>4692</v>
      </c>
      <c r="N784" s="65" t="s">
        <v>4687</v>
      </c>
      <c r="O784" s="65" t="s">
        <v>4693</v>
      </c>
      <c r="P784" s="65" t="s">
        <v>202</v>
      </c>
      <c r="Q784" s="65">
        <v>1</v>
      </c>
      <c r="R784" s="65" t="s">
        <v>42</v>
      </c>
      <c r="S784" s="65" t="s">
        <v>44</v>
      </c>
      <c r="T784" s="65" t="s">
        <v>44</v>
      </c>
      <c r="U784" s="65" t="s">
        <v>45</v>
      </c>
      <c r="V784" s="65" t="s">
        <v>46</v>
      </c>
      <c r="W784" s="65">
        <v>135.59</v>
      </c>
      <c r="X784" s="65" t="s">
        <v>47</v>
      </c>
      <c r="Y784" s="65" t="s">
        <v>48</v>
      </c>
      <c r="Z784" s="65" t="s">
        <v>49</v>
      </c>
      <c r="AA784" s="65"/>
      <c r="AB784" s="65"/>
    </row>
    <row r="785" spans="1:28" x14ac:dyDescent="0.3">
      <c r="A785" s="1">
        <v>46297</v>
      </c>
      <c r="B785" s="65" t="s">
        <v>4694</v>
      </c>
      <c r="C785" s="65" t="s">
        <v>268</v>
      </c>
      <c r="D785" s="65" t="s">
        <v>4695</v>
      </c>
      <c r="E785" s="65" t="s">
        <v>31</v>
      </c>
      <c r="F785" s="65" t="s">
        <v>4696</v>
      </c>
      <c r="G785" s="65" t="s">
        <v>2753</v>
      </c>
      <c r="H785" s="65" t="s">
        <v>5000</v>
      </c>
      <c r="I785" s="65" t="s">
        <v>273</v>
      </c>
      <c r="J785" s="65" t="s">
        <v>274</v>
      </c>
      <c r="K785" s="65" t="s">
        <v>37</v>
      </c>
      <c r="L785" s="65" t="s">
        <v>2755</v>
      </c>
      <c r="M785" s="65" t="s">
        <v>2756</v>
      </c>
      <c r="N785" s="65" t="s">
        <v>277</v>
      </c>
      <c r="O785" s="65" t="s">
        <v>4697</v>
      </c>
      <c r="P785" s="65" t="s">
        <v>288</v>
      </c>
      <c r="Q785" s="65">
        <v>1</v>
      </c>
      <c r="R785" s="65" t="s">
        <v>42</v>
      </c>
      <c r="S785" s="65" t="s">
        <v>44</v>
      </c>
      <c r="T785" s="65" t="s">
        <v>44</v>
      </c>
      <c r="U785" s="65" t="s">
        <v>45</v>
      </c>
      <c r="V785" s="65" t="s">
        <v>46</v>
      </c>
      <c r="W785" s="65">
        <v>0</v>
      </c>
      <c r="X785" s="65" t="s">
        <v>289</v>
      </c>
      <c r="Y785" s="65" t="s">
        <v>48</v>
      </c>
      <c r="Z785" s="65" t="s">
        <v>49</v>
      </c>
      <c r="AA785" s="65">
        <v>950133748</v>
      </c>
      <c r="AB785" s="65" t="s">
        <v>279</v>
      </c>
    </row>
    <row r="786" spans="1:28" x14ac:dyDescent="0.3">
      <c r="A786" s="1">
        <v>46297</v>
      </c>
      <c r="B786" s="65" t="s">
        <v>4694</v>
      </c>
      <c r="C786" s="65" t="s">
        <v>268</v>
      </c>
      <c r="D786" s="65" t="s">
        <v>4695</v>
      </c>
      <c r="E786" s="65" t="s">
        <v>31</v>
      </c>
      <c r="F786" s="65" t="s">
        <v>4696</v>
      </c>
      <c r="G786" s="65" t="s">
        <v>2753</v>
      </c>
      <c r="H786" s="65" t="s">
        <v>5000</v>
      </c>
      <c r="I786" s="65" t="s">
        <v>273</v>
      </c>
      <c r="J786" s="65" t="s">
        <v>274</v>
      </c>
      <c r="K786" s="65" t="s">
        <v>37</v>
      </c>
      <c r="L786" s="65" t="s">
        <v>2755</v>
      </c>
      <c r="M786" s="65" t="s">
        <v>2756</v>
      </c>
      <c r="N786" s="65" t="s">
        <v>277</v>
      </c>
      <c r="O786" s="65" t="s">
        <v>4697</v>
      </c>
      <c r="P786" s="65" t="s">
        <v>213</v>
      </c>
      <c r="Q786" s="65">
        <v>1</v>
      </c>
      <c r="R786" s="65" t="s">
        <v>42</v>
      </c>
      <c r="S786" s="65" t="s">
        <v>44</v>
      </c>
      <c r="T786" s="65" t="s">
        <v>44</v>
      </c>
      <c r="U786" s="65" t="s">
        <v>45</v>
      </c>
      <c r="V786" s="65" t="s">
        <v>46</v>
      </c>
      <c r="W786" s="65">
        <v>254.24</v>
      </c>
      <c r="X786" s="65" t="s">
        <v>289</v>
      </c>
      <c r="Y786" s="65" t="s">
        <v>48</v>
      </c>
      <c r="Z786" s="65" t="s">
        <v>49</v>
      </c>
      <c r="AA786" s="65">
        <v>950133748</v>
      </c>
      <c r="AB786" s="65" t="s">
        <v>279</v>
      </c>
    </row>
    <row r="787" spans="1:28" x14ac:dyDescent="0.3">
      <c r="A787" s="1">
        <v>46297</v>
      </c>
      <c r="B787" s="65" t="s">
        <v>4698</v>
      </c>
      <c r="C787" s="65" t="s">
        <v>268</v>
      </c>
      <c r="D787" s="65" t="s">
        <v>4699</v>
      </c>
      <c r="E787" s="65" t="s">
        <v>31</v>
      </c>
      <c r="F787" s="65" t="s">
        <v>4700</v>
      </c>
      <c r="G787" s="65" t="s">
        <v>4701</v>
      </c>
      <c r="H787" s="65" t="s">
        <v>5001</v>
      </c>
      <c r="I787" s="65" t="s">
        <v>477</v>
      </c>
      <c r="J787" s="65" t="s">
        <v>209</v>
      </c>
      <c r="K787" s="65" t="s">
        <v>37</v>
      </c>
      <c r="L787" s="65" t="s">
        <v>4702</v>
      </c>
      <c r="M787" s="65" t="s">
        <v>4703</v>
      </c>
      <c r="N787" s="65" t="s">
        <v>486</v>
      </c>
      <c r="O787" s="65" t="s">
        <v>4704</v>
      </c>
      <c r="P787" s="65" t="s">
        <v>59</v>
      </c>
      <c r="Q787" s="65">
        <v>2</v>
      </c>
      <c r="R787" s="65" t="s">
        <v>42</v>
      </c>
      <c r="S787" s="65" t="s">
        <v>44</v>
      </c>
      <c r="T787" s="65" t="s">
        <v>44</v>
      </c>
      <c r="U787" s="65" t="s">
        <v>45</v>
      </c>
      <c r="V787" s="65" t="s">
        <v>46</v>
      </c>
      <c r="W787" s="65">
        <v>203.39</v>
      </c>
      <c r="X787" s="65" t="s">
        <v>61</v>
      </c>
      <c r="Y787" s="65" t="s">
        <v>48</v>
      </c>
      <c r="Z787" s="65" t="s">
        <v>49</v>
      </c>
      <c r="AA787" s="65">
        <v>982536223</v>
      </c>
      <c r="AB787" s="65" t="s">
        <v>482</v>
      </c>
    </row>
    <row r="788" spans="1:28" x14ac:dyDescent="0.3">
      <c r="A788" s="1">
        <v>46297</v>
      </c>
      <c r="B788" s="65" t="s">
        <v>4705</v>
      </c>
      <c r="C788" s="65" t="s">
        <v>268</v>
      </c>
      <c r="D788" s="65" t="s">
        <v>4706</v>
      </c>
      <c r="E788" s="65" t="s">
        <v>31</v>
      </c>
      <c r="F788" s="65" t="s">
        <v>4707</v>
      </c>
      <c r="G788" s="65" t="s">
        <v>4708</v>
      </c>
      <c r="H788" s="65" t="s">
        <v>5001</v>
      </c>
      <c r="I788" s="65" t="s">
        <v>477</v>
      </c>
      <c r="J788" s="65" t="s">
        <v>209</v>
      </c>
      <c r="K788" s="65" t="s">
        <v>37</v>
      </c>
      <c r="L788" s="65" t="s">
        <v>4709</v>
      </c>
      <c r="M788" s="65" t="s">
        <v>4710</v>
      </c>
      <c r="N788" s="65" t="s">
        <v>486</v>
      </c>
      <c r="O788" s="65" t="s">
        <v>4711</v>
      </c>
      <c r="P788" s="65" t="s">
        <v>59</v>
      </c>
      <c r="Q788" s="65">
        <v>1</v>
      </c>
      <c r="R788" s="65" t="s">
        <v>42</v>
      </c>
      <c r="S788" s="65" t="s">
        <v>44</v>
      </c>
      <c r="T788" s="65" t="s">
        <v>44</v>
      </c>
      <c r="U788" s="65" t="s">
        <v>45</v>
      </c>
      <c r="V788" s="65" t="s">
        <v>46</v>
      </c>
      <c r="W788" s="65">
        <v>101.69</v>
      </c>
      <c r="X788" s="65" t="s">
        <v>61</v>
      </c>
      <c r="Y788" s="65" t="s">
        <v>48</v>
      </c>
      <c r="Z788" s="65" t="s">
        <v>49</v>
      </c>
      <c r="AA788" s="65">
        <v>982536223</v>
      </c>
      <c r="AB788" s="65" t="s">
        <v>482</v>
      </c>
    </row>
    <row r="789" spans="1:28" x14ac:dyDescent="0.3">
      <c r="A789" s="1">
        <v>46298</v>
      </c>
      <c r="B789" s="65" t="s">
        <v>4712</v>
      </c>
      <c r="C789" s="65" t="s">
        <v>29</v>
      </c>
      <c r="D789" s="65" t="s">
        <v>4713</v>
      </c>
      <c r="E789" s="65" t="s">
        <v>31</v>
      </c>
      <c r="F789" s="65" t="s">
        <v>4714</v>
      </c>
      <c r="G789" s="65" t="s">
        <v>4715</v>
      </c>
      <c r="H789" s="65" t="s">
        <v>4716</v>
      </c>
      <c r="I789" s="65" t="s">
        <v>344</v>
      </c>
      <c r="J789" s="65" t="s">
        <v>345</v>
      </c>
      <c r="K789" s="65" t="s">
        <v>37</v>
      </c>
      <c r="L789" s="65" t="s">
        <v>4717</v>
      </c>
      <c r="M789" s="65" t="s">
        <v>4718</v>
      </c>
      <c r="N789" s="65" t="s">
        <v>4715</v>
      </c>
      <c r="O789" s="65" t="s">
        <v>4719</v>
      </c>
      <c r="P789" s="65" t="s">
        <v>130</v>
      </c>
      <c r="Q789" s="65">
        <v>1</v>
      </c>
      <c r="R789" s="65" t="s">
        <v>70</v>
      </c>
      <c r="S789" s="65" t="s">
        <v>43</v>
      </c>
      <c r="T789" s="65" t="s">
        <v>44</v>
      </c>
      <c r="U789" s="65" t="s">
        <v>71</v>
      </c>
      <c r="V789" s="65" t="s">
        <v>72</v>
      </c>
      <c r="W789" s="65">
        <v>152.54</v>
      </c>
      <c r="X789" s="65" t="s">
        <v>47</v>
      </c>
      <c r="Y789" s="65" t="s">
        <v>48</v>
      </c>
      <c r="Z789" s="65" t="s">
        <v>73</v>
      </c>
      <c r="AA789" s="65">
        <v>966697811</v>
      </c>
      <c r="AB789" s="65" t="s">
        <v>350</v>
      </c>
    </row>
    <row r="790" spans="1:28" x14ac:dyDescent="0.3">
      <c r="A790" s="1">
        <v>46298</v>
      </c>
      <c r="B790" s="65" t="s">
        <v>4720</v>
      </c>
      <c r="C790" s="65" t="s">
        <v>29</v>
      </c>
      <c r="D790" s="65" t="s">
        <v>4721</v>
      </c>
      <c r="E790" s="65" t="s">
        <v>31</v>
      </c>
      <c r="F790" s="65" t="s">
        <v>4722</v>
      </c>
      <c r="G790" s="65" t="s">
        <v>4723</v>
      </c>
      <c r="H790" s="65" t="s">
        <v>4724</v>
      </c>
      <c r="I790" s="65" t="s">
        <v>5002</v>
      </c>
      <c r="J790" s="65" t="s">
        <v>1098</v>
      </c>
      <c r="K790" s="65" t="s">
        <v>37</v>
      </c>
      <c r="L790" s="65" t="s">
        <v>4725</v>
      </c>
      <c r="M790" s="65" t="s">
        <v>4726</v>
      </c>
      <c r="N790" s="65" t="s">
        <v>4723</v>
      </c>
      <c r="O790" s="65" t="s">
        <v>4727</v>
      </c>
      <c r="P790" s="65" t="s">
        <v>101</v>
      </c>
      <c r="Q790" s="65">
        <v>1</v>
      </c>
      <c r="R790" s="65" t="s">
        <v>70</v>
      </c>
      <c r="S790" s="65" t="s">
        <v>43</v>
      </c>
      <c r="T790" s="65" t="s">
        <v>44</v>
      </c>
      <c r="U790" s="65" t="s">
        <v>71</v>
      </c>
      <c r="V790" s="65" t="s">
        <v>184</v>
      </c>
      <c r="W790" s="65">
        <v>186.44</v>
      </c>
      <c r="X790" s="65" t="s">
        <v>47</v>
      </c>
      <c r="Y790" s="65" t="s">
        <v>48</v>
      </c>
      <c r="Z790" s="65" t="s">
        <v>73</v>
      </c>
      <c r="AA790" s="65">
        <v>933876179</v>
      </c>
      <c r="AB790" s="65"/>
    </row>
    <row r="791" spans="1:28" x14ac:dyDescent="0.3">
      <c r="A791" s="1">
        <v>46298</v>
      </c>
      <c r="B791" s="65" t="s">
        <v>4728</v>
      </c>
      <c r="C791" s="65" t="s">
        <v>29</v>
      </c>
      <c r="D791" s="65" t="s">
        <v>4729</v>
      </c>
      <c r="E791" s="65" t="s">
        <v>31</v>
      </c>
      <c r="F791" s="65" t="s">
        <v>4730</v>
      </c>
      <c r="G791" s="65" t="s">
        <v>4731</v>
      </c>
      <c r="H791" s="65" t="s">
        <v>4732</v>
      </c>
      <c r="I791" s="65" t="s">
        <v>2291</v>
      </c>
      <c r="J791" s="65" t="s">
        <v>1542</v>
      </c>
      <c r="K791" s="65" t="s">
        <v>37</v>
      </c>
      <c r="L791" s="65" t="s">
        <v>4733</v>
      </c>
      <c r="M791" s="65" t="s">
        <v>4734</v>
      </c>
      <c r="N791" s="65" t="s">
        <v>4731</v>
      </c>
      <c r="O791" s="65" t="s">
        <v>4735</v>
      </c>
      <c r="P791" s="65" t="s">
        <v>202</v>
      </c>
      <c r="Q791" s="65">
        <v>1</v>
      </c>
      <c r="R791" s="65" t="s">
        <v>42</v>
      </c>
      <c r="S791" s="65" t="s">
        <v>44</v>
      </c>
      <c r="T791" s="65" t="s">
        <v>44</v>
      </c>
      <c r="U791" s="65" t="s">
        <v>45</v>
      </c>
      <c r="V791" s="65" t="s">
        <v>46</v>
      </c>
      <c r="W791" s="65">
        <v>135.59</v>
      </c>
      <c r="X791" s="65" t="s">
        <v>47</v>
      </c>
      <c r="Y791" s="65" t="s">
        <v>48</v>
      </c>
      <c r="Z791" s="65" t="s">
        <v>49</v>
      </c>
      <c r="AA791" s="65">
        <v>945093839</v>
      </c>
      <c r="AB791" s="65" t="s">
        <v>2295</v>
      </c>
    </row>
    <row r="792" spans="1:28" x14ac:dyDescent="0.3">
      <c r="A792" s="1">
        <v>46298</v>
      </c>
      <c r="B792" s="65" t="s">
        <v>4728</v>
      </c>
      <c r="C792" s="65" t="s">
        <v>29</v>
      </c>
      <c r="D792" s="65" t="s">
        <v>4729</v>
      </c>
      <c r="E792" s="65" t="s">
        <v>31</v>
      </c>
      <c r="F792" s="65" t="s">
        <v>4730</v>
      </c>
      <c r="G792" s="65" t="s">
        <v>4731</v>
      </c>
      <c r="H792" s="65" t="s">
        <v>4732</v>
      </c>
      <c r="I792" s="65" t="s">
        <v>2291</v>
      </c>
      <c r="J792" s="65" t="s">
        <v>1542</v>
      </c>
      <c r="K792" s="65" t="s">
        <v>37</v>
      </c>
      <c r="L792" s="65" t="s">
        <v>4733</v>
      </c>
      <c r="M792" s="65" t="s">
        <v>4734</v>
      </c>
      <c r="N792" s="65" t="s">
        <v>4731</v>
      </c>
      <c r="O792" s="65" t="s">
        <v>4735</v>
      </c>
      <c r="P792" s="65" t="s">
        <v>202</v>
      </c>
      <c r="Q792" s="65">
        <v>1</v>
      </c>
      <c r="R792" s="65" t="s">
        <v>42</v>
      </c>
      <c r="S792" s="65" t="s">
        <v>44</v>
      </c>
      <c r="T792" s="65" t="s">
        <v>44</v>
      </c>
      <c r="U792" s="65" t="s">
        <v>45</v>
      </c>
      <c r="V792" s="65" t="s">
        <v>46</v>
      </c>
      <c r="W792" s="65">
        <v>152.54</v>
      </c>
      <c r="X792" s="65" t="s">
        <v>47</v>
      </c>
      <c r="Y792" s="65" t="s">
        <v>48</v>
      </c>
      <c r="Z792" s="65" t="s">
        <v>49</v>
      </c>
      <c r="AA792" s="65">
        <v>945093839</v>
      </c>
      <c r="AB792" s="65" t="s">
        <v>2295</v>
      </c>
    </row>
    <row r="793" spans="1:28" x14ac:dyDescent="0.3">
      <c r="A793" s="1">
        <v>46298</v>
      </c>
      <c r="B793" s="65" t="s">
        <v>4736</v>
      </c>
      <c r="C793" s="65" t="s">
        <v>29</v>
      </c>
      <c r="D793" s="65" t="s">
        <v>4737</v>
      </c>
      <c r="E793" s="65" t="s">
        <v>31</v>
      </c>
      <c r="F793" s="65" t="s">
        <v>4738</v>
      </c>
      <c r="G793" s="65" t="s">
        <v>4739</v>
      </c>
      <c r="H793" s="65" t="s">
        <v>4740</v>
      </c>
      <c r="I793" s="65" t="s">
        <v>434</v>
      </c>
      <c r="J793" s="65" t="s">
        <v>435</v>
      </c>
      <c r="K793" s="65" t="s">
        <v>37</v>
      </c>
      <c r="L793" s="65" t="s">
        <v>4741</v>
      </c>
      <c r="M793" s="65" t="s">
        <v>4742</v>
      </c>
      <c r="N793" s="65" t="s">
        <v>4739</v>
      </c>
      <c r="O793" s="65" t="s">
        <v>4743</v>
      </c>
      <c r="P793" s="65" t="s">
        <v>202</v>
      </c>
      <c r="Q793" s="65">
        <v>1</v>
      </c>
      <c r="R793" s="65" t="s">
        <v>42</v>
      </c>
      <c r="S793" s="65" t="s">
        <v>44</v>
      </c>
      <c r="T793" s="65" t="s">
        <v>44</v>
      </c>
      <c r="U793" s="65" t="s">
        <v>45</v>
      </c>
      <c r="V793" s="65" t="s">
        <v>46</v>
      </c>
      <c r="W793" s="65">
        <v>135.59</v>
      </c>
      <c r="X793" s="65" t="s">
        <v>47</v>
      </c>
      <c r="Y793" s="65" t="s">
        <v>48</v>
      </c>
      <c r="Z793" s="65" t="s">
        <v>49</v>
      </c>
      <c r="AA793" s="65">
        <v>992903716</v>
      </c>
      <c r="AB793" s="65" t="s">
        <v>439</v>
      </c>
    </row>
    <row r="794" spans="1:28" x14ac:dyDescent="0.3">
      <c r="A794" s="1">
        <v>46298</v>
      </c>
      <c r="B794" s="65" t="s">
        <v>4744</v>
      </c>
      <c r="C794" s="65" t="s">
        <v>29</v>
      </c>
      <c r="D794" s="65" t="s">
        <v>4745</v>
      </c>
      <c r="E794" s="65" t="s">
        <v>31</v>
      </c>
      <c r="F794" s="65" t="s">
        <v>4746</v>
      </c>
      <c r="G794" s="65" t="s">
        <v>4747</v>
      </c>
      <c r="H794" s="65" t="s">
        <v>4748</v>
      </c>
      <c r="I794" s="65" t="s">
        <v>477</v>
      </c>
      <c r="J794" s="65" t="s">
        <v>209</v>
      </c>
      <c r="K794" s="65" t="s">
        <v>37</v>
      </c>
      <c r="L794" s="65" t="s">
        <v>4749</v>
      </c>
      <c r="M794" s="65" t="s">
        <v>4750</v>
      </c>
      <c r="N794" s="65" t="s">
        <v>4747</v>
      </c>
      <c r="O794" s="65" t="s">
        <v>4751</v>
      </c>
      <c r="P794" s="65" t="s">
        <v>41</v>
      </c>
      <c r="Q794" s="65">
        <v>1</v>
      </c>
      <c r="R794" s="65" t="s">
        <v>42</v>
      </c>
      <c r="S794" s="65" t="s">
        <v>44</v>
      </c>
      <c r="T794" s="65" t="s">
        <v>44</v>
      </c>
      <c r="U794" s="65" t="s">
        <v>45</v>
      </c>
      <c r="V794" s="65" t="s">
        <v>46</v>
      </c>
      <c r="W794" s="65">
        <v>186.44</v>
      </c>
      <c r="X794" s="65" t="s">
        <v>47</v>
      </c>
      <c r="Y794" s="65" t="s">
        <v>48</v>
      </c>
      <c r="Z794" s="65" t="s">
        <v>49</v>
      </c>
      <c r="AA794" s="65">
        <v>982536223</v>
      </c>
      <c r="AB794" s="65" t="s">
        <v>482</v>
      </c>
    </row>
    <row r="795" spans="1:28" x14ac:dyDescent="0.3">
      <c r="A795" s="1">
        <v>46298</v>
      </c>
      <c r="B795" s="65" t="s">
        <v>4752</v>
      </c>
      <c r="C795" s="65" t="s">
        <v>29</v>
      </c>
      <c r="D795" s="65" t="s">
        <v>4753</v>
      </c>
      <c r="E795" s="65" t="s">
        <v>31</v>
      </c>
      <c r="F795" s="65" t="s">
        <v>4754</v>
      </c>
      <c r="G795" s="65" t="s">
        <v>4755</v>
      </c>
      <c r="H795" s="65" t="s">
        <v>4756</v>
      </c>
      <c r="I795" s="65" t="s">
        <v>715</v>
      </c>
      <c r="J795" s="65" t="s">
        <v>716</v>
      </c>
      <c r="K795" s="65" t="s">
        <v>37</v>
      </c>
      <c r="L795" s="65" t="s">
        <v>4757</v>
      </c>
      <c r="M795" s="65" t="s">
        <v>4758</v>
      </c>
      <c r="N795" s="65" t="s">
        <v>4755</v>
      </c>
      <c r="O795" s="65" t="s">
        <v>4759</v>
      </c>
      <c r="P795" s="65" t="s">
        <v>2017</v>
      </c>
      <c r="Q795" s="65">
        <v>1</v>
      </c>
      <c r="R795" s="65" t="s">
        <v>42</v>
      </c>
      <c r="S795" s="65" t="s">
        <v>44</v>
      </c>
      <c r="T795" s="65" t="s">
        <v>44</v>
      </c>
      <c r="U795" s="65" t="s">
        <v>531</v>
      </c>
      <c r="V795" s="65" t="s">
        <v>4049</v>
      </c>
      <c r="W795" s="65">
        <v>135.59</v>
      </c>
      <c r="X795" s="65" t="s">
        <v>2018</v>
      </c>
      <c r="Y795" s="65" t="s">
        <v>48</v>
      </c>
      <c r="Z795" s="65" t="s">
        <v>534</v>
      </c>
      <c r="AA795" s="65">
        <v>955356636</v>
      </c>
      <c r="AB795" s="65" t="s">
        <v>720</v>
      </c>
    </row>
    <row r="796" spans="1:28" x14ac:dyDescent="0.3">
      <c r="A796" s="1">
        <v>46298</v>
      </c>
      <c r="B796" s="65" t="s">
        <v>4760</v>
      </c>
      <c r="C796" s="65" t="s">
        <v>29</v>
      </c>
      <c r="D796" s="65" t="s">
        <v>4761</v>
      </c>
      <c r="E796" s="65" t="s">
        <v>31</v>
      </c>
      <c r="F796" s="65" t="s">
        <v>4762</v>
      </c>
      <c r="G796" s="65" t="s">
        <v>4763</v>
      </c>
      <c r="H796" s="65" t="s">
        <v>4764</v>
      </c>
      <c r="I796" s="65" t="s">
        <v>1322</v>
      </c>
      <c r="J796" s="65" t="s">
        <v>36</v>
      </c>
      <c r="K796" s="65" t="s">
        <v>37</v>
      </c>
      <c r="L796" s="65" t="s">
        <v>4765</v>
      </c>
      <c r="M796" s="65" t="s">
        <v>4766</v>
      </c>
      <c r="N796" s="65" t="s">
        <v>4763</v>
      </c>
      <c r="O796" s="65" t="s">
        <v>4767</v>
      </c>
      <c r="P796" s="65" t="s">
        <v>90</v>
      </c>
      <c r="Q796" s="65">
        <v>1</v>
      </c>
      <c r="R796" s="65" t="s">
        <v>70</v>
      </c>
      <c r="S796" s="65" t="s">
        <v>43</v>
      </c>
      <c r="T796" s="65" t="s">
        <v>44</v>
      </c>
      <c r="U796" s="65" t="s">
        <v>71</v>
      </c>
      <c r="V796" s="65" t="s">
        <v>72</v>
      </c>
      <c r="W796" s="65">
        <v>135.59</v>
      </c>
      <c r="X796" s="65" t="s">
        <v>47</v>
      </c>
      <c r="Y796" s="65" t="s">
        <v>48</v>
      </c>
      <c r="Z796" s="65" t="s">
        <v>73</v>
      </c>
      <c r="AA796" s="65">
        <v>999111362</v>
      </c>
      <c r="AB796" s="65" t="s">
        <v>1326</v>
      </c>
    </row>
    <row r="797" spans="1:28" x14ac:dyDescent="0.3">
      <c r="A797" s="1">
        <v>46298</v>
      </c>
      <c r="B797" s="65" t="s">
        <v>4768</v>
      </c>
      <c r="C797" s="65" t="s">
        <v>29</v>
      </c>
      <c r="D797" s="65" t="s">
        <v>4769</v>
      </c>
      <c r="E797" s="65" t="s">
        <v>31</v>
      </c>
      <c r="F797" s="65" t="s">
        <v>4770</v>
      </c>
      <c r="G797" s="65" t="s">
        <v>4771</v>
      </c>
      <c r="H797" s="65" t="s">
        <v>4772</v>
      </c>
      <c r="I797" s="65" t="s">
        <v>4680</v>
      </c>
      <c r="J797" s="65" t="s">
        <v>1864</v>
      </c>
      <c r="K797" s="65" t="s">
        <v>37</v>
      </c>
      <c r="L797" s="65" t="s">
        <v>4773</v>
      </c>
      <c r="M797" s="65" t="s">
        <v>4774</v>
      </c>
      <c r="N797" s="65" t="s">
        <v>4771</v>
      </c>
      <c r="O797" s="65" t="s">
        <v>4775</v>
      </c>
      <c r="P797" s="65" t="s">
        <v>59</v>
      </c>
      <c r="Q797" s="65">
        <v>1</v>
      </c>
      <c r="R797" s="65" t="s">
        <v>42</v>
      </c>
      <c r="S797" s="65" t="s">
        <v>44</v>
      </c>
      <c r="T797" s="65" t="s">
        <v>44</v>
      </c>
      <c r="U797" s="65" t="s">
        <v>45</v>
      </c>
      <c r="V797" s="65" t="s">
        <v>46</v>
      </c>
      <c r="W797" s="65">
        <v>101.69</v>
      </c>
      <c r="X797" s="65" t="s">
        <v>61</v>
      </c>
      <c r="Y797" s="65" t="s">
        <v>48</v>
      </c>
      <c r="Z797" s="65" t="s">
        <v>49</v>
      </c>
      <c r="AA797" s="65">
        <v>901918745</v>
      </c>
      <c r="AB797" s="65"/>
    </row>
    <row r="798" spans="1:28" x14ac:dyDescent="0.3">
      <c r="A798" s="1">
        <v>46300</v>
      </c>
      <c r="B798" s="65" t="s">
        <v>4776</v>
      </c>
      <c r="C798" s="65" t="s">
        <v>29</v>
      </c>
      <c r="D798" s="65" t="s">
        <v>4777</v>
      </c>
      <c r="E798" s="65" t="s">
        <v>31</v>
      </c>
      <c r="F798" s="65" t="s">
        <v>4778</v>
      </c>
      <c r="G798" s="65" t="s">
        <v>4779</v>
      </c>
      <c r="H798" s="65" t="s">
        <v>4780</v>
      </c>
      <c r="I798" s="65" t="s">
        <v>662</v>
      </c>
      <c r="J798" s="65" t="s">
        <v>36</v>
      </c>
      <c r="K798" s="65" t="s">
        <v>37</v>
      </c>
      <c r="L798" s="65" t="s">
        <v>4781</v>
      </c>
      <c r="M798" s="65" t="s">
        <v>4782</v>
      </c>
      <c r="N798" s="65" t="s">
        <v>4779</v>
      </c>
      <c r="O798" s="65" t="s">
        <v>4783</v>
      </c>
      <c r="P798" s="65" t="s">
        <v>159</v>
      </c>
      <c r="Q798" s="65">
        <v>1</v>
      </c>
      <c r="R798" s="65" t="s">
        <v>42</v>
      </c>
      <c r="S798" s="65" t="s">
        <v>44</v>
      </c>
      <c r="T798" s="65" t="s">
        <v>44</v>
      </c>
      <c r="U798" s="65" t="s">
        <v>45</v>
      </c>
      <c r="V798" s="65" t="s">
        <v>46</v>
      </c>
      <c r="W798" s="65">
        <v>135.59</v>
      </c>
      <c r="X798" s="65" t="s">
        <v>47</v>
      </c>
      <c r="Y798" s="65" t="s">
        <v>48</v>
      </c>
      <c r="Z798" s="65" t="s">
        <v>49</v>
      </c>
      <c r="AA798" s="65">
        <v>997145685</v>
      </c>
      <c r="AB798" s="65" t="s">
        <v>666</v>
      </c>
    </row>
    <row r="799" spans="1:28" x14ac:dyDescent="0.3">
      <c r="A799" s="1">
        <v>46300</v>
      </c>
      <c r="B799" s="65" t="s">
        <v>4784</v>
      </c>
      <c r="C799" s="65" t="s">
        <v>29</v>
      </c>
      <c r="D799" s="65" t="s">
        <v>4785</v>
      </c>
      <c r="E799" s="65" t="s">
        <v>31</v>
      </c>
      <c r="F799" s="65" t="s">
        <v>4786</v>
      </c>
      <c r="G799" s="65" t="s">
        <v>4787</v>
      </c>
      <c r="H799" s="65" t="s">
        <v>4788</v>
      </c>
      <c r="I799" s="65" t="s">
        <v>3165</v>
      </c>
      <c r="J799" s="65" t="s">
        <v>2558</v>
      </c>
      <c r="K799" s="65" t="s">
        <v>37</v>
      </c>
      <c r="L799" s="65" t="s">
        <v>4789</v>
      </c>
      <c r="M799" s="65" t="s">
        <v>4790</v>
      </c>
      <c r="N799" s="65" t="s">
        <v>4787</v>
      </c>
      <c r="O799" s="65" t="s">
        <v>4791</v>
      </c>
      <c r="P799" s="65" t="s">
        <v>201</v>
      </c>
      <c r="Q799" s="65">
        <v>1</v>
      </c>
      <c r="R799" s="65" t="s">
        <v>42</v>
      </c>
      <c r="S799" s="65" t="s">
        <v>44</v>
      </c>
      <c r="T799" s="65" t="s">
        <v>44</v>
      </c>
      <c r="U799" s="65" t="s">
        <v>45</v>
      </c>
      <c r="V799" s="65" t="s">
        <v>46</v>
      </c>
      <c r="W799" s="65">
        <v>152.54</v>
      </c>
      <c r="X799" s="65" t="s">
        <v>47</v>
      </c>
      <c r="Y799" s="65" t="s">
        <v>48</v>
      </c>
      <c r="Z799" s="65" t="s">
        <v>49</v>
      </c>
      <c r="AA799" s="65">
        <v>941411075</v>
      </c>
      <c r="AB799" s="65" t="s">
        <v>3166</v>
      </c>
    </row>
    <row r="800" spans="1:28" x14ac:dyDescent="0.3">
      <c r="A800" s="1">
        <v>46300</v>
      </c>
      <c r="B800" s="65" t="s">
        <v>4792</v>
      </c>
      <c r="C800" s="65" t="s">
        <v>29</v>
      </c>
      <c r="D800" s="65" t="s">
        <v>4793</v>
      </c>
      <c r="E800" s="65" t="s">
        <v>31</v>
      </c>
      <c r="F800" s="65" t="s">
        <v>4794</v>
      </c>
      <c r="G800" s="65" t="s">
        <v>4795</v>
      </c>
      <c r="H800" s="65" t="s">
        <v>4796</v>
      </c>
      <c r="I800" s="65" t="s">
        <v>662</v>
      </c>
      <c r="J800" s="65" t="s">
        <v>36</v>
      </c>
      <c r="K800" s="65" t="s">
        <v>37</v>
      </c>
      <c r="L800" s="65" t="s">
        <v>4797</v>
      </c>
      <c r="M800" s="65" t="s">
        <v>4798</v>
      </c>
      <c r="N800" s="65" t="s">
        <v>4795</v>
      </c>
      <c r="O800" s="65" t="s">
        <v>4799</v>
      </c>
      <c r="P800" s="65" t="s">
        <v>159</v>
      </c>
      <c r="Q800" s="65">
        <v>1</v>
      </c>
      <c r="R800" s="65" t="s">
        <v>42</v>
      </c>
      <c r="S800" s="65" t="s">
        <v>44</v>
      </c>
      <c r="T800" s="65" t="s">
        <v>44</v>
      </c>
      <c r="U800" s="65" t="s">
        <v>45</v>
      </c>
      <c r="V800" s="65" t="s">
        <v>46</v>
      </c>
      <c r="W800" s="65">
        <v>135.59</v>
      </c>
      <c r="X800" s="65" t="s">
        <v>47</v>
      </c>
      <c r="Y800" s="65" t="s">
        <v>48</v>
      </c>
      <c r="Z800" s="65" t="s">
        <v>49</v>
      </c>
      <c r="AA800" s="65">
        <v>997145685</v>
      </c>
      <c r="AB800" s="65" t="s">
        <v>666</v>
      </c>
    </row>
    <row r="801" spans="1:28" x14ac:dyDescent="0.3">
      <c r="A801" s="1">
        <v>46300</v>
      </c>
      <c r="B801" s="65" t="s">
        <v>4800</v>
      </c>
      <c r="C801" s="65" t="s">
        <v>29</v>
      </c>
      <c r="D801" s="65" t="s">
        <v>4801</v>
      </c>
      <c r="E801" s="65" t="s">
        <v>31</v>
      </c>
      <c r="F801" s="65" t="s">
        <v>4802</v>
      </c>
      <c r="G801" s="65" t="s">
        <v>4803</v>
      </c>
      <c r="H801" s="65" t="s">
        <v>4804</v>
      </c>
      <c r="I801" s="65" t="s">
        <v>3322</v>
      </c>
      <c r="J801" s="65" t="s">
        <v>209</v>
      </c>
      <c r="K801" s="65" t="s">
        <v>37</v>
      </c>
      <c r="L801" s="65" t="s">
        <v>4805</v>
      </c>
      <c r="M801" s="65" t="s">
        <v>4806</v>
      </c>
      <c r="N801" s="65" t="s">
        <v>4803</v>
      </c>
      <c r="O801" s="65" t="s">
        <v>4807</v>
      </c>
      <c r="P801" s="65" t="s">
        <v>202</v>
      </c>
      <c r="Q801" s="65">
        <v>1</v>
      </c>
      <c r="R801" s="65" t="s">
        <v>42</v>
      </c>
      <c r="S801" s="65" t="s">
        <v>44</v>
      </c>
      <c r="T801" s="65" t="s">
        <v>44</v>
      </c>
      <c r="U801" s="65" t="s">
        <v>45</v>
      </c>
      <c r="V801" s="65" t="s">
        <v>46</v>
      </c>
      <c r="W801" s="65">
        <v>135.59</v>
      </c>
      <c r="X801" s="65" t="s">
        <v>47</v>
      </c>
      <c r="Y801" s="65" t="s">
        <v>48</v>
      </c>
      <c r="Z801" s="65" t="s">
        <v>49</v>
      </c>
      <c r="AA801" s="65">
        <v>995560200</v>
      </c>
      <c r="AB801" s="65" t="s">
        <v>3323</v>
      </c>
    </row>
    <row r="802" spans="1:28" x14ac:dyDescent="0.3">
      <c r="A802" s="1">
        <v>46300</v>
      </c>
      <c r="B802" s="65" t="s">
        <v>5003</v>
      </c>
      <c r="C802" s="65" t="s">
        <v>29</v>
      </c>
      <c r="D802" s="65" t="s">
        <v>5004</v>
      </c>
      <c r="E802" s="65" t="s">
        <v>31</v>
      </c>
      <c r="F802" s="65" t="s">
        <v>5005</v>
      </c>
      <c r="G802" s="65" t="s">
        <v>5006</v>
      </c>
      <c r="H802" s="65" t="s">
        <v>5007</v>
      </c>
      <c r="I802" s="65" t="s">
        <v>774</v>
      </c>
      <c r="J802" s="65" t="s">
        <v>775</v>
      </c>
      <c r="K802" s="65" t="s">
        <v>37</v>
      </c>
      <c r="L802" s="65" t="s">
        <v>5008</v>
      </c>
      <c r="M802" s="65" t="s">
        <v>5009</v>
      </c>
      <c r="N802" s="65" t="s">
        <v>5006</v>
      </c>
      <c r="O802" s="65" t="s">
        <v>5010</v>
      </c>
      <c r="P802" s="65" t="s">
        <v>159</v>
      </c>
      <c r="Q802" s="65">
        <v>1</v>
      </c>
      <c r="R802" s="65" t="s">
        <v>42</v>
      </c>
      <c r="S802" s="65" t="s">
        <v>44</v>
      </c>
      <c r="T802" s="65" t="s">
        <v>44</v>
      </c>
      <c r="U802" s="65" t="s">
        <v>71</v>
      </c>
      <c r="V802" s="65" t="s">
        <v>184</v>
      </c>
      <c r="W802" s="65">
        <v>135.59</v>
      </c>
      <c r="X802" s="65" t="s">
        <v>47</v>
      </c>
      <c r="Y802" s="65" t="s">
        <v>48</v>
      </c>
      <c r="Z802" s="65" t="s">
        <v>73</v>
      </c>
      <c r="AA802" s="65"/>
      <c r="AB802" s="65"/>
    </row>
    <row r="803" spans="1:28" x14ac:dyDescent="0.3">
      <c r="A803" s="1">
        <v>46300</v>
      </c>
      <c r="B803" s="65" t="s">
        <v>4808</v>
      </c>
      <c r="C803" s="65" t="s">
        <v>29</v>
      </c>
      <c r="D803" s="65" t="s">
        <v>4809</v>
      </c>
      <c r="E803" s="65" t="s">
        <v>31</v>
      </c>
      <c r="F803" s="65" t="s">
        <v>4810</v>
      </c>
      <c r="G803" s="65" t="s">
        <v>4811</v>
      </c>
      <c r="H803" s="65" t="s">
        <v>4812</v>
      </c>
      <c r="I803" s="65" t="s">
        <v>136</v>
      </c>
      <c r="J803" s="65" t="s">
        <v>137</v>
      </c>
      <c r="K803" s="65" t="s">
        <v>37</v>
      </c>
      <c r="L803" s="65" t="s">
        <v>4813</v>
      </c>
      <c r="M803" s="65" t="s">
        <v>4814</v>
      </c>
      <c r="N803" s="65" t="s">
        <v>4811</v>
      </c>
      <c r="O803" s="65" t="s">
        <v>4815</v>
      </c>
      <c r="P803" s="65" t="s">
        <v>41</v>
      </c>
      <c r="Q803" s="65">
        <v>1</v>
      </c>
      <c r="R803" s="65" t="s">
        <v>70</v>
      </c>
      <c r="S803" s="65" t="s">
        <v>43</v>
      </c>
      <c r="T803" s="65" t="s">
        <v>44</v>
      </c>
      <c r="U803" s="65" t="s">
        <v>71</v>
      </c>
      <c r="V803" s="65" t="s">
        <v>72</v>
      </c>
      <c r="W803" s="65">
        <v>186.44</v>
      </c>
      <c r="X803" s="65" t="s">
        <v>47</v>
      </c>
      <c r="Y803" s="65" t="s">
        <v>48</v>
      </c>
      <c r="Z803" s="65" t="s">
        <v>73</v>
      </c>
      <c r="AA803" s="65">
        <v>987407712</v>
      </c>
      <c r="AB803" s="65" t="s">
        <v>141</v>
      </c>
    </row>
    <row r="804" spans="1:28" x14ac:dyDescent="0.3">
      <c r="A804" s="1">
        <v>46300</v>
      </c>
      <c r="B804" s="65" t="s">
        <v>4816</v>
      </c>
      <c r="C804" s="65" t="s">
        <v>399</v>
      </c>
      <c r="D804" s="65" t="s">
        <v>4809</v>
      </c>
      <c r="E804" s="65" t="s">
        <v>400</v>
      </c>
      <c r="F804" s="65" t="s">
        <v>4817</v>
      </c>
      <c r="G804" s="65" t="s">
        <v>4811</v>
      </c>
      <c r="H804" s="65" t="s">
        <v>4812</v>
      </c>
      <c r="I804" s="65" t="s">
        <v>136</v>
      </c>
      <c r="J804" s="65" t="s">
        <v>137</v>
      </c>
      <c r="K804" s="65" t="s">
        <v>400</v>
      </c>
      <c r="L804" s="65" t="s">
        <v>4813</v>
      </c>
      <c r="M804" s="65" t="s">
        <v>4814</v>
      </c>
      <c r="N804" s="65" t="s">
        <v>4811</v>
      </c>
      <c r="O804" s="65" t="s">
        <v>4815</v>
      </c>
      <c r="P804" s="65" t="s">
        <v>41</v>
      </c>
      <c r="Q804" s="65">
        <v>1</v>
      </c>
      <c r="R804" s="65" t="s">
        <v>70</v>
      </c>
      <c r="S804" s="65" t="s">
        <v>43</v>
      </c>
      <c r="T804" s="65" t="s">
        <v>44</v>
      </c>
      <c r="U804" s="65" t="s">
        <v>71</v>
      </c>
      <c r="V804" s="65" t="s">
        <v>72</v>
      </c>
      <c r="W804" s="65">
        <v>-186.44</v>
      </c>
      <c r="X804" s="65" t="s">
        <v>47</v>
      </c>
      <c r="Y804" s="65" t="s">
        <v>48</v>
      </c>
      <c r="Z804" s="65" t="s">
        <v>73</v>
      </c>
      <c r="AA804" s="65">
        <v>987407712</v>
      </c>
      <c r="AB804" s="65" t="s">
        <v>141</v>
      </c>
    </row>
    <row r="805" spans="1:28" x14ac:dyDescent="0.3">
      <c r="A805" s="1">
        <v>46301</v>
      </c>
      <c r="B805" s="65" t="s">
        <v>5011</v>
      </c>
      <c r="C805" s="65" t="s">
        <v>29</v>
      </c>
      <c r="D805" s="65" t="s">
        <v>5012</v>
      </c>
      <c r="E805" s="65" t="s">
        <v>31</v>
      </c>
      <c r="F805" s="65" t="s">
        <v>5013</v>
      </c>
      <c r="G805" s="65" t="s">
        <v>5014</v>
      </c>
      <c r="H805" s="65" t="s">
        <v>5015</v>
      </c>
      <c r="I805" s="65" t="s">
        <v>774</v>
      </c>
      <c r="J805" s="65" t="s">
        <v>775</v>
      </c>
      <c r="K805" s="65" t="s">
        <v>37</v>
      </c>
      <c r="L805" s="65" t="s">
        <v>5016</v>
      </c>
      <c r="M805" s="65" t="s">
        <v>5017</v>
      </c>
      <c r="N805" s="65" t="s">
        <v>5014</v>
      </c>
      <c r="O805" s="65" t="s">
        <v>5018</v>
      </c>
      <c r="P805" s="65" t="s">
        <v>159</v>
      </c>
      <c r="Q805" s="65">
        <v>1</v>
      </c>
      <c r="R805" s="65" t="s">
        <v>42</v>
      </c>
      <c r="S805" s="65" t="s">
        <v>44</v>
      </c>
      <c r="T805" s="65" t="s">
        <v>44</v>
      </c>
      <c r="U805" s="65" t="s">
        <v>45</v>
      </c>
      <c r="V805" s="65" t="s">
        <v>60</v>
      </c>
      <c r="W805" s="65">
        <v>135.59</v>
      </c>
      <c r="X805" s="65" t="s">
        <v>47</v>
      </c>
      <c r="Y805" s="65" t="s">
        <v>48</v>
      </c>
      <c r="Z805" s="65" t="s">
        <v>49</v>
      </c>
      <c r="AA805" s="65"/>
      <c r="AB805" s="65"/>
    </row>
    <row r="806" spans="1:28" x14ac:dyDescent="0.3">
      <c r="A806" s="1">
        <v>46302</v>
      </c>
      <c r="B806" s="65" t="s">
        <v>5019</v>
      </c>
      <c r="C806" s="65" t="s">
        <v>29</v>
      </c>
      <c r="D806" s="65" t="s">
        <v>5020</v>
      </c>
      <c r="E806" s="65" t="s">
        <v>31</v>
      </c>
      <c r="F806" s="65" t="s">
        <v>5021</v>
      </c>
      <c r="G806" s="65" t="s">
        <v>5022</v>
      </c>
      <c r="H806" s="65" t="s">
        <v>5023</v>
      </c>
      <c r="I806" s="65" t="s">
        <v>774</v>
      </c>
      <c r="J806" s="65" t="s">
        <v>775</v>
      </c>
      <c r="K806" s="65" t="s">
        <v>37</v>
      </c>
      <c r="L806" s="65" t="s">
        <v>5024</v>
      </c>
      <c r="M806" s="65" t="s">
        <v>5025</v>
      </c>
      <c r="N806" s="65" t="s">
        <v>5022</v>
      </c>
      <c r="O806" s="65" t="s">
        <v>5026</v>
      </c>
      <c r="P806" s="65" t="s">
        <v>159</v>
      </c>
      <c r="Q806" s="65">
        <v>1</v>
      </c>
      <c r="R806" s="65" t="s">
        <v>42</v>
      </c>
      <c r="S806" s="65" t="s">
        <v>44</v>
      </c>
      <c r="T806" s="65" t="s">
        <v>44</v>
      </c>
      <c r="U806" s="65" t="s">
        <v>71</v>
      </c>
      <c r="V806" s="65" t="s">
        <v>72</v>
      </c>
      <c r="W806" s="65">
        <v>135.59</v>
      </c>
      <c r="X806" s="65" t="s">
        <v>47</v>
      </c>
      <c r="Y806" s="65" t="s">
        <v>48</v>
      </c>
      <c r="Z806" s="65" t="s">
        <v>73</v>
      </c>
      <c r="AA806" s="65"/>
      <c r="AB806" s="65"/>
    </row>
    <row r="807" spans="1:28" x14ac:dyDescent="0.3">
      <c r="A807" s="1">
        <v>46302</v>
      </c>
      <c r="B807" s="65" t="s">
        <v>5027</v>
      </c>
      <c r="C807" s="65" t="s">
        <v>268</v>
      </c>
      <c r="D807" s="65" t="s">
        <v>5028</v>
      </c>
      <c r="E807" s="65" t="s">
        <v>31</v>
      </c>
      <c r="F807" s="65" t="s">
        <v>5029</v>
      </c>
      <c r="G807" s="65" t="s">
        <v>5030</v>
      </c>
      <c r="H807" s="65" t="s">
        <v>5031</v>
      </c>
      <c r="I807" s="65" t="s">
        <v>774</v>
      </c>
      <c r="J807" s="65" t="s">
        <v>775</v>
      </c>
      <c r="K807" s="65" t="s">
        <v>37</v>
      </c>
      <c r="L807" s="65" t="s">
        <v>5032</v>
      </c>
      <c r="M807" s="65" t="s">
        <v>5033</v>
      </c>
      <c r="N807" s="65" t="s">
        <v>5034</v>
      </c>
      <c r="O807" s="65" t="s">
        <v>5035</v>
      </c>
      <c r="P807" s="65" t="s">
        <v>202</v>
      </c>
      <c r="Q807" s="65">
        <v>1</v>
      </c>
      <c r="R807" s="65" t="s">
        <v>42</v>
      </c>
      <c r="S807" s="65" t="s">
        <v>44</v>
      </c>
      <c r="T807" s="65" t="s">
        <v>44</v>
      </c>
      <c r="U807" s="65" t="s">
        <v>531</v>
      </c>
      <c r="V807" s="65" t="s">
        <v>4049</v>
      </c>
      <c r="W807" s="65">
        <v>135.59</v>
      </c>
      <c r="X807" s="65" t="s">
        <v>47</v>
      </c>
      <c r="Y807" s="65" t="s">
        <v>48</v>
      </c>
      <c r="Z807" s="65" t="s">
        <v>534</v>
      </c>
      <c r="AA807" s="65"/>
      <c r="AB807" s="65"/>
    </row>
    <row r="808" spans="1:28" x14ac:dyDescent="0.3">
      <c r="A808" s="1">
        <v>46302</v>
      </c>
      <c r="B808" s="65" t="s">
        <v>5036</v>
      </c>
      <c r="C808" s="65" t="s">
        <v>29</v>
      </c>
      <c r="D808" s="65" t="s">
        <v>5037</v>
      </c>
      <c r="E808" s="65" t="s">
        <v>31</v>
      </c>
      <c r="F808" s="65" t="s">
        <v>5038</v>
      </c>
      <c r="G808" s="65" t="s">
        <v>5039</v>
      </c>
      <c r="H808" s="65" t="s">
        <v>5040</v>
      </c>
      <c r="I808" s="65" t="s">
        <v>774</v>
      </c>
      <c r="J808" s="65" t="s">
        <v>775</v>
      </c>
      <c r="K808" s="65" t="s">
        <v>37</v>
      </c>
      <c r="L808" s="65" t="s">
        <v>5041</v>
      </c>
      <c r="M808" s="65" t="s">
        <v>5042</v>
      </c>
      <c r="N808" s="65" t="s">
        <v>5039</v>
      </c>
      <c r="O808" s="65" t="s">
        <v>5043</v>
      </c>
      <c r="P808" s="65" t="s">
        <v>202</v>
      </c>
      <c r="Q808" s="65">
        <v>1</v>
      </c>
      <c r="R808" s="65" t="s">
        <v>42</v>
      </c>
      <c r="S808" s="65" t="s">
        <v>44</v>
      </c>
      <c r="T808" s="65" t="s">
        <v>44</v>
      </c>
      <c r="U808" s="65" t="s">
        <v>45</v>
      </c>
      <c r="V808" s="65" t="s">
        <v>46</v>
      </c>
      <c r="W808" s="65">
        <v>135.59</v>
      </c>
      <c r="X808" s="65" t="s">
        <v>47</v>
      </c>
      <c r="Y808" s="65" t="s">
        <v>48</v>
      </c>
      <c r="Z808" s="65" t="s">
        <v>49</v>
      </c>
      <c r="AA808" s="65"/>
      <c r="AB808" s="65"/>
    </row>
    <row r="809" spans="1:28" x14ac:dyDescent="0.3">
      <c r="A809" s="1">
        <v>46302</v>
      </c>
      <c r="B809" s="65" t="s">
        <v>4818</v>
      </c>
      <c r="C809" s="65" t="s">
        <v>29</v>
      </c>
      <c r="D809" s="65" t="s">
        <v>4819</v>
      </c>
      <c r="E809" s="65" t="s">
        <v>31</v>
      </c>
      <c r="F809" s="65" t="s">
        <v>4820</v>
      </c>
      <c r="G809" s="65" t="s">
        <v>4821</v>
      </c>
      <c r="H809" s="65" t="s">
        <v>4822</v>
      </c>
      <c r="I809" s="65" t="s">
        <v>2461</v>
      </c>
      <c r="J809" s="65" t="s">
        <v>1120</v>
      </c>
      <c r="K809" s="65" t="s">
        <v>37</v>
      </c>
      <c r="L809" s="65" t="s">
        <v>4823</v>
      </c>
      <c r="M809" s="65" t="s">
        <v>4824</v>
      </c>
      <c r="N809" s="65" t="s">
        <v>4821</v>
      </c>
      <c r="O809" s="65" t="s">
        <v>4825</v>
      </c>
      <c r="P809" s="65" t="s">
        <v>158</v>
      </c>
      <c r="Q809" s="65">
        <v>1</v>
      </c>
      <c r="R809" s="65" t="s">
        <v>42</v>
      </c>
      <c r="S809" s="65" t="s">
        <v>44</v>
      </c>
      <c r="T809" s="65" t="s">
        <v>44</v>
      </c>
      <c r="U809" s="65" t="s">
        <v>45</v>
      </c>
      <c r="V809" s="65" t="s">
        <v>60</v>
      </c>
      <c r="W809" s="65">
        <v>152.54</v>
      </c>
      <c r="X809" s="65" t="s">
        <v>47</v>
      </c>
      <c r="Y809" s="65" t="s">
        <v>48</v>
      </c>
      <c r="Z809" s="65" t="s">
        <v>49</v>
      </c>
      <c r="AA809" s="65">
        <v>992789956</v>
      </c>
      <c r="AB809" s="65" t="s">
        <v>2465</v>
      </c>
    </row>
    <row r="810" spans="1:28" x14ac:dyDescent="0.3">
      <c r="A810" s="1">
        <v>46302</v>
      </c>
      <c r="B810" s="65" t="s">
        <v>4818</v>
      </c>
      <c r="C810" s="65" t="s">
        <v>29</v>
      </c>
      <c r="D810" s="65" t="s">
        <v>4819</v>
      </c>
      <c r="E810" s="65" t="s">
        <v>31</v>
      </c>
      <c r="F810" s="65" t="s">
        <v>4820</v>
      </c>
      <c r="G810" s="65" t="s">
        <v>4821</v>
      </c>
      <c r="H810" s="65" t="s">
        <v>4822</v>
      </c>
      <c r="I810" s="65" t="s">
        <v>2461</v>
      </c>
      <c r="J810" s="65" t="s">
        <v>1120</v>
      </c>
      <c r="K810" s="65" t="s">
        <v>37</v>
      </c>
      <c r="L810" s="65" t="s">
        <v>4823</v>
      </c>
      <c r="M810" s="65" t="s">
        <v>4824</v>
      </c>
      <c r="N810" s="65" t="s">
        <v>4821</v>
      </c>
      <c r="O810" s="65" t="s">
        <v>4825</v>
      </c>
      <c r="P810" s="65" t="s">
        <v>158</v>
      </c>
      <c r="Q810" s="65">
        <v>1</v>
      </c>
      <c r="R810" s="65" t="s">
        <v>42</v>
      </c>
      <c r="S810" s="65" t="s">
        <v>44</v>
      </c>
      <c r="T810" s="65" t="s">
        <v>44</v>
      </c>
      <c r="U810" s="65" t="s">
        <v>45</v>
      </c>
      <c r="V810" s="65" t="s">
        <v>60</v>
      </c>
      <c r="W810" s="65">
        <v>186.44</v>
      </c>
      <c r="X810" s="65" t="s">
        <v>47</v>
      </c>
      <c r="Y810" s="65" t="s">
        <v>48</v>
      </c>
      <c r="Z810" s="65" t="s">
        <v>49</v>
      </c>
      <c r="AA810" s="65">
        <v>992789956</v>
      </c>
      <c r="AB810" s="65" t="s">
        <v>2465</v>
      </c>
    </row>
    <row r="811" spans="1:28" x14ac:dyDescent="0.3">
      <c r="A811" s="1">
        <v>46302</v>
      </c>
      <c r="B811" s="65" t="s">
        <v>4826</v>
      </c>
      <c r="C811" s="65" t="s">
        <v>29</v>
      </c>
      <c r="D811" s="65" t="s">
        <v>4827</v>
      </c>
      <c r="E811" s="65" t="s">
        <v>31</v>
      </c>
      <c r="F811" s="65" t="s">
        <v>4828</v>
      </c>
      <c r="G811" s="65" t="s">
        <v>4795</v>
      </c>
      <c r="H811" s="65" t="s">
        <v>4796</v>
      </c>
      <c r="I811" s="65" t="s">
        <v>662</v>
      </c>
      <c r="J811" s="65" t="s">
        <v>36</v>
      </c>
      <c r="K811" s="65" t="s">
        <v>37</v>
      </c>
      <c r="L811" s="65" t="s">
        <v>4797</v>
      </c>
      <c r="M811" s="65" t="s">
        <v>4798</v>
      </c>
      <c r="N811" s="65" t="s">
        <v>4795</v>
      </c>
      <c r="O811" s="65" t="s">
        <v>4829</v>
      </c>
      <c r="P811" s="65" t="s">
        <v>288</v>
      </c>
      <c r="Q811" s="65">
        <v>1</v>
      </c>
      <c r="R811" s="65" t="s">
        <v>42</v>
      </c>
      <c r="S811" s="65" t="s">
        <v>44</v>
      </c>
      <c r="T811" s="65" t="s">
        <v>44</v>
      </c>
      <c r="U811" s="65" t="s">
        <v>45</v>
      </c>
      <c r="V811" s="65" t="s">
        <v>46</v>
      </c>
      <c r="W811" s="65">
        <v>0</v>
      </c>
      <c r="X811" s="65" t="s">
        <v>289</v>
      </c>
      <c r="Y811" s="65" t="s">
        <v>48</v>
      </c>
      <c r="Z811" s="65" t="s">
        <v>49</v>
      </c>
      <c r="AA811" s="65">
        <v>997145685</v>
      </c>
      <c r="AB811" s="65" t="s">
        <v>666</v>
      </c>
    </row>
    <row r="812" spans="1:28" x14ac:dyDescent="0.3">
      <c r="A812" s="1">
        <v>46302</v>
      </c>
      <c r="B812" s="65" t="s">
        <v>4826</v>
      </c>
      <c r="C812" s="65" t="s">
        <v>29</v>
      </c>
      <c r="D812" s="65" t="s">
        <v>4827</v>
      </c>
      <c r="E812" s="65" t="s">
        <v>31</v>
      </c>
      <c r="F812" s="65" t="s">
        <v>4828</v>
      </c>
      <c r="G812" s="65" t="s">
        <v>4795</v>
      </c>
      <c r="H812" s="65" t="s">
        <v>4796</v>
      </c>
      <c r="I812" s="65" t="s">
        <v>662</v>
      </c>
      <c r="J812" s="65" t="s">
        <v>36</v>
      </c>
      <c r="K812" s="65" t="s">
        <v>37</v>
      </c>
      <c r="L812" s="65" t="s">
        <v>4797</v>
      </c>
      <c r="M812" s="65" t="s">
        <v>4798</v>
      </c>
      <c r="N812" s="65" t="s">
        <v>4795</v>
      </c>
      <c r="O812" s="65" t="s">
        <v>4829</v>
      </c>
      <c r="P812" s="65" t="s">
        <v>4830</v>
      </c>
      <c r="Q812" s="65">
        <v>1</v>
      </c>
      <c r="R812" s="65" t="s">
        <v>42</v>
      </c>
      <c r="S812" s="65" t="s">
        <v>44</v>
      </c>
      <c r="T812" s="65" t="s">
        <v>44</v>
      </c>
      <c r="U812" s="65" t="s">
        <v>45</v>
      </c>
      <c r="V812" s="65" t="s">
        <v>46</v>
      </c>
      <c r="W812" s="65">
        <v>800.85</v>
      </c>
      <c r="X812" s="65" t="s">
        <v>289</v>
      </c>
      <c r="Y812" s="65" t="s">
        <v>48</v>
      </c>
      <c r="Z812" s="65" t="s">
        <v>49</v>
      </c>
      <c r="AA812" s="65">
        <v>997145685</v>
      </c>
      <c r="AB812" s="65" t="s">
        <v>666</v>
      </c>
    </row>
    <row r="813" spans="1:28" x14ac:dyDescent="0.3">
      <c r="A813" s="1">
        <v>46302</v>
      </c>
      <c r="B813" s="65" t="s">
        <v>4831</v>
      </c>
      <c r="C813" s="65" t="s">
        <v>268</v>
      </c>
      <c r="D813" s="65" t="s">
        <v>4832</v>
      </c>
      <c r="E813" s="65" t="s">
        <v>31</v>
      </c>
      <c r="F813" s="65" t="s">
        <v>4833</v>
      </c>
      <c r="G813" s="65" t="s">
        <v>2591</v>
      </c>
      <c r="H813" s="65" t="s">
        <v>5044</v>
      </c>
      <c r="I813" s="65" t="s">
        <v>1108</v>
      </c>
      <c r="J813" s="65" t="s">
        <v>209</v>
      </c>
      <c r="K813" s="65" t="s">
        <v>37</v>
      </c>
      <c r="L813" s="65" t="s">
        <v>2593</v>
      </c>
      <c r="M813" s="65" t="s">
        <v>2594</v>
      </c>
      <c r="N813" s="65" t="s">
        <v>1111</v>
      </c>
      <c r="O813" s="65" t="s">
        <v>4834</v>
      </c>
      <c r="P813" s="65" t="s">
        <v>213</v>
      </c>
      <c r="Q813" s="65">
        <v>1</v>
      </c>
      <c r="R813" s="65" t="s">
        <v>42</v>
      </c>
      <c r="S813" s="65" t="s">
        <v>44</v>
      </c>
      <c r="T813" s="65" t="s">
        <v>44</v>
      </c>
      <c r="U813" s="65" t="s">
        <v>45</v>
      </c>
      <c r="V813" s="65" t="s">
        <v>46</v>
      </c>
      <c r="W813" s="65">
        <v>254.24</v>
      </c>
      <c r="X813" s="65" t="s">
        <v>61</v>
      </c>
      <c r="Y813" s="65" t="s">
        <v>48</v>
      </c>
      <c r="Z813" s="65" t="s">
        <v>49</v>
      </c>
      <c r="AA813" s="65">
        <v>970582106</v>
      </c>
      <c r="AB813" s="65" t="s">
        <v>1113</v>
      </c>
    </row>
    <row r="814" spans="1:28" x14ac:dyDescent="0.3">
      <c r="A814" s="1">
        <v>46302</v>
      </c>
      <c r="B814" s="65" t="s">
        <v>4835</v>
      </c>
      <c r="C814" s="65" t="s">
        <v>29</v>
      </c>
      <c r="D814" s="65" t="s">
        <v>4836</v>
      </c>
      <c r="E814" s="65" t="s">
        <v>31</v>
      </c>
      <c r="F814" s="65" t="s">
        <v>4837</v>
      </c>
      <c r="G814" s="65" t="s">
        <v>4838</v>
      </c>
      <c r="H814" s="65" t="s">
        <v>4839</v>
      </c>
      <c r="I814" s="65" t="s">
        <v>3030</v>
      </c>
      <c r="J814" s="65" t="s">
        <v>775</v>
      </c>
      <c r="K814" s="65" t="s">
        <v>37</v>
      </c>
      <c r="L814" s="65" t="s">
        <v>4840</v>
      </c>
      <c r="M814" s="65" t="s">
        <v>4841</v>
      </c>
      <c r="N814" s="65" t="s">
        <v>4838</v>
      </c>
      <c r="O814" s="65" t="s">
        <v>4842</v>
      </c>
      <c r="P814" s="65" t="s">
        <v>159</v>
      </c>
      <c r="Q814" s="65">
        <v>1</v>
      </c>
      <c r="R814" s="65" t="s">
        <v>42</v>
      </c>
      <c r="S814" s="65" t="s">
        <v>44</v>
      </c>
      <c r="T814" s="65" t="s">
        <v>44</v>
      </c>
      <c r="U814" s="65" t="s">
        <v>45</v>
      </c>
      <c r="V814" s="65" t="s">
        <v>60</v>
      </c>
      <c r="W814" s="65">
        <v>135.59</v>
      </c>
      <c r="X814" s="65" t="s">
        <v>47</v>
      </c>
      <c r="Y814" s="65" t="s">
        <v>48</v>
      </c>
      <c r="Z814" s="65" t="s">
        <v>49</v>
      </c>
      <c r="AA814" s="65">
        <v>937242809</v>
      </c>
      <c r="AB814" s="65" t="s">
        <v>3031</v>
      </c>
    </row>
    <row r="815" spans="1:28" x14ac:dyDescent="0.3">
      <c r="A815" s="1">
        <v>46302</v>
      </c>
      <c r="B815" s="65" t="s">
        <v>4835</v>
      </c>
      <c r="C815" s="65" t="s">
        <v>29</v>
      </c>
      <c r="D815" s="65" t="s">
        <v>4836</v>
      </c>
      <c r="E815" s="65" t="s">
        <v>31</v>
      </c>
      <c r="F815" s="65" t="s">
        <v>4837</v>
      </c>
      <c r="G815" s="65" t="s">
        <v>4838</v>
      </c>
      <c r="H815" s="65" t="s">
        <v>4839</v>
      </c>
      <c r="I815" s="65" t="s">
        <v>3030</v>
      </c>
      <c r="J815" s="65" t="s">
        <v>775</v>
      </c>
      <c r="K815" s="65" t="s">
        <v>37</v>
      </c>
      <c r="L815" s="65" t="s">
        <v>4840</v>
      </c>
      <c r="M815" s="65" t="s">
        <v>4841</v>
      </c>
      <c r="N815" s="65" t="s">
        <v>4838</v>
      </c>
      <c r="O815" s="65" t="s">
        <v>4842</v>
      </c>
      <c r="P815" s="65" t="s">
        <v>159</v>
      </c>
      <c r="Q815" s="65">
        <v>1</v>
      </c>
      <c r="R815" s="65" t="s">
        <v>42</v>
      </c>
      <c r="S815" s="65" t="s">
        <v>44</v>
      </c>
      <c r="T815" s="65" t="s">
        <v>44</v>
      </c>
      <c r="U815" s="65" t="s">
        <v>45</v>
      </c>
      <c r="V815" s="65" t="s">
        <v>60</v>
      </c>
      <c r="W815" s="65">
        <v>186.44</v>
      </c>
      <c r="X815" s="65" t="s">
        <v>47</v>
      </c>
      <c r="Y815" s="65" t="s">
        <v>48</v>
      </c>
      <c r="Z815" s="65" t="s">
        <v>49</v>
      </c>
      <c r="AA815" s="65">
        <v>937242809</v>
      </c>
      <c r="AB815" s="65" t="s">
        <v>3031</v>
      </c>
    </row>
    <row r="816" spans="1:28" x14ac:dyDescent="0.3">
      <c r="A816" s="1">
        <v>46302</v>
      </c>
      <c r="B816" s="65" t="s">
        <v>4843</v>
      </c>
      <c r="C816" s="65" t="s">
        <v>29</v>
      </c>
      <c r="D816" s="65" t="s">
        <v>4844</v>
      </c>
      <c r="E816" s="65" t="s">
        <v>31</v>
      </c>
      <c r="F816" s="65" t="s">
        <v>4845</v>
      </c>
      <c r="G816" s="65" t="s">
        <v>4846</v>
      </c>
      <c r="H816" s="65" t="s">
        <v>5044</v>
      </c>
      <c r="I816" s="65" t="s">
        <v>1108</v>
      </c>
      <c r="J816" s="65" t="s">
        <v>209</v>
      </c>
      <c r="K816" s="65" t="s">
        <v>37</v>
      </c>
      <c r="L816" s="65" t="s">
        <v>4847</v>
      </c>
      <c r="M816" s="65" t="s">
        <v>4848</v>
      </c>
      <c r="N816" s="65" t="s">
        <v>1111</v>
      </c>
      <c r="O816" s="65" t="s">
        <v>4849</v>
      </c>
      <c r="P816" s="65" t="s">
        <v>59</v>
      </c>
      <c r="Q816" s="65">
        <v>1</v>
      </c>
      <c r="R816" s="65" t="s">
        <v>42</v>
      </c>
      <c r="S816" s="65" t="s">
        <v>44</v>
      </c>
      <c r="T816" s="65" t="s">
        <v>44</v>
      </c>
      <c r="U816" s="65" t="s">
        <v>45</v>
      </c>
      <c r="V816" s="65" t="s">
        <v>46</v>
      </c>
      <c r="W816" s="65">
        <v>101.69</v>
      </c>
      <c r="X816" s="65" t="s">
        <v>61</v>
      </c>
      <c r="Y816" s="65" t="s">
        <v>48</v>
      </c>
      <c r="Z816" s="65" t="s">
        <v>49</v>
      </c>
      <c r="AA816" s="65">
        <v>970582106</v>
      </c>
      <c r="AB816" s="65" t="s">
        <v>1113</v>
      </c>
    </row>
    <row r="817" spans="1:28" x14ac:dyDescent="0.3">
      <c r="A817" s="1">
        <v>46302</v>
      </c>
      <c r="B817" s="65" t="s">
        <v>4850</v>
      </c>
      <c r="C817" s="65" t="s">
        <v>29</v>
      </c>
      <c r="D817" s="65" t="s">
        <v>4851</v>
      </c>
      <c r="E817" s="65" t="s">
        <v>31</v>
      </c>
      <c r="F817" s="65" t="s">
        <v>4852</v>
      </c>
      <c r="G817" s="65" t="s">
        <v>4853</v>
      </c>
      <c r="H817" s="65" t="s">
        <v>4854</v>
      </c>
      <c r="I817" s="65" t="s">
        <v>4855</v>
      </c>
      <c r="J817" s="65"/>
      <c r="K817" s="65" t="s">
        <v>37</v>
      </c>
      <c r="L817" s="65" t="s">
        <v>4856</v>
      </c>
      <c r="M817" s="65" t="s">
        <v>4857</v>
      </c>
      <c r="N817" s="65" t="s">
        <v>4853</v>
      </c>
      <c r="O817" s="65" t="s">
        <v>4858</v>
      </c>
      <c r="P817" s="65" t="s">
        <v>41</v>
      </c>
      <c r="Q817" s="65">
        <v>1</v>
      </c>
      <c r="R817" s="65" t="s">
        <v>42</v>
      </c>
      <c r="S817" s="65" t="s">
        <v>44</v>
      </c>
      <c r="T817" s="65" t="s">
        <v>44</v>
      </c>
      <c r="U817" s="65" t="s">
        <v>45</v>
      </c>
      <c r="V817" s="65" t="s">
        <v>60</v>
      </c>
      <c r="W817" s="65">
        <v>186.44</v>
      </c>
      <c r="X817" s="65" t="s">
        <v>47</v>
      </c>
      <c r="Y817" s="65" t="s">
        <v>48</v>
      </c>
      <c r="Z817" s="65" t="s">
        <v>49</v>
      </c>
      <c r="AA817" s="65"/>
      <c r="AB817" s="65"/>
    </row>
    <row r="818" spans="1:28" x14ac:dyDescent="0.3">
      <c r="A818" s="1">
        <v>46302</v>
      </c>
      <c r="B818" s="65" t="s">
        <v>4850</v>
      </c>
      <c r="C818" s="65" t="s">
        <v>29</v>
      </c>
      <c r="D818" s="65" t="s">
        <v>4851</v>
      </c>
      <c r="E818" s="65" t="s">
        <v>31</v>
      </c>
      <c r="F818" s="65" t="s">
        <v>4852</v>
      </c>
      <c r="G818" s="65" t="s">
        <v>4853</v>
      </c>
      <c r="H818" s="65" t="s">
        <v>4854</v>
      </c>
      <c r="I818" s="65" t="s">
        <v>4855</v>
      </c>
      <c r="J818" s="65"/>
      <c r="K818" s="65" t="s">
        <v>37</v>
      </c>
      <c r="L818" s="65" t="s">
        <v>4856</v>
      </c>
      <c r="M818" s="65" t="s">
        <v>4857</v>
      </c>
      <c r="N818" s="65" t="s">
        <v>4853</v>
      </c>
      <c r="O818" s="65" t="s">
        <v>4858</v>
      </c>
      <c r="P818" s="65" t="s">
        <v>41</v>
      </c>
      <c r="Q818" s="65">
        <v>1</v>
      </c>
      <c r="R818" s="65" t="s">
        <v>42</v>
      </c>
      <c r="S818" s="65" t="s">
        <v>44</v>
      </c>
      <c r="T818" s="65" t="s">
        <v>44</v>
      </c>
      <c r="U818" s="65" t="s">
        <v>45</v>
      </c>
      <c r="V818" s="65" t="s">
        <v>60</v>
      </c>
      <c r="W818" s="65">
        <v>186.44</v>
      </c>
      <c r="X818" s="65" t="s">
        <v>47</v>
      </c>
      <c r="Y818" s="65" t="s">
        <v>48</v>
      </c>
      <c r="Z818" s="65" t="s">
        <v>49</v>
      </c>
      <c r="AA818" s="65"/>
      <c r="AB818" s="65"/>
    </row>
    <row r="819" spans="1:28" x14ac:dyDescent="0.3">
      <c r="A819" s="1">
        <v>46302</v>
      </c>
      <c r="B819" s="65" t="s">
        <v>5045</v>
      </c>
      <c r="C819" s="65" t="s">
        <v>29</v>
      </c>
      <c r="D819" s="65" t="s">
        <v>5046</v>
      </c>
      <c r="E819" s="65" t="s">
        <v>31</v>
      </c>
      <c r="F819" s="65" t="s">
        <v>5047</v>
      </c>
      <c r="G819" s="65" t="s">
        <v>5048</v>
      </c>
      <c r="H819" s="65" t="s">
        <v>5049</v>
      </c>
      <c r="I819" s="65" t="s">
        <v>774</v>
      </c>
      <c r="J819" s="65" t="s">
        <v>775</v>
      </c>
      <c r="K819" s="65" t="s">
        <v>37</v>
      </c>
      <c r="L819" s="65" t="s">
        <v>5050</v>
      </c>
      <c r="M819" s="65" t="s">
        <v>5051</v>
      </c>
      <c r="N819" s="65" t="s">
        <v>5048</v>
      </c>
      <c r="O819" s="65" t="s">
        <v>5052</v>
      </c>
      <c r="P819" s="65" t="s">
        <v>202</v>
      </c>
      <c r="Q819" s="65">
        <v>1</v>
      </c>
      <c r="R819" s="65" t="s">
        <v>42</v>
      </c>
      <c r="S819" s="65" t="s">
        <v>44</v>
      </c>
      <c r="T819" s="65" t="s">
        <v>44</v>
      </c>
      <c r="U819" s="65" t="s">
        <v>45</v>
      </c>
      <c r="V819" s="65" t="s">
        <v>60</v>
      </c>
      <c r="W819" s="65">
        <v>135.59</v>
      </c>
      <c r="X819" s="65" t="s">
        <v>47</v>
      </c>
      <c r="Y819" s="65" t="s">
        <v>48</v>
      </c>
      <c r="Z819" s="65" t="s">
        <v>49</v>
      </c>
      <c r="AA819" s="65"/>
      <c r="AB819" s="65"/>
    </row>
    <row r="820" spans="1:28" x14ac:dyDescent="0.3">
      <c r="A820" s="1">
        <v>46302</v>
      </c>
      <c r="B820" s="65" t="s">
        <v>5053</v>
      </c>
      <c r="C820" s="65" t="s">
        <v>29</v>
      </c>
      <c r="D820" s="65" t="s">
        <v>5054</v>
      </c>
      <c r="E820" s="65" t="s">
        <v>31</v>
      </c>
      <c r="F820" s="65" t="s">
        <v>5055</v>
      </c>
      <c r="G820" s="65" t="s">
        <v>5056</v>
      </c>
      <c r="H820" s="65" t="s">
        <v>5057</v>
      </c>
      <c r="I820" s="65" t="s">
        <v>774</v>
      </c>
      <c r="J820" s="65" t="s">
        <v>775</v>
      </c>
      <c r="K820" s="65" t="s">
        <v>37</v>
      </c>
      <c r="L820" s="65" t="s">
        <v>5058</v>
      </c>
      <c r="M820" s="65" t="s">
        <v>5059</v>
      </c>
      <c r="N820" s="65" t="s">
        <v>5056</v>
      </c>
      <c r="O820" s="65" t="s">
        <v>5060</v>
      </c>
      <c r="P820" s="65" t="s">
        <v>158</v>
      </c>
      <c r="Q820" s="65">
        <v>1</v>
      </c>
      <c r="R820" s="65" t="s">
        <v>42</v>
      </c>
      <c r="S820" s="65" t="s">
        <v>44</v>
      </c>
      <c r="T820" s="65" t="s">
        <v>44</v>
      </c>
      <c r="U820" s="65" t="s">
        <v>71</v>
      </c>
      <c r="V820" s="65" t="s">
        <v>72</v>
      </c>
      <c r="W820" s="65">
        <v>135.59</v>
      </c>
      <c r="X820" s="65" t="s">
        <v>47</v>
      </c>
      <c r="Y820" s="65" t="s">
        <v>48</v>
      </c>
      <c r="Z820" s="65" t="s">
        <v>73</v>
      </c>
      <c r="AA820" s="65"/>
      <c r="AB820" s="65"/>
    </row>
    <row r="821" spans="1:28" x14ac:dyDescent="0.3">
      <c r="A821" s="1">
        <v>46302</v>
      </c>
      <c r="B821" s="65" t="s">
        <v>4859</v>
      </c>
      <c r="C821" s="65" t="s">
        <v>268</v>
      </c>
      <c r="D821" s="65" t="s">
        <v>4860</v>
      </c>
      <c r="E821" s="65" t="s">
        <v>31</v>
      </c>
      <c r="F821" s="65" t="s">
        <v>4861</v>
      </c>
      <c r="G821" s="65" t="s">
        <v>2647</v>
      </c>
      <c r="H821" s="65" t="s">
        <v>5061</v>
      </c>
      <c r="I821" s="65" t="s">
        <v>2795</v>
      </c>
      <c r="J821" s="65" t="s">
        <v>209</v>
      </c>
      <c r="K821" s="65" t="s">
        <v>37</v>
      </c>
      <c r="L821" s="65" t="s">
        <v>2649</v>
      </c>
      <c r="M821" s="65" t="s">
        <v>608</v>
      </c>
      <c r="N821" s="65" t="s">
        <v>1251</v>
      </c>
      <c r="O821" s="65" t="s">
        <v>4862</v>
      </c>
      <c r="P821" s="65" t="s">
        <v>288</v>
      </c>
      <c r="Q821" s="65">
        <v>1</v>
      </c>
      <c r="R821" s="65" t="s">
        <v>42</v>
      </c>
      <c r="S821" s="65" t="s">
        <v>44</v>
      </c>
      <c r="T821" s="65" t="s">
        <v>44</v>
      </c>
      <c r="U821" s="65" t="s">
        <v>45</v>
      </c>
      <c r="V821" s="65" t="s">
        <v>46</v>
      </c>
      <c r="W821" s="65">
        <v>0</v>
      </c>
      <c r="X821" s="65" t="s">
        <v>289</v>
      </c>
      <c r="Y821" s="65" t="s">
        <v>48</v>
      </c>
      <c r="Z821" s="65" t="s">
        <v>49</v>
      </c>
      <c r="AA821" s="65">
        <v>994872106</v>
      </c>
      <c r="AB821" s="65" t="s">
        <v>1253</v>
      </c>
    </row>
    <row r="822" spans="1:28" x14ac:dyDescent="0.3">
      <c r="A822" s="1">
        <v>46302</v>
      </c>
      <c r="B822" s="65" t="s">
        <v>4859</v>
      </c>
      <c r="C822" s="65" t="s">
        <v>268</v>
      </c>
      <c r="D822" s="65" t="s">
        <v>4860</v>
      </c>
      <c r="E822" s="65" t="s">
        <v>31</v>
      </c>
      <c r="F822" s="65" t="s">
        <v>4861</v>
      </c>
      <c r="G822" s="65" t="s">
        <v>2647</v>
      </c>
      <c r="H822" s="65" t="s">
        <v>5061</v>
      </c>
      <c r="I822" s="65" t="s">
        <v>2795</v>
      </c>
      <c r="J822" s="65" t="s">
        <v>209</v>
      </c>
      <c r="K822" s="65" t="s">
        <v>37</v>
      </c>
      <c r="L822" s="65" t="s">
        <v>2649</v>
      </c>
      <c r="M822" s="65" t="s">
        <v>608</v>
      </c>
      <c r="N822" s="65" t="s">
        <v>1251</v>
      </c>
      <c r="O822" s="65" t="s">
        <v>4862</v>
      </c>
      <c r="P822" s="65" t="s">
        <v>290</v>
      </c>
      <c r="Q822" s="65">
        <v>1</v>
      </c>
      <c r="R822" s="65" t="s">
        <v>42</v>
      </c>
      <c r="S822" s="65" t="s">
        <v>44</v>
      </c>
      <c r="T822" s="65" t="s">
        <v>44</v>
      </c>
      <c r="U822" s="65" t="s">
        <v>45</v>
      </c>
      <c r="V822" s="65" t="s">
        <v>46</v>
      </c>
      <c r="W822" s="65">
        <v>762.71</v>
      </c>
      <c r="X822" s="65" t="s">
        <v>289</v>
      </c>
      <c r="Y822" s="65" t="s">
        <v>48</v>
      </c>
      <c r="Z822" s="65" t="s">
        <v>49</v>
      </c>
      <c r="AA822" s="65">
        <v>994872106</v>
      </c>
      <c r="AB822" s="65" t="s">
        <v>1253</v>
      </c>
    </row>
    <row r="823" spans="1:28" x14ac:dyDescent="0.3">
      <c r="A823" s="1">
        <v>46302</v>
      </c>
      <c r="B823" s="65" t="s">
        <v>4863</v>
      </c>
      <c r="C823" s="65" t="s">
        <v>268</v>
      </c>
      <c r="D823" s="65" t="s">
        <v>4864</v>
      </c>
      <c r="E823" s="65" t="s">
        <v>31</v>
      </c>
      <c r="F823" s="65" t="s">
        <v>4865</v>
      </c>
      <c r="G823" s="65" t="s">
        <v>4866</v>
      </c>
      <c r="H823" s="65" t="s">
        <v>5061</v>
      </c>
      <c r="I823" s="65" t="s">
        <v>2795</v>
      </c>
      <c r="J823" s="65" t="s">
        <v>209</v>
      </c>
      <c r="K823" s="65" t="s">
        <v>37</v>
      </c>
      <c r="L823" s="65" t="s">
        <v>4867</v>
      </c>
      <c r="M823" s="65" t="s">
        <v>4002</v>
      </c>
      <c r="N823" s="65" t="s">
        <v>1251</v>
      </c>
      <c r="O823" s="65" t="s">
        <v>4868</v>
      </c>
      <c r="P823" s="65" t="s">
        <v>288</v>
      </c>
      <c r="Q823" s="65">
        <v>1</v>
      </c>
      <c r="R823" s="65" t="s">
        <v>42</v>
      </c>
      <c r="S823" s="65" t="s">
        <v>44</v>
      </c>
      <c r="T823" s="65" t="s">
        <v>44</v>
      </c>
      <c r="U823" s="65" t="s">
        <v>45</v>
      </c>
      <c r="V823" s="65" t="s">
        <v>46</v>
      </c>
      <c r="W823" s="65">
        <v>0</v>
      </c>
      <c r="X823" s="65" t="s">
        <v>289</v>
      </c>
      <c r="Y823" s="65" t="s">
        <v>48</v>
      </c>
      <c r="Z823" s="65" t="s">
        <v>49</v>
      </c>
      <c r="AA823" s="65">
        <v>994872106</v>
      </c>
      <c r="AB823" s="65" t="s">
        <v>1253</v>
      </c>
    </row>
    <row r="824" spans="1:28" x14ac:dyDescent="0.3">
      <c r="A824" s="1">
        <v>46302</v>
      </c>
      <c r="B824" s="65" t="s">
        <v>4863</v>
      </c>
      <c r="C824" s="65" t="s">
        <v>268</v>
      </c>
      <c r="D824" s="65" t="s">
        <v>4864</v>
      </c>
      <c r="E824" s="65" t="s">
        <v>31</v>
      </c>
      <c r="F824" s="65" t="s">
        <v>4865</v>
      </c>
      <c r="G824" s="65" t="s">
        <v>4866</v>
      </c>
      <c r="H824" s="65" t="s">
        <v>5061</v>
      </c>
      <c r="I824" s="65" t="s">
        <v>2795</v>
      </c>
      <c r="J824" s="65" t="s">
        <v>209</v>
      </c>
      <c r="K824" s="65" t="s">
        <v>37</v>
      </c>
      <c r="L824" s="65" t="s">
        <v>4867</v>
      </c>
      <c r="M824" s="65" t="s">
        <v>4002</v>
      </c>
      <c r="N824" s="65" t="s">
        <v>1251</v>
      </c>
      <c r="O824" s="65" t="s">
        <v>4868</v>
      </c>
      <c r="P824" s="65" t="s">
        <v>290</v>
      </c>
      <c r="Q824" s="65">
        <v>1</v>
      </c>
      <c r="R824" s="65" t="s">
        <v>42</v>
      </c>
      <c r="S824" s="65" t="s">
        <v>44</v>
      </c>
      <c r="T824" s="65" t="s">
        <v>44</v>
      </c>
      <c r="U824" s="65" t="s">
        <v>45</v>
      </c>
      <c r="V824" s="65" t="s">
        <v>46</v>
      </c>
      <c r="W824" s="65">
        <v>762.71</v>
      </c>
      <c r="X824" s="65" t="s">
        <v>289</v>
      </c>
      <c r="Y824" s="65" t="s">
        <v>48</v>
      </c>
      <c r="Z824" s="65" t="s">
        <v>49</v>
      </c>
      <c r="AA824" s="65">
        <v>994872106</v>
      </c>
      <c r="AB824" s="65" t="s">
        <v>1253</v>
      </c>
    </row>
    <row r="825" spans="1:28" x14ac:dyDescent="0.3">
      <c r="A825" s="1">
        <v>46302</v>
      </c>
      <c r="B825" s="65" t="s">
        <v>4869</v>
      </c>
      <c r="C825" s="65" t="s">
        <v>268</v>
      </c>
      <c r="D825" s="65" t="s">
        <v>4870</v>
      </c>
      <c r="E825" s="65" t="s">
        <v>31</v>
      </c>
      <c r="F825" s="65" t="s">
        <v>4871</v>
      </c>
      <c r="G825" s="65" t="s">
        <v>4872</v>
      </c>
      <c r="H825" s="65" t="s">
        <v>5061</v>
      </c>
      <c r="I825" s="65" t="s">
        <v>2795</v>
      </c>
      <c r="J825" s="65" t="s">
        <v>209</v>
      </c>
      <c r="K825" s="65" t="s">
        <v>37</v>
      </c>
      <c r="L825" s="65" t="s">
        <v>4873</v>
      </c>
      <c r="M825" s="65" t="s">
        <v>608</v>
      </c>
      <c r="N825" s="65" t="s">
        <v>1251</v>
      </c>
      <c r="O825" s="65" t="s">
        <v>4874</v>
      </c>
      <c r="P825" s="65" t="s">
        <v>288</v>
      </c>
      <c r="Q825" s="65">
        <v>1</v>
      </c>
      <c r="R825" s="65" t="s">
        <v>42</v>
      </c>
      <c r="S825" s="65" t="s">
        <v>44</v>
      </c>
      <c r="T825" s="65" t="s">
        <v>44</v>
      </c>
      <c r="U825" s="65" t="s">
        <v>45</v>
      </c>
      <c r="V825" s="65" t="s">
        <v>46</v>
      </c>
      <c r="W825" s="65">
        <v>0</v>
      </c>
      <c r="X825" s="65" t="s">
        <v>289</v>
      </c>
      <c r="Y825" s="65" t="s">
        <v>48</v>
      </c>
      <c r="Z825" s="65" t="s">
        <v>49</v>
      </c>
      <c r="AA825" s="65">
        <v>994872106</v>
      </c>
      <c r="AB825" s="65" t="s">
        <v>1253</v>
      </c>
    </row>
    <row r="826" spans="1:28" x14ac:dyDescent="0.3">
      <c r="A826" s="1">
        <v>46302</v>
      </c>
      <c r="B826" s="65" t="s">
        <v>4869</v>
      </c>
      <c r="C826" s="65" t="s">
        <v>268</v>
      </c>
      <c r="D826" s="65" t="s">
        <v>4870</v>
      </c>
      <c r="E826" s="65" t="s">
        <v>31</v>
      </c>
      <c r="F826" s="65" t="s">
        <v>4871</v>
      </c>
      <c r="G826" s="65" t="s">
        <v>4872</v>
      </c>
      <c r="H826" s="65" t="s">
        <v>5061</v>
      </c>
      <c r="I826" s="65" t="s">
        <v>2795</v>
      </c>
      <c r="J826" s="65" t="s">
        <v>209</v>
      </c>
      <c r="K826" s="65" t="s">
        <v>37</v>
      </c>
      <c r="L826" s="65" t="s">
        <v>4873</v>
      </c>
      <c r="M826" s="65" t="s">
        <v>608</v>
      </c>
      <c r="N826" s="65" t="s">
        <v>1251</v>
      </c>
      <c r="O826" s="65" t="s">
        <v>4874</v>
      </c>
      <c r="P826" s="65" t="s">
        <v>1215</v>
      </c>
      <c r="Q826" s="65">
        <v>1</v>
      </c>
      <c r="R826" s="65" t="s">
        <v>42</v>
      </c>
      <c r="S826" s="65" t="s">
        <v>44</v>
      </c>
      <c r="T826" s="65" t="s">
        <v>44</v>
      </c>
      <c r="U826" s="65" t="s">
        <v>45</v>
      </c>
      <c r="V826" s="65" t="s">
        <v>46</v>
      </c>
      <c r="W826" s="65">
        <v>139.83000000000001</v>
      </c>
      <c r="X826" s="65" t="s">
        <v>289</v>
      </c>
      <c r="Y826" s="65" t="s">
        <v>48</v>
      </c>
      <c r="Z826" s="65" t="s">
        <v>49</v>
      </c>
      <c r="AA826" s="65">
        <v>994872106</v>
      </c>
      <c r="AB826" s="65" t="s">
        <v>1253</v>
      </c>
    </row>
    <row r="827" spans="1:28" x14ac:dyDescent="0.3">
      <c r="A827" s="1">
        <v>46302</v>
      </c>
      <c r="B827" s="65" t="s">
        <v>4875</v>
      </c>
      <c r="C827" s="65" t="s">
        <v>268</v>
      </c>
      <c r="D827" s="65" t="s">
        <v>4876</v>
      </c>
      <c r="E827" s="65" t="s">
        <v>31</v>
      </c>
      <c r="F827" s="65" t="s">
        <v>4877</v>
      </c>
      <c r="G827" s="65" t="s">
        <v>4866</v>
      </c>
      <c r="H827" s="65" t="s">
        <v>5061</v>
      </c>
      <c r="I827" s="65" t="s">
        <v>2795</v>
      </c>
      <c r="J827" s="65" t="s">
        <v>209</v>
      </c>
      <c r="K827" s="65" t="s">
        <v>37</v>
      </c>
      <c r="L827" s="65" t="s">
        <v>4867</v>
      </c>
      <c r="M827" s="65" t="s">
        <v>4002</v>
      </c>
      <c r="N827" s="65" t="s">
        <v>1251</v>
      </c>
      <c r="O827" s="65" t="s">
        <v>4878</v>
      </c>
      <c r="P827" s="65" t="s">
        <v>641</v>
      </c>
      <c r="Q827" s="65">
        <v>1</v>
      </c>
      <c r="R827" s="65" t="s">
        <v>42</v>
      </c>
      <c r="S827" s="65" t="s">
        <v>44</v>
      </c>
      <c r="T827" s="65" t="s">
        <v>44</v>
      </c>
      <c r="U827" s="65" t="s">
        <v>45</v>
      </c>
      <c r="V827" s="65" t="s">
        <v>46</v>
      </c>
      <c r="W827" s="65">
        <v>84.75</v>
      </c>
      <c r="X827" s="65" t="s">
        <v>47</v>
      </c>
      <c r="Y827" s="65" t="s">
        <v>48</v>
      </c>
      <c r="Z827" s="65" t="s">
        <v>49</v>
      </c>
      <c r="AA827" s="65">
        <v>994872106</v>
      </c>
      <c r="AB827" s="65" t="s">
        <v>1253</v>
      </c>
    </row>
    <row r="828" spans="1:28" x14ac:dyDescent="0.3">
      <c r="A828" s="1">
        <v>46302</v>
      </c>
      <c r="B828" s="65" t="s">
        <v>4879</v>
      </c>
      <c r="C828" s="65" t="s">
        <v>268</v>
      </c>
      <c r="D828" s="65" t="s">
        <v>4880</v>
      </c>
      <c r="E828" s="65" t="s">
        <v>31</v>
      </c>
      <c r="F828" s="65" t="s">
        <v>4881</v>
      </c>
      <c r="G828" s="65" t="s">
        <v>4882</v>
      </c>
      <c r="H828" s="65" t="s">
        <v>5001</v>
      </c>
      <c r="I828" s="65" t="s">
        <v>477</v>
      </c>
      <c r="J828" s="65" t="s">
        <v>209</v>
      </c>
      <c r="K828" s="65" t="s">
        <v>37</v>
      </c>
      <c r="L828" s="65" t="s">
        <v>4883</v>
      </c>
      <c r="M828" s="65" t="s">
        <v>608</v>
      </c>
      <c r="N828" s="65" t="s">
        <v>486</v>
      </c>
      <c r="O828" s="65" t="s">
        <v>4884</v>
      </c>
      <c r="P828" s="65" t="s">
        <v>288</v>
      </c>
      <c r="Q828" s="65">
        <v>1</v>
      </c>
      <c r="R828" s="65" t="s">
        <v>42</v>
      </c>
      <c r="S828" s="65" t="s">
        <v>44</v>
      </c>
      <c r="T828" s="65" t="s">
        <v>44</v>
      </c>
      <c r="U828" s="65" t="s">
        <v>45</v>
      </c>
      <c r="V828" s="65" t="s">
        <v>60</v>
      </c>
      <c r="W828" s="65">
        <v>0</v>
      </c>
      <c r="X828" s="65" t="s">
        <v>289</v>
      </c>
      <c r="Y828" s="65" t="s">
        <v>48</v>
      </c>
      <c r="Z828" s="65" t="s">
        <v>49</v>
      </c>
      <c r="AA828" s="65">
        <v>982536223</v>
      </c>
      <c r="AB828" s="65" t="s">
        <v>482</v>
      </c>
    </row>
    <row r="829" spans="1:28" x14ac:dyDescent="0.3">
      <c r="A829" s="1">
        <v>46302</v>
      </c>
      <c r="B829" s="65" t="s">
        <v>4879</v>
      </c>
      <c r="C829" s="65" t="s">
        <v>268</v>
      </c>
      <c r="D829" s="65" t="s">
        <v>4880</v>
      </c>
      <c r="E829" s="65" t="s">
        <v>31</v>
      </c>
      <c r="F829" s="65" t="s">
        <v>4881</v>
      </c>
      <c r="G829" s="65" t="s">
        <v>4882</v>
      </c>
      <c r="H829" s="65" t="s">
        <v>5001</v>
      </c>
      <c r="I829" s="65" t="s">
        <v>477</v>
      </c>
      <c r="J829" s="65" t="s">
        <v>209</v>
      </c>
      <c r="K829" s="65" t="s">
        <v>37</v>
      </c>
      <c r="L829" s="65" t="s">
        <v>4883</v>
      </c>
      <c r="M829" s="65" t="s">
        <v>608</v>
      </c>
      <c r="N829" s="65" t="s">
        <v>486</v>
      </c>
      <c r="O829" s="65" t="s">
        <v>4884</v>
      </c>
      <c r="P829" s="65" t="s">
        <v>1215</v>
      </c>
      <c r="Q829" s="65">
        <v>1</v>
      </c>
      <c r="R829" s="65" t="s">
        <v>42</v>
      </c>
      <c r="S829" s="65" t="s">
        <v>44</v>
      </c>
      <c r="T829" s="65" t="s">
        <v>44</v>
      </c>
      <c r="U829" s="65" t="s">
        <v>45</v>
      </c>
      <c r="V829" s="65" t="s">
        <v>60</v>
      </c>
      <c r="W829" s="65">
        <v>139.83000000000001</v>
      </c>
      <c r="X829" s="65" t="s">
        <v>289</v>
      </c>
      <c r="Y829" s="65" t="s">
        <v>48</v>
      </c>
      <c r="Z829" s="65" t="s">
        <v>49</v>
      </c>
      <c r="AA829" s="65">
        <v>982536223</v>
      </c>
      <c r="AB829" s="65" t="s">
        <v>482</v>
      </c>
    </row>
    <row r="830" spans="1:28" x14ac:dyDescent="0.3">
      <c r="A830" s="1">
        <v>46304</v>
      </c>
      <c r="B830" s="65" t="s">
        <v>4885</v>
      </c>
      <c r="C830" s="65" t="s">
        <v>268</v>
      </c>
      <c r="D830" s="65" t="s">
        <v>4886</v>
      </c>
      <c r="E830" s="65" t="s">
        <v>31</v>
      </c>
      <c r="F830" s="65" t="s">
        <v>4887</v>
      </c>
      <c r="G830" s="65" t="s">
        <v>4846</v>
      </c>
      <c r="H830" s="65" t="s">
        <v>5044</v>
      </c>
      <c r="I830" s="65" t="s">
        <v>1108</v>
      </c>
      <c r="J830" s="65" t="s">
        <v>209</v>
      </c>
      <c r="K830" s="65" t="s">
        <v>37</v>
      </c>
      <c r="L830" s="65" t="s">
        <v>4847</v>
      </c>
      <c r="M830" s="65" t="s">
        <v>4848</v>
      </c>
      <c r="N830" s="65" t="s">
        <v>1111</v>
      </c>
      <c r="O830" s="65" t="s">
        <v>4888</v>
      </c>
      <c r="P830" s="65" t="s">
        <v>59</v>
      </c>
      <c r="Q830" s="65">
        <v>1</v>
      </c>
      <c r="R830" s="65" t="s">
        <v>42</v>
      </c>
      <c r="S830" s="65" t="s">
        <v>44</v>
      </c>
      <c r="T830" s="65" t="s">
        <v>44</v>
      </c>
      <c r="U830" s="65" t="s">
        <v>45</v>
      </c>
      <c r="V830" s="65" t="s">
        <v>46</v>
      </c>
      <c r="W830" s="65">
        <v>101.69</v>
      </c>
      <c r="X830" s="65" t="s">
        <v>61</v>
      </c>
      <c r="Y830" s="65" t="s">
        <v>48</v>
      </c>
      <c r="Z830" s="65" t="s">
        <v>49</v>
      </c>
      <c r="AA830" s="65">
        <v>970582106</v>
      </c>
      <c r="AB830" s="65" t="s">
        <v>1113</v>
      </c>
    </row>
    <row r="831" spans="1:28" x14ac:dyDescent="0.3">
      <c r="A831" s="1">
        <v>46304</v>
      </c>
      <c r="B831" s="65" t="s">
        <v>4889</v>
      </c>
      <c r="C831" s="65" t="s">
        <v>268</v>
      </c>
      <c r="D831" s="65" t="s">
        <v>4890</v>
      </c>
      <c r="E831" s="65" t="s">
        <v>31</v>
      </c>
      <c r="F831" s="65" t="s">
        <v>4891</v>
      </c>
      <c r="G831" s="65" t="s">
        <v>4622</v>
      </c>
      <c r="H831" s="65" t="s">
        <v>5000</v>
      </c>
      <c r="I831" s="65" t="s">
        <v>273</v>
      </c>
      <c r="J831" s="65" t="s">
        <v>274</v>
      </c>
      <c r="K831" s="65" t="s">
        <v>37</v>
      </c>
      <c r="L831" s="65" t="s">
        <v>4624</v>
      </c>
      <c r="M831" s="65" t="s">
        <v>608</v>
      </c>
      <c r="N831" s="65" t="s">
        <v>277</v>
      </c>
      <c r="O831" s="65" t="s">
        <v>4892</v>
      </c>
      <c r="P831" s="65" t="s">
        <v>288</v>
      </c>
      <c r="Q831" s="65">
        <v>1</v>
      </c>
      <c r="R831" s="65" t="s">
        <v>42</v>
      </c>
      <c r="S831" s="65" t="s">
        <v>44</v>
      </c>
      <c r="T831" s="65" t="s">
        <v>44</v>
      </c>
      <c r="U831" s="65" t="s">
        <v>45</v>
      </c>
      <c r="V831" s="65" t="s">
        <v>46</v>
      </c>
      <c r="W831" s="65">
        <v>0</v>
      </c>
      <c r="X831" s="65" t="s">
        <v>289</v>
      </c>
      <c r="Y831" s="65" t="s">
        <v>48</v>
      </c>
      <c r="Z831" s="65" t="s">
        <v>49</v>
      </c>
      <c r="AA831" s="65">
        <v>950133748</v>
      </c>
      <c r="AB831" s="65" t="s">
        <v>279</v>
      </c>
    </row>
    <row r="832" spans="1:28" x14ac:dyDescent="0.3">
      <c r="A832" s="1">
        <v>46304</v>
      </c>
      <c r="B832" s="65" t="s">
        <v>4889</v>
      </c>
      <c r="C832" s="65" t="s">
        <v>268</v>
      </c>
      <c r="D832" s="65" t="s">
        <v>4890</v>
      </c>
      <c r="E832" s="65" t="s">
        <v>31</v>
      </c>
      <c r="F832" s="65" t="s">
        <v>4891</v>
      </c>
      <c r="G832" s="65" t="s">
        <v>4622</v>
      </c>
      <c r="H832" s="65" t="s">
        <v>5000</v>
      </c>
      <c r="I832" s="65" t="s">
        <v>273</v>
      </c>
      <c r="J832" s="65" t="s">
        <v>274</v>
      </c>
      <c r="K832" s="65" t="s">
        <v>37</v>
      </c>
      <c r="L832" s="65" t="s">
        <v>4624</v>
      </c>
      <c r="M832" s="65" t="s">
        <v>608</v>
      </c>
      <c r="N832" s="65" t="s">
        <v>277</v>
      </c>
      <c r="O832" s="65" t="s">
        <v>4892</v>
      </c>
      <c r="P832" s="65" t="s">
        <v>290</v>
      </c>
      <c r="Q832" s="65">
        <v>1</v>
      </c>
      <c r="R832" s="65" t="s">
        <v>42</v>
      </c>
      <c r="S832" s="65" t="s">
        <v>44</v>
      </c>
      <c r="T832" s="65" t="s">
        <v>44</v>
      </c>
      <c r="U832" s="65" t="s">
        <v>45</v>
      </c>
      <c r="V832" s="65" t="s">
        <v>46</v>
      </c>
      <c r="W832" s="65">
        <v>1050.8499999999999</v>
      </c>
      <c r="X832" s="65" t="s">
        <v>289</v>
      </c>
      <c r="Y832" s="65" t="s">
        <v>48</v>
      </c>
      <c r="Z832" s="65" t="s">
        <v>49</v>
      </c>
      <c r="AA832" s="65">
        <v>950133748</v>
      </c>
      <c r="AB832" s="65" t="s">
        <v>279</v>
      </c>
    </row>
    <row r="833" spans="1:28" x14ac:dyDescent="0.3">
      <c r="A833" s="1">
        <v>46304</v>
      </c>
      <c r="B833" s="65" t="s">
        <v>4893</v>
      </c>
      <c r="C833" s="65" t="s">
        <v>29</v>
      </c>
      <c r="D833" s="65" t="s">
        <v>4894</v>
      </c>
      <c r="E833" s="65" t="s">
        <v>31</v>
      </c>
      <c r="F833" s="65" t="s">
        <v>4895</v>
      </c>
      <c r="G833" s="65" t="s">
        <v>4896</v>
      </c>
      <c r="H833" s="65" t="s">
        <v>4897</v>
      </c>
      <c r="I833" s="65" t="s">
        <v>3224</v>
      </c>
      <c r="J833" s="65" t="s">
        <v>2558</v>
      </c>
      <c r="K833" s="65" t="s">
        <v>37</v>
      </c>
      <c r="L833" s="65" t="s">
        <v>4898</v>
      </c>
      <c r="M833" s="65" t="s">
        <v>4899</v>
      </c>
      <c r="N833" s="65" t="s">
        <v>4896</v>
      </c>
      <c r="O833" s="65" t="s">
        <v>4900</v>
      </c>
      <c r="P833" s="65" t="s">
        <v>101</v>
      </c>
      <c r="Q833" s="65">
        <v>1</v>
      </c>
      <c r="R833" s="65" t="s">
        <v>42</v>
      </c>
      <c r="S833" s="65" t="s">
        <v>44</v>
      </c>
      <c r="T833" s="65" t="s">
        <v>44</v>
      </c>
      <c r="U833" s="65" t="s">
        <v>45</v>
      </c>
      <c r="V833" s="65" t="s">
        <v>46</v>
      </c>
      <c r="W833" s="65">
        <v>186.44</v>
      </c>
      <c r="X833" s="65" t="s">
        <v>47</v>
      </c>
      <c r="Y833" s="65" t="s">
        <v>48</v>
      </c>
      <c r="Z833" s="65" t="s">
        <v>49</v>
      </c>
      <c r="AA833" s="65">
        <v>997581972</v>
      </c>
      <c r="AB833" s="65" t="s">
        <v>3225</v>
      </c>
    </row>
    <row r="834" spans="1:28" x14ac:dyDescent="0.3">
      <c r="A834" s="1">
        <v>46304</v>
      </c>
      <c r="B834" s="65" t="s">
        <v>5062</v>
      </c>
      <c r="C834" s="65" t="s">
        <v>29</v>
      </c>
      <c r="D834" s="65" t="s">
        <v>5063</v>
      </c>
      <c r="E834" s="65" t="s">
        <v>31</v>
      </c>
      <c r="F834" s="65" t="s">
        <v>5064</v>
      </c>
      <c r="G834" s="65" t="s">
        <v>2688</v>
      </c>
      <c r="H834" s="65" t="s">
        <v>2689</v>
      </c>
      <c r="I834" s="65" t="s">
        <v>774</v>
      </c>
      <c r="J834" s="65" t="s">
        <v>775</v>
      </c>
      <c r="K834" s="65" t="s">
        <v>37</v>
      </c>
      <c r="L834" s="65" t="s">
        <v>2692</v>
      </c>
      <c r="M834" s="65" t="s">
        <v>2693</v>
      </c>
      <c r="N834" s="65" t="s">
        <v>2688</v>
      </c>
      <c r="O834" s="65" t="s">
        <v>5065</v>
      </c>
      <c r="P834" s="65" t="s">
        <v>202</v>
      </c>
      <c r="Q834" s="65">
        <v>1</v>
      </c>
      <c r="R834" s="65" t="s">
        <v>42</v>
      </c>
      <c r="S834" s="65" t="s">
        <v>44</v>
      </c>
      <c r="T834" s="65" t="s">
        <v>44</v>
      </c>
      <c r="U834" s="65" t="s">
        <v>531</v>
      </c>
      <c r="V834" s="65" t="s">
        <v>4049</v>
      </c>
      <c r="W834" s="65">
        <v>135.59</v>
      </c>
      <c r="X834" s="65" t="s">
        <v>47</v>
      </c>
      <c r="Y834" s="65" t="s">
        <v>48</v>
      </c>
      <c r="Z834" s="65" t="s">
        <v>534</v>
      </c>
      <c r="AA834" s="65"/>
      <c r="AB834" s="65"/>
    </row>
    <row r="835" spans="1:28" x14ac:dyDescent="0.3">
      <c r="A835" s="1">
        <v>46305</v>
      </c>
      <c r="B835" s="65" t="s">
        <v>4901</v>
      </c>
      <c r="C835" s="65" t="s">
        <v>29</v>
      </c>
      <c r="D835" s="65" t="s">
        <v>4902</v>
      </c>
      <c r="E835" s="65" t="s">
        <v>31</v>
      </c>
      <c r="F835" s="65" t="s">
        <v>4903</v>
      </c>
      <c r="G835" s="65" t="s">
        <v>4904</v>
      </c>
      <c r="H835" s="65" t="s">
        <v>4905</v>
      </c>
      <c r="I835" s="65" t="s">
        <v>434</v>
      </c>
      <c r="J835" s="65" t="s">
        <v>435</v>
      </c>
      <c r="K835" s="65" t="s">
        <v>37</v>
      </c>
      <c r="L835" s="65" t="s">
        <v>4906</v>
      </c>
      <c r="M835" s="65" t="s">
        <v>4907</v>
      </c>
      <c r="N835" s="65" t="s">
        <v>4904</v>
      </c>
      <c r="O835" s="65" t="s">
        <v>4908</v>
      </c>
      <c r="P835" s="65" t="s">
        <v>41</v>
      </c>
      <c r="Q835" s="65">
        <v>1</v>
      </c>
      <c r="R835" s="65" t="s">
        <v>70</v>
      </c>
      <c r="S835" s="65" t="s">
        <v>43</v>
      </c>
      <c r="T835" s="65" t="s">
        <v>44</v>
      </c>
      <c r="U835" s="65" t="s">
        <v>71</v>
      </c>
      <c r="V835" s="65" t="s">
        <v>72</v>
      </c>
      <c r="W835" s="65">
        <v>186.44</v>
      </c>
      <c r="X835" s="65" t="s">
        <v>47</v>
      </c>
      <c r="Y835" s="65" t="s">
        <v>48</v>
      </c>
      <c r="Z835" s="65" t="s">
        <v>73</v>
      </c>
      <c r="AA835" s="65">
        <v>992903716</v>
      </c>
      <c r="AB835" s="65" t="s">
        <v>439</v>
      </c>
    </row>
    <row r="836" spans="1:28" x14ac:dyDescent="0.3">
      <c r="A836" s="1">
        <v>46305</v>
      </c>
      <c r="B836" s="65" t="s">
        <v>4909</v>
      </c>
      <c r="C836" s="65" t="s">
        <v>29</v>
      </c>
      <c r="D836" s="65" t="s">
        <v>4910</v>
      </c>
      <c r="E836" s="65" t="s">
        <v>31</v>
      </c>
      <c r="F836" s="65" t="s">
        <v>4911</v>
      </c>
      <c r="G836" s="65" t="s">
        <v>4912</v>
      </c>
      <c r="H836" s="65" t="s">
        <v>4913</v>
      </c>
      <c r="I836" s="65" t="s">
        <v>662</v>
      </c>
      <c r="J836" s="65" t="s">
        <v>36</v>
      </c>
      <c r="K836" s="65" t="s">
        <v>37</v>
      </c>
      <c r="L836" s="65" t="s">
        <v>4914</v>
      </c>
      <c r="M836" s="65" t="s">
        <v>4915</v>
      </c>
      <c r="N836" s="65" t="s">
        <v>4912</v>
      </c>
      <c r="O836" s="65" t="s">
        <v>4916</v>
      </c>
      <c r="P836" s="65" t="s">
        <v>101</v>
      </c>
      <c r="Q836" s="65">
        <v>1</v>
      </c>
      <c r="R836" s="65" t="s">
        <v>42</v>
      </c>
      <c r="S836" s="65" t="s">
        <v>44</v>
      </c>
      <c r="T836" s="65" t="s">
        <v>44</v>
      </c>
      <c r="U836" s="65" t="s">
        <v>45</v>
      </c>
      <c r="V836" s="65" t="s">
        <v>60</v>
      </c>
      <c r="W836" s="65">
        <v>186.44</v>
      </c>
      <c r="X836" s="65" t="s">
        <v>47</v>
      </c>
      <c r="Y836" s="65" t="s">
        <v>48</v>
      </c>
      <c r="Z836" s="65" t="s">
        <v>49</v>
      </c>
      <c r="AA836" s="65">
        <v>997145685</v>
      </c>
      <c r="AB836" s="65" t="s">
        <v>666</v>
      </c>
    </row>
    <row r="837" spans="1:28" x14ac:dyDescent="0.3">
      <c r="A837" s="1">
        <v>46307</v>
      </c>
      <c r="B837" s="65" t="s">
        <v>4917</v>
      </c>
      <c r="C837" s="65" t="s">
        <v>29</v>
      </c>
      <c r="D837" s="65" t="s">
        <v>4918</v>
      </c>
      <c r="E837" s="65" t="s">
        <v>31</v>
      </c>
      <c r="F837" s="65" t="s">
        <v>4919</v>
      </c>
      <c r="G837" s="65" t="s">
        <v>4920</v>
      </c>
      <c r="H837" s="65" t="s">
        <v>4921</v>
      </c>
      <c r="I837" s="65" t="s">
        <v>434</v>
      </c>
      <c r="J837" s="65" t="s">
        <v>435</v>
      </c>
      <c r="K837" s="65" t="s">
        <v>37</v>
      </c>
      <c r="L837" s="65" t="s">
        <v>4922</v>
      </c>
      <c r="M837" s="65" t="s">
        <v>4923</v>
      </c>
      <c r="N837" s="65" t="s">
        <v>4920</v>
      </c>
      <c r="O837" s="65" t="s">
        <v>4924</v>
      </c>
      <c r="P837" s="65" t="s">
        <v>101</v>
      </c>
      <c r="Q837" s="65">
        <v>1</v>
      </c>
      <c r="R837" s="65" t="s">
        <v>70</v>
      </c>
      <c r="S837" s="65" t="s">
        <v>43</v>
      </c>
      <c r="T837" s="65" t="s">
        <v>44</v>
      </c>
      <c r="U837" s="65" t="s">
        <v>71</v>
      </c>
      <c r="V837" s="65" t="s">
        <v>72</v>
      </c>
      <c r="W837" s="65">
        <v>186.44</v>
      </c>
      <c r="X837" s="65" t="s">
        <v>47</v>
      </c>
      <c r="Y837" s="65" t="s">
        <v>48</v>
      </c>
      <c r="Z837" s="65" t="s">
        <v>73</v>
      </c>
      <c r="AA837" s="65">
        <v>992903716</v>
      </c>
      <c r="AB837" s="65" t="s">
        <v>439</v>
      </c>
    </row>
    <row r="838" spans="1:28" x14ac:dyDescent="0.3">
      <c r="A838" s="1">
        <v>46307</v>
      </c>
      <c r="B838" s="65" t="s">
        <v>4925</v>
      </c>
      <c r="C838" s="65" t="s">
        <v>268</v>
      </c>
      <c r="D838" s="65" t="s">
        <v>4926</v>
      </c>
      <c r="E838" s="65" t="s">
        <v>31</v>
      </c>
      <c r="F838" s="65" t="s">
        <v>4927</v>
      </c>
      <c r="G838" s="65" t="s">
        <v>4928</v>
      </c>
      <c r="H838" s="65" t="s">
        <v>5066</v>
      </c>
      <c r="I838" s="65" t="s">
        <v>4929</v>
      </c>
      <c r="J838" s="65" t="s">
        <v>3043</v>
      </c>
      <c r="K838" s="65" t="s">
        <v>37</v>
      </c>
      <c r="L838" s="65" t="s">
        <v>4930</v>
      </c>
      <c r="M838" s="65" t="s">
        <v>4931</v>
      </c>
      <c r="N838" s="65" t="s">
        <v>4932</v>
      </c>
      <c r="O838" s="65" t="s">
        <v>4933</v>
      </c>
      <c r="P838" s="65" t="s">
        <v>288</v>
      </c>
      <c r="Q838" s="65">
        <v>1</v>
      </c>
      <c r="R838" s="65" t="s">
        <v>42</v>
      </c>
      <c r="S838" s="65" t="s">
        <v>44</v>
      </c>
      <c r="T838" s="65" t="s">
        <v>44</v>
      </c>
      <c r="U838" s="65" t="s">
        <v>45</v>
      </c>
      <c r="V838" s="65" t="s">
        <v>60</v>
      </c>
      <c r="W838" s="65">
        <v>0</v>
      </c>
      <c r="X838" s="65" t="s">
        <v>289</v>
      </c>
      <c r="Y838" s="65" t="s">
        <v>48</v>
      </c>
      <c r="Z838" s="65" t="s">
        <v>49</v>
      </c>
      <c r="AA838" s="65"/>
      <c r="AB838" s="65"/>
    </row>
    <row r="839" spans="1:28" x14ac:dyDescent="0.3">
      <c r="A839" s="1">
        <v>46307</v>
      </c>
      <c r="B839" s="65" t="s">
        <v>4925</v>
      </c>
      <c r="C839" s="65" t="s">
        <v>268</v>
      </c>
      <c r="D839" s="65" t="s">
        <v>4926</v>
      </c>
      <c r="E839" s="65" t="s">
        <v>31</v>
      </c>
      <c r="F839" s="65" t="s">
        <v>4927</v>
      </c>
      <c r="G839" s="65" t="s">
        <v>4928</v>
      </c>
      <c r="H839" s="65" t="s">
        <v>5066</v>
      </c>
      <c r="I839" s="65" t="s">
        <v>4929</v>
      </c>
      <c r="J839" s="65" t="s">
        <v>3043</v>
      </c>
      <c r="K839" s="65" t="s">
        <v>37</v>
      </c>
      <c r="L839" s="65" t="s">
        <v>4930</v>
      </c>
      <c r="M839" s="65" t="s">
        <v>4931</v>
      </c>
      <c r="N839" s="65" t="s">
        <v>4932</v>
      </c>
      <c r="O839" s="65" t="s">
        <v>4933</v>
      </c>
      <c r="P839" s="65" t="s">
        <v>389</v>
      </c>
      <c r="Q839" s="65">
        <v>1</v>
      </c>
      <c r="R839" s="65" t="s">
        <v>42</v>
      </c>
      <c r="S839" s="65" t="s">
        <v>44</v>
      </c>
      <c r="T839" s="65" t="s">
        <v>44</v>
      </c>
      <c r="U839" s="65" t="s">
        <v>45</v>
      </c>
      <c r="V839" s="65" t="s">
        <v>60</v>
      </c>
      <c r="W839" s="65">
        <v>805.08</v>
      </c>
      <c r="X839" s="65" t="s">
        <v>289</v>
      </c>
      <c r="Y839" s="65" t="s">
        <v>48</v>
      </c>
      <c r="Z839" s="65" t="s">
        <v>49</v>
      </c>
      <c r="AA839" s="65"/>
      <c r="AB839" s="65"/>
    </row>
    <row r="840" spans="1:28" x14ac:dyDescent="0.3">
      <c r="A840" s="1">
        <v>46308</v>
      </c>
      <c r="B840" s="65" t="s">
        <v>5067</v>
      </c>
      <c r="C840" s="65" t="s">
        <v>29</v>
      </c>
      <c r="D840" s="65" t="s">
        <v>5068</v>
      </c>
      <c r="E840" s="65" t="s">
        <v>31</v>
      </c>
      <c r="F840" s="65" t="s">
        <v>5069</v>
      </c>
      <c r="G840" s="65" t="s">
        <v>5070</v>
      </c>
      <c r="H840" s="65" t="s">
        <v>5071</v>
      </c>
      <c r="I840" s="65" t="s">
        <v>774</v>
      </c>
      <c r="J840" s="65" t="s">
        <v>775</v>
      </c>
      <c r="K840" s="65" t="s">
        <v>37</v>
      </c>
      <c r="L840" s="65" t="s">
        <v>5072</v>
      </c>
      <c r="M840" s="65" t="s">
        <v>5073</v>
      </c>
      <c r="N840" s="65" t="s">
        <v>5070</v>
      </c>
      <c r="O840" s="65" t="s">
        <v>5074</v>
      </c>
      <c r="P840" s="65" t="s">
        <v>202</v>
      </c>
      <c r="Q840" s="65">
        <v>1</v>
      </c>
      <c r="R840" s="65" t="s">
        <v>42</v>
      </c>
      <c r="S840" s="65" t="s">
        <v>44</v>
      </c>
      <c r="T840" s="65" t="s">
        <v>44</v>
      </c>
      <c r="U840" s="65" t="s">
        <v>71</v>
      </c>
      <c r="V840" s="65" t="s">
        <v>72</v>
      </c>
      <c r="W840" s="65">
        <v>135.59</v>
      </c>
      <c r="X840" s="65" t="s">
        <v>47</v>
      </c>
      <c r="Y840" s="65" t="s">
        <v>48</v>
      </c>
      <c r="Z840" s="65" t="s">
        <v>73</v>
      </c>
      <c r="AA840" s="65"/>
      <c r="AB840" s="65"/>
    </row>
    <row r="841" spans="1:28" x14ac:dyDescent="0.3">
      <c r="A841" s="1">
        <v>46308</v>
      </c>
      <c r="B841" s="65" t="s">
        <v>5075</v>
      </c>
      <c r="C841" s="65" t="s">
        <v>29</v>
      </c>
      <c r="D841" s="65" t="s">
        <v>5076</v>
      </c>
      <c r="E841" s="65" t="s">
        <v>31</v>
      </c>
      <c r="F841" s="65" t="s">
        <v>5077</v>
      </c>
      <c r="G841" s="65" t="s">
        <v>5078</v>
      </c>
      <c r="H841" s="65" t="s">
        <v>5079</v>
      </c>
      <c r="I841" s="65" t="s">
        <v>774</v>
      </c>
      <c r="J841" s="65" t="s">
        <v>775</v>
      </c>
      <c r="K841" s="65" t="s">
        <v>37</v>
      </c>
      <c r="L841" s="65" t="s">
        <v>5080</v>
      </c>
      <c r="M841" s="65" t="s">
        <v>5081</v>
      </c>
      <c r="N841" s="65" t="s">
        <v>5078</v>
      </c>
      <c r="O841" s="65" t="s">
        <v>5082</v>
      </c>
      <c r="P841" s="65" t="s">
        <v>201</v>
      </c>
      <c r="Q841" s="65">
        <v>1</v>
      </c>
      <c r="R841" s="65" t="s">
        <v>42</v>
      </c>
      <c r="S841" s="65" t="s">
        <v>44</v>
      </c>
      <c r="T841" s="65" t="s">
        <v>44</v>
      </c>
      <c r="U841" s="65" t="s">
        <v>45</v>
      </c>
      <c r="V841" s="65" t="s">
        <v>60</v>
      </c>
      <c r="W841" s="65">
        <v>42.37</v>
      </c>
      <c r="X841" s="65" t="s">
        <v>47</v>
      </c>
      <c r="Y841" s="65" t="s">
        <v>48</v>
      </c>
      <c r="Z841" s="65" t="s">
        <v>49</v>
      </c>
      <c r="AA841" s="65"/>
      <c r="AB841" s="65"/>
    </row>
    <row r="842" spans="1:28" x14ac:dyDescent="0.3">
      <c r="A842" s="1">
        <v>46308</v>
      </c>
      <c r="B842" s="65" t="s">
        <v>5075</v>
      </c>
      <c r="C842" s="65" t="s">
        <v>29</v>
      </c>
      <c r="D842" s="65" t="s">
        <v>5076</v>
      </c>
      <c r="E842" s="65" t="s">
        <v>31</v>
      </c>
      <c r="F842" s="65" t="s">
        <v>5077</v>
      </c>
      <c r="G842" s="65" t="s">
        <v>5078</v>
      </c>
      <c r="H842" s="65" t="s">
        <v>5079</v>
      </c>
      <c r="I842" s="65" t="s">
        <v>774</v>
      </c>
      <c r="J842" s="65" t="s">
        <v>775</v>
      </c>
      <c r="K842" s="65" t="s">
        <v>37</v>
      </c>
      <c r="L842" s="65" t="s">
        <v>5080</v>
      </c>
      <c r="M842" s="65" t="s">
        <v>5081</v>
      </c>
      <c r="N842" s="65" t="s">
        <v>5078</v>
      </c>
      <c r="O842" s="65" t="s">
        <v>5082</v>
      </c>
      <c r="P842" s="65" t="s">
        <v>201</v>
      </c>
      <c r="Q842" s="65">
        <v>1</v>
      </c>
      <c r="R842" s="65" t="s">
        <v>42</v>
      </c>
      <c r="S842" s="65" t="s">
        <v>44</v>
      </c>
      <c r="T842" s="65" t="s">
        <v>44</v>
      </c>
      <c r="U842" s="65" t="s">
        <v>45</v>
      </c>
      <c r="V842" s="65" t="s">
        <v>60</v>
      </c>
      <c r="W842" s="65">
        <v>42.37</v>
      </c>
      <c r="X842" s="65" t="s">
        <v>47</v>
      </c>
      <c r="Y842" s="65" t="s">
        <v>48</v>
      </c>
      <c r="Z842" s="65" t="s">
        <v>49</v>
      </c>
      <c r="AA842" s="65"/>
      <c r="AB842" s="65"/>
    </row>
    <row r="843" spans="1:28" x14ac:dyDescent="0.3">
      <c r="A843" s="1">
        <v>46308</v>
      </c>
      <c r="B843" s="65" t="s">
        <v>5083</v>
      </c>
      <c r="C843" s="65" t="s">
        <v>29</v>
      </c>
      <c r="D843" s="65" t="s">
        <v>5084</v>
      </c>
      <c r="E843" s="65" t="s">
        <v>31</v>
      </c>
      <c r="F843" s="65" t="s">
        <v>5085</v>
      </c>
      <c r="G843" s="65" t="s">
        <v>5086</v>
      </c>
      <c r="H843" s="65" t="s">
        <v>5087</v>
      </c>
      <c r="I843" s="65" t="s">
        <v>774</v>
      </c>
      <c r="J843" s="65" t="s">
        <v>775</v>
      </c>
      <c r="K843" s="65" t="s">
        <v>37</v>
      </c>
      <c r="L843" s="65" t="s">
        <v>5088</v>
      </c>
      <c r="M843" s="65" t="s">
        <v>5089</v>
      </c>
      <c r="N843" s="65" t="s">
        <v>5086</v>
      </c>
      <c r="O843" s="65" t="s">
        <v>5090</v>
      </c>
      <c r="P843" s="65" t="s">
        <v>201</v>
      </c>
      <c r="Q843" s="65">
        <v>1</v>
      </c>
      <c r="R843" s="65" t="s">
        <v>42</v>
      </c>
      <c r="S843" s="65" t="s">
        <v>44</v>
      </c>
      <c r="T843" s="65" t="s">
        <v>44</v>
      </c>
      <c r="U843" s="65" t="s">
        <v>45</v>
      </c>
      <c r="V843" s="65" t="s">
        <v>60</v>
      </c>
      <c r="W843" s="65">
        <v>42.37</v>
      </c>
      <c r="X843" s="65" t="s">
        <v>47</v>
      </c>
      <c r="Y843" s="65" t="s">
        <v>48</v>
      </c>
      <c r="Z843" s="65" t="s">
        <v>49</v>
      </c>
      <c r="AA843" s="65"/>
      <c r="AB843" s="65"/>
    </row>
    <row r="844" spans="1:28" x14ac:dyDescent="0.3">
      <c r="A844" s="1">
        <v>46308</v>
      </c>
      <c r="B844" s="65" t="s">
        <v>5083</v>
      </c>
      <c r="C844" s="65" t="s">
        <v>29</v>
      </c>
      <c r="D844" s="65" t="s">
        <v>5084</v>
      </c>
      <c r="E844" s="65" t="s">
        <v>31</v>
      </c>
      <c r="F844" s="65" t="s">
        <v>5085</v>
      </c>
      <c r="G844" s="65" t="s">
        <v>5086</v>
      </c>
      <c r="H844" s="65" t="s">
        <v>5087</v>
      </c>
      <c r="I844" s="65" t="s">
        <v>774</v>
      </c>
      <c r="J844" s="65" t="s">
        <v>775</v>
      </c>
      <c r="K844" s="65" t="s">
        <v>37</v>
      </c>
      <c r="L844" s="65" t="s">
        <v>5088</v>
      </c>
      <c r="M844" s="65" t="s">
        <v>5089</v>
      </c>
      <c r="N844" s="65" t="s">
        <v>5086</v>
      </c>
      <c r="O844" s="65" t="s">
        <v>5090</v>
      </c>
      <c r="P844" s="65" t="s">
        <v>201</v>
      </c>
      <c r="Q844" s="65">
        <v>1</v>
      </c>
      <c r="R844" s="65" t="s">
        <v>42</v>
      </c>
      <c r="S844" s="65" t="s">
        <v>44</v>
      </c>
      <c r="T844" s="65" t="s">
        <v>44</v>
      </c>
      <c r="U844" s="65" t="s">
        <v>45</v>
      </c>
      <c r="V844" s="65" t="s">
        <v>60</v>
      </c>
      <c r="W844" s="65">
        <v>42.37</v>
      </c>
      <c r="X844" s="65" t="s">
        <v>47</v>
      </c>
      <c r="Y844" s="65" t="s">
        <v>48</v>
      </c>
      <c r="Z844" s="65" t="s">
        <v>49</v>
      </c>
      <c r="AA844" s="65"/>
      <c r="AB844" s="65"/>
    </row>
    <row r="845" spans="1:28" x14ac:dyDescent="0.3">
      <c r="A845" s="1">
        <v>46308</v>
      </c>
      <c r="B845" s="65" t="s">
        <v>5091</v>
      </c>
      <c r="C845" s="65" t="s">
        <v>29</v>
      </c>
      <c r="D845" s="65" t="s">
        <v>5092</v>
      </c>
      <c r="E845" s="65" t="s">
        <v>31</v>
      </c>
      <c r="F845" s="65" t="s">
        <v>5093</v>
      </c>
      <c r="G845" s="65" t="s">
        <v>5094</v>
      </c>
      <c r="H845" s="65" t="s">
        <v>5095</v>
      </c>
      <c r="I845" s="65" t="s">
        <v>774</v>
      </c>
      <c r="J845" s="65" t="s">
        <v>775</v>
      </c>
      <c r="K845" s="65" t="s">
        <v>37</v>
      </c>
      <c r="L845" s="65" t="s">
        <v>5096</v>
      </c>
      <c r="M845" s="65" t="s">
        <v>5097</v>
      </c>
      <c r="N845" s="65" t="s">
        <v>5094</v>
      </c>
      <c r="O845" s="65" t="s">
        <v>5098</v>
      </c>
      <c r="P845" s="65" t="s">
        <v>159</v>
      </c>
      <c r="Q845" s="65">
        <v>1</v>
      </c>
      <c r="R845" s="65" t="s">
        <v>42</v>
      </c>
      <c r="S845" s="65" t="s">
        <v>44</v>
      </c>
      <c r="T845" s="65" t="s">
        <v>44</v>
      </c>
      <c r="U845" s="65" t="s">
        <v>45</v>
      </c>
      <c r="V845" s="65" t="s">
        <v>60</v>
      </c>
      <c r="W845" s="65">
        <v>135.59</v>
      </c>
      <c r="X845" s="65" t="s">
        <v>47</v>
      </c>
      <c r="Y845" s="65" t="s">
        <v>48</v>
      </c>
      <c r="Z845" s="65" t="s">
        <v>49</v>
      </c>
      <c r="AA845" s="65"/>
      <c r="AB845" s="65"/>
    </row>
    <row r="846" spans="1:28" x14ac:dyDescent="0.3">
      <c r="A846" s="1">
        <v>46308</v>
      </c>
      <c r="B846" s="65" t="s">
        <v>5099</v>
      </c>
      <c r="C846" s="65" t="s">
        <v>29</v>
      </c>
      <c r="D846" s="65" t="s">
        <v>5100</v>
      </c>
      <c r="E846" s="65" t="s">
        <v>31</v>
      </c>
      <c r="F846" s="65" t="s">
        <v>5101</v>
      </c>
      <c r="G846" s="65" t="s">
        <v>5102</v>
      </c>
      <c r="H846" s="65" t="s">
        <v>5103</v>
      </c>
      <c r="I846" s="65" t="s">
        <v>662</v>
      </c>
      <c r="J846" s="65" t="s">
        <v>36</v>
      </c>
      <c r="K846" s="65" t="s">
        <v>37</v>
      </c>
      <c r="L846" s="65" t="s">
        <v>5104</v>
      </c>
      <c r="M846" s="65" t="s">
        <v>5105</v>
      </c>
      <c r="N846" s="65" t="s">
        <v>5102</v>
      </c>
      <c r="O846" s="65" t="s">
        <v>5106</v>
      </c>
      <c r="P846" s="65" t="s">
        <v>101</v>
      </c>
      <c r="Q846" s="65">
        <v>1</v>
      </c>
      <c r="R846" s="65" t="s">
        <v>42</v>
      </c>
      <c r="S846" s="65" t="s">
        <v>44</v>
      </c>
      <c r="T846" s="65" t="s">
        <v>44</v>
      </c>
      <c r="U846" s="65" t="s">
        <v>45</v>
      </c>
      <c r="V846" s="65" t="s">
        <v>60</v>
      </c>
      <c r="W846" s="65">
        <v>186.44</v>
      </c>
      <c r="X846" s="65" t="s">
        <v>47</v>
      </c>
      <c r="Y846" s="65" t="s">
        <v>48</v>
      </c>
      <c r="Z846" s="65" t="s">
        <v>49</v>
      </c>
      <c r="AA846" s="65">
        <v>997145685</v>
      </c>
      <c r="AB846" s="65" t="s">
        <v>666</v>
      </c>
    </row>
    <row r="847" spans="1:28" x14ac:dyDescent="0.3">
      <c r="A847" s="1">
        <v>46308</v>
      </c>
      <c r="B847" s="65" t="s">
        <v>5099</v>
      </c>
      <c r="C847" s="65" t="s">
        <v>29</v>
      </c>
      <c r="D847" s="65" t="s">
        <v>5100</v>
      </c>
      <c r="E847" s="65" t="s">
        <v>31</v>
      </c>
      <c r="F847" s="65" t="s">
        <v>5101</v>
      </c>
      <c r="G847" s="65" t="s">
        <v>5102</v>
      </c>
      <c r="H847" s="65" t="s">
        <v>5103</v>
      </c>
      <c r="I847" s="65" t="s">
        <v>662</v>
      </c>
      <c r="J847" s="65" t="s">
        <v>36</v>
      </c>
      <c r="K847" s="65" t="s">
        <v>37</v>
      </c>
      <c r="L847" s="65" t="s">
        <v>5104</v>
      </c>
      <c r="M847" s="65" t="s">
        <v>5105</v>
      </c>
      <c r="N847" s="65" t="s">
        <v>5102</v>
      </c>
      <c r="O847" s="65" t="s">
        <v>5106</v>
      </c>
      <c r="P847" s="65" t="s">
        <v>101</v>
      </c>
      <c r="Q847" s="65">
        <v>1</v>
      </c>
      <c r="R847" s="65" t="s">
        <v>42</v>
      </c>
      <c r="S847" s="65" t="s">
        <v>44</v>
      </c>
      <c r="T847" s="65" t="s">
        <v>44</v>
      </c>
      <c r="U847" s="65" t="s">
        <v>45</v>
      </c>
      <c r="V847" s="65" t="s">
        <v>60</v>
      </c>
      <c r="W847" s="65">
        <v>135.59</v>
      </c>
      <c r="X847" s="65" t="s">
        <v>47</v>
      </c>
      <c r="Y847" s="65" t="s">
        <v>48</v>
      </c>
      <c r="Z847" s="65" t="s">
        <v>49</v>
      </c>
      <c r="AA847" s="65">
        <v>997145685</v>
      </c>
      <c r="AB847" s="65" t="s">
        <v>666</v>
      </c>
    </row>
    <row r="848" spans="1:28" x14ac:dyDescent="0.3">
      <c r="A848" s="1">
        <v>46308</v>
      </c>
      <c r="B848" s="65" t="s">
        <v>5107</v>
      </c>
      <c r="C848" s="65" t="s">
        <v>29</v>
      </c>
      <c r="D848" s="65" t="s">
        <v>5108</v>
      </c>
      <c r="E848" s="65" t="s">
        <v>31</v>
      </c>
      <c r="F848" s="65" t="s">
        <v>5109</v>
      </c>
      <c r="G848" s="65" t="s">
        <v>5110</v>
      </c>
      <c r="H848" s="65" t="s">
        <v>5111</v>
      </c>
      <c r="I848" s="65" t="s">
        <v>662</v>
      </c>
      <c r="J848" s="65" t="s">
        <v>36</v>
      </c>
      <c r="K848" s="65" t="s">
        <v>37</v>
      </c>
      <c r="L848" s="65" t="s">
        <v>5112</v>
      </c>
      <c r="M848" s="65" t="s">
        <v>5113</v>
      </c>
      <c r="N848" s="65" t="s">
        <v>5110</v>
      </c>
      <c r="O848" s="65" t="s">
        <v>5114</v>
      </c>
      <c r="P848" s="65" t="s">
        <v>159</v>
      </c>
      <c r="Q848" s="65">
        <v>1</v>
      </c>
      <c r="R848" s="65" t="s">
        <v>70</v>
      </c>
      <c r="S848" s="65" t="s">
        <v>43</v>
      </c>
      <c r="T848" s="65" t="s">
        <v>44</v>
      </c>
      <c r="U848" s="65" t="s">
        <v>71</v>
      </c>
      <c r="V848" s="65" t="s">
        <v>72</v>
      </c>
      <c r="W848" s="65">
        <v>135.59</v>
      </c>
      <c r="X848" s="65" t="s">
        <v>47</v>
      </c>
      <c r="Y848" s="65" t="s">
        <v>48</v>
      </c>
      <c r="Z848" s="65" t="s">
        <v>73</v>
      </c>
      <c r="AA848" s="65">
        <v>997145685</v>
      </c>
      <c r="AB848" s="65" t="s">
        <v>666</v>
      </c>
    </row>
    <row r="849" spans="1:28" x14ac:dyDescent="0.3">
      <c r="A849" s="1">
        <v>46308</v>
      </c>
      <c r="B849" s="65" t="s">
        <v>5115</v>
      </c>
      <c r="C849" s="65" t="s">
        <v>268</v>
      </c>
      <c r="D849" s="65" t="s">
        <v>5116</v>
      </c>
      <c r="E849" s="65" t="s">
        <v>31</v>
      </c>
      <c r="F849" s="65" t="s">
        <v>5117</v>
      </c>
      <c r="G849" s="65" t="s">
        <v>5086</v>
      </c>
      <c r="H849" s="65" t="s">
        <v>5118</v>
      </c>
      <c r="I849" s="65" t="s">
        <v>774</v>
      </c>
      <c r="J849" s="65" t="s">
        <v>775</v>
      </c>
      <c r="K849" s="65" t="s">
        <v>37</v>
      </c>
      <c r="L849" s="65" t="s">
        <v>5088</v>
      </c>
      <c r="M849" s="65" t="s">
        <v>5089</v>
      </c>
      <c r="N849" s="65" t="s">
        <v>798</v>
      </c>
      <c r="O849" s="65" t="s">
        <v>5119</v>
      </c>
      <c r="P849" s="65" t="s">
        <v>288</v>
      </c>
      <c r="Q849" s="65">
        <v>1</v>
      </c>
      <c r="R849" s="65" t="s">
        <v>42</v>
      </c>
      <c r="S849" s="65" t="s">
        <v>44</v>
      </c>
      <c r="T849" s="65" t="s">
        <v>44</v>
      </c>
      <c r="U849" s="65" t="s">
        <v>45</v>
      </c>
      <c r="V849" s="65" t="s">
        <v>60</v>
      </c>
      <c r="W849" s="65">
        <v>0</v>
      </c>
      <c r="X849" s="65" t="s">
        <v>289</v>
      </c>
      <c r="Y849" s="65" t="s">
        <v>48</v>
      </c>
      <c r="Z849" s="65" t="s">
        <v>49</v>
      </c>
      <c r="AA849" s="65"/>
      <c r="AB849" s="65"/>
    </row>
    <row r="850" spans="1:28" x14ac:dyDescent="0.3">
      <c r="A850" s="1">
        <v>46308</v>
      </c>
      <c r="B850" s="65" t="s">
        <v>5115</v>
      </c>
      <c r="C850" s="65" t="s">
        <v>268</v>
      </c>
      <c r="D850" s="65" t="s">
        <v>5116</v>
      </c>
      <c r="E850" s="65" t="s">
        <v>31</v>
      </c>
      <c r="F850" s="65" t="s">
        <v>5117</v>
      </c>
      <c r="G850" s="65" t="s">
        <v>5086</v>
      </c>
      <c r="H850" s="65" t="s">
        <v>5118</v>
      </c>
      <c r="I850" s="65" t="s">
        <v>774</v>
      </c>
      <c r="J850" s="65" t="s">
        <v>775</v>
      </c>
      <c r="K850" s="65" t="s">
        <v>37</v>
      </c>
      <c r="L850" s="65" t="s">
        <v>5088</v>
      </c>
      <c r="M850" s="65" t="s">
        <v>5089</v>
      </c>
      <c r="N850" s="65" t="s">
        <v>798</v>
      </c>
      <c r="O850" s="65" t="s">
        <v>5119</v>
      </c>
      <c r="P850" s="65" t="s">
        <v>290</v>
      </c>
      <c r="Q850" s="65">
        <v>1</v>
      </c>
      <c r="R850" s="65" t="s">
        <v>42</v>
      </c>
      <c r="S850" s="65" t="s">
        <v>44</v>
      </c>
      <c r="T850" s="65" t="s">
        <v>44</v>
      </c>
      <c r="U850" s="65" t="s">
        <v>45</v>
      </c>
      <c r="V850" s="65" t="s">
        <v>60</v>
      </c>
      <c r="W850" s="65">
        <v>1525.42</v>
      </c>
      <c r="X850" s="65" t="s">
        <v>289</v>
      </c>
      <c r="Y850" s="65" t="s">
        <v>48</v>
      </c>
      <c r="Z850" s="65" t="s">
        <v>49</v>
      </c>
      <c r="AA850" s="65"/>
      <c r="AB850" s="65"/>
    </row>
    <row r="851" spans="1:28" x14ac:dyDescent="0.3">
      <c r="A851" s="1">
        <v>46308</v>
      </c>
      <c r="B851" s="65" t="s">
        <v>5120</v>
      </c>
      <c r="C851" s="65" t="s">
        <v>268</v>
      </c>
      <c r="D851" s="65" t="s">
        <v>5121</v>
      </c>
      <c r="E851" s="65" t="s">
        <v>31</v>
      </c>
      <c r="F851" s="65" t="s">
        <v>5122</v>
      </c>
      <c r="G851" s="65" t="s">
        <v>4606</v>
      </c>
      <c r="H851" s="65" t="s">
        <v>5118</v>
      </c>
      <c r="I851" s="65" t="s">
        <v>774</v>
      </c>
      <c r="J851" s="65" t="s">
        <v>775</v>
      </c>
      <c r="K851" s="65" t="s">
        <v>37</v>
      </c>
      <c r="L851" s="65" t="s">
        <v>4608</v>
      </c>
      <c r="M851" s="65" t="s">
        <v>4609</v>
      </c>
      <c r="N851" s="65" t="s">
        <v>798</v>
      </c>
      <c r="O851" s="65" t="s">
        <v>5123</v>
      </c>
      <c r="P851" s="65" t="s">
        <v>288</v>
      </c>
      <c r="Q851" s="65">
        <v>1</v>
      </c>
      <c r="R851" s="65" t="s">
        <v>42</v>
      </c>
      <c r="S851" s="65" t="s">
        <v>44</v>
      </c>
      <c r="T851" s="65" t="s">
        <v>44</v>
      </c>
      <c r="U851" s="65" t="s">
        <v>45</v>
      </c>
      <c r="V851" s="65" t="s">
        <v>60</v>
      </c>
      <c r="W851" s="65">
        <v>0</v>
      </c>
      <c r="X851" s="65" t="s">
        <v>289</v>
      </c>
      <c r="Y851" s="65" t="s">
        <v>48</v>
      </c>
      <c r="Z851" s="65" t="s">
        <v>49</v>
      </c>
      <c r="AA851" s="65"/>
      <c r="AB851" s="65"/>
    </row>
    <row r="852" spans="1:28" x14ac:dyDescent="0.3">
      <c r="A852" s="1">
        <v>46308</v>
      </c>
      <c r="B852" s="65" t="s">
        <v>5120</v>
      </c>
      <c r="C852" s="65" t="s">
        <v>268</v>
      </c>
      <c r="D852" s="65" t="s">
        <v>5121</v>
      </c>
      <c r="E852" s="65" t="s">
        <v>31</v>
      </c>
      <c r="F852" s="65" t="s">
        <v>5122</v>
      </c>
      <c r="G852" s="65" t="s">
        <v>4606</v>
      </c>
      <c r="H852" s="65" t="s">
        <v>5118</v>
      </c>
      <c r="I852" s="65" t="s">
        <v>774</v>
      </c>
      <c r="J852" s="65" t="s">
        <v>775</v>
      </c>
      <c r="K852" s="65" t="s">
        <v>37</v>
      </c>
      <c r="L852" s="65" t="s">
        <v>4608</v>
      </c>
      <c r="M852" s="65" t="s">
        <v>4609</v>
      </c>
      <c r="N852" s="65" t="s">
        <v>798</v>
      </c>
      <c r="O852" s="65" t="s">
        <v>5123</v>
      </c>
      <c r="P852" s="65" t="s">
        <v>290</v>
      </c>
      <c r="Q852" s="65">
        <v>1</v>
      </c>
      <c r="R852" s="65" t="s">
        <v>42</v>
      </c>
      <c r="S852" s="65" t="s">
        <v>44</v>
      </c>
      <c r="T852" s="65" t="s">
        <v>44</v>
      </c>
      <c r="U852" s="65" t="s">
        <v>45</v>
      </c>
      <c r="V852" s="65" t="s">
        <v>60</v>
      </c>
      <c r="W852" s="65">
        <v>762.71</v>
      </c>
      <c r="X852" s="65" t="s">
        <v>289</v>
      </c>
      <c r="Y852" s="65" t="s">
        <v>48</v>
      </c>
      <c r="Z852" s="65" t="s">
        <v>49</v>
      </c>
      <c r="AA852" s="65"/>
      <c r="AB852" s="65"/>
    </row>
    <row r="853" spans="1:28" x14ac:dyDescent="0.3">
      <c r="A853" s="1">
        <v>46308</v>
      </c>
      <c r="B853" s="65" t="s">
        <v>5124</v>
      </c>
      <c r="C853" s="65" t="s">
        <v>268</v>
      </c>
      <c r="D853" s="65" t="s">
        <v>5125</v>
      </c>
      <c r="E853" s="65" t="s">
        <v>31</v>
      </c>
      <c r="F853" s="65" t="s">
        <v>5126</v>
      </c>
      <c r="G853" s="65" t="s">
        <v>5078</v>
      </c>
      <c r="H853" s="65" t="s">
        <v>5118</v>
      </c>
      <c r="I853" s="65" t="s">
        <v>774</v>
      </c>
      <c r="J853" s="65" t="s">
        <v>775</v>
      </c>
      <c r="K853" s="65" t="s">
        <v>37</v>
      </c>
      <c r="L853" s="65" t="s">
        <v>5080</v>
      </c>
      <c r="M853" s="65" t="s">
        <v>5081</v>
      </c>
      <c r="N853" s="65" t="s">
        <v>798</v>
      </c>
      <c r="O853" s="65" t="s">
        <v>5127</v>
      </c>
      <c r="P853" s="65" t="s">
        <v>288</v>
      </c>
      <c r="Q853" s="65">
        <v>1</v>
      </c>
      <c r="R853" s="65" t="s">
        <v>42</v>
      </c>
      <c r="S853" s="65" t="s">
        <v>44</v>
      </c>
      <c r="T853" s="65" t="s">
        <v>44</v>
      </c>
      <c r="U853" s="65" t="s">
        <v>45</v>
      </c>
      <c r="V853" s="65" t="s">
        <v>60</v>
      </c>
      <c r="W853" s="65">
        <v>0</v>
      </c>
      <c r="X853" s="65" t="s">
        <v>289</v>
      </c>
      <c r="Y853" s="65" t="s">
        <v>48</v>
      </c>
      <c r="Z853" s="65" t="s">
        <v>49</v>
      </c>
      <c r="AA853" s="65"/>
      <c r="AB853" s="65"/>
    </row>
    <row r="854" spans="1:28" x14ac:dyDescent="0.3">
      <c r="A854" s="1">
        <v>46308</v>
      </c>
      <c r="B854" s="65" t="s">
        <v>5124</v>
      </c>
      <c r="C854" s="65" t="s">
        <v>268</v>
      </c>
      <c r="D854" s="65" t="s">
        <v>5125</v>
      </c>
      <c r="E854" s="65" t="s">
        <v>31</v>
      </c>
      <c r="F854" s="65" t="s">
        <v>5126</v>
      </c>
      <c r="G854" s="65" t="s">
        <v>5078</v>
      </c>
      <c r="H854" s="65" t="s">
        <v>5118</v>
      </c>
      <c r="I854" s="65" t="s">
        <v>774</v>
      </c>
      <c r="J854" s="65" t="s">
        <v>775</v>
      </c>
      <c r="K854" s="65" t="s">
        <v>37</v>
      </c>
      <c r="L854" s="65" t="s">
        <v>5080</v>
      </c>
      <c r="M854" s="65" t="s">
        <v>5081</v>
      </c>
      <c r="N854" s="65" t="s">
        <v>798</v>
      </c>
      <c r="O854" s="65" t="s">
        <v>5127</v>
      </c>
      <c r="P854" s="65" t="s">
        <v>290</v>
      </c>
      <c r="Q854" s="65">
        <v>1</v>
      </c>
      <c r="R854" s="65" t="s">
        <v>42</v>
      </c>
      <c r="S854" s="65" t="s">
        <v>44</v>
      </c>
      <c r="T854" s="65" t="s">
        <v>44</v>
      </c>
      <c r="U854" s="65" t="s">
        <v>45</v>
      </c>
      <c r="V854" s="65" t="s">
        <v>60</v>
      </c>
      <c r="W854" s="65">
        <v>1525.42</v>
      </c>
      <c r="X854" s="65" t="s">
        <v>289</v>
      </c>
      <c r="Y854" s="65" t="s">
        <v>48</v>
      </c>
      <c r="Z854" s="65" t="s">
        <v>49</v>
      </c>
      <c r="AA854" s="65"/>
      <c r="AB854" s="65"/>
    </row>
    <row r="855" spans="1:28" x14ac:dyDescent="0.3">
      <c r="A855" s="1">
        <v>46308</v>
      </c>
      <c r="B855" s="65" t="s">
        <v>5128</v>
      </c>
      <c r="C855" s="65" t="s">
        <v>268</v>
      </c>
      <c r="D855" s="65" t="s">
        <v>5129</v>
      </c>
      <c r="E855" s="65" t="s">
        <v>31</v>
      </c>
      <c r="F855" s="65" t="s">
        <v>5130</v>
      </c>
      <c r="G855" s="65" t="s">
        <v>5131</v>
      </c>
      <c r="H855" s="65" t="s">
        <v>5000</v>
      </c>
      <c r="I855" s="65" t="s">
        <v>273</v>
      </c>
      <c r="J855" s="65" t="s">
        <v>274</v>
      </c>
      <c r="K855" s="65" t="s">
        <v>37</v>
      </c>
      <c r="L855" s="65" t="s">
        <v>5132</v>
      </c>
      <c r="M855" s="65" t="s">
        <v>608</v>
      </c>
      <c r="N855" s="65" t="s">
        <v>277</v>
      </c>
      <c r="O855" s="65" t="s">
        <v>5133</v>
      </c>
      <c r="P855" s="65" t="s">
        <v>288</v>
      </c>
      <c r="Q855" s="65">
        <v>1</v>
      </c>
      <c r="R855" s="65" t="s">
        <v>42</v>
      </c>
      <c r="S855" s="65" t="s">
        <v>44</v>
      </c>
      <c r="T855" s="65" t="s">
        <v>44</v>
      </c>
      <c r="U855" s="65" t="s">
        <v>45</v>
      </c>
      <c r="V855" s="65" t="s">
        <v>60</v>
      </c>
      <c r="W855" s="65">
        <v>0</v>
      </c>
      <c r="X855" s="65" t="s">
        <v>289</v>
      </c>
      <c r="Y855" s="65" t="s">
        <v>48</v>
      </c>
      <c r="Z855" s="65" t="s">
        <v>49</v>
      </c>
      <c r="AA855" s="65">
        <v>950133748</v>
      </c>
      <c r="AB855" s="65" t="s">
        <v>279</v>
      </c>
    </row>
    <row r="856" spans="1:28" x14ac:dyDescent="0.3">
      <c r="A856" s="1">
        <v>46308</v>
      </c>
      <c r="B856" s="65" t="s">
        <v>5128</v>
      </c>
      <c r="C856" s="65" t="s">
        <v>268</v>
      </c>
      <c r="D856" s="65" t="s">
        <v>5129</v>
      </c>
      <c r="E856" s="65" t="s">
        <v>31</v>
      </c>
      <c r="F856" s="65" t="s">
        <v>5130</v>
      </c>
      <c r="G856" s="65" t="s">
        <v>5131</v>
      </c>
      <c r="H856" s="65" t="s">
        <v>5000</v>
      </c>
      <c r="I856" s="65" t="s">
        <v>273</v>
      </c>
      <c r="J856" s="65" t="s">
        <v>274</v>
      </c>
      <c r="K856" s="65" t="s">
        <v>37</v>
      </c>
      <c r="L856" s="65" t="s">
        <v>5132</v>
      </c>
      <c r="M856" s="65" t="s">
        <v>608</v>
      </c>
      <c r="N856" s="65" t="s">
        <v>277</v>
      </c>
      <c r="O856" s="65" t="s">
        <v>5133</v>
      </c>
      <c r="P856" s="65" t="s">
        <v>290</v>
      </c>
      <c r="Q856" s="65">
        <v>1</v>
      </c>
      <c r="R856" s="65" t="s">
        <v>42</v>
      </c>
      <c r="S856" s="65" t="s">
        <v>44</v>
      </c>
      <c r="T856" s="65" t="s">
        <v>44</v>
      </c>
      <c r="U856" s="65" t="s">
        <v>45</v>
      </c>
      <c r="V856" s="65" t="s">
        <v>60</v>
      </c>
      <c r="W856" s="65">
        <v>1050.8499999999999</v>
      </c>
      <c r="X856" s="65" t="s">
        <v>289</v>
      </c>
      <c r="Y856" s="65" t="s">
        <v>48</v>
      </c>
      <c r="Z856" s="65" t="s">
        <v>49</v>
      </c>
      <c r="AA856" s="65">
        <v>950133748</v>
      </c>
      <c r="AB856" s="65" t="s">
        <v>279</v>
      </c>
    </row>
    <row r="857" spans="1:28" x14ac:dyDescent="0.3">
      <c r="A857" s="1">
        <v>46308</v>
      </c>
      <c r="B857" s="65" t="s">
        <v>5134</v>
      </c>
      <c r="C857" s="65" t="s">
        <v>268</v>
      </c>
      <c r="D857" s="65" t="s">
        <v>5135</v>
      </c>
      <c r="E857" s="65" t="s">
        <v>31</v>
      </c>
      <c r="F857" s="65" t="s">
        <v>5136</v>
      </c>
      <c r="G857" s="65" t="s">
        <v>5137</v>
      </c>
      <c r="H857" s="65" t="s">
        <v>5000</v>
      </c>
      <c r="I857" s="65" t="s">
        <v>273</v>
      </c>
      <c r="J857" s="65" t="s">
        <v>274</v>
      </c>
      <c r="K857" s="65" t="s">
        <v>37</v>
      </c>
      <c r="L857" s="65" t="s">
        <v>5138</v>
      </c>
      <c r="M857" s="65" t="s">
        <v>5139</v>
      </c>
      <c r="N857" s="65" t="s">
        <v>277</v>
      </c>
      <c r="O857" s="65" t="s">
        <v>5140</v>
      </c>
      <c r="P857" s="65" t="s">
        <v>130</v>
      </c>
      <c r="Q857" s="65">
        <v>1</v>
      </c>
      <c r="R857" s="65" t="s">
        <v>42</v>
      </c>
      <c r="S857" s="65" t="s">
        <v>44</v>
      </c>
      <c r="T857" s="65" t="s">
        <v>44</v>
      </c>
      <c r="U857" s="65" t="s">
        <v>45</v>
      </c>
      <c r="V857" s="65" t="s">
        <v>60</v>
      </c>
      <c r="W857" s="65">
        <v>152.54</v>
      </c>
      <c r="X857" s="65" t="s">
        <v>47</v>
      </c>
      <c r="Y857" s="65" t="s">
        <v>48</v>
      </c>
      <c r="Z857" s="65" t="s">
        <v>49</v>
      </c>
      <c r="AA857" s="65">
        <v>950133748</v>
      </c>
      <c r="AB857" s="65" t="s">
        <v>279</v>
      </c>
    </row>
    <row r="858" spans="1:28" x14ac:dyDescent="0.3">
      <c r="A858" s="1">
        <v>46308</v>
      </c>
      <c r="B858" s="65" t="s">
        <v>5141</v>
      </c>
      <c r="C858" s="65" t="s">
        <v>29</v>
      </c>
      <c r="D858" s="65" t="s">
        <v>5142</v>
      </c>
      <c r="E858" s="65" t="s">
        <v>31</v>
      </c>
      <c r="F858" s="65" t="s">
        <v>5143</v>
      </c>
      <c r="G858" s="65" t="s">
        <v>4566</v>
      </c>
      <c r="H858" s="65" t="s">
        <v>4567</v>
      </c>
      <c r="I858" s="65" t="s">
        <v>434</v>
      </c>
      <c r="J858" s="65" t="s">
        <v>435</v>
      </c>
      <c r="K858" s="65" t="s">
        <v>37</v>
      </c>
      <c r="L858" s="65" t="s">
        <v>4568</v>
      </c>
      <c r="M858" s="65" t="s">
        <v>4569</v>
      </c>
      <c r="N858" s="65" t="s">
        <v>4566</v>
      </c>
      <c r="O858" s="65" t="s">
        <v>5144</v>
      </c>
      <c r="P858" s="65" t="s">
        <v>2875</v>
      </c>
      <c r="Q858" s="65">
        <v>1</v>
      </c>
      <c r="R858" s="65" t="s">
        <v>70</v>
      </c>
      <c r="S858" s="65" t="s">
        <v>43</v>
      </c>
      <c r="T858" s="65" t="s">
        <v>44</v>
      </c>
      <c r="U858" s="65" t="s">
        <v>71</v>
      </c>
      <c r="V858" s="65" t="s">
        <v>184</v>
      </c>
      <c r="W858" s="65">
        <v>186.44</v>
      </c>
      <c r="X858" s="65" t="s">
        <v>47</v>
      </c>
      <c r="Y858" s="65" t="s">
        <v>48</v>
      </c>
      <c r="Z858" s="65" t="s">
        <v>73</v>
      </c>
      <c r="AA858" s="65">
        <v>992903716</v>
      </c>
      <c r="AB858" s="65" t="s">
        <v>439</v>
      </c>
    </row>
    <row r="859" spans="1:28" x14ac:dyDescent="0.3">
      <c r="A859" s="1">
        <v>46308</v>
      </c>
      <c r="B859" s="65" t="s">
        <v>5141</v>
      </c>
      <c r="C859" s="65" t="s">
        <v>29</v>
      </c>
      <c r="D859" s="65" t="s">
        <v>5142</v>
      </c>
      <c r="E859" s="65" t="s">
        <v>31</v>
      </c>
      <c r="F859" s="65" t="s">
        <v>5143</v>
      </c>
      <c r="G859" s="65" t="s">
        <v>4566</v>
      </c>
      <c r="H859" s="65" t="s">
        <v>4567</v>
      </c>
      <c r="I859" s="65" t="s">
        <v>434</v>
      </c>
      <c r="J859" s="65" t="s">
        <v>435</v>
      </c>
      <c r="K859" s="65" t="s">
        <v>37</v>
      </c>
      <c r="L859" s="65" t="s">
        <v>4568</v>
      </c>
      <c r="M859" s="65" t="s">
        <v>4569</v>
      </c>
      <c r="N859" s="65" t="s">
        <v>4566</v>
      </c>
      <c r="O859" s="65" t="s">
        <v>5144</v>
      </c>
      <c r="P859" s="65" t="s">
        <v>2875</v>
      </c>
      <c r="Q859" s="65">
        <v>1</v>
      </c>
      <c r="R859" s="65" t="s">
        <v>70</v>
      </c>
      <c r="S859" s="65" t="s">
        <v>43</v>
      </c>
      <c r="T859" s="65" t="s">
        <v>44</v>
      </c>
      <c r="U859" s="65" t="s">
        <v>71</v>
      </c>
      <c r="V859" s="65" t="s">
        <v>184</v>
      </c>
      <c r="W859" s="65">
        <v>135.59</v>
      </c>
      <c r="X859" s="65" t="s">
        <v>47</v>
      </c>
      <c r="Y859" s="65" t="s">
        <v>48</v>
      </c>
      <c r="Z859" s="65" t="s">
        <v>73</v>
      </c>
      <c r="AA859" s="65">
        <v>992903716</v>
      </c>
      <c r="AB859" s="65" t="s">
        <v>439</v>
      </c>
    </row>
    <row r="860" spans="1:28" x14ac:dyDescent="0.3">
      <c r="A860" s="1">
        <v>46309</v>
      </c>
      <c r="B860" s="65" t="s">
        <v>5145</v>
      </c>
      <c r="C860" s="65" t="s">
        <v>29</v>
      </c>
      <c r="D860" s="65" t="s">
        <v>5146</v>
      </c>
      <c r="E860" s="65" t="s">
        <v>31</v>
      </c>
      <c r="F860" s="65" t="s">
        <v>5147</v>
      </c>
      <c r="G860" s="65" t="s">
        <v>5148</v>
      </c>
      <c r="H860" s="65" t="s">
        <v>5149</v>
      </c>
      <c r="I860" s="65" t="s">
        <v>715</v>
      </c>
      <c r="J860" s="65" t="s">
        <v>716</v>
      </c>
      <c r="K860" s="65" t="s">
        <v>37</v>
      </c>
      <c r="L860" s="65" t="s">
        <v>5150</v>
      </c>
      <c r="M860" s="65" t="s">
        <v>5151</v>
      </c>
      <c r="N860" s="65" t="s">
        <v>5148</v>
      </c>
      <c r="O860" s="65" t="s">
        <v>5152</v>
      </c>
      <c r="P860" s="65" t="s">
        <v>101</v>
      </c>
      <c r="Q860" s="65">
        <v>1</v>
      </c>
      <c r="R860" s="65" t="s">
        <v>70</v>
      </c>
      <c r="S860" s="65" t="s">
        <v>43</v>
      </c>
      <c r="T860" s="65" t="s">
        <v>44</v>
      </c>
      <c r="U860" s="65" t="s">
        <v>71</v>
      </c>
      <c r="V860" s="65" t="s">
        <v>72</v>
      </c>
      <c r="W860" s="65">
        <v>186.44</v>
      </c>
      <c r="X860" s="65" t="s">
        <v>47</v>
      </c>
      <c r="Y860" s="65" t="s">
        <v>48</v>
      </c>
      <c r="Z860" s="65" t="s">
        <v>73</v>
      </c>
      <c r="AA860" s="65">
        <v>955356636</v>
      </c>
      <c r="AB860" s="65" t="s">
        <v>720</v>
      </c>
    </row>
    <row r="861" spans="1:28" x14ac:dyDescent="0.3">
      <c r="A861" s="1">
        <v>46309</v>
      </c>
      <c r="B861" s="65" t="s">
        <v>5153</v>
      </c>
      <c r="C861" s="65" t="s">
        <v>29</v>
      </c>
      <c r="D861" s="65" t="s">
        <v>5154</v>
      </c>
      <c r="E861" s="65" t="s">
        <v>31</v>
      </c>
      <c r="F861" s="65" t="s">
        <v>5155</v>
      </c>
      <c r="G861" s="65" t="s">
        <v>5156</v>
      </c>
      <c r="H861" s="65" t="s">
        <v>5157</v>
      </c>
      <c r="I861" s="65" t="s">
        <v>1322</v>
      </c>
      <c r="J861" s="65" t="s">
        <v>36</v>
      </c>
      <c r="K861" s="65" t="s">
        <v>37</v>
      </c>
      <c r="L861" s="65" t="s">
        <v>5158</v>
      </c>
      <c r="M861" s="65" t="s">
        <v>5159</v>
      </c>
      <c r="N861" s="65" t="s">
        <v>5156</v>
      </c>
      <c r="O861" s="65" t="s">
        <v>5160</v>
      </c>
      <c r="P861" s="65" t="s">
        <v>130</v>
      </c>
      <c r="Q861" s="65">
        <v>1</v>
      </c>
      <c r="R861" s="65" t="s">
        <v>70</v>
      </c>
      <c r="S861" s="65" t="s">
        <v>43</v>
      </c>
      <c r="T861" s="65" t="s">
        <v>44</v>
      </c>
      <c r="U861" s="65" t="s">
        <v>71</v>
      </c>
      <c r="V861" s="65" t="s">
        <v>184</v>
      </c>
      <c r="W861" s="65">
        <v>152.54</v>
      </c>
      <c r="X861" s="65" t="s">
        <v>47</v>
      </c>
      <c r="Y861" s="65" t="s">
        <v>48</v>
      </c>
      <c r="Z861" s="65" t="s">
        <v>73</v>
      </c>
      <c r="AA861" s="65">
        <v>999111362</v>
      </c>
      <c r="AB861" s="65" t="s">
        <v>1326</v>
      </c>
    </row>
    <row r="862" spans="1:28" x14ac:dyDescent="0.3">
      <c r="A862" s="1">
        <v>46309</v>
      </c>
      <c r="B862" s="65" t="s">
        <v>5161</v>
      </c>
      <c r="C862" s="65" t="s">
        <v>29</v>
      </c>
      <c r="D862" s="65" t="s">
        <v>5162</v>
      </c>
      <c r="E862" s="65" t="s">
        <v>31</v>
      </c>
      <c r="F862" s="65" t="s">
        <v>5163</v>
      </c>
      <c r="G862" s="65" t="s">
        <v>5164</v>
      </c>
      <c r="H862" s="65" t="s">
        <v>5165</v>
      </c>
      <c r="I862" s="65" t="s">
        <v>35</v>
      </c>
      <c r="J862" s="65" t="s">
        <v>36</v>
      </c>
      <c r="K862" s="65" t="s">
        <v>37</v>
      </c>
      <c r="L862" s="65" t="s">
        <v>5166</v>
      </c>
      <c r="M862" s="65" t="s">
        <v>5167</v>
      </c>
      <c r="N862" s="65" t="s">
        <v>5164</v>
      </c>
      <c r="O862" s="65" t="s">
        <v>5168</v>
      </c>
      <c r="P862" s="65" t="s">
        <v>41</v>
      </c>
      <c r="Q862" s="65">
        <v>1</v>
      </c>
      <c r="R862" s="65" t="s">
        <v>42</v>
      </c>
      <c r="S862" s="65" t="s">
        <v>44</v>
      </c>
      <c r="T862" s="65" t="s">
        <v>44</v>
      </c>
      <c r="U862" s="65" t="s">
        <v>45</v>
      </c>
      <c r="V862" s="65" t="s">
        <v>60</v>
      </c>
      <c r="W862" s="65">
        <v>186.44</v>
      </c>
      <c r="X862" s="65" t="s">
        <v>47</v>
      </c>
      <c r="Y862" s="65" t="s">
        <v>48</v>
      </c>
      <c r="Z862" s="65" t="s">
        <v>49</v>
      </c>
      <c r="AA862" s="65">
        <v>999996347</v>
      </c>
      <c r="AB862" s="65" t="s">
        <v>50</v>
      </c>
    </row>
    <row r="863" spans="1:28" x14ac:dyDescent="0.3">
      <c r="A863" s="1">
        <v>46309</v>
      </c>
      <c r="B863" s="65" t="s">
        <v>5161</v>
      </c>
      <c r="C863" s="65" t="s">
        <v>29</v>
      </c>
      <c r="D863" s="65" t="s">
        <v>5162</v>
      </c>
      <c r="E863" s="65" t="s">
        <v>31</v>
      </c>
      <c r="F863" s="65" t="s">
        <v>5163</v>
      </c>
      <c r="G863" s="65" t="s">
        <v>5164</v>
      </c>
      <c r="H863" s="65" t="s">
        <v>5165</v>
      </c>
      <c r="I863" s="65" t="s">
        <v>35</v>
      </c>
      <c r="J863" s="65" t="s">
        <v>36</v>
      </c>
      <c r="K863" s="65" t="s">
        <v>37</v>
      </c>
      <c r="L863" s="65" t="s">
        <v>5166</v>
      </c>
      <c r="M863" s="65" t="s">
        <v>5167</v>
      </c>
      <c r="N863" s="65" t="s">
        <v>5164</v>
      </c>
      <c r="O863" s="65" t="s">
        <v>5168</v>
      </c>
      <c r="P863" s="65" t="s">
        <v>41</v>
      </c>
      <c r="Q863" s="65">
        <v>1</v>
      </c>
      <c r="R863" s="65" t="s">
        <v>42</v>
      </c>
      <c r="S863" s="65" t="s">
        <v>44</v>
      </c>
      <c r="T863" s="65" t="s">
        <v>44</v>
      </c>
      <c r="U863" s="65" t="s">
        <v>45</v>
      </c>
      <c r="V863" s="65" t="s">
        <v>60</v>
      </c>
      <c r="W863" s="65">
        <v>186.44</v>
      </c>
      <c r="X863" s="65" t="s">
        <v>47</v>
      </c>
      <c r="Y863" s="65" t="s">
        <v>48</v>
      </c>
      <c r="Z863" s="65" t="s">
        <v>49</v>
      </c>
      <c r="AA863" s="65">
        <v>999996347</v>
      </c>
      <c r="AB863" s="65" t="s">
        <v>50</v>
      </c>
    </row>
    <row r="864" spans="1:28" x14ac:dyDescent="0.3">
      <c r="A864" s="1">
        <v>46309</v>
      </c>
      <c r="B864" s="65" t="s">
        <v>5169</v>
      </c>
      <c r="C864" s="65" t="s">
        <v>29</v>
      </c>
      <c r="D864" s="65" t="s">
        <v>5170</v>
      </c>
      <c r="E864" s="65" t="s">
        <v>31</v>
      </c>
      <c r="F864" s="65" t="s">
        <v>5171</v>
      </c>
      <c r="G864" s="65" t="s">
        <v>5102</v>
      </c>
      <c r="H864" s="65" t="s">
        <v>5103</v>
      </c>
      <c r="I864" s="65" t="s">
        <v>662</v>
      </c>
      <c r="J864" s="65" t="s">
        <v>36</v>
      </c>
      <c r="K864" s="65" t="s">
        <v>37</v>
      </c>
      <c r="L864" s="65" t="s">
        <v>5104</v>
      </c>
      <c r="M864" s="65" t="s">
        <v>5105</v>
      </c>
      <c r="N864" s="65" t="s">
        <v>5102</v>
      </c>
      <c r="O864" s="65" t="s">
        <v>5172</v>
      </c>
      <c r="P864" s="65" t="s">
        <v>90</v>
      </c>
      <c r="Q864" s="65">
        <v>1</v>
      </c>
      <c r="R864" s="65" t="s">
        <v>42</v>
      </c>
      <c r="S864" s="65" t="s">
        <v>44</v>
      </c>
      <c r="T864" s="65" t="s">
        <v>44</v>
      </c>
      <c r="U864" s="65" t="s">
        <v>45</v>
      </c>
      <c r="V864" s="65" t="s">
        <v>60</v>
      </c>
      <c r="W864" s="65">
        <v>135.59</v>
      </c>
      <c r="X864" s="65" t="s">
        <v>47</v>
      </c>
      <c r="Y864" s="65" t="s">
        <v>48</v>
      </c>
      <c r="Z864" s="65" t="s">
        <v>49</v>
      </c>
      <c r="AA864" s="65">
        <v>997145685</v>
      </c>
      <c r="AB864" s="65" t="s">
        <v>666</v>
      </c>
    </row>
    <row r="865" spans="1:28" x14ac:dyDescent="0.3">
      <c r="A865" s="1">
        <v>46309</v>
      </c>
      <c r="B865" s="65" t="s">
        <v>5173</v>
      </c>
      <c r="C865" s="65" t="s">
        <v>268</v>
      </c>
      <c r="D865" s="65" t="s">
        <v>5174</v>
      </c>
      <c r="E865" s="65" t="s">
        <v>31</v>
      </c>
      <c r="F865" s="65" t="s">
        <v>5175</v>
      </c>
      <c r="G865" s="65" t="s">
        <v>4435</v>
      </c>
      <c r="H865" s="65" t="s">
        <v>5061</v>
      </c>
      <c r="I865" s="65" t="s">
        <v>2795</v>
      </c>
      <c r="J865" s="65" t="s">
        <v>209</v>
      </c>
      <c r="K865" s="65" t="s">
        <v>37</v>
      </c>
      <c r="L865" s="65" t="s">
        <v>4437</v>
      </c>
      <c r="M865" s="65" t="s">
        <v>4438</v>
      </c>
      <c r="N865" s="65" t="s">
        <v>1251</v>
      </c>
      <c r="O865" s="65" t="s">
        <v>5176</v>
      </c>
      <c r="P865" s="65" t="s">
        <v>288</v>
      </c>
      <c r="Q865" s="65">
        <v>1</v>
      </c>
      <c r="R865" s="65" t="s">
        <v>42</v>
      </c>
      <c r="S865" s="65" t="s">
        <v>44</v>
      </c>
      <c r="T865" s="65" t="s">
        <v>44</v>
      </c>
      <c r="U865" s="65" t="s">
        <v>45</v>
      </c>
      <c r="V865" s="65" t="s">
        <v>60</v>
      </c>
      <c r="W865" s="65">
        <v>0</v>
      </c>
      <c r="X865" s="65" t="s">
        <v>289</v>
      </c>
      <c r="Y865" s="65" t="s">
        <v>48</v>
      </c>
      <c r="Z865" s="65" t="s">
        <v>49</v>
      </c>
      <c r="AA865" s="65">
        <v>994872106</v>
      </c>
      <c r="AB865" s="65" t="s">
        <v>1253</v>
      </c>
    </row>
    <row r="866" spans="1:28" x14ac:dyDescent="0.3">
      <c r="A866" s="1">
        <v>46309</v>
      </c>
      <c r="B866" s="65" t="s">
        <v>5173</v>
      </c>
      <c r="C866" s="65" t="s">
        <v>268</v>
      </c>
      <c r="D866" s="65" t="s">
        <v>5174</v>
      </c>
      <c r="E866" s="65" t="s">
        <v>31</v>
      </c>
      <c r="F866" s="65" t="s">
        <v>5175</v>
      </c>
      <c r="G866" s="65" t="s">
        <v>4435</v>
      </c>
      <c r="H866" s="65" t="s">
        <v>5061</v>
      </c>
      <c r="I866" s="65" t="s">
        <v>2795</v>
      </c>
      <c r="J866" s="65" t="s">
        <v>209</v>
      </c>
      <c r="K866" s="65" t="s">
        <v>37</v>
      </c>
      <c r="L866" s="65" t="s">
        <v>4437</v>
      </c>
      <c r="M866" s="65" t="s">
        <v>4438</v>
      </c>
      <c r="N866" s="65" t="s">
        <v>1251</v>
      </c>
      <c r="O866" s="65" t="s">
        <v>5176</v>
      </c>
      <c r="P866" s="65" t="s">
        <v>290</v>
      </c>
      <c r="Q866" s="65">
        <v>1</v>
      </c>
      <c r="R866" s="65" t="s">
        <v>42</v>
      </c>
      <c r="S866" s="65" t="s">
        <v>44</v>
      </c>
      <c r="T866" s="65" t="s">
        <v>44</v>
      </c>
      <c r="U866" s="65" t="s">
        <v>45</v>
      </c>
      <c r="V866" s="65" t="s">
        <v>60</v>
      </c>
      <c r="W866" s="65">
        <v>762.71</v>
      </c>
      <c r="X866" s="65" t="s">
        <v>289</v>
      </c>
      <c r="Y866" s="65" t="s">
        <v>48</v>
      </c>
      <c r="Z866" s="65" t="s">
        <v>49</v>
      </c>
      <c r="AA866" s="65">
        <v>994872106</v>
      </c>
      <c r="AB866" s="65" t="s">
        <v>1253</v>
      </c>
    </row>
    <row r="867" spans="1:28" x14ac:dyDescent="0.3">
      <c r="A867" s="1">
        <v>46309</v>
      </c>
      <c r="B867" s="65" t="s">
        <v>5177</v>
      </c>
      <c r="C867" s="65" t="s">
        <v>268</v>
      </c>
      <c r="D867" s="65" t="s">
        <v>5178</v>
      </c>
      <c r="E867" s="65" t="s">
        <v>31</v>
      </c>
      <c r="F867" s="65" t="s">
        <v>5179</v>
      </c>
      <c r="G867" s="65" t="s">
        <v>4866</v>
      </c>
      <c r="H867" s="65" t="s">
        <v>5061</v>
      </c>
      <c r="I867" s="65" t="s">
        <v>2795</v>
      </c>
      <c r="J867" s="65" t="s">
        <v>209</v>
      </c>
      <c r="K867" s="65" t="s">
        <v>37</v>
      </c>
      <c r="L867" s="65" t="s">
        <v>4867</v>
      </c>
      <c r="M867" s="65" t="s">
        <v>4002</v>
      </c>
      <c r="N867" s="65" t="s">
        <v>1251</v>
      </c>
      <c r="O867" s="65" t="s">
        <v>5180</v>
      </c>
      <c r="P867" s="65" t="s">
        <v>288</v>
      </c>
      <c r="Q867" s="65">
        <v>1</v>
      </c>
      <c r="R867" s="65" t="s">
        <v>42</v>
      </c>
      <c r="S867" s="65" t="s">
        <v>44</v>
      </c>
      <c r="T867" s="65" t="s">
        <v>44</v>
      </c>
      <c r="U867" s="65" t="s">
        <v>45</v>
      </c>
      <c r="V867" s="65" t="s">
        <v>60</v>
      </c>
      <c r="W867" s="65">
        <v>0</v>
      </c>
      <c r="X867" s="65" t="s">
        <v>289</v>
      </c>
      <c r="Y867" s="65" t="s">
        <v>48</v>
      </c>
      <c r="Z867" s="65" t="s">
        <v>49</v>
      </c>
      <c r="AA867" s="65">
        <v>994872106</v>
      </c>
      <c r="AB867" s="65" t="s">
        <v>1253</v>
      </c>
    </row>
    <row r="868" spans="1:28" x14ac:dyDescent="0.3">
      <c r="A868" s="1">
        <v>46309</v>
      </c>
      <c r="B868" s="65" t="s">
        <v>5177</v>
      </c>
      <c r="C868" s="65" t="s">
        <v>268</v>
      </c>
      <c r="D868" s="65" t="s">
        <v>5178</v>
      </c>
      <c r="E868" s="65" t="s">
        <v>31</v>
      </c>
      <c r="F868" s="65" t="s">
        <v>5179</v>
      </c>
      <c r="G868" s="65" t="s">
        <v>4866</v>
      </c>
      <c r="H868" s="65" t="s">
        <v>5061</v>
      </c>
      <c r="I868" s="65" t="s">
        <v>2795</v>
      </c>
      <c r="J868" s="65" t="s">
        <v>209</v>
      </c>
      <c r="K868" s="65" t="s">
        <v>37</v>
      </c>
      <c r="L868" s="65" t="s">
        <v>4867</v>
      </c>
      <c r="M868" s="65" t="s">
        <v>4002</v>
      </c>
      <c r="N868" s="65" t="s">
        <v>1251</v>
      </c>
      <c r="O868" s="65" t="s">
        <v>5180</v>
      </c>
      <c r="P868" s="65" t="s">
        <v>290</v>
      </c>
      <c r="Q868" s="65">
        <v>1</v>
      </c>
      <c r="R868" s="65" t="s">
        <v>42</v>
      </c>
      <c r="S868" s="65" t="s">
        <v>44</v>
      </c>
      <c r="T868" s="65" t="s">
        <v>44</v>
      </c>
      <c r="U868" s="65" t="s">
        <v>45</v>
      </c>
      <c r="V868" s="65" t="s">
        <v>60</v>
      </c>
      <c r="W868" s="65">
        <v>762.71</v>
      </c>
      <c r="X868" s="65" t="s">
        <v>289</v>
      </c>
      <c r="Y868" s="65" t="s">
        <v>48</v>
      </c>
      <c r="Z868" s="65" t="s">
        <v>49</v>
      </c>
      <c r="AA868" s="65">
        <v>994872106</v>
      </c>
      <c r="AB868" s="65" t="s">
        <v>1253</v>
      </c>
    </row>
    <row r="869" spans="1:28" x14ac:dyDescent="0.3">
      <c r="A869" s="1">
        <v>46310</v>
      </c>
      <c r="B869" s="65" t="s">
        <v>5181</v>
      </c>
      <c r="C869" s="65" t="s">
        <v>29</v>
      </c>
      <c r="D869" s="65" t="s">
        <v>5182</v>
      </c>
      <c r="E869" s="65" t="s">
        <v>31</v>
      </c>
      <c r="F869" s="65" t="s">
        <v>5183</v>
      </c>
      <c r="G869" s="65" t="s">
        <v>5184</v>
      </c>
      <c r="H869" s="65" t="s">
        <v>5185</v>
      </c>
      <c r="I869" s="65" t="s">
        <v>3072</v>
      </c>
      <c r="J869" s="65" t="s">
        <v>3037</v>
      </c>
      <c r="K869" s="65" t="s">
        <v>37</v>
      </c>
      <c r="L869" s="65" t="s">
        <v>5186</v>
      </c>
      <c r="M869" s="65" t="s">
        <v>5187</v>
      </c>
      <c r="N869" s="65" t="s">
        <v>5184</v>
      </c>
      <c r="O869" s="65" t="s">
        <v>5188</v>
      </c>
      <c r="P869" s="65" t="s">
        <v>41</v>
      </c>
      <c r="Q869" s="65">
        <v>1</v>
      </c>
      <c r="R869" s="65" t="s">
        <v>42</v>
      </c>
      <c r="S869" s="65" t="s">
        <v>44</v>
      </c>
      <c r="T869" s="65" t="s">
        <v>44</v>
      </c>
      <c r="U869" s="65" t="s">
        <v>45</v>
      </c>
      <c r="V869" s="65" t="s">
        <v>60</v>
      </c>
      <c r="W869" s="65">
        <v>186.44</v>
      </c>
      <c r="X869" s="65" t="s">
        <v>47</v>
      </c>
      <c r="Y869" s="65" t="s">
        <v>48</v>
      </c>
      <c r="Z869" s="65" t="s">
        <v>49</v>
      </c>
      <c r="AA869" s="65">
        <v>985558886</v>
      </c>
      <c r="AB869" s="65" t="s">
        <v>3073</v>
      </c>
    </row>
    <row r="870" spans="1:28" x14ac:dyDescent="0.3">
      <c r="A870" s="1">
        <v>46310</v>
      </c>
      <c r="B870" s="65" t="s">
        <v>5181</v>
      </c>
      <c r="C870" s="65" t="s">
        <v>29</v>
      </c>
      <c r="D870" s="65" t="s">
        <v>5182</v>
      </c>
      <c r="E870" s="65" t="s">
        <v>31</v>
      </c>
      <c r="F870" s="65" t="s">
        <v>5183</v>
      </c>
      <c r="G870" s="65" t="s">
        <v>5184</v>
      </c>
      <c r="H870" s="65" t="s">
        <v>5185</v>
      </c>
      <c r="I870" s="65" t="s">
        <v>3072</v>
      </c>
      <c r="J870" s="65" t="s">
        <v>3037</v>
      </c>
      <c r="K870" s="65" t="s">
        <v>37</v>
      </c>
      <c r="L870" s="65" t="s">
        <v>5186</v>
      </c>
      <c r="M870" s="65" t="s">
        <v>5187</v>
      </c>
      <c r="N870" s="65" t="s">
        <v>5184</v>
      </c>
      <c r="O870" s="65" t="s">
        <v>5188</v>
      </c>
      <c r="P870" s="65" t="s">
        <v>41</v>
      </c>
      <c r="Q870" s="65">
        <v>1</v>
      </c>
      <c r="R870" s="65" t="s">
        <v>42</v>
      </c>
      <c r="S870" s="65" t="s">
        <v>44</v>
      </c>
      <c r="T870" s="65" t="s">
        <v>44</v>
      </c>
      <c r="U870" s="65" t="s">
        <v>45</v>
      </c>
      <c r="V870" s="65" t="s">
        <v>60</v>
      </c>
      <c r="W870" s="65">
        <v>186.44</v>
      </c>
      <c r="X870" s="65" t="s">
        <v>47</v>
      </c>
      <c r="Y870" s="65" t="s">
        <v>48</v>
      </c>
      <c r="Z870" s="65" t="s">
        <v>49</v>
      </c>
      <c r="AA870" s="65">
        <v>985558886</v>
      </c>
      <c r="AB870" s="65" t="s">
        <v>3073</v>
      </c>
    </row>
    <row r="871" spans="1:28" x14ac:dyDescent="0.3">
      <c r="A871" s="1">
        <v>46310</v>
      </c>
      <c r="B871" s="65" t="s">
        <v>5181</v>
      </c>
      <c r="C871" s="65" t="s">
        <v>29</v>
      </c>
      <c r="D871" s="65" t="s">
        <v>5182</v>
      </c>
      <c r="E871" s="65" t="s">
        <v>31</v>
      </c>
      <c r="F871" s="65" t="s">
        <v>5183</v>
      </c>
      <c r="G871" s="65" t="s">
        <v>5184</v>
      </c>
      <c r="H871" s="65" t="s">
        <v>5185</v>
      </c>
      <c r="I871" s="65" t="s">
        <v>3072</v>
      </c>
      <c r="J871" s="65" t="s">
        <v>3037</v>
      </c>
      <c r="K871" s="65" t="s">
        <v>37</v>
      </c>
      <c r="L871" s="65" t="s">
        <v>5186</v>
      </c>
      <c r="M871" s="65" t="s">
        <v>5187</v>
      </c>
      <c r="N871" s="65" t="s">
        <v>5184</v>
      </c>
      <c r="O871" s="65" t="s">
        <v>5188</v>
      </c>
      <c r="P871" s="65" t="s">
        <v>41</v>
      </c>
      <c r="Q871" s="65">
        <v>1</v>
      </c>
      <c r="R871" s="65" t="s">
        <v>42</v>
      </c>
      <c r="S871" s="65" t="s">
        <v>44</v>
      </c>
      <c r="T871" s="65" t="s">
        <v>44</v>
      </c>
      <c r="U871" s="65" t="s">
        <v>45</v>
      </c>
      <c r="V871" s="65" t="s">
        <v>60</v>
      </c>
      <c r="W871" s="65">
        <v>135.59</v>
      </c>
      <c r="X871" s="65" t="s">
        <v>47</v>
      </c>
      <c r="Y871" s="65" t="s">
        <v>48</v>
      </c>
      <c r="Z871" s="65" t="s">
        <v>49</v>
      </c>
      <c r="AA871" s="65">
        <v>985558886</v>
      </c>
      <c r="AB871" s="65" t="s">
        <v>3073</v>
      </c>
    </row>
    <row r="872" spans="1:28" x14ac:dyDescent="0.3">
      <c r="A872" s="1">
        <v>46310</v>
      </c>
      <c r="B872" s="65" t="s">
        <v>5189</v>
      </c>
      <c r="C872" s="65" t="s">
        <v>29</v>
      </c>
      <c r="D872" s="65" t="s">
        <v>5190</v>
      </c>
      <c r="E872" s="65" t="s">
        <v>31</v>
      </c>
      <c r="F872" s="65" t="s">
        <v>5191</v>
      </c>
      <c r="G872" s="65" t="s">
        <v>5192</v>
      </c>
      <c r="H872" s="65" t="s">
        <v>5193</v>
      </c>
      <c r="I872" s="65" t="s">
        <v>3011</v>
      </c>
      <c r="J872" s="65" t="s">
        <v>36</v>
      </c>
      <c r="K872" s="65" t="s">
        <v>37</v>
      </c>
      <c r="L872" s="65" t="s">
        <v>5194</v>
      </c>
      <c r="M872" s="65" t="s">
        <v>608</v>
      </c>
      <c r="N872" s="65" t="s">
        <v>5192</v>
      </c>
      <c r="O872" s="65" t="s">
        <v>5195</v>
      </c>
      <c r="P872" s="65" t="s">
        <v>288</v>
      </c>
      <c r="Q872" s="65">
        <v>1</v>
      </c>
      <c r="R872" s="65" t="s">
        <v>42</v>
      </c>
      <c r="S872" s="65" t="s">
        <v>44</v>
      </c>
      <c r="T872" s="65" t="s">
        <v>44</v>
      </c>
      <c r="U872" s="65" t="s">
        <v>45</v>
      </c>
      <c r="V872" s="65" t="s">
        <v>60</v>
      </c>
      <c r="W872" s="65">
        <v>0</v>
      </c>
      <c r="X872" s="65" t="s">
        <v>289</v>
      </c>
      <c r="Y872" s="65" t="s">
        <v>48</v>
      </c>
      <c r="Z872" s="65" t="s">
        <v>49</v>
      </c>
      <c r="AA872" s="65">
        <v>900734202</v>
      </c>
      <c r="AB872" s="65" t="s">
        <v>3013</v>
      </c>
    </row>
    <row r="873" spans="1:28" x14ac:dyDescent="0.3">
      <c r="A873" s="1">
        <v>46310</v>
      </c>
      <c r="B873" s="65" t="s">
        <v>5189</v>
      </c>
      <c r="C873" s="65" t="s">
        <v>29</v>
      </c>
      <c r="D873" s="65" t="s">
        <v>5190</v>
      </c>
      <c r="E873" s="65" t="s">
        <v>31</v>
      </c>
      <c r="F873" s="65" t="s">
        <v>5191</v>
      </c>
      <c r="G873" s="65" t="s">
        <v>5192</v>
      </c>
      <c r="H873" s="65" t="s">
        <v>5193</v>
      </c>
      <c r="I873" s="65" t="s">
        <v>3011</v>
      </c>
      <c r="J873" s="65" t="s">
        <v>36</v>
      </c>
      <c r="K873" s="65" t="s">
        <v>37</v>
      </c>
      <c r="L873" s="65" t="s">
        <v>5194</v>
      </c>
      <c r="M873" s="65" t="s">
        <v>608</v>
      </c>
      <c r="N873" s="65" t="s">
        <v>5192</v>
      </c>
      <c r="O873" s="65" t="s">
        <v>5195</v>
      </c>
      <c r="P873" s="65" t="s">
        <v>1215</v>
      </c>
      <c r="Q873" s="65">
        <v>1</v>
      </c>
      <c r="R873" s="65" t="s">
        <v>42</v>
      </c>
      <c r="S873" s="65" t="s">
        <v>44</v>
      </c>
      <c r="T873" s="65" t="s">
        <v>44</v>
      </c>
      <c r="U873" s="65" t="s">
        <v>45</v>
      </c>
      <c r="V873" s="65" t="s">
        <v>60</v>
      </c>
      <c r="W873" s="65">
        <v>139.83000000000001</v>
      </c>
      <c r="X873" s="65" t="s">
        <v>289</v>
      </c>
      <c r="Y873" s="65" t="s">
        <v>48</v>
      </c>
      <c r="Z873" s="65" t="s">
        <v>49</v>
      </c>
      <c r="AA873" s="65">
        <v>900734202</v>
      </c>
      <c r="AB873" s="65" t="s">
        <v>3013</v>
      </c>
    </row>
    <row r="874" spans="1:28" x14ac:dyDescent="0.3">
      <c r="A874" s="1">
        <v>46310</v>
      </c>
      <c r="B874" s="65" t="s">
        <v>5196</v>
      </c>
      <c r="C874" s="65" t="s">
        <v>29</v>
      </c>
      <c r="D874" s="65" t="s">
        <v>5197</v>
      </c>
      <c r="E874" s="65" t="s">
        <v>31</v>
      </c>
      <c r="F874" s="65" t="s">
        <v>5198</v>
      </c>
      <c r="G874" s="65" t="s">
        <v>5199</v>
      </c>
      <c r="H874" s="65" t="s">
        <v>5200</v>
      </c>
      <c r="I874" s="65" t="s">
        <v>662</v>
      </c>
      <c r="J874" s="65" t="s">
        <v>36</v>
      </c>
      <c r="K874" s="65" t="s">
        <v>37</v>
      </c>
      <c r="L874" s="65" t="s">
        <v>5201</v>
      </c>
      <c r="M874" s="65" t="s">
        <v>5202</v>
      </c>
      <c r="N874" s="65" t="s">
        <v>5199</v>
      </c>
      <c r="O874" s="65" t="s">
        <v>5203</v>
      </c>
      <c r="P874" s="65" t="s">
        <v>101</v>
      </c>
      <c r="Q874" s="65">
        <v>1</v>
      </c>
      <c r="R874" s="65" t="s">
        <v>42</v>
      </c>
      <c r="S874" s="65" t="s">
        <v>44</v>
      </c>
      <c r="T874" s="65" t="s">
        <v>44</v>
      </c>
      <c r="U874" s="65" t="s">
        <v>45</v>
      </c>
      <c r="V874" s="65" t="s">
        <v>60</v>
      </c>
      <c r="W874" s="65">
        <v>186.44</v>
      </c>
      <c r="X874" s="65" t="s">
        <v>47</v>
      </c>
      <c r="Y874" s="65" t="s">
        <v>48</v>
      </c>
      <c r="Z874" s="65" t="s">
        <v>49</v>
      </c>
      <c r="AA874" s="65">
        <v>997145685</v>
      </c>
      <c r="AB874" s="65" t="s">
        <v>666</v>
      </c>
    </row>
    <row r="875" spans="1:28" x14ac:dyDescent="0.3">
      <c r="A875" s="1">
        <v>46310</v>
      </c>
      <c r="B875" s="65" t="s">
        <v>5204</v>
      </c>
      <c r="C875" s="65" t="s">
        <v>29</v>
      </c>
      <c r="D875" s="65" t="s">
        <v>5205</v>
      </c>
      <c r="E875" s="65" t="s">
        <v>31</v>
      </c>
      <c r="F875" s="65" t="s">
        <v>5206</v>
      </c>
      <c r="G875" s="65" t="s">
        <v>5207</v>
      </c>
      <c r="H875" s="65" t="s">
        <v>5208</v>
      </c>
      <c r="I875" s="65" t="s">
        <v>774</v>
      </c>
      <c r="J875" s="65" t="s">
        <v>775</v>
      </c>
      <c r="K875" s="65" t="s">
        <v>37</v>
      </c>
      <c r="L875" s="65" t="s">
        <v>5209</v>
      </c>
      <c r="M875" s="65" t="s">
        <v>5210</v>
      </c>
      <c r="N875" s="65" t="s">
        <v>5207</v>
      </c>
      <c r="O875" s="65" t="s">
        <v>5211</v>
      </c>
      <c r="P875" s="65" t="s">
        <v>159</v>
      </c>
      <c r="Q875" s="65">
        <v>1</v>
      </c>
      <c r="R875" s="65" t="s">
        <v>42</v>
      </c>
      <c r="S875" s="65" t="s">
        <v>44</v>
      </c>
      <c r="T875" s="65" t="s">
        <v>44</v>
      </c>
      <c r="U875" s="65" t="s">
        <v>71</v>
      </c>
      <c r="V875" s="65" t="s">
        <v>72</v>
      </c>
      <c r="W875" s="65">
        <v>135.59</v>
      </c>
      <c r="X875" s="65" t="s">
        <v>47</v>
      </c>
      <c r="Y875" s="65" t="s">
        <v>48</v>
      </c>
      <c r="Z875" s="65" t="s">
        <v>73</v>
      </c>
      <c r="AA875" s="65"/>
      <c r="AB875" s="65"/>
    </row>
    <row r="876" spans="1:28" x14ac:dyDescent="0.3">
      <c r="A876" s="1">
        <v>46311</v>
      </c>
      <c r="B876" s="65" t="s">
        <v>5212</v>
      </c>
      <c r="C876" s="65" t="s">
        <v>29</v>
      </c>
      <c r="D876" s="65" t="s">
        <v>5213</v>
      </c>
      <c r="E876" s="65" t="s">
        <v>31</v>
      </c>
      <c r="F876" s="65" t="s">
        <v>5214</v>
      </c>
      <c r="G876" s="65" t="s">
        <v>5215</v>
      </c>
      <c r="H876" s="65" t="s">
        <v>5216</v>
      </c>
      <c r="I876" s="65" t="s">
        <v>411</v>
      </c>
      <c r="J876" s="65" t="s">
        <v>412</v>
      </c>
      <c r="K876" s="65" t="s">
        <v>37</v>
      </c>
      <c r="L876" s="65" t="s">
        <v>5217</v>
      </c>
      <c r="M876" s="65" t="s">
        <v>5218</v>
      </c>
      <c r="N876" s="65" t="s">
        <v>5215</v>
      </c>
      <c r="O876" s="65" t="s">
        <v>5219</v>
      </c>
      <c r="P876" s="65" t="s">
        <v>90</v>
      </c>
      <c r="Q876" s="65">
        <v>1</v>
      </c>
      <c r="R876" s="65" t="s">
        <v>70</v>
      </c>
      <c r="S876" s="65" t="s">
        <v>43</v>
      </c>
      <c r="T876" s="65" t="s">
        <v>44</v>
      </c>
      <c r="U876" s="65" t="s">
        <v>71</v>
      </c>
      <c r="V876" s="65" t="s">
        <v>184</v>
      </c>
      <c r="W876" s="65">
        <v>135.59</v>
      </c>
      <c r="X876" s="65" t="s">
        <v>47</v>
      </c>
      <c r="Y876" s="65" t="s">
        <v>48</v>
      </c>
      <c r="Z876" s="65" t="s">
        <v>73</v>
      </c>
      <c r="AA876" s="65">
        <v>982673362</v>
      </c>
      <c r="AB876" s="65" t="s">
        <v>416</v>
      </c>
    </row>
    <row r="877" spans="1:28" x14ac:dyDescent="0.3">
      <c r="A877" s="1">
        <v>46311</v>
      </c>
      <c r="B877" s="65" t="s">
        <v>5220</v>
      </c>
      <c r="C877" s="65" t="s">
        <v>29</v>
      </c>
      <c r="D877" s="65" t="s">
        <v>83</v>
      </c>
      <c r="E877" s="65" t="s">
        <v>31</v>
      </c>
      <c r="F877" s="65" t="s">
        <v>84</v>
      </c>
      <c r="G877" s="65" t="s">
        <v>5221</v>
      </c>
      <c r="H877" s="65" t="s">
        <v>5222</v>
      </c>
      <c r="I877" s="65" t="s">
        <v>704</v>
      </c>
      <c r="J877" s="65" t="s">
        <v>705</v>
      </c>
      <c r="K877" s="65" t="s">
        <v>37</v>
      </c>
      <c r="L877" s="65" t="s">
        <v>5223</v>
      </c>
      <c r="M877" s="65" t="s">
        <v>5224</v>
      </c>
      <c r="N877" s="65" t="s">
        <v>5221</v>
      </c>
      <c r="O877" s="65" t="s">
        <v>5225</v>
      </c>
      <c r="P877" s="65" t="s">
        <v>41</v>
      </c>
      <c r="Q877" s="65">
        <v>1</v>
      </c>
      <c r="R877" s="65" t="s">
        <v>70</v>
      </c>
      <c r="S877" s="65" t="s">
        <v>43</v>
      </c>
      <c r="T877" s="65" t="s">
        <v>44</v>
      </c>
      <c r="U877" s="65" t="s">
        <v>71</v>
      </c>
      <c r="V877" s="65" t="s">
        <v>184</v>
      </c>
      <c r="W877" s="65">
        <v>169.49</v>
      </c>
      <c r="X877" s="65" t="s">
        <v>47</v>
      </c>
      <c r="Y877" s="65" t="s">
        <v>48</v>
      </c>
      <c r="Z877" s="65" t="s">
        <v>73</v>
      </c>
      <c r="AA877" s="65">
        <v>998418895</v>
      </c>
      <c r="AB877" s="65" t="s">
        <v>709</v>
      </c>
    </row>
    <row r="878" spans="1:28" x14ac:dyDescent="0.3">
      <c r="A878" s="1">
        <v>46311</v>
      </c>
      <c r="B878" s="65" t="s">
        <v>5226</v>
      </c>
      <c r="C878" s="65" t="s">
        <v>29</v>
      </c>
      <c r="D878" s="65" t="s">
        <v>5227</v>
      </c>
      <c r="E878" s="65" t="s">
        <v>31</v>
      </c>
      <c r="F878" s="65" t="s">
        <v>5228</v>
      </c>
      <c r="G878" s="65" t="s">
        <v>5229</v>
      </c>
      <c r="H878" s="65" t="s">
        <v>5230</v>
      </c>
      <c r="I878" s="65" t="s">
        <v>774</v>
      </c>
      <c r="J878" s="65" t="s">
        <v>775</v>
      </c>
      <c r="K878" s="65" t="s">
        <v>37</v>
      </c>
      <c r="L878" s="65" t="s">
        <v>5231</v>
      </c>
      <c r="M878" s="65" t="s">
        <v>5232</v>
      </c>
      <c r="N878" s="65" t="s">
        <v>5229</v>
      </c>
      <c r="O878" s="65" t="s">
        <v>5233</v>
      </c>
      <c r="P878" s="65" t="s">
        <v>90</v>
      </c>
      <c r="Q878" s="65">
        <v>1</v>
      </c>
      <c r="R878" s="65" t="s">
        <v>42</v>
      </c>
      <c r="S878" s="65" t="s">
        <v>44</v>
      </c>
      <c r="T878" s="65" t="s">
        <v>44</v>
      </c>
      <c r="U878" s="65" t="s">
        <v>45</v>
      </c>
      <c r="V878" s="65" t="s">
        <v>60</v>
      </c>
      <c r="W878" s="65">
        <v>135.59</v>
      </c>
      <c r="X878" s="65" t="s">
        <v>47</v>
      </c>
      <c r="Y878" s="65" t="s">
        <v>48</v>
      </c>
      <c r="Z878" s="65" t="s">
        <v>49</v>
      </c>
      <c r="AA878" s="65"/>
      <c r="AB878" s="65"/>
    </row>
    <row r="879" spans="1:28" x14ac:dyDescent="0.3">
      <c r="A879" s="1">
        <v>46311</v>
      </c>
      <c r="B879" s="65" t="s">
        <v>5234</v>
      </c>
      <c r="C879" s="65" t="s">
        <v>29</v>
      </c>
      <c r="D879" s="65" t="s">
        <v>5235</v>
      </c>
      <c r="E879" s="65" t="s">
        <v>31</v>
      </c>
      <c r="F879" s="65" t="s">
        <v>5236</v>
      </c>
      <c r="G879" s="65" t="s">
        <v>5237</v>
      </c>
      <c r="H879" s="65" t="s">
        <v>5238</v>
      </c>
      <c r="I879" s="65" t="s">
        <v>774</v>
      </c>
      <c r="J879" s="65" t="s">
        <v>775</v>
      </c>
      <c r="K879" s="65" t="s">
        <v>37</v>
      </c>
      <c r="L879" s="65" t="s">
        <v>5239</v>
      </c>
      <c r="M879" s="65" t="s">
        <v>5240</v>
      </c>
      <c r="N879" s="65" t="s">
        <v>5237</v>
      </c>
      <c r="O879" s="65" t="s">
        <v>5241</v>
      </c>
      <c r="P879" s="65" t="s">
        <v>159</v>
      </c>
      <c r="Q879" s="65">
        <v>1</v>
      </c>
      <c r="R879" s="65" t="s">
        <v>42</v>
      </c>
      <c r="S879" s="65" t="s">
        <v>44</v>
      </c>
      <c r="T879" s="65" t="s">
        <v>44</v>
      </c>
      <c r="U879" s="65" t="s">
        <v>45</v>
      </c>
      <c r="V879" s="65" t="s">
        <v>60</v>
      </c>
      <c r="W879" s="65">
        <v>135.59</v>
      </c>
      <c r="X879" s="65" t="s">
        <v>47</v>
      </c>
      <c r="Y879" s="65" t="s">
        <v>48</v>
      </c>
      <c r="Z879" s="65" t="s">
        <v>49</v>
      </c>
      <c r="AA879" s="65"/>
      <c r="AB879" s="65"/>
    </row>
    <row r="880" spans="1:28" x14ac:dyDescent="0.3">
      <c r="A880" s="1">
        <v>46311</v>
      </c>
      <c r="B880" s="65" t="s">
        <v>5242</v>
      </c>
      <c r="C880" s="65" t="s">
        <v>29</v>
      </c>
      <c r="D880" s="65" t="s">
        <v>5243</v>
      </c>
      <c r="E880" s="65" t="s">
        <v>31</v>
      </c>
      <c r="F880" s="65" t="s">
        <v>5244</v>
      </c>
      <c r="G880" s="65" t="s">
        <v>5245</v>
      </c>
      <c r="H880" s="65" t="s">
        <v>5246</v>
      </c>
      <c r="I880" s="65" t="s">
        <v>5247</v>
      </c>
      <c r="J880" s="65" t="s">
        <v>209</v>
      </c>
      <c r="K880" s="65" t="s">
        <v>37</v>
      </c>
      <c r="L880" s="65" t="s">
        <v>5248</v>
      </c>
      <c r="M880" s="65" t="s">
        <v>5249</v>
      </c>
      <c r="N880" s="65" t="s">
        <v>5245</v>
      </c>
      <c r="O880" s="65" t="s">
        <v>5250</v>
      </c>
      <c r="P880" s="65" t="s">
        <v>59</v>
      </c>
      <c r="Q880" s="65">
        <v>2</v>
      </c>
      <c r="R880" s="65" t="s">
        <v>42</v>
      </c>
      <c r="S880" s="65" t="s">
        <v>44</v>
      </c>
      <c r="T880" s="65" t="s">
        <v>44</v>
      </c>
      <c r="U880" s="65" t="s">
        <v>45</v>
      </c>
      <c r="V880" s="65" t="s">
        <v>60</v>
      </c>
      <c r="W880" s="65">
        <v>203.39</v>
      </c>
      <c r="X880" s="65" t="s">
        <v>61</v>
      </c>
      <c r="Y880" s="65" t="s">
        <v>48</v>
      </c>
      <c r="Z880" s="65" t="s">
        <v>49</v>
      </c>
      <c r="AA880" s="65">
        <v>931335121</v>
      </c>
      <c r="AB880" s="65"/>
    </row>
    <row r="881" spans="1:28" x14ac:dyDescent="0.3">
      <c r="A881" s="1">
        <v>46312</v>
      </c>
      <c r="B881" s="65" t="s">
        <v>5251</v>
      </c>
      <c r="C881" s="65" t="s">
        <v>29</v>
      </c>
      <c r="D881" s="65" t="s">
        <v>5252</v>
      </c>
      <c r="E881" s="65" t="s">
        <v>31</v>
      </c>
      <c r="F881" s="65" t="s">
        <v>5253</v>
      </c>
      <c r="G881" s="65" t="s">
        <v>5254</v>
      </c>
      <c r="H881" s="65" t="s">
        <v>5255</v>
      </c>
      <c r="I881" s="65" t="s">
        <v>3241</v>
      </c>
      <c r="J881" s="65" t="s">
        <v>97</v>
      </c>
      <c r="K881" s="65" t="s">
        <v>37</v>
      </c>
      <c r="L881" s="65" t="s">
        <v>5256</v>
      </c>
      <c r="M881" s="65" t="s">
        <v>5257</v>
      </c>
      <c r="N881" s="65" t="s">
        <v>5254</v>
      </c>
      <c r="O881" s="65" t="s">
        <v>5258</v>
      </c>
      <c r="P881" s="65" t="s">
        <v>41</v>
      </c>
      <c r="Q881" s="65">
        <v>1</v>
      </c>
      <c r="R881" s="65" t="s">
        <v>42</v>
      </c>
      <c r="S881" s="65" t="s">
        <v>44</v>
      </c>
      <c r="T881" s="65" t="s">
        <v>44</v>
      </c>
      <c r="U881" s="65" t="s">
        <v>45</v>
      </c>
      <c r="V881" s="65" t="s">
        <v>60</v>
      </c>
      <c r="W881" s="65">
        <v>186.44</v>
      </c>
      <c r="X881" s="65" t="s">
        <v>47</v>
      </c>
      <c r="Y881" s="65" t="s">
        <v>48</v>
      </c>
      <c r="Z881" s="65" t="s">
        <v>49</v>
      </c>
      <c r="AA881" s="65">
        <v>942851351</v>
      </c>
      <c r="AB881" s="65" t="s">
        <v>3242</v>
      </c>
    </row>
    <row r="882" spans="1:28" x14ac:dyDescent="0.3">
      <c r="A882" s="1">
        <v>46312</v>
      </c>
      <c r="B882" s="65" t="s">
        <v>5259</v>
      </c>
      <c r="C882" s="65" t="s">
        <v>29</v>
      </c>
      <c r="D882" s="65" t="s">
        <v>5260</v>
      </c>
      <c r="E882" s="65" t="s">
        <v>31</v>
      </c>
      <c r="F882" s="65" t="s">
        <v>5261</v>
      </c>
      <c r="G882" s="65" t="s">
        <v>5262</v>
      </c>
      <c r="H882" s="65" t="s">
        <v>5263</v>
      </c>
      <c r="I882" s="65" t="s">
        <v>5264</v>
      </c>
      <c r="J882" s="65" t="s">
        <v>3363</v>
      </c>
      <c r="K882" s="65" t="s">
        <v>37</v>
      </c>
      <c r="L882" s="65" t="s">
        <v>5265</v>
      </c>
      <c r="M882" s="65" t="s">
        <v>5266</v>
      </c>
      <c r="N882" s="65" t="s">
        <v>5262</v>
      </c>
      <c r="O882" s="65" t="s">
        <v>5267</v>
      </c>
      <c r="P882" s="65" t="s">
        <v>2875</v>
      </c>
      <c r="Q882" s="65">
        <v>1</v>
      </c>
      <c r="R882" s="65" t="s">
        <v>42</v>
      </c>
      <c r="S882" s="65" t="s">
        <v>44</v>
      </c>
      <c r="T882" s="65" t="s">
        <v>44</v>
      </c>
      <c r="U882" s="65" t="s">
        <v>45</v>
      </c>
      <c r="V882" s="65" t="s">
        <v>60</v>
      </c>
      <c r="W882" s="65">
        <v>186.44</v>
      </c>
      <c r="X882" s="65" t="s">
        <v>47</v>
      </c>
      <c r="Y882" s="65" t="s">
        <v>48</v>
      </c>
      <c r="Z882" s="65" t="s">
        <v>49</v>
      </c>
      <c r="AA882" s="65">
        <v>995828446</v>
      </c>
      <c r="AB882" s="65"/>
    </row>
    <row r="883" spans="1:28" x14ac:dyDescent="0.3">
      <c r="A883" s="1">
        <v>46312</v>
      </c>
      <c r="B883" s="65" t="s">
        <v>5268</v>
      </c>
      <c r="C883" s="65" t="s">
        <v>399</v>
      </c>
      <c r="D883" s="65" t="s">
        <v>5260</v>
      </c>
      <c r="E883" s="65" t="s">
        <v>400</v>
      </c>
      <c r="F883" s="65" t="s">
        <v>5269</v>
      </c>
      <c r="G883" s="65" t="s">
        <v>5262</v>
      </c>
      <c r="H883" s="65" t="s">
        <v>5263</v>
      </c>
      <c r="I883" s="65" t="s">
        <v>5264</v>
      </c>
      <c r="J883" s="65" t="s">
        <v>3363</v>
      </c>
      <c r="K883" s="65" t="s">
        <v>400</v>
      </c>
      <c r="L883" s="65" t="s">
        <v>5265</v>
      </c>
      <c r="M883" s="65" t="s">
        <v>5266</v>
      </c>
      <c r="N883" s="65" t="s">
        <v>5262</v>
      </c>
      <c r="O883" s="65" t="s">
        <v>5267</v>
      </c>
      <c r="P883" s="65" t="s">
        <v>2875</v>
      </c>
      <c r="Q883" s="65">
        <v>1</v>
      </c>
      <c r="R883" s="65" t="s">
        <v>42</v>
      </c>
      <c r="S883" s="65" t="s">
        <v>44</v>
      </c>
      <c r="T883" s="65" t="s">
        <v>44</v>
      </c>
      <c r="U883" s="65" t="s">
        <v>45</v>
      </c>
      <c r="V883" s="65" t="s">
        <v>60</v>
      </c>
      <c r="W883" s="65">
        <v>-186.44</v>
      </c>
      <c r="X883" s="65" t="s">
        <v>47</v>
      </c>
      <c r="Y883" s="65" t="s">
        <v>48</v>
      </c>
      <c r="Z883" s="65" t="s">
        <v>49</v>
      </c>
      <c r="AA883" s="65">
        <v>995828446</v>
      </c>
      <c r="AB883" s="65"/>
    </row>
    <row r="884" spans="1:28" x14ac:dyDescent="0.3">
      <c r="A884" s="1">
        <v>46312</v>
      </c>
      <c r="B884" s="65" t="s">
        <v>5270</v>
      </c>
      <c r="C884" s="65" t="s">
        <v>29</v>
      </c>
      <c r="D884" s="65" t="s">
        <v>5271</v>
      </c>
      <c r="E884" s="65" t="s">
        <v>31</v>
      </c>
      <c r="F884" s="65" t="s">
        <v>5272</v>
      </c>
      <c r="G884" s="65" t="s">
        <v>5262</v>
      </c>
      <c r="H884" s="65" t="s">
        <v>5263</v>
      </c>
      <c r="I884" s="65" t="s">
        <v>5264</v>
      </c>
      <c r="J884" s="65" t="s">
        <v>3363</v>
      </c>
      <c r="K884" s="65" t="s">
        <v>37</v>
      </c>
      <c r="L884" s="65" t="s">
        <v>5265</v>
      </c>
      <c r="M884" s="65" t="s">
        <v>5266</v>
      </c>
      <c r="N884" s="65" t="s">
        <v>5262</v>
      </c>
      <c r="O884" s="65" t="s">
        <v>5273</v>
      </c>
      <c r="P884" s="65" t="s">
        <v>158</v>
      </c>
      <c r="Q884" s="65">
        <v>1</v>
      </c>
      <c r="R884" s="65" t="s">
        <v>42</v>
      </c>
      <c r="S884" s="65" t="s">
        <v>44</v>
      </c>
      <c r="T884" s="65" t="s">
        <v>44</v>
      </c>
      <c r="U884" s="65" t="s">
        <v>45</v>
      </c>
      <c r="V884" s="65" t="s">
        <v>60</v>
      </c>
      <c r="W884" s="65">
        <v>152.54</v>
      </c>
      <c r="X884" s="65" t="s">
        <v>47</v>
      </c>
      <c r="Y884" s="65" t="s">
        <v>48</v>
      </c>
      <c r="Z884" s="65" t="s">
        <v>49</v>
      </c>
      <c r="AA884" s="65">
        <v>995828446</v>
      </c>
      <c r="AB884" s="65"/>
    </row>
    <row r="885" spans="1:28" x14ac:dyDescent="0.3">
      <c r="A885" s="1">
        <v>46312</v>
      </c>
      <c r="B885" s="65" t="s">
        <v>5274</v>
      </c>
      <c r="C885" s="65" t="s">
        <v>29</v>
      </c>
      <c r="D885" s="65" t="s">
        <v>5275</v>
      </c>
      <c r="E885" s="65" t="s">
        <v>31</v>
      </c>
      <c r="F885" s="65" t="s">
        <v>5276</v>
      </c>
      <c r="G885" s="65" t="s">
        <v>5277</v>
      </c>
      <c r="H885" s="65" t="s">
        <v>5278</v>
      </c>
      <c r="I885" s="65" t="s">
        <v>1300</v>
      </c>
      <c r="J885" s="65" t="s">
        <v>365</v>
      </c>
      <c r="K885" s="65" t="s">
        <v>37</v>
      </c>
      <c r="L885" s="65" t="s">
        <v>5279</v>
      </c>
      <c r="M885" s="65" t="s">
        <v>5280</v>
      </c>
      <c r="N885" s="65" t="s">
        <v>5277</v>
      </c>
      <c r="O885" s="65" t="s">
        <v>5281</v>
      </c>
      <c r="P885" s="65" t="s">
        <v>130</v>
      </c>
      <c r="Q885" s="65">
        <v>1</v>
      </c>
      <c r="R885" s="65" t="s">
        <v>42</v>
      </c>
      <c r="S885" s="65" t="s">
        <v>44</v>
      </c>
      <c r="T885" s="65" t="s">
        <v>44</v>
      </c>
      <c r="U885" s="65" t="s">
        <v>45</v>
      </c>
      <c r="V885" s="65" t="s">
        <v>60</v>
      </c>
      <c r="W885" s="65">
        <v>152.54</v>
      </c>
      <c r="X885" s="65" t="s">
        <v>47</v>
      </c>
      <c r="Y885" s="65" t="s">
        <v>48</v>
      </c>
      <c r="Z885" s="65" t="s">
        <v>49</v>
      </c>
      <c r="AA885" s="65">
        <v>980702810</v>
      </c>
      <c r="AB885" s="65" t="s">
        <v>1305</v>
      </c>
    </row>
    <row r="886" spans="1:28" x14ac:dyDescent="0.3">
      <c r="A886" s="1">
        <v>46314</v>
      </c>
      <c r="B886" s="65" t="s">
        <v>5282</v>
      </c>
      <c r="C886" s="65" t="s">
        <v>29</v>
      </c>
      <c r="D886" s="65" t="s">
        <v>5283</v>
      </c>
      <c r="E886" s="65" t="s">
        <v>31</v>
      </c>
      <c r="F886" s="65" t="s">
        <v>5284</v>
      </c>
      <c r="G886" s="65" t="s">
        <v>5285</v>
      </c>
      <c r="H886" s="65" t="s">
        <v>5286</v>
      </c>
      <c r="I886" s="65" t="s">
        <v>774</v>
      </c>
      <c r="J886" s="65" t="s">
        <v>775</v>
      </c>
      <c r="K886" s="65" t="s">
        <v>37</v>
      </c>
      <c r="L886" s="65" t="s">
        <v>5287</v>
      </c>
      <c r="M886" s="65" t="s">
        <v>5288</v>
      </c>
      <c r="N886" s="65" t="s">
        <v>5285</v>
      </c>
      <c r="O886" s="65" t="s">
        <v>5289</v>
      </c>
      <c r="P886" s="65" t="s">
        <v>202</v>
      </c>
      <c r="Q886" s="65">
        <v>1</v>
      </c>
      <c r="R886" s="65" t="s">
        <v>42</v>
      </c>
      <c r="S886" s="65" t="s">
        <v>44</v>
      </c>
      <c r="T886" s="65" t="s">
        <v>44</v>
      </c>
      <c r="U886" s="65" t="s">
        <v>45</v>
      </c>
      <c r="V886" s="65" t="s">
        <v>46</v>
      </c>
      <c r="W886" s="65">
        <v>135.59</v>
      </c>
      <c r="X886" s="65" t="s">
        <v>47</v>
      </c>
      <c r="Y886" s="65" t="s">
        <v>48</v>
      </c>
      <c r="Z886" s="65" t="s">
        <v>49</v>
      </c>
      <c r="AA886" s="65"/>
      <c r="AB886" s="65"/>
    </row>
    <row r="887" spans="1:28" x14ac:dyDescent="0.3">
      <c r="A887" s="1">
        <v>46314</v>
      </c>
      <c r="B887" s="65" t="s">
        <v>5290</v>
      </c>
      <c r="C887" s="65" t="s">
        <v>29</v>
      </c>
      <c r="D887" s="65" t="s">
        <v>5291</v>
      </c>
      <c r="E887" s="65" t="s">
        <v>31</v>
      </c>
      <c r="F887" s="65" t="s">
        <v>5292</v>
      </c>
      <c r="G887" s="65" t="s">
        <v>5293</v>
      </c>
      <c r="H887" s="65" t="s">
        <v>5294</v>
      </c>
      <c r="I887" s="65" t="s">
        <v>774</v>
      </c>
      <c r="J887" s="65" t="s">
        <v>775</v>
      </c>
      <c r="K887" s="65" t="s">
        <v>37</v>
      </c>
      <c r="L887" s="65" t="s">
        <v>5295</v>
      </c>
      <c r="M887" s="65" t="s">
        <v>5296</v>
      </c>
      <c r="N887" s="65" t="s">
        <v>5293</v>
      </c>
      <c r="O887" s="65" t="s">
        <v>5297</v>
      </c>
      <c r="P887" s="65" t="s">
        <v>159</v>
      </c>
      <c r="Q887" s="65">
        <v>1</v>
      </c>
      <c r="R887" s="65" t="s">
        <v>42</v>
      </c>
      <c r="S887" s="65" t="s">
        <v>44</v>
      </c>
      <c r="T887" s="65" t="s">
        <v>44</v>
      </c>
      <c r="U887" s="65" t="s">
        <v>531</v>
      </c>
      <c r="V887" s="65" t="s">
        <v>60</v>
      </c>
      <c r="W887" s="65">
        <v>135.59</v>
      </c>
      <c r="X887" s="65" t="s">
        <v>47</v>
      </c>
      <c r="Y887" s="65" t="s">
        <v>48</v>
      </c>
      <c r="Z887" s="65" t="s">
        <v>534</v>
      </c>
      <c r="AA887" s="65"/>
      <c r="AB887" s="65"/>
    </row>
    <row r="888" spans="1:28" x14ac:dyDescent="0.3">
      <c r="A888" s="1">
        <v>46315</v>
      </c>
      <c r="B888" s="65" t="s">
        <v>5298</v>
      </c>
      <c r="C888" s="65" t="s">
        <v>29</v>
      </c>
      <c r="D888" s="65" t="s">
        <v>5299</v>
      </c>
      <c r="E888" s="65" t="s">
        <v>31</v>
      </c>
      <c r="F888" s="65" t="s">
        <v>5300</v>
      </c>
      <c r="G888" s="65" t="s">
        <v>5301</v>
      </c>
      <c r="H888" s="65" t="s">
        <v>5302</v>
      </c>
      <c r="I888" s="65" t="s">
        <v>774</v>
      </c>
      <c r="J888" s="65" t="s">
        <v>775</v>
      </c>
      <c r="K888" s="65" t="s">
        <v>37</v>
      </c>
      <c r="L888" s="65" t="s">
        <v>5303</v>
      </c>
      <c r="M888" s="65" t="s">
        <v>5304</v>
      </c>
      <c r="N888" s="65" t="s">
        <v>5301</v>
      </c>
      <c r="O888" s="65" t="s">
        <v>5305</v>
      </c>
      <c r="P888" s="65" t="s">
        <v>159</v>
      </c>
      <c r="Q888" s="65">
        <v>1</v>
      </c>
      <c r="R888" s="65" t="s">
        <v>42</v>
      </c>
      <c r="S888" s="65" t="s">
        <v>44</v>
      </c>
      <c r="T888" s="65" t="s">
        <v>44</v>
      </c>
      <c r="U888" s="65" t="s">
        <v>45</v>
      </c>
      <c r="V888" s="65" t="s">
        <v>46</v>
      </c>
      <c r="W888" s="65">
        <v>135.59</v>
      </c>
      <c r="X888" s="65" t="s">
        <v>47</v>
      </c>
      <c r="Y888" s="65" t="s">
        <v>48</v>
      </c>
      <c r="Z888" s="65" t="s">
        <v>49</v>
      </c>
      <c r="AA888" s="65"/>
      <c r="AB888" s="65"/>
    </row>
    <row r="889" spans="1:28" x14ac:dyDescent="0.3">
      <c r="A889" s="1">
        <v>46315</v>
      </c>
      <c r="B889" s="65" t="s">
        <v>5306</v>
      </c>
      <c r="C889" s="65" t="s">
        <v>29</v>
      </c>
      <c r="D889" s="65" t="s">
        <v>5307</v>
      </c>
      <c r="E889" s="65" t="s">
        <v>31</v>
      </c>
      <c r="F889" s="65" t="s">
        <v>5308</v>
      </c>
      <c r="G889" s="65" t="s">
        <v>5309</v>
      </c>
      <c r="H889" s="65" t="s">
        <v>5310</v>
      </c>
      <c r="I889" s="65" t="s">
        <v>774</v>
      </c>
      <c r="J889" s="65" t="s">
        <v>775</v>
      </c>
      <c r="K889" s="65" t="s">
        <v>37</v>
      </c>
      <c r="L889" s="65" t="s">
        <v>5311</v>
      </c>
      <c r="M889" s="65" t="s">
        <v>5312</v>
      </c>
      <c r="N889" s="65" t="s">
        <v>5309</v>
      </c>
      <c r="O889" s="65" t="s">
        <v>5313</v>
      </c>
      <c r="P889" s="65" t="s">
        <v>618</v>
      </c>
      <c r="Q889" s="65">
        <v>1</v>
      </c>
      <c r="R889" s="65" t="s">
        <v>42</v>
      </c>
      <c r="S889" s="65" t="s">
        <v>44</v>
      </c>
      <c r="T889" s="65" t="s">
        <v>44</v>
      </c>
      <c r="U889" s="65" t="s">
        <v>45</v>
      </c>
      <c r="V889" s="65" t="s">
        <v>46</v>
      </c>
      <c r="W889" s="65">
        <v>12.71</v>
      </c>
      <c r="X889" s="65" t="s">
        <v>619</v>
      </c>
      <c r="Y889" s="65" t="s">
        <v>48</v>
      </c>
      <c r="Z889" s="65" t="s">
        <v>49</v>
      </c>
      <c r="AA889" s="65"/>
      <c r="AB889" s="65"/>
    </row>
    <row r="890" spans="1:28" x14ac:dyDescent="0.3">
      <c r="A890" s="1">
        <v>46315</v>
      </c>
      <c r="B890" s="65" t="s">
        <v>5306</v>
      </c>
      <c r="C890" s="65" t="s">
        <v>29</v>
      </c>
      <c r="D890" s="65" t="s">
        <v>5307</v>
      </c>
      <c r="E890" s="65" t="s">
        <v>31</v>
      </c>
      <c r="F890" s="65" t="s">
        <v>5308</v>
      </c>
      <c r="G890" s="65" t="s">
        <v>5309</v>
      </c>
      <c r="H890" s="65" t="s">
        <v>5310</v>
      </c>
      <c r="I890" s="65" t="s">
        <v>774</v>
      </c>
      <c r="J890" s="65" t="s">
        <v>775</v>
      </c>
      <c r="K890" s="65" t="s">
        <v>37</v>
      </c>
      <c r="L890" s="65" t="s">
        <v>5311</v>
      </c>
      <c r="M890" s="65" t="s">
        <v>5312</v>
      </c>
      <c r="N890" s="65" t="s">
        <v>5309</v>
      </c>
      <c r="O890" s="65" t="s">
        <v>5313</v>
      </c>
      <c r="P890" s="65" t="s">
        <v>618</v>
      </c>
      <c r="Q890" s="65">
        <v>1</v>
      </c>
      <c r="R890" s="65" t="s">
        <v>42</v>
      </c>
      <c r="S890" s="65" t="s">
        <v>44</v>
      </c>
      <c r="T890" s="65" t="s">
        <v>44</v>
      </c>
      <c r="U890" s="65" t="s">
        <v>45</v>
      </c>
      <c r="V890" s="65" t="s">
        <v>46</v>
      </c>
      <c r="W890" s="65">
        <v>21.19</v>
      </c>
      <c r="X890" s="65" t="s">
        <v>619</v>
      </c>
      <c r="Y890" s="65" t="s">
        <v>48</v>
      </c>
      <c r="Z890" s="65" t="s">
        <v>49</v>
      </c>
      <c r="AA890" s="65"/>
      <c r="AB890" s="65"/>
    </row>
    <row r="891" spans="1:28" x14ac:dyDescent="0.3">
      <c r="A891" s="1">
        <v>46315</v>
      </c>
      <c r="B891" s="65" t="s">
        <v>5306</v>
      </c>
      <c r="C891" s="65" t="s">
        <v>29</v>
      </c>
      <c r="D891" s="65" t="s">
        <v>5307</v>
      </c>
      <c r="E891" s="65" t="s">
        <v>31</v>
      </c>
      <c r="F891" s="65" t="s">
        <v>5308</v>
      </c>
      <c r="G891" s="65" t="s">
        <v>5309</v>
      </c>
      <c r="H891" s="65" t="s">
        <v>5310</v>
      </c>
      <c r="I891" s="65" t="s">
        <v>774</v>
      </c>
      <c r="J891" s="65" t="s">
        <v>775</v>
      </c>
      <c r="K891" s="65" t="s">
        <v>37</v>
      </c>
      <c r="L891" s="65" t="s">
        <v>5311</v>
      </c>
      <c r="M891" s="65" t="s">
        <v>5312</v>
      </c>
      <c r="N891" s="65" t="s">
        <v>5309</v>
      </c>
      <c r="O891" s="65" t="s">
        <v>5313</v>
      </c>
      <c r="P891" s="65" t="s">
        <v>618</v>
      </c>
      <c r="Q891" s="65">
        <v>1</v>
      </c>
      <c r="R891" s="65" t="s">
        <v>42</v>
      </c>
      <c r="S891" s="65" t="s">
        <v>44</v>
      </c>
      <c r="T891" s="65" t="s">
        <v>44</v>
      </c>
      <c r="U891" s="65" t="s">
        <v>45</v>
      </c>
      <c r="V891" s="65" t="s">
        <v>46</v>
      </c>
      <c r="W891" s="65">
        <v>12.71</v>
      </c>
      <c r="X891" s="65" t="s">
        <v>619</v>
      </c>
      <c r="Y891" s="65" t="s">
        <v>48</v>
      </c>
      <c r="Z891" s="65" t="s">
        <v>49</v>
      </c>
      <c r="AA891" s="65"/>
      <c r="AB891" s="65"/>
    </row>
    <row r="892" spans="1:28" x14ac:dyDescent="0.3">
      <c r="A892" s="1">
        <v>46315</v>
      </c>
      <c r="B892" s="65" t="s">
        <v>5306</v>
      </c>
      <c r="C892" s="65" t="s">
        <v>29</v>
      </c>
      <c r="D892" s="65" t="s">
        <v>5307</v>
      </c>
      <c r="E892" s="65" t="s">
        <v>31</v>
      </c>
      <c r="F892" s="65" t="s">
        <v>5308</v>
      </c>
      <c r="G892" s="65" t="s">
        <v>5309</v>
      </c>
      <c r="H892" s="65" t="s">
        <v>5310</v>
      </c>
      <c r="I892" s="65" t="s">
        <v>774</v>
      </c>
      <c r="J892" s="65" t="s">
        <v>775</v>
      </c>
      <c r="K892" s="65" t="s">
        <v>37</v>
      </c>
      <c r="L892" s="65" t="s">
        <v>5311</v>
      </c>
      <c r="M892" s="65" t="s">
        <v>5312</v>
      </c>
      <c r="N892" s="65" t="s">
        <v>5309</v>
      </c>
      <c r="O892" s="65" t="s">
        <v>5313</v>
      </c>
      <c r="P892" s="65" t="s">
        <v>618</v>
      </c>
      <c r="Q892" s="65">
        <v>1</v>
      </c>
      <c r="R892" s="65" t="s">
        <v>42</v>
      </c>
      <c r="S892" s="65" t="s">
        <v>44</v>
      </c>
      <c r="T892" s="65" t="s">
        <v>44</v>
      </c>
      <c r="U892" s="65" t="s">
        <v>45</v>
      </c>
      <c r="V892" s="65" t="s">
        <v>46</v>
      </c>
      <c r="W892" s="65">
        <v>12.71</v>
      </c>
      <c r="X892" s="65" t="s">
        <v>619</v>
      </c>
      <c r="Y892" s="65" t="s">
        <v>48</v>
      </c>
      <c r="Z892" s="65" t="s">
        <v>49</v>
      </c>
      <c r="AA892" s="65"/>
      <c r="AB892" s="65"/>
    </row>
    <row r="893" spans="1:28" x14ac:dyDescent="0.3">
      <c r="A893" s="1">
        <v>46315</v>
      </c>
      <c r="B893" s="65" t="s">
        <v>5306</v>
      </c>
      <c r="C893" s="65" t="s">
        <v>29</v>
      </c>
      <c r="D893" s="65" t="s">
        <v>5307</v>
      </c>
      <c r="E893" s="65" t="s">
        <v>31</v>
      </c>
      <c r="F893" s="65" t="s">
        <v>5308</v>
      </c>
      <c r="G893" s="65" t="s">
        <v>5309</v>
      </c>
      <c r="H893" s="65" t="s">
        <v>5310</v>
      </c>
      <c r="I893" s="65" t="s">
        <v>774</v>
      </c>
      <c r="J893" s="65" t="s">
        <v>775</v>
      </c>
      <c r="K893" s="65" t="s">
        <v>37</v>
      </c>
      <c r="L893" s="65" t="s">
        <v>5311</v>
      </c>
      <c r="M893" s="65" t="s">
        <v>5312</v>
      </c>
      <c r="N893" s="65" t="s">
        <v>5309</v>
      </c>
      <c r="O893" s="65" t="s">
        <v>5313</v>
      </c>
      <c r="P893" s="65" t="s">
        <v>618</v>
      </c>
      <c r="Q893" s="65">
        <v>1</v>
      </c>
      <c r="R893" s="65" t="s">
        <v>42</v>
      </c>
      <c r="S893" s="65" t="s">
        <v>44</v>
      </c>
      <c r="T893" s="65" t="s">
        <v>44</v>
      </c>
      <c r="U893" s="65" t="s">
        <v>45</v>
      </c>
      <c r="V893" s="65" t="s">
        <v>46</v>
      </c>
      <c r="W893" s="65">
        <v>50.85</v>
      </c>
      <c r="X893" s="65" t="s">
        <v>619</v>
      </c>
      <c r="Y893" s="65" t="s">
        <v>48</v>
      </c>
      <c r="Z893" s="65" t="s">
        <v>49</v>
      </c>
      <c r="AA893" s="65"/>
      <c r="AB893" s="65"/>
    </row>
    <row r="894" spans="1:28" x14ac:dyDescent="0.3">
      <c r="A894" s="1">
        <v>46315</v>
      </c>
      <c r="B894" s="65" t="s">
        <v>5314</v>
      </c>
      <c r="C894" s="65" t="s">
        <v>29</v>
      </c>
      <c r="D894" s="65" t="s">
        <v>5315</v>
      </c>
      <c r="E894" s="65" t="s">
        <v>31</v>
      </c>
      <c r="F894" s="65" t="s">
        <v>5316</v>
      </c>
      <c r="G894" s="65" t="s">
        <v>5309</v>
      </c>
      <c r="H894" s="65" t="s">
        <v>5310</v>
      </c>
      <c r="I894" s="65" t="s">
        <v>774</v>
      </c>
      <c r="J894" s="65" t="s">
        <v>775</v>
      </c>
      <c r="K894" s="65" t="s">
        <v>37</v>
      </c>
      <c r="L894" s="65" t="s">
        <v>5311</v>
      </c>
      <c r="M894" s="65" t="s">
        <v>5312</v>
      </c>
      <c r="N894" s="65" t="s">
        <v>5309</v>
      </c>
      <c r="O894" s="65" t="s">
        <v>5317</v>
      </c>
      <c r="P894" s="65" t="s">
        <v>828</v>
      </c>
      <c r="Q894" s="65">
        <v>1</v>
      </c>
      <c r="R894" s="65" t="s">
        <v>42</v>
      </c>
      <c r="S894" s="65" t="s">
        <v>44</v>
      </c>
      <c r="T894" s="65" t="s">
        <v>44</v>
      </c>
      <c r="U894" s="65" t="s">
        <v>45</v>
      </c>
      <c r="V894" s="65" t="s">
        <v>46</v>
      </c>
      <c r="W894" s="65">
        <v>127.12</v>
      </c>
      <c r="X894" s="65" t="s">
        <v>47</v>
      </c>
      <c r="Y894" s="65" t="s">
        <v>48</v>
      </c>
      <c r="Z894" s="65" t="s">
        <v>49</v>
      </c>
      <c r="AA894" s="65"/>
      <c r="AB894" s="65"/>
    </row>
    <row r="895" spans="1:28" x14ac:dyDescent="0.3">
      <c r="A895" s="1">
        <v>46315</v>
      </c>
      <c r="B895" s="65" t="s">
        <v>5318</v>
      </c>
      <c r="C895" s="65" t="s">
        <v>29</v>
      </c>
      <c r="D895" s="65" t="s">
        <v>5319</v>
      </c>
      <c r="E895" s="65" t="s">
        <v>31</v>
      </c>
      <c r="F895" s="65" t="s">
        <v>5320</v>
      </c>
      <c r="G895" s="65" t="s">
        <v>5309</v>
      </c>
      <c r="H895" s="65" t="s">
        <v>5310</v>
      </c>
      <c r="I895" s="65" t="s">
        <v>774</v>
      </c>
      <c r="J895" s="65" t="s">
        <v>775</v>
      </c>
      <c r="K895" s="65" t="s">
        <v>37</v>
      </c>
      <c r="L895" s="65" t="s">
        <v>5311</v>
      </c>
      <c r="M895" s="65" t="s">
        <v>5312</v>
      </c>
      <c r="N895" s="65" t="s">
        <v>5309</v>
      </c>
      <c r="O895" s="65" t="s">
        <v>5321</v>
      </c>
      <c r="P895" s="65" t="s">
        <v>641</v>
      </c>
      <c r="Q895" s="65">
        <v>1</v>
      </c>
      <c r="R895" s="65" t="s">
        <v>42</v>
      </c>
      <c r="S895" s="65" t="s">
        <v>44</v>
      </c>
      <c r="T895" s="65" t="s">
        <v>44</v>
      </c>
      <c r="U895" s="65" t="s">
        <v>45</v>
      </c>
      <c r="V895" s="65" t="s">
        <v>46</v>
      </c>
      <c r="W895" s="65">
        <v>84.75</v>
      </c>
      <c r="X895" s="65" t="s">
        <v>47</v>
      </c>
      <c r="Y895" s="65" t="s">
        <v>48</v>
      </c>
      <c r="Z895" s="65" t="s">
        <v>49</v>
      </c>
      <c r="AA895" s="65"/>
      <c r="AB895" s="65"/>
    </row>
    <row r="896" spans="1:28" x14ac:dyDescent="0.3">
      <c r="A896" s="1">
        <v>46315</v>
      </c>
      <c r="B896" s="65" t="s">
        <v>5322</v>
      </c>
      <c r="C896" s="65" t="s">
        <v>29</v>
      </c>
      <c r="D896" s="65" t="s">
        <v>5323</v>
      </c>
      <c r="E896" s="65" t="s">
        <v>31</v>
      </c>
      <c r="F896" s="65" t="s">
        <v>5324</v>
      </c>
      <c r="G896" s="65" t="s">
        <v>5325</v>
      </c>
      <c r="H896" s="65" t="s">
        <v>5326</v>
      </c>
      <c r="I896" s="65" t="s">
        <v>774</v>
      </c>
      <c r="J896" s="65" t="s">
        <v>775</v>
      </c>
      <c r="K896" s="65" t="s">
        <v>37</v>
      </c>
      <c r="L896" s="65" t="s">
        <v>5327</v>
      </c>
      <c r="M896" s="65" t="s">
        <v>5328</v>
      </c>
      <c r="N896" s="65" t="s">
        <v>5325</v>
      </c>
      <c r="O896" s="65" t="s">
        <v>5329</v>
      </c>
      <c r="P896" s="65" t="s">
        <v>201</v>
      </c>
      <c r="Q896" s="65">
        <v>1</v>
      </c>
      <c r="R896" s="65" t="s">
        <v>42</v>
      </c>
      <c r="S896" s="65" t="s">
        <v>44</v>
      </c>
      <c r="T896" s="65" t="s">
        <v>44</v>
      </c>
      <c r="U896" s="65" t="s">
        <v>45</v>
      </c>
      <c r="V896" s="65" t="s">
        <v>46</v>
      </c>
      <c r="W896" s="65">
        <v>152.54</v>
      </c>
      <c r="X896" s="65" t="s">
        <v>47</v>
      </c>
      <c r="Y896" s="65" t="s">
        <v>48</v>
      </c>
      <c r="Z896" s="65" t="s">
        <v>49</v>
      </c>
      <c r="AA896" s="65"/>
      <c r="AB896" s="65"/>
    </row>
    <row r="897" spans="1:28" x14ac:dyDescent="0.3">
      <c r="A897" s="1">
        <v>46315</v>
      </c>
      <c r="B897" s="65" t="s">
        <v>5330</v>
      </c>
      <c r="C897" s="65" t="s">
        <v>29</v>
      </c>
      <c r="D897" s="65" t="s">
        <v>5331</v>
      </c>
      <c r="E897" s="65" t="s">
        <v>31</v>
      </c>
      <c r="F897" s="65" t="s">
        <v>5332</v>
      </c>
      <c r="G897" s="65" t="s">
        <v>5333</v>
      </c>
      <c r="H897" s="65" t="s">
        <v>5334</v>
      </c>
      <c r="I897" s="65" t="s">
        <v>774</v>
      </c>
      <c r="J897" s="65" t="s">
        <v>775</v>
      </c>
      <c r="K897" s="65" t="s">
        <v>37</v>
      </c>
      <c r="L897" s="65" t="s">
        <v>5335</v>
      </c>
      <c r="M897" s="65" t="s">
        <v>5312</v>
      </c>
      <c r="N897" s="65" t="s">
        <v>5333</v>
      </c>
      <c r="O897" s="65" t="s">
        <v>5336</v>
      </c>
      <c r="P897" s="65" t="s">
        <v>641</v>
      </c>
      <c r="Q897" s="65">
        <v>1</v>
      </c>
      <c r="R897" s="65" t="s">
        <v>42</v>
      </c>
      <c r="S897" s="65" t="s">
        <v>44</v>
      </c>
      <c r="T897" s="65" t="s">
        <v>44</v>
      </c>
      <c r="U897" s="65" t="s">
        <v>45</v>
      </c>
      <c r="V897" s="65" t="s">
        <v>46</v>
      </c>
      <c r="W897" s="65">
        <v>84.75</v>
      </c>
      <c r="X897" s="65" t="s">
        <v>47</v>
      </c>
      <c r="Y897" s="65" t="s">
        <v>48</v>
      </c>
      <c r="Z897" s="65" t="s">
        <v>49</v>
      </c>
      <c r="AA897" s="65"/>
      <c r="AB897" s="65"/>
    </row>
    <row r="898" spans="1:28" x14ac:dyDescent="0.3">
      <c r="A898" s="1">
        <v>46315</v>
      </c>
      <c r="B898" s="65" t="s">
        <v>5337</v>
      </c>
      <c r="C898" s="65" t="s">
        <v>268</v>
      </c>
      <c r="D898" s="65" t="s">
        <v>5338</v>
      </c>
      <c r="E898" s="65" t="s">
        <v>31</v>
      </c>
      <c r="F898" s="65" t="s">
        <v>5339</v>
      </c>
      <c r="G898" s="65" t="s">
        <v>5309</v>
      </c>
      <c r="H898" s="65" t="s">
        <v>5118</v>
      </c>
      <c r="I898" s="65" t="s">
        <v>774</v>
      </c>
      <c r="J898" s="65" t="s">
        <v>775</v>
      </c>
      <c r="K898" s="65" t="s">
        <v>37</v>
      </c>
      <c r="L898" s="65" t="s">
        <v>5311</v>
      </c>
      <c r="M898" s="65" t="s">
        <v>5312</v>
      </c>
      <c r="N898" s="65" t="s">
        <v>798</v>
      </c>
      <c r="O898" s="65" t="s">
        <v>5340</v>
      </c>
      <c r="P898" s="65" t="s">
        <v>288</v>
      </c>
      <c r="Q898" s="65">
        <v>1</v>
      </c>
      <c r="R898" s="65" t="s">
        <v>42</v>
      </c>
      <c r="S898" s="65" t="s">
        <v>44</v>
      </c>
      <c r="T898" s="65" t="s">
        <v>44</v>
      </c>
      <c r="U898" s="65" t="s">
        <v>45</v>
      </c>
      <c r="V898" s="65" t="s">
        <v>46</v>
      </c>
      <c r="W898" s="65">
        <v>0</v>
      </c>
      <c r="X898" s="65" t="s">
        <v>289</v>
      </c>
      <c r="Y898" s="65" t="s">
        <v>48</v>
      </c>
      <c r="Z898" s="65" t="s">
        <v>49</v>
      </c>
      <c r="AA898" s="65"/>
      <c r="AB898" s="65"/>
    </row>
    <row r="899" spans="1:28" x14ac:dyDescent="0.3">
      <c r="A899" s="1">
        <v>46315</v>
      </c>
      <c r="B899" s="65" t="s">
        <v>5337</v>
      </c>
      <c r="C899" s="65" t="s">
        <v>268</v>
      </c>
      <c r="D899" s="65" t="s">
        <v>5338</v>
      </c>
      <c r="E899" s="65" t="s">
        <v>31</v>
      </c>
      <c r="F899" s="65" t="s">
        <v>5339</v>
      </c>
      <c r="G899" s="65" t="s">
        <v>5309</v>
      </c>
      <c r="H899" s="65" t="s">
        <v>5118</v>
      </c>
      <c r="I899" s="65" t="s">
        <v>774</v>
      </c>
      <c r="J899" s="65" t="s">
        <v>775</v>
      </c>
      <c r="K899" s="65" t="s">
        <v>37</v>
      </c>
      <c r="L899" s="65" t="s">
        <v>5311</v>
      </c>
      <c r="M899" s="65" t="s">
        <v>5312</v>
      </c>
      <c r="N899" s="65" t="s">
        <v>798</v>
      </c>
      <c r="O899" s="65" t="s">
        <v>5340</v>
      </c>
      <c r="P899" s="65" t="s">
        <v>290</v>
      </c>
      <c r="Q899" s="65">
        <v>1</v>
      </c>
      <c r="R899" s="65" t="s">
        <v>42</v>
      </c>
      <c r="S899" s="65" t="s">
        <v>44</v>
      </c>
      <c r="T899" s="65" t="s">
        <v>44</v>
      </c>
      <c r="U899" s="65" t="s">
        <v>45</v>
      </c>
      <c r="V899" s="65" t="s">
        <v>46</v>
      </c>
      <c r="W899" s="65">
        <v>1525.42</v>
      </c>
      <c r="X899" s="65" t="s">
        <v>289</v>
      </c>
      <c r="Y899" s="65" t="s">
        <v>48</v>
      </c>
      <c r="Z899" s="65" t="s">
        <v>49</v>
      </c>
      <c r="AA899" s="65"/>
      <c r="AB899" s="65"/>
    </row>
    <row r="900" spans="1:28" x14ac:dyDescent="0.3">
      <c r="A900" s="1">
        <v>46316</v>
      </c>
      <c r="B900" s="65" t="s">
        <v>5341</v>
      </c>
      <c r="C900" s="65" t="s">
        <v>268</v>
      </c>
      <c r="D900" s="65" t="s">
        <v>5342</v>
      </c>
      <c r="E900" s="65" t="s">
        <v>31</v>
      </c>
      <c r="F900" s="65" t="s">
        <v>5343</v>
      </c>
      <c r="G900" s="65" t="s">
        <v>4882</v>
      </c>
      <c r="H900" s="65" t="s">
        <v>5001</v>
      </c>
      <c r="I900" s="65" t="s">
        <v>477</v>
      </c>
      <c r="J900" s="65" t="s">
        <v>209</v>
      </c>
      <c r="K900" s="65" t="s">
        <v>37</v>
      </c>
      <c r="L900" s="65" t="s">
        <v>4883</v>
      </c>
      <c r="M900" s="65" t="s">
        <v>608</v>
      </c>
      <c r="N900" s="65" t="s">
        <v>486</v>
      </c>
      <c r="O900" s="65" t="s">
        <v>5344</v>
      </c>
      <c r="P900" s="65" t="s">
        <v>288</v>
      </c>
      <c r="Q900" s="65">
        <v>1</v>
      </c>
      <c r="R900" s="65" t="s">
        <v>42</v>
      </c>
      <c r="S900" s="65" t="s">
        <v>44</v>
      </c>
      <c r="T900" s="65" t="s">
        <v>44</v>
      </c>
      <c r="U900" s="65" t="s">
        <v>45</v>
      </c>
      <c r="V900" s="65" t="s">
        <v>46</v>
      </c>
      <c r="W900" s="65">
        <v>0</v>
      </c>
      <c r="X900" s="65" t="s">
        <v>289</v>
      </c>
      <c r="Y900" s="65" t="s">
        <v>48</v>
      </c>
      <c r="Z900" s="65" t="s">
        <v>49</v>
      </c>
      <c r="AA900" s="65">
        <v>982536223</v>
      </c>
      <c r="AB900" s="65" t="s">
        <v>482</v>
      </c>
    </row>
    <row r="901" spans="1:28" x14ac:dyDescent="0.3">
      <c r="A901" s="1">
        <v>46316</v>
      </c>
      <c r="B901" s="65" t="s">
        <v>5341</v>
      </c>
      <c r="C901" s="65" t="s">
        <v>268</v>
      </c>
      <c r="D901" s="65" t="s">
        <v>5342</v>
      </c>
      <c r="E901" s="65" t="s">
        <v>31</v>
      </c>
      <c r="F901" s="65" t="s">
        <v>5343</v>
      </c>
      <c r="G901" s="65" t="s">
        <v>4882</v>
      </c>
      <c r="H901" s="65" t="s">
        <v>5001</v>
      </c>
      <c r="I901" s="65" t="s">
        <v>477</v>
      </c>
      <c r="J901" s="65" t="s">
        <v>209</v>
      </c>
      <c r="K901" s="65" t="s">
        <v>37</v>
      </c>
      <c r="L901" s="65" t="s">
        <v>4883</v>
      </c>
      <c r="M901" s="65" t="s">
        <v>608</v>
      </c>
      <c r="N901" s="65" t="s">
        <v>486</v>
      </c>
      <c r="O901" s="65" t="s">
        <v>5344</v>
      </c>
      <c r="P901" s="65" t="s">
        <v>1215</v>
      </c>
      <c r="Q901" s="65">
        <v>1</v>
      </c>
      <c r="R901" s="65" t="s">
        <v>42</v>
      </c>
      <c r="S901" s="65" t="s">
        <v>44</v>
      </c>
      <c r="T901" s="65" t="s">
        <v>44</v>
      </c>
      <c r="U901" s="65" t="s">
        <v>45</v>
      </c>
      <c r="V901" s="65" t="s">
        <v>46</v>
      </c>
      <c r="W901" s="65">
        <v>139.83000000000001</v>
      </c>
      <c r="X901" s="65" t="s">
        <v>289</v>
      </c>
      <c r="Y901" s="65" t="s">
        <v>48</v>
      </c>
      <c r="Z901" s="65" t="s">
        <v>49</v>
      </c>
      <c r="AA901" s="65">
        <v>982536223</v>
      </c>
      <c r="AB901" s="65" t="s">
        <v>482</v>
      </c>
    </row>
    <row r="902" spans="1:28" x14ac:dyDescent="0.3">
      <c r="A902" s="1">
        <v>46316</v>
      </c>
      <c r="B902" s="65" t="s">
        <v>5345</v>
      </c>
      <c r="C902" s="65" t="s">
        <v>29</v>
      </c>
      <c r="D902" s="65" t="s">
        <v>5346</v>
      </c>
      <c r="E902" s="65" t="s">
        <v>31</v>
      </c>
      <c r="F902" s="65" t="s">
        <v>5347</v>
      </c>
      <c r="G902" s="65" t="s">
        <v>5348</v>
      </c>
      <c r="H902" s="65" t="s">
        <v>5349</v>
      </c>
      <c r="I902" s="65" t="s">
        <v>5350</v>
      </c>
      <c r="J902" s="65" t="s">
        <v>345</v>
      </c>
      <c r="K902" s="65" t="s">
        <v>37</v>
      </c>
      <c r="L902" s="65" t="s">
        <v>5351</v>
      </c>
      <c r="M902" s="65" t="s">
        <v>5352</v>
      </c>
      <c r="N902" s="65" t="s">
        <v>5348</v>
      </c>
      <c r="O902" s="65" t="s">
        <v>5353</v>
      </c>
      <c r="P902" s="65" t="s">
        <v>159</v>
      </c>
      <c r="Q902" s="65">
        <v>1</v>
      </c>
      <c r="R902" s="65" t="s">
        <v>42</v>
      </c>
      <c r="S902" s="65" t="s">
        <v>44</v>
      </c>
      <c r="T902" s="65" t="s">
        <v>44</v>
      </c>
      <c r="U902" s="65" t="s">
        <v>45</v>
      </c>
      <c r="V902" s="65" t="s">
        <v>46</v>
      </c>
      <c r="W902" s="65">
        <v>135.59</v>
      </c>
      <c r="X902" s="65" t="s">
        <v>47</v>
      </c>
      <c r="Y902" s="65" t="s">
        <v>48</v>
      </c>
      <c r="Z902" s="65" t="s">
        <v>49</v>
      </c>
      <c r="AA902" s="65">
        <v>986663575</v>
      </c>
      <c r="AB902" s="65"/>
    </row>
    <row r="903" spans="1:28" x14ac:dyDescent="0.3">
      <c r="A903" s="1">
        <v>46316</v>
      </c>
      <c r="B903" s="65" t="s">
        <v>5354</v>
      </c>
      <c r="C903" s="65" t="s">
        <v>29</v>
      </c>
      <c r="D903" s="65" t="s">
        <v>5355</v>
      </c>
      <c r="E903" s="65" t="s">
        <v>31</v>
      </c>
      <c r="F903" s="65" t="s">
        <v>5356</v>
      </c>
      <c r="G903" s="65" t="s">
        <v>4771</v>
      </c>
      <c r="H903" s="65" t="s">
        <v>4772</v>
      </c>
      <c r="I903" s="65" t="s">
        <v>4680</v>
      </c>
      <c r="J903" s="65" t="s">
        <v>1864</v>
      </c>
      <c r="K903" s="65" t="s">
        <v>37</v>
      </c>
      <c r="L903" s="65" t="s">
        <v>4773</v>
      </c>
      <c r="M903" s="65" t="s">
        <v>4774</v>
      </c>
      <c r="N903" s="65" t="s">
        <v>4771</v>
      </c>
      <c r="O903" s="65" t="s">
        <v>5357</v>
      </c>
      <c r="P903" s="65" t="s">
        <v>59</v>
      </c>
      <c r="Q903" s="65">
        <v>1</v>
      </c>
      <c r="R903" s="65" t="s">
        <v>42</v>
      </c>
      <c r="S903" s="65" t="s">
        <v>44</v>
      </c>
      <c r="T903" s="65" t="s">
        <v>44</v>
      </c>
      <c r="U903" s="65" t="s">
        <v>45</v>
      </c>
      <c r="V903" s="65" t="s">
        <v>46</v>
      </c>
      <c r="W903" s="65">
        <v>101.69</v>
      </c>
      <c r="X903" s="65" t="s">
        <v>61</v>
      </c>
      <c r="Y903" s="65" t="s">
        <v>48</v>
      </c>
      <c r="Z903" s="65" t="s">
        <v>49</v>
      </c>
      <c r="AA903" s="65">
        <v>901918745</v>
      </c>
      <c r="AB903" s="65"/>
    </row>
    <row r="904" spans="1:28" x14ac:dyDescent="0.3">
      <c r="A904" s="1">
        <v>46317</v>
      </c>
      <c r="B904" s="65" t="s">
        <v>5358</v>
      </c>
      <c r="C904" s="65" t="s">
        <v>29</v>
      </c>
      <c r="D904" s="65" t="s">
        <v>5359</v>
      </c>
      <c r="E904" s="65" t="s">
        <v>31</v>
      </c>
      <c r="F904" s="65" t="s">
        <v>5360</v>
      </c>
      <c r="G904" s="65" t="s">
        <v>5361</v>
      </c>
      <c r="H904" s="65" t="s">
        <v>5362</v>
      </c>
      <c r="I904" s="65"/>
      <c r="J904" s="65"/>
      <c r="K904" s="65" t="s">
        <v>37</v>
      </c>
      <c r="L904" s="65" t="s">
        <v>5363</v>
      </c>
      <c r="M904" s="65" t="s">
        <v>4002</v>
      </c>
      <c r="N904" s="65" t="s">
        <v>5361</v>
      </c>
      <c r="O904" s="65" t="s">
        <v>5364</v>
      </c>
      <c r="P904" s="65" t="s">
        <v>641</v>
      </c>
      <c r="Q904" s="65">
        <v>1</v>
      </c>
      <c r="R904" s="65" t="s">
        <v>42</v>
      </c>
      <c r="S904" s="65" t="s">
        <v>44</v>
      </c>
      <c r="T904" s="65" t="s">
        <v>44</v>
      </c>
      <c r="U904" s="65" t="s">
        <v>45</v>
      </c>
      <c r="V904" s="65" t="s">
        <v>46</v>
      </c>
      <c r="W904" s="65">
        <v>84.75</v>
      </c>
      <c r="X904" s="65" t="s">
        <v>47</v>
      </c>
      <c r="Y904" s="65" t="s">
        <v>48</v>
      </c>
      <c r="Z904" s="65" t="s">
        <v>49</v>
      </c>
      <c r="AA904" s="65"/>
      <c r="AB904" s="65"/>
    </row>
    <row r="905" spans="1:28" x14ac:dyDescent="0.3">
      <c r="A905" s="1">
        <v>46317</v>
      </c>
      <c r="B905" s="65" t="s">
        <v>5365</v>
      </c>
      <c r="C905" s="65" t="s">
        <v>29</v>
      </c>
      <c r="D905" s="65" t="s">
        <v>5366</v>
      </c>
      <c r="E905" s="65" t="s">
        <v>31</v>
      </c>
      <c r="F905" s="65" t="s">
        <v>5367</v>
      </c>
      <c r="G905" s="65" t="s">
        <v>5368</v>
      </c>
      <c r="H905" s="65" t="s">
        <v>5369</v>
      </c>
      <c r="I905" s="65"/>
      <c r="J905" s="65"/>
      <c r="K905" s="65" t="s">
        <v>37</v>
      </c>
      <c r="L905" s="65" t="s">
        <v>5370</v>
      </c>
      <c r="M905" s="65" t="s">
        <v>5371</v>
      </c>
      <c r="N905" s="65" t="s">
        <v>5368</v>
      </c>
      <c r="O905" s="65" t="s">
        <v>5372</v>
      </c>
      <c r="P905" s="65" t="s">
        <v>201</v>
      </c>
      <c r="Q905" s="65">
        <v>1</v>
      </c>
      <c r="R905" s="65" t="s">
        <v>42</v>
      </c>
      <c r="S905" s="65" t="s">
        <v>44</v>
      </c>
      <c r="T905" s="65" t="s">
        <v>44</v>
      </c>
      <c r="U905" s="65" t="s">
        <v>45</v>
      </c>
      <c r="V905" s="65" t="s">
        <v>46</v>
      </c>
      <c r="W905" s="65">
        <v>152.54</v>
      </c>
      <c r="X905" s="65" t="s">
        <v>47</v>
      </c>
      <c r="Y905" s="65" t="s">
        <v>48</v>
      </c>
      <c r="Z905" s="65" t="s">
        <v>49</v>
      </c>
      <c r="AA905" s="65"/>
      <c r="AB905" s="65"/>
    </row>
    <row r="906" spans="1:28" x14ac:dyDescent="0.3">
      <c r="A906" s="1">
        <v>46317</v>
      </c>
      <c r="B906" s="65" t="s">
        <v>5373</v>
      </c>
      <c r="C906" s="65" t="s">
        <v>29</v>
      </c>
      <c r="D906" s="65" t="s">
        <v>5374</v>
      </c>
      <c r="E906" s="65" t="s">
        <v>31</v>
      </c>
      <c r="F906" s="65" t="s">
        <v>5375</v>
      </c>
      <c r="G906" s="65" t="s">
        <v>5376</v>
      </c>
      <c r="H906" s="65" t="s">
        <v>5377</v>
      </c>
      <c r="I906" s="65"/>
      <c r="J906" s="65"/>
      <c r="K906" s="65" t="s">
        <v>37</v>
      </c>
      <c r="L906" s="65" t="s">
        <v>5378</v>
      </c>
      <c r="M906" s="65" t="s">
        <v>5379</v>
      </c>
      <c r="N906" s="65" t="s">
        <v>5376</v>
      </c>
      <c r="O906" s="65" t="s">
        <v>5380</v>
      </c>
      <c r="P906" s="65" t="s">
        <v>101</v>
      </c>
      <c r="Q906" s="65">
        <v>1</v>
      </c>
      <c r="R906" s="65" t="s">
        <v>42</v>
      </c>
      <c r="S906" s="65" t="s">
        <v>44</v>
      </c>
      <c r="T906" s="65" t="s">
        <v>44</v>
      </c>
      <c r="U906" s="65" t="s">
        <v>45</v>
      </c>
      <c r="V906" s="65" t="s">
        <v>46</v>
      </c>
      <c r="W906" s="65">
        <v>186.44</v>
      </c>
      <c r="X906" s="65" t="s">
        <v>47</v>
      </c>
      <c r="Y906" s="65" t="s">
        <v>48</v>
      </c>
      <c r="Z906" s="65" t="s">
        <v>49</v>
      </c>
      <c r="AA906" s="65"/>
      <c r="AB906" s="65"/>
    </row>
    <row r="907" spans="1:28" x14ac:dyDescent="0.3">
      <c r="A907" s="1">
        <v>46317</v>
      </c>
      <c r="B907" s="65" t="s">
        <v>5381</v>
      </c>
      <c r="C907" s="65" t="s">
        <v>29</v>
      </c>
      <c r="D907" s="65" t="s">
        <v>5382</v>
      </c>
      <c r="E907" s="65" t="s">
        <v>31</v>
      </c>
      <c r="F907" s="65" t="s">
        <v>5383</v>
      </c>
      <c r="G907" s="65" t="s">
        <v>5384</v>
      </c>
      <c r="H907" s="65" t="s">
        <v>5385</v>
      </c>
      <c r="I907" s="65"/>
      <c r="J907" s="65"/>
      <c r="K907" s="65" t="s">
        <v>37</v>
      </c>
      <c r="L907" s="65" t="s">
        <v>5386</v>
      </c>
      <c r="M907" s="65" t="s">
        <v>5387</v>
      </c>
      <c r="N907" s="65" t="s">
        <v>5384</v>
      </c>
      <c r="O907" s="65" t="s">
        <v>5388</v>
      </c>
      <c r="P907" s="65" t="s">
        <v>159</v>
      </c>
      <c r="Q907" s="65">
        <v>1</v>
      </c>
      <c r="R907" s="65" t="s">
        <v>42</v>
      </c>
      <c r="S907" s="65" t="s">
        <v>44</v>
      </c>
      <c r="T907" s="65" t="s">
        <v>44</v>
      </c>
      <c r="U907" s="65" t="s">
        <v>45</v>
      </c>
      <c r="V907" s="65" t="s">
        <v>46</v>
      </c>
      <c r="W907" s="65">
        <v>135.59</v>
      </c>
      <c r="X907" s="65" t="s">
        <v>47</v>
      </c>
      <c r="Y907" s="65" t="s">
        <v>48</v>
      </c>
      <c r="Z907" s="65" t="s">
        <v>49</v>
      </c>
      <c r="AA907" s="65"/>
      <c r="AB907" s="65"/>
    </row>
    <row r="908" spans="1:28" x14ac:dyDescent="0.3">
      <c r="A908" s="1">
        <v>46317</v>
      </c>
      <c r="B908" s="65" t="s">
        <v>5389</v>
      </c>
      <c r="C908" s="65" t="s">
        <v>29</v>
      </c>
      <c r="D908" s="65" t="s">
        <v>5390</v>
      </c>
      <c r="E908" s="65" t="s">
        <v>31</v>
      </c>
      <c r="F908" s="65" t="s">
        <v>5391</v>
      </c>
      <c r="G908" s="65" t="s">
        <v>5392</v>
      </c>
      <c r="H908" s="65" t="s">
        <v>5393</v>
      </c>
      <c r="I908" s="65"/>
      <c r="J908" s="65"/>
      <c r="K908" s="65" t="s">
        <v>37</v>
      </c>
      <c r="L908" s="65" t="s">
        <v>5394</v>
      </c>
      <c r="M908" s="65" t="s">
        <v>5395</v>
      </c>
      <c r="N908" s="65" t="s">
        <v>5392</v>
      </c>
      <c r="O908" s="65" t="s">
        <v>5396</v>
      </c>
      <c r="P908" s="65" t="s">
        <v>90</v>
      </c>
      <c r="Q908" s="65">
        <v>1</v>
      </c>
      <c r="R908" s="65" t="s">
        <v>42</v>
      </c>
      <c r="S908" s="65" t="s">
        <v>44</v>
      </c>
      <c r="T908" s="65" t="s">
        <v>44</v>
      </c>
      <c r="U908" s="65" t="s">
        <v>45</v>
      </c>
      <c r="V908" s="65" t="s">
        <v>46</v>
      </c>
      <c r="W908" s="65">
        <v>135.59</v>
      </c>
      <c r="X908" s="65" t="s">
        <v>47</v>
      </c>
      <c r="Y908" s="65" t="s">
        <v>48</v>
      </c>
      <c r="Z908" s="65" t="s">
        <v>49</v>
      </c>
      <c r="AA908" s="65"/>
      <c r="AB908" s="65"/>
    </row>
    <row r="909" spans="1:28" x14ac:dyDescent="0.3">
      <c r="A909" s="1">
        <v>46317</v>
      </c>
      <c r="B909" s="65" t="s">
        <v>5397</v>
      </c>
      <c r="C909" s="65" t="s">
        <v>29</v>
      </c>
      <c r="D909" s="65" t="s">
        <v>5398</v>
      </c>
      <c r="E909" s="65" t="s">
        <v>31</v>
      </c>
      <c r="F909" s="65" t="s">
        <v>5399</v>
      </c>
      <c r="G909" s="65" t="s">
        <v>5400</v>
      </c>
      <c r="H909" s="65" t="s">
        <v>5401</v>
      </c>
      <c r="I909" s="65"/>
      <c r="J909" s="65"/>
      <c r="K909" s="65" t="s">
        <v>37</v>
      </c>
      <c r="L909" s="65" t="s">
        <v>5402</v>
      </c>
      <c r="M909" s="65" t="s">
        <v>5403</v>
      </c>
      <c r="N909" s="65" t="s">
        <v>5400</v>
      </c>
      <c r="O909" s="65" t="s">
        <v>5404</v>
      </c>
      <c r="P909" s="65" t="s">
        <v>101</v>
      </c>
      <c r="Q909" s="65">
        <v>1</v>
      </c>
      <c r="R909" s="65" t="s">
        <v>42</v>
      </c>
      <c r="S909" s="65" t="s">
        <v>44</v>
      </c>
      <c r="T909" s="65" t="s">
        <v>44</v>
      </c>
      <c r="U909" s="65" t="s">
        <v>45</v>
      </c>
      <c r="V909" s="65" t="s">
        <v>46</v>
      </c>
      <c r="W909" s="65">
        <v>186.44</v>
      </c>
      <c r="X909" s="65" t="s">
        <v>47</v>
      </c>
      <c r="Y909" s="65" t="s">
        <v>48</v>
      </c>
      <c r="Z909" s="65" t="s">
        <v>49</v>
      </c>
      <c r="AA909" s="65"/>
      <c r="AB909" s="65"/>
    </row>
    <row r="910" spans="1:28" x14ac:dyDescent="0.3">
      <c r="A910" s="1">
        <v>46317</v>
      </c>
      <c r="B910" s="65" t="s">
        <v>5397</v>
      </c>
      <c r="C910" s="65" t="s">
        <v>29</v>
      </c>
      <c r="D910" s="65" t="s">
        <v>5398</v>
      </c>
      <c r="E910" s="65" t="s">
        <v>31</v>
      </c>
      <c r="F910" s="65" t="s">
        <v>5399</v>
      </c>
      <c r="G910" s="65" t="s">
        <v>5400</v>
      </c>
      <c r="H910" s="65" t="s">
        <v>5401</v>
      </c>
      <c r="I910" s="65"/>
      <c r="J910" s="65"/>
      <c r="K910" s="65" t="s">
        <v>37</v>
      </c>
      <c r="L910" s="65" t="s">
        <v>5402</v>
      </c>
      <c r="M910" s="65" t="s">
        <v>5403</v>
      </c>
      <c r="N910" s="65" t="s">
        <v>5400</v>
      </c>
      <c r="O910" s="65" t="s">
        <v>5404</v>
      </c>
      <c r="P910" s="65" t="s">
        <v>101</v>
      </c>
      <c r="Q910" s="65">
        <v>1</v>
      </c>
      <c r="R910" s="65" t="s">
        <v>42</v>
      </c>
      <c r="S910" s="65" t="s">
        <v>44</v>
      </c>
      <c r="T910" s="65" t="s">
        <v>44</v>
      </c>
      <c r="U910" s="65" t="s">
        <v>45</v>
      </c>
      <c r="V910" s="65" t="s">
        <v>46</v>
      </c>
      <c r="W910" s="65">
        <v>135.59</v>
      </c>
      <c r="X910" s="65" t="s">
        <v>47</v>
      </c>
      <c r="Y910" s="65" t="s">
        <v>48</v>
      </c>
      <c r="Z910" s="65" t="s">
        <v>49</v>
      </c>
      <c r="AA910" s="65"/>
      <c r="AB910" s="65"/>
    </row>
    <row r="911" spans="1:28" x14ac:dyDescent="0.3">
      <c r="A911" s="1">
        <v>46317</v>
      </c>
      <c r="B911" s="65" t="s">
        <v>5405</v>
      </c>
      <c r="C911" s="65" t="s">
        <v>29</v>
      </c>
      <c r="D911" s="65" t="s">
        <v>5406</v>
      </c>
      <c r="E911" s="65" t="s">
        <v>31</v>
      </c>
      <c r="F911" s="65" t="s">
        <v>5407</v>
      </c>
      <c r="G911" s="65" t="s">
        <v>5408</v>
      </c>
      <c r="H911" s="65" t="s">
        <v>5409</v>
      </c>
      <c r="I911" s="65"/>
      <c r="J911" s="65"/>
      <c r="K911" s="65" t="s">
        <v>37</v>
      </c>
      <c r="L911" s="65" t="s">
        <v>5410</v>
      </c>
      <c r="M911" s="65" t="s">
        <v>608</v>
      </c>
      <c r="N911" s="65" t="s">
        <v>5408</v>
      </c>
      <c r="O911" s="65" t="s">
        <v>5411</v>
      </c>
      <c r="P911" s="65" t="s">
        <v>288</v>
      </c>
      <c r="Q911" s="65">
        <v>1</v>
      </c>
      <c r="R911" s="65" t="s">
        <v>42</v>
      </c>
      <c r="S911" s="65" t="s">
        <v>44</v>
      </c>
      <c r="T911" s="65" t="s">
        <v>44</v>
      </c>
      <c r="U911" s="65" t="s">
        <v>45</v>
      </c>
      <c r="V911" s="65" t="s">
        <v>46</v>
      </c>
      <c r="W911" s="65">
        <v>0</v>
      </c>
      <c r="X911" s="65" t="s">
        <v>289</v>
      </c>
      <c r="Y911" s="65" t="s">
        <v>48</v>
      </c>
      <c r="Z911" s="65" t="s">
        <v>49</v>
      </c>
      <c r="AA911" s="65"/>
      <c r="AB911" s="65"/>
    </row>
    <row r="912" spans="1:28" x14ac:dyDescent="0.3">
      <c r="A912" s="1">
        <v>46317</v>
      </c>
      <c r="B912" s="65" t="s">
        <v>5405</v>
      </c>
      <c r="C912" s="65" t="s">
        <v>29</v>
      </c>
      <c r="D912" s="65" t="s">
        <v>5406</v>
      </c>
      <c r="E912" s="65" t="s">
        <v>31</v>
      </c>
      <c r="F912" s="65" t="s">
        <v>5407</v>
      </c>
      <c r="G912" s="65" t="s">
        <v>5408</v>
      </c>
      <c r="H912" s="65" t="s">
        <v>5409</v>
      </c>
      <c r="I912" s="65"/>
      <c r="J912" s="65"/>
      <c r="K912" s="65" t="s">
        <v>37</v>
      </c>
      <c r="L912" s="65" t="s">
        <v>5410</v>
      </c>
      <c r="M912" s="65" t="s">
        <v>608</v>
      </c>
      <c r="N912" s="65" t="s">
        <v>5408</v>
      </c>
      <c r="O912" s="65" t="s">
        <v>5411</v>
      </c>
      <c r="P912" s="65" t="s">
        <v>290</v>
      </c>
      <c r="Q912" s="65">
        <v>1</v>
      </c>
      <c r="R912" s="65" t="s">
        <v>42</v>
      </c>
      <c r="S912" s="65" t="s">
        <v>44</v>
      </c>
      <c r="T912" s="65" t="s">
        <v>44</v>
      </c>
      <c r="U912" s="65" t="s">
        <v>45</v>
      </c>
      <c r="V912" s="65" t="s">
        <v>46</v>
      </c>
      <c r="W912" s="65">
        <v>762.71</v>
      </c>
      <c r="X912" s="65" t="s">
        <v>289</v>
      </c>
      <c r="Y912" s="65" t="s">
        <v>48</v>
      </c>
      <c r="Z912" s="65" t="s">
        <v>49</v>
      </c>
      <c r="AA912" s="65"/>
      <c r="AB912" s="65"/>
    </row>
    <row r="913" spans="1:28" x14ac:dyDescent="0.3">
      <c r="A913" s="1">
        <v>46317</v>
      </c>
      <c r="B913" s="65" t="s">
        <v>5412</v>
      </c>
      <c r="C913" s="65" t="s">
        <v>29</v>
      </c>
      <c r="D913" s="65" t="s">
        <v>5413</v>
      </c>
      <c r="E913" s="65" t="s">
        <v>31</v>
      </c>
      <c r="F913" s="65" t="s">
        <v>5414</v>
      </c>
      <c r="G913" s="65" t="s">
        <v>5415</v>
      </c>
      <c r="H913" s="65" t="s">
        <v>5416</v>
      </c>
      <c r="I913" s="65"/>
      <c r="J913" s="65"/>
      <c r="K913" s="65" t="s">
        <v>37</v>
      </c>
      <c r="L913" s="65" t="s">
        <v>5417</v>
      </c>
      <c r="M913" s="65" t="s">
        <v>608</v>
      </c>
      <c r="N913" s="65" t="s">
        <v>5415</v>
      </c>
      <c r="O913" s="65" t="s">
        <v>5418</v>
      </c>
      <c r="P913" s="65" t="s">
        <v>288</v>
      </c>
      <c r="Q913" s="65">
        <v>1</v>
      </c>
      <c r="R913" s="65" t="s">
        <v>42</v>
      </c>
      <c r="S913" s="65" t="s">
        <v>44</v>
      </c>
      <c r="T913" s="65" t="s">
        <v>44</v>
      </c>
      <c r="U913" s="65" t="s">
        <v>45</v>
      </c>
      <c r="V913" s="65" t="s">
        <v>46</v>
      </c>
      <c r="W913" s="65">
        <v>0</v>
      </c>
      <c r="X913" s="65" t="s">
        <v>289</v>
      </c>
      <c r="Y913" s="65" t="s">
        <v>48</v>
      </c>
      <c r="Z913" s="65" t="s">
        <v>49</v>
      </c>
      <c r="AA913" s="65"/>
      <c r="AB913" s="65"/>
    </row>
    <row r="914" spans="1:28" x14ac:dyDescent="0.3">
      <c r="A914" s="1">
        <v>46317</v>
      </c>
      <c r="B914" s="65" t="s">
        <v>5412</v>
      </c>
      <c r="C914" s="65" t="s">
        <v>29</v>
      </c>
      <c r="D914" s="65" t="s">
        <v>5413</v>
      </c>
      <c r="E914" s="65" t="s">
        <v>31</v>
      </c>
      <c r="F914" s="65" t="s">
        <v>5414</v>
      </c>
      <c r="G914" s="65" t="s">
        <v>5415</v>
      </c>
      <c r="H914" s="65" t="s">
        <v>5416</v>
      </c>
      <c r="I914" s="65"/>
      <c r="J914" s="65"/>
      <c r="K914" s="65" t="s">
        <v>37</v>
      </c>
      <c r="L914" s="65" t="s">
        <v>5417</v>
      </c>
      <c r="M914" s="65" t="s">
        <v>608</v>
      </c>
      <c r="N914" s="65" t="s">
        <v>5415</v>
      </c>
      <c r="O914" s="65" t="s">
        <v>5418</v>
      </c>
      <c r="P914" s="65" t="s">
        <v>290</v>
      </c>
      <c r="Q914" s="65">
        <v>1</v>
      </c>
      <c r="R914" s="65" t="s">
        <v>42</v>
      </c>
      <c r="S914" s="65" t="s">
        <v>44</v>
      </c>
      <c r="T914" s="65" t="s">
        <v>44</v>
      </c>
      <c r="U914" s="65" t="s">
        <v>45</v>
      </c>
      <c r="V914" s="65" t="s">
        <v>46</v>
      </c>
      <c r="W914" s="65">
        <v>762.71</v>
      </c>
      <c r="X914" s="65" t="s">
        <v>289</v>
      </c>
      <c r="Y914" s="65" t="s">
        <v>48</v>
      </c>
      <c r="Z914" s="65" t="s">
        <v>49</v>
      </c>
      <c r="AA914" s="65"/>
      <c r="AB914" s="65"/>
    </row>
    <row r="915" spans="1:28" x14ac:dyDescent="0.3">
      <c r="A915" s="1">
        <v>46318</v>
      </c>
      <c r="B915" s="65" t="s">
        <v>5419</v>
      </c>
      <c r="C915" s="65" t="s">
        <v>29</v>
      </c>
      <c r="D915" s="65" t="s">
        <v>5420</v>
      </c>
      <c r="E915" s="65" t="s">
        <v>31</v>
      </c>
      <c r="F915" s="65" t="s">
        <v>5421</v>
      </c>
      <c r="G915" s="65" t="s">
        <v>2706</v>
      </c>
      <c r="H915" s="65" t="s">
        <v>4257</v>
      </c>
      <c r="I915" s="65"/>
      <c r="J915" s="65"/>
      <c r="K915" s="65" t="s">
        <v>37</v>
      </c>
      <c r="L915" s="65" t="s">
        <v>2707</v>
      </c>
      <c r="M915" s="65" t="s">
        <v>2708</v>
      </c>
      <c r="N915" s="65" t="s">
        <v>2706</v>
      </c>
      <c r="O915" s="65" t="s">
        <v>5422</v>
      </c>
      <c r="P915" s="65" t="s">
        <v>159</v>
      </c>
      <c r="Q915" s="65">
        <v>1</v>
      </c>
      <c r="R915" s="65" t="s">
        <v>70</v>
      </c>
      <c r="S915" s="65" t="s">
        <v>43</v>
      </c>
      <c r="T915" s="65" t="s">
        <v>44</v>
      </c>
      <c r="U915" s="65" t="s">
        <v>71</v>
      </c>
      <c r="V915" s="65" t="s">
        <v>72</v>
      </c>
      <c r="W915" s="65">
        <v>135.59</v>
      </c>
      <c r="X915" s="65" t="s">
        <v>47</v>
      </c>
      <c r="Y915" s="65" t="s">
        <v>48</v>
      </c>
      <c r="Z915" s="65" t="s">
        <v>73</v>
      </c>
      <c r="AA915" s="65"/>
      <c r="AB915" s="65"/>
    </row>
    <row r="916" spans="1:28" x14ac:dyDescent="0.3">
      <c r="A916" s="1">
        <v>46318</v>
      </c>
      <c r="B916" s="65" t="s">
        <v>5423</v>
      </c>
      <c r="C916" s="65" t="s">
        <v>29</v>
      </c>
      <c r="D916" s="65" t="s">
        <v>5424</v>
      </c>
      <c r="E916" s="65" t="s">
        <v>31</v>
      </c>
      <c r="F916" s="65" t="s">
        <v>5425</v>
      </c>
      <c r="G916" s="65" t="s">
        <v>5426</v>
      </c>
      <c r="H916" s="65" t="s">
        <v>5427</v>
      </c>
      <c r="I916" s="65"/>
      <c r="J916" s="65"/>
      <c r="K916" s="65" t="s">
        <v>37</v>
      </c>
      <c r="L916" s="65" t="s">
        <v>5428</v>
      </c>
      <c r="M916" s="65" t="s">
        <v>5429</v>
      </c>
      <c r="N916" s="65" t="s">
        <v>5426</v>
      </c>
      <c r="O916" s="65" t="s">
        <v>5430</v>
      </c>
      <c r="P916" s="65" t="s">
        <v>90</v>
      </c>
      <c r="Q916" s="65">
        <v>1</v>
      </c>
      <c r="R916" s="65" t="s">
        <v>42</v>
      </c>
      <c r="S916" s="65" t="s">
        <v>44</v>
      </c>
      <c r="T916" s="65" t="s">
        <v>44</v>
      </c>
      <c r="U916" s="65" t="s">
        <v>45</v>
      </c>
      <c r="V916" s="65" t="s">
        <v>46</v>
      </c>
      <c r="W916" s="65">
        <v>135.59</v>
      </c>
      <c r="X916" s="65" t="s">
        <v>47</v>
      </c>
      <c r="Y916" s="65" t="s">
        <v>48</v>
      </c>
      <c r="Z916" s="65" t="s">
        <v>49</v>
      </c>
      <c r="AA916" s="65"/>
      <c r="AB916" s="65"/>
    </row>
    <row r="917" spans="1:28" x14ac:dyDescent="0.3">
      <c r="A917" s="1">
        <v>46319</v>
      </c>
      <c r="B917" s="65" t="s">
        <v>5431</v>
      </c>
      <c r="C917" s="65" t="s">
        <v>29</v>
      </c>
      <c r="D917" s="65" t="s">
        <v>5432</v>
      </c>
      <c r="E917" s="65" t="s">
        <v>31</v>
      </c>
      <c r="F917" s="65" t="s">
        <v>5433</v>
      </c>
      <c r="G917" s="65" t="s">
        <v>5434</v>
      </c>
      <c r="H917" s="65" t="s">
        <v>5435</v>
      </c>
      <c r="I917" s="65"/>
      <c r="J917" s="65"/>
      <c r="K917" s="65" t="s">
        <v>37</v>
      </c>
      <c r="L917" s="65" t="s">
        <v>5436</v>
      </c>
      <c r="M917" s="65" t="s">
        <v>5437</v>
      </c>
      <c r="N917" s="65" t="s">
        <v>5438</v>
      </c>
      <c r="O917" s="65" t="s">
        <v>5439</v>
      </c>
      <c r="P917" s="65" t="s">
        <v>101</v>
      </c>
      <c r="Q917" s="65">
        <v>1</v>
      </c>
      <c r="R917" s="65" t="s">
        <v>70</v>
      </c>
      <c r="S917" s="65" t="s">
        <v>43</v>
      </c>
      <c r="T917" s="65" t="s">
        <v>44</v>
      </c>
      <c r="U917" s="65" t="s">
        <v>71</v>
      </c>
      <c r="V917" s="65" t="s">
        <v>5440</v>
      </c>
      <c r="W917" s="65">
        <v>186.44</v>
      </c>
      <c r="X917" s="65" t="s">
        <v>47</v>
      </c>
      <c r="Y917" s="65" t="s">
        <v>48</v>
      </c>
      <c r="Z917" s="65" t="s">
        <v>73</v>
      </c>
      <c r="AA917" s="65"/>
      <c r="AB917" s="6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7"/>
  <sheetViews>
    <sheetView tabSelected="1" workbookViewId="0"/>
  </sheetViews>
  <sheetFormatPr baseColWidth="10" defaultRowHeight="14.4" x14ac:dyDescent="0.3"/>
  <cols>
    <col min="1" max="1" width="40.88671875" customWidth="1"/>
    <col min="2" max="2" width="10" customWidth="1"/>
    <col min="3" max="3" width="19.21875" customWidth="1"/>
    <col min="4" max="4" width="20.77734375" customWidth="1"/>
    <col min="5" max="5" width="23.5546875" customWidth="1"/>
    <col min="6" max="6" width="38.33203125" customWidth="1"/>
    <col min="7" max="7" width="35.5546875" customWidth="1"/>
  </cols>
  <sheetData>
    <row r="1" spans="1:7" x14ac:dyDescent="0.3">
      <c r="A1" t="s">
        <v>3004</v>
      </c>
      <c r="B1" t="s">
        <v>3005</v>
      </c>
      <c r="C1" t="s">
        <v>3006</v>
      </c>
      <c r="D1" t="s">
        <v>3007</v>
      </c>
      <c r="E1" t="s">
        <v>3008</v>
      </c>
      <c r="F1" t="s">
        <v>3009</v>
      </c>
      <c r="G1" t="s">
        <v>3010</v>
      </c>
    </row>
    <row r="2" spans="1:7" x14ac:dyDescent="0.3">
      <c r="A2" t="s">
        <v>3011</v>
      </c>
      <c r="B2">
        <v>900734202</v>
      </c>
      <c r="C2" t="s">
        <v>3012</v>
      </c>
      <c r="D2" t="s">
        <v>3013</v>
      </c>
      <c r="E2" t="s">
        <v>3014</v>
      </c>
      <c r="F2" t="s">
        <v>36</v>
      </c>
    </row>
    <row r="3" spans="1:7" x14ac:dyDescent="0.3">
      <c r="A3" t="s">
        <v>3015</v>
      </c>
      <c r="B3">
        <v>930793497</v>
      </c>
      <c r="C3" t="s">
        <v>3012</v>
      </c>
      <c r="D3" t="s">
        <v>3016</v>
      </c>
      <c r="E3" t="s">
        <v>3017</v>
      </c>
      <c r="F3" t="s">
        <v>345</v>
      </c>
    </row>
    <row r="4" spans="1:7" x14ac:dyDescent="0.3">
      <c r="A4" t="s">
        <v>3018</v>
      </c>
      <c r="B4">
        <v>949717538</v>
      </c>
      <c r="C4" t="s">
        <v>3012</v>
      </c>
      <c r="D4" t="s">
        <v>3019</v>
      </c>
      <c r="E4" t="s">
        <v>3020</v>
      </c>
      <c r="F4" t="s">
        <v>2558</v>
      </c>
    </row>
    <row r="5" spans="1:7" x14ac:dyDescent="0.3">
      <c r="A5" t="s">
        <v>3021</v>
      </c>
      <c r="B5">
        <v>986294682</v>
      </c>
      <c r="C5" t="s">
        <v>3012</v>
      </c>
      <c r="D5" t="s">
        <v>3022</v>
      </c>
      <c r="E5" t="s">
        <v>3023</v>
      </c>
      <c r="F5" t="s">
        <v>3024</v>
      </c>
    </row>
    <row r="6" spans="1:7" x14ac:dyDescent="0.3">
      <c r="A6" t="s">
        <v>3025</v>
      </c>
      <c r="B6">
        <v>915394967</v>
      </c>
      <c r="C6" t="s">
        <v>3026</v>
      </c>
      <c r="D6" t="s">
        <v>3027</v>
      </c>
      <c r="E6" t="s">
        <v>3028</v>
      </c>
      <c r="F6" t="s">
        <v>3029</v>
      </c>
    </row>
    <row r="7" spans="1:7" x14ac:dyDescent="0.3">
      <c r="A7" t="s">
        <v>3030</v>
      </c>
      <c r="B7">
        <v>937242809</v>
      </c>
      <c r="C7" t="s">
        <v>3026</v>
      </c>
      <c r="D7" t="s">
        <v>3031</v>
      </c>
      <c r="E7" t="s">
        <v>3032</v>
      </c>
      <c r="F7" t="s">
        <v>3033</v>
      </c>
    </row>
    <row r="8" spans="1:7" x14ac:dyDescent="0.3">
      <c r="A8" t="s">
        <v>3034</v>
      </c>
      <c r="B8">
        <v>940621858</v>
      </c>
      <c r="C8" t="s">
        <v>3026</v>
      </c>
      <c r="D8" t="s">
        <v>3035</v>
      </c>
      <c r="E8" t="s">
        <v>3036</v>
      </c>
      <c r="F8" t="s">
        <v>3037</v>
      </c>
    </row>
    <row r="9" spans="1:7" x14ac:dyDescent="0.3">
      <c r="A9" t="s">
        <v>3038</v>
      </c>
      <c r="B9">
        <v>945751945</v>
      </c>
      <c r="C9" t="s">
        <v>3026</v>
      </c>
      <c r="D9" t="s">
        <v>3039</v>
      </c>
      <c r="F9" t="s">
        <v>2558</v>
      </c>
    </row>
    <row r="10" spans="1:7" x14ac:dyDescent="0.3">
      <c r="A10" t="s">
        <v>3040</v>
      </c>
      <c r="B10">
        <v>945930825</v>
      </c>
      <c r="C10" t="s">
        <v>3026</v>
      </c>
      <c r="D10" t="s">
        <v>3041</v>
      </c>
      <c r="E10" t="s">
        <v>3042</v>
      </c>
      <c r="F10" t="s">
        <v>3043</v>
      </c>
    </row>
    <row r="11" spans="1:7" x14ac:dyDescent="0.3">
      <c r="A11" t="s">
        <v>3044</v>
      </c>
      <c r="B11">
        <v>947591368</v>
      </c>
      <c r="C11" t="s">
        <v>3026</v>
      </c>
      <c r="D11" t="s">
        <v>3045</v>
      </c>
      <c r="E11" t="s">
        <v>3046</v>
      </c>
      <c r="F11" t="s">
        <v>97</v>
      </c>
    </row>
    <row r="12" spans="1:7" x14ac:dyDescent="0.3">
      <c r="A12" t="s">
        <v>3047</v>
      </c>
      <c r="B12">
        <v>948878123</v>
      </c>
      <c r="C12" t="s">
        <v>3026</v>
      </c>
      <c r="D12" t="s">
        <v>3048</v>
      </c>
      <c r="E12" t="s">
        <v>3049</v>
      </c>
      <c r="F12" t="s">
        <v>209</v>
      </c>
    </row>
    <row r="13" spans="1:7" x14ac:dyDescent="0.3">
      <c r="A13" t="s">
        <v>3050</v>
      </c>
      <c r="B13">
        <v>959068627</v>
      </c>
      <c r="C13" t="s">
        <v>3026</v>
      </c>
      <c r="D13" t="s">
        <v>3051</v>
      </c>
      <c r="E13" t="s">
        <v>3052</v>
      </c>
      <c r="F13" t="s">
        <v>36</v>
      </c>
    </row>
    <row r="14" spans="1:7" x14ac:dyDescent="0.3">
      <c r="A14" t="s">
        <v>3053</v>
      </c>
      <c r="B14">
        <v>959103507</v>
      </c>
      <c r="C14" t="s">
        <v>3026</v>
      </c>
      <c r="D14" t="s">
        <v>3054</v>
      </c>
      <c r="E14" t="s">
        <v>3055</v>
      </c>
      <c r="F14" t="s">
        <v>3056</v>
      </c>
    </row>
    <row r="15" spans="1:7" x14ac:dyDescent="0.3">
      <c r="A15" t="s">
        <v>3057</v>
      </c>
      <c r="B15">
        <v>959529890</v>
      </c>
      <c r="C15" t="s">
        <v>3026</v>
      </c>
      <c r="D15" t="s">
        <v>3058</v>
      </c>
      <c r="E15" t="s">
        <v>3059</v>
      </c>
      <c r="F15" t="s">
        <v>262</v>
      </c>
    </row>
    <row r="16" spans="1:7" x14ac:dyDescent="0.3">
      <c r="A16" t="s">
        <v>344</v>
      </c>
      <c r="B16">
        <v>966697811</v>
      </c>
      <c r="C16" t="s">
        <v>3026</v>
      </c>
      <c r="D16" t="s">
        <v>350</v>
      </c>
      <c r="E16" t="s">
        <v>3060</v>
      </c>
      <c r="F16" t="s">
        <v>345</v>
      </c>
    </row>
    <row r="17" spans="1:6" x14ac:dyDescent="0.3">
      <c r="A17" t="s">
        <v>3061</v>
      </c>
      <c r="B17">
        <v>976498726</v>
      </c>
      <c r="C17" t="s">
        <v>3026</v>
      </c>
      <c r="D17" t="s">
        <v>3062</v>
      </c>
      <c r="E17" t="s">
        <v>3063</v>
      </c>
      <c r="F17" t="s">
        <v>1542</v>
      </c>
    </row>
    <row r="18" spans="1:6" x14ac:dyDescent="0.3">
      <c r="A18" t="s">
        <v>364</v>
      </c>
      <c r="B18">
        <v>976922608</v>
      </c>
      <c r="C18" t="s">
        <v>3026</v>
      </c>
      <c r="D18" t="s">
        <v>370</v>
      </c>
      <c r="E18" t="s">
        <v>3064</v>
      </c>
      <c r="F18" t="s">
        <v>365</v>
      </c>
    </row>
    <row r="19" spans="1:6" x14ac:dyDescent="0.3">
      <c r="A19" t="s">
        <v>3065</v>
      </c>
      <c r="B19">
        <v>981953525</v>
      </c>
      <c r="C19" t="s">
        <v>3026</v>
      </c>
      <c r="D19" t="s">
        <v>3066</v>
      </c>
      <c r="E19" t="s">
        <v>3067</v>
      </c>
      <c r="F19" t="s">
        <v>3037</v>
      </c>
    </row>
    <row r="20" spans="1:6" x14ac:dyDescent="0.3">
      <c r="A20" t="s">
        <v>411</v>
      </c>
      <c r="B20">
        <v>982673362</v>
      </c>
      <c r="C20" t="s">
        <v>3026</v>
      </c>
      <c r="D20" t="s">
        <v>416</v>
      </c>
      <c r="E20" t="s">
        <v>3068</v>
      </c>
      <c r="F20" t="s">
        <v>412</v>
      </c>
    </row>
    <row r="21" spans="1:6" x14ac:dyDescent="0.3">
      <c r="A21" t="s">
        <v>3069</v>
      </c>
      <c r="B21">
        <v>983338097</v>
      </c>
      <c r="C21" t="s">
        <v>3026</v>
      </c>
      <c r="D21" t="s">
        <v>3070</v>
      </c>
      <c r="E21" t="s">
        <v>3071</v>
      </c>
      <c r="F21" t="s">
        <v>629</v>
      </c>
    </row>
    <row r="22" spans="1:6" x14ac:dyDescent="0.3">
      <c r="A22" t="s">
        <v>3072</v>
      </c>
      <c r="B22">
        <v>985558886</v>
      </c>
      <c r="C22" t="s">
        <v>3026</v>
      </c>
      <c r="D22" t="s">
        <v>3073</v>
      </c>
      <c r="E22" t="s">
        <v>3074</v>
      </c>
      <c r="F22" t="s">
        <v>3037</v>
      </c>
    </row>
    <row r="23" spans="1:6" x14ac:dyDescent="0.3">
      <c r="A23" t="s">
        <v>3075</v>
      </c>
      <c r="B23">
        <v>986378324</v>
      </c>
      <c r="C23" t="s">
        <v>3026</v>
      </c>
      <c r="D23" t="s">
        <v>3076</v>
      </c>
      <c r="E23" t="s">
        <v>3077</v>
      </c>
      <c r="F23" t="s">
        <v>117</v>
      </c>
    </row>
    <row r="24" spans="1:6" x14ac:dyDescent="0.3">
      <c r="A24" t="s">
        <v>2024</v>
      </c>
      <c r="B24">
        <v>986661693</v>
      </c>
      <c r="C24" t="s">
        <v>3026</v>
      </c>
      <c r="D24" t="s">
        <v>2029</v>
      </c>
      <c r="E24" t="s">
        <v>3078</v>
      </c>
      <c r="F24" t="s">
        <v>2025</v>
      </c>
    </row>
    <row r="25" spans="1:6" x14ac:dyDescent="0.3">
      <c r="A25" t="s">
        <v>3079</v>
      </c>
      <c r="B25">
        <v>987562741</v>
      </c>
      <c r="C25" t="s">
        <v>3026</v>
      </c>
      <c r="D25" t="s">
        <v>3080</v>
      </c>
      <c r="E25" t="s">
        <v>3081</v>
      </c>
      <c r="F25" t="s">
        <v>3082</v>
      </c>
    </row>
    <row r="26" spans="1:6" x14ac:dyDescent="0.3">
      <c r="A26" t="s">
        <v>3083</v>
      </c>
      <c r="B26">
        <v>987566204</v>
      </c>
      <c r="C26" t="s">
        <v>3026</v>
      </c>
      <c r="D26" t="s">
        <v>3084</v>
      </c>
      <c r="E26" t="s">
        <v>3085</v>
      </c>
      <c r="F26" t="s">
        <v>3086</v>
      </c>
    </row>
    <row r="27" spans="1:6" x14ac:dyDescent="0.3">
      <c r="A27" t="s">
        <v>3087</v>
      </c>
      <c r="B27">
        <v>988441716</v>
      </c>
      <c r="C27" t="s">
        <v>3026</v>
      </c>
      <c r="D27" t="s">
        <v>3088</v>
      </c>
      <c r="E27" t="s">
        <v>3089</v>
      </c>
      <c r="F27" t="s">
        <v>3090</v>
      </c>
    </row>
    <row r="28" spans="1:6" x14ac:dyDescent="0.3">
      <c r="A28" t="s">
        <v>1541</v>
      </c>
      <c r="B28">
        <v>990080724</v>
      </c>
      <c r="C28" t="s">
        <v>3026</v>
      </c>
      <c r="D28" t="s">
        <v>1546</v>
      </c>
      <c r="E28" t="s">
        <v>3091</v>
      </c>
      <c r="F28" t="s">
        <v>1542</v>
      </c>
    </row>
    <row r="29" spans="1:6" x14ac:dyDescent="0.3">
      <c r="A29" t="s">
        <v>3092</v>
      </c>
      <c r="B29">
        <v>992745041</v>
      </c>
      <c r="C29" t="s">
        <v>3026</v>
      </c>
      <c r="D29" t="s">
        <v>3093</v>
      </c>
      <c r="E29" t="s">
        <v>3094</v>
      </c>
      <c r="F29" t="s">
        <v>2558</v>
      </c>
    </row>
    <row r="30" spans="1:6" x14ac:dyDescent="0.3">
      <c r="A30" t="s">
        <v>2461</v>
      </c>
      <c r="B30">
        <v>992789956</v>
      </c>
      <c r="C30" t="s">
        <v>3026</v>
      </c>
      <c r="D30" t="s">
        <v>2465</v>
      </c>
      <c r="E30" t="s">
        <v>3095</v>
      </c>
      <c r="F30" t="s">
        <v>1120</v>
      </c>
    </row>
    <row r="31" spans="1:6" x14ac:dyDescent="0.3">
      <c r="A31" t="s">
        <v>3096</v>
      </c>
      <c r="B31">
        <v>994670372</v>
      </c>
      <c r="C31" t="s">
        <v>3026</v>
      </c>
      <c r="D31" t="s">
        <v>3097</v>
      </c>
      <c r="E31" t="s">
        <v>3098</v>
      </c>
      <c r="F31" t="s">
        <v>3099</v>
      </c>
    </row>
    <row r="32" spans="1:6" x14ac:dyDescent="0.3">
      <c r="A32" t="s">
        <v>3100</v>
      </c>
      <c r="B32">
        <v>995552602</v>
      </c>
      <c r="C32" t="s">
        <v>3026</v>
      </c>
      <c r="D32" t="s">
        <v>3101</v>
      </c>
      <c r="E32" t="s">
        <v>3102</v>
      </c>
      <c r="F32" t="s">
        <v>365</v>
      </c>
    </row>
    <row r="33" spans="1:6" x14ac:dyDescent="0.3">
      <c r="A33" t="s">
        <v>3103</v>
      </c>
      <c r="B33">
        <v>996650227</v>
      </c>
      <c r="C33" t="s">
        <v>3026</v>
      </c>
      <c r="D33" t="s">
        <v>3104</v>
      </c>
      <c r="E33" t="s">
        <v>3105</v>
      </c>
      <c r="F33" t="s">
        <v>2558</v>
      </c>
    </row>
    <row r="34" spans="1:6" x14ac:dyDescent="0.3">
      <c r="A34" t="s">
        <v>662</v>
      </c>
      <c r="B34">
        <v>997145685</v>
      </c>
      <c r="C34" t="s">
        <v>3026</v>
      </c>
      <c r="D34" t="s">
        <v>666</v>
      </c>
      <c r="E34" t="s">
        <v>3106</v>
      </c>
      <c r="F34" t="s">
        <v>36</v>
      </c>
    </row>
    <row r="35" spans="1:6" x14ac:dyDescent="0.3">
      <c r="A35" t="s">
        <v>3107</v>
      </c>
      <c r="B35">
        <v>997379096</v>
      </c>
      <c r="C35" t="s">
        <v>3026</v>
      </c>
      <c r="D35" t="s">
        <v>3108</v>
      </c>
      <c r="E35" t="s">
        <v>3109</v>
      </c>
      <c r="F35" t="s">
        <v>209</v>
      </c>
    </row>
    <row r="36" spans="1:6" x14ac:dyDescent="0.3">
      <c r="A36" t="s">
        <v>704</v>
      </c>
      <c r="B36">
        <v>998418895</v>
      </c>
      <c r="C36" t="s">
        <v>3026</v>
      </c>
      <c r="D36" t="s">
        <v>709</v>
      </c>
      <c r="E36" t="s">
        <v>3110</v>
      </c>
      <c r="F36" t="s">
        <v>705</v>
      </c>
    </row>
    <row r="37" spans="1:6" x14ac:dyDescent="0.3">
      <c r="A37" t="s">
        <v>762</v>
      </c>
      <c r="B37">
        <v>969791876</v>
      </c>
      <c r="C37" t="s">
        <v>3026</v>
      </c>
      <c r="D37" t="s">
        <v>768</v>
      </c>
      <c r="E37" t="s">
        <v>3111</v>
      </c>
      <c r="F37" t="s">
        <v>209</v>
      </c>
    </row>
    <row r="38" spans="1:6" x14ac:dyDescent="0.3">
      <c r="A38" t="s">
        <v>136</v>
      </c>
      <c r="B38">
        <v>987407712</v>
      </c>
      <c r="C38" t="s">
        <v>3026</v>
      </c>
      <c r="D38" t="s">
        <v>141</v>
      </c>
      <c r="E38" t="s">
        <v>3112</v>
      </c>
      <c r="F38" t="s">
        <v>137</v>
      </c>
    </row>
    <row r="39" spans="1:6" x14ac:dyDescent="0.3">
      <c r="A39" t="s">
        <v>3113</v>
      </c>
      <c r="B39">
        <v>949001047</v>
      </c>
      <c r="C39" t="s">
        <v>3026</v>
      </c>
      <c r="D39" t="s">
        <v>3114</v>
      </c>
      <c r="E39" t="s">
        <v>3115</v>
      </c>
      <c r="F39" t="s">
        <v>1098</v>
      </c>
    </row>
    <row r="40" spans="1:6" x14ac:dyDescent="0.3">
      <c r="A40" t="s">
        <v>3116</v>
      </c>
      <c r="B40">
        <v>973914900</v>
      </c>
      <c r="C40" t="s">
        <v>3026</v>
      </c>
      <c r="D40" t="s">
        <v>3117</v>
      </c>
      <c r="E40" t="s">
        <v>3118</v>
      </c>
      <c r="F40" t="s">
        <v>2558</v>
      </c>
    </row>
    <row r="41" spans="1:6" x14ac:dyDescent="0.3">
      <c r="A41" t="s">
        <v>3119</v>
      </c>
      <c r="B41">
        <v>994671355</v>
      </c>
      <c r="C41" t="s">
        <v>3026</v>
      </c>
      <c r="D41" t="s">
        <v>3120</v>
      </c>
      <c r="E41" t="s">
        <v>3121</v>
      </c>
      <c r="F41" t="s">
        <v>209</v>
      </c>
    </row>
    <row r="42" spans="1:6" x14ac:dyDescent="0.3">
      <c r="A42" t="s">
        <v>3122</v>
      </c>
      <c r="B42">
        <v>997171889</v>
      </c>
      <c r="C42" t="s">
        <v>3026</v>
      </c>
      <c r="D42" t="s">
        <v>3123</v>
      </c>
      <c r="E42" t="s">
        <v>3124</v>
      </c>
      <c r="F42" t="s">
        <v>209</v>
      </c>
    </row>
    <row r="43" spans="1:6" x14ac:dyDescent="0.3">
      <c r="A43" t="s">
        <v>3125</v>
      </c>
      <c r="B43">
        <v>989704320</v>
      </c>
      <c r="C43" t="s">
        <v>3026</v>
      </c>
      <c r="D43" t="s">
        <v>3126</v>
      </c>
      <c r="F43" t="s">
        <v>3127</v>
      </c>
    </row>
    <row r="44" spans="1:6" x14ac:dyDescent="0.3">
      <c r="A44" t="s">
        <v>3128</v>
      </c>
      <c r="B44">
        <v>929966474</v>
      </c>
      <c r="C44" t="s">
        <v>3026</v>
      </c>
      <c r="D44" t="s">
        <v>3129</v>
      </c>
      <c r="E44" t="s">
        <v>3130</v>
      </c>
      <c r="F44" t="s">
        <v>2558</v>
      </c>
    </row>
    <row r="45" spans="1:6" x14ac:dyDescent="0.3">
      <c r="A45" t="s">
        <v>3131</v>
      </c>
      <c r="B45">
        <v>961025690</v>
      </c>
      <c r="C45" t="s">
        <v>3026</v>
      </c>
      <c r="D45" t="s">
        <v>3132</v>
      </c>
      <c r="E45" t="s">
        <v>3133</v>
      </c>
      <c r="F45" t="s">
        <v>3134</v>
      </c>
    </row>
    <row r="46" spans="1:6" x14ac:dyDescent="0.3">
      <c r="A46" t="s">
        <v>3135</v>
      </c>
      <c r="B46">
        <v>991056603</v>
      </c>
      <c r="C46" t="s">
        <v>3026</v>
      </c>
      <c r="D46" t="s">
        <v>3136</v>
      </c>
      <c r="E46" t="s">
        <v>3137</v>
      </c>
      <c r="F46" t="s">
        <v>1542</v>
      </c>
    </row>
    <row r="47" spans="1:6" x14ac:dyDescent="0.3">
      <c r="A47" t="s">
        <v>3138</v>
      </c>
      <c r="B47">
        <v>939369228</v>
      </c>
      <c r="C47" t="s">
        <v>3026</v>
      </c>
      <c r="D47" t="s">
        <v>3139</v>
      </c>
      <c r="E47" t="s">
        <v>3140</v>
      </c>
      <c r="F47" t="s">
        <v>97</v>
      </c>
    </row>
    <row r="48" spans="1:6" x14ac:dyDescent="0.3">
      <c r="A48" t="s">
        <v>3141</v>
      </c>
      <c r="B48">
        <v>982192071</v>
      </c>
      <c r="C48" t="s">
        <v>3026</v>
      </c>
      <c r="D48" t="s">
        <v>3142</v>
      </c>
      <c r="E48" t="s">
        <v>3143</v>
      </c>
      <c r="F48" t="s">
        <v>2025</v>
      </c>
    </row>
    <row r="49" spans="1:6" x14ac:dyDescent="0.3">
      <c r="A49" t="s">
        <v>3144</v>
      </c>
      <c r="B49">
        <v>940248463</v>
      </c>
      <c r="C49" t="s">
        <v>3026</v>
      </c>
      <c r="D49" t="s">
        <v>3145</v>
      </c>
      <c r="E49" t="s">
        <v>3146</v>
      </c>
      <c r="F49" t="s">
        <v>629</v>
      </c>
    </row>
    <row r="50" spans="1:6" x14ac:dyDescent="0.3">
      <c r="A50" t="s">
        <v>3147</v>
      </c>
      <c r="B50">
        <v>972627309</v>
      </c>
      <c r="C50" t="s">
        <v>3026</v>
      </c>
      <c r="D50" t="s">
        <v>3148</v>
      </c>
      <c r="E50" t="s">
        <v>3149</v>
      </c>
      <c r="F50" t="s">
        <v>3150</v>
      </c>
    </row>
    <row r="51" spans="1:6" x14ac:dyDescent="0.3">
      <c r="A51" t="s">
        <v>3151</v>
      </c>
      <c r="B51">
        <v>999088459</v>
      </c>
      <c r="C51" t="s">
        <v>3026</v>
      </c>
      <c r="D51" t="s">
        <v>3152</v>
      </c>
      <c r="E51" t="s">
        <v>3153</v>
      </c>
      <c r="F51" t="s">
        <v>209</v>
      </c>
    </row>
    <row r="52" spans="1:6" x14ac:dyDescent="0.3">
      <c r="A52" t="s">
        <v>3154</v>
      </c>
      <c r="B52">
        <v>926323940</v>
      </c>
      <c r="C52" t="s">
        <v>3155</v>
      </c>
      <c r="D52" t="s">
        <v>3156</v>
      </c>
      <c r="E52" t="s">
        <v>3157</v>
      </c>
      <c r="F52" t="s">
        <v>3158</v>
      </c>
    </row>
    <row r="53" spans="1:6" x14ac:dyDescent="0.3">
      <c r="A53" t="s">
        <v>3159</v>
      </c>
      <c r="B53">
        <v>931781027</v>
      </c>
      <c r="C53" t="s">
        <v>3155</v>
      </c>
      <c r="D53" t="s">
        <v>3160</v>
      </c>
      <c r="E53" t="s">
        <v>3161</v>
      </c>
      <c r="F53" t="s">
        <v>1423</v>
      </c>
    </row>
    <row r="54" spans="1:6" x14ac:dyDescent="0.3">
      <c r="A54" t="s">
        <v>3162</v>
      </c>
      <c r="B54">
        <v>941044046</v>
      </c>
      <c r="C54" t="s">
        <v>3155</v>
      </c>
      <c r="D54" t="s">
        <v>3163</v>
      </c>
      <c r="E54" t="s">
        <v>3164</v>
      </c>
      <c r="F54" t="s">
        <v>209</v>
      </c>
    </row>
    <row r="55" spans="1:6" x14ac:dyDescent="0.3">
      <c r="A55" t="s">
        <v>3165</v>
      </c>
      <c r="B55">
        <v>941411075</v>
      </c>
      <c r="C55" t="s">
        <v>3155</v>
      </c>
      <c r="D55" t="s">
        <v>3166</v>
      </c>
      <c r="E55" t="s">
        <v>3167</v>
      </c>
      <c r="F55" t="s">
        <v>2558</v>
      </c>
    </row>
    <row r="56" spans="1:6" x14ac:dyDescent="0.3">
      <c r="A56" t="s">
        <v>3168</v>
      </c>
      <c r="B56">
        <v>942457955</v>
      </c>
      <c r="C56" t="s">
        <v>3155</v>
      </c>
      <c r="D56" t="s">
        <v>3169</v>
      </c>
      <c r="E56" t="s">
        <v>3170</v>
      </c>
    </row>
    <row r="57" spans="1:6" x14ac:dyDescent="0.3">
      <c r="A57" t="s">
        <v>3171</v>
      </c>
      <c r="B57">
        <v>943196346</v>
      </c>
      <c r="C57" t="s">
        <v>3155</v>
      </c>
      <c r="D57" t="s">
        <v>3172</v>
      </c>
      <c r="E57" t="s">
        <v>3173</v>
      </c>
      <c r="F57" t="s">
        <v>345</v>
      </c>
    </row>
    <row r="58" spans="1:6" x14ac:dyDescent="0.3">
      <c r="A58" t="s">
        <v>3174</v>
      </c>
      <c r="B58">
        <v>945127415</v>
      </c>
      <c r="C58" t="s">
        <v>3155</v>
      </c>
      <c r="D58" t="s">
        <v>3175</v>
      </c>
      <c r="E58" t="s">
        <v>3176</v>
      </c>
      <c r="F58" t="s">
        <v>36</v>
      </c>
    </row>
    <row r="59" spans="1:6" x14ac:dyDescent="0.3">
      <c r="A59" t="s">
        <v>1054</v>
      </c>
      <c r="B59">
        <v>947054605</v>
      </c>
      <c r="C59" t="s">
        <v>3155</v>
      </c>
      <c r="D59" t="s">
        <v>1058</v>
      </c>
      <c r="E59" t="s">
        <v>3177</v>
      </c>
      <c r="F59" t="s">
        <v>262</v>
      </c>
    </row>
    <row r="60" spans="1:6" x14ac:dyDescent="0.3">
      <c r="A60" t="s">
        <v>2557</v>
      </c>
      <c r="B60">
        <v>949900695</v>
      </c>
      <c r="C60" t="s">
        <v>3155</v>
      </c>
      <c r="D60" t="s">
        <v>2562</v>
      </c>
      <c r="E60" t="s">
        <v>3178</v>
      </c>
      <c r="F60" t="s">
        <v>2558</v>
      </c>
    </row>
    <row r="61" spans="1:6" x14ac:dyDescent="0.3">
      <c r="A61" t="s">
        <v>273</v>
      </c>
      <c r="B61">
        <v>950133748</v>
      </c>
      <c r="C61" t="s">
        <v>3155</v>
      </c>
      <c r="D61" t="s">
        <v>279</v>
      </c>
      <c r="E61" t="s">
        <v>3179</v>
      </c>
      <c r="F61" t="s">
        <v>274</v>
      </c>
    </row>
    <row r="62" spans="1:6" x14ac:dyDescent="0.3">
      <c r="A62" t="s">
        <v>3180</v>
      </c>
      <c r="B62">
        <v>954714715</v>
      </c>
      <c r="C62" t="s">
        <v>3155</v>
      </c>
      <c r="D62" t="s">
        <v>3181</v>
      </c>
      <c r="E62" t="s">
        <v>3182</v>
      </c>
      <c r="F62" t="s">
        <v>3183</v>
      </c>
    </row>
    <row r="63" spans="1:6" x14ac:dyDescent="0.3">
      <c r="A63" t="s">
        <v>3184</v>
      </c>
      <c r="B63">
        <v>955787986</v>
      </c>
      <c r="C63" t="s">
        <v>3155</v>
      </c>
      <c r="D63" t="s">
        <v>3185</v>
      </c>
      <c r="E63" t="s">
        <v>3186</v>
      </c>
      <c r="F63" t="s">
        <v>3187</v>
      </c>
    </row>
    <row r="64" spans="1:6" x14ac:dyDescent="0.3">
      <c r="A64" t="s">
        <v>3188</v>
      </c>
      <c r="B64">
        <v>962358230</v>
      </c>
      <c r="C64" t="s">
        <v>3155</v>
      </c>
      <c r="D64" t="s">
        <v>3189</v>
      </c>
      <c r="E64" t="s">
        <v>3190</v>
      </c>
      <c r="F64" t="s">
        <v>2946</v>
      </c>
    </row>
    <row r="65" spans="1:6" x14ac:dyDescent="0.3">
      <c r="A65" t="s">
        <v>96</v>
      </c>
      <c r="B65">
        <v>964328569</v>
      </c>
      <c r="C65" t="s">
        <v>3155</v>
      </c>
      <c r="D65" t="s">
        <v>102</v>
      </c>
      <c r="E65" t="s">
        <v>3191</v>
      </c>
      <c r="F65" t="s">
        <v>97</v>
      </c>
    </row>
    <row r="66" spans="1:6" x14ac:dyDescent="0.3">
      <c r="A66" t="s">
        <v>3192</v>
      </c>
      <c r="B66">
        <v>975712892</v>
      </c>
      <c r="C66" t="s">
        <v>3155</v>
      </c>
      <c r="D66" t="s">
        <v>3193</v>
      </c>
      <c r="E66" t="s">
        <v>3194</v>
      </c>
      <c r="F66" t="s">
        <v>2558</v>
      </c>
    </row>
    <row r="67" spans="1:6" x14ac:dyDescent="0.3">
      <c r="A67" t="s">
        <v>261</v>
      </c>
      <c r="B67">
        <v>981214114</v>
      </c>
      <c r="C67" t="s">
        <v>3155</v>
      </c>
      <c r="D67" t="s">
        <v>266</v>
      </c>
      <c r="E67" t="s">
        <v>3195</v>
      </c>
      <c r="F67" t="s">
        <v>262</v>
      </c>
    </row>
    <row r="68" spans="1:6" x14ac:dyDescent="0.3">
      <c r="A68" t="s">
        <v>2401</v>
      </c>
      <c r="B68">
        <v>987407109</v>
      </c>
      <c r="C68" t="s">
        <v>3155</v>
      </c>
      <c r="D68" t="s">
        <v>2405</v>
      </c>
      <c r="E68" t="s">
        <v>3196</v>
      </c>
      <c r="F68" t="s">
        <v>262</v>
      </c>
    </row>
    <row r="69" spans="1:6" x14ac:dyDescent="0.3">
      <c r="A69" t="s">
        <v>2680</v>
      </c>
      <c r="B69">
        <v>987407712</v>
      </c>
      <c r="C69" t="s">
        <v>3155</v>
      </c>
      <c r="D69" t="s">
        <v>2684</v>
      </c>
      <c r="E69" t="s">
        <v>3197</v>
      </c>
    </row>
    <row r="70" spans="1:6" x14ac:dyDescent="0.3">
      <c r="A70" t="s">
        <v>3198</v>
      </c>
      <c r="B70">
        <v>987537470</v>
      </c>
      <c r="C70" t="s">
        <v>3155</v>
      </c>
      <c r="D70" t="s">
        <v>3199</v>
      </c>
      <c r="E70" t="s">
        <v>3200</v>
      </c>
      <c r="F70" t="s">
        <v>2558</v>
      </c>
    </row>
    <row r="71" spans="1:6" x14ac:dyDescent="0.3">
      <c r="A71" t="s">
        <v>3201</v>
      </c>
      <c r="B71">
        <v>989688510</v>
      </c>
      <c r="C71" t="s">
        <v>3155</v>
      </c>
      <c r="D71" t="s">
        <v>3202</v>
      </c>
      <c r="E71" t="s">
        <v>3203</v>
      </c>
      <c r="F71" t="s">
        <v>3204</v>
      </c>
    </row>
    <row r="72" spans="1:6" x14ac:dyDescent="0.3">
      <c r="A72" t="s">
        <v>3205</v>
      </c>
      <c r="B72">
        <v>990246916</v>
      </c>
      <c r="C72" t="s">
        <v>3155</v>
      </c>
      <c r="D72" t="s">
        <v>3206</v>
      </c>
      <c r="E72" t="s">
        <v>3207</v>
      </c>
      <c r="F72" t="s">
        <v>209</v>
      </c>
    </row>
    <row r="73" spans="1:6" x14ac:dyDescent="0.3">
      <c r="A73" t="s">
        <v>3208</v>
      </c>
      <c r="B73">
        <v>992482115</v>
      </c>
      <c r="C73" t="s">
        <v>3155</v>
      </c>
      <c r="D73" t="s">
        <v>3209</v>
      </c>
      <c r="E73" t="s">
        <v>3210</v>
      </c>
      <c r="F73" t="s">
        <v>1423</v>
      </c>
    </row>
    <row r="74" spans="1:6" x14ac:dyDescent="0.3">
      <c r="A74" t="s">
        <v>3211</v>
      </c>
      <c r="B74">
        <v>992736060</v>
      </c>
      <c r="C74" t="s">
        <v>3155</v>
      </c>
      <c r="D74" t="s">
        <v>3212</v>
      </c>
      <c r="E74" t="s">
        <v>3213</v>
      </c>
      <c r="F74" t="s">
        <v>1098</v>
      </c>
    </row>
    <row r="75" spans="1:6" x14ac:dyDescent="0.3">
      <c r="A75" t="s">
        <v>434</v>
      </c>
      <c r="B75">
        <v>992903716</v>
      </c>
      <c r="C75" t="s">
        <v>3155</v>
      </c>
      <c r="D75" t="s">
        <v>439</v>
      </c>
      <c r="E75" t="s">
        <v>3214</v>
      </c>
      <c r="F75" t="s">
        <v>435</v>
      </c>
    </row>
    <row r="76" spans="1:6" x14ac:dyDescent="0.3">
      <c r="A76" t="s">
        <v>3215</v>
      </c>
      <c r="B76">
        <v>993397164</v>
      </c>
      <c r="C76" t="s">
        <v>3155</v>
      </c>
      <c r="D76" t="s">
        <v>3216</v>
      </c>
      <c r="E76" t="s">
        <v>3217</v>
      </c>
      <c r="F76" t="s">
        <v>629</v>
      </c>
    </row>
    <row r="77" spans="1:6" x14ac:dyDescent="0.3">
      <c r="A77" t="s">
        <v>1119</v>
      </c>
      <c r="B77">
        <v>993540760</v>
      </c>
      <c r="C77" t="s">
        <v>3155</v>
      </c>
      <c r="D77" t="s">
        <v>1124</v>
      </c>
      <c r="E77" t="s">
        <v>3218</v>
      </c>
      <c r="F77" t="s">
        <v>1120</v>
      </c>
    </row>
    <row r="78" spans="1:6" x14ac:dyDescent="0.3">
      <c r="A78" t="s">
        <v>3219</v>
      </c>
      <c r="B78">
        <v>995175656</v>
      </c>
      <c r="C78" t="s">
        <v>3155</v>
      </c>
      <c r="D78" t="s">
        <v>3220</v>
      </c>
      <c r="E78" t="s">
        <v>3221</v>
      </c>
      <c r="F78" t="s">
        <v>1542</v>
      </c>
    </row>
    <row r="79" spans="1:6" x14ac:dyDescent="0.3">
      <c r="A79" t="s">
        <v>1143</v>
      </c>
      <c r="B79">
        <v>995833213</v>
      </c>
      <c r="C79" t="s">
        <v>3155</v>
      </c>
      <c r="D79" t="s">
        <v>1147</v>
      </c>
      <c r="E79" t="s">
        <v>3222</v>
      </c>
      <c r="F79" t="s">
        <v>365</v>
      </c>
    </row>
    <row r="80" spans="1:6" x14ac:dyDescent="0.3">
      <c r="A80" t="s">
        <v>1153</v>
      </c>
      <c r="B80">
        <v>995868651</v>
      </c>
      <c r="C80" t="s">
        <v>3155</v>
      </c>
      <c r="D80" t="s">
        <v>1158</v>
      </c>
      <c r="E80" t="s">
        <v>3223</v>
      </c>
      <c r="F80" t="s">
        <v>1154</v>
      </c>
    </row>
    <row r="81" spans="1:6" x14ac:dyDescent="0.3">
      <c r="A81" t="s">
        <v>3224</v>
      </c>
      <c r="B81">
        <v>997581972</v>
      </c>
      <c r="C81" t="s">
        <v>3155</v>
      </c>
      <c r="D81" t="s">
        <v>3225</v>
      </c>
      <c r="E81" t="s">
        <v>3226</v>
      </c>
      <c r="F81" t="s">
        <v>2558</v>
      </c>
    </row>
    <row r="82" spans="1:6" x14ac:dyDescent="0.3">
      <c r="A82" t="s">
        <v>3227</v>
      </c>
      <c r="B82">
        <v>998765762</v>
      </c>
      <c r="C82" t="s">
        <v>3155</v>
      </c>
      <c r="D82" t="s">
        <v>3228</v>
      </c>
      <c r="E82" t="s">
        <v>3229</v>
      </c>
      <c r="F82" t="s">
        <v>36</v>
      </c>
    </row>
    <row r="83" spans="1:6" x14ac:dyDescent="0.3">
      <c r="A83" t="s">
        <v>3230</v>
      </c>
      <c r="B83">
        <v>998907299</v>
      </c>
      <c r="C83" t="s">
        <v>3155</v>
      </c>
      <c r="D83" t="s">
        <v>3231</v>
      </c>
      <c r="E83" t="s">
        <v>3232</v>
      </c>
      <c r="F83" t="s">
        <v>1423</v>
      </c>
    </row>
    <row r="84" spans="1:6" x14ac:dyDescent="0.3">
      <c r="A84" t="s">
        <v>3233</v>
      </c>
      <c r="B84">
        <v>999603409</v>
      </c>
      <c r="C84" t="s">
        <v>3155</v>
      </c>
      <c r="D84" t="s">
        <v>3234</v>
      </c>
      <c r="E84" t="s">
        <v>3235</v>
      </c>
      <c r="F84" t="s">
        <v>3134</v>
      </c>
    </row>
    <row r="85" spans="1:6" x14ac:dyDescent="0.3">
      <c r="A85" t="s">
        <v>3236</v>
      </c>
      <c r="B85">
        <v>999658759</v>
      </c>
      <c r="C85" t="s">
        <v>3155</v>
      </c>
      <c r="D85" t="s">
        <v>3237</v>
      </c>
      <c r="E85" t="s">
        <v>3238</v>
      </c>
      <c r="F85" t="s">
        <v>36</v>
      </c>
    </row>
    <row r="86" spans="1:6" x14ac:dyDescent="0.3">
      <c r="A86" t="s">
        <v>1829</v>
      </c>
      <c r="B86">
        <v>999700200</v>
      </c>
      <c r="C86" t="s">
        <v>3155</v>
      </c>
      <c r="D86" t="s">
        <v>1832</v>
      </c>
      <c r="E86" t="s">
        <v>3239</v>
      </c>
      <c r="F86" t="s">
        <v>262</v>
      </c>
    </row>
    <row r="87" spans="1:6" x14ac:dyDescent="0.3">
      <c r="A87" t="s">
        <v>1073</v>
      </c>
      <c r="B87">
        <v>999986041</v>
      </c>
      <c r="C87" t="s">
        <v>3155</v>
      </c>
      <c r="D87" t="s">
        <v>1077</v>
      </c>
      <c r="E87" t="s">
        <v>3240</v>
      </c>
      <c r="F87" t="s">
        <v>97</v>
      </c>
    </row>
    <row r="88" spans="1:6" x14ac:dyDescent="0.3">
      <c r="A88" t="s">
        <v>3241</v>
      </c>
      <c r="B88">
        <v>942851351</v>
      </c>
      <c r="C88" t="s">
        <v>3155</v>
      </c>
      <c r="D88" t="s">
        <v>3242</v>
      </c>
      <c r="E88" t="s">
        <v>3243</v>
      </c>
      <c r="F88" t="s">
        <v>97</v>
      </c>
    </row>
    <row r="89" spans="1:6" x14ac:dyDescent="0.3">
      <c r="A89" t="s">
        <v>3244</v>
      </c>
      <c r="B89">
        <v>956417521</v>
      </c>
      <c r="C89" t="s">
        <v>3155</v>
      </c>
      <c r="D89" t="s">
        <v>3245</v>
      </c>
      <c r="E89" t="s">
        <v>3246</v>
      </c>
      <c r="F89" t="s">
        <v>2558</v>
      </c>
    </row>
    <row r="90" spans="1:6" x14ac:dyDescent="0.3">
      <c r="A90" t="s">
        <v>3247</v>
      </c>
      <c r="B90">
        <v>990041876</v>
      </c>
      <c r="C90" t="s">
        <v>3155</v>
      </c>
      <c r="D90" t="s">
        <v>3248</v>
      </c>
      <c r="E90" t="s">
        <v>3249</v>
      </c>
      <c r="F90" t="s">
        <v>209</v>
      </c>
    </row>
    <row r="91" spans="1:6" x14ac:dyDescent="0.3">
      <c r="A91" t="s">
        <v>3250</v>
      </c>
      <c r="B91">
        <v>979023076</v>
      </c>
      <c r="C91" t="s">
        <v>3155</v>
      </c>
      <c r="D91" t="s">
        <v>3251</v>
      </c>
      <c r="E91" t="s">
        <v>3252</v>
      </c>
      <c r="F91" t="s">
        <v>3253</v>
      </c>
    </row>
    <row r="92" spans="1:6" x14ac:dyDescent="0.3">
      <c r="A92" t="s">
        <v>3254</v>
      </c>
      <c r="B92">
        <v>999366923</v>
      </c>
      <c r="C92" t="s">
        <v>3155</v>
      </c>
      <c r="D92" t="s">
        <v>3255</v>
      </c>
      <c r="E92" t="s">
        <v>3256</v>
      </c>
      <c r="F92" t="s">
        <v>345</v>
      </c>
    </row>
    <row r="93" spans="1:6" x14ac:dyDescent="0.3">
      <c r="A93" t="s">
        <v>3257</v>
      </c>
      <c r="B93">
        <v>992746547</v>
      </c>
      <c r="C93" t="s">
        <v>3155</v>
      </c>
      <c r="D93" t="s">
        <v>3258</v>
      </c>
      <c r="E93" t="s">
        <v>3259</v>
      </c>
      <c r="F93" t="s">
        <v>1165</v>
      </c>
    </row>
    <row r="94" spans="1:6" x14ac:dyDescent="0.3">
      <c r="A94" t="s">
        <v>3260</v>
      </c>
      <c r="B94">
        <v>991552927</v>
      </c>
      <c r="C94" t="s">
        <v>3155</v>
      </c>
      <c r="D94" t="s">
        <v>3261</v>
      </c>
      <c r="E94" t="s">
        <v>3262</v>
      </c>
      <c r="F94" t="s">
        <v>1098</v>
      </c>
    </row>
    <row r="95" spans="1:6" x14ac:dyDescent="0.3">
      <c r="A95" t="s">
        <v>3263</v>
      </c>
      <c r="B95">
        <v>943888820</v>
      </c>
      <c r="C95" t="s">
        <v>3155</v>
      </c>
      <c r="D95" t="s">
        <v>3264</v>
      </c>
      <c r="E95" t="s">
        <v>3265</v>
      </c>
      <c r="F95" t="s">
        <v>1098</v>
      </c>
    </row>
    <row r="96" spans="1:6" x14ac:dyDescent="0.3">
      <c r="A96" t="s">
        <v>1595</v>
      </c>
      <c r="B96">
        <v>980543337</v>
      </c>
      <c r="C96" t="s">
        <v>3155</v>
      </c>
      <c r="D96" t="s">
        <v>1600</v>
      </c>
      <c r="E96" t="s">
        <v>3266</v>
      </c>
      <c r="F96" t="s">
        <v>1596</v>
      </c>
    </row>
    <row r="97" spans="1:6" x14ac:dyDescent="0.3">
      <c r="A97" t="s">
        <v>116</v>
      </c>
      <c r="B97">
        <v>945319366</v>
      </c>
      <c r="C97" t="s">
        <v>3155</v>
      </c>
      <c r="D97" t="s">
        <v>121</v>
      </c>
      <c r="E97" t="s">
        <v>3267</v>
      </c>
      <c r="F97" t="s">
        <v>117</v>
      </c>
    </row>
    <row r="98" spans="1:6" x14ac:dyDescent="0.3">
      <c r="A98" t="s">
        <v>3268</v>
      </c>
      <c r="B98">
        <v>949080267</v>
      </c>
      <c r="C98" t="s">
        <v>3155</v>
      </c>
      <c r="D98" t="s">
        <v>3269</v>
      </c>
      <c r="E98" t="s">
        <v>3270</v>
      </c>
      <c r="F98" t="s">
        <v>3271</v>
      </c>
    </row>
    <row r="99" spans="1:6" x14ac:dyDescent="0.3">
      <c r="A99" t="s">
        <v>1232</v>
      </c>
      <c r="C99" t="s">
        <v>3155</v>
      </c>
      <c r="D99" t="s">
        <v>1236</v>
      </c>
      <c r="E99" t="s">
        <v>3272</v>
      </c>
    </row>
    <row r="100" spans="1:6" x14ac:dyDescent="0.3">
      <c r="A100" t="s">
        <v>3273</v>
      </c>
      <c r="B100">
        <v>994872106</v>
      </c>
      <c r="C100" t="s">
        <v>3155</v>
      </c>
      <c r="D100" t="s">
        <v>1253</v>
      </c>
      <c r="E100" t="s">
        <v>3274</v>
      </c>
      <c r="F100" t="s">
        <v>209</v>
      </c>
    </row>
    <row r="101" spans="1:6" x14ac:dyDescent="0.3">
      <c r="A101" t="s">
        <v>3275</v>
      </c>
      <c r="B101">
        <v>981329298</v>
      </c>
      <c r="C101" t="s">
        <v>3155</v>
      </c>
      <c r="D101" t="s">
        <v>3276</v>
      </c>
      <c r="E101" t="s">
        <v>3277</v>
      </c>
      <c r="F101" t="s">
        <v>3278</v>
      </c>
    </row>
    <row r="102" spans="1:6" x14ac:dyDescent="0.3">
      <c r="A102" t="s">
        <v>3279</v>
      </c>
      <c r="B102">
        <v>986276525</v>
      </c>
      <c r="C102" t="s">
        <v>3155</v>
      </c>
      <c r="D102" t="s">
        <v>3280</v>
      </c>
      <c r="E102" t="s">
        <v>3281</v>
      </c>
      <c r="F102" t="s">
        <v>3282</v>
      </c>
    </row>
    <row r="103" spans="1:6" x14ac:dyDescent="0.3">
      <c r="A103" t="s">
        <v>3283</v>
      </c>
      <c r="B103">
        <v>999375924</v>
      </c>
      <c r="C103" t="s">
        <v>3155</v>
      </c>
      <c r="D103" t="s">
        <v>3284</v>
      </c>
      <c r="E103" t="s">
        <v>3285</v>
      </c>
      <c r="F103" t="s">
        <v>3286</v>
      </c>
    </row>
    <row r="104" spans="1:6" x14ac:dyDescent="0.3">
      <c r="A104" t="s">
        <v>3287</v>
      </c>
      <c r="B104">
        <v>929861879</v>
      </c>
      <c r="C104" t="s">
        <v>3155</v>
      </c>
      <c r="D104" t="s">
        <v>3288</v>
      </c>
      <c r="E104" t="s">
        <v>3289</v>
      </c>
      <c r="F104" t="s">
        <v>1098</v>
      </c>
    </row>
    <row r="105" spans="1:6" x14ac:dyDescent="0.3">
      <c r="A105" t="s">
        <v>1281</v>
      </c>
      <c r="B105">
        <v>983837511</v>
      </c>
      <c r="C105" t="s">
        <v>3155</v>
      </c>
      <c r="D105" t="s">
        <v>1286</v>
      </c>
      <c r="E105" t="s">
        <v>3290</v>
      </c>
      <c r="F105" t="s">
        <v>1098</v>
      </c>
    </row>
    <row r="106" spans="1:6" x14ac:dyDescent="0.3">
      <c r="A106" t="s">
        <v>3291</v>
      </c>
      <c r="B106">
        <v>907151482</v>
      </c>
      <c r="C106" t="s">
        <v>3155</v>
      </c>
      <c r="D106" t="s">
        <v>3292</v>
      </c>
      <c r="E106" t="s">
        <v>3293</v>
      </c>
      <c r="F106" t="s">
        <v>629</v>
      </c>
    </row>
    <row r="107" spans="1:6" x14ac:dyDescent="0.3">
      <c r="A107" t="s">
        <v>1221</v>
      </c>
      <c r="B107">
        <v>986089286</v>
      </c>
      <c r="C107" t="s">
        <v>3155</v>
      </c>
      <c r="D107" t="s">
        <v>1226</v>
      </c>
      <c r="E107" t="s">
        <v>3294</v>
      </c>
      <c r="F107" t="s">
        <v>1222</v>
      </c>
    </row>
    <row r="108" spans="1:6" x14ac:dyDescent="0.3">
      <c r="A108" t="s">
        <v>3295</v>
      </c>
      <c r="B108">
        <v>976141343</v>
      </c>
      <c r="C108" t="s">
        <v>3155</v>
      </c>
      <c r="D108" t="s">
        <v>3269</v>
      </c>
      <c r="E108" t="s">
        <v>3296</v>
      </c>
      <c r="F108" t="s">
        <v>117</v>
      </c>
    </row>
    <row r="109" spans="1:6" x14ac:dyDescent="0.3">
      <c r="A109" t="s">
        <v>628</v>
      </c>
      <c r="B109">
        <v>978789268</v>
      </c>
      <c r="C109" t="s">
        <v>3155</v>
      </c>
      <c r="D109" t="s">
        <v>633</v>
      </c>
      <c r="E109" t="s">
        <v>3297</v>
      </c>
      <c r="F109" t="s">
        <v>629</v>
      </c>
    </row>
    <row r="110" spans="1:6" x14ac:dyDescent="0.3">
      <c r="A110" t="s">
        <v>3298</v>
      </c>
      <c r="B110">
        <v>940468354</v>
      </c>
      <c r="C110" t="s">
        <v>3299</v>
      </c>
      <c r="D110" t="s">
        <v>3300</v>
      </c>
      <c r="E110" t="s">
        <v>3301</v>
      </c>
      <c r="F110" t="s">
        <v>345</v>
      </c>
    </row>
    <row r="111" spans="1:6" x14ac:dyDescent="0.3">
      <c r="A111" t="s">
        <v>3302</v>
      </c>
      <c r="B111">
        <v>948328025</v>
      </c>
      <c r="C111" t="s">
        <v>3299</v>
      </c>
      <c r="D111" t="s">
        <v>3303</v>
      </c>
      <c r="E111" t="s">
        <v>3304</v>
      </c>
      <c r="F111" t="s">
        <v>2558</v>
      </c>
    </row>
    <row r="112" spans="1:6" x14ac:dyDescent="0.3">
      <c r="A112" t="s">
        <v>3302</v>
      </c>
      <c r="B112">
        <v>948328025</v>
      </c>
      <c r="C112" t="s">
        <v>3299</v>
      </c>
      <c r="D112" t="s">
        <v>3303</v>
      </c>
      <c r="E112" t="s">
        <v>3304</v>
      </c>
      <c r="F112" t="s">
        <v>2558</v>
      </c>
    </row>
    <row r="113" spans="1:6" x14ac:dyDescent="0.3">
      <c r="A113" t="s">
        <v>715</v>
      </c>
      <c r="B113">
        <v>955356636</v>
      </c>
      <c r="C113" t="s">
        <v>3299</v>
      </c>
      <c r="D113" t="s">
        <v>720</v>
      </c>
      <c r="E113" t="s">
        <v>3305</v>
      </c>
      <c r="F113" t="s">
        <v>716</v>
      </c>
    </row>
    <row r="114" spans="1:6" x14ac:dyDescent="0.3">
      <c r="A114" t="s">
        <v>3306</v>
      </c>
      <c r="B114">
        <v>955610178</v>
      </c>
      <c r="C114" t="s">
        <v>3299</v>
      </c>
      <c r="D114" t="s">
        <v>3307</v>
      </c>
      <c r="E114" t="s">
        <v>3308</v>
      </c>
      <c r="F114" t="s">
        <v>345</v>
      </c>
    </row>
    <row r="115" spans="1:6" x14ac:dyDescent="0.3">
      <c r="A115" t="s">
        <v>3309</v>
      </c>
      <c r="B115">
        <v>959757664</v>
      </c>
      <c r="C115" t="s">
        <v>3299</v>
      </c>
      <c r="D115" t="s">
        <v>3310</v>
      </c>
      <c r="E115" t="s">
        <v>3311</v>
      </c>
      <c r="F115" t="s">
        <v>97</v>
      </c>
    </row>
    <row r="116" spans="1:6" x14ac:dyDescent="0.3">
      <c r="A116" t="s">
        <v>1108</v>
      </c>
      <c r="B116">
        <v>970582106</v>
      </c>
      <c r="C116" t="s">
        <v>3299</v>
      </c>
      <c r="D116" t="s">
        <v>1113</v>
      </c>
      <c r="E116" t="s">
        <v>3312</v>
      </c>
      <c r="F116" t="s">
        <v>209</v>
      </c>
    </row>
    <row r="117" spans="1:6" x14ac:dyDescent="0.3">
      <c r="A117" t="s">
        <v>1300</v>
      </c>
      <c r="B117">
        <v>980702810</v>
      </c>
      <c r="C117" t="s">
        <v>3299</v>
      </c>
      <c r="D117" t="s">
        <v>1305</v>
      </c>
      <c r="E117" t="s">
        <v>3313</v>
      </c>
      <c r="F117" t="s">
        <v>365</v>
      </c>
    </row>
    <row r="118" spans="1:6" x14ac:dyDescent="0.3">
      <c r="A118" t="s">
        <v>1184</v>
      </c>
      <c r="B118">
        <v>981227454</v>
      </c>
      <c r="C118" t="s">
        <v>3299</v>
      </c>
      <c r="D118" t="s">
        <v>1188</v>
      </c>
      <c r="E118" t="s">
        <v>3314</v>
      </c>
      <c r="F118" t="s">
        <v>209</v>
      </c>
    </row>
    <row r="119" spans="1:6" x14ac:dyDescent="0.3">
      <c r="A119" t="s">
        <v>1311</v>
      </c>
      <c r="B119">
        <v>993496032</v>
      </c>
      <c r="C119" t="s">
        <v>3299</v>
      </c>
      <c r="D119" t="s">
        <v>1316</v>
      </c>
      <c r="E119" t="s">
        <v>3315</v>
      </c>
      <c r="F119" t="s">
        <v>36</v>
      </c>
    </row>
    <row r="120" spans="1:6" x14ac:dyDescent="0.3">
      <c r="A120" t="s">
        <v>1322</v>
      </c>
      <c r="B120">
        <v>999111362</v>
      </c>
      <c r="C120" t="s">
        <v>3299</v>
      </c>
      <c r="D120" t="s">
        <v>1326</v>
      </c>
      <c r="E120" t="s">
        <v>3316</v>
      </c>
      <c r="F120" t="s">
        <v>36</v>
      </c>
    </row>
    <row r="121" spans="1:6" x14ac:dyDescent="0.3">
      <c r="A121" t="s">
        <v>3317</v>
      </c>
      <c r="B121">
        <v>991205972</v>
      </c>
      <c r="C121" t="s">
        <v>3299</v>
      </c>
      <c r="D121" t="s">
        <v>3318</v>
      </c>
      <c r="E121" t="s">
        <v>3319</v>
      </c>
      <c r="F121" t="s">
        <v>3320</v>
      </c>
    </row>
    <row r="122" spans="1:6" x14ac:dyDescent="0.3">
      <c r="A122" t="s">
        <v>477</v>
      </c>
      <c r="B122">
        <v>982536223</v>
      </c>
      <c r="C122" t="s">
        <v>3299</v>
      </c>
      <c r="D122" t="s">
        <v>482</v>
      </c>
      <c r="E122" t="s">
        <v>3321</v>
      </c>
      <c r="F122" t="s">
        <v>209</v>
      </c>
    </row>
    <row r="123" spans="1:6" x14ac:dyDescent="0.3">
      <c r="A123" t="s">
        <v>3322</v>
      </c>
      <c r="B123">
        <v>995560200</v>
      </c>
      <c r="C123" t="s">
        <v>3299</v>
      </c>
      <c r="D123" t="s">
        <v>3323</v>
      </c>
      <c r="E123" t="s">
        <v>3324</v>
      </c>
      <c r="F123" t="s">
        <v>209</v>
      </c>
    </row>
    <row r="124" spans="1:6" x14ac:dyDescent="0.3">
      <c r="A124" t="s">
        <v>3325</v>
      </c>
      <c r="B124">
        <v>961599877</v>
      </c>
      <c r="C124" t="s">
        <v>3299</v>
      </c>
      <c r="D124" t="s">
        <v>3326</v>
      </c>
      <c r="E124" t="s">
        <v>3327</v>
      </c>
      <c r="F124" t="s">
        <v>365</v>
      </c>
    </row>
    <row r="125" spans="1:6" x14ac:dyDescent="0.3">
      <c r="A125" t="s">
        <v>2487</v>
      </c>
      <c r="B125">
        <v>993020239</v>
      </c>
      <c r="C125" t="s">
        <v>3299</v>
      </c>
      <c r="D125" t="s">
        <v>2490</v>
      </c>
      <c r="E125" t="s">
        <v>3328</v>
      </c>
      <c r="F125" t="s">
        <v>629</v>
      </c>
    </row>
    <row r="126" spans="1:6" x14ac:dyDescent="0.3">
      <c r="A126" t="s">
        <v>3329</v>
      </c>
      <c r="B126">
        <v>944268486</v>
      </c>
      <c r="C126" t="s">
        <v>3299</v>
      </c>
      <c r="D126" t="s">
        <v>3330</v>
      </c>
      <c r="E126" t="s">
        <v>3331</v>
      </c>
      <c r="F126" t="s">
        <v>365</v>
      </c>
    </row>
    <row r="127" spans="1:6" x14ac:dyDescent="0.3">
      <c r="A127" t="s">
        <v>3332</v>
      </c>
      <c r="B127">
        <v>950486025</v>
      </c>
      <c r="C127" t="s">
        <v>3299</v>
      </c>
      <c r="D127" t="s">
        <v>3333</v>
      </c>
      <c r="E127" t="s">
        <v>3334</v>
      </c>
      <c r="F127" t="s">
        <v>705</v>
      </c>
    </row>
    <row r="128" spans="1:6" x14ac:dyDescent="0.3">
      <c r="A128" t="s">
        <v>3335</v>
      </c>
      <c r="C128" t="s">
        <v>3299</v>
      </c>
      <c r="D128" t="s">
        <v>3333</v>
      </c>
      <c r="E128" t="s">
        <v>3336</v>
      </c>
    </row>
    <row r="129" spans="1:6" x14ac:dyDescent="0.3">
      <c r="A129" t="s">
        <v>3337</v>
      </c>
      <c r="B129">
        <v>936892722</v>
      </c>
      <c r="C129" t="s">
        <v>3338</v>
      </c>
      <c r="D129" t="s">
        <v>3339</v>
      </c>
      <c r="E129" t="s">
        <v>3340</v>
      </c>
      <c r="F129" t="s">
        <v>262</v>
      </c>
    </row>
    <row r="130" spans="1:6" x14ac:dyDescent="0.3">
      <c r="A130" t="s">
        <v>3341</v>
      </c>
      <c r="B130">
        <v>975726361</v>
      </c>
      <c r="C130" t="s">
        <v>3342</v>
      </c>
      <c r="D130" t="s">
        <v>3343</v>
      </c>
      <c r="E130" t="s">
        <v>3344</v>
      </c>
      <c r="F130" t="s">
        <v>1165</v>
      </c>
    </row>
    <row r="131" spans="1:6" x14ac:dyDescent="0.3">
      <c r="A131" t="s">
        <v>1349</v>
      </c>
      <c r="B131">
        <v>980030101</v>
      </c>
      <c r="C131" t="s">
        <v>3342</v>
      </c>
      <c r="D131" t="s">
        <v>1353</v>
      </c>
      <c r="E131" t="s">
        <v>3345</v>
      </c>
      <c r="F131" t="s">
        <v>209</v>
      </c>
    </row>
    <row r="132" spans="1:6" x14ac:dyDescent="0.3">
      <c r="A132" t="s">
        <v>651</v>
      </c>
      <c r="B132">
        <v>987552890</v>
      </c>
      <c r="C132" t="s">
        <v>3342</v>
      </c>
      <c r="D132" t="s">
        <v>656</v>
      </c>
      <c r="E132" t="s">
        <v>3346</v>
      </c>
      <c r="F132" t="s">
        <v>652</v>
      </c>
    </row>
    <row r="133" spans="1:6" x14ac:dyDescent="0.3">
      <c r="A133" t="s">
        <v>2945</v>
      </c>
      <c r="B133">
        <v>995247963</v>
      </c>
      <c r="C133" t="s">
        <v>3342</v>
      </c>
      <c r="D133" t="s">
        <v>2950</v>
      </c>
      <c r="E133" t="s">
        <v>3347</v>
      </c>
      <c r="F133" t="s">
        <v>2946</v>
      </c>
    </row>
    <row r="134" spans="1:6" x14ac:dyDescent="0.3">
      <c r="A134" t="s">
        <v>3348</v>
      </c>
      <c r="B134">
        <v>999424542</v>
      </c>
      <c r="C134" t="s">
        <v>3342</v>
      </c>
      <c r="D134" t="s">
        <v>3349</v>
      </c>
      <c r="E134" t="s">
        <v>3350</v>
      </c>
      <c r="F134" t="s">
        <v>2420</v>
      </c>
    </row>
    <row r="135" spans="1:6" x14ac:dyDescent="0.3">
      <c r="A135" t="s">
        <v>35</v>
      </c>
      <c r="B135">
        <v>999996347</v>
      </c>
      <c r="C135" t="s">
        <v>3342</v>
      </c>
      <c r="D135" t="s">
        <v>50</v>
      </c>
      <c r="E135" t="s">
        <v>3351</v>
      </c>
      <c r="F135" t="s">
        <v>36</v>
      </c>
    </row>
    <row r="136" spans="1:6" x14ac:dyDescent="0.3">
      <c r="A136" t="s">
        <v>3352</v>
      </c>
      <c r="B136">
        <v>975429533</v>
      </c>
      <c r="C136" t="s">
        <v>3342</v>
      </c>
      <c r="D136" t="s">
        <v>3353</v>
      </c>
      <c r="E136" t="s">
        <v>3354</v>
      </c>
    </row>
    <row r="137" spans="1:6" x14ac:dyDescent="0.3">
      <c r="A137" t="s">
        <v>3355</v>
      </c>
      <c r="B137">
        <v>933162551</v>
      </c>
    </row>
    <row r="138" spans="1:6" x14ac:dyDescent="0.3">
      <c r="A138" t="s">
        <v>3356</v>
      </c>
      <c r="B138">
        <v>941451427</v>
      </c>
      <c r="F138" t="s">
        <v>3278</v>
      </c>
    </row>
    <row r="139" spans="1:6" x14ac:dyDescent="0.3">
      <c r="A139" t="s">
        <v>3357</v>
      </c>
      <c r="B139">
        <v>956386291</v>
      </c>
    </row>
    <row r="140" spans="1:6" x14ac:dyDescent="0.3">
      <c r="A140" t="s">
        <v>3358</v>
      </c>
      <c r="B140">
        <v>959686281</v>
      </c>
      <c r="F140" t="s">
        <v>2311</v>
      </c>
    </row>
    <row r="141" spans="1:6" x14ac:dyDescent="0.3">
      <c r="A141" t="s">
        <v>3359</v>
      </c>
      <c r="B141">
        <v>961711087</v>
      </c>
      <c r="F141" t="s">
        <v>1542</v>
      </c>
    </row>
    <row r="142" spans="1:6" x14ac:dyDescent="0.3">
      <c r="A142" t="s">
        <v>3360</v>
      </c>
      <c r="B142">
        <v>972250960</v>
      </c>
      <c r="F142" t="s">
        <v>3361</v>
      </c>
    </row>
    <row r="143" spans="1:6" x14ac:dyDescent="0.3">
      <c r="A143" t="s">
        <v>3362</v>
      </c>
      <c r="B143">
        <v>975462002</v>
      </c>
      <c r="F143" t="s">
        <v>3363</v>
      </c>
    </row>
    <row r="144" spans="1:6" x14ac:dyDescent="0.3">
      <c r="A144" t="s">
        <v>3364</v>
      </c>
      <c r="B144">
        <v>981604885</v>
      </c>
    </row>
    <row r="145" spans="1:6" x14ac:dyDescent="0.3">
      <c r="A145" t="s">
        <v>3365</v>
      </c>
      <c r="B145">
        <v>982769481</v>
      </c>
      <c r="F145" t="s">
        <v>3366</v>
      </c>
    </row>
    <row r="146" spans="1:6" x14ac:dyDescent="0.3">
      <c r="A146" t="s">
        <v>3367</v>
      </c>
      <c r="B146">
        <v>985473445</v>
      </c>
      <c r="F146" t="s">
        <v>2025</v>
      </c>
    </row>
    <row r="147" spans="1:6" x14ac:dyDescent="0.3">
      <c r="A147" t="s">
        <v>1368</v>
      </c>
      <c r="B147">
        <v>994336842</v>
      </c>
    </row>
    <row r="148" spans="1:6" x14ac:dyDescent="0.3">
      <c r="A148" t="s">
        <v>3368</v>
      </c>
      <c r="B148">
        <v>995829641</v>
      </c>
    </row>
    <row r="149" spans="1:6" x14ac:dyDescent="0.3">
      <c r="A149" t="s">
        <v>3369</v>
      </c>
      <c r="B149">
        <v>997213990</v>
      </c>
    </row>
    <row r="150" spans="1:6" x14ac:dyDescent="0.3">
      <c r="A150" t="s">
        <v>3370</v>
      </c>
      <c r="B150">
        <v>998862127</v>
      </c>
    </row>
    <row r="151" spans="1:6" x14ac:dyDescent="0.3">
      <c r="A151" t="s">
        <v>3371</v>
      </c>
      <c r="B151">
        <v>999015993</v>
      </c>
      <c r="F151" t="s">
        <v>209</v>
      </c>
    </row>
    <row r="152" spans="1:6" x14ac:dyDescent="0.3">
      <c r="A152" t="s">
        <v>3372</v>
      </c>
      <c r="B152">
        <v>999043101</v>
      </c>
      <c r="F152" t="s">
        <v>2311</v>
      </c>
    </row>
    <row r="153" spans="1:6" x14ac:dyDescent="0.3">
      <c r="A153" t="s">
        <v>2690</v>
      </c>
      <c r="B153">
        <v>999270600</v>
      </c>
      <c r="F153" t="s">
        <v>2691</v>
      </c>
    </row>
    <row r="154" spans="1:6" x14ac:dyDescent="0.3">
      <c r="A154" t="s">
        <v>3373</v>
      </c>
      <c r="B154">
        <v>999722695</v>
      </c>
      <c r="F154" t="s">
        <v>3363</v>
      </c>
    </row>
    <row r="155" spans="1:6" x14ac:dyDescent="0.3">
      <c r="A155" t="s">
        <v>3374</v>
      </c>
      <c r="B155">
        <v>999972724</v>
      </c>
    </row>
    <row r="156" spans="1:6" x14ac:dyDescent="0.3">
      <c r="A156" t="s">
        <v>3375</v>
      </c>
      <c r="B156">
        <v>992759957</v>
      </c>
      <c r="F156" t="s">
        <v>209</v>
      </c>
    </row>
    <row r="157" spans="1:6" x14ac:dyDescent="0.3">
      <c r="A157" t="s">
        <v>3376</v>
      </c>
    </row>
    <row r="158" spans="1:6" x14ac:dyDescent="0.3">
      <c r="A158" t="s">
        <v>3377</v>
      </c>
    </row>
    <row r="159" spans="1:6" x14ac:dyDescent="0.3">
      <c r="A159" t="s">
        <v>3378</v>
      </c>
    </row>
    <row r="160" spans="1:6" x14ac:dyDescent="0.3">
      <c r="A160" t="s">
        <v>3379</v>
      </c>
    </row>
    <row r="161" spans="1:6" x14ac:dyDescent="0.3">
      <c r="A161" t="s">
        <v>3380</v>
      </c>
    </row>
    <row r="162" spans="1:6" x14ac:dyDescent="0.3">
      <c r="A162" t="s">
        <v>3381</v>
      </c>
    </row>
    <row r="163" spans="1:6" x14ac:dyDescent="0.3">
      <c r="A163" t="s">
        <v>3382</v>
      </c>
    </row>
    <row r="164" spans="1:6" x14ac:dyDescent="0.3">
      <c r="A164" t="s">
        <v>3383</v>
      </c>
    </row>
    <row r="165" spans="1:6" x14ac:dyDescent="0.3">
      <c r="A165" t="s">
        <v>3384</v>
      </c>
    </row>
    <row r="166" spans="1:6" x14ac:dyDescent="0.3">
      <c r="A166" t="s">
        <v>3385</v>
      </c>
      <c r="F166" t="s">
        <v>1891</v>
      </c>
    </row>
    <row r="167" spans="1:6" x14ac:dyDescent="0.3">
      <c r="A167" t="s">
        <v>3386</v>
      </c>
    </row>
    <row r="168" spans="1:6" x14ac:dyDescent="0.3">
      <c r="A168" t="s">
        <v>3387</v>
      </c>
    </row>
    <row r="169" spans="1:6" x14ac:dyDescent="0.3">
      <c r="A169" t="s">
        <v>1386</v>
      </c>
      <c r="C169" t="s">
        <v>3155</v>
      </c>
      <c r="D169" t="s">
        <v>1390</v>
      </c>
      <c r="E169" t="s">
        <v>3388</v>
      </c>
    </row>
    <row r="170" spans="1:6" x14ac:dyDescent="0.3">
      <c r="A170" t="s">
        <v>3389</v>
      </c>
      <c r="F170" t="s">
        <v>345</v>
      </c>
    </row>
    <row r="171" spans="1:6" x14ac:dyDescent="0.3">
      <c r="A171" t="s">
        <v>3390</v>
      </c>
      <c r="F171" t="s">
        <v>345</v>
      </c>
    </row>
    <row r="172" spans="1:6" x14ac:dyDescent="0.3">
      <c r="A172" t="s">
        <v>3391</v>
      </c>
      <c r="F172" t="s">
        <v>345</v>
      </c>
    </row>
    <row r="173" spans="1:6" x14ac:dyDescent="0.3">
      <c r="A173" t="s">
        <v>3392</v>
      </c>
      <c r="F173" t="s">
        <v>345</v>
      </c>
    </row>
    <row r="174" spans="1:6" x14ac:dyDescent="0.3">
      <c r="A174" t="s">
        <v>3393</v>
      </c>
      <c r="F174" t="s">
        <v>345</v>
      </c>
    </row>
    <row r="175" spans="1:6" x14ac:dyDescent="0.3">
      <c r="A175" t="s">
        <v>3394</v>
      </c>
      <c r="F175" t="s">
        <v>3395</v>
      </c>
    </row>
    <row r="176" spans="1:6" x14ac:dyDescent="0.3">
      <c r="A176" t="s">
        <v>3396</v>
      </c>
      <c r="F176" t="s">
        <v>3397</v>
      </c>
    </row>
    <row r="177" spans="1:6" x14ac:dyDescent="0.3">
      <c r="A177" t="s">
        <v>3398</v>
      </c>
      <c r="F177" t="s">
        <v>3134</v>
      </c>
    </row>
    <row r="178" spans="1:6" x14ac:dyDescent="0.3">
      <c r="A178" t="s">
        <v>3399</v>
      </c>
      <c r="F178" t="s">
        <v>3400</v>
      </c>
    </row>
    <row r="179" spans="1:6" x14ac:dyDescent="0.3">
      <c r="A179" t="s">
        <v>3401</v>
      </c>
      <c r="F179" t="s">
        <v>3400</v>
      </c>
    </row>
    <row r="180" spans="1:6" x14ac:dyDescent="0.3">
      <c r="A180" t="s">
        <v>3402</v>
      </c>
      <c r="F180" t="s">
        <v>3403</v>
      </c>
    </row>
    <row r="181" spans="1:6" x14ac:dyDescent="0.3">
      <c r="A181" t="s">
        <v>3404</v>
      </c>
      <c r="F181" t="s">
        <v>36</v>
      </c>
    </row>
    <row r="182" spans="1:6" x14ac:dyDescent="0.3">
      <c r="A182" t="s">
        <v>3405</v>
      </c>
      <c r="F182" t="s">
        <v>3406</v>
      </c>
    </row>
    <row r="183" spans="1:6" x14ac:dyDescent="0.3">
      <c r="A183" t="s">
        <v>3407</v>
      </c>
      <c r="F183" t="s">
        <v>3408</v>
      </c>
    </row>
    <row r="184" spans="1:6" x14ac:dyDescent="0.3">
      <c r="A184" t="s">
        <v>3409</v>
      </c>
      <c r="F184" t="s">
        <v>629</v>
      </c>
    </row>
    <row r="185" spans="1:6" x14ac:dyDescent="0.3">
      <c r="A185" t="s">
        <v>3410</v>
      </c>
      <c r="F185" t="s">
        <v>629</v>
      </c>
    </row>
    <row r="186" spans="1:6" x14ac:dyDescent="0.3">
      <c r="A186" t="s">
        <v>3411</v>
      </c>
      <c r="F186" t="s">
        <v>629</v>
      </c>
    </row>
    <row r="187" spans="1:6" x14ac:dyDescent="0.3">
      <c r="A187" t="s">
        <v>3412</v>
      </c>
      <c r="F187" t="s">
        <v>629</v>
      </c>
    </row>
    <row r="188" spans="1:6" x14ac:dyDescent="0.3">
      <c r="A188" t="s">
        <v>3413</v>
      </c>
      <c r="F188" t="s">
        <v>629</v>
      </c>
    </row>
    <row r="189" spans="1:6" x14ac:dyDescent="0.3">
      <c r="A189" t="s">
        <v>3414</v>
      </c>
      <c r="F189" t="s">
        <v>3043</v>
      </c>
    </row>
    <row r="190" spans="1:6" x14ac:dyDescent="0.3">
      <c r="A190" t="s">
        <v>3415</v>
      </c>
      <c r="F190" t="s">
        <v>3416</v>
      </c>
    </row>
    <row r="191" spans="1:6" x14ac:dyDescent="0.3">
      <c r="A191" t="s">
        <v>3417</v>
      </c>
      <c r="F191" t="s">
        <v>1423</v>
      </c>
    </row>
    <row r="192" spans="1:6" x14ac:dyDescent="0.3">
      <c r="A192" t="s">
        <v>1422</v>
      </c>
      <c r="F192" t="s">
        <v>1423</v>
      </c>
    </row>
    <row r="193" spans="1:7" x14ac:dyDescent="0.3">
      <c r="A193" t="s">
        <v>2371</v>
      </c>
      <c r="B193">
        <v>991104175</v>
      </c>
      <c r="F193" t="s">
        <v>1423</v>
      </c>
    </row>
    <row r="194" spans="1:7" x14ac:dyDescent="0.3">
      <c r="A194" t="s">
        <v>3418</v>
      </c>
      <c r="F194" t="s">
        <v>3419</v>
      </c>
    </row>
    <row r="195" spans="1:7" x14ac:dyDescent="0.3">
      <c r="A195" t="s">
        <v>3420</v>
      </c>
      <c r="F195" t="s">
        <v>3421</v>
      </c>
    </row>
    <row r="196" spans="1:7" x14ac:dyDescent="0.3">
      <c r="A196" t="s">
        <v>3422</v>
      </c>
      <c r="F196" t="s">
        <v>2946</v>
      </c>
    </row>
    <row r="197" spans="1:7" x14ac:dyDescent="0.3">
      <c r="A197" t="s">
        <v>3423</v>
      </c>
      <c r="F197" t="s">
        <v>2946</v>
      </c>
    </row>
    <row r="198" spans="1:7" x14ac:dyDescent="0.3">
      <c r="A198" t="s">
        <v>3424</v>
      </c>
      <c r="F198" t="s">
        <v>2946</v>
      </c>
    </row>
    <row r="199" spans="1:7" x14ac:dyDescent="0.3">
      <c r="A199" t="s">
        <v>3425</v>
      </c>
      <c r="F199" t="s">
        <v>2946</v>
      </c>
    </row>
    <row r="200" spans="1:7" x14ac:dyDescent="0.3">
      <c r="A200" t="s">
        <v>3426</v>
      </c>
      <c r="F200" t="s">
        <v>2946</v>
      </c>
    </row>
    <row r="201" spans="1:7" x14ac:dyDescent="0.3">
      <c r="A201" t="s">
        <v>3427</v>
      </c>
      <c r="F201" t="s">
        <v>2946</v>
      </c>
    </row>
    <row r="202" spans="1:7" x14ac:dyDescent="0.3">
      <c r="A202" t="s">
        <v>1440</v>
      </c>
      <c r="B202">
        <v>999418834</v>
      </c>
      <c r="C202" t="s">
        <v>3155</v>
      </c>
      <c r="D202" t="s">
        <v>1442</v>
      </c>
      <c r="E202" t="s">
        <v>3428</v>
      </c>
      <c r="F202" t="s">
        <v>1098</v>
      </c>
      <c r="G202" t="s">
        <v>3429</v>
      </c>
    </row>
    <row r="203" spans="1:7" x14ac:dyDescent="0.3">
      <c r="A203" t="s">
        <v>1097</v>
      </c>
      <c r="C203" t="s">
        <v>3155</v>
      </c>
      <c r="D203" t="s">
        <v>1102</v>
      </c>
      <c r="E203" t="s">
        <v>3430</v>
      </c>
      <c r="F203" t="s">
        <v>1098</v>
      </c>
    </row>
    <row r="204" spans="1:7" x14ac:dyDescent="0.3">
      <c r="A204" t="s">
        <v>3431</v>
      </c>
      <c r="F204" t="s">
        <v>1098</v>
      </c>
    </row>
    <row r="205" spans="1:7" x14ac:dyDescent="0.3">
      <c r="A205" t="s">
        <v>3432</v>
      </c>
      <c r="F205" t="s">
        <v>1098</v>
      </c>
    </row>
    <row r="206" spans="1:7" x14ac:dyDescent="0.3">
      <c r="A206" t="s">
        <v>3433</v>
      </c>
      <c r="F206" t="s">
        <v>1165</v>
      </c>
    </row>
    <row r="207" spans="1:7" x14ac:dyDescent="0.3">
      <c r="A207" t="s">
        <v>3434</v>
      </c>
      <c r="F207" t="s">
        <v>3435</v>
      </c>
    </row>
    <row r="208" spans="1:7" x14ac:dyDescent="0.3">
      <c r="A208" t="s">
        <v>3436</v>
      </c>
      <c r="F208" t="s">
        <v>345</v>
      </c>
    </row>
    <row r="209" spans="1:6" x14ac:dyDescent="0.3">
      <c r="A209" t="s">
        <v>3437</v>
      </c>
      <c r="F209" t="s">
        <v>345</v>
      </c>
    </row>
    <row r="210" spans="1:6" x14ac:dyDescent="0.3">
      <c r="A210" t="s">
        <v>3438</v>
      </c>
      <c r="F210" t="s">
        <v>345</v>
      </c>
    </row>
    <row r="211" spans="1:6" x14ac:dyDescent="0.3">
      <c r="A211" t="s">
        <v>3439</v>
      </c>
      <c r="F211" t="s">
        <v>3440</v>
      </c>
    </row>
    <row r="212" spans="1:6" x14ac:dyDescent="0.3">
      <c r="A212" t="s">
        <v>3441</v>
      </c>
      <c r="F212" t="s">
        <v>3440</v>
      </c>
    </row>
    <row r="213" spans="1:6" x14ac:dyDescent="0.3">
      <c r="A213" t="s">
        <v>3442</v>
      </c>
      <c r="F213" t="s">
        <v>3443</v>
      </c>
    </row>
    <row r="214" spans="1:6" x14ac:dyDescent="0.3">
      <c r="A214" t="s">
        <v>2419</v>
      </c>
      <c r="F214" t="s">
        <v>2420</v>
      </c>
    </row>
    <row r="215" spans="1:6" x14ac:dyDescent="0.3">
      <c r="A215" t="s">
        <v>3444</v>
      </c>
      <c r="F215" t="s">
        <v>2420</v>
      </c>
    </row>
    <row r="216" spans="1:6" x14ac:dyDescent="0.3">
      <c r="A216" t="s">
        <v>3445</v>
      </c>
      <c r="F216" t="s">
        <v>2420</v>
      </c>
    </row>
    <row r="217" spans="1:6" x14ac:dyDescent="0.3">
      <c r="A217" t="s">
        <v>3446</v>
      </c>
      <c r="F217" t="s">
        <v>2420</v>
      </c>
    </row>
    <row r="218" spans="1:6" x14ac:dyDescent="0.3">
      <c r="A218" t="s">
        <v>774</v>
      </c>
      <c r="F218" t="s">
        <v>775</v>
      </c>
    </row>
    <row r="219" spans="1:6" x14ac:dyDescent="0.3">
      <c r="A219" t="s">
        <v>3447</v>
      </c>
      <c r="F219" t="s">
        <v>775</v>
      </c>
    </row>
    <row r="220" spans="1:6" x14ac:dyDescent="0.3">
      <c r="A220" t="s">
        <v>3448</v>
      </c>
      <c r="F220" t="s">
        <v>3449</v>
      </c>
    </row>
    <row r="221" spans="1:6" x14ac:dyDescent="0.3">
      <c r="A221" t="s">
        <v>3450</v>
      </c>
      <c r="F221" t="s">
        <v>3451</v>
      </c>
    </row>
    <row r="222" spans="1:6" x14ac:dyDescent="0.3">
      <c r="A222" t="s">
        <v>3452</v>
      </c>
    </row>
    <row r="223" spans="1:6" x14ac:dyDescent="0.3">
      <c r="A223" t="s">
        <v>3453</v>
      </c>
      <c r="F223" t="s">
        <v>97</v>
      </c>
    </row>
    <row r="224" spans="1:6" x14ac:dyDescent="0.3">
      <c r="A224" t="s">
        <v>3454</v>
      </c>
      <c r="F224" t="s">
        <v>2558</v>
      </c>
    </row>
    <row r="225" spans="1:6" x14ac:dyDescent="0.3">
      <c r="A225" t="s">
        <v>3455</v>
      </c>
      <c r="F225" t="s">
        <v>2558</v>
      </c>
    </row>
    <row r="226" spans="1:6" x14ac:dyDescent="0.3">
      <c r="A226" t="s">
        <v>3456</v>
      </c>
      <c r="F226" t="s">
        <v>2558</v>
      </c>
    </row>
    <row r="227" spans="1:6" x14ac:dyDescent="0.3">
      <c r="A227" t="s">
        <v>2310</v>
      </c>
      <c r="B227">
        <v>996132853</v>
      </c>
      <c r="F227" t="s">
        <v>2311</v>
      </c>
    </row>
    <row r="228" spans="1:6" x14ac:dyDescent="0.3">
      <c r="A228" t="s">
        <v>3457</v>
      </c>
      <c r="F228" t="s">
        <v>2311</v>
      </c>
    </row>
    <row r="229" spans="1:6" x14ac:dyDescent="0.3">
      <c r="A229" t="s">
        <v>3458</v>
      </c>
      <c r="F229" t="s">
        <v>2311</v>
      </c>
    </row>
    <row r="230" spans="1:6" x14ac:dyDescent="0.3">
      <c r="A230" t="s">
        <v>3459</v>
      </c>
      <c r="F230" t="s">
        <v>3460</v>
      </c>
    </row>
    <row r="231" spans="1:6" x14ac:dyDescent="0.3">
      <c r="A231" t="s">
        <v>3461</v>
      </c>
      <c r="F231" t="s">
        <v>2946</v>
      </c>
    </row>
    <row r="232" spans="1:6" x14ac:dyDescent="0.3">
      <c r="A232" t="s">
        <v>3462</v>
      </c>
      <c r="F232" t="s">
        <v>2946</v>
      </c>
    </row>
    <row r="233" spans="1:6" x14ac:dyDescent="0.3">
      <c r="A233" t="s">
        <v>3463</v>
      </c>
      <c r="F233" t="s">
        <v>2946</v>
      </c>
    </row>
    <row r="234" spans="1:6" x14ac:dyDescent="0.3">
      <c r="A234" t="s">
        <v>3464</v>
      </c>
      <c r="F234" t="s">
        <v>3408</v>
      </c>
    </row>
    <row r="235" spans="1:6" x14ac:dyDescent="0.3">
      <c r="A235" t="s">
        <v>3465</v>
      </c>
      <c r="F235" t="s">
        <v>365</v>
      </c>
    </row>
    <row r="236" spans="1:6" x14ac:dyDescent="0.3">
      <c r="A236" t="s">
        <v>3466</v>
      </c>
      <c r="F236" t="s">
        <v>365</v>
      </c>
    </row>
    <row r="237" spans="1:6" x14ac:dyDescent="0.3">
      <c r="A237" t="s">
        <v>3467</v>
      </c>
      <c r="F237" t="s">
        <v>3468</v>
      </c>
    </row>
    <row r="238" spans="1:6" x14ac:dyDescent="0.3">
      <c r="A238" t="s">
        <v>3469</v>
      </c>
      <c r="F238" t="s">
        <v>2691</v>
      </c>
    </row>
    <row r="239" spans="1:6" x14ac:dyDescent="0.3">
      <c r="A239" t="s">
        <v>3470</v>
      </c>
      <c r="F239" t="s">
        <v>2691</v>
      </c>
    </row>
    <row r="240" spans="1:6" x14ac:dyDescent="0.3">
      <c r="A240" t="s">
        <v>3471</v>
      </c>
      <c r="F240" t="s">
        <v>1542</v>
      </c>
    </row>
    <row r="241" spans="1:6" x14ac:dyDescent="0.3">
      <c r="A241" t="s">
        <v>3472</v>
      </c>
      <c r="F241" t="s">
        <v>1542</v>
      </c>
    </row>
    <row r="242" spans="1:6" x14ac:dyDescent="0.3">
      <c r="A242" t="s">
        <v>3473</v>
      </c>
      <c r="F242" t="s">
        <v>1542</v>
      </c>
    </row>
    <row r="243" spans="1:6" x14ac:dyDescent="0.3">
      <c r="A243" t="s">
        <v>1164</v>
      </c>
      <c r="B243">
        <v>978548687</v>
      </c>
      <c r="C243" t="s">
        <v>3026</v>
      </c>
      <c r="D243" t="s">
        <v>1169</v>
      </c>
      <c r="E243" t="s">
        <v>3474</v>
      </c>
      <c r="F243" t="s">
        <v>1165</v>
      </c>
    </row>
    <row r="244" spans="1:6" x14ac:dyDescent="0.3">
      <c r="A244" t="s">
        <v>3475</v>
      </c>
      <c r="F244" t="s">
        <v>1542</v>
      </c>
    </row>
    <row r="245" spans="1:6" x14ac:dyDescent="0.3">
      <c r="A245" t="s">
        <v>3476</v>
      </c>
      <c r="F245" t="s">
        <v>3477</v>
      </c>
    </row>
    <row r="246" spans="1:6" x14ac:dyDescent="0.3">
      <c r="A246" t="s">
        <v>3478</v>
      </c>
      <c r="F246" t="s">
        <v>36</v>
      </c>
    </row>
    <row r="247" spans="1:6" x14ac:dyDescent="0.3">
      <c r="A247" t="s">
        <v>3479</v>
      </c>
      <c r="F247" t="s">
        <v>36</v>
      </c>
    </row>
    <row r="248" spans="1:6" x14ac:dyDescent="0.3">
      <c r="A248" t="s">
        <v>3480</v>
      </c>
      <c r="F248" t="s">
        <v>209</v>
      </c>
    </row>
    <row r="249" spans="1:6" x14ac:dyDescent="0.3">
      <c r="A249" t="s">
        <v>3481</v>
      </c>
      <c r="F249" t="s">
        <v>3482</v>
      </c>
    </row>
    <row r="250" spans="1:6" x14ac:dyDescent="0.3">
      <c r="A250" t="s">
        <v>3483</v>
      </c>
      <c r="F250" t="s">
        <v>3484</v>
      </c>
    </row>
    <row r="251" spans="1:6" x14ac:dyDescent="0.3">
      <c r="A251" t="s">
        <v>3485</v>
      </c>
      <c r="F251" t="s">
        <v>3484</v>
      </c>
    </row>
    <row r="252" spans="1:6" x14ac:dyDescent="0.3">
      <c r="A252" t="s">
        <v>3486</v>
      </c>
      <c r="F252" t="s">
        <v>1891</v>
      </c>
    </row>
    <row r="253" spans="1:6" x14ac:dyDescent="0.3">
      <c r="A253" t="s">
        <v>3487</v>
      </c>
      <c r="F253" t="s">
        <v>3488</v>
      </c>
    </row>
    <row r="254" spans="1:6" x14ac:dyDescent="0.3">
      <c r="A254" t="s">
        <v>3489</v>
      </c>
      <c r="F254" t="s">
        <v>629</v>
      </c>
    </row>
    <row r="255" spans="1:6" x14ac:dyDescent="0.3">
      <c r="A255" t="s">
        <v>208</v>
      </c>
      <c r="F255" t="s">
        <v>209</v>
      </c>
    </row>
    <row r="256" spans="1:6" x14ac:dyDescent="0.3">
      <c r="A256" t="s">
        <v>3490</v>
      </c>
      <c r="F256" t="s">
        <v>3491</v>
      </c>
    </row>
    <row r="257" spans="1:6" x14ac:dyDescent="0.3">
      <c r="A257" t="s">
        <v>3492</v>
      </c>
      <c r="F257" t="s">
        <v>3408</v>
      </c>
    </row>
    <row r="258" spans="1:6" x14ac:dyDescent="0.3">
      <c r="A258" t="s">
        <v>3493</v>
      </c>
      <c r="F258" t="s">
        <v>3494</v>
      </c>
    </row>
    <row r="259" spans="1:6" x14ac:dyDescent="0.3">
      <c r="A259" t="s">
        <v>3495</v>
      </c>
      <c r="F259" t="s">
        <v>3496</v>
      </c>
    </row>
    <row r="260" spans="1:6" x14ac:dyDescent="0.3">
      <c r="A260" t="s">
        <v>3497</v>
      </c>
      <c r="F260" t="s">
        <v>1481</v>
      </c>
    </row>
    <row r="261" spans="1:6" x14ac:dyDescent="0.3">
      <c r="A261" t="s">
        <v>1480</v>
      </c>
      <c r="F261" t="s">
        <v>1481</v>
      </c>
    </row>
    <row r="262" spans="1:6" x14ac:dyDescent="0.3">
      <c r="A262" t="s">
        <v>3498</v>
      </c>
      <c r="F262" t="s">
        <v>3449</v>
      </c>
    </row>
    <row r="263" spans="1:6" x14ac:dyDescent="0.3">
      <c r="A263" t="s">
        <v>3499</v>
      </c>
      <c r="F263" t="s">
        <v>3500</v>
      </c>
    </row>
    <row r="264" spans="1:6" x14ac:dyDescent="0.3">
      <c r="A264" t="s">
        <v>2330</v>
      </c>
      <c r="F264" t="s">
        <v>705</v>
      </c>
    </row>
    <row r="265" spans="1:6" x14ac:dyDescent="0.3">
      <c r="A265" t="s">
        <v>3501</v>
      </c>
      <c r="F265" t="s">
        <v>3502</v>
      </c>
    </row>
    <row r="266" spans="1:6" x14ac:dyDescent="0.3">
      <c r="A266" t="s">
        <v>3503</v>
      </c>
      <c r="F266" t="s">
        <v>3504</v>
      </c>
    </row>
    <row r="267" spans="1:6" x14ac:dyDescent="0.3">
      <c r="A267" t="s">
        <v>3505</v>
      </c>
      <c r="F267" t="s">
        <v>3504</v>
      </c>
    </row>
    <row r="268" spans="1:6" x14ac:dyDescent="0.3">
      <c r="A268" t="s">
        <v>3506</v>
      </c>
      <c r="F268" t="s">
        <v>3507</v>
      </c>
    </row>
    <row r="269" spans="1:6" x14ac:dyDescent="0.3">
      <c r="A269" t="s">
        <v>3508</v>
      </c>
      <c r="F269" t="s">
        <v>3509</v>
      </c>
    </row>
    <row r="270" spans="1:6" x14ac:dyDescent="0.3">
      <c r="A270" t="s">
        <v>3510</v>
      </c>
      <c r="F270" t="s">
        <v>3086</v>
      </c>
    </row>
    <row r="271" spans="1:6" x14ac:dyDescent="0.3">
      <c r="A271" t="s">
        <v>3511</v>
      </c>
      <c r="F271" t="s">
        <v>3512</v>
      </c>
    </row>
    <row r="272" spans="1:6" x14ac:dyDescent="0.3">
      <c r="A272" t="s">
        <v>3513</v>
      </c>
      <c r="F272" t="s">
        <v>3514</v>
      </c>
    </row>
    <row r="273" spans="1:6" x14ac:dyDescent="0.3">
      <c r="A273" t="s">
        <v>3515</v>
      </c>
      <c r="F273" t="s">
        <v>3516</v>
      </c>
    </row>
    <row r="274" spans="1:6" x14ac:dyDescent="0.3">
      <c r="A274" t="s">
        <v>3517</v>
      </c>
      <c r="F274" t="s">
        <v>209</v>
      </c>
    </row>
    <row r="275" spans="1:6" x14ac:dyDescent="0.3">
      <c r="A275" t="s">
        <v>3518</v>
      </c>
      <c r="F275" t="s">
        <v>3519</v>
      </c>
    </row>
    <row r="276" spans="1:6" x14ac:dyDescent="0.3">
      <c r="A276" t="s">
        <v>3520</v>
      </c>
      <c r="F276" t="s">
        <v>3519</v>
      </c>
    </row>
    <row r="277" spans="1:6" x14ac:dyDescent="0.3">
      <c r="A277" t="s">
        <v>3521</v>
      </c>
    </row>
    <row r="278" spans="1:6" x14ac:dyDescent="0.3">
      <c r="A278" t="s">
        <v>3522</v>
      </c>
      <c r="F278" t="s">
        <v>1542</v>
      </c>
    </row>
    <row r="279" spans="1:6" x14ac:dyDescent="0.3">
      <c r="A279" t="s">
        <v>3523</v>
      </c>
      <c r="F279" t="s">
        <v>3524</v>
      </c>
    </row>
    <row r="280" spans="1:6" x14ac:dyDescent="0.3">
      <c r="A280" t="s">
        <v>3525</v>
      </c>
      <c r="F280" t="s">
        <v>3526</v>
      </c>
    </row>
    <row r="281" spans="1:6" x14ac:dyDescent="0.3">
      <c r="A281" t="s">
        <v>3527</v>
      </c>
      <c r="F281" t="s">
        <v>3158</v>
      </c>
    </row>
    <row r="282" spans="1:6" x14ac:dyDescent="0.3">
      <c r="A282" t="s">
        <v>3528</v>
      </c>
      <c r="F282" t="s">
        <v>3158</v>
      </c>
    </row>
    <row r="283" spans="1:6" x14ac:dyDescent="0.3">
      <c r="A283" t="s">
        <v>1700</v>
      </c>
    </row>
    <row r="284" spans="1:6" x14ac:dyDescent="0.3">
      <c r="A284" t="s">
        <v>1377</v>
      </c>
    </row>
    <row r="285" spans="1:6" x14ac:dyDescent="0.3">
      <c r="A285" t="s">
        <v>3529</v>
      </c>
      <c r="B285">
        <v>971430775</v>
      </c>
      <c r="F285" t="s">
        <v>209</v>
      </c>
    </row>
    <row r="286" spans="1:6" x14ac:dyDescent="0.3">
      <c r="A286" t="s">
        <v>3530</v>
      </c>
      <c r="B286">
        <v>990440701</v>
      </c>
      <c r="F286" t="s">
        <v>629</v>
      </c>
    </row>
    <row r="287" spans="1:6" x14ac:dyDescent="0.3">
      <c r="A287" t="s">
        <v>1448</v>
      </c>
    </row>
    <row r="288" spans="1:6" x14ac:dyDescent="0.3">
      <c r="A288" t="s">
        <v>3531</v>
      </c>
      <c r="F288" t="s">
        <v>629</v>
      </c>
    </row>
    <row r="289" spans="1:6" x14ac:dyDescent="0.3">
      <c r="A289" t="s">
        <v>1615</v>
      </c>
      <c r="B289">
        <v>950418896</v>
      </c>
      <c r="F289" t="s">
        <v>1616</v>
      </c>
    </row>
    <row r="290" spans="1:6" x14ac:dyDescent="0.3">
      <c r="A290" t="s">
        <v>2145</v>
      </c>
      <c r="B290">
        <v>990006387</v>
      </c>
      <c r="F290" t="s">
        <v>2146</v>
      </c>
    </row>
    <row r="291" spans="1:6" x14ac:dyDescent="0.3">
      <c r="A291" t="s">
        <v>1467</v>
      </c>
      <c r="B291">
        <v>946789080</v>
      </c>
      <c r="F291" t="s">
        <v>629</v>
      </c>
    </row>
    <row r="292" spans="1:6" x14ac:dyDescent="0.3">
      <c r="A292" t="s">
        <v>1490</v>
      </c>
      <c r="B292">
        <v>975750204</v>
      </c>
      <c r="F292" t="s">
        <v>345</v>
      </c>
    </row>
    <row r="293" spans="1:6" x14ac:dyDescent="0.3">
      <c r="A293" t="s">
        <v>1606</v>
      </c>
      <c r="B293">
        <v>944212985</v>
      </c>
      <c r="F293" t="s">
        <v>209</v>
      </c>
    </row>
    <row r="294" spans="1:6" x14ac:dyDescent="0.3">
      <c r="A294" t="s">
        <v>1674</v>
      </c>
      <c r="B294">
        <v>987483056</v>
      </c>
      <c r="F294" t="s">
        <v>1675</v>
      </c>
    </row>
    <row r="295" spans="1:6" x14ac:dyDescent="0.3">
      <c r="A295" t="s">
        <v>1863</v>
      </c>
      <c r="B295">
        <v>901918745</v>
      </c>
      <c r="F295" t="s">
        <v>1864</v>
      </c>
    </row>
    <row r="296" spans="1:6" x14ac:dyDescent="0.3">
      <c r="A296" t="s">
        <v>2128</v>
      </c>
      <c r="B296">
        <v>943089042</v>
      </c>
      <c r="F296" t="s">
        <v>1542</v>
      </c>
    </row>
    <row r="297" spans="1:6" x14ac:dyDescent="0.3">
      <c r="A297" t="s">
        <v>2241</v>
      </c>
      <c r="B297">
        <v>996106133</v>
      </c>
      <c r="F297" t="s">
        <v>209</v>
      </c>
    </row>
    <row r="298" spans="1:6" x14ac:dyDescent="0.3">
      <c r="A298" t="s">
        <v>2291</v>
      </c>
      <c r="B298">
        <v>945093839</v>
      </c>
      <c r="C298" t="s">
        <v>3026</v>
      </c>
      <c r="D298" t="s">
        <v>2295</v>
      </c>
      <c r="E298" t="s">
        <v>3532</v>
      </c>
      <c r="F298" t="s">
        <v>1542</v>
      </c>
    </row>
    <row r="299" spans="1:6" x14ac:dyDescent="0.3">
      <c r="A299" t="s">
        <v>2301</v>
      </c>
      <c r="B299">
        <v>999700200</v>
      </c>
      <c r="F299" t="s">
        <v>209</v>
      </c>
    </row>
    <row r="300" spans="1:6" x14ac:dyDescent="0.3">
      <c r="A300" t="s">
        <v>3533</v>
      </c>
      <c r="B300">
        <v>993356222</v>
      </c>
      <c r="F300" t="s">
        <v>209</v>
      </c>
    </row>
    <row r="301" spans="1:6" x14ac:dyDescent="0.3">
      <c r="A301" t="s">
        <v>1211</v>
      </c>
    </row>
    <row r="302" spans="1:6" x14ac:dyDescent="0.3">
      <c r="A302" t="s">
        <v>1516</v>
      </c>
      <c r="B302">
        <v>947422476</v>
      </c>
      <c r="F302" t="s">
        <v>629</v>
      </c>
    </row>
    <row r="303" spans="1:6" x14ac:dyDescent="0.3">
      <c r="A303" t="s">
        <v>3534</v>
      </c>
    </row>
    <row r="304" spans="1:6" x14ac:dyDescent="0.3">
      <c r="A304" t="s">
        <v>2223</v>
      </c>
    </row>
    <row r="305" spans="1:7" x14ac:dyDescent="0.3">
      <c r="A305" t="s">
        <v>2739</v>
      </c>
    </row>
    <row r="306" spans="1:7" x14ac:dyDescent="0.3">
      <c r="A306" t="s">
        <v>3535</v>
      </c>
      <c r="B306">
        <v>926323940</v>
      </c>
      <c r="F306" t="s">
        <v>3158</v>
      </c>
      <c r="G306" t="s">
        <v>3536</v>
      </c>
    </row>
    <row r="307" spans="1:7" x14ac:dyDescent="0.3">
      <c r="A307" t="s">
        <v>3537</v>
      </c>
      <c r="B307">
        <v>997061004</v>
      </c>
      <c r="F307" t="s">
        <v>209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baseColWidth="10" defaultRowHeight="14.4" x14ac:dyDescent="0.3"/>
  <cols>
    <col min="1" max="1" width="40.109375" customWidth="1"/>
    <col min="2" max="2" width="13" customWidth="1"/>
  </cols>
  <sheetData>
    <row r="1" spans="1:2" x14ac:dyDescent="0.3">
      <c r="A1" t="s">
        <v>3538</v>
      </c>
      <c r="B1" t="s">
        <v>3539</v>
      </c>
    </row>
    <row r="2" spans="1:2" x14ac:dyDescent="0.3">
      <c r="A2" t="s">
        <v>1157</v>
      </c>
      <c r="B2">
        <v>100</v>
      </c>
    </row>
    <row r="3" spans="1:2" x14ac:dyDescent="0.3">
      <c r="A3" t="s">
        <v>201</v>
      </c>
      <c r="B3">
        <v>30</v>
      </c>
    </row>
    <row r="4" spans="1:2" x14ac:dyDescent="0.3">
      <c r="A4" t="s">
        <v>159</v>
      </c>
      <c r="B4">
        <v>30</v>
      </c>
    </row>
    <row r="5" spans="1:2" x14ac:dyDescent="0.3">
      <c r="A5" t="s">
        <v>90</v>
      </c>
      <c r="B5">
        <v>30</v>
      </c>
    </row>
    <row r="6" spans="1:2" x14ac:dyDescent="0.3">
      <c r="A6" t="s">
        <v>202</v>
      </c>
      <c r="B6">
        <v>30</v>
      </c>
    </row>
    <row r="7" spans="1:2" x14ac:dyDescent="0.3">
      <c r="A7" t="s">
        <v>3540</v>
      </c>
      <c r="B7">
        <v>50</v>
      </c>
    </row>
    <row r="8" spans="1:2" x14ac:dyDescent="0.3">
      <c r="A8" t="s">
        <v>41</v>
      </c>
      <c r="B8">
        <v>50</v>
      </c>
    </row>
    <row r="9" spans="1:2" x14ac:dyDescent="0.3">
      <c r="A9" t="s">
        <v>101</v>
      </c>
      <c r="B9">
        <v>50</v>
      </c>
    </row>
    <row r="10" spans="1:2" x14ac:dyDescent="0.3">
      <c r="A10" t="s">
        <v>2875</v>
      </c>
      <c r="B10">
        <v>50</v>
      </c>
    </row>
    <row r="11" spans="1:2" x14ac:dyDescent="0.3">
      <c r="A11" t="s">
        <v>158</v>
      </c>
      <c r="B11">
        <v>30</v>
      </c>
    </row>
    <row r="12" spans="1:2" x14ac:dyDescent="0.3">
      <c r="A12" t="s">
        <v>130</v>
      </c>
      <c r="B12">
        <v>30</v>
      </c>
    </row>
    <row r="13" spans="1:2" x14ac:dyDescent="0.3">
      <c r="A13" t="s">
        <v>349</v>
      </c>
      <c r="B13">
        <v>50</v>
      </c>
    </row>
    <row r="14" spans="1:2" x14ac:dyDescent="0.3">
      <c r="A14" t="s">
        <v>3541</v>
      </c>
      <c r="B14">
        <v>50</v>
      </c>
    </row>
    <row r="15" spans="1:2" x14ac:dyDescent="0.3">
      <c r="A15" t="s">
        <v>3542</v>
      </c>
      <c r="B15">
        <v>50</v>
      </c>
    </row>
    <row r="16" spans="1:2" x14ac:dyDescent="0.3">
      <c r="A16" t="s">
        <v>3543</v>
      </c>
      <c r="B16">
        <v>50</v>
      </c>
    </row>
    <row r="17" spans="1:2" x14ac:dyDescent="0.3">
      <c r="A17" t="s">
        <v>1178</v>
      </c>
      <c r="B17">
        <v>50</v>
      </c>
    </row>
    <row r="18" spans="1:2" x14ac:dyDescent="0.3">
      <c r="A18" t="s">
        <v>3544</v>
      </c>
      <c r="B18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917"/>
  <sheetViews>
    <sheetView workbookViewId="0">
      <selection activeCell="H1" sqref="H1"/>
    </sheetView>
  </sheetViews>
  <sheetFormatPr baseColWidth="10" defaultRowHeight="14.4" x14ac:dyDescent="0.3"/>
  <cols>
    <col min="1" max="1" width="10.5546875" customWidth="1"/>
    <col min="2" max="2" width="9.6640625" customWidth="1"/>
    <col min="3" max="3" width="8.109375" customWidth="1"/>
    <col min="4" max="4" width="14.6640625" customWidth="1"/>
    <col min="5" max="5" width="9" customWidth="1"/>
    <col min="6" max="6" width="10.44140625" customWidth="1"/>
    <col min="7" max="7" width="9.44140625" customWidth="1"/>
    <col min="8" max="8" width="45.5546875" customWidth="1"/>
    <col min="9" max="9" width="11.33203125" customWidth="1"/>
    <col min="10" max="10" width="42.88671875" customWidth="1"/>
    <col min="11" max="11" width="35.6640625" customWidth="1"/>
    <col min="12" max="12" width="8.88671875" customWidth="1"/>
    <col min="13" max="13" width="9.109375" customWidth="1"/>
    <col min="14" max="14" width="17.77734375" customWidth="1"/>
    <col min="15" max="15" width="65.77734375" customWidth="1"/>
    <col min="16" max="16" width="12.44140625" customWidth="1"/>
    <col min="17" max="17" width="43.88671875" customWidth="1"/>
    <col min="18" max="18" width="9.88671875" customWidth="1"/>
    <col min="19" max="19" width="13.5546875" customWidth="1"/>
    <col min="20" max="21" width="42.33203125" customWidth="1"/>
    <col min="22" max="22" width="9.5546875" customWidth="1"/>
    <col min="23" max="23" width="12.88671875" customWidth="1"/>
    <col min="24" max="24" width="10.21875" customWidth="1"/>
    <col min="25" max="25" width="18.77734375" customWidth="1"/>
    <col min="26" max="26" width="15.88671875" customWidth="1"/>
    <col min="27" max="27" width="8.109375" customWidth="1"/>
    <col min="28" max="28" width="10.33203125" customWidth="1"/>
    <col min="29" max="29" width="21.5546875" customWidth="1"/>
    <col min="30" max="30" width="5.21875" customWidth="1"/>
  </cols>
  <sheetData>
    <row r="1" spans="1:30" x14ac:dyDescent="0.3">
      <c r="A1" t="s">
        <v>0</v>
      </c>
      <c r="B1" t="s">
        <v>3545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3546</v>
      </c>
    </row>
    <row r="2" spans="1:30" x14ac:dyDescent="0.3">
      <c r="A2" s="1">
        <v>46174</v>
      </c>
      <c r="B2" s="65" t="s">
        <v>3547</v>
      </c>
      <c r="C2" s="65" t="s">
        <v>28</v>
      </c>
      <c r="D2" s="65" t="s">
        <v>29</v>
      </c>
      <c r="E2" s="65" t="s">
        <v>30</v>
      </c>
      <c r="F2" s="65" t="s">
        <v>31</v>
      </c>
      <c r="G2" s="65" t="s">
        <v>32</v>
      </c>
      <c r="H2" s="65" t="s">
        <v>33</v>
      </c>
      <c r="I2" s="65" t="s">
        <v>34</v>
      </c>
      <c r="J2" s="65" t="s">
        <v>35</v>
      </c>
      <c r="K2" s="65" t="s">
        <v>36</v>
      </c>
      <c r="L2" s="65" t="s">
        <v>37</v>
      </c>
      <c r="M2" s="65" t="s">
        <v>38</v>
      </c>
      <c r="N2" s="65" t="s">
        <v>39</v>
      </c>
      <c r="O2" s="65" t="s">
        <v>33</v>
      </c>
      <c r="P2" s="65" t="s">
        <v>40</v>
      </c>
      <c r="Q2" s="65" t="s">
        <v>41</v>
      </c>
      <c r="R2">
        <v>1</v>
      </c>
      <c r="S2" s="65" t="s">
        <v>42</v>
      </c>
      <c r="T2" s="65" t="s">
        <v>43</v>
      </c>
      <c r="U2" s="65" t="s">
        <v>44</v>
      </c>
      <c r="V2" s="65" t="s">
        <v>45</v>
      </c>
      <c r="W2" s="65" t="s">
        <v>46</v>
      </c>
      <c r="X2">
        <v>186.44</v>
      </c>
      <c r="Y2" s="65" t="s">
        <v>47</v>
      </c>
      <c r="Z2" s="65" t="s">
        <v>48</v>
      </c>
      <c r="AA2" s="65" t="s">
        <v>49</v>
      </c>
      <c r="AB2">
        <v>999996347</v>
      </c>
      <c r="AC2" s="65" t="s">
        <v>50</v>
      </c>
      <c r="AD2">
        <v>50</v>
      </c>
    </row>
    <row r="3" spans="1:30" x14ac:dyDescent="0.3">
      <c r="A3" s="1">
        <v>46174</v>
      </c>
      <c r="B3" s="65" t="s">
        <v>3547</v>
      </c>
      <c r="C3" s="65" t="s">
        <v>103</v>
      </c>
      <c r="D3" s="65" t="s">
        <v>29</v>
      </c>
      <c r="E3" s="65" t="s">
        <v>104</v>
      </c>
      <c r="F3" s="65" t="s">
        <v>31</v>
      </c>
      <c r="G3" s="65" t="s">
        <v>105</v>
      </c>
      <c r="H3" s="65" t="s">
        <v>106</v>
      </c>
      <c r="I3" s="65" t="s">
        <v>107</v>
      </c>
      <c r="J3" s="65" t="s">
        <v>96</v>
      </c>
      <c r="K3" s="65" t="s">
        <v>97</v>
      </c>
      <c r="L3" s="65" t="s">
        <v>37</v>
      </c>
      <c r="M3" s="65" t="s">
        <v>108</v>
      </c>
      <c r="N3" s="65" t="s">
        <v>109</v>
      </c>
      <c r="O3" s="65" t="s">
        <v>106</v>
      </c>
      <c r="P3" s="65" t="s">
        <v>110</v>
      </c>
      <c r="Q3" s="65" t="s">
        <v>41</v>
      </c>
      <c r="R3">
        <v>1</v>
      </c>
      <c r="S3" s="65" t="s">
        <v>42</v>
      </c>
      <c r="T3" s="65" t="s">
        <v>43</v>
      </c>
      <c r="U3" s="65" t="s">
        <v>44</v>
      </c>
      <c r="V3" s="65" t="s">
        <v>45</v>
      </c>
      <c r="W3" s="65" t="s">
        <v>60</v>
      </c>
      <c r="X3">
        <v>186.44</v>
      </c>
      <c r="Y3" s="65" t="s">
        <v>47</v>
      </c>
      <c r="Z3" s="65" t="s">
        <v>48</v>
      </c>
      <c r="AA3" s="65" t="s">
        <v>49</v>
      </c>
      <c r="AB3">
        <v>964328569</v>
      </c>
      <c r="AC3" s="65" t="s">
        <v>102</v>
      </c>
      <c r="AD3">
        <v>50</v>
      </c>
    </row>
    <row r="4" spans="1:30" x14ac:dyDescent="0.3">
      <c r="A4" s="1">
        <v>46174</v>
      </c>
      <c r="B4" s="65" t="s">
        <v>3547</v>
      </c>
      <c r="C4" s="65" t="s">
        <v>82</v>
      </c>
      <c r="D4" s="65" t="s">
        <v>29</v>
      </c>
      <c r="E4" s="65" t="s">
        <v>83</v>
      </c>
      <c r="F4" s="65" t="s">
        <v>31</v>
      </c>
      <c r="G4" s="65" t="s">
        <v>84</v>
      </c>
      <c r="H4" s="65" t="s">
        <v>85</v>
      </c>
      <c r="I4" s="65" t="s">
        <v>86</v>
      </c>
      <c r="J4" s="65" t="s">
        <v>3385</v>
      </c>
      <c r="K4" s="65" t="s">
        <v>1891</v>
      </c>
      <c r="L4" s="65" t="s">
        <v>37</v>
      </c>
      <c r="M4" s="65" t="s">
        <v>87</v>
      </c>
      <c r="N4" s="65" t="s">
        <v>88</v>
      </c>
      <c r="O4" s="65" t="s">
        <v>85</v>
      </c>
      <c r="P4" s="65" t="s">
        <v>89</v>
      </c>
      <c r="Q4" s="65" t="s">
        <v>90</v>
      </c>
      <c r="R4">
        <v>1</v>
      </c>
      <c r="S4" s="65" t="s">
        <v>42</v>
      </c>
      <c r="T4" s="65" t="s">
        <v>43</v>
      </c>
      <c r="U4" s="65" t="s">
        <v>44</v>
      </c>
      <c r="V4" s="65" t="s">
        <v>45</v>
      </c>
      <c r="W4" s="65" t="s">
        <v>46</v>
      </c>
      <c r="X4">
        <v>135.59</v>
      </c>
      <c r="Y4" s="65" t="s">
        <v>47</v>
      </c>
      <c r="Z4" s="65" t="s">
        <v>48</v>
      </c>
      <c r="AA4" s="65" t="s">
        <v>49</v>
      </c>
      <c r="AB4">
        <v>999421990</v>
      </c>
      <c r="AC4" s="65"/>
      <c r="AD4">
        <v>30</v>
      </c>
    </row>
    <row r="5" spans="1:30" x14ac:dyDescent="0.3">
      <c r="A5" s="1">
        <v>46174</v>
      </c>
      <c r="B5" s="65" t="s">
        <v>3547</v>
      </c>
      <c r="C5" s="65" t="s">
        <v>111</v>
      </c>
      <c r="D5" s="65" t="s">
        <v>29</v>
      </c>
      <c r="E5" s="65" t="s">
        <v>112</v>
      </c>
      <c r="F5" s="65" t="s">
        <v>31</v>
      </c>
      <c r="G5" s="65" t="s">
        <v>113</v>
      </c>
      <c r="H5" s="65" t="s">
        <v>114</v>
      </c>
      <c r="I5" s="65" t="s">
        <v>115</v>
      </c>
      <c r="J5" s="65" t="s">
        <v>116</v>
      </c>
      <c r="K5" s="65" t="s">
        <v>117</v>
      </c>
      <c r="L5" s="65" t="s">
        <v>37</v>
      </c>
      <c r="M5" s="65" t="s">
        <v>118</v>
      </c>
      <c r="N5" s="65" t="s">
        <v>119</v>
      </c>
      <c r="O5" s="65" t="s">
        <v>114</v>
      </c>
      <c r="P5" s="65" t="s">
        <v>120</v>
      </c>
      <c r="Q5" s="65" t="s">
        <v>90</v>
      </c>
      <c r="R5">
        <v>1</v>
      </c>
      <c r="S5" s="65" t="s">
        <v>42</v>
      </c>
      <c r="T5" s="65" t="s">
        <v>43</v>
      </c>
      <c r="U5" s="65" t="s">
        <v>44</v>
      </c>
      <c r="V5" s="65" t="s">
        <v>45</v>
      </c>
      <c r="W5" s="65" t="s">
        <v>60</v>
      </c>
      <c r="X5">
        <v>135.59</v>
      </c>
      <c r="Y5" s="65" t="s">
        <v>47</v>
      </c>
      <c r="Z5" s="65" t="s">
        <v>48</v>
      </c>
      <c r="AA5" s="65" t="s">
        <v>49</v>
      </c>
      <c r="AB5">
        <v>945319366</v>
      </c>
      <c r="AC5" s="65" t="s">
        <v>121</v>
      </c>
      <c r="AD5">
        <v>30</v>
      </c>
    </row>
    <row r="6" spans="1:30" x14ac:dyDescent="0.3">
      <c r="A6" s="1">
        <v>46174</v>
      </c>
      <c r="B6" s="65" t="s">
        <v>3547</v>
      </c>
      <c r="C6" s="65" t="s">
        <v>131</v>
      </c>
      <c r="D6" s="65" t="s">
        <v>29</v>
      </c>
      <c r="E6" s="65" t="s">
        <v>132</v>
      </c>
      <c r="F6" s="65" t="s">
        <v>31</v>
      </c>
      <c r="G6" s="65" t="s">
        <v>133</v>
      </c>
      <c r="H6" s="65" t="s">
        <v>134</v>
      </c>
      <c r="I6" s="65" t="s">
        <v>135</v>
      </c>
      <c r="J6" s="65" t="s">
        <v>136</v>
      </c>
      <c r="K6" s="65" t="s">
        <v>137</v>
      </c>
      <c r="L6" s="65" t="s">
        <v>37</v>
      </c>
      <c r="M6" s="65" t="s">
        <v>138</v>
      </c>
      <c r="N6" s="65" t="s">
        <v>139</v>
      </c>
      <c r="O6" s="65" t="s">
        <v>134</v>
      </c>
      <c r="P6" s="65" t="s">
        <v>140</v>
      </c>
      <c r="Q6" s="65" t="s">
        <v>90</v>
      </c>
      <c r="R6">
        <v>1</v>
      </c>
      <c r="S6" s="65" t="s">
        <v>70</v>
      </c>
      <c r="T6" s="65" t="s">
        <v>43</v>
      </c>
      <c r="U6" s="65" t="s">
        <v>44</v>
      </c>
      <c r="V6" s="65" t="s">
        <v>71</v>
      </c>
      <c r="W6" s="65" t="s">
        <v>72</v>
      </c>
      <c r="X6">
        <v>135.59</v>
      </c>
      <c r="Y6" s="65" t="s">
        <v>47</v>
      </c>
      <c r="Z6" s="65" t="s">
        <v>48</v>
      </c>
      <c r="AA6" s="65" t="s">
        <v>73</v>
      </c>
      <c r="AB6">
        <v>987407712</v>
      </c>
      <c r="AC6" s="65" t="s">
        <v>141</v>
      </c>
      <c r="AD6">
        <v>30</v>
      </c>
    </row>
    <row r="7" spans="1:30" x14ac:dyDescent="0.3">
      <c r="A7" s="1">
        <v>46174</v>
      </c>
      <c r="B7" s="65" t="s">
        <v>3547</v>
      </c>
      <c r="C7" s="65" t="s">
        <v>91</v>
      </c>
      <c r="D7" s="65" t="s">
        <v>29</v>
      </c>
      <c r="E7" s="65" t="s">
        <v>92</v>
      </c>
      <c r="F7" s="65" t="s">
        <v>31</v>
      </c>
      <c r="G7" s="65" t="s">
        <v>93</v>
      </c>
      <c r="H7" s="65" t="s">
        <v>94</v>
      </c>
      <c r="I7" s="65" t="s">
        <v>95</v>
      </c>
      <c r="J7" s="65" t="s">
        <v>96</v>
      </c>
      <c r="K7" s="65" t="s">
        <v>97</v>
      </c>
      <c r="L7" s="65" t="s">
        <v>37</v>
      </c>
      <c r="M7" s="65" t="s">
        <v>98</v>
      </c>
      <c r="N7" s="65" t="s">
        <v>99</v>
      </c>
      <c r="O7" s="65" t="s">
        <v>94</v>
      </c>
      <c r="P7" s="65" t="s">
        <v>100</v>
      </c>
      <c r="Q7" s="65" t="s">
        <v>101</v>
      </c>
      <c r="R7">
        <v>1</v>
      </c>
      <c r="S7" s="65" t="s">
        <v>42</v>
      </c>
      <c r="T7" s="65" t="s">
        <v>43</v>
      </c>
      <c r="U7" s="65" t="s">
        <v>44</v>
      </c>
      <c r="V7" s="65" t="s">
        <v>45</v>
      </c>
      <c r="W7" s="65" t="s">
        <v>60</v>
      </c>
      <c r="X7">
        <v>186.44</v>
      </c>
      <c r="Y7" s="65" t="s">
        <v>47</v>
      </c>
      <c r="Z7" s="65" t="s">
        <v>48</v>
      </c>
      <c r="AA7" s="65" t="s">
        <v>49</v>
      </c>
      <c r="AB7">
        <v>964328569</v>
      </c>
      <c r="AC7" s="65" t="s">
        <v>102</v>
      </c>
      <c r="AD7">
        <v>50</v>
      </c>
    </row>
    <row r="8" spans="1:30" x14ac:dyDescent="0.3">
      <c r="A8" s="1">
        <v>46175</v>
      </c>
      <c r="B8" s="65" t="s">
        <v>3547</v>
      </c>
      <c r="C8" s="65" t="s">
        <v>203</v>
      </c>
      <c r="D8" s="65" t="s">
        <v>29</v>
      </c>
      <c r="E8" s="65" t="s">
        <v>204</v>
      </c>
      <c r="F8" s="65" t="s">
        <v>31</v>
      </c>
      <c r="G8" s="65" t="s">
        <v>205</v>
      </c>
      <c r="H8" s="65" t="s">
        <v>206</v>
      </c>
      <c r="I8" s="65" t="s">
        <v>207</v>
      </c>
      <c r="J8" s="65" t="s">
        <v>208</v>
      </c>
      <c r="K8" s="65" t="s">
        <v>209</v>
      </c>
      <c r="L8" s="65" t="s">
        <v>37</v>
      </c>
      <c r="M8" s="65" t="s">
        <v>210</v>
      </c>
      <c r="N8" s="65" t="s">
        <v>211</v>
      </c>
      <c r="O8" s="65" t="s">
        <v>206</v>
      </c>
      <c r="P8" s="65" t="s">
        <v>212</v>
      </c>
      <c r="Q8" s="65" t="s">
        <v>213</v>
      </c>
      <c r="R8">
        <v>1</v>
      </c>
      <c r="S8" s="65" t="s">
        <v>42</v>
      </c>
      <c r="T8" s="65" t="s">
        <v>43</v>
      </c>
      <c r="U8" s="65" t="s">
        <v>44</v>
      </c>
      <c r="V8" s="65" t="s">
        <v>45</v>
      </c>
      <c r="W8" s="65" t="s">
        <v>46</v>
      </c>
      <c r="X8">
        <v>254.24</v>
      </c>
      <c r="Y8" s="65" t="s">
        <v>61</v>
      </c>
      <c r="Z8" s="65" t="s">
        <v>48</v>
      </c>
      <c r="AA8" s="65" t="s">
        <v>49</v>
      </c>
      <c r="AC8" s="65"/>
    </row>
    <row r="9" spans="1:30" x14ac:dyDescent="0.3">
      <c r="A9" s="1">
        <v>46176</v>
      </c>
      <c r="B9" s="65" t="s">
        <v>3547</v>
      </c>
      <c r="C9" s="65" t="s">
        <v>222</v>
      </c>
      <c r="D9" s="65" t="s">
        <v>29</v>
      </c>
      <c r="E9" s="65" t="s">
        <v>223</v>
      </c>
      <c r="F9" s="65" t="s">
        <v>31</v>
      </c>
      <c r="G9" s="65" t="s">
        <v>224</v>
      </c>
      <c r="H9" s="65" t="s">
        <v>225</v>
      </c>
      <c r="I9" s="65" t="s">
        <v>226</v>
      </c>
      <c r="J9" s="65" t="s">
        <v>3548</v>
      </c>
      <c r="K9" s="65" t="s">
        <v>775</v>
      </c>
      <c r="L9" s="65" t="s">
        <v>37</v>
      </c>
      <c r="M9" s="65" t="s">
        <v>228</v>
      </c>
      <c r="N9" s="65" t="s">
        <v>229</v>
      </c>
      <c r="O9" s="65" t="s">
        <v>225</v>
      </c>
      <c r="P9" s="65" t="s">
        <v>230</v>
      </c>
      <c r="Q9" s="65" t="s">
        <v>159</v>
      </c>
      <c r="R9">
        <v>1</v>
      </c>
      <c r="S9" s="65" t="s">
        <v>42</v>
      </c>
      <c r="T9" s="65" t="s">
        <v>43</v>
      </c>
      <c r="U9" s="65" t="s">
        <v>44</v>
      </c>
      <c r="V9" s="65" t="s">
        <v>45</v>
      </c>
      <c r="W9" s="65" t="s">
        <v>46</v>
      </c>
      <c r="X9">
        <v>135.59</v>
      </c>
      <c r="Y9" s="65" t="s">
        <v>47</v>
      </c>
      <c r="Z9" s="65" t="s">
        <v>48</v>
      </c>
      <c r="AA9" s="65" t="s">
        <v>49</v>
      </c>
      <c r="AC9" s="65"/>
      <c r="AD9">
        <v>30</v>
      </c>
    </row>
    <row r="10" spans="1:30" x14ac:dyDescent="0.3">
      <c r="A10" s="1">
        <v>46176</v>
      </c>
      <c r="B10" s="65" t="s">
        <v>3547</v>
      </c>
      <c r="C10" s="65" t="s">
        <v>231</v>
      </c>
      <c r="D10" s="65" t="s">
        <v>29</v>
      </c>
      <c r="E10" s="65" t="s">
        <v>232</v>
      </c>
      <c r="F10" s="65" t="s">
        <v>31</v>
      </c>
      <c r="G10" s="65" t="s">
        <v>233</v>
      </c>
      <c r="H10" s="65" t="s">
        <v>234</v>
      </c>
      <c r="I10" s="65" t="s">
        <v>235</v>
      </c>
      <c r="J10" s="65" t="s">
        <v>411</v>
      </c>
      <c r="K10" s="65" t="s">
        <v>412</v>
      </c>
      <c r="L10" s="65" t="s">
        <v>37</v>
      </c>
      <c r="M10" s="65" t="s">
        <v>237</v>
      </c>
      <c r="N10" s="65" t="s">
        <v>238</v>
      </c>
      <c r="O10" s="65" t="s">
        <v>234</v>
      </c>
      <c r="P10" s="65" t="s">
        <v>239</v>
      </c>
      <c r="Q10" s="65" t="s">
        <v>41</v>
      </c>
      <c r="R10">
        <v>1</v>
      </c>
      <c r="S10" s="65" t="s">
        <v>42</v>
      </c>
      <c r="T10" s="65" t="s">
        <v>43</v>
      </c>
      <c r="U10" s="65" t="s">
        <v>44</v>
      </c>
      <c r="V10" s="65" t="s">
        <v>45</v>
      </c>
      <c r="W10" s="65" t="s">
        <v>60</v>
      </c>
      <c r="X10">
        <v>186.44</v>
      </c>
      <c r="Y10" s="65" t="s">
        <v>47</v>
      </c>
      <c r="Z10" s="65" t="s">
        <v>48</v>
      </c>
      <c r="AA10" s="65" t="s">
        <v>49</v>
      </c>
      <c r="AB10">
        <v>982673362</v>
      </c>
      <c r="AC10" s="65" t="s">
        <v>416</v>
      </c>
      <c r="AD10">
        <v>50</v>
      </c>
    </row>
    <row r="11" spans="1:30" x14ac:dyDescent="0.3">
      <c r="A11" s="1">
        <v>46176</v>
      </c>
      <c r="B11" s="65" t="s">
        <v>3547</v>
      </c>
      <c r="C11" s="65" t="s">
        <v>231</v>
      </c>
      <c r="D11" s="65" t="s">
        <v>29</v>
      </c>
      <c r="E11" s="65" t="s">
        <v>232</v>
      </c>
      <c r="F11" s="65" t="s">
        <v>31</v>
      </c>
      <c r="G11" s="65" t="s">
        <v>233</v>
      </c>
      <c r="H11" s="65" t="s">
        <v>234</v>
      </c>
      <c r="I11" s="65" t="s">
        <v>235</v>
      </c>
      <c r="J11" s="65" t="s">
        <v>411</v>
      </c>
      <c r="K11" s="65" t="s">
        <v>412</v>
      </c>
      <c r="L11" s="65" t="s">
        <v>37</v>
      </c>
      <c r="M11" s="65" t="s">
        <v>237</v>
      </c>
      <c r="N11" s="65" t="s">
        <v>238</v>
      </c>
      <c r="O11" s="65" t="s">
        <v>234</v>
      </c>
      <c r="P11" s="65" t="s">
        <v>239</v>
      </c>
      <c r="Q11" s="65" t="s">
        <v>101</v>
      </c>
      <c r="R11">
        <v>1</v>
      </c>
      <c r="S11" s="65" t="s">
        <v>42</v>
      </c>
      <c r="T11" s="65" t="s">
        <v>43</v>
      </c>
      <c r="U11" s="65" t="s">
        <v>44</v>
      </c>
      <c r="V11" s="65" t="s">
        <v>45</v>
      </c>
      <c r="W11" s="65" t="s">
        <v>60</v>
      </c>
      <c r="X11">
        <v>186.44</v>
      </c>
      <c r="Y11" s="65" t="s">
        <v>47</v>
      </c>
      <c r="Z11" s="65" t="s">
        <v>48</v>
      </c>
      <c r="AA11" s="65" t="s">
        <v>49</v>
      </c>
      <c r="AB11">
        <v>982673362</v>
      </c>
      <c r="AC11" s="65" t="s">
        <v>416</v>
      </c>
      <c r="AD11">
        <v>50</v>
      </c>
    </row>
    <row r="12" spans="1:30" x14ac:dyDescent="0.3">
      <c r="A12" s="1">
        <v>46176</v>
      </c>
      <c r="B12" s="65" t="s">
        <v>3547</v>
      </c>
      <c r="C12" s="65" t="s">
        <v>240</v>
      </c>
      <c r="D12" s="65" t="s">
        <v>29</v>
      </c>
      <c r="E12" s="65" t="s">
        <v>241</v>
      </c>
      <c r="F12" s="65" t="s">
        <v>31</v>
      </c>
      <c r="G12" s="65" t="s">
        <v>242</v>
      </c>
      <c r="H12" s="65" t="s">
        <v>243</v>
      </c>
      <c r="I12" s="65" t="s">
        <v>244</v>
      </c>
      <c r="J12" s="65" t="s">
        <v>411</v>
      </c>
      <c r="K12" s="65" t="s">
        <v>412</v>
      </c>
      <c r="L12" s="65" t="s">
        <v>37</v>
      </c>
      <c r="M12" s="65" t="s">
        <v>245</v>
      </c>
      <c r="N12" s="65" t="s">
        <v>246</v>
      </c>
      <c r="O12" s="65" t="s">
        <v>243</v>
      </c>
      <c r="P12" s="65" t="s">
        <v>247</v>
      </c>
      <c r="Q12" s="65" t="s">
        <v>41</v>
      </c>
      <c r="R12">
        <v>1</v>
      </c>
      <c r="S12" s="65" t="s">
        <v>42</v>
      </c>
      <c r="T12" s="65" t="s">
        <v>43</v>
      </c>
      <c r="U12" s="65" t="s">
        <v>44</v>
      </c>
      <c r="V12" s="65" t="s">
        <v>45</v>
      </c>
      <c r="W12" s="65" t="s">
        <v>60</v>
      </c>
      <c r="X12">
        <v>186.44</v>
      </c>
      <c r="Y12" s="65" t="s">
        <v>47</v>
      </c>
      <c r="Z12" s="65" t="s">
        <v>48</v>
      </c>
      <c r="AA12" s="65" t="s">
        <v>49</v>
      </c>
      <c r="AB12">
        <v>982673362</v>
      </c>
      <c r="AC12" s="65" t="s">
        <v>416</v>
      </c>
      <c r="AD12">
        <v>50</v>
      </c>
    </row>
    <row r="13" spans="1:30" x14ac:dyDescent="0.3">
      <c r="A13" s="1">
        <v>46176</v>
      </c>
      <c r="B13" s="65" t="s">
        <v>3547</v>
      </c>
      <c r="C13" s="65" t="s">
        <v>240</v>
      </c>
      <c r="D13" s="65" t="s">
        <v>29</v>
      </c>
      <c r="E13" s="65" t="s">
        <v>241</v>
      </c>
      <c r="F13" s="65" t="s">
        <v>31</v>
      </c>
      <c r="G13" s="65" t="s">
        <v>242</v>
      </c>
      <c r="H13" s="65" t="s">
        <v>243</v>
      </c>
      <c r="I13" s="65" t="s">
        <v>244</v>
      </c>
      <c r="J13" s="65" t="s">
        <v>411</v>
      </c>
      <c r="K13" s="65" t="s">
        <v>412</v>
      </c>
      <c r="L13" s="65" t="s">
        <v>37</v>
      </c>
      <c r="M13" s="65" t="s">
        <v>245</v>
      </c>
      <c r="N13" s="65" t="s">
        <v>246</v>
      </c>
      <c r="O13" s="65" t="s">
        <v>243</v>
      </c>
      <c r="P13" s="65" t="s">
        <v>247</v>
      </c>
      <c r="Q13" s="65" t="s">
        <v>101</v>
      </c>
      <c r="R13">
        <v>1</v>
      </c>
      <c r="S13" s="65" t="s">
        <v>42</v>
      </c>
      <c r="T13" s="65" t="s">
        <v>43</v>
      </c>
      <c r="U13" s="65" t="s">
        <v>44</v>
      </c>
      <c r="V13" s="65" t="s">
        <v>45</v>
      </c>
      <c r="W13" s="65" t="s">
        <v>60</v>
      </c>
      <c r="X13">
        <v>186.44</v>
      </c>
      <c r="Y13" s="65" t="s">
        <v>47</v>
      </c>
      <c r="Z13" s="65" t="s">
        <v>48</v>
      </c>
      <c r="AA13" s="65" t="s">
        <v>49</v>
      </c>
      <c r="AB13">
        <v>982673362</v>
      </c>
      <c r="AC13" s="65" t="s">
        <v>416</v>
      </c>
      <c r="AD13">
        <v>50</v>
      </c>
    </row>
    <row r="14" spans="1:30" x14ac:dyDescent="0.3">
      <c r="A14" s="1">
        <v>46176</v>
      </c>
      <c r="B14" s="65" t="s">
        <v>3547</v>
      </c>
      <c r="C14" s="65" t="s">
        <v>256</v>
      </c>
      <c r="D14" s="65" t="s">
        <v>29</v>
      </c>
      <c r="E14" s="65" t="s">
        <v>257</v>
      </c>
      <c r="F14" s="65" t="s">
        <v>31</v>
      </c>
      <c r="G14" s="65" t="s">
        <v>258</v>
      </c>
      <c r="H14" s="65" t="s">
        <v>259</v>
      </c>
      <c r="I14" s="65" t="s">
        <v>260</v>
      </c>
      <c r="J14" s="65" t="s">
        <v>261</v>
      </c>
      <c r="K14" s="65" t="s">
        <v>262</v>
      </c>
      <c r="L14" s="65" t="s">
        <v>37</v>
      </c>
      <c r="M14" s="65" t="s">
        <v>263</v>
      </c>
      <c r="N14" s="65" t="s">
        <v>264</v>
      </c>
      <c r="O14" s="65" t="s">
        <v>259</v>
      </c>
      <c r="P14" s="65" t="s">
        <v>265</v>
      </c>
      <c r="Q14" s="65" t="s">
        <v>41</v>
      </c>
      <c r="R14">
        <v>1</v>
      </c>
      <c r="S14" s="65" t="s">
        <v>42</v>
      </c>
      <c r="T14" s="65" t="s">
        <v>43</v>
      </c>
      <c r="U14" s="65" t="s">
        <v>44</v>
      </c>
      <c r="V14" s="65" t="s">
        <v>45</v>
      </c>
      <c r="W14" s="65" t="s">
        <v>60</v>
      </c>
      <c r="X14">
        <v>186.44</v>
      </c>
      <c r="Y14" s="65" t="s">
        <v>47</v>
      </c>
      <c r="Z14" s="65" t="s">
        <v>48</v>
      </c>
      <c r="AA14" s="65" t="s">
        <v>49</v>
      </c>
      <c r="AB14">
        <v>981214114</v>
      </c>
      <c r="AC14" s="65" t="s">
        <v>266</v>
      </c>
      <c r="AD14">
        <v>50</v>
      </c>
    </row>
    <row r="15" spans="1:30" x14ac:dyDescent="0.3">
      <c r="A15" s="1">
        <v>46176</v>
      </c>
      <c r="B15" s="65" t="s">
        <v>3547</v>
      </c>
      <c r="C15" s="65" t="s">
        <v>256</v>
      </c>
      <c r="D15" s="65" t="s">
        <v>29</v>
      </c>
      <c r="E15" s="65" t="s">
        <v>257</v>
      </c>
      <c r="F15" s="65" t="s">
        <v>31</v>
      </c>
      <c r="G15" s="65" t="s">
        <v>258</v>
      </c>
      <c r="H15" s="65" t="s">
        <v>259</v>
      </c>
      <c r="I15" s="65" t="s">
        <v>260</v>
      </c>
      <c r="J15" s="65" t="s">
        <v>261</v>
      </c>
      <c r="K15" s="65" t="s">
        <v>262</v>
      </c>
      <c r="L15" s="65" t="s">
        <v>37</v>
      </c>
      <c r="M15" s="65" t="s">
        <v>263</v>
      </c>
      <c r="N15" s="65" t="s">
        <v>264</v>
      </c>
      <c r="O15" s="65" t="s">
        <v>259</v>
      </c>
      <c r="P15" s="65" t="s">
        <v>265</v>
      </c>
      <c r="Q15" s="65" t="s">
        <v>158</v>
      </c>
      <c r="R15">
        <v>1</v>
      </c>
      <c r="S15" s="65" t="s">
        <v>42</v>
      </c>
      <c r="T15" s="65" t="s">
        <v>43</v>
      </c>
      <c r="U15" s="65" t="s">
        <v>44</v>
      </c>
      <c r="V15" s="65" t="s">
        <v>45</v>
      </c>
      <c r="W15" s="65" t="s">
        <v>60</v>
      </c>
      <c r="X15">
        <v>152.54</v>
      </c>
      <c r="Y15" s="65" t="s">
        <v>47</v>
      </c>
      <c r="Z15" s="65" t="s">
        <v>48</v>
      </c>
      <c r="AA15" s="65" t="s">
        <v>49</v>
      </c>
      <c r="AB15">
        <v>981214114</v>
      </c>
      <c r="AC15" s="65" t="s">
        <v>266</v>
      </c>
      <c r="AD15">
        <v>30</v>
      </c>
    </row>
    <row r="16" spans="1:30" x14ac:dyDescent="0.3">
      <c r="A16" s="1">
        <v>46177</v>
      </c>
      <c r="B16" s="65" t="s">
        <v>3547</v>
      </c>
      <c r="C16" s="65" t="s">
        <v>142</v>
      </c>
      <c r="D16" s="65" t="s">
        <v>29</v>
      </c>
      <c r="E16" s="65" t="s">
        <v>143</v>
      </c>
      <c r="F16" s="65" t="s">
        <v>31</v>
      </c>
      <c r="G16" s="65" t="s">
        <v>144</v>
      </c>
      <c r="H16" s="65" t="s">
        <v>145</v>
      </c>
      <c r="I16" s="65" t="s">
        <v>146</v>
      </c>
      <c r="J16" s="65" t="s">
        <v>136</v>
      </c>
      <c r="K16" s="65" t="s">
        <v>137</v>
      </c>
      <c r="L16" s="65" t="s">
        <v>37</v>
      </c>
      <c r="M16" s="65" t="s">
        <v>147</v>
      </c>
      <c r="N16" s="65" t="s">
        <v>148</v>
      </c>
      <c r="O16" s="65" t="s">
        <v>145</v>
      </c>
      <c r="P16" s="65" t="s">
        <v>149</v>
      </c>
      <c r="Q16" s="65" t="s">
        <v>41</v>
      </c>
      <c r="R16">
        <v>1</v>
      </c>
      <c r="S16" s="65" t="s">
        <v>42</v>
      </c>
      <c r="T16" s="65" t="s">
        <v>43</v>
      </c>
      <c r="U16" s="65" t="s">
        <v>44</v>
      </c>
      <c r="V16" s="65" t="s">
        <v>45</v>
      </c>
      <c r="W16" s="65" t="s">
        <v>46</v>
      </c>
      <c r="X16">
        <v>186.44</v>
      </c>
      <c r="Y16" s="65" t="s">
        <v>47</v>
      </c>
      <c r="Z16" s="65" t="s">
        <v>48</v>
      </c>
      <c r="AA16" s="65" t="s">
        <v>49</v>
      </c>
      <c r="AB16">
        <v>987407712</v>
      </c>
      <c r="AC16" s="65" t="s">
        <v>141</v>
      </c>
      <c r="AD16">
        <v>50</v>
      </c>
    </row>
    <row r="17" spans="1:30" x14ac:dyDescent="0.3">
      <c r="A17" s="1">
        <v>46177</v>
      </c>
      <c r="B17" s="65" t="s">
        <v>3547</v>
      </c>
      <c r="C17" s="65" t="s">
        <v>339</v>
      </c>
      <c r="D17" s="65" t="s">
        <v>29</v>
      </c>
      <c r="E17" s="65" t="s">
        <v>340</v>
      </c>
      <c r="F17" s="65" t="s">
        <v>31</v>
      </c>
      <c r="G17" s="65" t="s">
        <v>341</v>
      </c>
      <c r="H17" s="65" t="s">
        <v>342</v>
      </c>
      <c r="I17" s="65" t="s">
        <v>343</v>
      </c>
      <c r="J17" s="65" t="s">
        <v>344</v>
      </c>
      <c r="K17" s="65" t="s">
        <v>345</v>
      </c>
      <c r="L17" s="65" t="s">
        <v>37</v>
      </c>
      <c r="M17" s="65" t="s">
        <v>346</v>
      </c>
      <c r="N17" s="65" t="s">
        <v>347</v>
      </c>
      <c r="O17" s="65" t="s">
        <v>342</v>
      </c>
      <c r="P17" s="65" t="s">
        <v>348</v>
      </c>
      <c r="Q17" s="65" t="s">
        <v>349</v>
      </c>
      <c r="R17">
        <v>1</v>
      </c>
      <c r="S17" s="65" t="s">
        <v>42</v>
      </c>
      <c r="T17" s="65" t="s">
        <v>43</v>
      </c>
      <c r="U17" s="65" t="s">
        <v>44</v>
      </c>
      <c r="V17" s="65" t="s">
        <v>45</v>
      </c>
      <c r="W17" s="65" t="s">
        <v>60</v>
      </c>
      <c r="X17">
        <v>169.49</v>
      </c>
      <c r="Y17" s="65" t="s">
        <v>47</v>
      </c>
      <c r="Z17" s="65" t="s">
        <v>48</v>
      </c>
      <c r="AA17" s="65" t="s">
        <v>49</v>
      </c>
      <c r="AB17">
        <v>966697811</v>
      </c>
      <c r="AC17" s="65" t="s">
        <v>350</v>
      </c>
      <c r="AD17">
        <v>50</v>
      </c>
    </row>
    <row r="18" spans="1:30" x14ac:dyDescent="0.3">
      <c r="A18" s="1">
        <v>46177</v>
      </c>
      <c r="B18" s="65" t="s">
        <v>3547</v>
      </c>
      <c r="C18" s="65" t="s">
        <v>339</v>
      </c>
      <c r="D18" s="65" t="s">
        <v>29</v>
      </c>
      <c r="E18" s="65" t="s">
        <v>340</v>
      </c>
      <c r="F18" s="65" t="s">
        <v>31</v>
      </c>
      <c r="G18" s="65" t="s">
        <v>341</v>
      </c>
      <c r="H18" s="65" t="s">
        <v>342</v>
      </c>
      <c r="I18" s="65" t="s">
        <v>343</v>
      </c>
      <c r="J18" s="65" t="s">
        <v>344</v>
      </c>
      <c r="K18" s="65" t="s">
        <v>345</v>
      </c>
      <c r="L18" s="65" t="s">
        <v>37</v>
      </c>
      <c r="M18" s="65" t="s">
        <v>346</v>
      </c>
      <c r="N18" s="65" t="s">
        <v>347</v>
      </c>
      <c r="O18" s="65" t="s">
        <v>342</v>
      </c>
      <c r="P18" s="65" t="s">
        <v>348</v>
      </c>
      <c r="Q18" s="65" t="s">
        <v>41</v>
      </c>
      <c r="R18">
        <v>1</v>
      </c>
      <c r="S18" s="65" t="s">
        <v>42</v>
      </c>
      <c r="T18" s="65" t="s">
        <v>43</v>
      </c>
      <c r="U18" s="65" t="s">
        <v>44</v>
      </c>
      <c r="V18" s="65" t="s">
        <v>45</v>
      </c>
      <c r="W18" s="65" t="s">
        <v>60</v>
      </c>
      <c r="X18">
        <v>186.44</v>
      </c>
      <c r="Y18" s="65" t="s">
        <v>47</v>
      </c>
      <c r="Z18" s="65" t="s">
        <v>48</v>
      </c>
      <c r="AA18" s="65" t="s">
        <v>49</v>
      </c>
      <c r="AB18">
        <v>966697811</v>
      </c>
      <c r="AC18" s="65" t="s">
        <v>350</v>
      </c>
      <c r="AD18">
        <v>50</v>
      </c>
    </row>
    <row r="19" spans="1:30" x14ac:dyDescent="0.3">
      <c r="A19" s="1">
        <v>46177</v>
      </c>
      <c r="B19" s="65" t="s">
        <v>3547</v>
      </c>
      <c r="C19" s="65" t="s">
        <v>339</v>
      </c>
      <c r="D19" s="65" t="s">
        <v>29</v>
      </c>
      <c r="E19" s="65" t="s">
        <v>340</v>
      </c>
      <c r="F19" s="65" t="s">
        <v>31</v>
      </c>
      <c r="G19" s="65" t="s">
        <v>341</v>
      </c>
      <c r="H19" s="65" t="s">
        <v>342</v>
      </c>
      <c r="I19" s="65" t="s">
        <v>343</v>
      </c>
      <c r="J19" s="65" t="s">
        <v>344</v>
      </c>
      <c r="K19" s="65" t="s">
        <v>345</v>
      </c>
      <c r="L19" s="65" t="s">
        <v>37</v>
      </c>
      <c r="M19" s="65" t="s">
        <v>346</v>
      </c>
      <c r="N19" s="65" t="s">
        <v>347</v>
      </c>
      <c r="O19" s="65" t="s">
        <v>342</v>
      </c>
      <c r="P19" s="65" t="s">
        <v>348</v>
      </c>
      <c r="Q19" s="65" t="s">
        <v>101</v>
      </c>
      <c r="R19">
        <v>1</v>
      </c>
      <c r="S19" s="65" t="s">
        <v>42</v>
      </c>
      <c r="T19" s="65" t="s">
        <v>43</v>
      </c>
      <c r="U19" s="65" t="s">
        <v>44</v>
      </c>
      <c r="V19" s="65" t="s">
        <v>45</v>
      </c>
      <c r="W19" s="65" t="s">
        <v>60</v>
      </c>
      <c r="X19">
        <v>186.44</v>
      </c>
      <c r="Y19" s="65" t="s">
        <v>47</v>
      </c>
      <c r="Z19" s="65" t="s">
        <v>48</v>
      </c>
      <c r="AA19" s="65" t="s">
        <v>49</v>
      </c>
      <c r="AB19">
        <v>966697811</v>
      </c>
      <c r="AC19" s="65" t="s">
        <v>350</v>
      </c>
      <c r="AD19">
        <v>50</v>
      </c>
    </row>
    <row r="20" spans="1:30" x14ac:dyDescent="0.3">
      <c r="A20" s="1">
        <v>46177</v>
      </c>
      <c r="B20" s="65" t="s">
        <v>3547</v>
      </c>
      <c r="C20" s="65" t="s">
        <v>267</v>
      </c>
      <c r="D20" s="65" t="s">
        <v>268</v>
      </c>
      <c r="E20" s="65" t="s">
        <v>269</v>
      </c>
      <c r="F20" s="65" t="s">
        <v>31</v>
      </c>
      <c r="G20" s="65" t="s">
        <v>270</v>
      </c>
      <c r="H20" s="65" t="s">
        <v>271</v>
      </c>
      <c r="I20" s="65" t="s">
        <v>272</v>
      </c>
      <c r="J20" s="65" t="s">
        <v>273</v>
      </c>
      <c r="K20" s="65" t="s">
        <v>274</v>
      </c>
      <c r="L20" s="65" t="s">
        <v>37</v>
      </c>
      <c r="M20" s="65" t="s">
        <v>275</v>
      </c>
      <c r="N20" s="65" t="s">
        <v>276</v>
      </c>
      <c r="O20" s="65" t="s">
        <v>277</v>
      </c>
      <c r="P20" s="65" t="s">
        <v>278</v>
      </c>
      <c r="Q20" s="65" t="s">
        <v>201</v>
      </c>
      <c r="R20">
        <v>1</v>
      </c>
      <c r="S20" s="65" t="s">
        <v>42</v>
      </c>
      <c r="T20" s="65" t="s">
        <v>43</v>
      </c>
      <c r="U20" s="65" t="s">
        <v>44</v>
      </c>
      <c r="V20" s="65" t="s">
        <v>45</v>
      </c>
      <c r="W20" s="65" t="s">
        <v>60</v>
      </c>
      <c r="X20">
        <v>152.54</v>
      </c>
      <c r="Y20" s="65" t="s">
        <v>47</v>
      </c>
      <c r="Z20" s="65" t="s">
        <v>48</v>
      </c>
      <c r="AA20" s="65" t="s">
        <v>49</v>
      </c>
      <c r="AB20">
        <v>950133748</v>
      </c>
      <c r="AC20" s="65" t="s">
        <v>279</v>
      </c>
      <c r="AD20">
        <v>30</v>
      </c>
    </row>
    <row r="21" spans="1:30" x14ac:dyDescent="0.3">
      <c r="A21" s="1">
        <v>46177</v>
      </c>
      <c r="B21" s="65" t="s">
        <v>3547</v>
      </c>
      <c r="C21" s="65" t="s">
        <v>267</v>
      </c>
      <c r="D21" s="65" t="s">
        <v>268</v>
      </c>
      <c r="E21" s="65" t="s">
        <v>269</v>
      </c>
      <c r="F21" s="65" t="s">
        <v>31</v>
      </c>
      <c r="G21" s="65" t="s">
        <v>270</v>
      </c>
      <c r="H21" s="65" t="s">
        <v>271</v>
      </c>
      <c r="I21" s="65" t="s">
        <v>272</v>
      </c>
      <c r="J21" s="65" t="s">
        <v>273</v>
      </c>
      <c r="K21" s="65" t="s">
        <v>274</v>
      </c>
      <c r="L21" s="65" t="s">
        <v>37</v>
      </c>
      <c r="M21" s="65" t="s">
        <v>275</v>
      </c>
      <c r="N21" s="65" t="s">
        <v>276</v>
      </c>
      <c r="O21" s="65" t="s">
        <v>277</v>
      </c>
      <c r="P21" s="65" t="s">
        <v>278</v>
      </c>
      <c r="Q21" s="65" t="s">
        <v>202</v>
      </c>
      <c r="R21">
        <v>1</v>
      </c>
      <c r="S21" s="65" t="s">
        <v>42</v>
      </c>
      <c r="T21" s="65" t="s">
        <v>43</v>
      </c>
      <c r="U21" s="65" t="s">
        <v>44</v>
      </c>
      <c r="V21" s="65" t="s">
        <v>45</v>
      </c>
      <c r="W21" s="65" t="s">
        <v>60</v>
      </c>
      <c r="X21">
        <v>135.59</v>
      </c>
      <c r="Y21" s="65" t="s">
        <v>47</v>
      </c>
      <c r="Z21" s="65" t="s">
        <v>48</v>
      </c>
      <c r="AA21" s="65" t="s">
        <v>49</v>
      </c>
      <c r="AB21">
        <v>950133748</v>
      </c>
      <c r="AC21" s="65" t="s">
        <v>279</v>
      </c>
      <c r="AD21">
        <v>30</v>
      </c>
    </row>
    <row r="22" spans="1:30" x14ac:dyDescent="0.3">
      <c r="A22" s="1">
        <v>46177</v>
      </c>
      <c r="B22" s="65" t="s">
        <v>3547</v>
      </c>
      <c r="C22" s="65" t="s">
        <v>280</v>
      </c>
      <c r="D22" s="65" t="s">
        <v>268</v>
      </c>
      <c r="E22" s="65" t="s">
        <v>281</v>
      </c>
      <c r="F22" s="65" t="s">
        <v>31</v>
      </c>
      <c r="G22" s="65" t="s">
        <v>282</v>
      </c>
      <c r="H22" s="65" t="s">
        <v>283</v>
      </c>
      <c r="I22" s="65" t="s">
        <v>284</v>
      </c>
      <c r="J22" s="65" t="s">
        <v>273</v>
      </c>
      <c r="K22" s="65" t="s">
        <v>274</v>
      </c>
      <c r="L22" s="65" t="s">
        <v>37</v>
      </c>
      <c r="M22" s="65" t="s">
        <v>285</v>
      </c>
      <c r="N22" s="65" t="s">
        <v>286</v>
      </c>
      <c r="O22" s="65" t="s">
        <v>277</v>
      </c>
      <c r="P22" s="65" t="s">
        <v>287</v>
      </c>
      <c r="Q22" s="65" t="s">
        <v>288</v>
      </c>
      <c r="R22">
        <v>1</v>
      </c>
      <c r="S22" s="65" t="s">
        <v>42</v>
      </c>
      <c r="T22" s="65" t="s">
        <v>43</v>
      </c>
      <c r="U22" s="65" t="s">
        <v>44</v>
      </c>
      <c r="V22" s="65" t="s">
        <v>45</v>
      </c>
      <c r="W22" s="65" t="s">
        <v>46</v>
      </c>
      <c r="X22">
        <v>0</v>
      </c>
      <c r="Y22" s="65" t="s">
        <v>289</v>
      </c>
      <c r="Z22" s="65" t="s">
        <v>48</v>
      </c>
      <c r="AA22" s="65" t="s">
        <v>49</v>
      </c>
      <c r="AB22">
        <v>950133748</v>
      </c>
      <c r="AC22" s="65" t="s">
        <v>279</v>
      </c>
    </row>
    <row r="23" spans="1:30" x14ac:dyDescent="0.3">
      <c r="A23" s="1">
        <v>46177</v>
      </c>
      <c r="B23" s="65" t="s">
        <v>3547</v>
      </c>
      <c r="C23" s="65" t="s">
        <v>280</v>
      </c>
      <c r="D23" s="65" t="s">
        <v>268</v>
      </c>
      <c r="E23" s="65" t="s">
        <v>281</v>
      </c>
      <c r="F23" s="65" t="s">
        <v>31</v>
      </c>
      <c r="G23" s="65" t="s">
        <v>282</v>
      </c>
      <c r="H23" s="65" t="s">
        <v>283</v>
      </c>
      <c r="I23" s="65" t="s">
        <v>284</v>
      </c>
      <c r="J23" s="65" t="s">
        <v>273</v>
      </c>
      <c r="K23" s="65" t="s">
        <v>274</v>
      </c>
      <c r="L23" s="65" t="s">
        <v>37</v>
      </c>
      <c r="M23" s="65" t="s">
        <v>285</v>
      </c>
      <c r="N23" s="65" t="s">
        <v>286</v>
      </c>
      <c r="O23" s="65" t="s">
        <v>277</v>
      </c>
      <c r="P23" s="65" t="s">
        <v>287</v>
      </c>
      <c r="Q23" s="65" t="s">
        <v>290</v>
      </c>
      <c r="R23">
        <v>1</v>
      </c>
      <c r="S23" s="65" t="s">
        <v>42</v>
      </c>
      <c r="T23" s="65" t="s">
        <v>43</v>
      </c>
      <c r="U23" s="65" t="s">
        <v>44</v>
      </c>
      <c r="V23" s="65" t="s">
        <v>45</v>
      </c>
      <c r="W23" s="65" t="s">
        <v>46</v>
      </c>
      <c r="X23">
        <v>1050.8499999999999</v>
      </c>
      <c r="Y23" s="65" t="s">
        <v>289</v>
      </c>
      <c r="Z23" s="65" t="s">
        <v>48</v>
      </c>
      <c r="AA23" s="65" t="s">
        <v>49</v>
      </c>
      <c r="AB23">
        <v>950133748</v>
      </c>
      <c r="AC23" s="65" t="s">
        <v>279</v>
      </c>
    </row>
    <row r="24" spans="1:30" x14ac:dyDescent="0.3">
      <c r="A24" s="1">
        <v>46177</v>
      </c>
      <c r="B24" s="65" t="s">
        <v>3547</v>
      </c>
      <c r="C24" s="65" t="s">
        <v>291</v>
      </c>
      <c r="D24" s="65" t="s">
        <v>268</v>
      </c>
      <c r="E24" s="65" t="s">
        <v>292</v>
      </c>
      <c r="F24" s="65" t="s">
        <v>31</v>
      </c>
      <c r="G24" s="65" t="s">
        <v>293</v>
      </c>
      <c r="H24" s="65" t="s">
        <v>271</v>
      </c>
      <c r="I24" s="65" t="s">
        <v>272</v>
      </c>
      <c r="J24" s="65" t="s">
        <v>273</v>
      </c>
      <c r="K24" s="65" t="s">
        <v>274</v>
      </c>
      <c r="L24" s="65" t="s">
        <v>37</v>
      </c>
      <c r="M24" s="65" t="s">
        <v>275</v>
      </c>
      <c r="N24" s="65" t="s">
        <v>276</v>
      </c>
      <c r="O24" s="65" t="s">
        <v>277</v>
      </c>
      <c r="P24" s="65" t="s">
        <v>294</v>
      </c>
      <c r="Q24" s="65" t="s">
        <v>288</v>
      </c>
      <c r="R24">
        <v>1</v>
      </c>
      <c r="S24" s="65" t="s">
        <v>42</v>
      </c>
      <c r="T24" s="65" t="s">
        <v>43</v>
      </c>
      <c r="U24" s="65" t="s">
        <v>44</v>
      </c>
      <c r="V24" s="65" t="s">
        <v>45</v>
      </c>
      <c r="W24" s="65" t="s">
        <v>46</v>
      </c>
      <c r="X24">
        <v>0</v>
      </c>
      <c r="Y24" s="65" t="s">
        <v>289</v>
      </c>
      <c r="Z24" s="65" t="s">
        <v>48</v>
      </c>
      <c r="AA24" s="65" t="s">
        <v>49</v>
      </c>
      <c r="AB24">
        <v>950133748</v>
      </c>
      <c r="AC24" s="65" t="s">
        <v>279</v>
      </c>
    </row>
    <row r="25" spans="1:30" x14ac:dyDescent="0.3">
      <c r="A25" s="1">
        <v>46177</v>
      </c>
      <c r="B25" s="65" t="s">
        <v>3547</v>
      </c>
      <c r="C25" s="65" t="s">
        <v>291</v>
      </c>
      <c r="D25" s="65" t="s">
        <v>268</v>
      </c>
      <c r="E25" s="65" t="s">
        <v>292</v>
      </c>
      <c r="F25" s="65" t="s">
        <v>31</v>
      </c>
      <c r="G25" s="65" t="s">
        <v>293</v>
      </c>
      <c r="H25" s="65" t="s">
        <v>271</v>
      </c>
      <c r="I25" s="65" t="s">
        <v>272</v>
      </c>
      <c r="J25" s="65" t="s">
        <v>273</v>
      </c>
      <c r="K25" s="65" t="s">
        <v>274</v>
      </c>
      <c r="L25" s="65" t="s">
        <v>37</v>
      </c>
      <c r="M25" s="65" t="s">
        <v>275</v>
      </c>
      <c r="N25" s="65" t="s">
        <v>276</v>
      </c>
      <c r="O25" s="65" t="s">
        <v>277</v>
      </c>
      <c r="P25" s="65" t="s">
        <v>294</v>
      </c>
      <c r="Q25" s="65" t="s">
        <v>290</v>
      </c>
      <c r="R25">
        <v>1</v>
      </c>
      <c r="S25" s="65" t="s">
        <v>42</v>
      </c>
      <c r="T25" s="65" t="s">
        <v>43</v>
      </c>
      <c r="U25" s="65" t="s">
        <v>44</v>
      </c>
      <c r="V25" s="65" t="s">
        <v>45</v>
      </c>
      <c r="W25" s="65" t="s">
        <v>46</v>
      </c>
      <c r="X25">
        <v>1050.8499999999999</v>
      </c>
      <c r="Y25" s="65" t="s">
        <v>289</v>
      </c>
      <c r="Z25" s="65" t="s">
        <v>48</v>
      </c>
      <c r="AA25" s="65" t="s">
        <v>49</v>
      </c>
      <c r="AB25">
        <v>950133748</v>
      </c>
      <c r="AC25" s="65" t="s">
        <v>279</v>
      </c>
    </row>
    <row r="26" spans="1:30" x14ac:dyDescent="0.3">
      <c r="A26" s="1">
        <v>46177</v>
      </c>
      <c r="B26" s="65" t="s">
        <v>3547</v>
      </c>
      <c r="C26" s="65" t="s">
        <v>429</v>
      </c>
      <c r="D26" s="65" t="s">
        <v>29</v>
      </c>
      <c r="E26" s="65" t="s">
        <v>430</v>
      </c>
      <c r="F26" s="65" t="s">
        <v>31</v>
      </c>
      <c r="G26" s="65" t="s">
        <v>431</v>
      </c>
      <c r="H26" s="65" t="s">
        <v>432</v>
      </c>
      <c r="I26" s="65" t="s">
        <v>433</v>
      </c>
      <c r="J26" s="65" t="s">
        <v>434</v>
      </c>
      <c r="K26" s="65" t="s">
        <v>435</v>
      </c>
      <c r="L26" s="65" t="s">
        <v>37</v>
      </c>
      <c r="M26" s="65" t="s">
        <v>436</v>
      </c>
      <c r="N26" s="65" t="s">
        <v>437</v>
      </c>
      <c r="O26" s="65" t="s">
        <v>432</v>
      </c>
      <c r="P26" s="65" t="s">
        <v>438</v>
      </c>
      <c r="Q26" s="65" t="s">
        <v>41</v>
      </c>
      <c r="R26">
        <v>1</v>
      </c>
      <c r="S26" s="65" t="s">
        <v>70</v>
      </c>
      <c r="T26" s="65" t="s">
        <v>43</v>
      </c>
      <c r="U26" s="65" t="s">
        <v>44</v>
      </c>
      <c r="V26" s="65" t="s">
        <v>71</v>
      </c>
      <c r="W26" s="65" t="s">
        <v>184</v>
      </c>
      <c r="X26">
        <v>186.44</v>
      </c>
      <c r="Y26" s="65" t="s">
        <v>47</v>
      </c>
      <c r="Z26" s="65" t="s">
        <v>48</v>
      </c>
      <c r="AA26" s="65" t="s">
        <v>73</v>
      </c>
      <c r="AB26">
        <v>992903716</v>
      </c>
      <c r="AC26" s="65" t="s">
        <v>439</v>
      </c>
      <c r="AD26">
        <v>50</v>
      </c>
    </row>
    <row r="27" spans="1:30" x14ac:dyDescent="0.3">
      <c r="A27" s="1">
        <v>46177</v>
      </c>
      <c r="B27" s="65" t="s">
        <v>3547</v>
      </c>
      <c r="C27" s="65" t="s">
        <v>429</v>
      </c>
      <c r="D27" s="65" t="s">
        <v>29</v>
      </c>
      <c r="E27" s="65" t="s">
        <v>430</v>
      </c>
      <c r="F27" s="65" t="s">
        <v>31</v>
      </c>
      <c r="G27" s="65" t="s">
        <v>431</v>
      </c>
      <c r="H27" s="65" t="s">
        <v>432</v>
      </c>
      <c r="I27" s="65" t="s">
        <v>433</v>
      </c>
      <c r="J27" s="65" t="s">
        <v>434</v>
      </c>
      <c r="K27" s="65" t="s">
        <v>435</v>
      </c>
      <c r="L27" s="65" t="s">
        <v>37</v>
      </c>
      <c r="M27" s="65" t="s">
        <v>436</v>
      </c>
      <c r="N27" s="65" t="s">
        <v>437</v>
      </c>
      <c r="O27" s="65" t="s">
        <v>432</v>
      </c>
      <c r="P27" s="65" t="s">
        <v>438</v>
      </c>
      <c r="Q27" s="65" t="s">
        <v>101</v>
      </c>
      <c r="R27">
        <v>1</v>
      </c>
      <c r="S27" s="65" t="s">
        <v>70</v>
      </c>
      <c r="T27" s="65" t="s">
        <v>43</v>
      </c>
      <c r="U27" s="65" t="s">
        <v>44</v>
      </c>
      <c r="V27" s="65" t="s">
        <v>71</v>
      </c>
      <c r="W27" s="65" t="s">
        <v>184</v>
      </c>
      <c r="X27">
        <v>186.44</v>
      </c>
      <c r="Y27" s="65" t="s">
        <v>47</v>
      </c>
      <c r="Z27" s="65" t="s">
        <v>48</v>
      </c>
      <c r="AA27" s="65" t="s">
        <v>73</v>
      </c>
      <c r="AB27">
        <v>992903716</v>
      </c>
      <c r="AC27" s="65" t="s">
        <v>439</v>
      </c>
      <c r="AD27">
        <v>50</v>
      </c>
    </row>
    <row r="28" spans="1:30" x14ac:dyDescent="0.3">
      <c r="A28" s="1">
        <v>46178</v>
      </c>
      <c r="B28" s="65" t="s">
        <v>3547</v>
      </c>
      <c r="C28" s="65" t="s">
        <v>497</v>
      </c>
      <c r="D28" s="65" t="s">
        <v>29</v>
      </c>
      <c r="E28" s="65" t="s">
        <v>498</v>
      </c>
      <c r="F28" s="65" t="s">
        <v>31</v>
      </c>
      <c r="G28" s="65" t="s">
        <v>499</v>
      </c>
      <c r="H28" s="65" t="s">
        <v>500</v>
      </c>
      <c r="I28" s="65" t="s">
        <v>501</v>
      </c>
      <c r="J28" s="65" t="s">
        <v>2024</v>
      </c>
      <c r="K28" s="65" t="s">
        <v>2025</v>
      </c>
      <c r="L28" s="65" t="s">
        <v>37</v>
      </c>
      <c r="M28" s="65" t="s">
        <v>503</v>
      </c>
      <c r="N28" s="65" t="s">
        <v>504</v>
      </c>
      <c r="O28" s="65" t="s">
        <v>500</v>
      </c>
      <c r="P28" s="65" t="s">
        <v>505</v>
      </c>
      <c r="Q28" s="65" t="s">
        <v>101</v>
      </c>
      <c r="R28">
        <v>1</v>
      </c>
      <c r="S28" s="65" t="s">
        <v>42</v>
      </c>
      <c r="T28" s="65" t="s">
        <v>43</v>
      </c>
      <c r="U28" s="65" t="s">
        <v>44</v>
      </c>
      <c r="V28" s="65" t="s">
        <v>45</v>
      </c>
      <c r="W28" s="65" t="s">
        <v>46</v>
      </c>
      <c r="X28">
        <v>186.44</v>
      </c>
      <c r="Y28" s="65" t="s">
        <v>47</v>
      </c>
      <c r="Z28" s="65" t="s">
        <v>48</v>
      </c>
      <c r="AA28" s="65" t="s">
        <v>49</v>
      </c>
      <c r="AB28">
        <v>986661693</v>
      </c>
      <c r="AC28" s="65" t="s">
        <v>2029</v>
      </c>
      <c r="AD28">
        <v>50</v>
      </c>
    </row>
    <row r="29" spans="1:30" x14ac:dyDescent="0.3">
      <c r="A29" s="1">
        <v>46178</v>
      </c>
      <c r="B29" s="65" t="s">
        <v>3547</v>
      </c>
      <c r="C29" s="65" t="s">
        <v>472</v>
      </c>
      <c r="D29" s="65" t="s">
        <v>399</v>
      </c>
      <c r="E29" s="65" t="s">
        <v>473</v>
      </c>
      <c r="F29" s="65" t="s">
        <v>400</v>
      </c>
      <c r="G29" s="65" t="s">
        <v>474</v>
      </c>
      <c r="H29" s="65" t="s">
        <v>475</v>
      </c>
      <c r="I29" s="65" t="s">
        <v>476</v>
      </c>
      <c r="J29" s="65" t="s">
        <v>477</v>
      </c>
      <c r="K29" s="65" t="s">
        <v>209</v>
      </c>
      <c r="L29" s="65" t="s">
        <v>400</v>
      </c>
      <c r="M29" s="65" t="s">
        <v>478</v>
      </c>
      <c r="N29" s="65" t="s">
        <v>479</v>
      </c>
      <c r="O29" s="65" t="s">
        <v>475</v>
      </c>
      <c r="P29" s="65" t="s">
        <v>480</v>
      </c>
      <c r="Q29" s="65" t="s">
        <v>481</v>
      </c>
      <c r="R29">
        <v>2</v>
      </c>
      <c r="S29" s="65" t="s">
        <v>42</v>
      </c>
      <c r="T29" s="65" t="s">
        <v>43</v>
      </c>
      <c r="U29" s="65" t="s">
        <v>44</v>
      </c>
      <c r="V29" s="65" t="s">
        <v>45</v>
      </c>
      <c r="W29" s="65" t="s">
        <v>46</v>
      </c>
      <c r="X29">
        <v>-203.39</v>
      </c>
      <c r="Y29" s="65" t="s">
        <v>61</v>
      </c>
      <c r="Z29" s="65" t="s">
        <v>48</v>
      </c>
      <c r="AA29" s="65" t="s">
        <v>49</v>
      </c>
      <c r="AB29">
        <v>982536223</v>
      </c>
      <c r="AC29" s="65" t="s">
        <v>482</v>
      </c>
    </row>
    <row r="30" spans="1:30" x14ac:dyDescent="0.3">
      <c r="A30" s="1">
        <v>46178</v>
      </c>
      <c r="B30" s="65" t="s">
        <v>3547</v>
      </c>
      <c r="C30" s="65" t="s">
        <v>483</v>
      </c>
      <c r="D30" s="65" t="s">
        <v>268</v>
      </c>
      <c r="E30" s="65" t="s">
        <v>484</v>
      </c>
      <c r="F30" s="65" t="s">
        <v>31</v>
      </c>
      <c r="G30" s="65" t="s">
        <v>485</v>
      </c>
      <c r="H30" s="65" t="s">
        <v>475</v>
      </c>
      <c r="I30" s="65" t="s">
        <v>476</v>
      </c>
      <c r="J30" s="65" t="s">
        <v>477</v>
      </c>
      <c r="K30" s="65" t="s">
        <v>209</v>
      </c>
      <c r="L30" s="65" t="s">
        <v>37</v>
      </c>
      <c r="M30" s="65" t="s">
        <v>478</v>
      </c>
      <c r="N30" s="65" t="s">
        <v>479</v>
      </c>
      <c r="O30" s="65" t="s">
        <v>486</v>
      </c>
      <c r="P30" s="65" t="s">
        <v>487</v>
      </c>
      <c r="Q30" s="65" t="s">
        <v>481</v>
      </c>
      <c r="R30">
        <v>2</v>
      </c>
      <c r="S30" s="65" t="s">
        <v>42</v>
      </c>
      <c r="T30" s="65" t="s">
        <v>43</v>
      </c>
      <c r="U30" s="65" t="s">
        <v>44</v>
      </c>
      <c r="V30" s="65" t="s">
        <v>45</v>
      </c>
      <c r="W30" s="65" t="s">
        <v>46</v>
      </c>
      <c r="X30">
        <v>203.39</v>
      </c>
      <c r="Y30" s="65" t="s">
        <v>61</v>
      </c>
      <c r="Z30" s="65" t="s">
        <v>48</v>
      </c>
      <c r="AA30" s="65" t="s">
        <v>49</v>
      </c>
      <c r="AB30">
        <v>982536223</v>
      </c>
      <c r="AC30" s="65" t="s">
        <v>482</v>
      </c>
    </row>
    <row r="31" spans="1:30" x14ac:dyDescent="0.3">
      <c r="A31" s="1">
        <v>46178</v>
      </c>
      <c r="B31" s="65" t="s">
        <v>3547</v>
      </c>
      <c r="C31" s="65" t="s">
        <v>472</v>
      </c>
      <c r="D31" s="65" t="s">
        <v>29</v>
      </c>
      <c r="E31" s="65" t="s">
        <v>473</v>
      </c>
      <c r="F31" s="65" t="s">
        <v>400</v>
      </c>
      <c r="G31" s="65" t="s">
        <v>488</v>
      </c>
      <c r="H31" s="65" t="s">
        <v>475</v>
      </c>
      <c r="I31" s="65" t="s">
        <v>476</v>
      </c>
      <c r="J31" s="65" t="s">
        <v>477</v>
      </c>
      <c r="K31" s="65" t="s">
        <v>209</v>
      </c>
      <c r="L31" s="65" t="s">
        <v>400</v>
      </c>
      <c r="M31" s="65" t="s">
        <v>478</v>
      </c>
      <c r="N31" s="65" t="s">
        <v>479</v>
      </c>
      <c r="O31" s="65" t="s">
        <v>475</v>
      </c>
      <c r="P31" s="65" t="s">
        <v>480</v>
      </c>
      <c r="Q31" s="65" t="s">
        <v>481</v>
      </c>
      <c r="R31">
        <v>2</v>
      </c>
      <c r="S31" s="65" t="s">
        <v>42</v>
      </c>
      <c r="T31" s="65" t="s">
        <v>43</v>
      </c>
      <c r="U31" s="65" t="s">
        <v>44</v>
      </c>
      <c r="V31" s="65" t="s">
        <v>45</v>
      </c>
      <c r="W31" s="65" t="s">
        <v>46</v>
      </c>
      <c r="X31">
        <v>203.39</v>
      </c>
      <c r="Y31" s="65" t="s">
        <v>61</v>
      </c>
      <c r="Z31" s="65" t="s">
        <v>48</v>
      </c>
      <c r="AA31" s="65" t="s">
        <v>49</v>
      </c>
      <c r="AB31">
        <v>982536223</v>
      </c>
      <c r="AC31" s="65" t="s">
        <v>482</v>
      </c>
    </row>
    <row r="32" spans="1:30" x14ac:dyDescent="0.3">
      <c r="A32" s="1">
        <v>46178</v>
      </c>
      <c r="B32" s="65" t="s">
        <v>3547</v>
      </c>
      <c r="C32" s="65" t="s">
        <v>506</v>
      </c>
      <c r="D32" s="65" t="s">
        <v>268</v>
      </c>
      <c r="E32" s="65" t="s">
        <v>507</v>
      </c>
      <c r="F32" s="65" t="s">
        <v>31</v>
      </c>
      <c r="G32" s="65" t="s">
        <v>508</v>
      </c>
      <c r="H32" s="65" t="s">
        <v>509</v>
      </c>
      <c r="I32" s="65" t="s">
        <v>510</v>
      </c>
      <c r="J32" s="65"/>
      <c r="K32" s="65"/>
      <c r="L32" s="65" t="s">
        <v>37</v>
      </c>
      <c r="M32" s="65" t="s">
        <v>511</v>
      </c>
      <c r="N32" s="65" t="s">
        <v>512</v>
      </c>
      <c r="O32" s="65" t="s">
        <v>486</v>
      </c>
      <c r="P32" s="65" t="s">
        <v>513</v>
      </c>
      <c r="Q32" s="65" t="s">
        <v>481</v>
      </c>
      <c r="R32">
        <v>2</v>
      </c>
      <c r="S32" s="65" t="s">
        <v>42</v>
      </c>
      <c r="T32" s="65" t="s">
        <v>43</v>
      </c>
      <c r="U32" s="65" t="s">
        <v>44</v>
      </c>
      <c r="V32" s="65" t="s">
        <v>45</v>
      </c>
      <c r="W32" s="65" t="s">
        <v>46</v>
      </c>
      <c r="X32">
        <v>203.39</v>
      </c>
      <c r="Y32" s="65" t="s">
        <v>61</v>
      </c>
      <c r="Z32" s="65" t="s">
        <v>48</v>
      </c>
      <c r="AA32" s="65" t="s">
        <v>49</v>
      </c>
      <c r="AC32" s="65"/>
    </row>
    <row r="33" spans="1:30" x14ac:dyDescent="0.3">
      <c r="A33" s="1">
        <v>46179</v>
      </c>
      <c r="B33" s="65" t="s">
        <v>3547</v>
      </c>
      <c r="C33" s="65" t="s">
        <v>440</v>
      </c>
      <c r="D33" s="65" t="s">
        <v>29</v>
      </c>
      <c r="E33" s="65" t="s">
        <v>441</v>
      </c>
      <c r="F33" s="65" t="s">
        <v>31</v>
      </c>
      <c r="G33" s="65" t="s">
        <v>442</v>
      </c>
      <c r="H33" s="65" t="s">
        <v>443</v>
      </c>
      <c r="I33" s="65" t="s">
        <v>444</v>
      </c>
      <c r="J33" s="65" t="s">
        <v>434</v>
      </c>
      <c r="K33" s="65" t="s">
        <v>435</v>
      </c>
      <c r="L33" s="65" t="s">
        <v>37</v>
      </c>
      <c r="M33" s="65" t="s">
        <v>445</v>
      </c>
      <c r="N33" s="65" t="s">
        <v>446</v>
      </c>
      <c r="O33" s="65" t="s">
        <v>443</v>
      </c>
      <c r="P33" s="65" t="s">
        <v>447</v>
      </c>
      <c r="Q33" s="65" t="s">
        <v>41</v>
      </c>
      <c r="R33">
        <v>1</v>
      </c>
      <c r="S33" s="65" t="s">
        <v>70</v>
      </c>
      <c r="T33" s="65" t="s">
        <v>43</v>
      </c>
      <c r="U33" s="65" t="s">
        <v>44</v>
      </c>
      <c r="V33" s="65" t="s">
        <v>71</v>
      </c>
      <c r="W33" s="65" t="s">
        <v>184</v>
      </c>
      <c r="X33">
        <v>186.44</v>
      </c>
      <c r="Y33" s="65" t="s">
        <v>47</v>
      </c>
      <c r="Z33" s="65" t="s">
        <v>48</v>
      </c>
      <c r="AA33" s="65" t="s">
        <v>73</v>
      </c>
      <c r="AB33">
        <v>992903716</v>
      </c>
      <c r="AC33" s="65" t="s">
        <v>439</v>
      </c>
      <c r="AD33">
        <v>50</v>
      </c>
    </row>
    <row r="34" spans="1:30" x14ac:dyDescent="0.3">
      <c r="A34" s="1">
        <v>46179</v>
      </c>
      <c r="B34" s="65" t="s">
        <v>3547</v>
      </c>
      <c r="C34" s="65" t="s">
        <v>623</v>
      </c>
      <c r="D34" s="65" t="s">
        <v>29</v>
      </c>
      <c r="E34" s="65" t="s">
        <v>624</v>
      </c>
      <c r="F34" s="65" t="s">
        <v>31</v>
      </c>
      <c r="G34" s="65" t="s">
        <v>625</v>
      </c>
      <c r="H34" s="65" t="s">
        <v>626</v>
      </c>
      <c r="I34" s="65" t="s">
        <v>627</v>
      </c>
      <c r="J34" s="65" t="s">
        <v>628</v>
      </c>
      <c r="K34" s="65" t="s">
        <v>629</v>
      </c>
      <c r="L34" s="65" t="s">
        <v>37</v>
      </c>
      <c r="M34" s="65" t="s">
        <v>630</v>
      </c>
      <c r="N34" s="65" t="s">
        <v>631</v>
      </c>
      <c r="O34" s="65" t="s">
        <v>626</v>
      </c>
      <c r="P34" s="65" t="s">
        <v>632</v>
      </c>
      <c r="Q34" s="65" t="s">
        <v>130</v>
      </c>
      <c r="R34">
        <v>1</v>
      </c>
      <c r="S34" s="65" t="s">
        <v>42</v>
      </c>
      <c r="T34" s="65" t="s">
        <v>43</v>
      </c>
      <c r="U34" s="65" t="s">
        <v>44</v>
      </c>
      <c r="V34" s="65" t="s">
        <v>45</v>
      </c>
      <c r="W34" s="65" t="s">
        <v>60</v>
      </c>
      <c r="X34">
        <v>152.54</v>
      </c>
      <c r="Y34" s="65" t="s">
        <v>47</v>
      </c>
      <c r="Z34" s="65" t="s">
        <v>48</v>
      </c>
      <c r="AA34" s="65" t="s">
        <v>49</v>
      </c>
      <c r="AB34">
        <v>978789268</v>
      </c>
      <c r="AC34" s="65" t="s">
        <v>633</v>
      </c>
      <c r="AD34">
        <v>30</v>
      </c>
    </row>
    <row r="35" spans="1:30" x14ac:dyDescent="0.3">
      <c r="A35" s="1">
        <v>46179</v>
      </c>
      <c r="B35" s="65" t="s">
        <v>3547</v>
      </c>
      <c r="C35" s="65" t="s">
        <v>646</v>
      </c>
      <c r="D35" s="65" t="s">
        <v>29</v>
      </c>
      <c r="E35" s="65" t="s">
        <v>647</v>
      </c>
      <c r="F35" s="65" t="s">
        <v>31</v>
      </c>
      <c r="G35" s="65" t="s">
        <v>648</v>
      </c>
      <c r="H35" s="65" t="s">
        <v>649</v>
      </c>
      <c r="I35" s="65" t="s">
        <v>650</v>
      </c>
      <c r="J35" s="65" t="s">
        <v>651</v>
      </c>
      <c r="K35" s="65" t="s">
        <v>652</v>
      </c>
      <c r="L35" s="65" t="s">
        <v>37</v>
      </c>
      <c r="M35" s="65" t="s">
        <v>653</v>
      </c>
      <c r="N35" s="65" t="s">
        <v>654</v>
      </c>
      <c r="O35" s="65" t="s">
        <v>649</v>
      </c>
      <c r="P35" s="65" t="s">
        <v>655</v>
      </c>
      <c r="Q35" s="65" t="s">
        <v>159</v>
      </c>
      <c r="R35">
        <v>1</v>
      </c>
      <c r="S35" s="65" t="s">
        <v>42</v>
      </c>
      <c r="T35" s="65" t="s">
        <v>43</v>
      </c>
      <c r="U35" s="65" t="s">
        <v>44</v>
      </c>
      <c r="V35" s="65" t="s">
        <v>45</v>
      </c>
      <c r="W35" s="65" t="s">
        <v>60</v>
      </c>
      <c r="X35">
        <v>135.59</v>
      </c>
      <c r="Y35" s="65" t="s">
        <v>47</v>
      </c>
      <c r="Z35" s="65" t="s">
        <v>48</v>
      </c>
      <c r="AA35" s="65" t="s">
        <v>49</v>
      </c>
      <c r="AB35">
        <v>987552890</v>
      </c>
      <c r="AC35" s="65" t="s">
        <v>656</v>
      </c>
      <c r="AD35">
        <v>30</v>
      </c>
    </row>
    <row r="36" spans="1:30" x14ac:dyDescent="0.3">
      <c r="A36" s="1">
        <v>46179</v>
      </c>
      <c r="B36" s="65" t="s">
        <v>3547</v>
      </c>
      <c r="C36" s="65" t="s">
        <v>646</v>
      </c>
      <c r="D36" s="65" t="s">
        <v>29</v>
      </c>
      <c r="E36" s="65" t="s">
        <v>647</v>
      </c>
      <c r="F36" s="65" t="s">
        <v>31</v>
      </c>
      <c r="G36" s="65" t="s">
        <v>648</v>
      </c>
      <c r="H36" s="65" t="s">
        <v>649</v>
      </c>
      <c r="I36" s="65" t="s">
        <v>650</v>
      </c>
      <c r="J36" s="65" t="s">
        <v>651</v>
      </c>
      <c r="K36" s="65" t="s">
        <v>652</v>
      </c>
      <c r="L36" s="65" t="s">
        <v>37</v>
      </c>
      <c r="M36" s="65" t="s">
        <v>653</v>
      </c>
      <c r="N36" s="65" t="s">
        <v>654</v>
      </c>
      <c r="O36" s="65" t="s">
        <v>649</v>
      </c>
      <c r="P36" s="65" t="s">
        <v>655</v>
      </c>
      <c r="Q36" s="65" t="s">
        <v>158</v>
      </c>
      <c r="R36">
        <v>1</v>
      </c>
      <c r="S36" s="65" t="s">
        <v>42</v>
      </c>
      <c r="T36" s="65" t="s">
        <v>43</v>
      </c>
      <c r="U36" s="65" t="s">
        <v>44</v>
      </c>
      <c r="V36" s="65" t="s">
        <v>45</v>
      </c>
      <c r="W36" s="65" t="s">
        <v>60</v>
      </c>
      <c r="X36">
        <v>152.54</v>
      </c>
      <c r="Y36" s="65" t="s">
        <v>47</v>
      </c>
      <c r="Z36" s="65" t="s">
        <v>48</v>
      </c>
      <c r="AA36" s="65" t="s">
        <v>49</v>
      </c>
      <c r="AB36">
        <v>987552890</v>
      </c>
      <c r="AC36" s="65" t="s">
        <v>656</v>
      </c>
      <c r="AD36">
        <v>30</v>
      </c>
    </row>
    <row r="37" spans="1:30" x14ac:dyDescent="0.3">
      <c r="A37" s="1">
        <v>46179</v>
      </c>
      <c r="B37" s="65" t="s">
        <v>3547</v>
      </c>
      <c r="C37" s="65" t="s">
        <v>646</v>
      </c>
      <c r="D37" s="65" t="s">
        <v>29</v>
      </c>
      <c r="E37" s="65" t="s">
        <v>647</v>
      </c>
      <c r="F37" s="65" t="s">
        <v>31</v>
      </c>
      <c r="G37" s="65" t="s">
        <v>648</v>
      </c>
      <c r="H37" s="65" t="s">
        <v>649</v>
      </c>
      <c r="I37" s="65" t="s">
        <v>650</v>
      </c>
      <c r="J37" s="65" t="s">
        <v>651</v>
      </c>
      <c r="K37" s="65" t="s">
        <v>652</v>
      </c>
      <c r="L37" s="65" t="s">
        <v>37</v>
      </c>
      <c r="M37" s="65" t="s">
        <v>653</v>
      </c>
      <c r="N37" s="65" t="s">
        <v>654</v>
      </c>
      <c r="O37" s="65" t="s">
        <v>649</v>
      </c>
      <c r="P37" s="65" t="s">
        <v>655</v>
      </c>
      <c r="Q37" s="65" t="s">
        <v>101</v>
      </c>
      <c r="R37">
        <v>1</v>
      </c>
      <c r="S37" s="65" t="s">
        <v>42</v>
      </c>
      <c r="T37" s="65" t="s">
        <v>43</v>
      </c>
      <c r="U37" s="65" t="s">
        <v>44</v>
      </c>
      <c r="V37" s="65" t="s">
        <v>45</v>
      </c>
      <c r="W37" s="65" t="s">
        <v>60</v>
      </c>
      <c r="X37">
        <v>186.44</v>
      </c>
      <c r="Y37" s="65" t="s">
        <v>47</v>
      </c>
      <c r="Z37" s="65" t="s">
        <v>48</v>
      </c>
      <c r="AA37" s="65" t="s">
        <v>49</v>
      </c>
      <c r="AB37">
        <v>987552890</v>
      </c>
      <c r="AC37" s="65" t="s">
        <v>656</v>
      </c>
      <c r="AD37">
        <v>50</v>
      </c>
    </row>
    <row r="38" spans="1:30" x14ac:dyDescent="0.3">
      <c r="A38" s="1">
        <v>46179</v>
      </c>
      <c r="B38" s="65" t="s">
        <v>3547</v>
      </c>
      <c r="C38" s="65" t="s">
        <v>710</v>
      </c>
      <c r="D38" s="65" t="s">
        <v>29</v>
      </c>
      <c r="E38" s="65" t="s">
        <v>711</v>
      </c>
      <c r="F38" s="65" t="s">
        <v>31</v>
      </c>
      <c r="G38" s="65" t="s">
        <v>712</v>
      </c>
      <c r="H38" s="65" t="s">
        <v>713</v>
      </c>
      <c r="I38" s="65" t="s">
        <v>714</v>
      </c>
      <c r="J38" s="65" t="s">
        <v>715</v>
      </c>
      <c r="K38" s="65" t="s">
        <v>716</v>
      </c>
      <c r="L38" s="65" t="s">
        <v>37</v>
      </c>
      <c r="M38" s="65" t="s">
        <v>717</v>
      </c>
      <c r="N38" s="65" t="s">
        <v>718</v>
      </c>
      <c r="O38" s="65" t="s">
        <v>713</v>
      </c>
      <c r="P38" s="65" t="s">
        <v>719</v>
      </c>
      <c r="Q38" s="65" t="s">
        <v>101</v>
      </c>
      <c r="R38">
        <v>1</v>
      </c>
      <c r="S38" s="65" t="s">
        <v>70</v>
      </c>
      <c r="T38" s="65" t="s">
        <v>43</v>
      </c>
      <c r="U38" s="65" t="s">
        <v>44</v>
      </c>
      <c r="V38" s="65" t="s">
        <v>71</v>
      </c>
      <c r="W38" s="65" t="s">
        <v>184</v>
      </c>
      <c r="X38">
        <v>186.44</v>
      </c>
      <c r="Y38" s="65" t="s">
        <v>47</v>
      </c>
      <c r="Z38" s="65" t="s">
        <v>48</v>
      </c>
      <c r="AA38" s="65" t="s">
        <v>73</v>
      </c>
      <c r="AB38">
        <v>955356636</v>
      </c>
      <c r="AC38" s="65" t="s">
        <v>720</v>
      </c>
      <c r="AD38">
        <v>50</v>
      </c>
    </row>
    <row r="39" spans="1:30" x14ac:dyDescent="0.3">
      <c r="A39" s="1">
        <v>46182</v>
      </c>
      <c r="B39" s="65" t="s">
        <v>3547</v>
      </c>
      <c r="C39" s="65" t="s">
        <v>295</v>
      </c>
      <c r="D39" s="65" t="s">
        <v>268</v>
      </c>
      <c r="E39" s="65" t="s">
        <v>296</v>
      </c>
      <c r="F39" s="65" t="s">
        <v>31</v>
      </c>
      <c r="G39" s="65" t="s">
        <v>297</v>
      </c>
      <c r="H39" s="65" t="s">
        <v>298</v>
      </c>
      <c r="I39" s="65" t="s">
        <v>299</v>
      </c>
      <c r="J39" s="65" t="s">
        <v>273</v>
      </c>
      <c r="K39" s="65" t="s">
        <v>274</v>
      </c>
      <c r="L39" s="65" t="s">
        <v>37</v>
      </c>
      <c r="M39" s="65" t="s">
        <v>300</v>
      </c>
      <c r="N39" s="65" t="s">
        <v>301</v>
      </c>
      <c r="O39" s="65" t="s">
        <v>277</v>
      </c>
      <c r="P39" s="65" t="s">
        <v>302</v>
      </c>
      <c r="Q39" s="65" t="s">
        <v>288</v>
      </c>
      <c r="R39">
        <v>1</v>
      </c>
      <c r="S39" s="65" t="s">
        <v>42</v>
      </c>
      <c r="T39" s="65" t="s">
        <v>43</v>
      </c>
      <c r="U39" s="65" t="s">
        <v>44</v>
      </c>
      <c r="V39" s="65" t="s">
        <v>45</v>
      </c>
      <c r="W39" s="65" t="s">
        <v>46</v>
      </c>
      <c r="X39">
        <v>0</v>
      </c>
      <c r="Y39" s="65" t="s">
        <v>289</v>
      </c>
      <c r="Z39" s="65" t="s">
        <v>48</v>
      </c>
      <c r="AA39" s="65" t="s">
        <v>49</v>
      </c>
      <c r="AB39">
        <v>950133748</v>
      </c>
      <c r="AC39" s="65" t="s">
        <v>279</v>
      </c>
    </row>
    <row r="40" spans="1:30" x14ac:dyDescent="0.3">
      <c r="A40" s="1">
        <v>46182</v>
      </c>
      <c r="B40" s="65" t="s">
        <v>3547</v>
      </c>
      <c r="C40" s="65" t="s">
        <v>295</v>
      </c>
      <c r="D40" s="65" t="s">
        <v>268</v>
      </c>
      <c r="E40" s="65" t="s">
        <v>296</v>
      </c>
      <c r="F40" s="65" t="s">
        <v>31</v>
      </c>
      <c r="G40" s="65" t="s">
        <v>297</v>
      </c>
      <c r="H40" s="65" t="s">
        <v>298</v>
      </c>
      <c r="I40" s="65" t="s">
        <v>299</v>
      </c>
      <c r="J40" s="65" t="s">
        <v>273</v>
      </c>
      <c r="K40" s="65" t="s">
        <v>274</v>
      </c>
      <c r="L40" s="65" t="s">
        <v>37</v>
      </c>
      <c r="M40" s="65" t="s">
        <v>300</v>
      </c>
      <c r="N40" s="65" t="s">
        <v>301</v>
      </c>
      <c r="O40" s="65" t="s">
        <v>277</v>
      </c>
      <c r="P40" s="65" t="s">
        <v>302</v>
      </c>
      <c r="Q40" s="65" t="s">
        <v>290</v>
      </c>
      <c r="R40">
        <v>1</v>
      </c>
      <c r="S40" s="65" t="s">
        <v>42</v>
      </c>
      <c r="T40" s="65" t="s">
        <v>43</v>
      </c>
      <c r="U40" s="65" t="s">
        <v>44</v>
      </c>
      <c r="V40" s="65" t="s">
        <v>45</v>
      </c>
      <c r="W40" s="65" t="s">
        <v>46</v>
      </c>
      <c r="X40">
        <v>1050.8499999999999</v>
      </c>
      <c r="Y40" s="65" t="s">
        <v>289</v>
      </c>
      <c r="Z40" s="65" t="s">
        <v>48</v>
      </c>
      <c r="AA40" s="65" t="s">
        <v>49</v>
      </c>
      <c r="AB40">
        <v>950133748</v>
      </c>
      <c r="AC40" s="65" t="s">
        <v>279</v>
      </c>
    </row>
    <row r="41" spans="1:30" x14ac:dyDescent="0.3">
      <c r="A41" s="1">
        <v>46182</v>
      </c>
      <c r="B41" s="65" t="s">
        <v>3547</v>
      </c>
      <c r="C41" s="65" t="s">
        <v>303</v>
      </c>
      <c r="D41" s="65" t="s">
        <v>268</v>
      </c>
      <c r="E41" s="65" t="s">
        <v>304</v>
      </c>
      <c r="F41" s="65" t="s">
        <v>31</v>
      </c>
      <c r="G41" s="65" t="s">
        <v>305</v>
      </c>
      <c r="H41" s="65" t="s">
        <v>306</v>
      </c>
      <c r="I41" s="65" t="s">
        <v>307</v>
      </c>
      <c r="J41" s="65" t="s">
        <v>273</v>
      </c>
      <c r="K41" s="65" t="s">
        <v>274</v>
      </c>
      <c r="L41" s="65" t="s">
        <v>37</v>
      </c>
      <c r="M41" s="65" t="s">
        <v>308</v>
      </c>
      <c r="N41" s="65" t="s">
        <v>309</v>
      </c>
      <c r="O41" s="65" t="s">
        <v>277</v>
      </c>
      <c r="P41" s="65" t="s">
        <v>310</v>
      </c>
      <c r="Q41" s="65" t="s">
        <v>288</v>
      </c>
      <c r="R41">
        <v>1</v>
      </c>
      <c r="S41" s="65" t="s">
        <v>42</v>
      </c>
      <c r="T41" s="65" t="s">
        <v>43</v>
      </c>
      <c r="U41" s="65" t="s">
        <v>44</v>
      </c>
      <c r="V41" s="65" t="s">
        <v>45</v>
      </c>
      <c r="W41" s="65" t="s">
        <v>46</v>
      </c>
      <c r="X41">
        <v>0</v>
      </c>
      <c r="Y41" s="65" t="s">
        <v>289</v>
      </c>
      <c r="Z41" s="65" t="s">
        <v>48</v>
      </c>
      <c r="AA41" s="65" t="s">
        <v>49</v>
      </c>
      <c r="AB41">
        <v>950133748</v>
      </c>
      <c r="AC41" s="65" t="s">
        <v>279</v>
      </c>
    </row>
    <row r="42" spans="1:30" x14ac:dyDescent="0.3">
      <c r="A42" s="1">
        <v>46182</v>
      </c>
      <c r="B42" s="65" t="s">
        <v>3547</v>
      </c>
      <c r="C42" s="65" t="s">
        <v>303</v>
      </c>
      <c r="D42" s="65" t="s">
        <v>268</v>
      </c>
      <c r="E42" s="65" t="s">
        <v>304</v>
      </c>
      <c r="F42" s="65" t="s">
        <v>31</v>
      </c>
      <c r="G42" s="65" t="s">
        <v>305</v>
      </c>
      <c r="H42" s="65" t="s">
        <v>306</v>
      </c>
      <c r="I42" s="65" t="s">
        <v>307</v>
      </c>
      <c r="J42" s="65" t="s">
        <v>273</v>
      </c>
      <c r="K42" s="65" t="s">
        <v>274</v>
      </c>
      <c r="L42" s="65" t="s">
        <v>37</v>
      </c>
      <c r="M42" s="65" t="s">
        <v>308</v>
      </c>
      <c r="N42" s="65" t="s">
        <v>309</v>
      </c>
      <c r="O42" s="65" t="s">
        <v>277</v>
      </c>
      <c r="P42" s="65" t="s">
        <v>310</v>
      </c>
      <c r="Q42" s="65" t="s">
        <v>290</v>
      </c>
      <c r="R42">
        <v>1</v>
      </c>
      <c r="S42" s="65" t="s">
        <v>42</v>
      </c>
      <c r="T42" s="65" t="s">
        <v>43</v>
      </c>
      <c r="U42" s="65" t="s">
        <v>44</v>
      </c>
      <c r="V42" s="65" t="s">
        <v>45</v>
      </c>
      <c r="W42" s="65" t="s">
        <v>46</v>
      </c>
      <c r="X42">
        <v>1050.8499999999999</v>
      </c>
      <c r="Y42" s="65" t="s">
        <v>289</v>
      </c>
      <c r="Z42" s="65" t="s">
        <v>48</v>
      </c>
      <c r="AA42" s="65" t="s">
        <v>49</v>
      </c>
      <c r="AB42">
        <v>950133748</v>
      </c>
      <c r="AC42" s="65" t="s">
        <v>279</v>
      </c>
    </row>
    <row r="43" spans="1:30" x14ac:dyDescent="0.3">
      <c r="A43" s="1">
        <v>46182</v>
      </c>
      <c r="B43" s="65" t="s">
        <v>3547</v>
      </c>
      <c r="C43" s="65" t="s">
        <v>757</v>
      </c>
      <c r="D43" s="65" t="s">
        <v>268</v>
      </c>
      <c r="E43" s="65" t="s">
        <v>758</v>
      </c>
      <c r="F43" s="65" t="s">
        <v>31</v>
      </c>
      <c r="G43" s="65" t="s">
        <v>759</v>
      </c>
      <c r="H43" s="65" t="s">
        <v>760</v>
      </c>
      <c r="I43" s="65" t="s">
        <v>761</v>
      </c>
      <c r="J43" s="65" t="s">
        <v>762</v>
      </c>
      <c r="K43" s="65" t="s">
        <v>209</v>
      </c>
      <c r="L43" s="65" t="s">
        <v>37</v>
      </c>
      <c r="M43" s="65" t="s">
        <v>763</v>
      </c>
      <c r="N43" s="65" t="s">
        <v>764</v>
      </c>
      <c r="O43" s="65" t="s">
        <v>765</v>
      </c>
      <c r="P43" s="65" t="s">
        <v>766</v>
      </c>
      <c r="Q43" s="65" t="s">
        <v>767</v>
      </c>
      <c r="R43">
        <v>1</v>
      </c>
      <c r="S43" s="65" t="s">
        <v>42</v>
      </c>
      <c r="T43" s="65" t="s">
        <v>43</v>
      </c>
      <c r="U43" s="65" t="s">
        <v>44</v>
      </c>
      <c r="V43" s="65" t="s">
        <v>45</v>
      </c>
      <c r="W43" s="65" t="s">
        <v>60</v>
      </c>
      <c r="X43">
        <v>169.49</v>
      </c>
      <c r="Y43" s="65" t="s">
        <v>61</v>
      </c>
      <c r="Z43" s="65" t="s">
        <v>48</v>
      </c>
      <c r="AA43" s="65" t="s">
        <v>49</v>
      </c>
      <c r="AB43">
        <v>969791876</v>
      </c>
      <c r="AC43" s="65" t="s">
        <v>768</v>
      </c>
    </row>
    <row r="44" spans="1:30" x14ac:dyDescent="0.3">
      <c r="A44" s="1">
        <v>46182</v>
      </c>
      <c r="B44" s="65" t="s">
        <v>3547</v>
      </c>
      <c r="C44" s="65" t="s">
        <v>769</v>
      </c>
      <c r="D44" s="65" t="s">
        <v>29</v>
      </c>
      <c r="E44" s="65" t="s">
        <v>770</v>
      </c>
      <c r="F44" s="65" t="s">
        <v>31</v>
      </c>
      <c r="G44" s="65" t="s">
        <v>771</v>
      </c>
      <c r="H44" s="65" t="s">
        <v>772</v>
      </c>
      <c r="I44" s="65" t="s">
        <v>773</v>
      </c>
      <c r="J44" s="65" t="s">
        <v>774</v>
      </c>
      <c r="K44" s="65" t="s">
        <v>775</v>
      </c>
      <c r="L44" s="65" t="s">
        <v>37</v>
      </c>
      <c r="M44" s="65" t="s">
        <v>776</v>
      </c>
      <c r="N44" s="65" t="s">
        <v>777</v>
      </c>
      <c r="O44" s="65" t="s">
        <v>772</v>
      </c>
      <c r="P44" s="65" t="s">
        <v>778</v>
      </c>
      <c r="Q44" s="65" t="s">
        <v>641</v>
      </c>
      <c r="R44">
        <v>1</v>
      </c>
      <c r="S44" s="65" t="s">
        <v>42</v>
      </c>
      <c r="T44" s="65" t="s">
        <v>43</v>
      </c>
      <c r="U44" s="65" t="s">
        <v>44</v>
      </c>
      <c r="V44" s="65" t="s">
        <v>45</v>
      </c>
      <c r="W44" s="65" t="s">
        <v>46</v>
      </c>
      <c r="X44">
        <v>84.75</v>
      </c>
      <c r="Y44" s="65" t="s">
        <v>47</v>
      </c>
      <c r="Z44" s="65" t="s">
        <v>48</v>
      </c>
      <c r="AA44" s="65" t="s">
        <v>49</v>
      </c>
      <c r="AC44" s="65"/>
    </row>
    <row r="45" spans="1:30" x14ac:dyDescent="0.3">
      <c r="A45" s="1">
        <v>46182</v>
      </c>
      <c r="B45" s="65" t="s">
        <v>3547</v>
      </c>
      <c r="C45" s="65" t="s">
        <v>779</v>
      </c>
      <c r="D45" s="65" t="s">
        <v>29</v>
      </c>
      <c r="E45" s="65" t="s">
        <v>780</v>
      </c>
      <c r="F45" s="65" t="s">
        <v>31</v>
      </c>
      <c r="G45" s="65" t="s">
        <v>781</v>
      </c>
      <c r="H45" s="65" t="s">
        <v>782</v>
      </c>
      <c r="I45" s="65" t="s">
        <v>783</v>
      </c>
      <c r="J45" s="65" t="s">
        <v>774</v>
      </c>
      <c r="K45" s="65" t="s">
        <v>775</v>
      </c>
      <c r="L45" s="65" t="s">
        <v>37</v>
      </c>
      <c r="M45" s="65" t="s">
        <v>784</v>
      </c>
      <c r="N45" s="65" t="s">
        <v>785</v>
      </c>
      <c r="O45" s="65" t="s">
        <v>782</v>
      </c>
      <c r="P45" s="65" t="s">
        <v>786</v>
      </c>
      <c r="Q45" s="65" t="s">
        <v>641</v>
      </c>
      <c r="R45">
        <v>1</v>
      </c>
      <c r="S45" s="65" t="s">
        <v>42</v>
      </c>
      <c r="T45" s="65" t="s">
        <v>43</v>
      </c>
      <c r="U45" s="65" t="s">
        <v>44</v>
      </c>
      <c r="V45" s="65" t="s">
        <v>45</v>
      </c>
      <c r="W45" s="65" t="s">
        <v>60</v>
      </c>
      <c r="X45">
        <v>84.75</v>
      </c>
      <c r="Y45" s="65" t="s">
        <v>47</v>
      </c>
      <c r="Z45" s="65" t="s">
        <v>48</v>
      </c>
      <c r="AA45" s="65" t="s">
        <v>49</v>
      </c>
      <c r="AC45" s="65"/>
    </row>
    <row r="46" spans="1:30" x14ac:dyDescent="0.3">
      <c r="A46" s="1">
        <v>46182</v>
      </c>
      <c r="B46" s="65" t="s">
        <v>3547</v>
      </c>
      <c r="C46" s="65" t="s">
        <v>787</v>
      </c>
      <c r="D46" s="65" t="s">
        <v>29</v>
      </c>
      <c r="E46" s="65" t="s">
        <v>788</v>
      </c>
      <c r="F46" s="65" t="s">
        <v>31</v>
      </c>
      <c r="G46" s="65" t="s">
        <v>789</v>
      </c>
      <c r="H46" s="65" t="s">
        <v>790</v>
      </c>
      <c r="I46" s="65" t="s">
        <v>791</v>
      </c>
      <c r="J46" s="65" t="s">
        <v>774</v>
      </c>
      <c r="K46" s="65" t="s">
        <v>775</v>
      </c>
      <c r="L46" s="65" t="s">
        <v>37</v>
      </c>
      <c r="M46" s="65" t="s">
        <v>792</v>
      </c>
      <c r="N46" s="65" t="s">
        <v>793</v>
      </c>
      <c r="O46" s="65" t="s">
        <v>790</v>
      </c>
      <c r="P46" s="65" t="s">
        <v>794</v>
      </c>
      <c r="Q46" s="65" t="s">
        <v>641</v>
      </c>
      <c r="R46">
        <v>1</v>
      </c>
      <c r="S46" s="65" t="s">
        <v>42</v>
      </c>
      <c r="T46" s="65" t="s">
        <v>43</v>
      </c>
      <c r="U46" s="65" t="s">
        <v>44</v>
      </c>
      <c r="V46" s="65" t="s">
        <v>45</v>
      </c>
      <c r="W46" s="65" t="s">
        <v>46</v>
      </c>
      <c r="X46">
        <v>84.75</v>
      </c>
      <c r="Y46" s="65" t="s">
        <v>47</v>
      </c>
      <c r="Z46" s="65" t="s">
        <v>48</v>
      </c>
      <c r="AA46" s="65" t="s">
        <v>49</v>
      </c>
      <c r="AC46" s="65"/>
    </row>
    <row r="47" spans="1:30" x14ac:dyDescent="0.3">
      <c r="A47" s="1">
        <v>46182</v>
      </c>
      <c r="B47" s="65" t="s">
        <v>3547</v>
      </c>
      <c r="C47" s="65" t="s">
        <v>795</v>
      </c>
      <c r="D47" s="65" t="s">
        <v>268</v>
      </c>
      <c r="E47" s="65" t="s">
        <v>796</v>
      </c>
      <c r="F47" s="65" t="s">
        <v>31</v>
      </c>
      <c r="G47" s="65" t="s">
        <v>797</v>
      </c>
      <c r="H47" s="65" t="s">
        <v>772</v>
      </c>
      <c r="I47" s="65" t="s">
        <v>773</v>
      </c>
      <c r="J47" s="65" t="s">
        <v>774</v>
      </c>
      <c r="K47" s="65" t="s">
        <v>775</v>
      </c>
      <c r="L47" s="65" t="s">
        <v>37</v>
      </c>
      <c r="M47" s="65" t="s">
        <v>776</v>
      </c>
      <c r="N47" s="65" t="s">
        <v>777</v>
      </c>
      <c r="O47" s="65" t="s">
        <v>798</v>
      </c>
      <c r="P47" s="65" t="s">
        <v>799</v>
      </c>
      <c r="Q47" s="65" t="s">
        <v>288</v>
      </c>
      <c r="R47">
        <v>1</v>
      </c>
      <c r="S47" s="65" t="s">
        <v>42</v>
      </c>
      <c r="T47" s="65" t="s">
        <v>43</v>
      </c>
      <c r="U47" s="65" t="s">
        <v>44</v>
      </c>
      <c r="V47" s="65" t="s">
        <v>45</v>
      </c>
      <c r="W47" s="65" t="s">
        <v>46</v>
      </c>
      <c r="X47">
        <v>0</v>
      </c>
      <c r="Y47" s="65" t="s">
        <v>289</v>
      </c>
      <c r="Z47" s="65" t="s">
        <v>48</v>
      </c>
      <c r="AA47" s="65" t="s">
        <v>49</v>
      </c>
      <c r="AC47" s="65"/>
    </row>
    <row r="48" spans="1:30" x14ac:dyDescent="0.3">
      <c r="A48" s="1">
        <v>46182</v>
      </c>
      <c r="B48" s="65" t="s">
        <v>3547</v>
      </c>
      <c r="C48" s="65" t="s">
        <v>795</v>
      </c>
      <c r="D48" s="65" t="s">
        <v>268</v>
      </c>
      <c r="E48" s="65" t="s">
        <v>796</v>
      </c>
      <c r="F48" s="65" t="s">
        <v>31</v>
      </c>
      <c r="G48" s="65" t="s">
        <v>797</v>
      </c>
      <c r="H48" s="65" t="s">
        <v>772</v>
      </c>
      <c r="I48" s="65" t="s">
        <v>773</v>
      </c>
      <c r="J48" s="65" t="s">
        <v>774</v>
      </c>
      <c r="K48" s="65" t="s">
        <v>775</v>
      </c>
      <c r="L48" s="65" t="s">
        <v>37</v>
      </c>
      <c r="M48" s="65" t="s">
        <v>776</v>
      </c>
      <c r="N48" s="65" t="s">
        <v>777</v>
      </c>
      <c r="O48" s="65" t="s">
        <v>798</v>
      </c>
      <c r="P48" s="65" t="s">
        <v>799</v>
      </c>
      <c r="Q48" s="65" t="s">
        <v>290</v>
      </c>
      <c r="R48">
        <v>1</v>
      </c>
      <c r="S48" s="65" t="s">
        <v>42</v>
      </c>
      <c r="T48" s="65" t="s">
        <v>43</v>
      </c>
      <c r="U48" s="65" t="s">
        <v>44</v>
      </c>
      <c r="V48" s="65" t="s">
        <v>45</v>
      </c>
      <c r="W48" s="65" t="s">
        <v>46</v>
      </c>
      <c r="X48">
        <v>1525.42</v>
      </c>
      <c r="Y48" s="65" t="s">
        <v>289</v>
      </c>
      <c r="Z48" s="65" t="s">
        <v>48</v>
      </c>
      <c r="AA48" s="65" t="s">
        <v>49</v>
      </c>
      <c r="AC48" s="65"/>
    </row>
    <row r="49" spans="1:30" x14ac:dyDescent="0.3">
      <c r="A49" s="1">
        <v>46182</v>
      </c>
      <c r="B49" s="65" t="s">
        <v>3547</v>
      </c>
      <c r="C49" s="65" t="s">
        <v>800</v>
      </c>
      <c r="D49" s="65" t="s">
        <v>268</v>
      </c>
      <c r="E49" s="65" t="s">
        <v>801</v>
      </c>
      <c r="F49" s="65" t="s">
        <v>31</v>
      </c>
      <c r="G49" s="65" t="s">
        <v>802</v>
      </c>
      <c r="H49" s="65" t="s">
        <v>790</v>
      </c>
      <c r="I49" s="65" t="s">
        <v>791</v>
      </c>
      <c r="J49" s="65" t="s">
        <v>774</v>
      </c>
      <c r="K49" s="65" t="s">
        <v>775</v>
      </c>
      <c r="L49" s="65" t="s">
        <v>37</v>
      </c>
      <c r="M49" s="65" t="s">
        <v>792</v>
      </c>
      <c r="N49" s="65" t="s">
        <v>793</v>
      </c>
      <c r="O49" s="65" t="s">
        <v>798</v>
      </c>
      <c r="P49" s="65" t="s">
        <v>803</v>
      </c>
      <c r="Q49" s="65" t="s">
        <v>288</v>
      </c>
      <c r="R49">
        <v>1</v>
      </c>
      <c r="S49" s="65" t="s">
        <v>42</v>
      </c>
      <c r="T49" s="65" t="s">
        <v>43</v>
      </c>
      <c r="U49" s="65" t="s">
        <v>44</v>
      </c>
      <c r="V49" s="65" t="s">
        <v>45</v>
      </c>
      <c r="W49" s="65" t="s">
        <v>46</v>
      </c>
      <c r="X49">
        <v>0</v>
      </c>
      <c r="Y49" s="65" t="s">
        <v>289</v>
      </c>
      <c r="Z49" s="65" t="s">
        <v>48</v>
      </c>
      <c r="AA49" s="65" t="s">
        <v>49</v>
      </c>
      <c r="AC49" s="65"/>
    </row>
    <row r="50" spans="1:30" x14ac:dyDescent="0.3">
      <c r="A50" s="1">
        <v>46182</v>
      </c>
      <c r="B50" s="65" t="s">
        <v>3547</v>
      </c>
      <c r="C50" s="65" t="s">
        <v>800</v>
      </c>
      <c r="D50" s="65" t="s">
        <v>268</v>
      </c>
      <c r="E50" s="65" t="s">
        <v>801</v>
      </c>
      <c r="F50" s="65" t="s">
        <v>31</v>
      </c>
      <c r="G50" s="65" t="s">
        <v>802</v>
      </c>
      <c r="H50" s="65" t="s">
        <v>790</v>
      </c>
      <c r="I50" s="65" t="s">
        <v>791</v>
      </c>
      <c r="J50" s="65" t="s">
        <v>774</v>
      </c>
      <c r="K50" s="65" t="s">
        <v>775</v>
      </c>
      <c r="L50" s="65" t="s">
        <v>37</v>
      </c>
      <c r="M50" s="65" t="s">
        <v>792</v>
      </c>
      <c r="N50" s="65" t="s">
        <v>793</v>
      </c>
      <c r="O50" s="65" t="s">
        <v>798</v>
      </c>
      <c r="P50" s="65" t="s">
        <v>803</v>
      </c>
      <c r="Q50" s="65" t="s">
        <v>290</v>
      </c>
      <c r="R50">
        <v>1</v>
      </c>
      <c r="S50" s="65" t="s">
        <v>42</v>
      </c>
      <c r="T50" s="65" t="s">
        <v>43</v>
      </c>
      <c r="U50" s="65" t="s">
        <v>44</v>
      </c>
      <c r="V50" s="65" t="s">
        <v>45</v>
      </c>
      <c r="W50" s="65" t="s">
        <v>46</v>
      </c>
      <c r="X50">
        <v>1525.42</v>
      </c>
      <c r="Y50" s="65" t="s">
        <v>289</v>
      </c>
      <c r="Z50" s="65" t="s">
        <v>48</v>
      </c>
      <c r="AA50" s="65" t="s">
        <v>49</v>
      </c>
      <c r="AC50" s="65"/>
    </row>
    <row r="51" spans="1:30" x14ac:dyDescent="0.3">
      <c r="A51" s="1">
        <v>46182</v>
      </c>
      <c r="B51" s="65" t="s">
        <v>3547</v>
      </c>
      <c r="C51" s="65" t="s">
        <v>804</v>
      </c>
      <c r="D51" s="65" t="s">
        <v>268</v>
      </c>
      <c r="E51" s="65" t="s">
        <v>805</v>
      </c>
      <c r="F51" s="65" t="s">
        <v>31</v>
      </c>
      <c r="G51" s="65" t="s">
        <v>806</v>
      </c>
      <c r="H51" s="65" t="s">
        <v>782</v>
      </c>
      <c r="I51" s="65" t="s">
        <v>783</v>
      </c>
      <c r="J51" s="65" t="s">
        <v>774</v>
      </c>
      <c r="K51" s="65" t="s">
        <v>775</v>
      </c>
      <c r="L51" s="65" t="s">
        <v>37</v>
      </c>
      <c r="M51" s="65" t="s">
        <v>784</v>
      </c>
      <c r="N51" s="65" t="s">
        <v>785</v>
      </c>
      <c r="O51" s="65" t="s">
        <v>798</v>
      </c>
      <c r="P51" s="65" t="s">
        <v>807</v>
      </c>
      <c r="Q51" s="65" t="s">
        <v>288</v>
      </c>
      <c r="R51">
        <v>1</v>
      </c>
      <c r="S51" s="65" t="s">
        <v>42</v>
      </c>
      <c r="T51" s="65" t="s">
        <v>43</v>
      </c>
      <c r="U51" s="65" t="s">
        <v>44</v>
      </c>
      <c r="V51" s="65" t="s">
        <v>45</v>
      </c>
      <c r="W51" s="65" t="s">
        <v>60</v>
      </c>
      <c r="X51">
        <v>0</v>
      </c>
      <c r="Y51" s="65" t="s">
        <v>289</v>
      </c>
      <c r="Z51" s="65" t="s">
        <v>48</v>
      </c>
      <c r="AA51" s="65" t="s">
        <v>49</v>
      </c>
      <c r="AC51" s="65"/>
    </row>
    <row r="52" spans="1:30" x14ac:dyDescent="0.3">
      <c r="A52" s="1">
        <v>46182</v>
      </c>
      <c r="B52" s="65" t="s">
        <v>3547</v>
      </c>
      <c r="C52" s="65" t="s">
        <v>804</v>
      </c>
      <c r="D52" s="65" t="s">
        <v>268</v>
      </c>
      <c r="E52" s="65" t="s">
        <v>805</v>
      </c>
      <c r="F52" s="65" t="s">
        <v>31</v>
      </c>
      <c r="G52" s="65" t="s">
        <v>806</v>
      </c>
      <c r="H52" s="65" t="s">
        <v>782</v>
      </c>
      <c r="I52" s="65" t="s">
        <v>783</v>
      </c>
      <c r="J52" s="65" t="s">
        <v>774</v>
      </c>
      <c r="K52" s="65" t="s">
        <v>775</v>
      </c>
      <c r="L52" s="65" t="s">
        <v>37</v>
      </c>
      <c r="M52" s="65" t="s">
        <v>784</v>
      </c>
      <c r="N52" s="65" t="s">
        <v>785</v>
      </c>
      <c r="O52" s="65" t="s">
        <v>798</v>
      </c>
      <c r="P52" s="65" t="s">
        <v>807</v>
      </c>
      <c r="Q52" s="65" t="s">
        <v>290</v>
      </c>
      <c r="R52">
        <v>1</v>
      </c>
      <c r="S52" s="65" t="s">
        <v>42</v>
      </c>
      <c r="T52" s="65" t="s">
        <v>43</v>
      </c>
      <c r="U52" s="65" t="s">
        <v>44</v>
      </c>
      <c r="V52" s="65" t="s">
        <v>45</v>
      </c>
      <c r="W52" s="65" t="s">
        <v>60</v>
      </c>
      <c r="X52">
        <v>762.71</v>
      </c>
      <c r="Y52" s="65" t="s">
        <v>289</v>
      </c>
      <c r="Z52" s="65" t="s">
        <v>48</v>
      </c>
      <c r="AA52" s="65" t="s">
        <v>49</v>
      </c>
      <c r="AC52" s="65"/>
    </row>
    <row r="53" spans="1:30" x14ac:dyDescent="0.3">
      <c r="A53" s="1">
        <v>46183</v>
      </c>
      <c r="B53" s="65" t="s">
        <v>3547</v>
      </c>
      <c r="C53" s="65" t="s">
        <v>721</v>
      </c>
      <c r="D53" s="65" t="s">
        <v>29</v>
      </c>
      <c r="E53" s="65" t="s">
        <v>722</v>
      </c>
      <c r="F53" s="65" t="s">
        <v>31</v>
      </c>
      <c r="G53" s="65" t="s">
        <v>723</v>
      </c>
      <c r="H53" s="65" t="s">
        <v>179</v>
      </c>
      <c r="I53" s="65" t="s">
        <v>180</v>
      </c>
      <c r="J53" s="65" t="s">
        <v>715</v>
      </c>
      <c r="K53" s="65" t="s">
        <v>716</v>
      </c>
      <c r="L53" s="65" t="s">
        <v>37</v>
      </c>
      <c r="M53" s="65" t="s">
        <v>181</v>
      </c>
      <c r="N53" s="65" t="s">
        <v>182</v>
      </c>
      <c r="O53" s="65" t="s">
        <v>179</v>
      </c>
      <c r="P53" s="65" t="s">
        <v>724</v>
      </c>
      <c r="Q53" s="65" t="s">
        <v>90</v>
      </c>
      <c r="R53">
        <v>1</v>
      </c>
      <c r="S53" s="65" t="s">
        <v>70</v>
      </c>
      <c r="T53" s="65" t="s">
        <v>43</v>
      </c>
      <c r="U53" s="65" t="s">
        <v>44</v>
      </c>
      <c r="V53" s="65" t="s">
        <v>71</v>
      </c>
      <c r="W53" s="65" t="s">
        <v>72</v>
      </c>
      <c r="X53">
        <v>135.59</v>
      </c>
      <c r="Y53" s="65" t="s">
        <v>47</v>
      </c>
      <c r="Z53" s="65" t="s">
        <v>48</v>
      </c>
      <c r="AA53" s="65" t="s">
        <v>73</v>
      </c>
      <c r="AB53">
        <v>955356636</v>
      </c>
      <c r="AC53" s="65" t="s">
        <v>720</v>
      </c>
      <c r="AD53">
        <v>30</v>
      </c>
    </row>
    <row r="54" spans="1:30" x14ac:dyDescent="0.3">
      <c r="A54" s="1">
        <v>46184</v>
      </c>
      <c r="B54" s="65" t="s">
        <v>3547</v>
      </c>
      <c r="C54" s="65" t="s">
        <v>808</v>
      </c>
      <c r="D54" s="65" t="s">
        <v>29</v>
      </c>
      <c r="E54" s="65" t="s">
        <v>809</v>
      </c>
      <c r="F54" s="65" t="s">
        <v>31</v>
      </c>
      <c r="G54" s="65" t="s">
        <v>810</v>
      </c>
      <c r="H54" s="65" t="s">
        <v>811</v>
      </c>
      <c r="I54" s="65" t="s">
        <v>812</v>
      </c>
      <c r="J54" s="65" t="s">
        <v>774</v>
      </c>
      <c r="K54" s="65" t="s">
        <v>775</v>
      </c>
      <c r="L54" s="65" t="s">
        <v>37</v>
      </c>
      <c r="M54" s="65" t="s">
        <v>813</v>
      </c>
      <c r="N54" s="65" t="s">
        <v>814</v>
      </c>
      <c r="O54" s="65" t="s">
        <v>811</v>
      </c>
      <c r="P54" s="65" t="s">
        <v>815</v>
      </c>
      <c r="Q54" s="65" t="s">
        <v>641</v>
      </c>
      <c r="R54">
        <v>1</v>
      </c>
      <c r="S54" s="65" t="s">
        <v>42</v>
      </c>
      <c r="T54" s="65" t="s">
        <v>43</v>
      </c>
      <c r="U54" s="65" t="s">
        <v>44</v>
      </c>
      <c r="V54" s="65" t="s">
        <v>45</v>
      </c>
      <c r="W54" s="65" t="s">
        <v>46</v>
      </c>
      <c r="X54">
        <v>84.75</v>
      </c>
      <c r="Y54" s="65" t="s">
        <v>47</v>
      </c>
      <c r="Z54" s="65" t="s">
        <v>48</v>
      </c>
      <c r="AA54" s="65" t="s">
        <v>49</v>
      </c>
      <c r="AC54" s="65"/>
    </row>
    <row r="55" spans="1:30" x14ac:dyDescent="0.3">
      <c r="A55" s="1">
        <v>46184</v>
      </c>
      <c r="B55" s="65" t="s">
        <v>3547</v>
      </c>
      <c r="C55" s="65" t="s">
        <v>816</v>
      </c>
      <c r="D55" s="65" t="s">
        <v>29</v>
      </c>
      <c r="E55" s="65" t="s">
        <v>817</v>
      </c>
      <c r="F55" s="65" t="s">
        <v>31</v>
      </c>
      <c r="G55" s="65" t="s">
        <v>818</v>
      </c>
      <c r="H55" s="65" t="s">
        <v>819</v>
      </c>
      <c r="I55" s="65" t="s">
        <v>820</v>
      </c>
      <c r="J55" s="65" t="s">
        <v>774</v>
      </c>
      <c r="K55" s="65" t="s">
        <v>775</v>
      </c>
      <c r="L55" s="65" t="s">
        <v>37</v>
      </c>
      <c r="M55" s="65" t="s">
        <v>821</v>
      </c>
      <c r="N55" s="65" t="s">
        <v>822</v>
      </c>
      <c r="O55" s="65" t="s">
        <v>819</v>
      </c>
      <c r="P55" s="65" t="s">
        <v>823</v>
      </c>
      <c r="Q55" s="65" t="s">
        <v>641</v>
      </c>
      <c r="R55">
        <v>1</v>
      </c>
      <c r="S55" s="65" t="s">
        <v>42</v>
      </c>
      <c r="T55" s="65" t="s">
        <v>43</v>
      </c>
      <c r="U55" s="65" t="s">
        <v>44</v>
      </c>
      <c r="V55" s="65" t="s">
        <v>45</v>
      </c>
      <c r="W55" s="65" t="s">
        <v>60</v>
      </c>
      <c r="X55">
        <v>84.75</v>
      </c>
      <c r="Y55" s="65" t="s">
        <v>47</v>
      </c>
      <c r="Z55" s="65" t="s">
        <v>48</v>
      </c>
      <c r="AA55" s="65" t="s">
        <v>49</v>
      </c>
      <c r="AC55" s="65"/>
    </row>
    <row r="56" spans="1:30" x14ac:dyDescent="0.3">
      <c r="A56" s="1">
        <v>46184</v>
      </c>
      <c r="B56" s="65" t="s">
        <v>3547</v>
      </c>
      <c r="C56" s="65" t="s">
        <v>824</v>
      </c>
      <c r="D56" s="65" t="s">
        <v>29</v>
      </c>
      <c r="E56" s="65" t="s">
        <v>825</v>
      </c>
      <c r="F56" s="65" t="s">
        <v>31</v>
      </c>
      <c r="G56" s="65" t="s">
        <v>826</v>
      </c>
      <c r="H56" s="65" t="s">
        <v>819</v>
      </c>
      <c r="I56" s="65" t="s">
        <v>820</v>
      </c>
      <c r="J56" s="65" t="s">
        <v>774</v>
      </c>
      <c r="K56" s="65" t="s">
        <v>775</v>
      </c>
      <c r="L56" s="65" t="s">
        <v>37</v>
      </c>
      <c r="M56" s="65" t="s">
        <v>821</v>
      </c>
      <c r="N56" s="65" t="s">
        <v>822</v>
      </c>
      <c r="O56" s="65" t="s">
        <v>819</v>
      </c>
      <c r="P56" s="65" t="s">
        <v>827</v>
      </c>
      <c r="Q56" s="65" t="s">
        <v>828</v>
      </c>
      <c r="R56">
        <v>1</v>
      </c>
      <c r="S56" s="65" t="s">
        <v>42</v>
      </c>
      <c r="T56" s="65" t="s">
        <v>43</v>
      </c>
      <c r="U56" s="65" t="s">
        <v>44</v>
      </c>
      <c r="V56" s="65" t="s">
        <v>45</v>
      </c>
      <c r="W56" s="65" t="s">
        <v>60</v>
      </c>
      <c r="X56">
        <v>127.12</v>
      </c>
      <c r="Y56" s="65" t="s">
        <v>47</v>
      </c>
      <c r="Z56" s="65" t="s">
        <v>48</v>
      </c>
      <c r="AA56" s="65" t="s">
        <v>49</v>
      </c>
      <c r="AC56" s="65"/>
    </row>
    <row r="57" spans="1:30" x14ac:dyDescent="0.3">
      <c r="A57" s="1">
        <v>46184</v>
      </c>
      <c r="B57" s="65" t="s">
        <v>3547</v>
      </c>
      <c r="C57" s="65" t="s">
        <v>829</v>
      </c>
      <c r="D57" s="65" t="s">
        <v>29</v>
      </c>
      <c r="E57" s="65" t="s">
        <v>830</v>
      </c>
      <c r="F57" s="65" t="s">
        <v>31</v>
      </c>
      <c r="G57" s="65" t="s">
        <v>831</v>
      </c>
      <c r="H57" s="65" t="s">
        <v>819</v>
      </c>
      <c r="I57" s="65" t="s">
        <v>820</v>
      </c>
      <c r="J57" s="65" t="s">
        <v>774</v>
      </c>
      <c r="K57" s="65" t="s">
        <v>775</v>
      </c>
      <c r="L57" s="65" t="s">
        <v>37</v>
      </c>
      <c r="M57" s="65" t="s">
        <v>821</v>
      </c>
      <c r="N57" s="65" t="s">
        <v>822</v>
      </c>
      <c r="O57" s="65" t="s">
        <v>819</v>
      </c>
      <c r="P57" s="65" t="s">
        <v>832</v>
      </c>
      <c r="Q57" s="65" t="s">
        <v>618</v>
      </c>
      <c r="R57">
        <v>1</v>
      </c>
      <c r="S57" s="65" t="s">
        <v>42</v>
      </c>
      <c r="T57" s="65" t="s">
        <v>43</v>
      </c>
      <c r="U57" s="65" t="s">
        <v>44</v>
      </c>
      <c r="V57" s="65" t="s">
        <v>45</v>
      </c>
      <c r="W57" s="65" t="s">
        <v>60</v>
      </c>
      <c r="X57">
        <v>12.71</v>
      </c>
      <c r="Y57" s="65" t="s">
        <v>619</v>
      </c>
      <c r="Z57" s="65" t="s">
        <v>48</v>
      </c>
      <c r="AA57" s="65" t="s">
        <v>49</v>
      </c>
      <c r="AC57" s="65"/>
    </row>
    <row r="58" spans="1:30" x14ac:dyDescent="0.3">
      <c r="A58" s="1">
        <v>46184</v>
      </c>
      <c r="B58" s="65" t="s">
        <v>3547</v>
      </c>
      <c r="C58" s="65" t="s">
        <v>829</v>
      </c>
      <c r="D58" s="65" t="s">
        <v>29</v>
      </c>
      <c r="E58" s="65" t="s">
        <v>830</v>
      </c>
      <c r="F58" s="65" t="s">
        <v>31</v>
      </c>
      <c r="G58" s="65" t="s">
        <v>831</v>
      </c>
      <c r="H58" s="65" t="s">
        <v>819</v>
      </c>
      <c r="I58" s="65" t="s">
        <v>820</v>
      </c>
      <c r="J58" s="65" t="s">
        <v>774</v>
      </c>
      <c r="K58" s="65" t="s">
        <v>775</v>
      </c>
      <c r="L58" s="65" t="s">
        <v>37</v>
      </c>
      <c r="M58" s="65" t="s">
        <v>821</v>
      </c>
      <c r="N58" s="65" t="s">
        <v>822</v>
      </c>
      <c r="O58" s="65" t="s">
        <v>819</v>
      </c>
      <c r="P58" s="65" t="s">
        <v>832</v>
      </c>
      <c r="Q58" s="65" t="s">
        <v>620</v>
      </c>
      <c r="R58">
        <v>1</v>
      </c>
      <c r="S58" s="65" t="s">
        <v>42</v>
      </c>
      <c r="T58" s="65" t="s">
        <v>43</v>
      </c>
      <c r="U58" s="65" t="s">
        <v>44</v>
      </c>
      <c r="V58" s="65" t="s">
        <v>45</v>
      </c>
      <c r="W58" s="65" t="s">
        <v>60</v>
      </c>
      <c r="X58">
        <v>21.19</v>
      </c>
      <c r="Y58" s="65" t="s">
        <v>619</v>
      </c>
      <c r="Z58" s="65" t="s">
        <v>48</v>
      </c>
      <c r="AA58" s="65" t="s">
        <v>49</v>
      </c>
      <c r="AC58" s="65"/>
    </row>
    <row r="59" spans="1:30" x14ac:dyDescent="0.3">
      <c r="A59" s="1">
        <v>46184</v>
      </c>
      <c r="B59" s="65" t="s">
        <v>3547</v>
      </c>
      <c r="C59" s="65" t="s">
        <v>829</v>
      </c>
      <c r="D59" s="65" t="s">
        <v>29</v>
      </c>
      <c r="E59" s="65" t="s">
        <v>830</v>
      </c>
      <c r="F59" s="65" t="s">
        <v>31</v>
      </c>
      <c r="G59" s="65" t="s">
        <v>831</v>
      </c>
      <c r="H59" s="65" t="s">
        <v>819</v>
      </c>
      <c r="I59" s="65" t="s">
        <v>820</v>
      </c>
      <c r="J59" s="65" t="s">
        <v>774</v>
      </c>
      <c r="K59" s="65" t="s">
        <v>775</v>
      </c>
      <c r="L59" s="65" t="s">
        <v>37</v>
      </c>
      <c r="M59" s="65" t="s">
        <v>821</v>
      </c>
      <c r="N59" s="65" t="s">
        <v>822</v>
      </c>
      <c r="O59" s="65" t="s">
        <v>819</v>
      </c>
      <c r="P59" s="65" t="s">
        <v>832</v>
      </c>
      <c r="Q59" s="65" t="s">
        <v>621</v>
      </c>
      <c r="R59">
        <v>1</v>
      </c>
      <c r="S59" s="65" t="s">
        <v>42</v>
      </c>
      <c r="T59" s="65" t="s">
        <v>43</v>
      </c>
      <c r="U59" s="65" t="s">
        <v>44</v>
      </c>
      <c r="V59" s="65" t="s">
        <v>45</v>
      </c>
      <c r="W59" s="65" t="s">
        <v>60</v>
      </c>
      <c r="X59">
        <v>12.71</v>
      </c>
      <c r="Y59" s="65" t="s">
        <v>619</v>
      </c>
      <c r="Z59" s="65" t="s">
        <v>48</v>
      </c>
      <c r="AA59" s="65" t="s">
        <v>49</v>
      </c>
      <c r="AC59" s="65"/>
    </row>
    <row r="60" spans="1:30" x14ac:dyDescent="0.3">
      <c r="A60" s="1">
        <v>46184</v>
      </c>
      <c r="B60" s="65" t="s">
        <v>3547</v>
      </c>
      <c r="C60" s="65" t="s">
        <v>829</v>
      </c>
      <c r="D60" s="65" t="s">
        <v>29</v>
      </c>
      <c r="E60" s="65" t="s">
        <v>830</v>
      </c>
      <c r="F60" s="65" t="s">
        <v>31</v>
      </c>
      <c r="G60" s="65" t="s">
        <v>831</v>
      </c>
      <c r="H60" s="65" t="s">
        <v>819</v>
      </c>
      <c r="I60" s="65" t="s">
        <v>820</v>
      </c>
      <c r="J60" s="65" t="s">
        <v>774</v>
      </c>
      <c r="K60" s="65" t="s">
        <v>775</v>
      </c>
      <c r="L60" s="65" t="s">
        <v>37</v>
      </c>
      <c r="M60" s="65" t="s">
        <v>821</v>
      </c>
      <c r="N60" s="65" t="s">
        <v>822</v>
      </c>
      <c r="O60" s="65" t="s">
        <v>819</v>
      </c>
      <c r="P60" s="65" t="s">
        <v>832</v>
      </c>
      <c r="Q60" s="65" t="s">
        <v>622</v>
      </c>
      <c r="R60">
        <v>1</v>
      </c>
      <c r="S60" s="65" t="s">
        <v>42</v>
      </c>
      <c r="T60" s="65" t="s">
        <v>43</v>
      </c>
      <c r="U60" s="65" t="s">
        <v>44</v>
      </c>
      <c r="V60" s="65" t="s">
        <v>45</v>
      </c>
      <c r="W60" s="65" t="s">
        <v>60</v>
      </c>
      <c r="X60">
        <v>12.71</v>
      </c>
      <c r="Y60" s="65" t="s">
        <v>619</v>
      </c>
      <c r="Z60" s="65" t="s">
        <v>48</v>
      </c>
      <c r="AA60" s="65" t="s">
        <v>49</v>
      </c>
      <c r="AC60" s="65"/>
    </row>
    <row r="61" spans="1:30" x14ac:dyDescent="0.3">
      <c r="A61" s="1">
        <v>46184</v>
      </c>
      <c r="B61" s="65" t="s">
        <v>3547</v>
      </c>
      <c r="C61" s="65" t="s">
        <v>829</v>
      </c>
      <c r="D61" s="65" t="s">
        <v>29</v>
      </c>
      <c r="E61" s="65" t="s">
        <v>830</v>
      </c>
      <c r="F61" s="65" t="s">
        <v>31</v>
      </c>
      <c r="G61" s="65" t="s">
        <v>831</v>
      </c>
      <c r="H61" s="65" t="s">
        <v>819</v>
      </c>
      <c r="I61" s="65" t="s">
        <v>820</v>
      </c>
      <c r="J61" s="65" t="s">
        <v>774</v>
      </c>
      <c r="K61" s="65" t="s">
        <v>775</v>
      </c>
      <c r="L61" s="65" t="s">
        <v>37</v>
      </c>
      <c r="M61" s="65" t="s">
        <v>821</v>
      </c>
      <c r="N61" s="65" t="s">
        <v>822</v>
      </c>
      <c r="O61" s="65" t="s">
        <v>819</v>
      </c>
      <c r="P61" s="65" t="s">
        <v>832</v>
      </c>
      <c r="Q61" s="65" t="s">
        <v>833</v>
      </c>
      <c r="R61">
        <v>1</v>
      </c>
      <c r="S61" s="65" t="s">
        <v>42</v>
      </c>
      <c r="T61" s="65" t="s">
        <v>43</v>
      </c>
      <c r="U61" s="65" t="s">
        <v>44</v>
      </c>
      <c r="V61" s="65" t="s">
        <v>45</v>
      </c>
      <c r="W61" s="65" t="s">
        <v>60</v>
      </c>
      <c r="X61">
        <v>50.85</v>
      </c>
      <c r="Y61" s="65" t="s">
        <v>619</v>
      </c>
      <c r="Z61" s="65" t="s">
        <v>48</v>
      </c>
      <c r="AA61" s="65" t="s">
        <v>49</v>
      </c>
      <c r="AC61" s="65"/>
    </row>
    <row r="62" spans="1:30" x14ac:dyDescent="0.3">
      <c r="A62" s="1">
        <v>46184</v>
      </c>
      <c r="B62" s="65" t="s">
        <v>3547</v>
      </c>
      <c r="C62" s="65" t="s">
        <v>834</v>
      </c>
      <c r="D62" s="65" t="s">
        <v>29</v>
      </c>
      <c r="E62" s="65" t="s">
        <v>835</v>
      </c>
      <c r="F62" s="65" t="s">
        <v>31</v>
      </c>
      <c r="G62" s="65" t="s">
        <v>836</v>
      </c>
      <c r="H62" s="65" t="s">
        <v>837</v>
      </c>
      <c r="I62" s="65" t="s">
        <v>838</v>
      </c>
      <c r="J62" s="65" t="s">
        <v>774</v>
      </c>
      <c r="K62" s="65" t="s">
        <v>775</v>
      </c>
      <c r="L62" s="65" t="s">
        <v>37</v>
      </c>
      <c r="M62" s="65" t="s">
        <v>839</v>
      </c>
      <c r="N62" s="65" t="s">
        <v>840</v>
      </c>
      <c r="O62" s="65" t="s">
        <v>837</v>
      </c>
      <c r="P62" s="65" t="s">
        <v>841</v>
      </c>
      <c r="Q62" s="65" t="s">
        <v>618</v>
      </c>
      <c r="R62">
        <v>1</v>
      </c>
      <c r="S62" s="65" t="s">
        <v>42</v>
      </c>
      <c r="T62" s="65" t="s">
        <v>43</v>
      </c>
      <c r="U62" s="65" t="s">
        <v>44</v>
      </c>
      <c r="V62" s="65" t="s">
        <v>45</v>
      </c>
      <c r="W62" s="65" t="s">
        <v>60</v>
      </c>
      <c r="X62">
        <v>12.71</v>
      </c>
      <c r="Y62" s="65" t="s">
        <v>619</v>
      </c>
      <c r="Z62" s="65" t="s">
        <v>48</v>
      </c>
      <c r="AA62" s="65" t="s">
        <v>49</v>
      </c>
      <c r="AC62" s="65"/>
    </row>
    <row r="63" spans="1:30" x14ac:dyDescent="0.3">
      <c r="A63" s="1">
        <v>46184</v>
      </c>
      <c r="B63" s="65" t="s">
        <v>3547</v>
      </c>
      <c r="C63" s="65" t="s">
        <v>834</v>
      </c>
      <c r="D63" s="65" t="s">
        <v>29</v>
      </c>
      <c r="E63" s="65" t="s">
        <v>835</v>
      </c>
      <c r="F63" s="65" t="s">
        <v>31</v>
      </c>
      <c r="G63" s="65" t="s">
        <v>836</v>
      </c>
      <c r="H63" s="65" t="s">
        <v>837</v>
      </c>
      <c r="I63" s="65" t="s">
        <v>838</v>
      </c>
      <c r="J63" s="65" t="s">
        <v>774</v>
      </c>
      <c r="K63" s="65" t="s">
        <v>775</v>
      </c>
      <c r="L63" s="65" t="s">
        <v>37</v>
      </c>
      <c r="M63" s="65" t="s">
        <v>839</v>
      </c>
      <c r="N63" s="65" t="s">
        <v>840</v>
      </c>
      <c r="O63" s="65" t="s">
        <v>837</v>
      </c>
      <c r="P63" s="65" t="s">
        <v>841</v>
      </c>
      <c r="Q63" s="65" t="s">
        <v>620</v>
      </c>
      <c r="R63">
        <v>1</v>
      </c>
      <c r="S63" s="65" t="s">
        <v>42</v>
      </c>
      <c r="T63" s="65" t="s">
        <v>43</v>
      </c>
      <c r="U63" s="65" t="s">
        <v>44</v>
      </c>
      <c r="V63" s="65" t="s">
        <v>45</v>
      </c>
      <c r="W63" s="65" t="s">
        <v>60</v>
      </c>
      <c r="X63">
        <v>21.19</v>
      </c>
      <c r="Y63" s="65" t="s">
        <v>619</v>
      </c>
      <c r="Z63" s="65" t="s">
        <v>48</v>
      </c>
      <c r="AA63" s="65" t="s">
        <v>49</v>
      </c>
      <c r="AC63" s="65"/>
    </row>
    <row r="64" spans="1:30" x14ac:dyDescent="0.3">
      <c r="A64" s="1">
        <v>46184</v>
      </c>
      <c r="B64" s="65" t="s">
        <v>3547</v>
      </c>
      <c r="C64" s="65" t="s">
        <v>834</v>
      </c>
      <c r="D64" s="65" t="s">
        <v>29</v>
      </c>
      <c r="E64" s="65" t="s">
        <v>835</v>
      </c>
      <c r="F64" s="65" t="s">
        <v>31</v>
      </c>
      <c r="G64" s="65" t="s">
        <v>836</v>
      </c>
      <c r="H64" s="65" t="s">
        <v>837</v>
      </c>
      <c r="I64" s="65" t="s">
        <v>838</v>
      </c>
      <c r="J64" s="65" t="s">
        <v>774</v>
      </c>
      <c r="K64" s="65" t="s">
        <v>775</v>
      </c>
      <c r="L64" s="65" t="s">
        <v>37</v>
      </c>
      <c r="M64" s="65" t="s">
        <v>839</v>
      </c>
      <c r="N64" s="65" t="s">
        <v>840</v>
      </c>
      <c r="O64" s="65" t="s">
        <v>837</v>
      </c>
      <c r="P64" s="65" t="s">
        <v>841</v>
      </c>
      <c r="Q64" s="65" t="s">
        <v>621</v>
      </c>
      <c r="R64">
        <v>1</v>
      </c>
      <c r="S64" s="65" t="s">
        <v>42</v>
      </c>
      <c r="T64" s="65" t="s">
        <v>43</v>
      </c>
      <c r="U64" s="65" t="s">
        <v>44</v>
      </c>
      <c r="V64" s="65" t="s">
        <v>45</v>
      </c>
      <c r="W64" s="65" t="s">
        <v>60</v>
      </c>
      <c r="X64">
        <v>12.71</v>
      </c>
      <c r="Y64" s="65" t="s">
        <v>619</v>
      </c>
      <c r="Z64" s="65" t="s">
        <v>48</v>
      </c>
      <c r="AA64" s="65" t="s">
        <v>49</v>
      </c>
      <c r="AC64" s="65"/>
    </row>
    <row r="65" spans="1:30" x14ac:dyDescent="0.3">
      <c r="A65" s="1">
        <v>46184</v>
      </c>
      <c r="B65" s="65" t="s">
        <v>3547</v>
      </c>
      <c r="C65" s="65" t="s">
        <v>834</v>
      </c>
      <c r="D65" s="65" t="s">
        <v>29</v>
      </c>
      <c r="E65" s="65" t="s">
        <v>835</v>
      </c>
      <c r="F65" s="65" t="s">
        <v>31</v>
      </c>
      <c r="G65" s="65" t="s">
        <v>836</v>
      </c>
      <c r="H65" s="65" t="s">
        <v>837</v>
      </c>
      <c r="I65" s="65" t="s">
        <v>838</v>
      </c>
      <c r="J65" s="65" t="s">
        <v>774</v>
      </c>
      <c r="K65" s="65" t="s">
        <v>775</v>
      </c>
      <c r="L65" s="65" t="s">
        <v>37</v>
      </c>
      <c r="M65" s="65" t="s">
        <v>839</v>
      </c>
      <c r="N65" s="65" t="s">
        <v>840</v>
      </c>
      <c r="O65" s="65" t="s">
        <v>837</v>
      </c>
      <c r="P65" s="65" t="s">
        <v>841</v>
      </c>
      <c r="Q65" s="65" t="s">
        <v>622</v>
      </c>
      <c r="R65">
        <v>1</v>
      </c>
      <c r="S65" s="65" t="s">
        <v>42</v>
      </c>
      <c r="T65" s="65" t="s">
        <v>43</v>
      </c>
      <c r="U65" s="65" t="s">
        <v>44</v>
      </c>
      <c r="V65" s="65" t="s">
        <v>45</v>
      </c>
      <c r="W65" s="65" t="s">
        <v>60</v>
      </c>
      <c r="X65">
        <v>12.71</v>
      </c>
      <c r="Y65" s="65" t="s">
        <v>619</v>
      </c>
      <c r="Z65" s="65" t="s">
        <v>48</v>
      </c>
      <c r="AA65" s="65" t="s">
        <v>49</v>
      </c>
      <c r="AC65" s="65"/>
    </row>
    <row r="66" spans="1:30" x14ac:dyDescent="0.3">
      <c r="A66" s="1">
        <v>46184</v>
      </c>
      <c r="B66" s="65" t="s">
        <v>3547</v>
      </c>
      <c r="C66" s="65" t="s">
        <v>834</v>
      </c>
      <c r="D66" s="65" t="s">
        <v>29</v>
      </c>
      <c r="E66" s="65" t="s">
        <v>835</v>
      </c>
      <c r="F66" s="65" t="s">
        <v>31</v>
      </c>
      <c r="G66" s="65" t="s">
        <v>836</v>
      </c>
      <c r="H66" s="65" t="s">
        <v>837</v>
      </c>
      <c r="I66" s="65" t="s">
        <v>838</v>
      </c>
      <c r="J66" s="65" t="s">
        <v>774</v>
      </c>
      <c r="K66" s="65" t="s">
        <v>775</v>
      </c>
      <c r="L66" s="65" t="s">
        <v>37</v>
      </c>
      <c r="M66" s="65" t="s">
        <v>839</v>
      </c>
      <c r="N66" s="65" t="s">
        <v>840</v>
      </c>
      <c r="O66" s="65" t="s">
        <v>837</v>
      </c>
      <c r="P66" s="65" t="s">
        <v>841</v>
      </c>
      <c r="Q66" s="65" t="s">
        <v>833</v>
      </c>
      <c r="R66">
        <v>1</v>
      </c>
      <c r="S66" s="65" t="s">
        <v>42</v>
      </c>
      <c r="T66" s="65" t="s">
        <v>43</v>
      </c>
      <c r="U66" s="65" t="s">
        <v>44</v>
      </c>
      <c r="V66" s="65" t="s">
        <v>45</v>
      </c>
      <c r="W66" s="65" t="s">
        <v>60</v>
      </c>
      <c r="X66">
        <v>50.85</v>
      </c>
      <c r="Y66" s="65" t="s">
        <v>619</v>
      </c>
      <c r="Z66" s="65" t="s">
        <v>48</v>
      </c>
      <c r="AA66" s="65" t="s">
        <v>49</v>
      </c>
      <c r="AC66" s="65"/>
    </row>
    <row r="67" spans="1:30" x14ac:dyDescent="0.3">
      <c r="A67" s="1">
        <v>46184</v>
      </c>
      <c r="B67" s="65" t="s">
        <v>3547</v>
      </c>
      <c r="C67" s="65" t="s">
        <v>842</v>
      </c>
      <c r="D67" s="65" t="s">
        <v>29</v>
      </c>
      <c r="E67" s="65" t="s">
        <v>843</v>
      </c>
      <c r="F67" s="65" t="s">
        <v>31</v>
      </c>
      <c r="G67" s="65" t="s">
        <v>844</v>
      </c>
      <c r="H67" s="65" t="s">
        <v>837</v>
      </c>
      <c r="I67" s="65" t="s">
        <v>838</v>
      </c>
      <c r="J67" s="65" t="s">
        <v>774</v>
      </c>
      <c r="K67" s="65" t="s">
        <v>775</v>
      </c>
      <c r="L67" s="65" t="s">
        <v>37</v>
      </c>
      <c r="M67" s="65" t="s">
        <v>839</v>
      </c>
      <c r="N67" s="65" t="s">
        <v>840</v>
      </c>
      <c r="O67" s="65" t="s">
        <v>837</v>
      </c>
      <c r="P67" s="65" t="s">
        <v>845</v>
      </c>
      <c r="Q67" s="65" t="s">
        <v>828</v>
      </c>
      <c r="R67">
        <v>1</v>
      </c>
      <c r="S67" s="65" t="s">
        <v>42</v>
      </c>
      <c r="T67" s="65" t="s">
        <v>43</v>
      </c>
      <c r="U67" s="65" t="s">
        <v>44</v>
      </c>
      <c r="V67" s="65" t="s">
        <v>45</v>
      </c>
      <c r="W67" s="65" t="s">
        <v>60</v>
      </c>
      <c r="X67">
        <v>127.12</v>
      </c>
      <c r="Y67" s="65" t="s">
        <v>47</v>
      </c>
      <c r="Z67" s="65" t="s">
        <v>48</v>
      </c>
      <c r="AA67" s="65" t="s">
        <v>49</v>
      </c>
      <c r="AC67" s="65"/>
    </row>
    <row r="68" spans="1:30" x14ac:dyDescent="0.3">
      <c r="A68" s="1">
        <v>46184</v>
      </c>
      <c r="B68" s="65" t="s">
        <v>3547</v>
      </c>
      <c r="C68" s="65" t="s">
        <v>846</v>
      </c>
      <c r="D68" s="65" t="s">
        <v>29</v>
      </c>
      <c r="E68" s="65" t="s">
        <v>847</v>
      </c>
      <c r="F68" s="65" t="s">
        <v>31</v>
      </c>
      <c r="G68" s="65" t="s">
        <v>848</v>
      </c>
      <c r="H68" s="65" t="s">
        <v>849</v>
      </c>
      <c r="I68" s="65" t="s">
        <v>850</v>
      </c>
      <c r="J68" s="65" t="s">
        <v>774</v>
      </c>
      <c r="K68" s="65" t="s">
        <v>775</v>
      </c>
      <c r="L68" s="65" t="s">
        <v>37</v>
      </c>
      <c r="M68" s="65" t="s">
        <v>851</v>
      </c>
      <c r="N68" s="65" t="s">
        <v>852</v>
      </c>
      <c r="O68" s="65" t="s">
        <v>849</v>
      </c>
      <c r="P68" s="65" t="s">
        <v>853</v>
      </c>
      <c r="Q68" s="65" t="s">
        <v>641</v>
      </c>
      <c r="R68">
        <v>1</v>
      </c>
      <c r="S68" s="65" t="s">
        <v>42</v>
      </c>
      <c r="T68" s="65" t="s">
        <v>43</v>
      </c>
      <c r="U68" s="65" t="s">
        <v>44</v>
      </c>
      <c r="V68" s="65" t="s">
        <v>45</v>
      </c>
      <c r="W68" s="65" t="s">
        <v>46</v>
      </c>
      <c r="X68">
        <v>84.75</v>
      </c>
      <c r="Y68" s="65" t="s">
        <v>47</v>
      </c>
      <c r="Z68" s="65" t="s">
        <v>48</v>
      </c>
      <c r="AA68" s="65" t="s">
        <v>49</v>
      </c>
      <c r="AC68" s="65"/>
    </row>
    <row r="69" spans="1:30" x14ac:dyDescent="0.3">
      <c r="A69" s="1">
        <v>46184</v>
      </c>
      <c r="B69" s="65" t="s">
        <v>3547</v>
      </c>
      <c r="C69" s="65" t="s">
        <v>854</v>
      </c>
      <c r="D69" s="65" t="s">
        <v>29</v>
      </c>
      <c r="E69" s="65" t="s">
        <v>855</v>
      </c>
      <c r="F69" s="65" t="s">
        <v>31</v>
      </c>
      <c r="G69" s="65" t="s">
        <v>856</v>
      </c>
      <c r="H69" s="65" t="s">
        <v>837</v>
      </c>
      <c r="I69" s="65" t="s">
        <v>838</v>
      </c>
      <c r="J69" s="65" t="s">
        <v>774</v>
      </c>
      <c r="K69" s="65" t="s">
        <v>775</v>
      </c>
      <c r="L69" s="65" t="s">
        <v>37</v>
      </c>
      <c r="M69" s="65" t="s">
        <v>839</v>
      </c>
      <c r="N69" s="65" t="s">
        <v>840</v>
      </c>
      <c r="O69" s="65" t="s">
        <v>837</v>
      </c>
      <c r="P69" s="65" t="s">
        <v>857</v>
      </c>
      <c r="Q69" s="65" t="s">
        <v>641</v>
      </c>
      <c r="R69">
        <v>1</v>
      </c>
      <c r="S69" s="65" t="s">
        <v>42</v>
      </c>
      <c r="T69" s="65" t="s">
        <v>43</v>
      </c>
      <c r="U69" s="65" t="s">
        <v>44</v>
      </c>
      <c r="V69" s="65" t="s">
        <v>45</v>
      </c>
      <c r="W69" s="65" t="s">
        <v>60</v>
      </c>
      <c r="X69">
        <v>84.75</v>
      </c>
      <c r="Y69" s="65" t="s">
        <v>47</v>
      </c>
      <c r="Z69" s="65" t="s">
        <v>48</v>
      </c>
      <c r="AA69" s="65" t="s">
        <v>49</v>
      </c>
      <c r="AC69" s="65"/>
    </row>
    <row r="70" spans="1:30" x14ac:dyDescent="0.3">
      <c r="A70" s="1">
        <v>46184</v>
      </c>
      <c r="B70" s="65" t="s">
        <v>3547</v>
      </c>
      <c r="C70" s="65" t="s">
        <v>1059</v>
      </c>
      <c r="D70" s="65" t="s">
        <v>29</v>
      </c>
      <c r="E70" s="65" t="s">
        <v>1060</v>
      </c>
      <c r="F70" s="65" t="s">
        <v>31</v>
      </c>
      <c r="G70" s="65" t="s">
        <v>1061</v>
      </c>
      <c r="H70" s="65" t="s">
        <v>1062</v>
      </c>
      <c r="I70" s="65" t="s">
        <v>1063</v>
      </c>
      <c r="J70" s="65" t="s">
        <v>1064</v>
      </c>
      <c r="K70" s="65"/>
      <c r="L70" s="65" t="s">
        <v>37</v>
      </c>
      <c r="M70" s="65" t="s">
        <v>1065</v>
      </c>
      <c r="N70" s="65" t="s">
        <v>1066</v>
      </c>
      <c r="O70" s="65" t="s">
        <v>1062</v>
      </c>
      <c r="P70" s="65" t="s">
        <v>1067</v>
      </c>
      <c r="Q70" s="65" t="s">
        <v>90</v>
      </c>
      <c r="R70">
        <v>1</v>
      </c>
      <c r="S70" s="65" t="s">
        <v>42</v>
      </c>
      <c r="T70" s="65" t="s">
        <v>43</v>
      </c>
      <c r="U70" s="65" t="s">
        <v>44</v>
      </c>
      <c r="V70" s="65" t="s">
        <v>45</v>
      </c>
      <c r="W70" s="65" t="s">
        <v>60</v>
      </c>
      <c r="X70">
        <v>135.59</v>
      </c>
      <c r="Y70" s="65" t="s">
        <v>47</v>
      </c>
      <c r="Z70" s="65" t="s">
        <v>48</v>
      </c>
      <c r="AA70" s="65" t="s">
        <v>49</v>
      </c>
      <c r="AC70" s="65"/>
      <c r="AD70">
        <v>30</v>
      </c>
    </row>
    <row r="71" spans="1:30" x14ac:dyDescent="0.3">
      <c r="A71" s="1">
        <v>46185</v>
      </c>
      <c r="B71" s="65" t="s">
        <v>3547</v>
      </c>
      <c r="C71" s="65" t="s">
        <v>657</v>
      </c>
      <c r="D71" s="65" t="s">
        <v>29</v>
      </c>
      <c r="E71" s="65" t="s">
        <v>658</v>
      </c>
      <c r="F71" s="65" t="s">
        <v>31</v>
      </c>
      <c r="G71" s="65" t="s">
        <v>659</v>
      </c>
      <c r="H71" s="65" t="s">
        <v>660</v>
      </c>
      <c r="I71" s="65" t="s">
        <v>661</v>
      </c>
      <c r="J71" s="65" t="s">
        <v>662</v>
      </c>
      <c r="K71" s="65" t="s">
        <v>36</v>
      </c>
      <c r="L71" s="65" t="s">
        <v>37</v>
      </c>
      <c r="M71" s="65" t="s">
        <v>663</v>
      </c>
      <c r="N71" s="65" t="s">
        <v>664</v>
      </c>
      <c r="O71" s="65" t="s">
        <v>660</v>
      </c>
      <c r="P71" s="65" t="s">
        <v>665</v>
      </c>
      <c r="Q71" s="65" t="s">
        <v>481</v>
      </c>
      <c r="R71">
        <v>2</v>
      </c>
      <c r="S71" s="65" t="s">
        <v>42</v>
      </c>
      <c r="T71" s="65" t="s">
        <v>43</v>
      </c>
      <c r="U71" s="65" t="s">
        <v>44</v>
      </c>
      <c r="V71" s="65" t="s">
        <v>45</v>
      </c>
      <c r="W71" s="65" t="s">
        <v>60</v>
      </c>
      <c r="X71">
        <v>203.39</v>
      </c>
      <c r="Y71" s="65" t="s">
        <v>61</v>
      </c>
      <c r="Z71" s="65" t="s">
        <v>48</v>
      </c>
      <c r="AA71" s="65" t="s">
        <v>49</v>
      </c>
      <c r="AB71">
        <v>997145685</v>
      </c>
      <c r="AC71" s="65" t="s">
        <v>666</v>
      </c>
    </row>
    <row r="72" spans="1:30" x14ac:dyDescent="0.3">
      <c r="A72" s="1">
        <v>46185</v>
      </c>
      <c r="B72" s="65" t="s">
        <v>3547</v>
      </c>
      <c r="C72" s="65" t="s">
        <v>858</v>
      </c>
      <c r="D72" s="65" t="s">
        <v>268</v>
      </c>
      <c r="E72" s="65" t="s">
        <v>859</v>
      </c>
      <c r="F72" s="65" t="s">
        <v>31</v>
      </c>
      <c r="G72" s="65" t="s">
        <v>860</v>
      </c>
      <c r="H72" s="65" t="s">
        <v>837</v>
      </c>
      <c r="I72" s="65" t="s">
        <v>838</v>
      </c>
      <c r="J72" s="65" t="s">
        <v>774</v>
      </c>
      <c r="K72" s="65" t="s">
        <v>775</v>
      </c>
      <c r="L72" s="65" t="s">
        <v>37</v>
      </c>
      <c r="M72" s="65" t="s">
        <v>839</v>
      </c>
      <c r="N72" s="65" t="s">
        <v>840</v>
      </c>
      <c r="O72" s="65" t="s">
        <v>798</v>
      </c>
      <c r="P72" s="65" t="s">
        <v>861</v>
      </c>
      <c r="Q72" s="65" t="s">
        <v>288</v>
      </c>
      <c r="R72">
        <v>1</v>
      </c>
      <c r="S72" s="65" t="s">
        <v>42</v>
      </c>
      <c r="T72" s="65" t="s">
        <v>43</v>
      </c>
      <c r="U72" s="65" t="s">
        <v>44</v>
      </c>
      <c r="V72" s="65" t="s">
        <v>45</v>
      </c>
      <c r="W72" s="65" t="s">
        <v>60</v>
      </c>
      <c r="X72">
        <v>0</v>
      </c>
      <c r="Y72" s="65" t="s">
        <v>289</v>
      </c>
      <c r="Z72" s="65" t="s">
        <v>48</v>
      </c>
      <c r="AA72" s="65" t="s">
        <v>49</v>
      </c>
      <c r="AC72" s="65"/>
    </row>
    <row r="73" spans="1:30" x14ac:dyDescent="0.3">
      <c r="A73" s="1">
        <v>46185</v>
      </c>
      <c r="B73" s="65" t="s">
        <v>3547</v>
      </c>
      <c r="C73" s="65" t="s">
        <v>858</v>
      </c>
      <c r="D73" s="65" t="s">
        <v>268</v>
      </c>
      <c r="E73" s="65" t="s">
        <v>859</v>
      </c>
      <c r="F73" s="65" t="s">
        <v>31</v>
      </c>
      <c r="G73" s="65" t="s">
        <v>860</v>
      </c>
      <c r="H73" s="65" t="s">
        <v>837</v>
      </c>
      <c r="I73" s="65" t="s">
        <v>838</v>
      </c>
      <c r="J73" s="65" t="s">
        <v>774</v>
      </c>
      <c r="K73" s="65" t="s">
        <v>775</v>
      </c>
      <c r="L73" s="65" t="s">
        <v>37</v>
      </c>
      <c r="M73" s="65" t="s">
        <v>839</v>
      </c>
      <c r="N73" s="65" t="s">
        <v>840</v>
      </c>
      <c r="O73" s="65" t="s">
        <v>798</v>
      </c>
      <c r="P73" s="65" t="s">
        <v>861</v>
      </c>
      <c r="Q73" s="65" t="s">
        <v>290</v>
      </c>
      <c r="R73">
        <v>1</v>
      </c>
      <c r="S73" s="65" t="s">
        <v>42</v>
      </c>
      <c r="T73" s="65" t="s">
        <v>43</v>
      </c>
      <c r="U73" s="65" t="s">
        <v>44</v>
      </c>
      <c r="V73" s="65" t="s">
        <v>45</v>
      </c>
      <c r="W73" s="65" t="s">
        <v>60</v>
      </c>
      <c r="X73">
        <v>762.71</v>
      </c>
      <c r="Y73" s="65" t="s">
        <v>289</v>
      </c>
      <c r="Z73" s="65" t="s">
        <v>48</v>
      </c>
      <c r="AA73" s="65" t="s">
        <v>49</v>
      </c>
      <c r="AC73" s="65"/>
    </row>
    <row r="74" spans="1:30" x14ac:dyDescent="0.3">
      <c r="A74" s="1">
        <v>46185</v>
      </c>
      <c r="B74" s="65" t="s">
        <v>3547</v>
      </c>
      <c r="C74" s="65" t="s">
        <v>862</v>
      </c>
      <c r="D74" s="65" t="s">
        <v>268</v>
      </c>
      <c r="E74" s="65" t="s">
        <v>863</v>
      </c>
      <c r="F74" s="65" t="s">
        <v>31</v>
      </c>
      <c r="G74" s="65" t="s">
        <v>864</v>
      </c>
      <c r="H74" s="65" t="s">
        <v>819</v>
      </c>
      <c r="I74" s="65" t="s">
        <v>820</v>
      </c>
      <c r="J74" s="65" t="s">
        <v>774</v>
      </c>
      <c r="K74" s="65" t="s">
        <v>775</v>
      </c>
      <c r="L74" s="65" t="s">
        <v>37</v>
      </c>
      <c r="M74" s="65" t="s">
        <v>821</v>
      </c>
      <c r="N74" s="65" t="s">
        <v>822</v>
      </c>
      <c r="O74" s="65" t="s">
        <v>798</v>
      </c>
      <c r="P74" s="65" t="s">
        <v>865</v>
      </c>
      <c r="Q74" s="65" t="s">
        <v>288</v>
      </c>
      <c r="R74">
        <v>1</v>
      </c>
      <c r="S74" s="65" t="s">
        <v>42</v>
      </c>
      <c r="T74" s="65" t="s">
        <v>43</v>
      </c>
      <c r="U74" s="65" t="s">
        <v>44</v>
      </c>
      <c r="V74" s="65" t="s">
        <v>45</v>
      </c>
      <c r="W74" s="65" t="s">
        <v>60</v>
      </c>
      <c r="X74">
        <v>0</v>
      </c>
      <c r="Y74" s="65" t="s">
        <v>289</v>
      </c>
      <c r="Z74" s="65" t="s">
        <v>48</v>
      </c>
      <c r="AA74" s="65" t="s">
        <v>49</v>
      </c>
      <c r="AC74" s="65"/>
    </row>
    <row r="75" spans="1:30" x14ac:dyDescent="0.3">
      <c r="A75" s="1">
        <v>46185</v>
      </c>
      <c r="B75" s="65" t="s">
        <v>3547</v>
      </c>
      <c r="C75" s="65" t="s">
        <v>862</v>
      </c>
      <c r="D75" s="65" t="s">
        <v>268</v>
      </c>
      <c r="E75" s="65" t="s">
        <v>863</v>
      </c>
      <c r="F75" s="65" t="s">
        <v>31</v>
      </c>
      <c r="G75" s="65" t="s">
        <v>864</v>
      </c>
      <c r="H75" s="65" t="s">
        <v>819</v>
      </c>
      <c r="I75" s="65" t="s">
        <v>820</v>
      </c>
      <c r="J75" s="65" t="s">
        <v>774</v>
      </c>
      <c r="K75" s="65" t="s">
        <v>775</v>
      </c>
      <c r="L75" s="65" t="s">
        <v>37</v>
      </c>
      <c r="M75" s="65" t="s">
        <v>821</v>
      </c>
      <c r="N75" s="65" t="s">
        <v>822</v>
      </c>
      <c r="O75" s="65" t="s">
        <v>798</v>
      </c>
      <c r="P75" s="65" t="s">
        <v>865</v>
      </c>
      <c r="Q75" s="65" t="s">
        <v>290</v>
      </c>
      <c r="R75">
        <v>1</v>
      </c>
      <c r="S75" s="65" t="s">
        <v>42</v>
      </c>
      <c r="T75" s="65" t="s">
        <v>43</v>
      </c>
      <c r="U75" s="65" t="s">
        <v>44</v>
      </c>
      <c r="V75" s="65" t="s">
        <v>45</v>
      </c>
      <c r="W75" s="65" t="s">
        <v>60</v>
      </c>
      <c r="X75">
        <v>1525.42</v>
      </c>
      <c r="Y75" s="65" t="s">
        <v>289</v>
      </c>
      <c r="Z75" s="65" t="s">
        <v>48</v>
      </c>
      <c r="AA75" s="65" t="s">
        <v>49</v>
      </c>
      <c r="AC75" s="65"/>
    </row>
    <row r="76" spans="1:30" x14ac:dyDescent="0.3">
      <c r="A76" s="1">
        <v>46185</v>
      </c>
      <c r="B76" s="65" t="s">
        <v>3547</v>
      </c>
      <c r="C76" s="65" t="s">
        <v>1049</v>
      </c>
      <c r="D76" s="65" t="s">
        <v>29</v>
      </c>
      <c r="E76" s="65" t="s">
        <v>1050</v>
      </c>
      <c r="F76" s="65" t="s">
        <v>31</v>
      </c>
      <c r="G76" s="65" t="s">
        <v>1051</v>
      </c>
      <c r="H76" s="65" t="s">
        <v>1052</v>
      </c>
      <c r="I76" s="65" t="s">
        <v>1053</v>
      </c>
      <c r="J76" s="65" t="s">
        <v>1054</v>
      </c>
      <c r="K76" s="65" t="s">
        <v>262</v>
      </c>
      <c r="L76" s="65" t="s">
        <v>37</v>
      </c>
      <c r="M76" s="65" t="s">
        <v>1055</v>
      </c>
      <c r="N76" s="65" t="s">
        <v>1056</v>
      </c>
      <c r="O76" s="65" t="s">
        <v>1052</v>
      </c>
      <c r="P76" s="65" t="s">
        <v>1057</v>
      </c>
      <c r="Q76" s="65" t="s">
        <v>41</v>
      </c>
      <c r="R76">
        <v>1</v>
      </c>
      <c r="S76" s="65" t="s">
        <v>42</v>
      </c>
      <c r="T76" s="65" t="s">
        <v>43</v>
      </c>
      <c r="U76" s="65" t="s">
        <v>44</v>
      </c>
      <c r="V76" s="65" t="s">
        <v>45</v>
      </c>
      <c r="W76" s="65" t="s">
        <v>60</v>
      </c>
      <c r="X76">
        <v>186.44</v>
      </c>
      <c r="Y76" s="65" t="s">
        <v>47</v>
      </c>
      <c r="Z76" s="65" t="s">
        <v>48</v>
      </c>
      <c r="AA76" s="65" t="s">
        <v>49</v>
      </c>
      <c r="AB76">
        <v>947054605</v>
      </c>
      <c r="AC76" s="65" t="s">
        <v>1058</v>
      </c>
      <c r="AD76">
        <v>50</v>
      </c>
    </row>
    <row r="77" spans="1:30" x14ac:dyDescent="0.3">
      <c r="A77" s="1">
        <v>46185</v>
      </c>
      <c r="B77" s="65" t="s">
        <v>3547</v>
      </c>
      <c r="C77" s="65" t="s">
        <v>1068</v>
      </c>
      <c r="D77" s="65" t="s">
        <v>399</v>
      </c>
      <c r="E77" s="65" t="s">
        <v>1069</v>
      </c>
      <c r="F77" s="65" t="s">
        <v>400</v>
      </c>
      <c r="G77" s="65" t="s">
        <v>1070</v>
      </c>
      <c r="H77" s="65" t="s">
        <v>1071</v>
      </c>
      <c r="I77" s="65" t="s">
        <v>1072</v>
      </c>
      <c r="J77" s="65" t="s">
        <v>1073</v>
      </c>
      <c r="K77" s="65" t="s">
        <v>97</v>
      </c>
      <c r="L77" s="65" t="s">
        <v>400</v>
      </c>
      <c r="M77" s="65" t="s">
        <v>1074</v>
      </c>
      <c r="N77" s="65" t="s">
        <v>1075</v>
      </c>
      <c r="O77" s="65" t="s">
        <v>1071</v>
      </c>
      <c r="P77" s="65" t="s">
        <v>1076</v>
      </c>
      <c r="Q77" s="65" t="s">
        <v>101</v>
      </c>
      <c r="R77">
        <v>1</v>
      </c>
      <c r="S77" s="65" t="s">
        <v>42</v>
      </c>
      <c r="T77" s="65" t="s">
        <v>43</v>
      </c>
      <c r="U77" s="65" t="s">
        <v>44</v>
      </c>
      <c r="V77" s="65" t="s">
        <v>45</v>
      </c>
      <c r="W77" s="65" t="s">
        <v>60</v>
      </c>
      <c r="X77">
        <v>-186.44</v>
      </c>
      <c r="Y77" s="65" t="s">
        <v>47</v>
      </c>
      <c r="Z77" s="65" t="s">
        <v>48</v>
      </c>
      <c r="AA77" s="65" t="s">
        <v>49</v>
      </c>
      <c r="AB77">
        <v>999986041</v>
      </c>
      <c r="AC77" s="65" t="s">
        <v>1077</v>
      </c>
      <c r="AD77">
        <v>50</v>
      </c>
    </row>
    <row r="78" spans="1:30" x14ac:dyDescent="0.3">
      <c r="A78" s="1">
        <v>46185</v>
      </c>
      <c r="B78" s="65" t="s">
        <v>3547</v>
      </c>
      <c r="C78" s="65" t="s">
        <v>1078</v>
      </c>
      <c r="D78" s="65" t="s">
        <v>268</v>
      </c>
      <c r="E78" s="65" t="s">
        <v>1079</v>
      </c>
      <c r="F78" s="65" t="s">
        <v>31</v>
      </c>
      <c r="G78" s="65" t="s">
        <v>1080</v>
      </c>
      <c r="H78" s="65" t="s">
        <v>1071</v>
      </c>
      <c r="I78" s="65" t="s">
        <v>1072</v>
      </c>
      <c r="J78" s="65" t="s">
        <v>1073</v>
      </c>
      <c r="K78" s="65" t="s">
        <v>97</v>
      </c>
      <c r="L78" s="65" t="s">
        <v>37</v>
      </c>
      <c r="M78" s="65" t="s">
        <v>1074</v>
      </c>
      <c r="N78" s="65" t="s">
        <v>1075</v>
      </c>
      <c r="O78" s="65" t="s">
        <v>1081</v>
      </c>
      <c r="P78" s="65" t="s">
        <v>1082</v>
      </c>
      <c r="Q78" s="65" t="s">
        <v>101</v>
      </c>
      <c r="R78">
        <v>1</v>
      </c>
      <c r="S78" s="65" t="s">
        <v>42</v>
      </c>
      <c r="T78" s="65" t="s">
        <v>43</v>
      </c>
      <c r="U78" s="65" t="s">
        <v>44</v>
      </c>
      <c r="V78" s="65" t="s">
        <v>45</v>
      </c>
      <c r="W78" s="65" t="s">
        <v>60</v>
      </c>
      <c r="X78">
        <v>186.44</v>
      </c>
      <c r="Y78" s="65" t="s">
        <v>47</v>
      </c>
      <c r="Z78" s="65" t="s">
        <v>48</v>
      </c>
      <c r="AA78" s="65" t="s">
        <v>49</v>
      </c>
      <c r="AB78">
        <v>999986041</v>
      </c>
      <c r="AC78" s="65" t="s">
        <v>1077</v>
      </c>
      <c r="AD78">
        <v>50</v>
      </c>
    </row>
    <row r="79" spans="1:30" x14ac:dyDescent="0.3">
      <c r="A79" s="1">
        <v>46185</v>
      </c>
      <c r="B79" s="65" t="s">
        <v>3547</v>
      </c>
      <c r="C79" s="65" t="s">
        <v>1068</v>
      </c>
      <c r="D79" s="65" t="s">
        <v>29</v>
      </c>
      <c r="E79" s="65" t="s">
        <v>1069</v>
      </c>
      <c r="F79" s="65" t="s">
        <v>400</v>
      </c>
      <c r="G79" s="65" t="s">
        <v>1083</v>
      </c>
      <c r="H79" s="65" t="s">
        <v>1071</v>
      </c>
      <c r="I79" s="65" t="s">
        <v>1072</v>
      </c>
      <c r="J79" s="65" t="s">
        <v>1073</v>
      </c>
      <c r="K79" s="65" t="s">
        <v>97</v>
      </c>
      <c r="L79" s="65" t="s">
        <v>400</v>
      </c>
      <c r="M79" s="65" t="s">
        <v>1074</v>
      </c>
      <c r="N79" s="65" t="s">
        <v>1075</v>
      </c>
      <c r="O79" s="65" t="s">
        <v>1071</v>
      </c>
      <c r="P79" s="65" t="s">
        <v>1076</v>
      </c>
      <c r="Q79" s="65" t="s">
        <v>101</v>
      </c>
      <c r="R79">
        <v>1</v>
      </c>
      <c r="S79" s="65" t="s">
        <v>42</v>
      </c>
      <c r="T79" s="65" t="s">
        <v>43</v>
      </c>
      <c r="U79" s="65" t="s">
        <v>44</v>
      </c>
      <c r="V79" s="65" t="s">
        <v>45</v>
      </c>
      <c r="W79" s="65" t="s">
        <v>60</v>
      </c>
      <c r="X79">
        <v>186.44</v>
      </c>
      <c r="Y79" s="65" t="s">
        <v>47</v>
      </c>
      <c r="Z79" s="65" t="s">
        <v>48</v>
      </c>
      <c r="AA79" s="65" t="s">
        <v>49</v>
      </c>
      <c r="AB79">
        <v>999986041</v>
      </c>
      <c r="AC79" s="65" t="s">
        <v>1077</v>
      </c>
      <c r="AD79">
        <v>50</v>
      </c>
    </row>
    <row r="80" spans="1:30" x14ac:dyDescent="0.3">
      <c r="A80" s="1">
        <v>46185</v>
      </c>
      <c r="B80" s="65" t="s">
        <v>3547</v>
      </c>
      <c r="C80" s="65" t="s">
        <v>1092</v>
      </c>
      <c r="D80" s="65" t="s">
        <v>29</v>
      </c>
      <c r="E80" s="65" t="s">
        <v>1093</v>
      </c>
      <c r="F80" s="65" t="s">
        <v>31</v>
      </c>
      <c r="G80" s="65" t="s">
        <v>1094</v>
      </c>
      <c r="H80" s="65" t="s">
        <v>1095</v>
      </c>
      <c r="I80" s="65" t="s">
        <v>1096</v>
      </c>
      <c r="J80" s="65" t="s">
        <v>1097</v>
      </c>
      <c r="K80" s="65" t="s">
        <v>1098</v>
      </c>
      <c r="L80" s="65" t="s">
        <v>37</v>
      </c>
      <c r="M80" s="65" t="s">
        <v>1099</v>
      </c>
      <c r="N80" s="65" t="s">
        <v>1100</v>
      </c>
      <c r="O80" s="65" t="s">
        <v>1095</v>
      </c>
      <c r="P80" s="65" t="s">
        <v>1101</v>
      </c>
      <c r="Q80" s="65" t="s">
        <v>159</v>
      </c>
      <c r="R80">
        <v>1</v>
      </c>
      <c r="S80" s="65" t="s">
        <v>42</v>
      </c>
      <c r="T80" s="65" t="s">
        <v>43</v>
      </c>
      <c r="U80" s="65" t="s">
        <v>44</v>
      </c>
      <c r="V80" s="65" t="s">
        <v>45</v>
      </c>
      <c r="W80" s="65" t="s">
        <v>46</v>
      </c>
      <c r="X80">
        <v>135.59</v>
      </c>
      <c r="Y80" s="65" t="s">
        <v>47</v>
      </c>
      <c r="Z80" s="65" t="s">
        <v>48</v>
      </c>
      <c r="AA80" s="65" t="s">
        <v>49</v>
      </c>
      <c r="AC80" s="65" t="s">
        <v>1102</v>
      </c>
      <c r="AD80">
        <v>30</v>
      </c>
    </row>
    <row r="81" spans="1:30" x14ac:dyDescent="0.3">
      <c r="A81" s="1">
        <v>46185</v>
      </c>
      <c r="B81" s="65" t="s">
        <v>3547</v>
      </c>
      <c r="C81" s="65" t="s">
        <v>1103</v>
      </c>
      <c r="D81" s="65" t="s">
        <v>268</v>
      </c>
      <c r="E81" s="65" t="s">
        <v>1104</v>
      </c>
      <c r="F81" s="65" t="s">
        <v>31</v>
      </c>
      <c r="G81" s="65" t="s">
        <v>1105</v>
      </c>
      <c r="H81" s="65" t="s">
        <v>1106</v>
      </c>
      <c r="I81" s="65" t="s">
        <v>1107</v>
      </c>
      <c r="J81" s="65" t="s">
        <v>1108</v>
      </c>
      <c r="K81" s="65" t="s">
        <v>209</v>
      </c>
      <c r="L81" s="65" t="s">
        <v>37</v>
      </c>
      <c r="M81" s="65" t="s">
        <v>1109</v>
      </c>
      <c r="N81" s="65" t="s">
        <v>1110</v>
      </c>
      <c r="O81" s="65" t="s">
        <v>1111</v>
      </c>
      <c r="P81" s="65" t="s">
        <v>1112</v>
      </c>
      <c r="Q81" s="65" t="s">
        <v>213</v>
      </c>
      <c r="R81">
        <v>1</v>
      </c>
      <c r="S81" s="65" t="s">
        <v>42</v>
      </c>
      <c r="T81" s="65" t="s">
        <v>43</v>
      </c>
      <c r="U81" s="65" t="s">
        <v>44</v>
      </c>
      <c r="V81" s="65" t="s">
        <v>45</v>
      </c>
      <c r="W81" s="65" t="s">
        <v>60</v>
      </c>
      <c r="X81">
        <v>254.24</v>
      </c>
      <c r="Y81" s="65" t="s">
        <v>61</v>
      </c>
      <c r="Z81" s="65" t="s">
        <v>48</v>
      </c>
      <c r="AA81" s="65" t="s">
        <v>49</v>
      </c>
      <c r="AB81">
        <v>970582106</v>
      </c>
      <c r="AC81" s="65" t="s">
        <v>1113</v>
      </c>
    </row>
    <row r="82" spans="1:30" x14ac:dyDescent="0.3">
      <c r="A82" s="1">
        <v>46188</v>
      </c>
      <c r="B82" s="65" t="s">
        <v>3547</v>
      </c>
      <c r="C82" s="65" t="s">
        <v>667</v>
      </c>
      <c r="D82" s="65" t="s">
        <v>29</v>
      </c>
      <c r="E82" s="65" t="s">
        <v>668</v>
      </c>
      <c r="F82" s="65" t="s">
        <v>31</v>
      </c>
      <c r="G82" s="65" t="s">
        <v>669</v>
      </c>
      <c r="H82" s="65" t="s">
        <v>670</v>
      </c>
      <c r="I82" s="65" t="s">
        <v>671</v>
      </c>
      <c r="J82" s="65" t="s">
        <v>662</v>
      </c>
      <c r="K82" s="65" t="s">
        <v>36</v>
      </c>
      <c r="L82" s="65" t="s">
        <v>37</v>
      </c>
      <c r="M82" s="65" t="s">
        <v>672</v>
      </c>
      <c r="N82" s="65" t="s">
        <v>673</v>
      </c>
      <c r="O82" s="65" t="s">
        <v>670</v>
      </c>
      <c r="P82" s="65" t="s">
        <v>674</v>
      </c>
      <c r="Q82" s="65" t="s">
        <v>201</v>
      </c>
      <c r="R82">
        <v>1</v>
      </c>
      <c r="S82" s="65" t="s">
        <v>42</v>
      </c>
      <c r="T82" s="65" t="s">
        <v>43</v>
      </c>
      <c r="U82" s="65" t="s">
        <v>44</v>
      </c>
      <c r="V82" s="65" t="s">
        <v>45</v>
      </c>
      <c r="W82" s="65" t="s">
        <v>46</v>
      </c>
      <c r="X82">
        <v>152.54</v>
      </c>
      <c r="Y82" s="65" t="s">
        <v>47</v>
      </c>
      <c r="Z82" s="65" t="s">
        <v>48</v>
      </c>
      <c r="AA82" s="65" t="s">
        <v>49</v>
      </c>
      <c r="AB82">
        <v>997145685</v>
      </c>
      <c r="AC82" s="65" t="s">
        <v>666</v>
      </c>
      <c r="AD82">
        <v>30</v>
      </c>
    </row>
    <row r="83" spans="1:30" x14ac:dyDescent="0.3">
      <c r="A83" s="1">
        <v>46188</v>
      </c>
      <c r="B83" s="65" t="s">
        <v>3547</v>
      </c>
      <c r="C83" s="65" t="s">
        <v>1159</v>
      </c>
      <c r="D83" s="65" t="s">
        <v>29</v>
      </c>
      <c r="E83" s="65" t="s">
        <v>1160</v>
      </c>
      <c r="F83" s="65" t="s">
        <v>31</v>
      </c>
      <c r="G83" s="65" t="s">
        <v>1161</v>
      </c>
      <c r="H83" s="65" t="s">
        <v>1162</v>
      </c>
      <c r="I83" s="65" t="s">
        <v>1163</v>
      </c>
      <c r="J83" s="65" t="s">
        <v>1164</v>
      </c>
      <c r="K83" s="65" t="s">
        <v>1165</v>
      </c>
      <c r="L83" s="65" t="s">
        <v>37</v>
      </c>
      <c r="M83" s="65" t="s">
        <v>1166</v>
      </c>
      <c r="N83" s="65" t="s">
        <v>1167</v>
      </c>
      <c r="O83" s="65" t="s">
        <v>1162</v>
      </c>
      <c r="P83" s="65" t="s">
        <v>1168</v>
      </c>
      <c r="Q83" s="65" t="s">
        <v>1157</v>
      </c>
      <c r="R83">
        <v>1</v>
      </c>
      <c r="S83" s="65" t="s">
        <v>42</v>
      </c>
      <c r="T83" s="65" t="s">
        <v>43</v>
      </c>
      <c r="U83" s="65" t="s">
        <v>44</v>
      </c>
      <c r="V83" s="65" t="s">
        <v>45</v>
      </c>
      <c r="W83" s="65" t="s">
        <v>60</v>
      </c>
      <c r="X83">
        <v>338.98</v>
      </c>
      <c r="Y83" s="65" t="s">
        <v>47</v>
      </c>
      <c r="Z83" s="65" t="s">
        <v>48</v>
      </c>
      <c r="AA83" s="65" t="s">
        <v>49</v>
      </c>
      <c r="AB83">
        <v>978548687</v>
      </c>
      <c r="AC83" s="65" t="s">
        <v>1169</v>
      </c>
      <c r="AD83">
        <v>100</v>
      </c>
    </row>
    <row r="84" spans="1:30" x14ac:dyDescent="0.3">
      <c r="A84" s="1">
        <v>46189</v>
      </c>
      <c r="B84" s="65" t="s">
        <v>3547</v>
      </c>
      <c r="C84" s="65" t="s">
        <v>150</v>
      </c>
      <c r="D84" s="65" t="s">
        <v>29</v>
      </c>
      <c r="E84" s="65" t="s">
        <v>151</v>
      </c>
      <c r="F84" s="65" t="s">
        <v>31</v>
      </c>
      <c r="G84" s="65" t="s">
        <v>152</v>
      </c>
      <c r="H84" s="65" t="s">
        <v>153</v>
      </c>
      <c r="I84" s="65" t="s">
        <v>154</v>
      </c>
      <c r="J84" s="65" t="s">
        <v>136</v>
      </c>
      <c r="K84" s="65" t="s">
        <v>137</v>
      </c>
      <c r="L84" s="65" t="s">
        <v>37</v>
      </c>
      <c r="M84" s="65" t="s">
        <v>155</v>
      </c>
      <c r="N84" s="65" t="s">
        <v>156</v>
      </c>
      <c r="O84" s="65" t="s">
        <v>153</v>
      </c>
      <c r="P84" s="65" t="s">
        <v>157</v>
      </c>
      <c r="Q84" s="65" t="s">
        <v>159</v>
      </c>
      <c r="R84">
        <v>1</v>
      </c>
      <c r="S84" s="65" t="s">
        <v>42</v>
      </c>
      <c r="T84" s="65" t="s">
        <v>44</v>
      </c>
      <c r="U84" s="65" t="s">
        <v>44</v>
      </c>
      <c r="V84" s="65" t="s">
        <v>45</v>
      </c>
      <c r="W84" s="65" t="s">
        <v>60</v>
      </c>
      <c r="X84">
        <v>135.59</v>
      </c>
      <c r="Y84" s="65" t="s">
        <v>47</v>
      </c>
      <c r="Z84" s="65" t="s">
        <v>48</v>
      </c>
      <c r="AA84" s="65" t="s">
        <v>49</v>
      </c>
      <c r="AB84">
        <v>987407712</v>
      </c>
      <c r="AC84" s="65" t="s">
        <v>141</v>
      </c>
      <c r="AD84">
        <v>30</v>
      </c>
    </row>
    <row r="85" spans="1:30" x14ac:dyDescent="0.3">
      <c r="A85" s="1">
        <v>46189</v>
      </c>
      <c r="B85" s="65" t="s">
        <v>3547</v>
      </c>
      <c r="C85" s="65" t="s">
        <v>150</v>
      </c>
      <c r="D85" s="65" t="s">
        <v>29</v>
      </c>
      <c r="E85" s="65" t="s">
        <v>151</v>
      </c>
      <c r="F85" s="65" t="s">
        <v>31</v>
      </c>
      <c r="G85" s="65" t="s">
        <v>152</v>
      </c>
      <c r="H85" s="65" t="s">
        <v>153</v>
      </c>
      <c r="I85" s="65" t="s">
        <v>154</v>
      </c>
      <c r="J85" s="65" t="s">
        <v>136</v>
      </c>
      <c r="K85" s="65" t="s">
        <v>137</v>
      </c>
      <c r="L85" s="65" t="s">
        <v>37</v>
      </c>
      <c r="M85" s="65" t="s">
        <v>155</v>
      </c>
      <c r="N85" s="65" t="s">
        <v>156</v>
      </c>
      <c r="O85" s="65" t="s">
        <v>153</v>
      </c>
      <c r="P85" s="65" t="s">
        <v>157</v>
      </c>
      <c r="Q85" s="65" t="s">
        <v>101</v>
      </c>
      <c r="R85">
        <v>1</v>
      </c>
      <c r="S85" s="65" t="s">
        <v>42</v>
      </c>
      <c r="T85" s="65" t="s">
        <v>44</v>
      </c>
      <c r="U85" s="65" t="s">
        <v>44</v>
      </c>
      <c r="V85" s="65" t="s">
        <v>45</v>
      </c>
      <c r="W85" s="65" t="s">
        <v>60</v>
      </c>
      <c r="X85">
        <v>186.44</v>
      </c>
      <c r="Y85" s="65" t="s">
        <v>47</v>
      </c>
      <c r="Z85" s="65" t="s">
        <v>48</v>
      </c>
      <c r="AA85" s="65" t="s">
        <v>49</v>
      </c>
      <c r="AB85">
        <v>987407712</v>
      </c>
      <c r="AC85" s="65" t="s">
        <v>141</v>
      </c>
      <c r="AD85">
        <v>50</v>
      </c>
    </row>
    <row r="86" spans="1:30" x14ac:dyDescent="0.3">
      <c r="A86" s="1">
        <v>46189</v>
      </c>
      <c r="B86" s="65" t="s">
        <v>3547</v>
      </c>
      <c r="C86" s="65" t="s">
        <v>150</v>
      </c>
      <c r="D86" s="65" t="s">
        <v>29</v>
      </c>
      <c r="E86" s="65" t="s">
        <v>151</v>
      </c>
      <c r="F86" s="65" t="s">
        <v>31</v>
      </c>
      <c r="G86" s="65" t="s">
        <v>152</v>
      </c>
      <c r="H86" s="65" t="s">
        <v>153</v>
      </c>
      <c r="I86" s="65" t="s">
        <v>154</v>
      </c>
      <c r="J86" s="65" t="s">
        <v>136</v>
      </c>
      <c r="K86" s="65" t="s">
        <v>137</v>
      </c>
      <c r="L86" s="65" t="s">
        <v>37</v>
      </c>
      <c r="M86" s="65" t="s">
        <v>155</v>
      </c>
      <c r="N86" s="65" t="s">
        <v>156</v>
      </c>
      <c r="O86" s="65" t="s">
        <v>153</v>
      </c>
      <c r="P86" s="65" t="s">
        <v>157</v>
      </c>
      <c r="Q86" s="65" t="s">
        <v>158</v>
      </c>
      <c r="R86">
        <v>1</v>
      </c>
      <c r="S86" s="65" t="s">
        <v>42</v>
      </c>
      <c r="T86" s="65" t="s">
        <v>44</v>
      </c>
      <c r="U86" s="65" t="s">
        <v>44</v>
      </c>
      <c r="V86" s="65" t="s">
        <v>45</v>
      </c>
      <c r="W86" s="65" t="s">
        <v>60</v>
      </c>
      <c r="X86">
        <v>152.54</v>
      </c>
      <c r="Y86" s="65" t="s">
        <v>47</v>
      </c>
      <c r="Z86" s="65" t="s">
        <v>48</v>
      </c>
      <c r="AA86" s="65" t="s">
        <v>49</v>
      </c>
      <c r="AB86">
        <v>987407712</v>
      </c>
      <c r="AC86" s="65" t="s">
        <v>141</v>
      </c>
      <c r="AD86">
        <v>30</v>
      </c>
    </row>
    <row r="87" spans="1:30" x14ac:dyDescent="0.3">
      <c r="A87" s="1">
        <v>46189</v>
      </c>
      <c r="B87" s="65" t="s">
        <v>3547</v>
      </c>
      <c r="C87" s="65" t="s">
        <v>351</v>
      </c>
      <c r="D87" s="65" t="s">
        <v>29</v>
      </c>
      <c r="E87" s="65" t="s">
        <v>352</v>
      </c>
      <c r="F87" s="65" t="s">
        <v>31</v>
      </c>
      <c r="G87" s="65" t="s">
        <v>353</v>
      </c>
      <c r="H87" s="65" t="s">
        <v>354</v>
      </c>
      <c r="I87" s="65" t="s">
        <v>355</v>
      </c>
      <c r="J87" s="65" t="s">
        <v>344</v>
      </c>
      <c r="K87" s="65" t="s">
        <v>345</v>
      </c>
      <c r="L87" s="65" t="s">
        <v>37</v>
      </c>
      <c r="M87" s="65" t="s">
        <v>356</v>
      </c>
      <c r="N87" s="65" t="s">
        <v>357</v>
      </c>
      <c r="O87" s="65" t="s">
        <v>354</v>
      </c>
      <c r="P87" s="65" t="s">
        <v>358</v>
      </c>
      <c r="Q87" s="65" t="s">
        <v>101</v>
      </c>
      <c r="R87">
        <v>1</v>
      </c>
      <c r="S87" s="65" t="s">
        <v>42</v>
      </c>
      <c r="T87" s="65" t="s">
        <v>44</v>
      </c>
      <c r="U87" s="65" t="s">
        <v>44</v>
      </c>
      <c r="V87" s="65" t="s">
        <v>45</v>
      </c>
      <c r="W87" s="65" t="s">
        <v>60</v>
      </c>
      <c r="X87">
        <v>186.44</v>
      </c>
      <c r="Y87" s="65" t="s">
        <v>47</v>
      </c>
      <c r="Z87" s="65" t="s">
        <v>48</v>
      </c>
      <c r="AA87" s="65" t="s">
        <v>49</v>
      </c>
      <c r="AB87">
        <v>966697811</v>
      </c>
      <c r="AC87" s="65" t="s">
        <v>350</v>
      </c>
      <c r="AD87">
        <v>50</v>
      </c>
    </row>
    <row r="88" spans="1:30" x14ac:dyDescent="0.3">
      <c r="A88" s="1">
        <v>46189</v>
      </c>
      <c r="B88" s="65" t="s">
        <v>3547</v>
      </c>
      <c r="C88" s="65" t="s">
        <v>866</v>
      </c>
      <c r="D88" s="65" t="s">
        <v>29</v>
      </c>
      <c r="E88" s="65" t="s">
        <v>867</v>
      </c>
      <c r="F88" s="65" t="s">
        <v>31</v>
      </c>
      <c r="G88" s="65" t="s">
        <v>868</v>
      </c>
      <c r="H88" s="65" t="s">
        <v>869</v>
      </c>
      <c r="I88" s="65" t="s">
        <v>870</v>
      </c>
      <c r="J88" s="65" t="s">
        <v>774</v>
      </c>
      <c r="K88" s="65" t="s">
        <v>775</v>
      </c>
      <c r="L88" s="65" t="s">
        <v>37</v>
      </c>
      <c r="M88" s="65" t="s">
        <v>871</v>
      </c>
      <c r="N88" s="65" t="s">
        <v>872</v>
      </c>
      <c r="O88" s="65" t="s">
        <v>869</v>
      </c>
      <c r="P88" s="65" t="s">
        <v>873</v>
      </c>
      <c r="Q88" s="65" t="s">
        <v>201</v>
      </c>
      <c r="R88">
        <v>1</v>
      </c>
      <c r="S88" s="65" t="s">
        <v>42</v>
      </c>
      <c r="T88" s="65" t="s">
        <v>44</v>
      </c>
      <c r="U88" s="65" t="s">
        <v>44</v>
      </c>
      <c r="V88" s="65" t="s">
        <v>45</v>
      </c>
      <c r="W88" s="65" t="s">
        <v>60</v>
      </c>
      <c r="X88">
        <v>42.37</v>
      </c>
      <c r="Y88" s="65" t="s">
        <v>47</v>
      </c>
      <c r="Z88" s="65" t="s">
        <v>48</v>
      </c>
      <c r="AA88" s="65" t="s">
        <v>49</v>
      </c>
      <c r="AC88" s="65"/>
      <c r="AD88">
        <v>30</v>
      </c>
    </row>
    <row r="89" spans="1:30" x14ac:dyDescent="0.3">
      <c r="A89" s="1">
        <v>46189</v>
      </c>
      <c r="B89" s="65" t="s">
        <v>3547</v>
      </c>
      <c r="C89" s="65" t="s">
        <v>866</v>
      </c>
      <c r="D89" s="65" t="s">
        <v>29</v>
      </c>
      <c r="E89" s="65" t="s">
        <v>867</v>
      </c>
      <c r="F89" s="65" t="s">
        <v>31</v>
      </c>
      <c r="G89" s="65" t="s">
        <v>868</v>
      </c>
      <c r="H89" s="65" t="s">
        <v>869</v>
      </c>
      <c r="I89" s="65" t="s">
        <v>870</v>
      </c>
      <c r="J89" s="65" t="s">
        <v>774</v>
      </c>
      <c r="K89" s="65" t="s">
        <v>775</v>
      </c>
      <c r="L89" s="65" t="s">
        <v>37</v>
      </c>
      <c r="M89" s="65" t="s">
        <v>871</v>
      </c>
      <c r="N89" s="65" t="s">
        <v>872</v>
      </c>
      <c r="O89" s="65" t="s">
        <v>869</v>
      </c>
      <c r="P89" s="65" t="s">
        <v>873</v>
      </c>
      <c r="Q89" s="65" t="s">
        <v>202</v>
      </c>
      <c r="R89">
        <v>1</v>
      </c>
      <c r="S89" s="65" t="s">
        <v>42</v>
      </c>
      <c r="T89" s="65" t="s">
        <v>44</v>
      </c>
      <c r="U89" s="65" t="s">
        <v>44</v>
      </c>
      <c r="V89" s="65" t="s">
        <v>45</v>
      </c>
      <c r="W89" s="65" t="s">
        <v>60</v>
      </c>
      <c r="X89">
        <v>42.37</v>
      </c>
      <c r="Y89" s="65" t="s">
        <v>47</v>
      </c>
      <c r="Z89" s="65" t="s">
        <v>48</v>
      </c>
      <c r="AA89" s="65" t="s">
        <v>49</v>
      </c>
      <c r="AC89" s="65"/>
      <c r="AD89">
        <v>30</v>
      </c>
    </row>
    <row r="90" spans="1:30" x14ac:dyDescent="0.3">
      <c r="A90" s="1">
        <v>46189</v>
      </c>
      <c r="B90" s="65" t="s">
        <v>3547</v>
      </c>
      <c r="C90" s="65" t="s">
        <v>1179</v>
      </c>
      <c r="D90" s="65" t="s">
        <v>29</v>
      </c>
      <c r="E90" s="65" t="s">
        <v>1180</v>
      </c>
      <c r="F90" s="65" t="s">
        <v>31</v>
      </c>
      <c r="G90" s="65" t="s">
        <v>1181</v>
      </c>
      <c r="H90" s="65" t="s">
        <v>1182</v>
      </c>
      <c r="I90" s="65" t="s">
        <v>1183</v>
      </c>
      <c r="J90" s="65" t="s">
        <v>1184</v>
      </c>
      <c r="K90" s="65" t="s">
        <v>209</v>
      </c>
      <c r="L90" s="65" t="s">
        <v>37</v>
      </c>
      <c r="M90" s="65" t="s">
        <v>1185</v>
      </c>
      <c r="N90" s="65" t="s">
        <v>1186</v>
      </c>
      <c r="O90" s="65" t="s">
        <v>1182</v>
      </c>
      <c r="P90" s="65" t="s">
        <v>1187</v>
      </c>
      <c r="Q90" s="65" t="s">
        <v>41</v>
      </c>
      <c r="R90">
        <v>1</v>
      </c>
      <c r="S90" s="65" t="s">
        <v>42</v>
      </c>
      <c r="T90" s="65" t="s">
        <v>43</v>
      </c>
      <c r="U90" s="65" t="s">
        <v>44</v>
      </c>
      <c r="V90" s="65" t="s">
        <v>45</v>
      </c>
      <c r="W90" s="65" t="s">
        <v>60</v>
      </c>
      <c r="X90">
        <v>186.44</v>
      </c>
      <c r="Y90" s="65" t="s">
        <v>47</v>
      </c>
      <c r="Z90" s="65" t="s">
        <v>48</v>
      </c>
      <c r="AA90" s="65" t="s">
        <v>49</v>
      </c>
      <c r="AB90">
        <v>981227454</v>
      </c>
      <c r="AC90" s="65" t="s">
        <v>1188</v>
      </c>
      <c r="AD90">
        <v>50</v>
      </c>
    </row>
    <row r="91" spans="1:30" x14ac:dyDescent="0.3">
      <c r="A91" s="1">
        <v>46189</v>
      </c>
      <c r="B91" s="65" t="s">
        <v>3547</v>
      </c>
      <c r="C91" s="65" t="s">
        <v>1197</v>
      </c>
      <c r="D91" s="65" t="s">
        <v>29</v>
      </c>
      <c r="E91" s="65" t="s">
        <v>1198</v>
      </c>
      <c r="F91" s="65" t="s">
        <v>31</v>
      </c>
      <c r="G91" s="65" t="s">
        <v>1199</v>
      </c>
      <c r="H91" s="65" t="s">
        <v>1200</v>
      </c>
      <c r="I91" s="65" t="s">
        <v>1201</v>
      </c>
      <c r="J91" s="65" t="s">
        <v>1202</v>
      </c>
      <c r="K91" s="65"/>
      <c r="L91" s="65" t="s">
        <v>37</v>
      </c>
      <c r="M91" s="65" t="s">
        <v>1203</v>
      </c>
      <c r="N91" s="65" t="s">
        <v>1204</v>
      </c>
      <c r="O91" s="65" t="s">
        <v>1200</v>
      </c>
      <c r="P91" s="65" t="s">
        <v>1205</v>
      </c>
      <c r="Q91" s="65" t="s">
        <v>159</v>
      </c>
      <c r="R91">
        <v>1</v>
      </c>
      <c r="S91" s="65" t="s">
        <v>42</v>
      </c>
      <c r="T91" s="65" t="s">
        <v>44</v>
      </c>
      <c r="U91" s="65" t="s">
        <v>44</v>
      </c>
      <c r="V91" s="65" t="s">
        <v>45</v>
      </c>
      <c r="W91" s="65" t="s">
        <v>46</v>
      </c>
      <c r="X91">
        <v>135.59</v>
      </c>
      <c r="Y91" s="65" t="s">
        <v>47</v>
      </c>
      <c r="Z91" s="65" t="s">
        <v>48</v>
      </c>
      <c r="AA91" s="65" t="s">
        <v>49</v>
      </c>
      <c r="AC91" s="65"/>
      <c r="AD91">
        <v>30</v>
      </c>
    </row>
    <row r="92" spans="1:30" x14ac:dyDescent="0.3">
      <c r="A92" s="1">
        <v>46190</v>
      </c>
      <c r="B92" s="65" t="s">
        <v>3547</v>
      </c>
      <c r="C92" s="65" t="s">
        <v>51</v>
      </c>
      <c r="D92" s="65" t="s">
        <v>29</v>
      </c>
      <c r="E92" s="65" t="s">
        <v>52</v>
      </c>
      <c r="F92" s="65" t="s">
        <v>31</v>
      </c>
      <c r="G92" s="65" t="s">
        <v>53</v>
      </c>
      <c r="H92" s="65" t="s">
        <v>54</v>
      </c>
      <c r="I92" s="65" t="s">
        <v>55</v>
      </c>
      <c r="J92" s="65" t="s">
        <v>35</v>
      </c>
      <c r="K92" s="65" t="s">
        <v>36</v>
      </c>
      <c r="L92" s="65" t="s">
        <v>37</v>
      </c>
      <c r="M92" s="65" t="s">
        <v>56</v>
      </c>
      <c r="N92" s="65" t="s">
        <v>57</v>
      </c>
      <c r="O92" s="65" t="s">
        <v>54</v>
      </c>
      <c r="P92" s="65" t="s">
        <v>58</v>
      </c>
      <c r="Q92" s="65" t="s">
        <v>59</v>
      </c>
      <c r="R92">
        <v>1</v>
      </c>
      <c r="S92" s="65" t="s">
        <v>42</v>
      </c>
      <c r="T92" s="65" t="s">
        <v>44</v>
      </c>
      <c r="U92" s="65" t="s">
        <v>44</v>
      </c>
      <c r="V92" s="65" t="s">
        <v>45</v>
      </c>
      <c r="W92" s="65" t="s">
        <v>60</v>
      </c>
      <c r="X92">
        <v>101.69</v>
      </c>
      <c r="Y92" s="65" t="s">
        <v>61</v>
      </c>
      <c r="Z92" s="65" t="s">
        <v>48</v>
      </c>
      <c r="AA92" s="65" t="s">
        <v>49</v>
      </c>
      <c r="AB92">
        <v>999996347</v>
      </c>
      <c r="AC92" s="65" t="s">
        <v>50</v>
      </c>
    </row>
    <row r="93" spans="1:30" x14ac:dyDescent="0.3">
      <c r="A93" s="1">
        <v>46190</v>
      </c>
      <c r="B93" s="65" t="s">
        <v>3547</v>
      </c>
      <c r="C93" s="65" t="s">
        <v>160</v>
      </c>
      <c r="D93" s="65" t="s">
        <v>29</v>
      </c>
      <c r="E93" s="65" t="s">
        <v>161</v>
      </c>
      <c r="F93" s="65" t="s">
        <v>31</v>
      </c>
      <c r="G93" s="65" t="s">
        <v>162</v>
      </c>
      <c r="H93" s="65" t="s">
        <v>163</v>
      </c>
      <c r="I93" s="65" t="s">
        <v>164</v>
      </c>
      <c r="J93" s="65" t="s">
        <v>136</v>
      </c>
      <c r="K93" s="65" t="s">
        <v>137</v>
      </c>
      <c r="L93" s="65" t="s">
        <v>37</v>
      </c>
      <c r="M93" s="65" t="s">
        <v>165</v>
      </c>
      <c r="N93" s="65" t="s">
        <v>166</v>
      </c>
      <c r="O93" s="65" t="s">
        <v>163</v>
      </c>
      <c r="P93" s="65" t="s">
        <v>167</v>
      </c>
      <c r="Q93" s="65" t="s">
        <v>101</v>
      </c>
      <c r="R93">
        <v>1</v>
      </c>
      <c r="S93" s="65" t="s">
        <v>42</v>
      </c>
      <c r="T93" s="65" t="s">
        <v>44</v>
      </c>
      <c r="U93" s="65" t="s">
        <v>44</v>
      </c>
      <c r="V93" s="65" t="s">
        <v>45</v>
      </c>
      <c r="W93" s="65" t="s">
        <v>60</v>
      </c>
      <c r="X93">
        <v>186.44</v>
      </c>
      <c r="Y93" s="65" t="s">
        <v>47</v>
      </c>
      <c r="Z93" s="65" t="s">
        <v>48</v>
      </c>
      <c r="AA93" s="65" t="s">
        <v>49</v>
      </c>
      <c r="AB93">
        <v>987407712</v>
      </c>
      <c r="AC93" s="65" t="s">
        <v>141</v>
      </c>
      <c r="AD93">
        <v>50</v>
      </c>
    </row>
    <row r="94" spans="1:30" x14ac:dyDescent="0.3">
      <c r="A94" s="1">
        <v>46190</v>
      </c>
      <c r="B94" s="65" t="s">
        <v>3547</v>
      </c>
      <c r="C94" s="65" t="s">
        <v>874</v>
      </c>
      <c r="D94" s="65" t="s">
        <v>268</v>
      </c>
      <c r="E94" s="65" t="s">
        <v>875</v>
      </c>
      <c r="F94" s="65" t="s">
        <v>31</v>
      </c>
      <c r="G94" s="65" t="s">
        <v>876</v>
      </c>
      <c r="H94" s="65" t="s">
        <v>849</v>
      </c>
      <c r="I94" s="65" t="s">
        <v>850</v>
      </c>
      <c r="J94" s="65" t="s">
        <v>774</v>
      </c>
      <c r="K94" s="65" t="s">
        <v>775</v>
      </c>
      <c r="L94" s="65" t="s">
        <v>37</v>
      </c>
      <c r="M94" s="65" t="s">
        <v>851</v>
      </c>
      <c r="N94" s="65" t="s">
        <v>852</v>
      </c>
      <c r="O94" s="65" t="s">
        <v>798</v>
      </c>
      <c r="P94" s="65" t="s">
        <v>877</v>
      </c>
      <c r="Q94" s="65" t="s">
        <v>288</v>
      </c>
      <c r="R94">
        <v>1</v>
      </c>
      <c r="S94" s="65" t="s">
        <v>42</v>
      </c>
      <c r="T94" s="65" t="s">
        <v>43</v>
      </c>
      <c r="U94" s="65" t="s">
        <v>44</v>
      </c>
      <c r="V94" s="65" t="s">
        <v>45</v>
      </c>
      <c r="W94" s="65" t="s">
        <v>60</v>
      </c>
      <c r="X94">
        <v>0</v>
      </c>
      <c r="Y94" s="65" t="s">
        <v>289</v>
      </c>
      <c r="Z94" s="65" t="s">
        <v>48</v>
      </c>
      <c r="AA94" s="65" t="s">
        <v>49</v>
      </c>
      <c r="AC94" s="65"/>
    </row>
    <row r="95" spans="1:30" x14ac:dyDescent="0.3">
      <c r="A95" s="1">
        <v>46190</v>
      </c>
      <c r="B95" s="65" t="s">
        <v>3547</v>
      </c>
      <c r="C95" s="65" t="s">
        <v>874</v>
      </c>
      <c r="D95" s="65" t="s">
        <v>268</v>
      </c>
      <c r="E95" s="65" t="s">
        <v>875</v>
      </c>
      <c r="F95" s="65" t="s">
        <v>31</v>
      </c>
      <c r="G95" s="65" t="s">
        <v>876</v>
      </c>
      <c r="H95" s="65" t="s">
        <v>849</v>
      </c>
      <c r="I95" s="65" t="s">
        <v>850</v>
      </c>
      <c r="J95" s="65" t="s">
        <v>774</v>
      </c>
      <c r="K95" s="65" t="s">
        <v>775</v>
      </c>
      <c r="L95" s="65" t="s">
        <v>37</v>
      </c>
      <c r="M95" s="65" t="s">
        <v>851</v>
      </c>
      <c r="N95" s="65" t="s">
        <v>852</v>
      </c>
      <c r="O95" s="65" t="s">
        <v>798</v>
      </c>
      <c r="P95" s="65" t="s">
        <v>877</v>
      </c>
      <c r="Q95" s="65" t="s">
        <v>290</v>
      </c>
      <c r="R95">
        <v>1</v>
      </c>
      <c r="S95" s="65" t="s">
        <v>42</v>
      </c>
      <c r="T95" s="65" t="s">
        <v>43</v>
      </c>
      <c r="U95" s="65" t="s">
        <v>44</v>
      </c>
      <c r="V95" s="65" t="s">
        <v>45</v>
      </c>
      <c r="W95" s="65" t="s">
        <v>60</v>
      </c>
      <c r="X95">
        <v>762.71</v>
      </c>
      <c r="Y95" s="65" t="s">
        <v>289</v>
      </c>
      <c r="Z95" s="65" t="s">
        <v>48</v>
      </c>
      <c r="AA95" s="65" t="s">
        <v>49</v>
      </c>
      <c r="AC95" s="65"/>
    </row>
    <row r="96" spans="1:30" x14ac:dyDescent="0.3">
      <c r="A96" s="1">
        <v>46190</v>
      </c>
      <c r="B96" s="65" t="s">
        <v>3547</v>
      </c>
      <c r="C96" s="65" t="s">
        <v>878</v>
      </c>
      <c r="D96" s="65" t="s">
        <v>268</v>
      </c>
      <c r="E96" s="65" t="s">
        <v>879</v>
      </c>
      <c r="F96" s="65" t="s">
        <v>31</v>
      </c>
      <c r="G96" s="65" t="s">
        <v>880</v>
      </c>
      <c r="H96" s="65" t="s">
        <v>869</v>
      </c>
      <c r="I96" s="65" t="s">
        <v>870</v>
      </c>
      <c r="J96" s="65" t="s">
        <v>774</v>
      </c>
      <c r="K96" s="65" t="s">
        <v>775</v>
      </c>
      <c r="L96" s="65" t="s">
        <v>37</v>
      </c>
      <c r="M96" s="65" t="s">
        <v>871</v>
      </c>
      <c r="N96" s="65" t="s">
        <v>872</v>
      </c>
      <c r="O96" s="65" t="s">
        <v>798</v>
      </c>
      <c r="P96" s="65" t="s">
        <v>881</v>
      </c>
      <c r="Q96" s="65" t="s">
        <v>288</v>
      </c>
      <c r="R96">
        <v>1</v>
      </c>
      <c r="S96" s="65" t="s">
        <v>42</v>
      </c>
      <c r="T96" s="65" t="s">
        <v>43</v>
      </c>
      <c r="U96" s="65" t="s">
        <v>44</v>
      </c>
      <c r="V96" s="65" t="s">
        <v>45</v>
      </c>
      <c r="W96" s="65" t="s">
        <v>60</v>
      </c>
      <c r="X96">
        <v>0</v>
      </c>
      <c r="Y96" s="65" t="s">
        <v>289</v>
      </c>
      <c r="Z96" s="65" t="s">
        <v>48</v>
      </c>
      <c r="AA96" s="65" t="s">
        <v>49</v>
      </c>
      <c r="AC96" s="65"/>
    </row>
    <row r="97" spans="1:30" x14ac:dyDescent="0.3">
      <c r="A97" s="1">
        <v>46190</v>
      </c>
      <c r="B97" s="65" t="s">
        <v>3547</v>
      </c>
      <c r="C97" s="65" t="s">
        <v>878</v>
      </c>
      <c r="D97" s="65" t="s">
        <v>268</v>
      </c>
      <c r="E97" s="65" t="s">
        <v>879</v>
      </c>
      <c r="F97" s="65" t="s">
        <v>31</v>
      </c>
      <c r="G97" s="65" t="s">
        <v>880</v>
      </c>
      <c r="H97" s="65" t="s">
        <v>869</v>
      </c>
      <c r="I97" s="65" t="s">
        <v>870</v>
      </c>
      <c r="J97" s="65" t="s">
        <v>774</v>
      </c>
      <c r="K97" s="65" t="s">
        <v>775</v>
      </c>
      <c r="L97" s="65" t="s">
        <v>37</v>
      </c>
      <c r="M97" s="65" t="s">
        <v>871</v>
      </c>
      <c r="N97" s="65" t="s">
        <v>872</v>
      </c>
      <c r="O97" s="65" t="s">
        <v>798</v>
      </c>
      <c r="P97" s="65" t="s">
        <v>881</v>
      </c>
      <c r="Q97" s="65" t="s">
        <v>371</v>
      </c>
      <c r="R97">
        <v>1</v>
      </c>
      <c r="S97" s="65" t="s">
        <v>42</v>
      </c>
      <c r="T97" s="65" t="s">
        <v>43</v>
      </c>
      <c r="U97" s="65" t="s">
        <v>44</v>
      </c>
      <c r="V97" s="65" t="s">
        <v>45</v>
      </c>
      <c r="W97" s="65" t="s">
        <v>60</v>
      </c>
      <c r="X97">
        <v>550.85</v>
      </c>
      <c r="Y97" s="65" t="s">
        <v>289</v>
      </c>
      <c r="Z97" s="65" t="s">
        <v>48</v>
      </c>
      <c r="AA97" s="65" t="s">
        <v>49</v>
      </c>
      <c r="AC97" s="65"/>
    </row>
    <row r="98" spans="1:30" x14ac:dyDescent="0.3">
      <c r="A98" s="1">
        <v>46190</v>
      </c>
      <c r="B98" s="65" t="s">
        <v>3547</v>
      </c>
      <c r="C98" s="65" t="s">
        <v>1206</v>
      </c>
      <c r="D98" s="65" t="s">
        <v>29</v>
      </c>
      <c r="E98" s="65" t="s">
        <v>1207</v>
      </c>
      <c r="F98" s="65" t="s">
        <v>31</v>
      </c>
      <c r="G98" s="65" t="s">
        <v>1208</v>
      </c>
      <c r="H98" s="65" t="s">
        <v>1209</v>
      </c>
      <c r="I98" s="65" t="s">
        <v>1210</v>
      </c>
      <c r="J98" s="65" t="s">
        <v>1211</v>
      </c>
      <c r="K98" s="65" t="s">
        <v>3549</v>
      </c>
      <c r="L98" s="65" t="s">
        <v>37</v>
      </c>
      <c r="M98" s="65" t="s">
        <v>1212</v>
      </c>
      <c r="N98" s="65" t="s">
        <v>1213</v>
      </c>
      <c r="O98" s="65" t="s">
        <v>1209</v>
      </c>
      <c r="P98" s="65" t="s">
        <v>1214</v>
      </c>
      <c r="Q98" s="65" t="s">
        <v>288</v>
      </c>
      <c r="R98">
        <v>1</v>
      </c>
      <c r="S98" s="65" t="s">
        <v>42</v>
      </c>
      <c r="T98" s="65" t="s">
        <v>44</v>
      </c>
      <c r="U98" s="65" t="s">
        <v>44</v>
      </c>
      <c r="V98" s="65" t="s">
        <v>45</v>
      </c>
      <c r="W98" s="65" t="s">
        <v>60</v>
      </c>
      <c r="X98">
        <v>0</v>
      </c>
      <c r="Y98" s="65" t="s">
        <v>289</v>
      </c>
      <c r="Z98" s="65" t="s">
        <v>48</v>
      </c>
      <c r="AA98" s="65" t="s">
        <v>49</v>
      </c>
      <c r="AC98" s="65"/>
    </row>
    <row r="99" spans="1:30" x14ac:dyDescent="0.3">
      <c r="A99" s="1">
        <v>46190</v>
      </c>
      <c r="B99" s="65" t="s">
        <v>3547</v>
      </c>
      <c r="C99" s="65" t="s">
        <v>1206</v>
      </c>
      <c r="D99" s="65" t="s">
        <v>29</v>
      </c>
      <c r="E99" s="65" t="s">
        <v>1207</v>
      </c>
      <c r="F99" s="65" t="s">
        <v>31</v>
      </c>
      <c r="G99" s="65" t="s">
        <v>1208</v>
      </c>
      <c r="H99" s="65" t="s">
        <v>1209</v>
      </c>
      <c r="I99" s="65" t="s">
        <v>1210</v>
      </c>
      <c r="J99" s="65" t="s">
        <v>1211</v>
      </c>
      <c r="K99" s="65" t="s">
        <v>3549</v>
      </c>
      <c r="L99" s="65" t="s">
        <v>37</v>
      </c>
      <c r="M99" s="65" t="s">
        <v>1212</v>
      </c>
      <c r="N99" s="65" t="s">
        <v>1213</v>
      </c>
      <c r="O99" s="65" t="s">
        <v>1209</v>
      </c>
      <c r="P99" s="65" t="s">
        <v>1214</v>
      </c>
      <c r="Q99" s="65" t="s">
        <v>1215</v>
      </c>
      <c r="R99">
        <v>1</v>
      </c>
      <c r="S99" s="65" t="s">
        <v>42</v>
      </c>
      <c r="T99" s="65" t="s">
        <v>44</v>
      </c>
      <c r="U99" s="65" t="s">
        <v>44</v>
      </c>
      <c r="V99" s="65" t="s">
        <v>45</v>
      </c>
      <c r="W99" s="65" t="s">
        <v>60</v>
      </c>
      <c r="X99">
        <v>139.83000000000001</v>
      </c>
      <c r="Y99" s="65" t="s">
        <v>289</v>
      </c>
      <c r="Z99" s="65" t="s">
        <v>48</v>
      </c>
      <c r="AA99" s="65" t="s">
        <v>49</v>
      </c>
      <c r="AC99" s="65"/>
    </row>
    <row r="100" spans="1:30" x14ac:dyDescent="0.3">
      <c r="A100" s="1">
        <v>46191</v>
      </c>
      <c r="B100" s="65" t="s">
        <v>3547</v>
      </c>
      <c r="C100" s="65" t="s">
        <v>311</v>
      </c>
      <c r="D100" s="65" t="s">
        <v>29</v>
      </c>
      <c r="E100" s="65" t="s">
        <v>312</v>
      </c>
      <c r="F100" s="65" t="s">
        <v>31</v>
      </c>
      <c r="G100" s="65" t="s">
        <v>313</v>
      </c>
      <c r="H100" s="65" t="s">
        <v>314</v>
      </c>
      <c r="I100" s="65" t="s">
        <v>315</v>
      </c>
      <c r="J100" s="65" t="s">
        <v>273</v>
      </c>
      <c r="K100" s="65" t="s">
        <v>274</v>
      </c>
      <c r="L100" s="65" t="s">
        <v>37</v>
      </c>
      <c r="M100" s="65" t="s">
        <v>316</v>
      </c>
      <c r="N100" s="65" t="s">
        <v>317</v>
      </c>
      <c r="O100" s="65" t="s">
        <v>314</v>
      </c>
      <c r="P100" s="65" t="s">
        <v>318</v>
      </c>
      <c r="Q100" s="65" t="s">
        <v>201</v>
      </c>
      <c r="R100">
        <v>1</v>
      </c>
      <c r="S100" s="65" t="s">
        <v>42</v>
      </c>
      <c r="T100" s="65" t="s">
        <v>44</v>
      </c>
      <c r="U100" s="65" t="s">
        <v>44</v>
      </c>
      <c r="V100" s="65" t="s">
        <v>45</v>
      </c>
      <c r="W100" s="65" t="s">
        <v>46</v>
      </c>
      <c r="X100">
        <v>42.37</v>
      </c>
      <c r="Y100" s="65" t="s">
        <v>47</v>
      </c>
      <c r="Z100" s="65" t="s">
        <v>48</v>
      </c>
      <c r="AA100" s="65" t="s">
        <v>49</v>
      </c>
      <c r="AB100">
        <v>950133748</v>
      </c>
      <c r="AC100" s="65" t="s">
        <v>279</v>
      </c>
      <c r="AD100">
        <v>30</v>
      </c>
    </row>
    <row r="101" spans="1:30" x14ac:dyDescent="0.3">
      <c r="A101" s="1">
        <v>46191</v>
      </c>
      <c r="B101" s="65" t="s">
        <v>3547</v>
      </c>
      <c r="C101" s="65" t="s">
        <v>311</v>
      </c>
      <c r="D101" s="65" t="s">
        <v>29</v>
      </c>
      <c r="E101" s="65" t="s">
        <v>312</v>
      </c>
      <c r="F101" s="65" t="s">
        <v>31</v>
      </c>
      <c r="G101" s="65" t="s">
        <v>313</v>
      </c>
      <c r="H101" s="65" t="s">
        <v>314</v>
      </c>
      <c r="I101" s="65" t="s">
        <v>315</v>
      </c>
      <c r="J101" s="65" t="s">
        <v>273</v>
      </c>
      <c r="K101" s="65" t="s">
        <v>274</v>
      </c>
      <c r="L101" s="65" t="s">
        <v>37</v>
      </c>
      <c r="M101" s="65" t="s">
        <v>316</v>
      </c>
      <c r="N101" s="65" t="s">
        <v>317</v>
      </c>
      <c r="O101" s="65" t="s">
        <v>314</v>
      </c>
      <c r="P101" s="65" t="s">
        <v>318</v>
      </c>
      <c r="Q101" s="65" t="s">
        <v>202</v>
      </c>
      <c r="R101">
        <v>1</v>
      </c>
      <c r="S101" s="65" t="s">
        <v>42</v>
      </c>
      <c r="T101" s="65" t="s">
        <v>44</v>
      </c>
      <c r="U101" s="65" t="s">
        <v>44</v>
      </c>
      <c r="V101" s="65" t="s">
        <v>45</v>
      </c>
      <c r="W101" s="65" t="s">
        <v>46</v>
      </c>
      <c r="X101">
        <v>42.37</v>
      </c>
      <c r="Y101" s="65" t="s">
        <v>47</v>
      </c>
      <c r="Z101" s="65" t="s">
        <v>48</v>
      </c>
      <c r="AA101" s="65" t="s">
        <v>49</v>
      </c>
      <c r="AB101">
        <v>950133748</v>
      </c>
      <c r="AC101" s="65" t="s">
        <v>279</v>
      </c>
      <c r="AD101">
        <v>30</v>
      </c>
    </row>
    <row r="102" spans="1:30" x14ac:dyDescent="0.3">
      <c r="A102" s="1">
        <v>46191</v>
      </c>
      <c r="B102" s="65" t="s">
        <v>3547</v>
      </c>
      <c r="C102" s="65" t="s">
        <v>448</v>
      </c>
      <c r="D102" s="65" t="s">
        <v>29</v>
      </c>
      <c r="E102" s="65" t="s">
        <v>449</v>
      </c>
      <c r="F102" s="65" t="s">
        <v>31</v>
      </c>
      <c r="G102" s="65" t="s">
        <v>450</v>
      </c>
      <c r="H102" s="65" t="s">
        <v>451</v>
      </c>
      <c r="I102" s="65" t="s">
        <v>452</v>
      </c>
      <c r="J102" s="65" t="s">
        <v>434</v>
      </c>
      <c r="K102" s="65" t="s">
        <v>435</v>
      </c>
      <c r="L102" s="65" t="s">
        <v>37</v>
      </c>
      <c r="M102" s="65" t="s">
        <v>453</v>
      </c>
      <c r="N102" s="65" t="s">
        <v>454</v>
      </c>
      <c r="O102" s="65" t="s">
        <v>451</v>
      </c>
      <c r="P102" s="65" t="s">
        <v>455</v>
      </c>
      <c r="Q102" s="65" t="s">
        <v>41</v>
      </c>
      <c r="R102">
        <v>1</v>
      </c>
      <c r="S102" s="65" t="s">
        <v>70</v>
      </c>
      <c r="T102" s="65" t="s">
        <v>43</v>
      </c>
      <c r="U102" s="65" t="s">
        <v>44</v>
      </c>
      <c r="V102" s="65" t="s">
        <v>71</v>
      </c>
      <c r="W102" s="65" t="s">
        <v>72</v>
      </c>
      <c r="X102">
        <v>186.44</v>
      </c>
      <c r="Y102" s="65" t="s">
        <v>47</v>
      </c>
      <c r="Z102" s="65" t="s">
        <v>48</v>
      </c>
      <c r="AA102" s="65" t="s">
        <v>73</v>
      </c>
      <c r="AB102">
        <v>992903716</v>
      </c>
      <c r="AC102" s="65" t="s">
        <v>439</v>
      </c>
      <c r="AD102">
        <v>50</v>
      </c>
    </row>
    <row r="103" spans="1:30" x14ac:dyDescent="0.3">
      <c r="A103" s="1">
        <v>46191</v>
      </c>
      <c r="B103" s="65" t="s">
        <v>3547</v>
      </c>
      <c r="C103" s="65" t="s">
        <v>882</v>
      </c>
      <c r="D103" s="65" t="s">
        <v>29</v>
      </c>
      <c r="E103" s="65" t="s">
        <v>883</v>
      </c>
      <c r="F103" s="65" t="s">
        <v>31</v>
      </c>
      <c r="G103" s="65" t="s">
        <v>884</v>
      </c>
      <c r="H103" s="65" t="s">
        <v>314</v>
      </c>
      <c r="I103" s="65" t="s">
        <v>315</v>
      </c>
      <c r="J103" s="65" t="s">
        <v>774</v>
      </c>
      <c r="K103" s="65" t="s">
        <v>775</v>
      </c>
      <c r="L103" s="65" t="s">
        <v>37</v>
      </c>
      <c r="M103" s="65" t="s">
        <v>316</v>
      </c>
      <c r="N103" s="65" t="s">
        <v>317</v>
      </c>
      <c r="O103" s="65" t="s">
        <v>314</v>
      </c>
      <c r="P103" s="65" t="s">
        <v>885</v>
      </c>
      <c r="Q103" s="65" t="s">
        <v>618</v>
      </c>
      <c r="R103">
        <v>1</v>
      </c>
      <c r="S103" s="65" t="s">
        <v>42</v>
      </c>
      <c r="T103" s="65" t="s">
        <v>44</v>
      </c>
      <c r="U103" s="65" t="s">
        <v>44</v>
      </c>
      <c r="V103" s="65" t="s">
        <v>45</v>
      </c>
      <c r="W103" s="65" t="s">
        <v>46</v>
      </c>
      <c r="X103">
        <v>12.71</v>
      </c>
      <c r="Y103" s="65" t="s">
        <v>619</v>
      </c>
      <c r="Z103" s="65" t="s">
        <v>48</v>
      </c>
      <c r="AA103" s="65" t="s">
        <v>49</v>
      </c>
      <c r="AC103" s="65"/>
    </row>
    <row r="104" spans="1:30" x14ac:dyDescent="0.3">
      <c r="A104" s="1">
        <v>46191</v>
      </c>
      <c r="B104" s="65" t="s">
        <v>3547</v>
      </c>
      <c r="C104" s="65" t="s">
        <v>882</v>
      </c>
      <c r="D104" s="65" t="s">
        <v>29</v>
      </c>
      <c r="E104" s="65" t="s">
        <v>883</v>
      </c>
      <c r="F104" s="65" t="s">
        <v>31</v>
      </c>
      <c r="G104" s="65" t="s">
        <v>884</v>
      </c>
      <c r="H104" s="65" t="s">
        <v>314</v>
      </c>
      <c r="I104" s="65" t="s">
        <v>315</v>
      </c>
      <c r="J104" s="65" t="s">
        <v>774</v>
      </c>
      <c r="K104" s="65" t="s">
        <v>775</v>
      </c>
      <c r="L104" s="65" t="s">
        <v>37</v>
      </c>
      <c r="M104" s="65" t="s">
        <v>316</v>
      </c>
      <c r="N104" s="65" t="s">
        <v>317</v>
      </c>
      <c r="O104" s="65" t="s">
        <v>314</v>
      </c>
      <c r="P104" s="65" t="s">
        <v>885</v>
      </c>
      <c r="Q104" s="65" t="s">
        <v>620</v>
      </c>
      <c r="R104">
        <v>1</v>
      </c>
      <c r="S104" s="65" t="s">
        <v>42</v>
      </c>
      <c r="T104" s="65" t="s">
        <v>44</v>
      </c>
      <c r="U104" s="65" t="s">
        <v>44</v>
      </c>
      <c r="V104" s="65" t="s">
        <v>45</v>
      </c>
      <c r="W104" s="65" t="s">
        <v>46</v>
      </c>
      <c r="X104">
        <v>21.19</v>
      </c>
      <c r="Y104" s="65" t="s">
        <v>619</v>
      </c>
      <c r="Z104" s="65" t="s">
        <v>48</v>
      </c>
      <c r="AA104" s="65" t="s">
        <v>49</v>
      </c>
      <c r="AC104" s="65"/>
    </row>
    <row r="105" spans="1:30" x14ac:dyDescent="0.3">
      <c r="A105" s="1">
        <v>46191</v>
      </c>
      <c r="B105" s="65" t="s">
        <v>3547</v>
      </c>
      <c r="C105" s="65" t="s">
        <v>882</v>
      </c>
      <c r="D105" s="65" t="s">
        <v>29</v>
      </c>
      <c r="E105" s="65" t="s">
        <v>883</v>
      </c>
      <c r="F105" s="65" t="s">
        <v>31</v>
      </c>
      <c r="G105" s="65" t="s">
        <v>884</v>
      </c>
      <c r="H105" s="65" t="s">
        <v>314</v>
      </c>
      <c r="I105" s="65" t="s">
        <v>315</v>
      </c>
      <c r="J105" s="65" t="s">
        <v>774</v>
      </c>
      <c r="K105" s="65" t="s">
        <v>775</v>
      </c>
      <c r="L105" s="65" t="s">
        <v>37</v>
      </c>
      <c r="M105" s="65" t="s">
        <v>316</v>
      </c>
      <c r="N105" s="65" t="s">
        <v>317</v>
      </c>
      <c r="O105" s="65" t="s">
        <v>314</v>
      </c>
      <c r="P105" s="65" t="s">
        <v>885</v>
      </c>
      <c r="Q105" s="65" t="s">
        <v>621</v>
      </c>
      <c r="R105">
        <v>1</v>
      </c>
      <c r="S105" s="65" t="s">
        <v>42</v>
      </c>
      <c r="T105" s="65" t="s">
        <v>44</v>
      </c>
      <c r="U105" s="65" t="s">
        <v>44</v>
      </c>
      <c r="V105" s="65" t="s">
        <v>45</v>
      </c>
      <c r="W105" s="65" t="s">
        <v>46</v>
      </c>
      <c r="X105">
        <v>12.71</v>
      </c>
      <c r="Y105" s="65" t="s">
        <v>619</v>
      </c>
      <c r="Z105" s="65" t="s">
        <v>48</v>
      </c>
      <c r="AA105" s="65" t="s">
        <v>49</v>
      </c>
      <c r="AC105" s="65"/>
    </row>
    <row r="106" spans="1:30" x14ac:dyDescent="0.3">
      <c r="A106" s="1">
        <v>46191</v>
      </c>
      <c r="B106" s="65" t="s">
        <v>3547</v>
      </c>
      <c r="C106" s="65" t="s">
        <v>882</v>
      </c>
      <c r="D106" s="65" t="s">
        <v>29</v>
      </c>
      <c r="E106" s="65" t="s">
        <v>883</v>
      </c>
      <c r="F106" s="65" t="s">
        <v>31</v>
      </c>
      <c r="G106" s="65" t="s">
        <v>884</v>
      </c>
      <c r="H106" s="65" t="s">
        <v>314</v>
      </c>
      <c r="I106" s="65" t="s">
        <v>315</v>
      </c>
      <c r="J106" s="65" t="s">
        <v>774</v>
      </c>
      <c r="K106" s="65" t="s">
        <v>775</v>
      </c>
      <c r="L106" s="65" t="s">
        <v>37</v>
      </c>
      <c r="M106" s="65" t="s">
        <v>316</v>
      </c>
      <c r="N106" s="65" t="s">
        <v>317</v>
      </c>
      <c r="O106" s="65" t="s">
        <v>314</v>
      </c>
      <c r="P106" s="65" t="s">
        <v>885</v>
      </c>
      <c r="Q106" s="65" t="s">
        <v>622</v>
      </c>
      <c r="R106">
        <v>1</v>
      </c>
      <c r="S106" s="65" t="s">
        <v>42</v>
      </c>
      <c r="T106" s="65" t="s">
        <v>44</v>
      </c>
      <c r="U106" s="65" t="s">
        <v>44</v>
      </c>
      <c r="V106" s="65" t="s">
        <v>45</v>
      </c>
      <c r="W106" s="65" t="s">
        <v>46</v>
      </c>
      <c r="X106">
        <v>12.71</v>
      </c>
      <c r="Y106" s="65" t="s">
        <v>619</v>
      </c>
      <c r="Z106" s="65" t="s">
        <v>48</v>
      </c>
      <c r="AA106" s="65" t="s">
        <v>49</v>
      </c>
      <c r="AC106" s="65"/>
    </row>
    <row r="107" spans="1:30" x14ac:dyDescent="0.3">
      <c r="A107" s="1">
        <v>46191</v>
      </c>
      <c r="B107" s="65" t="s">
        <v>3547</v>
      </c>
      <c r="C107" s="65" t="s">
        <v>882</v>
      </c>
      <c r="D107" s="65" t="s">
        <v>29</v>
      </c>
      <c r="E107" s="65" t="s">
        <v>883</v>
      </c>
      <c r="F107" s="65" t="s">
        <v>31</v>
      </c>
      <c r="G107" s="65" t="s">
        <v>884</v>
      </c>
      <c r="H107" s="65" t="s">
        <v>314</v>
      </c>
      <c r="I107" s="65" t="s">
        <v>315</v>
      </c>
      <c r="J107" s="65" t="s">
        <v>774</v>
      </c>
      <c r="K107" s="65" t="s">
        <v>775</v>
      </c>
      <c r="L107" s="65" t="s">
        <v>37</v>
      </c>
      <c r="M107" s="65" t="s">
        <v>316</v>
      </c>
      <c r="N107" s="65" t="s">
        <v>317</v>
      </c>
      <c r="O107" s="65" t="s">
        <v>314</v>
      </c>
      <c r="P107" s="65" t="s">
        <v>885</v>
      </c>
      <c r="Q107" s="65" t="s">
        <v>833</v>
      </c>
      <c r="R107">
        <v>1</v>
      </c>
      <c r="S107" s="65" t="s">
        <v>42</v>
      </c>
      <c r="T107" s="65" t="s">
        <v>44</v>
      </c>
      <c r="U107" s="65" t="s">
        <v>44</v>
      </c>
      <c r="V107" s="65" t="s">
        <v>45</v>
      </c>
      <c r="W107" s="65" t="s">
        <v>46</v>
      </c>
      <c r="X107">
        <v>50.85</v>
      </c>
      <c r="Y107" s="65" t="s">
        <v>619</v>
      </c>
      <c r="Z107" s="65" t="s">
        <v>48</v>
      </c>
      <c r="AA107" s="65" t="s">
        <v>49</v>
      </c>
      <c r="AC107" s="65"/>
    </row>
    <row r="108" spans="1:30" x14ac:dyDescent="0.3">
      <c r="A108" s="1">
        <v>46191</v>
      </c>
      <c r="B108" s="65" t="s">
        <v>3547</v>
      </c>
      <c r="C108" s="65" t="s">
        <v>886</v>
      </c>
      <c r="D108" s="65" t="s">
        <v>29</v>
      </c>
      <c r="E108" s="65" t="s">
        <v>887</v>
      </c>
      <c r="F108" s="65" t="s">
        <v>31</v>
      </c>
      <c r="G108" s="65" t="s">
        <v>888</v>
      </c>
      <c r="H108" s="65" t="s">
        <v>314</v>
      </c>
      <c r="I108" s="65" t="s">
        <v>315</v>
      </c>
      <c r="J108" s="65" t="s">
        <v>774</v>
      </c>
      <c r="K108" s="65" t="s">
        <v>775</v>
      </c>
      <c r="L108" s="65" t="s">
        <v>37</v>
      </c>
      <c r="M108" s="65" t="s">
        <v>316</v>
      </c>
      <c r="N108" s="65" t="s">
        <v>317</v>
      </c>
      <c r="O108" s="65" t="s">
        <v>314</v>
      </c>
      <c r="P108" s="65" t="s">
        <v>889</v>
      </c>
      <c r="Q108" s="65" t="s">
        <v>828</v>
      </c>
      <c r="R108">
        <v>1</v>
      </c>
      <c r="S108" s="65" t="s">
        <v>42</v>
      </c>
      <c r="T108" s="65" t="s">
        <v>44</v>
      </c>
      <c r="U108" s="65" t="s">
        <v>44</v>
      </c>
      <c r="V108" s="65" t="s">
        <v>45</v>
      </c>
      <c r="W108" s="65" t="s">
        <v>46</v>
      </c>
      <c r="X108">
        <v>127.12</v>
      </c>
      <c r="Y108" s="65" t="s">
        <v>47</v>
      </c>
      <c r="Z108" s="65" t="s">
        <v>48</v>
      </c>
      <c r="AA108" s="65" t="s">
        <v>49</v>
      </c>
      <c r="AC108" s="65"/>
    </row>
    <row r="109" spans="1:30" x14ac:dyDescent="0.3">
      <c r="A109" s="1">
        <v>46191</v>
      </c>
      <c r="B109" s="65" t="s">
        <v>3547</v>
      </c>
      <c r="C109" s="65" t="s">
        <v>890</v>
      </c>
      <c r="D109" s="65" t="s">
        <v>268</v>
      </c>
      <c r="E109" s="65" t="s">
        <v>891</v>
      </c>
      <c r="F109" s="65" t="s">
        <v>31</v>
      </c>
      <c r="G109" s="65" t="s">
        <v>892</v>
      </c>
      <c r="H109" s="65" t="s">
        <v>314</v>
      </c>
      <c r="I109" s="65" t="s">
        <v>315</v>
      </c>
      <c r="J109" s="65" t="s">
        <v>774</v>
      </c>
      <c r="K109" s="65" t="s">
        <v>775</v>
      </c>
      <c r="L109" s="65" t="s">
        <v>37</v>
      </c>
      <c r="M109" s="65" t="s">
        <v>316</v>
      </c>
      <c r="N109" s="65" t="s">
        <v>317</v>
      </c>
      <c r="O109" s="65" t="s">
        <v>798</v>
      </c>
      <c r="P109" s="65" t="s">
        <v>893</v>
      </c>
      <c r="Q109" s="65" t="s">
        <v>288</v>
      </c>
      <c r="R109">
        <v>1</v>
      </c>
      <c r="S109" s="65" t="s">
        <v>42</v>
      </c>
      <c r="T109" s="65" t="s">
        <v>44</v>
      </c>
      <c r="U109" s="65" t="s">
        <v>44</v>
      </c>
      <c r="V109" s="65" t="s">
        <v>45</v>
      </c>
      <c r="W109" s="65" t="s">
        <v>46</v>
      </c>
      <c r="X109">
        <v>0</v>
      </c>
      <c r="Y109" s="65" t="s">
        <v>289</v>
      </c>
      <c r="Z109" s="65" t="s">
        <v>48</v>
      </c>
      <c r="AA109" s="65" t="s">
        <v>49</v>
      </c>
      <c r="AC109" s="65"/>
    </row>
    <row r="110" spans="1:30" x14ac:dyDescent="0.3">
      <c r="A110" s="1">
        <v>46191</v>
      </c>
      <c r="B110" s="65" t="s">
        <v>3547</v>
      </c>
      <c r="C110" s="65" t="s">
        <v>890</v>
      </c>
      <c r="D110" s="65" t="s">
        <v>268</v>
      </c>
      <c r="E110" s="65" t="s">
        <v>891</v>
      </c>
      <c r="F110" s="65" t="s">
        <v>31</v>
      </c>
      <c r="G110" s="65" t="s">
        <v>892</v>
      </c>
      <c r="H110" s="65" t="s">
        <v>314</v>
      </c>
      <c r="I110" s="65" t="s">
        <v>315</v>
      </c>
      <c r="J110" s="65" t="s">
        <v>774</v>
      </c>
      <c r="K110" s="65" t="s">
        <v>775</v>
      </c>
      <c r="L110" s="65" t="s">
        <v>37</v>
      </c>
      <c r="M110" s="65" t="s">
        <v>316</v>
      </c>
      <c r="N110" s="65" t="s">
        <v>317</v>
      </c>
      <c r="O110" s="65" t="s">
        <v>798</v>
      </c>
      <c r="P110" s="65" t="s">
        <v>893</v>
      </c>
      <c r="Q110" s="65" t="s">
        <v>290</v>
      </c>
      <c r="R110">
        <v>1</v>
      </c>
      <c r="S110" s="65" t="s">
        <v>42</v>
      </c>
      <c r="T110" s="65" t="s">
        <v>44</v>
      </c>
      <c r="U110" s="65" t="s">
        <v>44</v>
      </c>
      <c r="V110" s="65" t="s">
        <v>45</v>
      </c>
      <c r="W110" s="65" t="s">
        <v>46</v>
      </c>
      <c r="X110">
        <v>762.71</v>
      </c>
      <c r="Y110" s="65" t="s">
        <v>289</v>
      </c>
      <c r="Z110" s="65" t="s">
        <v>48</v>
      </c>
      <c r="AA110" s="65" t="s">
        <v>49</v>
      </c>
      <c r="AC110" s="65"/>
    </row>
    <row r="111" spans="1:30" x14ac:dyDescent="0.3">
      <c r="A111" s="1">
        <v>46191</v>
      </c>
      <c r="B111" s="65" t="s">
        <v>3547</v>
      </c>
      <c r="C111" s="65" t="s">
        <v>1216</v>
      </c>
      <c r="D111" s="65" t="s">
        <v>29</v>
      </c>
      <c r="E111" s="65" t="s">
        <v>1217</v>
      </c>
      <c r="F111" s="65" t="s">
        <v>31</v>
      </c>
      <c r="G111" s="65" t="s">
        <v>1218</v>
      </c>
      <c r="H111" s="65" t="s">
        <v>1219</v>
      </c>
      <c r="I111" s="65" t="s">
        <v>1220</v>
      </c>
      <c r="J111" s="65" t="s">
        <v>1221</v>
      </c>
      <c r="K111" s="65" t="s">
        <v>1222</v>
      </c>
      <c r="L111" s="65" t="s">
        <v>37</v>
      </c>
      <c r="M111" s="65" t="s">
        <v>1223</v>
      </c>
      <c r="N111" s="65" t="s">
        <v>1224</v>
      </c>
      <c r="O111" s="65" t="s">
        <v>1219</v>
      </c>
      <c r="P111" s="65" t="s">
        <v>1225</v>
      </c>
      <c r="Q111" s="65" t="s">
        <v>159</v>
      </c>
      <c r="R111">
        <v>1</v>
      </c>
      <c r="S111" s="65" t="s">
        <v>42</v>
      </c>
      <c r="T111" s="65" t="s">
        <v>44</v>
      </c>
      <c r="U111" s="65" t="s">
        <v>44</v>
      </c>
      <c r="V111" s="65" t="s">
        <v>45</v>
      </c>
      <c r="W111" s="65" t="s">
        <v>46</v>
      </c>
      <c r="X111">
        <v>135.59</v>
      </c>
      <c r="Y111" s="65" t="s">
        <v>47</v>
      </c>
      <c r="Z111" s="65" t="s">
        <v>48</v>
      </c>
      <c r="AA111" s="65" t="s">
        <v>49</v>
      </c>
      <c r="AB111">
        <v>986089286</v>
      </c>
      <c r="AC111" s="65" t="s">
        <v>1226</v>
      </c>
      <c r="AD111">
        <v>30</v>
      </c>
    </row>
    <row r="112" spans="1:30" x14ac:dyDescent="0.3">
      <c r="A112" s="1">
        <v>46192</v>
      </c>
      <c r="B112" s="65" t="s">
        <v>3547</v>
      </c>
      <c r="C112" s="65" t="s">
        <v>514</v>
      </c>
      <c r="D112" s="65" t="s">
        <v>29</v>
      </c>
      <c r="E112" s="65" t="s">
        <v>515</v>
      </c>
      <c r="F112" s="65" t="s">
        <v>31</v>
      </c>
      <c r="G112" s="65" t="s">
        <v>516</v>
      </c>
      <c r="H112" s="65" t="s">
        <v>517</v>
      </c>
      <c r="I112" s="65" t="s">
        <v>518</v>
      </c>
      <c r="J112" s="65"/>
      <c r="K112" s="65"/>
      <c r="L112" s="65" t="s">
        <v>37</v>
      </c>
      <c r="M112" s="65" t="s">
        <v>519</v>
      </c>
      <c r="N112" s="65" t="s">
        <v>520</v>
      </c>
      <c r="O112" s="65" t="s">
        <v>517</v>
      </c>
      <c r="P112" s="65" t="s">
        <v>521</v>
      </c>
      <c r="Q112" s="65" t="s">
        <v>159</v>
      </c>
      <c r="R112">
        <v>1</v>
      </c>
      <c r="S112" s="65" t="s">
        <v>70</v>
      </c>
      <c r="T112" s="65" t="s">
        <v>43</v>
      </c>
      <c r="U112" s="65" t="s">
        <v>44</v>
      </c>
      <c r="V112" s="65" t="s">
        <v>71</v>
      </c>
      <c r="W112" s="65" t="s">
        <v>72</v>
      </c>
      <c r="X112">
        <v>135.59</v>
      </c>
      <c r="Y112" s="65" t="s">
        <v>47</v>
      </c>
      <c r="Z112" s="65" t="s">
        <v>48</v>
      </c>
      <c r="AA112" s="65" t="s">
        <v>73</v>
      </c>
      <c r="AC112" s="65"/>
      <c r="AD112">
        <v>30</v>
      </c>
    </row>
    <row r="113" spans="1:30" x14ac:dyDescent="0.3">
      <c r="A113" s="1">
        <v>46192</v>
      </c>
      <c r="B113" s="65" t="s">
        <v>3547</v>
      </c>
      <c r="C113" s="65" t="s">
        <v>514</v>
      </c>
      <c r="D113" s="65" t="s">
        <v>29</v>
      </c>
      <c r="E113" s="65" t="s">
        <v>515</v>
      </c>
      <c r="F113" s="65" t="s">
        <v>31</v>
      </c>
      <c r="G113" s="65" t="s">
        <v>516</v>
      </c>
      <c r="H113" s="65" t="s">
        <v>517</v>
      </c>
      <c r="I113" s="65" t="s">
        <v>518</v>
      </c>
      <c r="J113" s="65"/>
      <c r="K113" s="65"/>
      <c r="L113" s="65" t="s">
        <v>37</v>
      </c>
      <c r="M113" s="65" t="s">
        <v>519</v>
      </c>
      <c r="N113" s="65" t="s">
        <v>520</v>
      </c>
      <c r="O113" s="65" t="s">
        <v>517</v>
      </c>
      <c r="P113" s="65" t="s">
        <v>521</v>
      </c>
      <c r="Q113" s="65" t="s">
        <v>158</v>
      </c>
      <c r="R113">
        <v>1</v>
      </c>
      <c r="S113" s="65" t="s">
        <v>70</v>
      </c>
      <c r="T113" s="65" t="s">
        <v>43</v>
      </c>
      <c r="U113" s="65" t="s">
        <v>44</v>
      </c>
      <c r="V113" s="65" t="s">
        <v>71</v>
      </c>
      <c r="W113" s="65" t="s">
        <v>72</v>
      </c>
      <c r="X113">
        <v>152.54</v>
      </c>
      <c r="Y113" s="65" t="s">
        <v>47</v>
      </c>
      <c r="Z113" s="65" t="s">
        <v>48</v>
      </c>
      <c r="AA113" s="65" t="s">
        <v>73</v>
      </c>
      <c r="AC113" s="65"/>
      <c r="AD113">
        <v>30</v>
      </c>
    </row>
    <row r="114" spans="1:30" x14ac:dyDescent="0.3">
      <c r="A114" s="1">
        <v>46192</v>
      </c>
      <c r="B114" s="65" t="s">
        <v>3547</v>
      </c>
      <c r="C114" s="65" t="s">
        <v>514</v>
      </c>
      <c r="D114" s="65" t="s">
        <v>29</v>
      </c>
      <c r="E114" s="65" t="s">
        <v>515</v>
      </c>
      <c r="F114" s="65" t="s">
        <v>31</v>
      </c>
      <c r="G114" s="65" t="s">
        <v>516</v>
      </c>
      <c r="H114" s="65" t="s">
        <v>517</v>
      </c>
      <c r="I114" s="65" t="s">
        <v>518</v>
      </c>
      <c r="J114" s="65"/>
      <c r="K114" s="65"/>
      <c r="L114" s="65" t="s">
        <v>37</v>
      </c>
      <c r="M114" s="65" t="s">
        <v>519</v>
      </c>
      <c r="N114" s="65" t="s">
        <v>520</v>
      </c>
      <c r="O114" s="65" t="s">
        <v>517</v>
      </c>
      <c r="P114" s="65" t="s">
        <v>521</v>
      </c>
      <c r="Q114" s="65" t="s">
        <v>101</v>
      </c>
      <c r="R114">
        <v>1</v>
      </c>
      <c r="S114" s="65" t="s">
        <v>70</v>
      </c>
      <c r="T114" s="65" t="s">
        <v>43</v>
      </c>
      <c r="U114" s="65" t="s">
        <v>44</v>
      </c>
      <c r="V114" s="65" t="s">
        <v>71</v>
      </c>
      <c r="W114" s="65" t="s">
        <v>72</v>
      </c>
      <c r="X114">
        <v>186.44</v>
      </c>
      <c r="Y114" s="65" t="s">
        <v>47</v>
      </c>
      <c r="Z114" s="65" t="s">
        <v>48</v>
      </c>
      <c r="AA114" s="65" t="s">
        <v>73</v>
      </c>
      <c r="AC114" s="65"/>
      <c r="AD114">
        <v>50</v>
      </c>
    </row>
    <row r="115" spans="1:30" x14ac:dyDescent="0.3">
      <c r="A115" s="1">
        <v>46193</v>
      </c>
      <c r="B115" s="65" t="s">
        <v>3547</v>
      </c>
      <c r="C115" s="65" t="s">
        <v>489</v>
      </c>
      <c r="D115" s="65" t="s">
        <v>268</v>
      </c>
      <c r="E115" s="65" t="s">
        <v>490</v>
      </c>
      <c r="F115" s="65" t="s">
        <v>31</v>
      </c>
      <c r="G115" s="65" t="s">
        <v>491</v>
      </c>
      <c r="H115" s="65" t="s">
        <v>492</v>
      </c>
      <c r="I115" s="65" t="s">
        <v>493</v>
      </c>
      <c r="J115" s="65" t="s">
        <v>477</v>
      </c>
      <c r="K115" s="65" t="s">
        <v>209</v>
      </c>
      <c r="L115" s="65" t="s">
        <v>37</v>
      </c>
      <c r="M115" s="65" t="s">
        <v>494</v>
      </c>
      <c r="N115" s="65" t="s">
        <v>495</v>
      </c>
      <c r="O115" s="65" t="s">
        <v>486</v>
      </c>
      <c r="P115" s="65" t="s">
        <v>496</v>
      </c>
      <c r="Q115" s="65" t="s">
        <v>59</v>
      </c>
      <c r="R115">
        <v>2</v>
      </c>
      <c r="S115" s="65" t="s">
        <v>42</v>
      </c>
      <c r="T115" s="65" t="s">
        <v>44</v>
      </c>
      <c r="U115" s="65" t="s">
        <v>44</v>
      </c>
      <c r="V115" s="65" t="s">
        <v>45</v>
      </c>
      <c r="W115" s="65" t="s">
        <v>60</v>
      </c>
      <c r="X115">
        <v>203.39</v>
      </c>
      <c r="Y115" s="65" t="s">
        <v>61</v>
      </c>
      <c r="Z115" s="65" t="s">
        <v>48</v>
      </c>
      <c r="AA115" s="65" t="s">
        <v>49</v>
      </c>
      <c r="AB115">
        <v>982536223</v>
      </c>
      <c r="AC115" s="65" t="s">
        <v>482</v>
      </c>
    </row>
    <row r="116" spans="1:30" x14ac:dyDescent="0.3">
      <c r="A116" s="1">
        <v>46195</v>
      </c>
      <c r="B116" s="65" t="s">
        <v>3547</v>
      </c>
      <c r="C116" s="65" t="s">
        <v>725</v>
      </c>
      <c r="D116" s="65" t="s">
        <v>29</v>
      </c>
      <c r="E116" s="65" t="s">
        <v>726</v>
      </c>
      <c r="F116" s="65" t="s">
        <v>31</v>
      </c>
      <c r="G116" s="65" t="s">
        <v>727</v>
      </c>
      <c r="H116" s="65" t="s">
        <v>728</v>
      </c>
      <c r="I116" s="65" t="s">
        <v>729</v>
      </c>
      <c r="J116" s="65" t="s">
        <v>715</v>
      </c>
      <c r="K116" s="65" t="s">
        <v>716</v>
      </c>
      <c r="L116" s="65" t="s">
        <v>37</v>
      </c>
      <c r="M116" s="65" t="s">
        <v>730</v>
      </c>
      <c r="N116" s="65" t="s">
        <v>731</v>
      </c>
      <c r="O116" s="65" t="s">
        <v>728</v>
      </c>
      <c r="P116" s="65" t="s">
        <v>732</v>
      </c>
      <c r="Q116" s="65" t="s">
        <v>101</v>
      </c>
      <c r="R116">
        <v>1</v>
      </c>
      <c r="S116" s="65" t="s">
        <v>42</v>
      </c>
      <c r="T116" s="65" t="s">
        <v>44</v>
      </c>
      <c r="U116" s="65" t="s">
        <v>44</v>
      </c>
      <c r="V116" s="65" t="s">
        <v>45</v>
      </c>
      <c r="W116" s="65" t="s">
        <v>60</v>
      </c>
      <c r="X116">
        <v>186.44</v>
      </c>
      <c r="Y116" s="65" t="s">
        <v>47</v>
      </c>
      <c r="Z116" s="65" t="s">
        <v>48</v>
      </c>
      <c r="AA116" s="65" t="s">
        <v>49</v>
      </c>
      <c r="AB116">
        <v>955356636</v>
      </c>
      <c r="AC116" s="65" t="s">
        <v>720</v>
      </c>
      <c r="AD116">
        <v>50</v>
      </c>
    </row>
    <row r="117" spans="1:30" x14ac:dyDescent="0.3">
      <c r="A117" s="1">
        <v>46195</v>
      </c>
      <c r="B117" s="65" t="s">
        <v>3547</v>
      </c>
      <c r="C117" s="65" t="s">
        <v>1287</v>
      </c>
      <c r="D117" s="65" t="s">
        <v>29</v>
      </c>
      <c r="E117" s="65" t="s">
        <v>1288</v>
      </c>
      <c r="F117" s="65" t="s">
        <v>31</v>
      </c>
      <c r="G117" s="65" t="s">
        <v>1289</v>
      </c>
      <c r="H117" s="65" t="s">
        <v>1290</v>
      </c>
      <c r="I117" s="65" t="s">
        <v>1291</v>
      </c>
      <c r="J117" s="65" t="s">
        <v>1440</v>
      </c>
      <c r="K117" s="65" t="s">
        <v>1098</v>
      </c>
      <c r="L117" s="65" t="s">
        <v>37</v>
      </c>
      <c r="M117" s="65" t="s">
        <v>1292</v>
      </c>
      <c r="N117" s="65" t="s">
        <v>1293</v>
      </c>
      <c r="O117" s="65" t="s">
        <v>1290</v>
      </c>
      <c r="P117" s="65" t="s">
        <v>1294</v>
      </c>
      <c r="Q117" s="65" t="s">
        <v>159</v>
      </c>
      <c r="R117">
        <v>1</v>
      </c>
      <c r="S117" s="65" t="s">
        <v>42</v>
      </c>
      <c r="T117" s="65" t="s">
        <v>44</v>
      </c>
      <c r="U117" s="65" t="s">
        <v>44</v>
      </c>
      <c r="V117" s="65" t="s">
        <v>45</v>
      </c>
      <c r="W117" s="65" t="s">
        <v>60</v>
      </c>
      <c r="X117">
        <v>135.59</v>
      </c>
      <c r="Y117" s="65" t="s">
        <v>47</v>
      </c>
      <c r="Z117" s="65" t="s">
        <v>48</v>
      </c>
      <c r="AA117" s="65" t="s">
        <v>49</v>
      </c>
      <c r="AB117">
        <v>999418834</v>
      </c>
      <c r="AC117" s="65" t="s">
        <v>1442</v>
      </c>
      <c r="AD117">
        <v>30</v>
      </c>
    </row>
    <row r="118" spans="1:30" x14ac:dyDescent="0.3">
      <c r="A118" s="1">
        <v>46196</v>
      </c>
      <c r="B118" s="65" t="s">
        <v>3547</v>
      </c>
      <c r="C118" s="65" t="s">
        <v>522</v>
      </c>
      <c r="D118" s="65" t="s">
        <v>29</v>
      </c>
      <c r="E118" s="65" t="s">
        <v>523</v>
      </c>
      <c r="F118" s="65" t="s">
        <v>31</v>
      </c>
      <c r="G118" s="65" t="s">
        <v>524</v>
      </c>
      <c r="H118" s="65" t="s">
        <v>525</v>
      </c>
      <c r="I118" s="65" t="s">
        <v>526</v>
      </c>
      <c r="J118" s="65"/>
      <c r="K118" s="65"/>
      <c r="L118" s="65" t="s">
        <v>37</v>
      </c>
      <c r="M118" s="65" t="s">
        <v>527</v>
      </c>
      <c r="N118" s="65" t="s">
        <v>528</v>
      </c>
      <c r="O118" s="65" t="s">
        <v>525</v>
      </c>
      <c r="P118" s="65" t="s">
        <v>529</v>
      </c>
      <c r="Q118" s="65" t="s">
        <v>530</v>
      </c>
      <c r="R118">
        <v>1</v>
      </c>
      <c r="S118" s="65" t="s">
        <v>42</v>
      </c>
      <c r="T118" s="65" t="s">
        <v>44</v>
      </c>
      <c r="U118" s="65" t="s">
        <v>44</v>
      </c>
      <c r="V118" s="65" t="s">
        <v>531</v>
      </c>
      <c r="W118" s="65" t="s">
        <v>532</v>
      </c>
      <c r="X118">
        <v>0.21</v>
      </c>
      <c r="Y118" s="65" t="s">
        <v>533</v>
      </c>
      <c r="Z118" s="65" t="s">
        <v>48</v>
      </c>
      <c r="AA118" s="65" t="s">
        <v>534</v>
      </c>
      <c r="AC118" s="65"/>
    </row>
    <row r="119" spans="1:30" x14ac:dyDescent="0.3">
      <c r="A119" s="1">
        <v>46196</v>
      </c>
      <c r="B119" s="65" t="s">
        <v>3547</v>
      </c>
      <c r="C119" s="65" t="s">
        <v>522</v>
      </c>
      <c r="D119" s="65" t="s">
        <v>29</v>
      </c>
      <c r="E119" s="65" t="s">
        <v>523</v>
      </c>
      <c r="F119" s="65" t="s">
        <v>31</v>
      </c>
      <c r="G119" s="65" t="s">
        <v>524</v>
      </c>
      <c r="H119" s="65" t="s">
        <v>525</v>
      </c>
      <c r="I119" s="65" t="s">
        <v>526</v>
      </c>
      <c r="J119" s="65"/>
      <c r="K119" s="65"/>
      <c r="L119" s="65" t="s">
        <v>37</v>
      </c>
      <c r="M119" s="65" t="s">
        <v>527</v>
      </c>
      <c r="N119" s="65" t="s">
        <v>528</v>
      </c>
      <c r="O119" s="65" t="s">
        <v>525</v>
      </c>
      <c r="P119" s="65" t="s">
        <v>529</v>
      </c>
      <c r="Q119" s="65" t="s">
        <v>535</v>
      </c>
      <c r="R119">
        <v>1</v>
      </c>
      <c r="S119" s="65" t="s">
        <v>42</v>
      </c>
      <c r="T119" s="65" t="s">
        <v>44</v>
      </c>
      <c r="U119" s="65" t="s">
        <v>44</v>
      </c>
      <c r="V119" s="65" t="s">
        <v>531</v>
      </c>
      <c r="W119" s="65" t="s">
        <v>532</v>
      </c>
      <c r="X119">
        <v>0.68</v>
      </c>
      <c r="Y119" s="65" t="s">
        <v>533</v>
      </c>
      <c r="Z119" s="65" t="s">
        <v>48</v>
      </c>
      <c r="AA119" s="65" t="s">
        <v>534</v>
      </c>
      <c r="AC119" s="65"/>
    </row>
    <row r="120" spans="1:30" x14ac:dyDescent="0.3">
      <c r="A120" s="1">
        <v>46196</v>
      </c>
      <c r="B120" s="65" t="s">
        <v>3547</v>
      </c>
      <c r="C120" s="65" t="s">
        <v>522</v>
      </c>
      <c r="D120" s="65" t="s">
        <v>29</v>
      </c>
      <c r="E120" s="65" t="s">
        <v>523</v>
      </c>
      <c r="F120" s="65" t="s">
        <v>31</v>
      </c>
      <c r="G120" s="65" t="s">
        <v>524</v>
      </c>
      <c r="H120" s="65" t="s">
        <v>525</v>
      </c>
      <c r="I120" s="65" t="s">
        <v>526</v>
      </c>
      <c r="J120" s="65"/>
      <c r="K120" s="65"/>
      <c r="L120" s="65" t="s">
        <v>37</v>
      </c>
      <c r="M120" s="65" t="s">
        <v>527</v>
      </c>
      <c r="N120" s="65" t="s">
        <v>528</v>
      </c>
      <c r="O120" s="65" t="s">
        <v>525</v>
      </c>
      <c r="P120" s="65" t="s">
        <v>529</v>
      </c>
      <c r="Q120" s="65" t="s">
        <v>536</v>
      </c>
      <c r="R120">
        <v>1</v>
      </c>
      <c r="S120" s="65" t="s">
        <v>42</v>
      </c>
      <c r="T120" s="65" t="s">
        <v>44</v>
      </c>
      <c r="U120" s="65" t="s">
        <v>44</v>
      </c>
      <c r="V120" s="65" t="s">
        <v>531</v>
      </c>
      <c r="W120" s="65" t="s">
        <v>532</v>
      </c>
      <c r="X120">
        <v>0.42</v>
      </c>
      <c r="Y120" s="65" t="s">
        <v>533</v>
      </c>
      <c r="Z120" s="65" t="s">
        <v>48</v>
      </c>
      <c r="AA120" s="65" t="s">
        <v>534</v>
      </c>
      <c r="AC120" s="65"/>
    </row>
    <row r="121" spans="1:30" x14ac:dyDescent="0.3">
      <c r="A121" s="1">
        <v>46196</v>
      </c>
      <c r="B121" s="65" t="s">
        <v>3547</v>
      </c>
      <c r="C121" s="65" t="s">
        <v>894</v>
      </c>
      <c r="D121" s="65" t="s">
        <v>29</v>
      </c>
      <c r="E121" s="65" t="s">
        <v>895</v>
      </c>
      <c r="F121" s="65" t="s">
        <v>31</v>
      </c>
      <c r="G121" s="65" t="s">
        <v>896</v>
      </c>
      <c r="H121" s="65" t="s">
        <v>897</v>
      </c>
      <c r="I121" s="65" t="s">
        <v>898</v>
      </c>
      <c r="J121" s="65" t="s">
        <v>774</v>
      </c>
      <c r="K121" s="65" t="s">
        <v>775</v>
      </c>
      <c r="L121" s="65" t="s">
        <v>37</v>
      </c>
      <c r="M121" s="65" t="s">
        <v>899</v>
      </c>
      <c r="N121" s="65" t="s">
        <v>900</v>
      </c>
      <c r="O121" s="65" t="s">
        <v>897</v>
      </c>
      <c r="P121" s="65" t="s">
        <v>901</v>
      </c>
      <c r="Q121" s="65" t="s">
        <v>828</v>
      </c>
      <c r="R121">
        <v>1</v>
      </c>
      <c r="S121" s="65" t="s">
        <v>42</v>
      </c>
      <c r="T121" s="65" t="s">
        <v>44</v>
      </c>
      <c r="U121" s="65" t="s">
        <v>44</v>
      </c>
      <c r="V121" s="65" t="s">
        <v>45</v>
      </c>
      <c r="W121" s="65" t="s">
        <v>60</v>
      </c>
      <c r="X121">
        <v>127.12</v>
      </c>
      <c r="Y121" s="65" t="s">
        <v>47</v>
      </c>
      <c r="Z121" s="65" t="s">
        <v>48</v>
      </c>
      <c r="AA121" s="65" t="s">
        <v>49</v>
      </c>
      <c r="AC121" s="65"/>
    </row>
    <row r="122" spans="1:30" x14ac:dyDescent="0.3">
      <c r="A122" s="1">
        <v>46196</v>
      </c>
      <c r="B122" s="65" t="s">
        <v>3547</v>
      </c>
      <c r="C122" s="65" t="s">
        <v>902</v>
      </c>
      <c r="D122" s="65" t="s">
        <v>29</v>
      </c>
      <c r="E122" s="65" t="s">
        <v>903</v>
      </c>
      <c r="F122" s="65" t="s">
        <v>31</v>
      </c>
      <c r="G122" s="65" t="s">
        <v>904</v>
      </c>
      <c r="H122" s="65" t="s">
        <v>897</v>
      </c>
      <c r="I122" s="65" t="s">
        <v>898</v>
      </c>
      <c r="J122" s="65" t="s">
        <v>774</v>
      </c>
      <c r="K122" s="65" t="s">
        <v>775</v>
      </c>
      <c r="L122" s="65" t="s">
        <v>37</v>
      </c>
      <c r="M122" s="65" t="s">
        <v>899</v>
      </c>
      <c r="N122" s="65" t="s">
        <v>900</v>
      </c>
      <c r="O122" s="65" t="s">
        <v>897</v>
      </c>
      <c r="P122" s="65" t="s">
        <v>905</v>
      </c>
      <c r="Q122" s="65" t="s">
        <v>618</v>
      </c>
      <c r="R122">
        <v>1</v>
      </c>
      <c r="S122" s="65" t="s">
        <v>42</v>
      </c>
      <c r="T122" s="65" t="s">
        <v>44</v>
      </c>
      <c r="U122" s="65" t="s">
        <v>44</v>
      </c>
      <c r="V122" s="65" t="s">
        <v>45</v>
      </c>
      <c r="W122" s="65" t="s">
        <v>60</v>
      </c>
      <c r="X122">
        <v>12.71</v>
      </c>
      <c r="Y122" s="65" t="s">
        <v>619</v>
      </c>
      <c r="Z122" s="65" t="s">
        <v>48</v>
      </c>
      <c r="AA122" s="65" t="s">
        <v>49</v>
      </c>
      <c r="AC122" s="65"/>
    </row>
    <row r="123" spans="1:30" x14ac:dyDescent="0.3">
      <c r="A123" s="1">
        <v>46196</v>
      </c>
      <c r="B123" s="65" t="s">
        <v>3547</v>
      </c>
      <c r="C123" s="65" t="s">
        <v>902</v>
      </c>
      <c r="D123" s="65" t="s">
        <v>29</v>
      </c>
      <c r="E123" s="65" t="s">
        <v>903</v>
      </c>
      <c r="F123" s="65" t="s">
        <v>31</v>
      </c>
      <c r="G123" s="65" t="s">
        <v>904</v>
      </c>
      <c r="H123" s="65" t="s">
        <v>897</v>
      </c>
      <c r="I123" s="65" t="s">
        <v>898</v>
      </c>
      <c r="J123" s="65" t="s">
        <v>774</v>
      </c>
      <c r="K123" s="65" t="s">
        <v>775</v>
      </c>
      <c r="L123" s="65" t="s">
        <v>37</v>
      </c>
      <c r="M123" s="65" t="s">
        <v>899</v>
      </c>
      <c r="N123" s="65" t="s">
        <v>900</v>
      </c>
      <c r="O123" s="65" t="s">
        <v>897</v>
      </c>
      <c r="P123" s="65" t="s">
        <v>905</v>
      </c>
      <c r="Q123" s="65" t="s">
        <v>620</v>
      </c>
      <c r="R123">
        <v>1</v>
      </c>
      <c r="S123" s="65" t="s">
        <v>42</v>
      </c>
      <c r="T123" s="65" t="s">
        <v>44</v>
      </c>
      <c r="U123" s="65" t="s">
        <v>44</v>
      </c>
      <c r="V123" s="65" t="s">
        <v>45</v>
      </c>
      <c r="W123" s="65" t="s">
        <v>60</v>
      </c>
      <c r="X123">
        <v>21.19</v>
      </c>
      <c r="Y123" s="65" t="s">
        <v>619</v>
      </c>
      <c r="Z123" s="65" t="s">
        <v>48</v>
      </c>
      <c r="AA123" s="65" t="s">
        <v>49</v>
      </c>
      <c r="AC123" s="65"/>
    </row>
    <row r="124" spans="1:30" x14ac:dyDescent="0.3">
      <c r="A124" s="1">
        <v>46196</v>
      </c>
      <c r="B124" s="65" t="s">
        <v>3547</v>
      </c>
      <c r="C124" s="65" t="s">
        <v>902</v>
      </c>
      <c r="D124" s="65" t="s">
        <v>29</v>
      </c>
      <c r="E124" s="65" t="s">
        <v>903</v>
      </c>
      <c r="F124" s="65" t="s">
        <v>31</v>
      </c>
      <c r="G124" s="65" t="s">
        <v>904</v>
      </c>
      <c r="H124" s="65" t="s">
        <v>897</v>
      </c>
      <c r="I124" s="65" t="s">
        <v>898</v>
      </c>
      <c r="J124" s="65" t="s">
        <v>774</v>
      </c>
      <c r="K124" s="65" t="s">
        <v>775</v>
      </c>
      <c r="L124" s="65" t="s">
        <v>37</v>
      </c>
      <c r="M124" s="65" t="s">
        <v>899</v>
      </c>
      <c r="N124" s="65" t="s">
        <v>900</v>
      </c>
      <c r="O124" s="65" t="s">
        <v>897</v>
      </c>
      <c r="P124" s="65" t="s">
        <v>905</v>
      </c>
      <c r="Q124" s="65" t="s">
        <v>621</v>
      </c>
      <c r="R124">
        <v>1</v>
      </c>
      <c r="S124" s="65" t="s">
        <v>42</v>
      </c>
      <c r="T124" s="65" t="s">
        <v>44</v>
      </c>
      <c r="U124" s="65" t="s">
        <v>44</v>
      </c>
      <c r="V124" s="65" t="s">
        <v>45</v>
      </c>
      <c r="W124" s="65" t="s">
        <v>60</v>
      </c>
      <c r="X124">
        <v>12.71</v>
      </c>
      <c r="Y124" s="65" t="s">
        <v>619</v>
      </c>
      <c r="Z124" s="65" t="s">
        <v>48</v>
      </c>
      <c r="AA124" s="65" t="s">
        <v>49</v>
      </c>
      <c r="AC124" s="65"/>
    </row>
    <row r="125" spans="1:30" x14ac:dyDescent="0.3">
      <c r="A125" s="1">
        <v>46196</v>
      </c>
      <c r="B125" s="65" t="s">
        <v>3547</v>
      </c>
      <c r="C125" s="65" t="s">
        <v>902</v>
      </c>
      <c r="D125" s="65" t="s">
        <v>29</v>
      </c>
      <c r="E125" s="65" t="s">
        <v>903</v>
      </c>
      <c r="F125" s="65" t="s">
        <v>31</v>
      </c>
      <c r="G125" s="65" t="s">
        <v>904</v>
      </c>
      <c r="H125" s="65" t="s">
        <v>897</v>
      </c>
      <c r="I125" s="65" t="s">
        <v>898</v>
      </c>
      <c r="J125" s="65" t="s">
        <v>774</v>
      </c>
      <c r="K125" s="65" t="s">
        <v>775</v>
      </c>
      <c r="L125" s="65" t="s">
        <v>37</v>
      </c>
      <c r="M125" s="65" t="s">
        <v>899</v>
      </c>
      <c r="N125" s="65" t="s">
        <v>900</v>
      </c>
      <c r="O125" s="65" t="s">
        <v>897</v>
      </c>
      <c r="P125" s="65" t="s">
        <v>905</v>
      </c>
      <c r="Q125" s="65" t="s">
        <v>622</v>
      </c>
      <c r="R125">
        <v>1</v>
      </c>
      <c r="S125" s="65" t="s">
        <v>42</v>
      </c>
      <c r="T125" s="65" t="s">
        <v>44</v>
      </c>
      <c r="U125" s="65" t="s">
        <v>44</v>
      </c>
      <c r="V125" s="65" t="s">
        <v>45</v>
      </c>
      <c r="W125" s="65" t="s">
        <v>60</v>
      </c>
      <c r="X125">
        <v>12.71</v>
      </c>
      <c r="Y125" s="65" t="s">
        <v>619</v>
      </c>
      <c r="Z125" s="65" t="s">
        <v>48</v>
      </c>
      <c r="AA125" s="65" t="s">
        <v>49</v>
      </c>
      <c r="AC125" s="65"/>
    </row>
    <row r="126" spans="1:30" x14ac:dyDescent="0.3">
      <c r="A126" s="1">
        <v>46196</v>
      </c>
      <c r="B126" s="65" t="s">
        <v>3547</v>
      </c>
      <c r="C126" s="65" t="s">
        <v>902</v>
      </c>
      <c r="D126" s="65" t="s">
        <v>29</v>
      </c>
      <c r="E126" s="65" t="s">
        <v>903</v>
      </c>
      <c r="F126" s="65" t="s">
        <v>31</v>
      </c>
      <c r="G126" s="65" t="s">
        <v>904</v>
      </c>
      <c r="H126" s="65" t="s">
        <v>897</v>
      </c>
      <c r="I126" s="65" t="s">
        <v>898</v>
      </c>
      <c r="J126" s="65" t="s">
        <v>774</v>
      </c>
      <c r="K126" s="65" t="s">
        <v>775</v>
      </c>
      <c r="L126" s="65" t="s">
        <v>37</v>
      </c>
      <c r="M126" s="65" t="s">
        <v>899</v>
      </c>
      <c r="N126" s="65" t="s">
        <v>900</v>
      </c>
      <c r="O126" s="65" t="s">
        <v>897</v>
      </c>
      <c r="P126" s="65" t="s">
        <v>905</v>
      </c>
      <c r="Q126" s="65" t="s">
        <v>833</v>
      </c>
      <c r="R126">
        <v>1</v>
      </c>
      <c r="S126" s="65" t="s">
        <v>42</v>
      </c>
      <c r="T126" s="65" t="s">
        <v>44</v>
      </c>
      <c r="U126" s="65" t="s">
        <v>44</v>
      </c>
      <c r="V126" s="65" t="s">
        <v>45</v>
      </c>
      <c r="W126" s="65" t="s">
        <v>60</v>
      </c>
      <c r="X126">
        <v>50.85</v>
      </c>
      <c r="Y126" s="65" t="s">
        <v>619</v>
      </c>
      <c r="Z126" s="65" t="s">
        <v>48</v>
      </c>
      <c r="AA126" s="65" t="s">
        <v>49</v>
      </c>
      <c r="AC126" s="65"/>
    </row>
    <row r="127" spans="1:30" x14ac:dyDescent="0.3">
      <c r="A127" s="1">
        <v>46196</v>
      </c>
      <c r="B127" s="65" t="s">
        <v>3547</v>
      </c>
      <c r="C127" s="65" t="s">
        <v>906</v>
      </c>
      <c r="D127" s="65" t="s">
        <v>29</v>
      </c>
      <c r="E127" s="65" t="s">
        <v>907</v>
      </c>
      <c r="F127" s="65" t="s">
        <v>31</v>
      </c>
      <c r="G127" s="65" t="s">
        <v>908</v>
      </c>
      <c r="H127" s="65" t="s">
        <v>897</v>
      </c>
      <c r="I127" s="65" t="s">
        <v>898</v>
      </c>
      <c r="J127" s="65" t="s">
        <v>774</v>
      </c>
      <c r="K127" s="65" t="s">
        <v>775</v>
      </c>
      <c r="L127" s="65" t="s">
        <v>37</v>
      </c>
      <c r="M127" s="65" t="s">
        <v>899</v>
      </c>
      <c r="N127" s="65" t="s">
        <v>900</v>
      </c>
      <c r="O127" s="65" t="s">
        <v>897</v>
      </c>
      <c r="P127" s="65" t="s">
        <v>909</v>
      </c>
      <c r="Q127" s="65" t="s">
        <v>201</v>
      </c>
      <c r="R127">
        <v>1</v>
      </c>
      <c r="S127" s="65" t="s">
        <v>42</v>
      </c>
      <c r="T127" s="65" t="s">
        <v>44</v>
      </c>
      <c r="U127" s="65" t="s">
        <v>44</v>
      </c>
      <c r="V127" s="65" t="s">
        <v>45</v>
      </c>
      <c r="W127" s="65" t="s">
        <v>60</v>
      </c>
      <c r="X127">
        <v>42.37</v>
      </c>
      <c r="Y127" s="65" t="s">
        <v>47</v>
      </c>
      <c r="Z127" s="65" t="s">
        <v>48</v>
      </c>
      <c r="AA127" s="65" t="s">
        <v>49</v>
      </c>
      <c r="AC127" s="65"/>
      <c r="AD127">
        <v>30</v>
      </c>
    </row>
    <row r="128" spans="1:30" x14ac:dyDescent="0.3">
      <c r="A128" s="1">
        <v>46196</v>
      </c>
      <c r="B128" s="65" t="s">
        <v>3547</v>
      </c>
      <c r="C128" s="65" t="s">
        <v>906</v>
      </c>
      <c r="D128" s="65" t="s">
        <v>29</v>
      </c>
      <c r="E128" s="65" t="s">
        <v>907</v>
      </c>
      <c r="F128" s="65" t="s">
        <v>31</v>
      </c>
      <c r="G128" s="65" t="s">
        <v>908</v>
      </c>
      <c r="H128" s="65" t="s">
        <v>897</v>
      </c>
      <c r="I128" s="65" t="s">
        <v>898</v>
      </c>
      <c r="J128" s="65" t="s">
        <v>774</v>
      </c>
      <c r="K128" s="65" t="s">
        <v>775</v>
      </c>
      <c r="L128" s="65" t="s">
        <v>37</v>
      </c>
      <c r="M128" s="65" t="s">
        <v>899</v>
      </c>
      <c r="N128" s="65" t="s">
        <v>900</v>
      </c>
      <c r="O128" s="65" t="s">
        <v>897</v>
      </c>
      <c r="P128" s="65" t="s">
        <v>909</v>
      </c>
      <c r="Q128" s="65" t="s">
        <v>202</v>
      </c>
      <c r="R128">
        <v>1</v>
      </c>
      <c r="S128" s="65" t="s">
        <v>42</v>
      </c>
      <c r="T128" s="65" t="s">
        <v>44</v>
      </c>
      <c r="U128" s="65" t="s">
        <v>44</v>
      </c>
      <c r="V128" s="65" t="s">
        <v>45</v>
      </c>
      <c r="W128" s="65" t="s">
        <v>60</v>
      </c>
      <c r="X128">
        <v>42.37</v>
      </c>
      <c r="Y128" s="65" t="s">
        <v>47</v>
      </c>
      <c r="Z128" s="65" t="s">
        <v>48</v>
      </c>
      <c r="AA128" s="65" t="s">
        <v>49</v>
      </c>
      <c r="AC128" s="65"/>
      <c r="AD128">
        <v>30</v>
      </c>
    </row>
    <row r="129" spans="1:30" x14ac:dyDescent="0.3">
      <c r="A129" s="1">
        <v>46196</v>
      </c>
      <c r="B129" s="65" t="s">
        <v>3547</v>
      </c>
      <c r="C129" s="65" t="s">
        <v>910</v>
      </c>
      <c r="D129" s="65" t="s">
        <v>29</v>
      </c>
      <c r="E129" s="65" t="s">
        <v>911</v>
      </c>
      <c r="F129" s="65" t="s">
        <v>31</v>
      </c>
      <c r="G129" s="65" t="s">
        <v>912</v>
      </c>
      <c r="H129" s="65" t="s">
        <v>913</v>
      </c>
      <c r="I129" s="65" t="s">
        <v>914</v>
      </c>
      <c r="J129" s="65" t="s">
        <v>774</v>
      </c>
      <c r="K129" s="65" t="s">
        <v>775</v>
      </c>
      <c r="L129" s="65" t="s">
        <v>37</v>
      </c>
      <c r="M129" s="65" t="s">
        <v>915</v>
      </c>
      <c r="N129" s="65" t="s">
        <v>916</v>
      </c>
      <c r="O129" s="65" t="s">
        <v>913</v>
      </c>
      <c r="P129" s="65" t="s">
        <v>917</v>
      </c>
      <c r="Q129" s="65" t="s">
        <v>201</v>
      </c>
      <c r="R129">
        <v>1</v>
      </c>
      <c r="S129" s="65" t="s">
        <v>42</v>
      </c>
      <c r="T129" s="65" t="s">
        <v>44</v>
      </c>
      <c r="U129" s="65" t="s">
        <v>44</v>
      </c>
      <c r="V129" s="65" t="s">
        <v>45</v>
      </c>
      <c r="W129" s="65" t="s">
        <v>60</v>
      </c>
      <c r="X129">
        <v>42.37</v>
      </c>
      <c r="Y129" s="65" t="s">
        <v>47</v>
      </c>
      <c r="Z129" s="65" t="s">
        <v>48</v>
      </c>
      <c r="AA129" s="65" t="s">
        <v>49</v>
      </c>
      <c r="AC129" s="65"/>
      <c r="AD129">
        <v>30</v>
      </c>
    </row>
    <row r="130" spans="1:30" x14ac:dyDescent="0.3">
      <c r="A130" s="1">
        <v>46196</v>
      </c>
      <c r="B130" s="65" t="s">
        <v>3547</v>
      </c>
      <c r="C130" s="65" t="s">
        <v>910</v>
      </c>
      <c r="D130" s="65" t="s">
        <v>29</v>
      </c>
      <c r="E130" s="65" t="s">
        <v>911</v>
      </c>
      <c r="F130" s="65" t="s">
        <v>31</v>
      </c>
      <c r="G130" s="65" t="s">
        <v>912</v>
      </c>
      <c r="H130" s="65" t="s">
        <v>913</v>
      </c>
      <c r="I130" s="65" t="s">
        <v>914</v>
      </c>
      <c r="J130" s="65" t="s">
        <v>774</v>
      </c>
      <c r="K130" s="65" t="s">
        <v>775</v>
      </c>
      <c r="L130" s="65" t="s">
        <v>37</v>
      </c>
      <c r="M130" s="65" t="s">
        <v>915</v>
      </c>
      <c r="N130" s="65" t="s">
        <v>916</v>
      </c>
      <c r="O130" s="65" t="s">
        <v>913</v>
      </c>
      <c r="P130" s="65" t="s">
        <v>917</v>
      </c>
      <c r="Q130" s="65" t="s">
        <v>202</v>
      </c>
      <c r="R130">
        <v>1</v>
      </c>
      <c r="S130" s="65" t="s">
        <v>42</v>
      </c>
      <c r="T130" s="65" t="s">
        <v>44</v>
      </c>
      <c r="U130" s="65" t="s">
        <v>44</v>
      </c>
      <c r="V130" s="65" t="s">
        <v>45</v>
      </c>
      <c r="W130" s="65" t="s">
        <v>60</v>
      </c>
      <c r="X130">
        <v>42.37</v>
      </c>
      <c r="Y130" s="65" t="s">
        <v>47</v>
      </c>
      <c r="Z130" s="65" t="s">
        <v>48</v>
      </c>
      <c r="AA130" s="65" t="s">
        <v>49</v>
      </c>
      <c r="AC130" s="65"/>
      <c r="AD130">
        <v>30</v>
      </c>
    </row>
    <row r="131" spans="1:30" x14ac:dyDescent="0.3">
      <c r="A131" s="1">
        <v>46196</v>
      </c>
      <c r="B131" s="65" t="s">
        <v>3547</v>
      </c>
      <c r="C131" s="65" t="s">
        <v>918</v>
      </c>
      <c r="D131" s="65" t="s">
        <v>29</v>
      </c>
      <c r="E131" s="65" t="s">
        <v>919</v>
      </c>
      <c r="F131" s="65" t="s">
        <v>31</v>
      </c>
      <c r="G131" s="65" t="s">
        <v>920</v>
      </c>
      <c r="H131" s="65" t="s">
        <v>921</v>
      </c>
      <c r="I131" s="65" t="s">
        <v>922</v>
      </c>
      <c r="J131" s="65" t="s">
        <v>774</v>
      </c>
      <c r="K131" s="65" t="s">
        <v>775</v>
      </c>
      <c r="L131" s="65" t="s">
        <v>37</v>
      </c>
      <c r="M131" s="65" t="s">
        <v>923</v>
      </c>
      <c r="N131" s="65" t="s">
        <v>608</v>
      </c>
      <c r="O131" s="65" t="s">
        <v>921</v>
      </c>
      <c r="P131" s="65" t="s">
        <v>924</v>
      </c>
      <c r="Q131" s="65" t="s">
        <v>201</v>
      </c>
      <c r="R131">
        <v>1</v>
      </c>
      <c r="S131" s="65" t="s">
        <v>42</v>
      </c>
      <c r="T131" s="65" t="s">
        <v>44</v>
      </c>
      <c r="U131" s="65" t="s">
        <v>44</v>
      </c>
      <c r="V131" s="65" t="s">
        <v>45</v>
      </c>
      <c r="W131" s="65" t="s">
        <v>60</v>
      </c>
      <c r="X131">
        <v>42.37</v>
      </c>
      <c r="Y131" s="65" t="s">
        <v>47</v>
      </c>
      <c r="Z131" s="65" t="s">
        <v>48</v>
      </c>
      <c r="AA131" s="65" t="s">
        <v>49</v>
      </c>
      <c r="AC131" s="65"/>
      <c r="AD131">
        <v>30</v>
      </c>
    </row>
    <row r="132" spans="1:30" x14ac:dyDescent="0.3">
      <c r="A132" s="1">
        <v>46196</v>
      </c>
      <c r="B132" s="65" t="s">
        <v>3547</v>
      </c>
      <c r="C132" s="65" t="s">
        <v>918</v>
      </c>
      <c r="D132" s="65" t="s">
        <v>29</v>
      </c>
      <c r="E132" s="65" t="s">
        <v>919</v>
      </c>
      <c r="F132" s="65" t="s">
        <v>31</v>
      </c>
      <c r="G132" s="65" t="s">
        <v>920</v>
      </c>
      <c r="H132" s="65" t="s">
        <v>921</v>
      </c>
      <c r="I132" s="65" t="s">
        <v>922</v>
      </c>
      <c r="J132" s="65" t="s">
        <v>774</v>
      </c>
      <c r="K132" s="65" t="s">
        <v>775</v>
      </c>
      <c r="L132" s="65" t="s">
        <v>37</v>
      </c>
      <c r="M132" s="65" t="s">
        <v>923</v>
      </c>
      <c r="N132" s="65" t="s">
        <v>608</v>
      </c>
      <c r="O132" s="65" t="s">
        <v>921</v>
      </c>
      <c r="P132" s="65" t="s">
        <v>924</v>
      </c>
      <c r="Q132" s="65" t="s">
        <v>202</v>
      </c>
      <c r="R132">
        <v>1</v>
      </c>
      <c r="S132" s="65" t="s">
        <v>42</v>
      </c>
      <c r="T132" s="65" t="s">
        <v>44</v>
      </c>
      <c r="U132" s="65" t="s">
        <v>44</v>
      </c>
      <c r="V132" s="65" t="s">
        <v>45</v>
      </c>
      <c r="W132" s="65" t="s">
        <v>60</v>
      </c>
      <c r="X132">
        <v>42.37</v>
      </c>
      <c r="Y132" s="65" t="s">
        <v>47</v>
      </c>
      <c r="Z132" s="65" t="s">
        <v>48</v>
      </c>
      <c r="AA132" s="65" t="s">
        <v>49</v>
      </c>
      <c r="AC132" s="65"/>
      <c r="AD132">
        <v>30</v>
      </c>
    </row>
    <row r="133" spans="1:30" x14ac:dyDescent="0.3">
      <c r="A133" s="1">
        <v>46196</v>
      </c>
      <c r="B133" s="65" t="s">
        <v>3547</v>
      </c>
      <c r="C133" s="65" t="s">
        <v>925</v>
      </c>
      <c r="D133" s="65" t="s">
        <v>268</v>
      </c>
      <c r="E133" s="65" t="s">
        <v>926</v>
      </c>
      <c r="F133" s="65" t="s">
        <v>31</v>
      </c>
      <c r="G133" s="65" t="s">
        <v>927</v>
      </c>
      <c r="H133" s="65" t="s">
        <v>913</v>
      </c>
      <c r="I133" s="65" t="s">
        <v>914</v>
      </c>
      <c r="J133" s="65" t="s">
        <v>774</v>
      </c>
      <c r="K133" s="65" t="s">
        <v>775</v>
      </c>
      <c r="L133" s="65" t="s">
        <v>37</v>
      </c>
      <c r="M133" s="65" t="s">
        <v>915</v>
      </c>
      <c r="N133" s="65" t="s">
        <v>916</v>
      </c>
      <c r="O133" s="65" t="s">
        <v>798</v>
      </c>
      <c r="P133" s="65" t="s">
        <v>928</v>
      </c>
      <c r="Q133" s="65" t="s">
        <v>288</v>
      </c>
      <c r="R133">
        <v>1</v>
      </c>
      <c r="S133" s="65" t="s">
        <v>42</v>
      </c>
      <c r="T133" s="65" t="s">
        <v>44</v>
      </c>
      <c r="U133" s="65" t="s">
        <v>44</v>
      </c>
      <c r="V133" s="65" t="s">
        <v>45</v>
      </c>
      <c r="W133" s="65" t="s">
        <v>60</v>
      </c>
      <c r="X133">
        <v>0</v>
      </c>
      <c r="Y133" s="65" t="s">
        <v>289</v>
      </c>
      <c r="Z133" s="65" t="s">
        <v>48</v>
      </c>
      <c r="AA133" s="65" t="s">
        <v>49</v>
      </c>
      <c r="AC133" s="65"/>
    </row>
    <row r="134" spans="1:30" x14ac:dyDescent="0.3">
      <c r="A134" s="1">
        <v>46196</v>
      </c>
      <c r="B134" s="65" t="s">
        <v>3547</v>
      </c>
      <c r="C134" s="65" t="s">
        <v>925</v>
      </c>
      <c r="D134" s="65" t="s">
        <v>268</v>
      </c>
      <c r="E134" s="65" t="s">
        <v>926</v>
      </c>
      <c r="F134" s="65" t="s">
        <v>31</v>
      </c>
      <c r="G134" s="65" t="s">
        <v>927</v>
      </c>
      <c r="H134" s="65" t="s">
        <v>913</v>
      </c>
      <c r="I134" s="65" t="s">
        <v>914</v>
      </c>
      <c r="J134" s="65" t="s">
        <v>774</v>
      </c>
      <c r="K134" s="65" t="s">
        <v>775</v>
      </c>
      <c r="L134" s="65" t="s">
        <v>37</v>
      </c>
      <c r="M134" s="65" t="s">
        <v>915</v>
      </c>
      <c r="N134" s="65" t="s">
        <v>916</v>
      </c>
      <c r="O134" s="65" t="s">
        <v>798</v>
      </c>
      <c r="P134" s="65" t="s">
        <v>928</v>
      </c>
      <c r="Q134" s="65" t="s">
        <v>290</v>
      </c>
      <c r="R134">
        <v>1</v>
      </c>
      <c r="S134" s="65" t="s">
        <v>42</v>
      </c>
      <c r="T134" s="65" t="s">
        <v>44</v>
      </c>
      <c r="U134" s="65" t="s">
        <v>44</v>
      </c>
      <c r="V134" s="65" t="s">
        <v>45</v>
      </c>
      <c r="W134" s="65" t="s">
        <v>60</v>
      </c>
      <c r="X134">
        <v>1525.42</v>
      </c>
      <c r="Y134" s="65" t="s">
        <v>289</v>
      </c>
      <c r="Z134" s="65" t="s">
        <v>48</v>
      </c>
      <c r="AA134" s="65" t="s">
        <v>49</v>
      </c>
      <c r="AC134" s="65"/>
    </row>
    <row r="135" spans="1:30" x14ac:dyDescent="0.3">
      <c r="A135" s="1">
        <v>46196</v>
      </c>
      <c r="B135" s="65" t="s">
        <v>3547</v>
      </c>
      <c r="C135" s="65" t="s">
        <v>929</v>
      </c>
      <c r="D135" s="65" t="s">
        <v>268</v>
      </c>
      <c r="E135" s="65" t="s">
        <v>930</v>
      </c>
      <c r="F135" s="65" t="s">
        <v>31</v>
      </c>
      <c r="G135" s="65" t="s">
        <v>931</v>
      </c>
      <c r="H135" s="65" t="s">
        <v>921</v>
      </c>
      <c r="I135" s="65" t="s">
        <v>922</v>
      </c>
      <c r="J135" s="65" t="s">
        <v>774</v>
      </c>
      <c r="K135" s="65" t="s">
        <v>775</v>
      </c>
      <c r="L135" s="65" t="s">
        <v>37</v>
      </c>
      <c r="M135" s="65" t="s">
        <v>923</v>
      </c>
      <c r="N135" s="65" t="s">
        <v>608</v>
      </c>
      <c r="O135" s="65" t="s">
        <v>798</v>
      </c>
      <c r="P135" s="65" t="s">
        <v>932</v>
      </c>
      <c r="Q135" s="65" t="s">
        <v>288</v>
      </c>
      <c r="R135">
        <v>1</v>
      </c>
      <c r="S135" s="65" t="s">
        <v>42</v>
      </c>
      <c r="T135" s="65" t="s">
        <v>44</v>
      </c>
      <c r="U135" s="65" t="s">
        <v>44</v>
      </c>
      <c r="V135" s="65" t="s">
        <v>45</v>
      </c>
      <c r="W135" s="65" t="s">
        <v>60</v>
      </c>
      <c r="X135">
        <v>0</v>
      </c>
      <c r="Y135" s="65" t="s">
        <v>289</v>
      </c>
      <c r="Z135" s="65" t="s">
        <v>48</v>
      </c>
      <c r="AA135" s="65" t="s">
        <v>49</v>
      </c>
      <c r="AC135" s="65"/>
    </row>
    <row r="136" spans="1:30" x14ac:dyDescent="0.3">
      <c r="A136" s="1">
        <v>46196</v>
      </c>
      <c r="B136" s="65" t="s">
        <v>3547</v>
      </c>
      <c r="C136" s="65" t="s">
        <v>929</v>
      </c>
      <c r="D136" s="65" t="s">
        <v>268</v>
      </c>
      <c r="E136" s="65" t="s">
        <v>930</v>
      </c>
      <c r="F136" s="65" t="s">
        <v>31</v>
      </c>
      <c r="G136" s="65" t="s">
        <v>931</v>
      </c>
      <c r="H136" s="65" t="s">
        <v>921</v>
      </c>
      <c r="I136" s="65" t="s">
        <v>922</v>
      </c>
      <c r="J136" s="65" t="s">
        <v>774</v>
      </c>
      <c r="K136" s="65" t="s">
        <v>775</v>
      </c>
      <c r="L136" s="65" t="s">
        <v>37</v>
      </c>
      <c r="M136" s="65" t="s">
        <v>923</v>
      </c>
      <c r="N136" s="65" t="s">
        <v>608</v>
      </c>
      <c r="O136" s="65" t="s">
        <v>798</v>
      </c>
      <c r="P136" s="65" t="s">
        <v>932</v>
      </c>
      <c r="Q136" s="65" t="s">
        <v>290</v>
      </c>
      <c r="R136">
        <v>1</v>
      </c>
      <c r="S136" s="65" t="s">
        <v>42</v>
      </c>
      <c r="T136" s="65" t="s">
        <v>44</v>
      </c>
      <c r="U136" s="65" t="s">
        <v>44</v>
      </c>
      <c r="V136" s="65" t="s">
        <v>45</v>
      </c>
      <c r="W136" s="65" t="s">
        <v>60</v>
      </c>
      <c r="X136">
        <v>1525.42</v>
      </c>
      <c r="Y136" s="65" t="s">
        <v>289</v>
      </c>
      <c r="Z136" s="65" t="s">
        <v>48</v>
      </c>
      <c r="AA136" s="65" t="s">
        <v>49</v>
      </c>
      <c r="AC136" s="65"/>
    </row>
    <row r="137" spans="1:30" x14ac:dyDescent="0.3">
      <c r="A137" s="1">
        <v>46196</v>
      </c>
      <c r="B137" s="65" t="s">
        <v>3547</v>
      </c>
      <c r="C137" s="65" t="s">
        <v>933</v>
      </c>
      <c r="D137" s="65" t="s">
        <v>268</v>
      </c>
      <c r="E137" s="65" t="s">
        <v>934</v>
      </c>
      <c r="F137" s="65" t="s">
        <v>31</v>
      </c>
      <c r="G137" s="65" t="s">
        <v>935</v>
      </c>
      <c r="H137" s="65" t="s">
        <v>897</v>
      </c>
      <c r="I137" s="65" t="s">
        <v>898</v>
      </c>
      <c r="J137" s="65" t="s">
        <v>774</v>
      </c>
      <c r="K137" s="65" t="s">
        <v>775</v>
      </c>
      <c r="L137" s="65" t="s">
        <v>37</v>
      </c>
      <c r="M137" s="65" t="s">
        <v>899</v>
      </c>
      <c r="N137" s="65" t="s">
        <v>900</v>
      </c>
      <c r="O137" s="65" t="s">
        <v>798</v>
      </c>
      <c r="P137" s="65" t="s">
        <v>936</v>
      </c>
      <c r="Q137" s="65" t="s">
        <v>288</v>
      </c>
      <c r="R137">
        <v>1</v>
      </c>
      <c r="S137" s="65" t="s">
        <v>42</v>
      </c>
      <c r="T137" s="65" t="s">
        <v>44</v>
      </c>
      <c r="U137" s="65" t="s">
        <v>44</v>
      </c>
      <c r="V137" s="65" t="s">
        <v>45</v>
      </c>
      <c r="W137" s="65" t="s">
        <v>60</v>
      </c>
      <c r="X137">
        <v>0</v>
      </c>
      <c r="Y137" s="65" t="s">
        <v>289</v>
      </c>
      <c r="Z137" s="65" t="s">
        <v>48</v>
      </c>
      <c r="AA137" s="65" t="s">
        <v>49</v>
      </c>
      <c r="AC137" s="65"/>
    </row>
    <row r="138" spans="1:30" x14ac:dyDescent="0.3">
      <c r="A138" s="1">
        <v>46196</v>
      </c>
      <c r="B138" s="65" t="s">
        <v>3547</v>
      </c>
      <c r="C138" s="65" t="s">
        <v>933</v>
      </c>
      <c r="D138" s="65" t="s">
        <v>268</v>
      </c>
      <c r="E138" s="65" t="s">
        <v>934</v>
      </c>
      <c r="F138" s="65" t="s">
        <v>31</v>
      </c>
      <c r="G138" s="65" t="s">
        <v>935</v>
      </c>
      <c r="H138" s="65" t="s">
        <v>897</v>
      </c>
      <c r="I138" s="65" t="s">
        <v>898</v>
      </c>
      <c r="J138" s="65" t="s">
        <v>774</v>
      </c>
      <c r="K138" s="65" t="s">
        <v>775</v>
      </c>
      <c r="L138" s="65" t="s">
        <v>37</v>
      </c>
      <c r="M138" s="65" t="s">
        <v>899</v>
      </c>
      <c r="N138" s="65" t="s">
        <v>900</v>
      </c>
      <c r="O138" s="65" t="s">
        <v>798</v>
      </c>
      <c r="P138" s="65" t="s">
        <v>936</v>
      </c>
      <c r="Q138" s="65" t="s">
        <v>290</v>
      </c>
      <c r="R138">
        <v>1</v>
      </c>
      <c r="S138" s="65" t="s">
        <v>42</v>
      </c>
      <c r="T138" s="65" t="s">
        <v>44</v>
      </c>
      <c r="U138" s="65" t="s">
        <v>44</v>
      </c>
      <c r="V138" s="65" t="s">
        <v>45</v>
      </c>
      <c r="W138" s="65" t="s">
        <v>60</v>
      </c>
      <c r="X138">
        <v>1525.42</v>
      </c>
      <c r="Y138" s="65" t="s">
        <v>289</v>
      </c>
      <c r="Z138" s="65" t="s">
        <v>48</v>
      </c>
      <c r="AA138" s="65" t="s">
        <v>49</v>
      </c>
      <c r="AC138" s="65"/>
    </row>
    <row r="139" spans="1:30" x14ac:dyDescent="0.3">
      <c r="A139" s="1">
        <v>46196</v>
      </c>
      <c r="B139" s="65" t="s">
        <v>3547</v>
      </c>
      <c r="C139" s="65" t="s">
        <v>1335</v>
      </c>
      <c r="D139" s="65" t="s">
        <v>29</v>
      </c>
      <c r="E139" s="65" t="s">
        <v>1336</v>
      </c>
      <c r="F139" s="65" t="s">
        <v>31</v>
      </c>
      <c r="G139" s="65" t="s">
        <v>1337</v>
      </c>
      <c r="H139" s="65" t="s">
        <v>1338</v>
      </c>
      <c r="I139" s="65" t="s">
        <v>1339</v>
      </c>
      <c r="J139" s="65" t="s">
        <v>1340</v>
      </c>
      <c r="K139" s="65"/>
      <c r="L139" s="65" t="s">
        <v>37</v>
      </c>
      <c r="M139" s="65" t="s">
        <v>1341</v>
      </c>
      <c r="N139" s="65" t="s">
        <v>1342</v>
      </c>
      <c r="O139" s="65" t="s">
        <v>1338</v>
      </c>
      <c r="P139" s="65" t="s">
        <v>1343</v>
      </c>
      <c r="Q139" s="65" t="s">
        <v>90</v>
      </c>
      <c r="R139">
        <v>1</v>
      </c>
      <c r="S139" s="65" t="s">
        <v>42</v>
      </c>
      <c r="T139" s="65" t="s">
        <v>44</v>
      </c>
      <c r="U139" s="65" t="s">
        <v>44</v>
      </c>
      <c r="V139" s="65" t="s">
        <v>45</v>
      </c>
      <c r="W139" s="65" t="s">
        <v>60</v>
      </c>
      <c r="X139">
        <v>135.59</v>
      </c>
      <c r="Y139" s="65" t="s">
        <v>47</v>
      </c>
      <c r="Z139" s="65" t="s">
        <v>48</v>
      </c>
      <c r="AA139" s="65" t="s">
        <v>49</v>
      </c>
      <c r="AC139" s="65"/>
      <c r="AD139">
        <v>30</v>
      </c>
    </row>
    <row r="140" spans="1:30" x14ac:dyDescent="0.3">
      <c r="A140" s="1">
        <v>46197</v>
      </c>
      <c r="B140" s="65" t="s">
        <v>3547</v>
      </c>
      <c r="C140" s="65" t="s">
        <v>168</v>
      </c>
      <c r="D140" s="65" t="s">
        <v>29</v>
      </c>
      <c r="E140" s="65" t="s">
        <v>169</v>
      </c>
      <c r="F140" s="65" t="s">
        <v>31</v>
      </c>
      <c r="G140" s="65" t="s">
        <v>170</v>
      </c>
      <c r="H140" s="65" t="s">
        <v>171</v>
      </c>
      <c r="I140" s="65" t="s">
        <v>172</v>
      </c>
      <c r="J140" s="65" t="s">
        <v>136</v>
      </c>
      <c r="K140" s="65" t="s">
        <v>137</v>
      </c>
      <c r="L140" s="65" t="s">
        <v>37</v>
      </c>
      <c r="M140" s="65" t="s">
        <v>173</v>
      </c>
      <c r="N140" s="65" t="s">
        <v>174</v>
      </c>
      <c r="O140" s="65" t="s">
        <v>171</v>
      </c>
      <c r="P140" s="65" t="s">
        <v>175</v>
      </c>
      <c r="Q140" s="65" t="s">
        <v>101</v>
      </c>
      <c r="R140">
        <v>1</v>
      </c>
      <c r="S140" s="65" t="s">
        <v>42</v>
      </c>
      <c r="T140" s="65" t="s">
        <v>44</v>
      </c>
      <c r="U140" s="65" t="s">
        <v>44</v>
      </c>
      <c r="V140" s="65" t="s">
        <v>45</v>
      </c>
      <c r="W140" s="65" t="s">
        <v>60</v>
      </c>
      <c r="X140">
        <v>186.44</v>
      </c>
      <c r="Y140" s="65" t="s">
        <v>47</v>
      </c>
      <c r="Z140" s="65" t="s">
        <v>48</v>
      </c>
      <c r="AA140" s="65" t="s">
        <v>49</v>
      </c>
      <c r="AB140">
        <v>987407712</v>
      </c>
      <c r="AC140" s="65" t="s">
        <v>141</v>
      </c>
      <c r="AD140">
        <v>50</v>
      </c>
    </row>
    <row r="141" spans="1:30" x14ac:dyDescent="0.3">
      <c r="A141" s="1">
        <v>46197</v>
      </c>
      <c r="B141" s="65" t="s">
        <v>3547</v>
      </c>
      <c r="C141" s="65" t="s">
        <v>319</v>
      </c>
      <c r="D141" s="65" t="s">
        <v>268</v>
      </c>
      <c r="E141" s="65" t="s">
        <v>320</v>
      </c>
      <c r="F141" s="65" t="s">
        <v>31</v>
      </c>
      <c r="G141" s="65" t="s">
        <v>321</v>
      </c>
      <c r="H141" s="65" t="s">
        <v>322</v>
      </c>
      <c r="I141" s="65" t="s">
        <v>323</v>
      </c>
      <c r="J141" s="65" t="s">
        <v>273</v>
      </c>
      <c r="K141" s="65" t="s">
        <v>274</v>
      </c>
      <c r="L141" s="65" t="s">
        <v>37</v>
      </c>
      <c r="M141" s="65" t="s">
        <v>324</v>
      </c>
      <c r="N141" s="65" t="s">
        <v>325</v>
      </c>
      <c r="O141" s="65" t="s">
        <v>277</v>
      </c>
      <c r="P141" s="65" t="s">
        <v>326</v>
      </c>
      <c r="Q141" s="65" t="s">
        <v>288</v>
      </c>
      <c r="R141">
        <v>1</v>
      </c>
      <c r="S141" s="65" t="s">
        <v>42</v>
      </c>
      <c r="T141" s="65" t="s">
        <v>44</v>
      </c>
      <c r="U141" s="65" t="s">
        <v>44</v>
      </c>
      <c r="V141" s="65" t="s">
        <v>45</v>
      </c>
      <c r="W141" s="65" t="s">
        <v>60</v>
      </c>
      <c r="X141">
        <v>0</v>
      </c>
      <c r="Y141" s="65" t="s">
        <v>289</v>
      </c>
      <c r="Z141" s="65" t="s">
        <v>48</v>
      </c>
      <c r="AA141" s="65" t="s">
        <v>49</v>
      </c>
      <c r="AB141">
        <v>950133748</v>
      </c>
      <c r="AC141" s="65" t="s">
        <v>279</v>
      </c>
    </row>
    <row r="142" spans="1:30" x14ac:dyDescent="0.3">
      <c r="A142" s="1">
        <v>46197</v>
      </c>
      <c r="B142" s="65" t="s">
        <v>3547</v>
      </c>
      <c r="C142" s="65" t="s">
        <v>319</v>
      </c>
      <c r="D142" s="65" t="s">
        <v>268</v>
      </c>
      <c r="E142" s="65" t="s">
        <v>320</v>
      </c>
      <c r="F142" s="65" t="s">
        <v>31</v>
      </c>
      <c r="G142" s="65" t="s">
        <v>321</v>
      </c>
      <c r="H142" s="65" t="s">
        <v>322</v>
      </c>
      <c r="I142" s="65" t="s">
        <v>323</v>
      </c>
      <c r="J142" s="65" t="s">
        <v>273</v>
      </c>
      <c r="K142" s="65" t="s">
        <v>274</v>
      </c>
      <c r="L142" s="65" t="s">
        <v>37</v>
      </c>
      <c r="M142" s="65" t="s">
        <v>324</v>
      </c>
      <c r="N142" s="65" t="s">
        <v>325</v>
      </c>
      <c r="O142" s="65" t="s">
        <v>277</v>
      </c>
      <c r="P142" s="65" t="s">
        <v>326</v>
      </c>
      <c r="Q142" s="65" t="s">
        <v>290</v>
      </c>
      <c r="R142">
        <v>1</v>
      </c>
      <c r="S142" s="65" t="s">
        <v>42</v>
      </c>
      <c r="T142" s="65" t="s">
        <v>44</v>
      </c>
      <c r="U142" s="65" t="s">
        <v>44</v>
      </c>
      <c r="V142" s="65" t="s">
        <v>45</v>
      </c>
      <c r="W142" s="65" t="s">
        <v>60</v>
      </c>
      <c r="X142">
        <v>3211.86</v>
      </c>
      <c r="Y142" s="65" t="s">
        <v>289</v>
      </c>
      <c r="Z142" s="65" t="s">
        <v>48</v>
      </c>
      <c r="AA142" s="65" t="s">
        <v>49</v>
      </c>
      <c r="AB142">
        <v>950133748</v>
      </c>
      <c r="AC142" s="65" t="s">
        <v>279</v>
      </c>
    </row>
    <row r="143" spans="1:30" x14ac:dyDescent="0.3">
      <c r="A143" s="1">
        <v>46197</v>
      </c>
      <c r="B143" s="65" t="s">
        <v>3547</v>
      </c>
      <c r="C143" s="65" t="s">
        <v>359</v>
      </c>
      <c r="D143" s="65" t="s">
        <v>268</v>
      </c>
      <c r="E143" s="65" t="s">
        <v>360</v>
      </c>
      <c r="F143" s="65" t="s">
        <v>31</v>
      </c>
      <c r="G143" s="65" t="s">
        <v>361</v>
      </c>
      <c r="H143" s="65" t="s">
        <v>362</v>
      </c>
      <c r="I143" s="65" t="s">
        <v>363</v>
      </c>
      <c r="J143" s="65" t="s">
        <v>364</v>
      </c>
      <c r="K143" s="65" t="s">
        <v>365</v>
      </c>
      <c r="L143" s="65" t="s">
        <v>37</v>
      </c>
      <c r="M143" s="65" t="s">
        <v>366</v>
      </c>
      <c r="N143" s="65" t="s">
        <v>367</v>
      </c>
      <c r="O143" s="65" t="s">
        <v>368</v>
      </c>
      <c r="P143" s="65" t="s">
        <v>369</v>
      </c>
      <c r="Q143" s="65" t="s">
        <v>288</v>
      </c>
      <c r="R143">
        <v>1</v>
      </c>
      <c r="S143" s="65" t="s">
        <v>42</v>
      </c>
      <c r="T143" s="65" t="s">
        <v>44</v>
      </c>
      <c r="U143" s="65" t="s">
        <v>44</v>
      </c>
      <c r="V143" s="65" t="s">
        <v>45</v>
      </c>
      <c r="W143" s="65" t="s">
        <v>60</v>
      </c>
      <c r="X143">
        <v>0</v>
      </c>
      <c r="Y143" s="65" t="s">
        <v>289</v>
      </c>
      <c r="Z143" s="65" t="s">
        <v>48</v>
      </c>
      <c r="AA143" s="65" t="s">
        <v>49</v>
      </c>
      <c r="AB143">
        <v>976922608</v>
      </c>
      <c r="AC143" s="65" t="s">
        <v>370</v>
      </c>
    </row>
    <row r="144" spans="1:30" x14ac:dyDescent="0.3">
      <c r="A144" s="1">
        <v>46197</v>
      </c>
      <c r="B144" s="65" t="s">
        <v>3547</v>
      </c>
      <c r="C144" s="65" t="s">
        <v>359</v>
      </c>
      <c r="D144" s="65" t="s">
        <v>268</v>
      </c>
      <c r="E144" s="65" t="s">
        <v>360</v>
      </c>
      <c r="F144" s="65" t="s">
        <v>31</v>
      </c>
      <c r="G144" s="65" t="s">
        <v>361</v>
      </c>
      <c r="H144" s="65" t="s">
        <v>362</v>
      </c>
      <c r="I144" s="65" t="s">
        <v>363</v>
      </c>
      <c r="J144" s="65" t="s">
        <v>364</v>
      </c>
      <c r="K144" s="65" t="s">
        <v>365</v>
      </c>
      <c r="L144" s="65" t="s">
        <v>37</v>
      </c>
      <c r="M144" s="65" t="s">
        <v>366</v>
      </c>
      <c r="N144" s="65" t="s">
        <v>367</v>
      </c>
      <c r="O144" s="65" t="s">
        <v>368</v>
      </c>
      <c r="P144" s="65" t="s">
        <v>369</v>
      </c>
      <c r="Q144" s="65" t="s">
        <v>371</v>
      </c>
      <c r="R144">
        <v>1</v>
      </c>
      <c r="S144" s="65" t="s">
        <v>42</v>
      </c>
      <c r="T144" s="65" t="s">
        <v>44</v>
      </c>
      <c r="U144" s="65" t="s">
        <v>44</v>
      </c>
      <c r="V144" s="65" t="s">
        <v>45</v>
      </c>
      <c r="W144" s="65" t="s">
        <v>60</v>
      </c>
      <c r="X144">
        <v>550.85</v>
      </c>
      <c r="Y144" s="65" t="s">
        <v>289</v>
      </c>
      <c r="Z144" s="65" t="s">
        <v>48</v>
      </c>
      <c r="AA144" s="65" t="s">
        <v>49</v>
      </c>
      <c r="AB144">
        <v>976922608</v>
      </c>
      <c r="AC144" s="65" t="s">
        <v>370</v>
      </c>
    </row>
    <row r="145" spans="1:30" x14ac:dyDescent="0.3">
      <c r="A145" s="1">
        <v>46197</v>
      </c>
      <c r="B145" s="65" t="s">
        <v>3547</v>
      </c>
      <c r="C145" s="65" t="s">
        <v>372</v>
      </c>
      <c r="D145" s="65" t="s">
        <v>268</v>
      </c>
      <c r="E145" s="65" t="s">
        <v>373</v>
      </c>
      <c r="F145" s="65" t="s">
        <v>31</v>
      </c>
      <c r="G145" s="65" t="s">
        <v>374</v>
      </c>
      <c r="H145" s="65" t="s">
        <v>362</v>
      </c>
      <c r="I145" s="65" t="s">
        <v>363</v>
      </c>
      <c r="J145" s="65" t="s">
        <v>364</v>
      </c>
      <c r="K145" s="65" t="s">
        <v>365</v>
      </c>
      <c r="L145" s="65" t="s">
        <v>37</v>
      </c>
      <c r="M145" s="65" t="s">
        <v>366</v>
      </c>
      <c r="N145" s="65" t="s">
        <v>367</v>
      </c>
      <c r="O145" s="65" t="s">
        <v>368</v>
      </c>
      <c r="P145" s="65" t="s">
        <v>375</v>
      </c>
      <c r="Q145" s="65" t="s">
        <v>130</v>
      </c>
      <c r="R145">
        <v>1</v>
      </c>
      <c r="S145" s="65" t="s">
        <v>42</v>
      </c>
      <c r="T145" s="65" t="s">
        <v>44</v>
      </c>
      <c r="U145" s="65" t="s">
        <v>44</v>
      </c>
      <c r="V145" s="65" t="s">
        <v>45</v>
      </c>
      <c r="W145" s="65" t="s">
        <v>60</v>
      </c>
      <c r="X145">
        <v>152.54</v>
      </c>
      <c r="Y145" s="65" t="s">
        <v>47</v>
      </c>
      <c r="Z145" s="65" t="s">
        <v>48</v>
      </c>
      <c r="AA145" s="65" t="s">
        <v>49</v>
      </c>
      <c r="AB145">
        <v>976922608</v>
      </c>
      <c r="AC145" s="65" t="s">
        <v>370</v>
      </c>
      <c r="AD145">
        <v>30</v>
      </c>
    </row>
    <row r="146" spans="1:30" x14ac:dyDescent="0.3">
      <c r="A146" s="1">
        <v>46197</v>
      </c>
      <c r="B146" s="65" t="s">
        <v>3547</v>
      </c>
      <c r="C146" s="65" t="s">
        <v>376</v>
      </c>
      <c r="D146" s="65" t="s">
        <v>268</v>
      </c>
      <c r="E146" s="65" t="s">
        <v>377</v>
      </c>
      <c r="F146" s="65" t="s">
        <v>31</v>
      </c>
      <c r="G146" s="65" t="s">
        <v>378</v>
      </c>
      <c r="H146" s="65" t="s">
        <v>362</v>
      </c>
      <c r="I146" s="65" t="s">
        <v>363</v>
      </c>
      <c r="J146" s="65" t="s">
        <v>364</v>
      </c>
      <c r="K146" s="65" t="s">
        <v>365</v>
      </c>
      <c r="L146" s="65" t="s">
        <v>37</v>
      </c>
      <c r="M146" s="65" t="s">
        <v>366</v>
      </c>
      <c r="N146" s="65" t="s">
        <v>367</v>
      </c>
      <c r="O146" s="65" t="s">
        <v>368</v>
      </c>
      <c r="P146" s="65" t="s">
        <v>379</v>
      </c>
      <c r="Q146" s="65" t="s">
        <v>380</v>
      </c>
      <c r="R146">
        <v>1</v>
      </c>
      <c r="S146" s="65" t="s">
        <v>42</v>
      </c>
      <c r="T146" s="65" t="s">
        <v>44</v>
      </c>
      <c r="U146" s="65" t="s">
        <v>44</v>
      </c>
      <c r="V146" s="65" t="s">
        <v>45</v>
      </c>
      <c r="W146" s="65" t="s">
        <v>60</v>
      </c>
      <c r="X146">
        <v>33.9</v>
      </c>
      <c r="Y146" s="65" t="s">
        <v>47</v>
      </c>
      <c r="Z146" s="65" t="s">
        <v>48</v>
      </c>
      <c r="AA146" s="65" t="s">
        <v>49</v>
      </c>
      <c r="AB146">
        <v>976922608</v>
      </c>
      <c r="AC146" s="65" t="s">
        <v>370</v>
      </c>
    </row>
    <row r="147" spans="1:30" x14ac:dyDescent="0.3">
      <c r="A147" s="1">
        <v>46197</v>
      </c>
      <c r="B147" s="65" t="s">
        <v>3547</v>
      </c>
      <c r="C147" s="65" t="s">
        <v>733</v>
      </c>
      <c r="D147" s="65" t="s">
        <v>29</v>
      </c>
      <c r="E147" s="65" t="s">
        <v>734</v>
      </c>
      <c r="F147" s="65" t="s">
        <v>31</v>
      </c>
      <c r="G147" s="65" t="s">
        <v>735</v>
      </c>
      <c r="H147" s="65" t="s">
        <v>736</v>
      </c>
      <c r="I147" s="65" t="s">
        <v>737</v>
      </c>
      <c r="J147" s="65" t="s">
        <v>715</v>
      </c>
      <c r="K147" s="65" t="s">
        <v>716</v>
      </c>
      <c r="L147" s="65" t="s">
        <v>37</v>
      </c>
      <c r="M147" s="65" t="s">
        <v>738</v>
      </c>
      <c r="N147" s="65" t="s">
        <v>739</v>
      </c>
      <c r="O147" s="65" t="s">
        <v>736</v>
      </c>
      <c r="P147" s="65" t="s">
        <v>740</v>
      </c>
      <c r="Q147" s="65" t="s">
        <v>101</v>
      </c>
      <c r="R147">
        <v>1</v>
      </c>
      <c r="S147" s="65" t="s">
        <v>70</v>
      </c>
      <c r="T147" s="65" t="s">
        <v>43</v>
      </c>
      <c r="U147" s="65" t="s">
        <v>44</v>
      </c>
      <c r="V147" s="65" t="s">
        <v>71</v>
      </c>
      <c r="W147" s="65" t="s">
        <v>184</v>
      </c>
      <c r="X147">
        <v>186.44</v>
      </c>
      <c r="Y147" s="65" t="s">
        <v>47</v>
      </c>
      <c r="Z147" s="65" t="s">
        <v>48</v>
      </c>
      <c r="AA147" s="65" t="s">
        <v>73</v>
      </c>
      <c r="AB147">
        <v>955356636</v>
      </c>
      <c r="AC147" s="65" t="s">
        <v>720</v>
      </c>
      <c r="AD147">
        <v>50</v>
      </c>
    </row>
    <row r="148" spans="1:30" x14ac:dyDescent="0.3">
      <c r="A148" s="1">
        <v>46197</v>
      </c>
      <c r="B148" s="65" t="s">
        <v>3547</v>
      </c>
      <c r="C148" s="65" t="s">
        <v>733</v>
      </c>
      <c r="D148" s="65" t="s">
        <v>29</v>
      </c>
      <c r="E148" s="65" t="s">
        <v>734</v>
      </c>
      <c r="F148" s="65" t="s">
        <v>31</v>
      </c>
      <c r="G148" s="65" t="s">
        <v>735</v>
      </c>
      <c r="H148" s="65" t="s">
        <v>736</v>
      </c>
      <c r="I148" s="65" t="s">
        <v>737</v>
      </c>
      <c r="J148" s="65" t="s">
        <v>715</v>
      </c>
      <c r="K148" s="65" t="s">
        <v>716</v>
      </c>
      <c r="L148" s="65" t="s">
        <v>37</v>
      </c>
      <c r="M148" s="65" t="s">
        <v>738</v>
      </c>
      <c r="N148" s="65" t="s">
        <v>739</v>
      </c>
      <c r="O148" s="65" t="s">
        <v>736</v>
      </c>
      <c r="P148" s="65" t="s">
        <v>740</v>
      </c>
      <c r="Q148" s="65" t="s">
        <v>159</v>
      </c>
      <c r="R148">
        <v>1</v>
      </c>
      <c r="S148" s="65" t="s">
        <v>70</v>
      </c>
      <c r="T148" s="65" t="s">
        <v>43</v>
      </c>
      <c r="U148" s="65" t="s">
        <v>44</v>
      </c>
      <c r="V148" s="65" t="s">
        <v>71</v>
      </c>
      <c r="W148" s="65" t="s">
        <v>184</v>
      </c>
      <c r="X148">
        <v>135.59</v>
      </c>
      <c r="Y148" s="65" t="s">
        <v>47</v>
      </c>
      <c r="Z148" s="65" t="s">
        <v>48</v>
      </c>
      <c r="AA148" s="65" t="s">
        <v>73</v>
      </c>
      <c r="AB148">
        <v>955356636</v>
      </c>
      <c r="AC148" s="65" t="s">
        <v>720</v>
      </c>
      <c r="AD148">
        <v>30</v>
      </c>
    </row>
    <row r="149" spans="1:30" x14ac:dyDescent="0.3">
      <c r="A149" s="1">
        <v>46197</v>
      </c>
      <c r="B149" s="65" t="s">
        <v>3547</v>
      </c>
      <c r="C149" s="65" t="s">
        <v>1114</v>
      </c>
      <c r="D149" s="65" t="s">
        <v>29</v>
      </c>
      <c r="E149" s="65" t="s">
        <v>1115</v>
      </c>
      <c r="F149" s="65" t="s">
        <v>31</v>
      </c>
      <c r="G149" s="65" t="s">
        <v>1116</v>
      </c>
      <c r="H149" s="65" t="s">
        <v>1117</v>
      </c>
      <c r="I149" s="65" t="s">
        <v>1118</v>
      </c>
      <c r="J149" s="65" t="s">
        <v>1119</v>
      </c>
      <c r="K149" s="65" t="s">
        <v>1120</v>
      </c>
      <c r="L149" s="65" t="s">
        <v>37</v>
      </c>
      <c r="M149" s="65" t="s">
        <v>1121</v>
      </c>
      <c r="N149" s="65" t="s">
        <v>1122</v>
      </c>
      <c r="O149" s="65" t="s">
        <v>1117</v>
      </c>
      <c r="P149" s="65" t="s">
        <v>1123</v>
      </c>
      <c r="Q149" s="65" t="s">
        <v>201</v>
      </c>
      <c r="R149">
        <v>1</v>
      </c>
      <c r="S149" s="65" t="s">
        <v>42</v>
      </c>
      <c r="T149" s="65" t="s">
        <v>44</v>
      </c>
      <c r="U149" s="65" t="s">
        <v>44</v>
      </c>
      <c r="V149" s="65" t="s">
        <v>45</v>
      </c>
      <c r="W149" s="65" t="s">
        <v>60</v>
      </c>
      <c r="X149">
        <v>42.37</v>
      </c>
      <c r="Y149" s="65" t="s">
        <v>47</v>
      </c>
      <c r="Z149" s="65" t="s">
        <v>48</v>
      </c>
      <c r="AA149" s="65" t="s">
        <v>49</v>
      </c>
      <c r="AB149">
        <v>993540760</v>
      </c>
      <c r="AC149" s="65" t="s">
        <v>1124</v>
      </c>
      <c r="AD149">
        <v>30</v>
      </c>
    </row>
    <row r="150" spans="1:30" x14ac:dyDescent="0.3">
      <c r="A150" s="1">
        <v>46197</v>
      </c>
      <c r="B150" s="65" t="s">
        <v>3547</v>
      </c>
      <c r="C150" s="65" t="s">
        <v>1114</v>
      </c>
      <c r="D150" s="65" t="s">
        <v>29</v>
      </c>
      <c r="E150" s="65" t="s">
        <v>1115</v>
      </c>
      <c r="F150" s="65" t="s">
        <v>31</v>
      </c>
      <c r="G150" s="65" t="s">
        <v>1116</v>
      </c>
      <c r="H150" s="65" t="s">
        <v>1117</v>
      </c>
      <c r="I150" s="65" t="s">
        <v>1118</v>
      </c>
      <c r="J150" s="65" t="s">
        <v>1119</v>
      </c>
      <c r="K150" s="65" t="s">
        <v>1120</v>
      </c>
      <c r="L150" s="65" t="s">
        <v>37</v>
      </c>
      <c r="M150" s="65" t="s">
        <v>1121</v>
      </c>
      <c r="N150" s="65" t="s">
        <v>1122</v>
      </c>
      <c r="O150" s="65" t="s">
        <v>1117</v>
      </c>
      <c r="P150" s="65" t="s">
        <v>1123</v>
      </c>
      <c r="Q150" s="65" t="s">
        <v>202</v>
      </c>
      <c r="R150">
        <v>1</v>
      </c>
      <c r="S150" s="65" t="s">
        <v>42</v>
      </c>
      <c r="T150" s="65" t="s">
        <v>44</v>
      </c>
      <c r="U150" s="65" t="s">
        <v>44</v>
      </c>
      <c r="V150" s="65" t="s">
        <v>45</v>
      </c>
      <c r="W150" s="65" t="s">
        <v>60</v>
      </c>
      <c r="X150">
        <v>42.37</v>
      </c>
      <c r="Y150" s="65" t="s">
        <v>47</v>
      </c>
      <c r="Z150" s="65" t="s">
        <v>48</v>
      </c>
      <c r="AA150" s="65" t="s">
        <v>49</v>
      </c>
      <c r="AB150">
        <v>993540760</v>
      </c>
      <c r="AC150" s="65" t="s">
        <v>1124</v>
      </c>
      <c r="AD150">
        <v>30</v>
      </c>
    </row>
    <row r="151" spans="1:30" x14ac:dyDescent="0.3">
      <c r="A151" s="1">
        <v>46197</v>
      </c>
      <c r="B151" s="65" t="s">
        <v>3547</v>
      </c>
      <c r="C151" s="65" t="s">
        <v>1125</v>
      </c>
      <c r="D151" s="65" t="s">
        <v>29</v>
      </c>
      <c r="E151" s="65" t="s">
        <v>1126</v>
      </c>
      <c r="F151" s="65" t="s">
        <v>31</v>
      </c>
      <c r="G151" s="65" t="s">
        <v>1127</v>
      </c>
      <c r="H151" s="65" t="s">
        <v>1117</v>
      </c>
      <c r="I151" s="65" t="s">
        <v>1118</v>
      </c>
      <c r="J151" s="65" t="s">
        <v>1119</v>
      </c>
      <c r="K151" s="65" t="s">
        <v>1120</v>
      </c>
      <c r="L151" s="65" t="s">
        <v>37</v>
      </c>
      <c r="M151" s="65" t="s">
        <v>1121</v>
      </c>
      <c r="N151" s="65" t="s">
        <v>1122</v>
      </c>
      <c r="O151" s="65" t="s">
        <v>1117</v>
      </c>
      <c r="P151" s="65" t="s">
        <v>1128</v>
      </c>
      <c r="Q151" s="65" t="s">
        <v>618</v>
      </c>
      <c r="R151">
        <v>1</v>
      </c>
      <c r="S151" s="65" t="s">
        <v>42</v>
      </c>
      <c r="T151" s="65" t="s">
        <v>44</v>
      </c>
      <c r="U151" s="65" t="s">
        <v>44</v>
      </c>
      <c r="V151" s="65" t="s">
        <v>45</v>
      </c>
      <c r="W151" s="65" t="s">
        <v>60</v>
      </c>
      <c r="X151">
        <v>12.71</v>
      </c>
      <c r="Y151" s="65" t="s">
        <v>619</v>
      </c>
      <c r="Z151" s="65" t="s">
        <v>48</v>
      </c>
      <c r="AA151" s="65" t="s">
        <v>49</v>
      </c>
      <c r="AB151">
        <v>993540760</v>
      </c>
      <c r="AC151" s="65" t="s">
        <v>1124</v>
      </c>
    </row>
    <row r="152" spans="1:30" x14ac:dyDescent="0.3">
      <c r="A152" s="1">
        <v>46197</v>
      </c>
      <c r="B152" s="65" t="s">
        <v>3547</v>
      </c>
      <c r="C152" s="65" t="s">
        <v>1125</v>
      </c>
      <c r="D152" s="65" t="s">
        <v>29</v>
      </c>
      <c r="E152" s="65" t="s">
        <v>1126</v>
      </c>
      <c r="F152" s="65" t="s">
        <v>31</v>
      </c>
      <c r="G152" s="65" t="s">
        <v>1127</v>
      </c>
      <c r="H152" s="65" t="s">
        <v>1117</v>
      </c>
      <c r="I152" s="65" t="s">
        <v>1118</v>
      </c>
      <c r="J152" s="65" t="s">
        <v>1119</v>
      </c>
      <c r="K152" s="65" t="s">
        <v>1120</v>
      </c>
      <c r="L152" s="65" t="s">
        <v>37</v>
      </c>
      <c r="M152" s="65" t="s">
        <v>1121</v>
      </c>
      <c r="N152" s="65" t="s">
        <v>1122</v>
      </c>
      <c r="O152" s="65" t="s">
        <v>1117</v>
      </c>
      <c r="P152" s="65" t="s">
        <v>1128</v>
      </c>
      <c r="Q152" s="65" t="s">
        <v>620</v>
      </c>
      <c r="R152">
        <v>1</v>
      </c>
      <c r="S152" s="65" t="s">
        <v>42</v>
      </c>
      <c r="T152" s="65" t="s">
        <v>44</v>
      </c>
      <c r="U152" s="65" t="s">
        <v>44</v>
      </c>
      <c r="V152" s="65" t="s">
        <v>45</v>
      </c>
      <c r="W152" s="65" t="s">
        <v>60</v>
      </c>
      <c r="X152">
        <v>21.19</v>
      </c>
      <c r="Y152" s="65" t="s">
        <v>619</v>
      </c>
      <c r="Z152" s="65" t="s">
        <v>48</v>
      </c>
      <c r="AA152" s="65" t="s">
        <v>49</v>
      </c>
      <c r="AB152">
        <v>993540760</v>
      </c>
      <c r="AC152" s="65" t="s">
        <v>1124</v>
      </c>
    </row>
    <row r="153" spans="1:30" x14ac:dyDescent="0.3">
      <c r="A153" s="1">
        <v>46197</v>
      </c>
      <c r="B153" s="65" t="s">
        <v>3547</v>
      </c>
      <c r="C153" s="65" t="s">
        <v>1125</v>
      </c>
      <c r="D153" s="65" t="s">
        <v>29</v>
      </c>
      <c r="E153" s="65" t="s">
        <v>1126</v>
      </c>
      <c r="F153" s="65" t="s">
        <v>31</v>
      </c>
      <c r="G153" s="65" t="s">
        <v>1127</v>
      </c>
      <c r="H153" s="65" t="s">
        <v>1117</v>
      </c>
      <c r="I153" s="65" t="s">
        <v>1118</v>
      </c>
      <c r="J153" s="65" t="s">
        <v>1119</v>
      </c>
      <c r="K153" s="65" t="s">
        <v>1120</v>
      </c>
      <c r="L153" s="65" t="s">
        <v>37</v>
      </c>
      <c r="M153" s="65" t="s">
        <v>1121</v>
      </c>
      <c r="N153" s="65" t="s">
        <v>1122</v>
      </c>
      <c r="O153" s="65" t="s">
        <v>1117</v>
      </c>
      <c r="P153" s="65" t="s">
        <v>1128</v>
      </c>
      <c r="Q153" s="65" t="s">
        <v>621</v>
      </c>
      <c r="R153">
        <v>1</v>
      </c>
      <c r="S153" s="65" t="s">
        <v>42</v>
      </c>
      <c r="T153" s="65" t="s">
        <v>44</v>
      </c>
      <c r="U153" s="65" t="s">
        <v>44</v>
      </c>
      <c r="V153" s="65" t="s">
        <v>45</v>
      </c>
      <c r="W153" s="65" t="s">
        <v>60</v>
      </c>
      <c r="X153">
        <v>12.71</v>
      </c>
      <c r="Y153" s="65" t="s">
        <v>619</v>
      </c>
      <c r="Z153" s="65" t="s">
        <v>48</v>
      </c>
      <c r="AA153" s="65" t="s">
        <v>49</v>
      </c>
      <c r="AB153">
        <v>993540760</v>
      </c>
      <c r="AC153" s="65" t="s">
        <v>1124</v>
      </c>
    </row>
    <row r="154" spans="1:30" x14ac:dyDescent="0.3">
      <c r="A154" s="1">
        <v>46197</v>
      </c>
      <c r="B154" s="65" t="s">
        <v>3547</v>
      </c>
      <c r="C154" s="65" t="s">
        <v>1125</v>
      </c>
      <c r="D154" s="65" t="s">
        <v>29</v>
      </c>
      <c r="E154" s="65" t="s">
        <v>1126</v>
      </c>
      <c r="F154" s="65" t="s">
        <v>31</v>
      </c>
      <c r="G154" s="65" t="s">
        <v>1127</v>
      </c>
      <c r="H154" s="65" t="s">
        <v>1117</v>
      </c>
      <c r="I154" s="65" t="s">
        <v>1118</v>
      </c>
      <c r="J154" s="65" t="s">
        <v>1119</v>
      </c>
      <c r="K154" s="65" t="s">
        <v>1120</v>
      </c>
      <c r="L154" s="65" t="s">
        <v>37</v>
      </c>
      <c r="M154" s="65" t="s">
        <v>1121</v>
      </c>
      <c r="N154" s="65" t="s">
        <v>1122</v>
      </c>
      <c r="O154" s="65" t="s">
        <v>1117</v>
      </c>
      <c r="P154" s="65" t="s">
        <v>1128</v>
      </c>
      <c r="Q154" s="65" t="s">
        <v>622</v>
      </c>
      <c r="R154">
        <v>1</v>
      </c>
      <c r="S154" s="65" t="s">
        <v>42</v>
      </c>
      <c r="T154" s="65" t="s">
        <v>44</v>
      </c>
      <c r="U154" s="65" t="s">
        <v>44</v>
      </c>
      <c r="V154" s="65" t="s">
        <v>45</v>
      </c>
      <c r="W154" s="65" t="s">
        <v>60</v>
      </c>
      <c r="X154">
        <v>12.71</v>
      </c>
      <c r="Y154" s="65" t="s">
        <v>619</v>
      </c>
      <c r="Z154" s="65" t="s">
        <v>48</v>
      </c>
      <c r="AA154" s="65" t="s">
        <v>49</v>
      </c>
      <c r="AB154">
        <v>993540760</v>
      </c>
      <c r="AC154" s="65" t="s">
        <v>1124</v>
      </c>
    </row>
    <row r="155" spans="1:30" x14ac:dyDescent="0.3">
      <c r="A155" s="1">
        <v>46197</v>
      </c>
      <c r="B155" s="65" t="s">
        <v>3547</v>
      </c>
      <c r="C155" s="65" t="s">
        <v>1125</v>
      </c>
      <c r="D155" s="65" t="s">
        <v>29</v>
      </c>
      <c r="E155" s="65" t="s">
        <v>1126</v>
      </c>
      <c r="F155" s="65" t="s">
        <v>31</v>
      </c>
      <c r="G155" s="65" t="s">
        <v>1127</v>
      </c>
      <c r="H155" s="65" t="s">
        <v>1117</v>
      </c>
      <c r="I155" s="65" t="s">
        <v>1118</v>
      </c>
      <c r="J155" s="65" t="s">
        <v>1119</v>
      </c>
      <c r="K155" s="65" t="s">
        <v>1120</v>
      </c>
      <c r="L155" s="65" t="s">
        <v>37</v>
      </c>
      <c r="M155" s="65" t="s">
        <v>1121</v>
      </c>
      <c r="N155" s="65" t="s">
        <v>1122</v>
      </c>
      <c r="O155" s="65" t="s">
        <v>1117</v>
      </c>
      <c r="P155" s="65" t="s">
        <v>1128</v>
      </c>
      <c r="Q155" s="65" t="s">
        <v>833</v>
      </c>
      <c r="R155">
        <v>1</v>
      </c>
      <c r="S155" s="65" t="s">
        <v>42</v>
      </c>
      <c r="T155" s="65" t="s">
        <v>44</v>
      </c>
      <c r="U155" s="65" t="s">
        <v>44</v>
      </c>
      <c r="V155" s="65" t="s">
        <v>45</v>
      </c>
      <c r="W155" s="65" t="s">
        <v>60</v>
      </c>
      <c r="X155">
        <v>50.85</v>
      </c>
      <c r="Y155" s="65" t="s">
        <v>619</v>
      </c>
      <c r="Z155" s="65" t="s">
        <v>48</v>
      </c>
      <c r="AA155" s="65" t="s">
        <v>49</v>
      </c>
      <c r="AB155">
        <v>993540760</v>
      </c>
      <c r="AC155" s="65" t="s">
        <v>1124</v>
      </c>
    </row>
    <row r="156" spans="1:30" x14ac:dyDescent="0.3">
      <c r="A156" s="1">
        <v>46197</v>
      </c>
      <c r="B156" s="65" t="s">
        <v>3547</v>
      </c>
      <c r="C156" s="65" t="s">
        <v>1129</v>
      </c>
      <c r="D156" s="65" t="s">
        <v>29</v>
      </c>
      <c r="E156" s="65" t="s">
        <v>1130</v>
      </c>
      <c r="F156" s="65" t="s">
        <v>31</v>
      </c>
      <c r="G156" s="65" t="s">
        <v>1131</v>
      </c>
      <c r="H156" s="65" t="s">
        <v>1117</v>
      </c>
      <c r="I156" s="65" t="s">
        <v>1118</v>
      </c>
      <c r="J156" s="65" t="s">
        <v>1119</v>
      </c>
      <c r="K156" s="65" t="s">
        <v>1120</v>
      </c>
      <c r="L156" s="65" t="s">
        <v>37</v>
      </c>
      <c r="M156" s="65" t="s">
        <v>1121</v>
      </c>
      <c r="N156" s="65" t="s">
        <v>1122</v>
      </c>
      <c r="O156" s="65" t="s">
        <v>1117</v>
      </c>
      <c r="P156" s="65" t="s">
        <v>1132</v>
      </c>
      <c r="Q156" s="65" t="s">
        <v>828</v>
      </c>
      <c r="R156">
        <v>1</v>
      </c>
      <c r="S156" s="65" t="s">
        <v>42</v>
      </c>
      <c r="T156" s="65" t="s">
        <v>44</v>
      </c>
      <c r="U156" s="65" t="s">
        <v>44</v>
      </c>
      <c r="V156" s="65" t="s">
        <v>45</v>
      </c>
      <c r="W156" s="65" t="s">
        <v>60</v>
      </c>
      <c r="X156">
        <v>127.12</v>
      </c>
      <c r="Y156" s="65" t="s">
        <v>47</v>
      </c>
      <c r="Z156" s="65" t="s">
        <v>48</v>
      </c>
      <c r="AA156" s="65" t="s">
        <v>49</v>
      </c>
      <c r="AB156">
        <v>993540760</v>
      </c>
      <c r="AC156" s="65" t="s">
        <v>1124</v>
      </c>
    </row>
    <row r="157" spans="1:30" x14ac:dyDescent="0.3">
      <c r="A157" s="1">
        <v>46197</v>
      </c>
      <c r="B157" s="65" t="s">
        <v>3547</v>
      </c>
      <c r="C157" s="65" t="s">
        <v>1354</v>
      </c>
      <c r="D157" s="65" t="s">
        <v>29</v>
      </c>
      <c r="E157" s="65" t="s">
        <v>1355</v>
      </c>
      <c r="F157" s="65" t="s">
        <v>31</v>
      </c>
      <c r="G157" s="65" t="s">
        <v>1356</v>
      </c>
      <c r="H157" s="65" t="s">
        <v>1357</v>
      </c>
      <c r="I157" s="65" t="s">
        <v>1358</v>
      </c>
      <c r="J157" s="65" t="s">
        <v>1359</v>
      </c>
      <c r="K157" s="65"/>
      <c r="L157" s="65" t="s">
        <v>37</v>
      </c>
      <c r="M157" s="65" t="s">
        <v>1360</v>
      </c>
      <c r="N157" s="65" t="s">
        <v>1361</v>
      </c>
      <c r="O157" s="65" t="s">
        <v>1357</v>
      </c>
      <c r="P157" s="65" t="s">
        <v>1362</v>
      </c>
      <c r="Q157" s="65" t="s">
        <v>1157</v>
      </c>
      <c r="R157">
        <v>1</v>
      </c>
      <c r="S157" s="65" t="s">
        <v>42</v>
      </c>
      <c r="T157" s="65" t="s">
        <v>44</v>
      </c>
      <c r="U157" s="65" t="s">
        <v>44</v>
      </c>
      <c r="V157" s="65" t="s">
        <v>45</v>
      </c>
      <c r="W157" s="65" t="s">
        <v>60</v>
      </c>
      <c r="X157">
        <v>338.98</v>
      </c>
      <c r="Y157" s="65" t="s">
        <v>47</v>
      </c>
      <c r="Z157" s="65" t="s">
        <v>48</v>
      </c>
      <c r="AA157" s="65" t="s">
        <v>49</v>
      </c>
      <c r="AC157" s="65"/>
      <c r="AD157">
        <v>100</v>
      </c>
    </row>
    <row r="158" spans="1:30" x14ac:dyDescent="0.3">
      <c r="A158" s="1">
        <v>46198</v>
      </c>
      <c r="B158" s="65" t="s">
        <v>3547</v>
      </c>
      <c r="C158" s="65" t="s">
        <v>176</v>
      </c>
      <c r="D158" s="65" t="s">
        <v>29</v>
      </c>
      <c r="E158" s="65" t="s">
        <v>177</v>
      </c>
      <c r="F158" s="65" t="s">
        <v>31</v>
      </c>
      <c r="G158" s="65" t="s">
        <v>178</v>
      </c>
      <c r="H158" s="65" t="s">
        <v>179</v>
      </c>
      <c r="I158" s="65" t="s">
        <v>180</v>
      </c>
      <c r="J158" s="65" t="s">
        <v>136</v>
      </c>
      <c r="K158" s="65" t="s">
        <v>137</v>
      </c>
      <c r="L158" s="65" t="s">
        <v>37</v>
      </c>
      <c r="M158" s="65" t="s">
        <v>181</v>
      </c>
      <c r="N158" s="65" t="s">
        <v>182</v>
      </c>
      <c r="O158" s="65" t="s">
        <v>179</v>
      </c>
      <c r="P158" s="65" t="s">
        <v>183</v>
      </c>
      <c r="Q158" s="65" t="s">
        <v>90</v>
      </c>
      <c r="R158">
        <v>1</v>
      </c>
      <c r="S158" s="65" t="s">
        <v>70</v>
      </c>
      <c r="T158" s="65" t="s">
        <v>43</v>
      </c>
      <c r="U158" s="65" t="s">
        <v>44</v>
      </c>
      <c r="V158" s="65" t="s">
        <v>71</v>
      </c>
      <c r="W158" s="65" t="s">
        <v>184</v>
      </c>
      <c r="X158">
        <v>135.59</v>
      </c>
      <c r="Y158" s="65" t="s">
        <v>47</v>
      </c>
      <c r="Z158" s="65" t="s">
        <v>48</v>
      </c>
      <c r="AA158" s="65" t="s">
        <v>73</v>
      </c>
      <c r="AB158">
        <v>987407712</v>
      </c>
      <c r="AC158" s="65" t="s">
        <v>141</v>
      </c>
      <c r="AD158">
        <v>30</v>
      </c>
    </row>
    <row r="159" spans="1:30" x14ac:dyDescent="0.3">
      <c r="A159" s="1">
        <v>46198</v>
      </c>
      <c r="B159" s="65" t="s">
        <v>3547</v>
      </c>
      <c r="C159" s="65" t="s">
        <v>214</v>
      </c>
      <c r="D159" s="65" t="s">
        <v>29</v>
      </c>
      <c r="E159" s="65" t="s">
        <v>215</v>
      </c>
      <c r="F159" s="65" t="s">
        <v>31</v>
      </c>
      <c r="G159" s="65" t="s">
        <v>216</v>
      </c>
      <c r="H159" s="65" t="s">
        <v>217</v>
      </c>
      <c r="I159" s="65" t="s">
        <v>218</v>
      </c>
      <c r="J159" s="65" t="s">
        <v>208</v>
      </c>
      <c r="K159" s="65" t="s">
        <v>209</v>
      </c>
      <c r="L159" s="65" t="s">
        <v>37</v>
      </c>
      <c r="M159" s="65" t="s">
        <v>219</v>
      </c>
      <c r="N159" s="65" t="s">
        <v>220</v>
      </c>
      <c r="O159" s="65" t="s">
        <v>217</v>
      </c>
      <c r="P159" s="65" t="s">
        <v>221</v>
      </c>
      <c r="Q159" s="65" t="s">
        <v>59</v>
      </c>
      <c r="R159">
        <v>1</v>
      </c>
      <c r="S159" s="65" t="s">
        <v>42</v>
      </c>
      <c r="T159" s="65" t="s">
        <v>44</v>
      </c>
      <c r="U159" s="65" t="s">
        <v>44</v>
      </c>
      <c r="V159" s="65" t="s">
        <v>45</v>
      </c>
      <c r="W159" s="65" t="s">
        <v>60</v>
      </c>
      <c r="X159">
        <v>101.69</v>
      </c>
      <c r="Y159" s="65" t="s">
        <v>61</v>
      </c>
      <c r="Z159" s="65" t="s">
        <v>48</v>
      </c>
      <c r="AA159" s="65" t="s">
        <v>49</v>
      </c>
      <c r="AC159" s="65"/>
    </row>
    <row r="160" spans="1:30" x14ac:dyDescent="0.3">
      <c r="A160" s="1">
        <v>46198</v>
      </c>
      <c r="B160" s="65" t="s">
        <v>3547</v>
      </c>
      <c r="C160" s="65" t="s">
        <v>1245</v>
      </c>
      <c r="D160" s="65" t="s">
        <v>268</v>
      </c>
      <c r="E160" s="65" t="s">
        <v>1246</v>
      </c>
      <c r="F160" s="65" t="s">
        <v>31</v>
      </c>
      <c r="G160" s="65" t="s">
        <v>1247</v>
      </c>
      <c r="H160" s="65" t="s">
        <v>1248</v>
      </c>
      <c r="I160" s="65" t="s">
        <v>1249</v>
      </c>
      <c r="J160" s="65" t="s">
        <v>2795</v>
      </c>
      <c r="K160" s="65" t="s">
        <v>209</v>
      </c>
      <c r="L160" s="65" t="s">
        <v>37</v>
      </c>
      <c r="M160" s="65" t="s">
        <v>1250</v>
      </c>
      <c r="N160" s="65" t="s">
        <v>608</v>
      </c>
      <c r="O160" s="65" t="s">
        <v>1251</v>
      </c>
      <c r="P160" s="65" t="s">
        <v>1252</v>
      </c>
      <c r="Q160" s="65" t="s">
        <v>288</v>
      </c>
      <c r="R160">
        <v>1</v>
      </c>
      <c r="S160" s="65" t="s">
        <v>42</v>
      </c>
      <c r="T160" s="65" t="s">
        <v>44</v>
      </c>
      <c r="U160" s="65" t="s">
        <v>44</v>
      </c>
      <c r="V160" s="65" t="s">
        <v>45</v>
      </c>
      <c r="W160" s="65" t="s">
        <v>60</v>
      </c>
      <c r="X160">
        <v>0</v>
      </c>
      <c r="Y160" s="65" t="s">
        <v>289</v>
      </c>
      <c r="Z160" s="65" t="s">
        <v>48</v>
      </c>
      <c r="AA160" s="65" t="s">
        <v>49</v>
      </c>
      <c r="AB160">
        <v>994872106</v>
      </c>
      <c r="AC160" s="65" t="s">
        <v>1253</v>
      </c>
    </row>
    <row r="161" spans="1:30" x14ac:dyDescent="0.3">
      <c r="A161" s="1">
        <v>46198</v>
      </c>
      <c r="B161" s="65" t="s">
        <v>3547</v>
      </c>
      <c r="C161" s="65" t="s">
        <v>1245</v>
      </c>
      <c r="D161" s="65" t="s">
        <v>268</v>
      </c>
      <c r="E161" s="65" t="s">
        <v>1246</v>
      </c>
      <c r="F161" s="65" t="s">
        <v>31</v>
      </c>
      <c r="G161" s="65" t="s">
        <v>1247</v>
      </c>
      <c r="H161" s="65" t="s">
        <v>1248</v>
      </c>
      <c r="I161" s="65" t="s">
        <v>1249</v>
      </c>
      <c r="J161" s="65" t="s">
        <v>2795</v>
      </c>
      <c r="K161" s="65" t="s">
        <v>209</v>
      </c>
      <c r="L161" s="65" t="s">
        <v>37</v>
      </c>
      <c r="M161" s="65" t="s">
        <v>1250</v>
      </c>
      <c r="N161" s="65" t="s">
        <v>608</v>
      </c>
      <c r="O161" s="65" t="s">
        <v>1251</v>
      </c>
      <c r="P161" s="65" t="s">
        <v>1252</v>
      </c>
      <c r="Q161" s="65" t="s">
        <v>1254</v>
      </c>
      <c r="R161">
        <v>1</v>
      </c>
      <c r="S161" s="65" t="s">
        <v>42</v>
      </c>
      <c r="T161" s="65" t="s">
        <v>44</v>
      </c>
      <c r="U161" s="65" t="s">
        <v>44</v>
      </c>
      <c r="V161" s="65" t="s">
        <v>45</v>
      </c>
      <c r="W161" s="65" t="s">
        <v>60</v>
      </c>
      <c r="X161">
        <v>139.83000000000001</v>
      </c>
      <c r="Y161" s="65" t="s">
        <v>289</v>
      </c>
      <c r="Z161" s="65" t="s">
        <v>48</v>
      </c>
      <c r="AA161" s="65" t="s">
        <v>49</v>
      </c>
      <c r="AB161">
        <v>994872106</v>
      </c>
      <c r="AC161" s="65" t="s">
        <v>1253</v>
      </c>
    </row>
    <row r="162" spans="1:30" x14ac:dyDescent="0.3">
      <c r="A162" s="1">
        <v>46203</v>
      </c>
      <c r="B162" s="65" t="s">
        <v>3547</v>
      </c>
      <c r="C162" s="65" t="s">
        <v>537</v>
      </c>
      <c r="D162" s="65" t="s">
        <v>29</v>
      </c>
      <c r="E162" s="65" t="s">
        <v>538</v>
      </c>
      <c r="F162" s="65" t="s">
        <v>31</v>
      </c>
      <c r="G162" s="65" t="s">
        <v>539</v>
      </c>
      <c r="H162" s="65" t="s">
        <v>540</v>
      </c>
      <c r="I162" s="65" t="s">
        <v>541</v>
      </c>
      <c r="J162" s="65"/>
      <c r="K162" s="65"/>
      <c r="L162" s="65" t="s">
        <v>37</v>
      </c>
      <c r="M162" s="65" t="s">
        <v>542</v>
      </c>
      <c r="N162" s="65" t="s">
        <v>543</v>
      </c>
      <c r="O162" s="65" t="s">
        <v>540</v>
      </c>
      <c r="P162" s="65" t="s">
        <v>544</v>
      </c>
      <c r="Q162" s="65" t="s">
        <v>101</v>
      </c>
      <c r="R162">
        <v>1</v>
      </c>
      <c r="S162" s="65" t="s">
        <v>70</v>
      </c>
      <c r="T162" s="65" t="s">
        <v>43</v>
      </c>
      <c r="U162" s="65" t="s">
        <v>44</v>
      </c>
      <c r="V162" s="65" t="s">
        <v>71</v>
      </c>
      <c r="W162" s="65" t="s">
        <v>72</v>
      </c>
      <c r="X162">
        <v>186.44</v>
      </c>
      <c r="Y162" s="65" t="s">
        <v>47</v>
      </c>
      <c r="Z162" s="65" t="s">
        <v>48</v>
      </c>
      <c r="AA162" s="65" t="s">
        <v>73</v>
      </c>
      <c r="AC162" s="65"/>
      <c r="AD162">
        <v>50</v>
      </c>
    </row>
    <row r="163" spans="1:30" x14ac:dyDescent="0.3">
      <c r="A163" s="1">
        <v>46203</v>
      </c>
      <c r="B163" s="65" t="s">
        <v>3547</v>
      </c>
      <c r="C163" s="65" t="s">
        <v>1138</v>
      </c>
      <c r="D163" s="65" t="s">
        <v>268</v>
      </c>
      <c r="E163" s="65" t="s">
        <v>1139</v>
      </c>
      <c r="F163" s="65" t="s">
        <v>31</v>
      </c>
      <c r="G163" s="65" t="s">
        <v>1140</v>
      </c>
      <c r="H163" s="65" t="s">
        <v>1141</v>
      </c>
      <c r="I163" s="65" t="s">
        <v>1142</v>
      </c>
      <c r="J163" s="65" t="s">
        <v>1143</v>
      </c>
      <c r="K163" s="65" t="s">
        <v>365</v>
      </c>
      <c r="L163" s="65" t="s">
        <v>37</v>
      </c>
      <c r="M163" s="65" t="s">
        <v>1144</v>
      </c>
      <c r="N163" s="65" t="s">
        <v>1145</v>
      </c>
      <c r="O163" s="65" t="s">
        <v>1141</v>
      </c>
      <c r="P163" s="65" t="s">
        <v>1146</v>
      </c>
      <c r="Q163" s="65" t="s">
        <v>41</v>
      </c>
      <c r="R163">
        <v>1</v>
      </c>
      <c r="S163" s="65" t="s">
        <v>42</v>
      </c>
      <c r="T163" s="65" t="s">
        <v>44</v>
      </c>
      <c r="U163" s="65" t="s">
        <v>44</v>
      </c>
      <c r="V163" s="65" t="s">
        <v>45</v>
      </c>
      <c r="W163" s="65" t="s">
        <v>60</v>
      </c>
      <c r="X163">
        <v>186.44</v>
      </c>
      <c r="Y163" s="65" t="s">
        <v>47</v>
      </c>
      <c r="Z163" s="65" t="s">
        <v>48</v>
      </c>
      <c r="AA163" s="65" t="s">
        <v>49</v>
      </c>
      <c r="AB163">
        <v>995833213</v>
      </c>
      <c r="AC163" s="65" t="s">
        <v>1147</v>
      </c>
      <c r="AD163">
        <v>50</v>
      </c>
    </row>
    <row r="164" spans="1:30" x14ac:dyDescent="0.3">
      <c r="A164" s="1">
        <v>46204</v>
      </c>
      <c r="B164" s="65" t="s">
        <v>3550</v>
      </c>
      <c r="C164" s="65" t="s">
        <v>122</v>
      </c>
      <c r="D164" s="65" t="s">
        <v>29</v>
      </c>
      <c r="E164" s="65" t="s">
        <v>123</v>
      </c>
      <c r="F164" s="65" t="s">
        <v>31</v>
      </c>
      <c r="G164" s="65" t="s">
        <v>124</v>
      </c>
      <c r="H164" s="65" t="s">
        <v>125</v>
      </c>
      <c r="I164" s="65" t="s">
        <v>126</v>
      </c>
      <c r="J164" s="65" t="s">
        <v>116</v>
      </c>
      <c r="K164" s="65" t="s">
        <v>117</v>
      </c>
      <c r="L164" s="65" t="s">
        <v>37</v>
      </c>
      <c r="M164" s="65" t="s">
        <v>127</v>
      </c>
      <c r="N164" s="65" t="s">
        <v>128</v>
      </c>
      <c r="O164" s="65" t="s">
        <v>125</v>
      </c>
      <c r="P164" s="65" t="s">
        <v>129</v>
      </c>
      <c r="Q164" s="65" t="s">
        <v>130</v>
      </c>
      <c r="R164">
        <v>1</v>
      </c>
      <c r="S164" s="65" t="s">
        <v>42</v>
      </c>
      <c r="T164" s="65" t="s">
        <v>44</v>
      </c>
      <c r="U164" s="65" t="s">
        <v>44</v>
      </c>
      <c r="V164" s="65" t="s">
        <v>45</v>
      </c>
      <c r="W164" s="65" t="s">
        <v>60</v>
      </c>
      <c r="X164">
        <v>152.54</v>
      </c>
      <c r="Y164" s="65" t="s">
        <v>47</v>
      </c>
      <c r="Z164" s="65" t="s">
        <v>48</v>
      </c>
      <c r="AA164" s="65" t="s">
        <v>49</v>
      </c>
      <c r="AB164">
        <v>945319366</v>
      </c>
      <c r="AC164" s="65" t="s">
        <v>121</v>
      </c>
      <c r="AD164">
        <v>30</v>
      </c>
    </row>
    <row r="165" spans="1:30" x14ac:dyDescent="0.3">
      <c r="A165" s="1">
        <v>46204</v>
      </c>
      <c r="B165" s="65" t="s">
        <v>3550</v>
      </c>
      <c r="C165" s="65" t="s">
        <v>1084</v>
      </c>
      <c r="D165" s="65" t="s">
        <v>29</v>
      </c>
      <c r="E165" s="65" t="s">
        <v>1085</v>
      </c>
      <c r="F165" s="65" t="s">
        <v>31</v>
      </c>
      <c r="G165" s="65" t="s">
        <v>1086</v>
      </c>
      <c r="H165" s="65" t="s">
        <v>1087</v>
      </c>
      <c r="I165" s="65" t="s">
        <v>1088</v>
      </c>
      <c r="J165" s="65" t="s">
        <v>1073</v>
      </c>
      <c r="K165" s="65" t="s">
        <v>97</v>
      </c>
      <c r="L165" s="65" t="s">
        <v>37</v>
      </c>
      <c r="M165" s="65" t="s">
        <v>1089</v>
      </c>
      <c r="N165" s="65" t="s">
        <v>1090</v>
      </c>
      <c r="O165" s="65" t="s">
        <v>1087</v>
      </c>
      <c r="P165" s="65" t="s">
        <v>1091</v>
      </c>
      <c r="Q165" s="65" t="s">
        <v>201</v>
      </c>
      <c r="R165">
        <v>1</v>
      </c>
      <c r="S165" s="65" t="s">
        <v>42</v>
      </c>
      <c r="T165" s="65" t="s">
        <v>44</v>
      </c>
      <c r="U165" s="65" t="s">
        <v>44</v>
      </c>
      <c r="V165" s="65" t="s">
        <v>45</v>
      </c>
      <c r="W165" s="65" t="s">
        <v>60</v>
      </c>
      <c r="X165">
        <v>152.54</v>
      </c>
      <c r="Y165" s="65" t="s">
        <v>47</v>
      </c>
      <c r="Z165" s="65" t="s">
        <v>48</v>
      </c>
      <c r="AA165" s="65" t="s">
        <v>49</v>
      </c>
      <c r="AB165">
        <v>999986041</v>
      </c>
      <c r="AC165" s="65" t="s">
        <v>1077</v>
      </c>
      <c r="AD165">
        <v>30</v>
      </c>
    </row>
    <row r="166" spans="1:30" x14ac:dyDescent="0.3">
      <c r="A166" s="1">
        <v>46204</v>
      </c>
      <c r="B166" s="65" t="s">
        <v>3550</v>
      </c>
      <c r="C166" s="65" t="s">
        <v>1148</v>
      </c>
      <c r="D166" s="65" t="s">
        <v>29</v>
      </c>
      <c r="E166" s="65" t="s">
        <v>1149</v>
      </c>
      <c r="F166" s="65" t="s">
        <v>31</v>
      </c>
      <c r="G166" s="65" t="s">
        <v>1150</v>
      </c>
      <c r="H166" s="65" t="s">
        <v>1151</v>
      </c>
      <c r="I166" s="65" t="s">
        <v>1152</v>
      </c>
      <c r="J166" s="65" t="s">
        <v>1153</v>
      </c>
      <c r="K166" s="65" t="s">
        <v>1154</v>
      </c>
      <c r="L166" s="65" t="s">
        <v>37</v>
      </c>
      <c r="M166" s="65" t="s">
        <v>1155</v>
      </c>
      <c r="N166" s="65" t="s">
        <v>608</v>
      </c>
      <c r="O166" s="65" t="s">
        <v>1151</v>
      </c>
      <c r="P166" s="65" t="s">
        <v>1156</v>
      </c>
      <c r="Q166" s="65" t="s">
        <v>1157</v>
      </c>
      <c r="R166">
        <v>1</v>
      </c>
      <c r="S166" s="65" t="s">
        <v>42</v>
      </c>
      <c r="T166" s="65" t="s">
        <v>44</v>
      </c>
      <c r="U166" s="65" t="s">
        <v>44</v>
      </c>
      <c r="V166" s="65" t="s">
        <v>45</v>
      </c>
      <c r="W166" s="65" t="s">
        <v>60</v>
      </c>
      <c r="X166">
        <v>338.98</v>
      </c>
      <c r="Y166" s="65" t="s">
        <v>47</v>
      </c>
      <c r="Z166" s="65" t="s">
        <v>48</v>
      </c>
      <c r="AA166" s="65" t="s">
        <v>49</v>
      </c>
      <c r="AB166">
        <v>995868651</v>
      </c>
      <c r="AC166" s="65" t="s">
        <v>1158</v>
      </c>
      <c r="AD166">
        <v>100</v>
      </c>
    </row>
    <row r="167" spans="1:30" x14ac:dyDescent="0.3">
      <c r="A167" s="1">
        <v>46204</v>
      </c>
      <c r="B167" s="65" t="s">
        <v>3550</v>
      </c>
      <c r="C167" s="65" t="s">
        <v>1255</v>
      </c>
      <c r="D167" s="65" t="s">
        <v>268</v>
      </c>
      <c r="E167" s="65" t="s">
        <v>1256</v>
      </c>
      <c r="F167" s="65" t="s">
        <v>31</v>
      </c>
      <c r="G167" s="65" t="s">
        <v>1257</v>
      </c>
      <c r="H167" s="65" t="s">
        <v>1258</v>
      </c>
      <c r="I167" s="65" t="s">
        <v>1259</v>
      </c>
      <c r="J167" s="65" t="s">
        <v>2795</v>
      </c>
      <c r="K167" s="65" t="s">
        <v>209</v>
      </c>
      <c r="L167" s="65" t="s">
        <v>37</v>
      </c>
      <c r="M167" s="65" t="s">
        <v>1260</v>
      </c>
      <c r="N167" s="65" t="s">
        <v>608</v>
      </c>
      <c r="O167" s="65" t="s">
        <v>1251</v>
      </c>
      <c r="P167" s="65" t="s">
        <v>1261</v>
      </c>
      <c r="Q167" s="65" t="s">
        <v>288</v>
      </c>
      <c r="R167">
        <v>1</v>
      </c>
      <c r="S167" s="65" t="s">
        <v>42</v>
      </c>
      <c r="T167" s="65" t="s">
        <v>44</v>
      </c>
      <c r="U167" s="65" t="s">
        <v>44</v>
      </c>
      <c r="V167" s="65" t="s">
        <v>45</v>
      </c>
      <c r="W167" s="65" t="s">
        <v>60</v>
      </c>
      <c r="X167">
        <v>0</v>
      </c>
      <c r="Y167" s="65" t="s">
        <v>289</v>
      </c>
      <c r="Z167" s="65" t="s">
        <v>48</v>
      </c>
      <c r="AA167" s="65" t="s">
        <v>49</v>
      </c>
      <c r="AB167">
        <v>994872106</v>
      </c>
      <c r="AC167" s="65" t="s">
        <v>1253</v>
      </c>
    </row>
    <row r="168" spans="1:30" x14ac:dyDescent="0.3">
      <c r="A168" s="1">
        <v>46204</v>
      </c>
      <c r="B168" s="65" t="s">
        <v>3550</v>
      </c>
      <c r="C168" s="65" t="s">
        <v>1255</v>
      </c>
      <c r="D168" s="65" t="s">
        <v>268</v>
      </c>
      <c r="E168" s="65" t="s">
        <v>1256</v>
      </c>
      <c r="F168" s="65" t="s">
        <v>31</v>
      </c>
      <c r="G168" s="65" t="s">
        <v>1257</v>
      </c>
      <c r="H168" s="65" t="s">
        <v>1258</v>
      </c>
      <c r="I168" s="65" t="s">
        <v>1259</v>
      </c>
      <c r="J168" s="65" t="s">
        <v>2795</v>
      </c>
      <c r="K168" s="65" t="s">
        <v>209</v>
      </c>
      <c r="L168" s="65" t="s">
        <v>37</v>
      </c>
      <c r="M168" s="65" t="s">
        <v>1260</v>
      </c>
      <c r="N168" s="65" t="s">
        <v>608</v>
      </c>
      <c r="O168" s="65" t="s">
        <v>1251</v>
      </c>
      <c r="P168" s="65" t="s">
        <v>1261</v>
      </c>
      <c r="Q168" s="65" t="s">
        <v>1620</v>
      </c>
      <c r="R168">
        <v>1</v>
      </c>
      <c r="S168" s="65" t="s">
        <v>42</v>
      </c>
      <c r="T168" s="65" t="s">
        <v>44</v>
      </c>
      <c r="U168" s="65" t="s">
        <v>44</v>
      </c>
      <c r="V168" s="65" t="s">
        <v>45</v>
      </c>
      <c r="W168" s="65" t="s">
        <v>60</v>
      </c>
      <c r="X168">
        <v>139.83000000000001</v>
      </c>
      <c r="Y168" s="65" t="s">
        <v>289</v>
      </c>
      <c r="Z168" s="65" t="s">
        <v>48</v>
      </c>
      <c r="AA168" s="65" t="s">
        <v>49</v>
      </c>
      <c r="AB168">
        <v>994872106</v>
      </c>
      <c r="AC168" s="65" t="s">
        <v>1253</v>
      </c>
    </row>
    <row r="169" spans="1:30" x14ac:dyDescent="0.3">
      <c r="A169" s="1">
        <v>46204</v>
      </c>
      <c r="B169" s="65" t="s">
        <v>3550</v>
      </c>
      <c r="C169" s="65" t="s">
        <v>1317</v>
      </c>
      <c r="D169" s="65" t="s">
        <v>29</v>
      </c>
      <c r="E169" s="65" t="s">
        <v>1318</v>
      </c>
      <c r="F169" s="65" t="s">
        <v>31</v>
      </c>
      <c r="G169" s="65" t="s">
        <v>1319</v>
      </c>
      <c r="H169" s="65" t="s">
        <v>1320</v>
      </c>
      <c r="I169" s="65" t="s">
        <v>1321</v>
      </c>
      <c r="J169" s="65" t="s">
        <v>1322</v>
      </c>
      <c r="K169" s="65" t="s">
        <v>36</v>
      </c>
      <c r="L169" s="65" t="s">
        <v>37</v>
      </c>
      <c r="M169" s="65" t="s">
        <v>1323</v>
      </c>
      <c r="N169" s="65" t="s">
        <v>1324</v>
      </c>
      <c r="O169" s="65" t="s">
        <v>1320</v>
      </c>
      <c r="P169" s="65" t="s">
        <v>1325</v>
      </c>
      <c r="Q169" s="65" t="s">
        <v>101</v>
      </c>
      <c r="R169">
        <v>1</v>
      </c>
      <c r="S169" s="65" t="s">
        <v>42</v>
      </c>
      <c r="T169" s="65" t="s">
        <v>44</v>
      </c>
      <c r="U169" s="65" t="s">
        <v>44</v>
      </c>
      <c r="V169" s="65" t="s">
        <v>45</v>
      </c>
      <c r="W169" s="65" t="s">
        <v>60</v>
      </c>
      <c r="X169">
        <v>186.44</v>
      </c>
      <c r="Y169" s="65" t="s">
        <v>47</v>
      </c>
      <c r="Z169" s="65" t="s">
        <v>48</v>
      </c>
      <c r="AA169" s="65" t="s">
        <v>49</v>
      </c>
      <c r="AB169">
        <v>999111362</v>
      </c>
      <c r="AC169" s="65" t="s">
        <v>1326</v>
      </c>
      <c r="AD169">
        <v>50</v>
      </c>
    </row>
    <row r="170" spans="1:30" x14ac:dyDescent="0.3">
      <c r="A170" s="1">
        <v>46204</v>
      </c>
      <c r="B170" s="65" t="s">
        <v>3550</v>
      </c>
      <c r="C170" s="65" t="s">
        <v>1372</v>
      </c>
      <c r="D170" s="65" t="s">
        <v>29</v>
      </c>
      <c r="E170" s="65" t="s">
        <v>1373</v>
      </c>
      <c r="F170" s="65" t="s">
        <v>31</v>
      </c>
      <c r="G170" s="65" t="s">
        <v>1374</v>
      </c>
      <c r="H170" s="65" t="s">
        <v>1375</v>
      </c>
      <c r="I170" s="65" t="s">
        <v>1376</v>
      </c>
      <c r="J170" s="65" t="s">
        <v>3551</v>
      </c>
      <c r="K170" s="65" t="s">
        <v>3552</v>
      </c>
      <c r="L170" s="65" t="s">
        <v>37</v>
      </c>
      <c r="M170" s="65" t="s">
        <v>1378</v>
      </c>
      <c r="N170" s="65" t="s">
        <v>1379</v>
      </c>
      <c r="O170" s="65" t="s">
        <v>1375</v>
      </c>
      <c r="P170" s="65" t="s">
        <v>1380</v>
      </c>
      <c r="Q170" s="65" t="s">
        <v>101</v>
      </c>
      <c r="R170">
        <v>1</v>
      </c>
      <c r="S170" s="65" t="s">
        <v>42</v>
      </c>
      <c r="T170" s="65" t="s">
        <v>44</v>
      </c>
      <c r="U170" s="65" t="s">
        <v>44</v>
      </c>
      <c r="V170" s="65" t="s">
        <v>45</v>
      </c>
      <c r="W170" s="65" t="s">
        <v>60</v>
      </c>
      <c r="X170">
        <v>186.44</v>
      </c>
      <c r="Y170" s="65" t="s">
        <v>47</v>
      </c>
      <c r="Z170" s="65" t="s">
        <v>48</v>
      </c>
      <c r="AA170" s="65" t="s">
        <v>49</v>
      </c>
      <c r="AC170" s="65"/>
      <c r="AD170">
        <v>50</v>
      </c>
    </row>
    <row r="171" spans="1:30" x14ac:dyDescent="0.3">
      <c r="A171" s="1">
        <v>46205</v>
      </c>
      <c r="B171" s="65" t="s">
        <v>3550</v>
      </c>
      <c r="C171" s="65" t="s">
        <v>1391</v>
      </c>
      <c r="D171" s="65" t="s">
        <v>29</v>
      </c>
      <c r="E171" s="65" t="s">
        <v>1392</v>
      </c>
      <c r="F171" s="65" t="s">
        <v>31</v>
      </c>
      <c r="G171" s="65" t="s">
        <v>1393</v>
      </c>
      <c r="H171" s="65" t="s">
        <v>1394</v>
      </c>
      <c r="I171" s="65" t="s">
        <v>1395</v>
      </c>
      <c r="J171" s="65" t="s">
        <v>477</v>
      </c>
      <c r="K171" s="65" t="s">
        <v>209</v>
      </c>
      <c r="L171" s="65" t="s">
        <v>37</v>
      </c>
      <c r="M171" s="65" t="s">
        <v>1397</v>
      </c>
      <c r="N171" s="65" t="s">
        <v>1398</v>
      </c>
      <c r="O171" s="65" t="s">
        <v>1394</v>
      </c>
      <c r="P171" s="65" t="s">
        <v>1399</v>
      </c>
      <c r="Q171" s="65" t="s">
        <v>159</v>
      </c>
      <c r="R171">
        <v>1</v>
      </c>
      <c r="S171" s="65" t="s">
        <v>42</v>
      </c>
      <c r="T171" s="65" t="s">
        <v>44</v>
      </c>
      <c r="U171" s="65" t="s">
        <v>44</v>
      </c>
      <c r="V171" s="65" t="s">
        <v>45</v>
      </c>
      <c r="W171" s="65" t="s">
        <v>60</v>
      </c>
      <c r="X171">
        <v>135.59</v>
      </c>
      <c r="Y171" s="65" t="s">
        <v>47</v>
      </c>
      <c r="Z171" s="65" t="s">
        <v>48</v>
      </c>
      <c r="AA171" s="65" t="s">
        <v>49</v>
      </c>
      <c r="AB171">
        <v>982536223</v>
      </c>
      <c r="AC171" s="65" t="s">
        <v>482</v>
      </c>
      <c r="AD171">
        <v>30</v>
      </c>
    </row>
    <row r="172" spans="1:30" x14ac:dyDescent="0.3">
      <c r="A172" s="1">
        <v>46205</v>
      </c>
      <c r="B172" s="65" t="s">
        <v>3550</v>
      </c>
      <c r="C172" s="65" t="s">
        <v>1391</v>
      </c>
      <c r="D172" s="65" t="s">
        <v>29</v>
      </c>
      <c r="E172" s="65" t="s">
        <v>1392</v>
      </c>
      <c r="F172" s="65" t="s">
        <v>31</v>
      </c>
      <c r="G172" s="65" t="s">
        <v>1393</v>
      </c>
      <c r="H172" s="65" t="s">
        <v>1394</v>
      </c>
      <c r="I172" s="65" t="s">
        <v>1395</v>
      </c>
      <c r="J172" s="65" t="s">
        <v>477</v>
      </c>
      <c r="K172" s="65" t="s">
        <v>209</v>
      </c>
      <c r="L172" s="65" t="s">
        <v>37</v>
      </c>
      <c r="M172" s="65" t="s">
        <v>1397</v>
      </c>
      <c r="N172" s="65" t="s">
        <v>1398</v>
      </c>
      <c r="O172" s="65" t="s">
        <v>1394</v>
      </c>
      <c r="P172" s="65" t="s">
        <v>1399</v>
      </c>
      <c r="Q172" s="65" t="s">
        <v>101</v>
      </c>
      <c r="R172">
        <v>1</v>
      </c>
      <c r="S172" s="65" t="s">
        <v>42</v>
      </c>
      <c r="T172" s="65" t="s">
        <v>44</v>
      </c>
      <c r="U172" s="65" t="s">
        <v>44</v>
      </c>
      <c r="V172" s="65" t="s">
        <v>45</v>
      </c>
      <c r="W172" s="65" t="s">
        <v>60</v>
      </c>
      <c r="X172">
        <v>186.44</v>
      </c>
      <c r="Y172" s="65" t="s">
        <v>47</v>
      </c>
      <c r="Z172" s="65" t="s">
        <v>48</v>
      </c>
      <c r="AA172" s="65" t="s">
        <v>49</v>
      </c>
      <c r="AB172">
        <v>982536223</v>
      </c>
      <c r="AC172" s="65" t="s">
        <v>482</v>
      </c>
      <c r="AD172">
        <v>50</v>
      </c>
    </row>
    <row r="173" spans="1:30" x14ac:dyDescent="0.3">
      <c r="A173" s="1">
        <v>46205</v>
      </c>
      <c r="B173" s="65" t="s">
        <v>3550</v>
      </c>
      <c r="C173" s="65" t="s">
        <v>1391</v>
      </c>
      <c r="D173" s="65" t="s">
        <v>29</v>
      </c>
      <c r="E173" s="65" t="s">
        <v>1392</v>
      </c>
      <c r="F173" s="65" t="s">
        <v>31</v>
      </c>
      <c r="G173" s="65" t="s">
        <v>1393</v>
      </c>
      <c r="H173" s="65" t="s">
        <v>1394</v>
      </c>
      <c r="I173" s="65" t="s">
        <v>1395</v>
      </c>
      <c r="J173" s="65" t="s">
        <v>477</v>
      </c>
      <c r="K173" s="65" t="s">
        <v>209</v>
      </c>
      <c r="L173" s="65" t="s">
        <v>37</v>
      </c>
      <c r="M173" s="65" t="s">
        <v>1397</v>
      </c>
      <c r="N173" s="65" t="s">
        <v>1398</v>
      </c>
      <c r="O173" s="65" t="s">
        <v>1394</v>
      </c>
      <c r="P173" s="65" t="s">
        <v>1399</v>
      </c>
      <c r="Q173" s="65" t="s">
        <v>158</v>
      </c>
      <c r="R173">
        <v>1</v>
      </c>
      <c r="S173" s="65" t="s">
        <v>42</v>
      </c>
      <c r="T173" s="65" t="s">
        <v>44</v>
      </c>
      <c r="U173" s="65" t="s">
        <v>44</v>
      </c>
      <c r="V173" s="65" t="s">
        <v>45</v>
      </c>
      <c r="W173" s="65" t="s">
        <v>60</v>
      </c>
      <c r="X173">
        <v>152.54</v>
      </c>
      <c r="Y173" s="65" t="s">
        <v>47</v>
      </c>
      <c r="Z173" s="65" t="s">
        <v>48</v>
      </c>
      <c r="AA173" s="65" t="s">
        <v>49</v>
      </c>
      <c r="AB173">
        <v>982536223</v>
      </c>
      <c r="AC173" s="65" t="s">
        <v>482</v>
      </c>
      <c r="AD173">
        <v>30</v>
      </c>
    </row>
    <row r="174" spans="1:30" x14ac:dyDescent="0.3">
      <c r="A174" s="1">
        <v>46205</v>
      </c>
      <c r="B174" s="65" t="s">
        <v>3550</v>
      </c>
      <c r="C174" s="65" t="s">
        <v>937</v>
      </c>
      <c r="D174" s="65" t="s">
        <v>29</v>
      </c>
      <c r="E174" s="65" t="s">
        <v>938</v>
      </c>
      <c r="F174" s="65" t="s">
        <v>31</v>
      </c>
      <c r="G174" s="65" t="s">
        <v>939</v>
      </c>
      <c r="H174" s="65" t="s">
        <v>940</v>
      </c>
      <c r="I174" s="65" t="s">
        <v>941</v>
      </c>
      <c r="J174" s="65" t="s">
        <v>774</v>
      </c>
      <c r="K174" s="65" t="s">
        <v>775</v>
      </c>
      <c r="L174" s="65" t="s">
        <v>37</v>
      </c>
      <c r="M174" s="65" t="s">
        <v>942</v>
      </c>
      <c r="N174" s="65" t="s">
        <v>943</v>
      </c>
      <c r="O174" s="65" t="s">
        <v>940</v>
      </c>
      <c r="P174" s="65" t="s">
        <v>944</v>
      </c>
      <c r="Q174" s="65" t="s">
        <v>618</v>
      </c>
      <c r="R174">
        <v>1</v>
      </c>
      <c r="S174" s="65" t="s">
        <v>42</v>
      </c>
      <c r="T174" s="65" t="s">
        <v>44</v>
      </c>
      <c r="U174" s="65" t="s">
        <v>44</v>
      </c>
      <c r="V174" s="65" t="s">
        <v>45</v>
      </c>
      <c r="W174" s="65" t="s">
        <v>46</v>
      </c>
      <c r="X174">
        <v>12.71</v>
      </c>
      <c r="Y174" s="65" t="s">
        <v>619</v>
      </c>
      <c r="Z174" s="65" t="s">
        <v>48</v>
      </c>
      <c r="AA174" s="65" t="s">
        <v>49</v>
      </c>
      <c r="AC174" s="65"/>
    </row>
    <row r="175" spans="1:30" x14ac:dyDescent="0.3">
      <c r="A175" s="1">
        <v>46205</v>
      </c>
      <c r="B175" s="65" t="s">
        <v>3550</v>
      </c>
      <c r="C175" s="65" t="s">
        <v>937</v>
      </c>
      <c r="D175" s="65" t="s">
        <v>29</v>
      </c>
      <c r="E175" s="65" t="s">
        <v>938</v>
      </c>
      <c r="F175" s="65" t="s">
        <v>31</v>
      </c>
      <c r="G175" s="65" t="s">
        <v>939</v>
      </c>
      <c r="H175" s="65" t="s">
        <v>940</v>
      </c>
      <c r="I175" s="65" t="s">
        <v>941</v>
      </c>
      <c r="J175" s="65" t="s">
        <v>774</v>
      </c>
      <c r="K175" s="65" t="s">
        <v>775</v>
      </c>
      <c r="L175" s="65" t="s">
        <v>37</v>
      </c>
      <c r="M175" s="65" t="s">
        <v>942</v>
      </c>
      <c r="N175" s="65" t="s">
        <v>943</v>
      </c>
      <c r="O175" s="65" t="s">
        <v>940</v>
      </c>
      <c r="P175" s="65" t="s">
        <v>944</v>
      </c>
      <c r="Q175" s="65" t="s">
        <v>620</v>
      </c>
      <c r="R175">
        <v>1</v>
      </c>
      <c r="S175" s="65" t="s">
        <v>42</v>
      </c>
      <c r="T175" s="65" t="s">
        <v>44</v>
      </c>
      <c r="U175" s="65" t="s">
        <v>44</v>
      </c>
      <c r="V175" s="65" t="s">
        <v>45</v>
      </c>
      <c r="W175" s="65" t="s">
        <v>46</v>
      </c>
      <c r="X175">
        <v>21.19</v>
      </c>
      <c r="Y175" s="65" t="s">
        <v>619</v>
      </c>
      <c r="Z175" s="65" t="s">
        <v>48</v>
      </c>
      <c r="AA175" s="65" t="s">
        <v>49</v>
      </c>
      <c r="AC175" s="65"/>
    </row>
    <row r="176" spans="1:30" x14ac:dyDescent="0.3">
      <c r="A176" s="1">
        <v>46205</v>
      </c>
      <c r="B176" s="65" t="s">
        <v>3550</v>
      </c>
      <c r="C176" s="65" t="s">
        <v>937</v>
      </c>
      <c r="D176" s="65" t="s">
        <v>29</v>
      </c>
      <c r="E176" s="65" t="s">
        <v>938</v>
      </c>
      <c r="F176" s="65" t="s">
        <v>31</v>
      </c>
      <c r="G176" s="65" t="s">
        <v>939</v>
      </c>
      <c r="H176" s="65" t="s">
        <v>940</v>
      </c>
      <c r="I176" s="65" t="s">
        <v>941</v>
      </c>
      <c r="J176" s="65" t="s">
        <v>774</v>
      </c>
      <c r="K176" s="65" t="s">
        <v>775</v>
      </c>
      <c r="L176" s="65" t="s">
        <v>37</v>
      </c>
      <c r="M176" s="65" t="s">
        <v>942</v>
      </c>
      <c r="N176" s="65" t="s">
        <v>943</v>
      </c>
      <c r="O176" s="65" t="s">
        <v>940</v>
      </c>
      <c r="P176" s="65" t="s">
        <v>944</v>
      </c>
      <c r="Q176" s="65" t="s">
        <v>621</v>
      </c>
      <c r="R176">
        <v>1</v>
      </c>
      <c r="S176" s="65" t="s">
        <v>42</v>
      </c>
      <c r="T176" s="65" t="s">
        <v>44</v>
      </c>
      <c r="U176" s="65" t="s">
        <v>44</v>
      </c>
      <c r="V176" s="65" t="s">
        <v>45</v>
      </c>
      <c r="W176" s="65" t="s">
        <v>46</v>
      </c>
      <c r="X176">
        <v>12.71</v>
      </c>
      <c r="Y176" s="65" t="s">
        <v>619</v>
      </c>
      <c r="Z176" s="65" t="s">
        <v>48</v>
      </c>
      <c r="AA176" s="65" t="s">
        <v>49</v>
      </c>
      <c r="AC176" s="65"/>
    </row>
    <row r="177" spans="1:30" x14ac:dyDescent="0.3">
      <c r="A177" s="1">
        <v>46205</v>
      </c>
      <c r="B177" s="65" t="s">
        <v>3550</v>
      </c>
      <c r="C177" s="65" t="s">
        <v>937</v>
      </c>
      <c r="D177" s="65" t="s">
        <v>29</v>
      </c>
      <c r="E177" s="65" t="s">
        <v>938</v>
      </c>
      <c r="F177" s="65" t="s">
        <v>31</v>
      </c>
      <c r="G177" s="65" t="s">
        <v>939</v>
      </c>
      <c r="H177" s="65" t="s">
        <v>940</v>
      </c>
      <c r="I177" s="65" t="s">
        <v>941</v>
      </c>
      <c r="J177" s="65" t="s">
        <v>774</v>
      </c>
      <c r="K177" s="65" t="s">
        <v>775</v>
      </c>
      <c r="L177" s="65" t="s">
        <v>37</v>
      </c>
      <c r="M177" s="65" t="s">
        <v>942</v>
      </c>
      <c r="N177" s="65" t="s">
        <v>943</v>
      </c>
      <c r="O177" s="65" t="s">
        <v>940</v>
      </c>
      <c r="P177" s="65" t="s">
        <v>944</v>
      </c>
      <c r="Q177" s="65" t="s">
        <v>622</v>
      </c>
      <c r="R177">
        <v>1</v>
      </c>
      <c r="S177" s="65" t="s">
        <v>42</v>
      </c>
      <c r="T177" s="65" t="s">
        <v>44</v>
      </c>
      <c r="U177" s="65" t="s">
        <v>44</v>
      </c>
      <c r="V177" s="65" t="s">
        <v>45</v>
      </c>
      <c r="W177" s="65" t="s">
        <v>46</v>
      </c>
      <c r="X177">
        <v>12.71</v>
      </c>
      <c r="Y177" s="65" t="s">
        <v>619</v>
      </c>
      <c r="Z177" s="65" t="s">
        <v>48</v>
      </c>
      <c r="AA177" s="65" t="s">
        <v>49</v>
      </c>
      <c r="AC177" s="65"/>
    </row>
    <row r="178" spans="1:30" x14ac:dyDescent="0.3">
      <c r="A178" s="1">
        <v>46205</v>
      </c>
      <c r="B178" s="65" t="s">
        <v>3550</v>
      </c>
      <c r="C178" s="65" t="s">
        <v>937</v>
      </c>
      <c r="D178" s="65" t="s">
        <v>29</v>
      </c>
      <c r="E178" s="65" t="s">
        <v>938</v>
      </c>
      <c r="F178" s="65" t="s">
        <v>31</v>
      </c>
      <c r="G178" s="65" t="s">
        <v>939</v>
      </c>
      <c r="H178" s="65" t="s">
        <v>940</v>
      </c>
      <c r="I178" s="65" t="s">
        <v>941</v>
      </c>
      <c r="J178" s="65" t="s">
        <v>774</v>
      </c>
      <c r="K178" s="65" t="s">
        <v>775</v>
      </c>
      <c r="L178" s="65" t="s">
        <v>37</v>
      </c>
      <c r="M178" s="65" t="s">
        <v>942</v>
      </c>
      <c r="N178" s="65" t="s">
        <v>943</v>
      </c>
      <c r="O178" s="65" t="s">
        <v>940</v>
      </c>
      <c r="P178" s="65" t="s">
        <v>944</v>
      </c>
      <c r="Q178" s="65" t="s">
        <v>833</v>
      </c>
      <c r="R178">
        <v>1</v>
      </c>
      <c r="S178" s="65" t="s">
        <v>42</v>
      </c>
      <c r="T178" s="65" t="s">
        <v>44</v>
      </c>
      <c r="U178" s="65" t="s">
        <v>44</v>
      </c>
      <c r="V178" s="65" t="s">
        <v>45</v>
      </c>
      <c r="W178" s="65" t="s">
        <v>46</v>
      </c>
      <c r="X178">
        <v>50.85</v>
      </c>
      <c r="Y178" s="65" t="s">
        <v>619</v>
      </c>
      <c r="Z178" s="65" t="s">
        <v>48</v>
      </c>
      <c r="AA178" s="65" t="s">
        <v>49</v>
      </c>
      <c r="AC178" s="65"/>
    </row>
    <row r="179" spans="1:30" x14ac:dyDescent="0.3">
      <c r="A179" s="1">
        <v>46205</v>
      </c>
      <c r="B179" s="65" t="s">
        <v>3550</v>
      </c>
      <c r="C179" s="65" t="s">
        <v>945</v>
      </c>
      <c r="D179" s="65" t="s">
        <v>29</v>
      </c>
      <c r="E179" s="65" t="s">
        <v>946</v>
      </c>
      <c r="F179" s="65" t="s">
        <v>31</v>
      </c>
      <c r="G179" s="65" t="s">
        <v>947</v>
      </c>
      <c r="H179" s="65" t="s">
        <v>940</v>
      </c>
      <c r="I179" s="65" t="s">
        <v>941</v>
      </c>
      <c r="J179" s="65" t="s">
        <v>774</v>
      </c>
      <c r="K179" s="65" t="s">
        <v>775</v>
      </c>
      <c r="L179" s="65" t="s">
        <v>37</v>
      </c>
      <c r="M179" s="65" t="s">
        <v>942</v>
      </c>
      <c r="N179" s="65" t="s">
        <v>943</v>
      </c>
      <c r="O179" s="65" t="s">
        <v>940</v>
      </c>
      <c r="P179" s="65" t="s">
        <v>948</v>
      </c>
      <c r="Q179" s="65" t="s">
        <v>201</v>
      </c>
      <c r="R179">
        <v>1</v>
      </c>
      <c r="S179" s="65" t="s">
        <v>42</v>
      </c>
      <c r="T179" s="65" t="s">
        <v>44</v>
      </c>
      <c r="U179" s="65" t="s">
        <v>44</v>
      </c>
      <c r="V179" s="65" t="s">
        <v>45</v>
      </c>
      <c r="W179" s="65" t="s">
        <v>46</v>
      </c>
      <c r="X179">
        <v>42.37</v>
      </c>
      <c r="Y179" s="65" t="s">
        <v>47</v>
      </c>
      <c r="Z179" s="65" t="s">
        <v>48</v>
      </c>
      <c r="AA179" s="65" t="s">
        <v>49</v>
      </c>
      <c r="AC179" s="65"/>
      <c r="AD179">
        <v>30</v>
      </c>
    </row>
    <row r="180" spans="1:30" x14ac:dyDescent="0.3">
      <c r="A180" s="1">
        <v>46205</v>
      </c>
      <c r="B180" s="65" t="s">
        <v>3550</v>
      </c>
      <c r="C180" s="65" t="s">
        <v>945</v>
      </c>
      <c r="D180" s="65" t="s">
        <v>29</v>
      </c>
      <c r="E180" s="65" t="s">
        <v>946</v>
      </c>
      <c r="F180" s="65" t="s">
        <v>31</v>
      </c>
      <c r="G180" s="65" t="s">
        <v>947</v>
      </c>
      <c r="H180" s="65" t="s">
        <v>940</v>
      </c>
      <c r="I180" s="65" t="s">
        <v>941</v>
      </c>
      <c r="J180" s="65" t="s">
        <v>774</v>
      </c>
      <c r="K180" s="65" t="s">
        <v>775</v>
      </c>
      <c r="L180" s="65" t="s">
        <v>37</v>
      </c>
      <c r="M180" s="65" t="s">
        <v>942</v>
      </c>
      <c r="N180" s="65" t="s">
        <v>943</v>
      </c>
      <c r="O180" s="65" t="s">
        <v>940</v>
      </c>
      <c r="P180" s="65" t="s">
        <v>948</v>
      </c>
      <c r="Q180" s="65" t="s">
        <v>202</v>
      </c>
      <c r="R180">
        <v>1</v>
      </c>
      <c r="S180" s="65" t="s">
        <v>42</v>
      </c>
      <c r="T180" s="65" t="s">
        <v>44</v>
      </c>
      <c r="U180" s="65" t="s">
        <v>44</v>
      </c>
      <c r="V180" s="65" t="s">
        <v>45</v>
      </c>
      <c r="W180" s="65" t="s">
        <v>46</v>
      </c>
      <c r="X180">
        <v>42.37</v>
      </c>
      <c r="Y180" s="65" t="s">
        <v>47</v>
      </c>
      <c r="Z180" s="65" t="s">
        <v>48</v>
      </c>
      <c r="AA180" s="65" t="s">
        <v>49</v>
      </c>
      <c r="AC180" s="65"/>
      <c r="AD180">
        <v>30</v>
      </c>
    </row>
    <row r="181" spans="1:30" x14ac:dyDescent="0.3">
      <c r="A181" s="1">
        <v>46205</v>
      </c>
      <c r="B181" s="65" t="s">
        <v>3550</v>
      </c>
      <c r="C181" s="65" t="s">
        <v>949</v>
      </c>
      <c r="D181" s="65" t="s">
        <v>29</v>
      </c>
      <c r="E181" s="65" t="s">
        <v>950</v>
      </c>
      <c r="F181" s="65" t="s">
        <v>31</v>
      </c>
      <c r="G181" s="65" t="s">
        <v>951</v>
      </c>
      <c r="H181" s="65" t="s">
        <v>940</v>
      </c>
      <c r="I181" s="65" t="s">
        <v>941</v>
      </c>
      <c r="J181" s="65" t="s">
        <v>774</v>
      </c>
      <c r="K181" s="65" t="s">
        <v>775</v>
      </c>
      <c r="L181" s="65" t="s">
        <v>37</v>
      </c>
      <c r="M181" s="65" t="s">
        <v>942</v>
      </c>
      <c r="N181" s="65" t="s">
        <v>943</v>
      </c>
      <c r="O181" s="65" t="s">
        <v>940</v>
      </c>
      <c r="P181" s="65" t="s">
        <v>952</v>
      </c>
      <c r="Q181" s="65" t="s">
        <v>828</v>
      </c>
      <c r="R181">
        <v>1</v>
      </c>
      <c r="S181" s="65" t="s">
        <v>42</v>
      </c>
      <c r="T181" s="65" t="s">
        <v>44</v>
      </c>
      <c r="U181" s="65" t="s">
        <v>44</v>
      </c>
      <c r="V181" s="65" t="s">
        <v>45</v>
      </c>
      <c r="W181" s="65" t="s">
        <v>46</v>
      </c>
      <c r="X181">
        <v>127.12</v>
      </c>
      <c r="Y181" s="65" t="s">
        <v>47</v>
      </c>
      <c r="Z181" s="65" t="s">
        <v>48</v>
      </c>
      <c r="AA181" s="65" t="s">
        <v>49</v>
      </c>
      <c r="AC181" s="65"/>
    </row>
    <row r="182" spans="1:30" x14ac:dyDescent="0.3">
      <c r="A182" s="1">
        <v>46205</v>
      </c>
      <c r="B182" s="65" t="s">
        <v>3550</v>
      </c>
      <c r="C182" s="65" t="s">
        <v>953</v>
      </c>
      <c r="D182" s="65" t="s">
        <v>29</v>
      </c>
      <c r="E182" s="65" t="s">
        <v>954</v>
      </c>
      <c r="F182" s="65" t="s">
        <v>31</v>
      </c>
      <c r="G182" s="65" t="s">
        <v>955</v>
      </c>
      <c r="H182" s="65" t="s">
        <v>956</v>
      </c>
      <c r="I182" s="65" t="s">
        <v>957</v>
      </c>
      <c r="J182" s="65" t="s">
        <v>774</v>
      </c>
      <c r="K182" s="65" t="s">
        <v>775</v>
      </c>
      <c r="L182" s="65" t="s">
        <v>37</v>
      </c>
      <c r="M182" s="65" t="s">
        <v>958</v>
      </c>
      <c r="N182" s="65" t="s">
        <v>959</v>
      </c>
      <c r="O182" s="65" t="s">
        <v>956</v>
      </c>
      <c r="P182" s="65" t="s">
        <v>960</v>
      </c>
      <c r="Q182" s="65" t="s">
        <v>201</v>
      </c>
      <c r="R182">
        <v>1</v>
      </c>
      <c r="S182" s="65" t="s">
        <v>42</v>
      </c>
      <c r="T182" s="65" t="s">
        <v>44</v>
      </c>
      <c r="U182" s="65" t="s">
        <v>44</v>
      </c>
      <c r="V182" s="65" t="s">
        <v>45</v>
      </c>
      <c r="W182" s="65" t="s">
        <v>60</v>
      </c>
      <c r="X182">
        <v>42.37</v>
      </c>
      <c r="Y182" s="65" t="s">
        <v>47</v>
      </c>
      <c r="Z182" s="65" t="s">
        <v>48</v>
      </c>
      <c r="AA182" s="65" t="s">
        <v>49</v>
      </c>
      <c r="AC182" s="65"/>
      <c r="AD182">
        <v>30</v>
      </c>
    </row>
    <row r="183" spans="1:30" x14ac:dyDescent="0.3">
      <c r="A183" s="1">
        <v>46205</v>
      </c>
      <c r="B183" s="65" t="s">
        <v>3550</v>
      </c>
      <c r="C183" s="65" t="s">
        <v>953</v>
      </c>
      <c r="D183" s="65" t="s">
        <v>29</v>
      </c>
      <c r="E183" s="65" t="s">
        <v>954</v>
      </c>
      <c r="F183" s="65" t="s">
        <v>31</v>
      </c>
      <c r="G183" s="65" t="s">
        <v>955</v>
      </c>
      <c r="H183" s="65" t="s">
        <v>956</v>
      </c>
      <c r="I183" s="65" t="s">
        <v>957</v>
      </c>
      <c r="J183" s="65" t="s">
        <v>774</v>
      </c>
      <c r="K183" s="65" t="s">
        <v>775</v>
      </c>
      <c r="L183" s="65" t="s">
        <v>37</v>
      </c>
      <c r="M183" s="65" t="s">
        <v>958</v>
      </c>
      <c r="N183" s="65" t="s">
        <v>959</v>
      </c>
      <c r="O183" s="65" t="s">
        <v>956</v>
      </c>
      <c r="P183" s="65" t="s">
        <v>960</v>
      </c>
      <c r="Q183" s="65" t="s">
        <v>202</v>
      </c>
      <c r="R183">
        <v>1</v>
      </c>
      <c r="S183" s="65" t="s">
        <v>42</v>
      </c>
      <c r="T183" s="65" t="s">
        <v>44</v>
      </c>
      <c r="U183" s="65" t="s">
        <v>44</v>
      </c>
      <c r="V183" s="65" t="s">
        <v>45</v>
      </c>
      <c r="W183" s="65" t="s">
        <v>60</v>
      </c>
      <c r="X183">
        <v>42.37</v>
      </c>
      <c r="Y183" s="65" t="s">
        <v>47</v>
      </c>
      <c r="Z183" s="65" t="s">
        <v>48</v>
      </c>
      <c r="AA183" s="65" t="s">
        <v>49</v>
      </c>
      <c r="AC183" s="65"/>
      <c r="AD183">
        <v>30</v>
      </c>
    </row>
    <row r="184" spans="1:30" x14ac:dyDescent="0.3">
      <c r="A184" s="1">
        <v>46205</v>
      </c>
      <c r="B184" s="65" t="s">
        <v>3550</v>
      </c>
      <c r="C184" s="65" t="s">
        <v>961</v>
      </c>
      <c r="D184" s="65" t="s">
        <v>29</v>
      </c>
      <c r="E184" s="65" t="s">
        <v>962</v>
      </c>
      <c r="F184" s="65" t="s">
        <v>31</v>
      </c>
      <c r="G184" s="65" t="s">
        <v>963</v>
      </c>
      <c r="H184" s="65" t="s">
        <v>964</v>
      </c>
      <c r="I184" s="65" t="s">
        <v>965</v>
      </c>
      <c r="J184" s="65" t="s">
        <v>774</v>
      </c>
      <c r="K184" s="65" t="s">
        <v>775</v>
      </c>
      <c r="L184" s="65" t="s">
        <v>37</v>
      </c>
      <c r="M184" s="65" t="s">
        <v>966</v>
      </c>
      <c r="N184" s="65" t="s">
        <v>967</v>
      </c>
      <c r="O184" s="65" t="s">
        <v>964</v>
      </c>
      <c r="P184" s="65" t="s">
        <v>968</v>
      </c>
      <c r="Q184" s="65" t="s">
        <v>201</v>
      </c>
      <c r="R184">
        <v>1</v>
      </c>
      <c r="S184" s="65" t="s">
        <v>42</v>
      </c>
      <c r="T184" s="65" t="s">
        <v>44</v>
      </c>
      <c r="U184" s="65" t="s">
        <v>44</v>
      </c>
      <c r="V184" s="65" t="s">
        <v>45</v>
      </c>
      <c r="W184" s="65" t="s">
        <v>46</v>
      </c>
      <c r="X184">
        <v>42.37</v>
      </c>
      <c r="Y184" s="65" t="s">
        <v>47</v>
      </c>
      <c r="Z184" s="65" t="s">
        <v>48</v>
      </c>
      <c r="AA184" s="65" t="s">
        <v>49</v>
      </c>
      <c r="AC184" s="65"/>
      <c r="AD184">
        <v>30</v>
      </c>
    </row>
    <row r="185" spans="1:30" x14ac:dyDescent="0.3">
      <c r="A185" s="1">
        <v>46205</v>
      </c>
      <c r="B185" s="65" t="s">
        <v>3550</v>
      </c>
      <c r="C185" s="65" t="s">
        <v>961</v>
      </c>
      <c r="D185" s="65" t="s">
        <v>29</v>
      </c>
      <c r="E185" s="65" t="s">
        <v>962</v>
      </c>
      <c r="F185" s="65" t="s">
        <v>31</v>
      </c>
      <c r="G185" s="65" t="s">
        <v>963</v>
      </c>
      <c r="H185" s="65" t="s">
        <v>964</v>
      </c>
      <c r="I185" s="65" t="s">
        <v>965</v>
      </c>
      <c r="J185" s="65" t="s">
        <v>774</v>
      </c>
      <c r="K185" s="65" t="s">
        <v>775</v>
      </c>
      <c r="L185" s="65" t="s">
        <v>37</v>
      </c>
      <c r="M185" s="65" t="s">
        <v>966</v>
      </c>
      <c r="N185" s="65" t="s">
        <v>967</v>
      </c>
      <c r="O185" s="65" t="s">
        <v>964</v>
      </c>
      <c r="P185" s="65" t="s">
        <v>968</v>
      </c>
      <c r="Q185" s="65" t="s">
        <v>202</v>
      </c>
      <c r="R185">
        <v>1</v>
      </c>
      <c r="S185" s="65" t="s">
        <v>42</v>
      </c>
      <c r="T185" s="65" t="s">
        <v>44</v>
      </c>
      <c r="U185" s="65" t="s">
        <v>44</v>
      </c>
      <c r="V185" s="65" t="s">
        <v>45</v>
      </c>
      <c r="W185" s="65" t="s">
        <v>46</v>
      </c>
      <c r="X185">
        <v>42.37</v>
      </c>
      <c r="Y185" s="65" t="s">
        <v>47</v>
      </c>
      <c r="Z185" s="65" t="s">
        <v>48</v>
      </c>
      <c r="AA185" s="65" t="s">
        <v>49</v>
      </c>
      <c r="AC185" s="65"/>
      <c r="AD185">
        <v>30</v>
      </c>
    </row>
    <row r="186" spans="1:30" x14ac:dyDescent="0.3">
      <c r="A186" s="1">
        <v>46205</v>
      </c>
      <c r="B186" s="65" t="s">
        <v>3550</v>
      </c>
      <c r="C186" s="65" t="s">
        <v>1408</v>
      </c>
      <c r="D186" s="65" t="s">
        <v>29</v>
      </c>
      <c r="E186" s="65" t="s">
        <v>1409</v>
      </c>
      <c r="F186" s="65" t="s">
        <v>31</v>
      </c>
      <c r="G186" s="65" t="s">
        <v>1410</v>
      </c>
      <c r="H186" s="65" t="s">
        <v>1411</v>
      </c>
      <c r="I186" s="65" t="s">
        <v>1412</v>
      </c>
      <c r="J186" s="65" t="s">
        <v>3531</v>
      </c>
      <c r="K186" s="65" t="s">
        <v>629</v>
      </c>
      <c r="L186" s="65" t="s">
        <v>37</v>
      </c>
      <c r="M186" s="65" t="s">
        <v>1414</v>
      </c>
      <c r="N186" s="65" t="s">
        <v>1415</v>
      </c>
      <c r="O186" s="65" t="s">
        <v>1411</v>
      </c>
      <c r="P186" s="65" t="s">
        <v>1416</v>
      </c>
      <c r="Q186" s="65" t="s">
        <v>159</v>
      </c>
      <c r="R186">
        <v>1</v>
      </c>
      <c r="S186" s="65" t="s">
        <v>42</v>
      </c>
      <c r="T186" s="65" t="s">
        <v>44</v>
      </c>
      <c r="U186" s="65" t="s">
        <v>44</v>
      </c>
      <c r="V186" s="65" t="s">
        <v>45</v>
      </c>
      <c r="W186" s="65" t="s">
        <v>60</v>
      </c>
      <c r="X186">
        <v>135.59</v>
      </c>
      <c r="Y186" s="65" t="s">
        <v>47</v>
      </c>
      <c r="Z186" s="65" t="s">
        <v>48</v>
      </c>
      <c r="AA186" s="65" t="s">
        <v>49</v>
      </c>
      <c r="AC186" s="65"/>
      <c r="AD186">
        <v>30</v>
      </c>
    </row>
    <row r="187" spans="1:30" x14ac:dyDescent="0.3">
      <c r="A187" s="1">
        <v>46206</v>
      </c>
      <c r="B187" s="65" t="s">
        <v>3550</v>
      </c>
      <c r="C187" s="65" t="s">
        <v>185</v>
      </c>
      <c r="D187" s="65" t="s">
        <v>29</v>
      </c>
      <c r="E187" s="65" t="s">
        <v>186</v>
      </c>
      <c r="F187" s="65" t="s">
        <v>31</v>
      </c>
      <c r="G187" s="65" t="s">
        <v>187</v>
      </c>
      <c r="H187" s="65" t="s">
        <v>188</v>
      </c>
      <c r="I187" s="65" t="s">
        <v>189</v>
      </c>
      <c r="J187" s="65" t="s">
        <v>136</v>
      </c>
      <c r="K187" s="65" t="s">
        <v>137</v>
      </c>
      <c r="L187" s="65" t="s">
        <v>37</v>
      </c>
      <c r="M187" s="65" t="s">
        <v>190</v>
      </c>
      <c r="N187" s="65" t="s">
        <v>191</v>
      </c>
      <c r="O187" s="65" t="s">
        <v>188</v>
      </c>
      <c r="P187" s="65" t="s">
        <v>192</v>
      </c>
      <c r="Q187" s="65" t="s">
        <v>101</v>
      </c>
      <c r="R187">
        <v>1</v>
      </c>
      <c r="S187" s="65" t="s">
        <v>42</v>
      </c>
      <c r="T187" s="65" t="s">
        <v>44</v>
      </c>
      <c r="U187" s="65" t="s">
        <v>44</v>
      </c>
      <c r="V187" s="65" t="s">
        <v>45</v>
      </c>
      <c r="W187" s="65" t="s">
        <v>60</v>
      </c>
      <c r="X187">
        <v>186.44</v>
      </c>
      <c r="Y187" s="65" t="s">
        <v>47</v>
      </c>
      <c r="Z187" s="65" t="s">
        <v>48</v>
      </c>
      <c r="AA187" s="65" t="s">
        <v>49</v>
      </c>
      <c r="AB187">
        <v>987407712</v>
      </c>
      <c r="AC187" s="65" t="s">
        <v>141</v>
      </c>
      <c r="AD187">
        <v>50</v>
      </c>
    </row>
    <row r="188" spans="1:30" x14ac:dyDescent="0.3">
      <c r="A188" s="1">
        <v>46206</v>
      </c>
      <c r="B188" s="65" t="s">
        <v>3550</v>
      </c>
      <c r="C188" s="65" t="s">
        <v>456</v>
      </c>
      <c r="D188" s="65" t="s">
        <v>29</v>
      </c>
      <c r="E188" s="65" t="s">
        <v>457</v>
      </c>
      <c r="F188" s="65" t="s">
        <v>31</v>
      </c>
      <c r="G188" s="65" t="s">
        <v>458</v>
      </c>
      <c r="H188" s="65" t="s">
        <v>459</v>
      </c>
      <c r="I188" s="65" t="s">
        <v>460</v>
      </c>
      <c r="J188" s="65" t="s">
        <v>434</v>
      </c>
      <c r="K188" s="65" t="s">
        <v>435</v>
      </c>
      <c r="L188" s="65" t="s">
        <v>37</v>
      </c>
      <c r="M188" s="65" t="s">
        <v>461</v>
      </c>
      <c r="N188" s="65" t="s">
        <v>462</v>
      </c>
      <c r="O188" s="65" t="s">
        <v>459</v>
      </c>
      <c r="P188" s="65" t="s">
        <v>463</v>
      </c>
      <c r="Q188" s="65" t="s">
        <v>101</v>
      </c>
      <c r="R188">
        <v>1</v>
      </c>
      <c r="S188" s="65" t="s">
        <v>42</v>
      </c>
      <c r="T188" s="65" t="s">
        <v>44</v>
      </c>
      <c r="U188" s="65" t="s">
        <v>44</v>
      </c>
      <c r="V188" s="65" t="s">
        <v>71</v>
      </c>
      <c r="W188" s="65" t="s">
        <v>184</v>
      </c>
      <c r="X188">
        <v>186.44</v>
      </c>
      <c r="Y188" s="65" t="s">
        <v>47</v>
      </c>
      <c r="Z188" s="65" t="s">
        <v>48</v>
      </c>
      <c r="AA188" s="65" t="s">
        <v>73</v>
      </c>
      <c r="AB188">
        <v>992903716</v>
      </c>
      <c r="AC188" s="65" t="s">
        <v>439</v>
      </c>
      <c r="AD188">
        <v>50</v>
      </c>
    </row>
    <row r="189" spans="1:30" x14ac:dyDescent="0.3">
      <c r="A189" s="1">
        <v>46206</v>
      </c>
      <c r="B189" s="65" t="s">
        <v>3550</v>
      </c>
      <c r="C189" s="65" t="s">
        <v>456</v>
      </c>
      <c r="D189" s="65" t="s">
        <v>29</v>
      </c>
      <c r="E189" s="65" t="s">
        <v>457</v>
      </c>
      <c r="F189" s="65" t="s">
        <v>31</v>
      </c>
      <c r="G189" s="65" t="s">
        <v>458</v>
      </c>
      <c r="H189" s="65" t="s">
        <v>459</v>
      </c>
      <c r="I189" s="65" t="s">
        <v>460</v>
      </c>
      <c r="J189" s="65" t="s">
        <v>434</v>
      </c>
      <c r="K189" s="65" t="s">
        <v>435</v>
      </c>
      <c r="L189" s="65" t="s">
        <v>37</v>
      </c>
      <c r="M189" s="65" t="s">
        <v>461</v>
      </c>
      <c r="N189" s="65" t="s">
        <v>462</v>
      </c>
      <c r="O189" s="65" t="s">
        <v>459</v>
      </c>
      <c r="P189" s="65" t="s">
        <v>463</v>
      </c>
      <c r="Q189" s="65" t="s">
        <v>159</v>
      </c>
      <c r="R189">
        <v>1</v>
      </c>
      <c r="S189" s="65" t="s">
        <v>42</v>
      </c>
      <c r="T189" s="65" t="s">
        <v>44</v>
      </c>
      <c r="U189" s="65" t="s">
        <v>44</v>
      </c>
      <c r="V189" s="65" t="s">
        <v>71</v>
      </c>
      <c r="W189" s="65" t="s">
        <v>184</v>
      </c>
      <c r="X189">
        <v>135.59</v>
      </c>
      <c r="Y189" s="65" t="s">
        <v>47</v>
      </c>
      <c r="Z189" s="65" t="s">
        <v>48</v>
      </c>
      <c r="AA189" s="65" t="s">
        <v>73</v>
      </c>
      <c r="AB189">
        <v>992903716</v>
      </c>
      <c r="AC189" s="65" t="s">
        <v>439</v>
      </c>
      <c r="AD189">
        <v>30</v>
      </c>
    </row>
    <row r="190" spans="1:30" x14ac:dyDescent="0.3">
      <c r="A190" s="1">
        <v>46206</v>
      </c>
      <c r="B190" s="65" t="s">
        <v>3550</v>
      </c>
      <c r="C190" s="65" t="s">
        <v>456</v>
      </c>
      <c r="D190" s="65" t="s">
        <v>29</v>
      </c>
      <c r="E190" s="65" t="s">
        <v>457</v>
      </c>
      <c r="F190" s="65" t="s">
        <v>31</v>
      </c>
      <c r="G190" s="65" t="s">
        <v>458</v>
      </c>
      <c r="H190" s="65" t="s">
        <v>459</v>
      </c>
      <c r="I190" s="65" t="s">
        <v>460</v>
      </c>
      <c r="J190" s="65" t="s">
        <v>434</v>
      </c>
      <c r="K190" s="65" t="s">
        <v>435</v>
      </c>
      <c r="L190" s="65" t="s">
        <v>37</v>
      </c>
      <c r="M190" s="65" t="s">
        <v>461</v>
      </c>
      <c r="N190" s="65" t="s">
        <v>462</v>
      </c>
      <c r="O190" s="65" t="s">
        <v>459</v>
      </c>
      <c r="P190" s="65" t="s">
        <v>463</v>
      </c>
      <c r="Q190" s="65" t="s">
        <v>158</v>
      </c>
      <c r="R190">
        <v>1</v>
      </c>
      <c r="S190" s="65" t="s">
        <v>42</v>
      </c>
      <c r="T190" s="65" t="s">
        <v>44</v>
      </c>
      <c r="U190" s="65" t="s">
        <v>44</v>
      </c>
      <c r="V190" s="65" t="s">
        <v>71</v>
      </c>
      <c r="W190" s="65" t="s">
        <v>184</v>
      </c>
      <c r="X190">
        <v>152.54</v>
      </c>
      <c r="Y190" s="65" t="s">
        <v>47</v>
      </c>
      <c r="Z190" s="65" t="s">
        <v>48</v>
      </c>
      <c r="AA190" s="65" t="s">
        <v>73</v>
      </c>
      <c r="AB190">
        <v>992903716</v>
      </c>
      <c r="AC190" s="65" t="s">
        <v>439</v>
      </c>
      <c r="AD190">
        <v>30</v>
      </c>
    </row>
    <row r="191" spans="1:30" x14ac:dyDescent="0.3">
      <c r="A191" s="1">
        <v>46206</v>
      </c>
      <c r="B191" s="65" t="s">
        <v>3550</v>
      </c>
      <c r="C191" s="65" t="s">
        <v>1400</v>
      </c>
      <c r="D191" s="65" t="s">
        <v>268</v>
      </c>
      <c r="E191" s="65" t="s">
        <v>1401</v>
      </c>
      <c r="F191" s="65" t="s">
        <v>31</v>
      </c>
      <c r="G191" s="65" t="s">
        <v>1402</v>
      </c>
      <c r="H191" s="65" t="s">
        <v>1403</v>
      </c>
      <c r="I191" s="65" t="s">
        <v>1404</v>
      </c>
      <c r="J191" s="65" t="s">
        <v>477</v>
      </c>
      <c r="K191" s="65" t="s">
        <v>209</v>
      </c>
      <c r="L191" s="65" t="s">
        <v>37</v>
      </c>
      <c r="M191" s="65" t="s">
        <v>1405</v>
      </c>
      <c r="N191" s="65" t="s">
        <v>1406</v>
      </c>
      <c r="O191" s="65" t="s">
        <v>486</v>
      </c>
      <c r="P191" s="65" t="s">
        <v>1407</v>
      </c>
      <c r="Q191" s="65" t="s">
        <v>481</v>
      </c>
      <c r="R191">
        <v>2</v>
      </c>
      <c r="S191" s="65" t="s">
        <v>42</v>
      </c>
      <c r="T191" s="65" t="s">
        <v>44</v>
      </c>
      <c r="U191" s="65" t="s">
        <v>44</v>
      </c>
      <c r="V191" s="65" t="s">
        <v>45</v>
      </c>
      <c r="W191" s="65" t="s">
        <v>46</v>
      </c>
      <c r="X191">
        <v>203.39</v>
      </c>
      <c r="Y191" s="65" t="s">
        <v>61</v>
      </c>
      <c r="Z191" s="65" t="s">
        <v>48</v>
      </c>
      <c r="AA191" s="65" t="s">
        <v>49</v>
      </c>
      <c r="AB191">
        <v>982536223</v>
      </c>
      <c r="AC191" s="65" t="s">
        <v>482</v>
      </c>
    </row>
    <row r="192" spans="1:30" x14ac:dyDescent="0.3">
      <c r="A192" s="1">
        <v>46206</v>
      </c>
      <c r="B192" s="65" t="s">
        <v>3550</v>
      </c>
      <c r="C192" s="65" t="s">
        <v>545</v>
      </c>
      <c r="D192" s="65" t="s">
        <v>268</v>
      </c>
      <c r="E192" s="65" t="s">
        <v>546</v>
      </c>
      <c r="F192" s="65" t="s">
        <v>31</v>
      </c>
      <c r="G192" s="65" t="s">
        <v>547</v>
      </c>
      <c r="H192" s="65" t="s">
        <v>548</v>
      </c>
      <c r="I192" s="65" t="s">
        <v>549</v>
      </c>
      <c r="J192" s="65"/>
      <c r="K192" s="65"/>
      <c r="L192" s="65" t="s">
        <v>37</v>
      </c>
      <c r="M192" s="65" t="s">
        <v>550</v>
      </c>
      <c r="N192" s="65" t="s">
        <v>551</v>
      </c>
      <c r="O192" s="65" t="s">
        <v>552</v>
      </c>
      <c r="P192" s="65" t="s">
        <v>553</v>
      </c>
      <c r="Q192" s="65" t="s">
        <v>288</v>
      </c>
      <c r="R192">
        <v>1</v>
      </c>
      <c r="S192" s="65" t="s">
        <v>42</v>
      </c>
      <c r="T192" s="65" t="s">
        <v>44</v>
      </c>
      <c r="U192" s="65" t="s">
        <v>44</v>
      </c>
      <c r="V192" s="65" t="s">
        <v>45</v>
      </c>
      <c r="W192" s="65" t="s">
        <v>46</v>
      </c>
      <c r="X192">
        <v>0</v>
      </c>
      <c r="Y192" s="65" t="s">
        <v>289</v>
      </c>
      <c r="Z192" s="65" t="s">
        <v>48</v>
      </c>
      <c r="AA192" s="65" t="s">
        <v>49</v>
      </c>
      <c r="AC192" s="65"/>
    </row>
    <row r="193" spans="1:30" x14ac:dyDescent="0.3">
      <c r="A193" s="1">
        <v>46206</v>
      </c>
      <c r="B193" s="65" t="s">
        <v>3550</v>
      </c>
      <c r="C193" s="65" t="s">
        <v>545</v>
      </c>
      <c r="D193" s="65" t="s">
        <v>268</v>
      </c>
      <c r="E193" s="65" t="s">
        <v>546</v>
      </c>
      <c r="F193" s="65" t="s">
        <v>31</v>
      </c>
      <c r="G193" s="65" t="s">
        <v>547</v>
      </c>
      <c r="H193" s="65" t="s">
        <v>548</v>
      </c>
      <c r="I193" s="65" t="s">
        <v>549</v>
      </c>
      <c r="J193" s="65"/>
      <c r="K193" s="65"/>
      <c r="L193" s="65" t="s">
        <v>37</v>
      </c>
      <c r="M193" s="65" t="s">
        <v>550</v>
      </c>
      <c r="N193" s="65" t="s">
        <v>551</v>
      </c>
      <c r="O193" s="65" t="s">
        <v>552</v>
      </c>
      <c r="P193" s="65" t="s">
        <v>553</v>
      </c>
      <c r="Q193" s="65" t="s">
        <v>1620</v>
      </c>
      <c r="R193">
        <v>1</v>
      </c>
      <c r="S193" s="65" t="s">
        <v>42</v>
      </c>
      <c r="T193" s="65" t="s">
        <v>44</v>
      </c>
      <c r="U193" s="65" t="s">
        <v>44</v>
      </c>
      <c r="V193" s="65" t="s">
        <v>45</v>
      </c>
      <c r="W193" s="65" t="s">
        <v>46</v>
      </c>
      <c r="X193">
        <v>847.46</v>
      </c>
      <c r="Y193" s="65" t="s">
        <v>289</v>
      </c>
      <c r="Z193" s="65" t="s">
        <v>48</v>
      </c>
      <c r="AA193" s="65" t="s">
        <v>49</v>
      </c>
      <c r="AC193" s="65"/>
    </row>
    <row r="194" spans="1:30" x14ac:dyDescent="0.3">
      <c r="A194" s="1">
        <v>46206</v>
      </c>
      <c r="B194" s="65" t="s">
        <v>3550</v>
      </c>
      <c r="C194" s="65" t="s">
        <v>675</v>
      </c>
      <c r="D194" s="65" t="s">
        <v>29</v>
      </c>
      <c r="E194" s="65" t="s">
        <v>676</v>
      </c>
      <c r="F194" s="65" t="s">
        <v>31</v>
      </c>
      <c r="G194" s="65" t="s">
        <v>677</v>
      </c>
      <c r="H194" s="65" t="s">
        <v>678</v>
      </c>
      <c r="I194" s="65" t="s">
        <v>679</v>
      </c>
      <c r="J194" s="65" t="s">
        <v>662</v>
      </c>
      <c r="K194" s="65" t="s">
        <v>36</v>
      </c>
      <c r="L194" s="65" t="s">
        <v>37</v>
      </c>
      <c r="M194" s="65" t="s">
        <v>680</v>
      </c>
      <c r="N194" s="65" t="s">
        <v>681</v>
      </c>
      <c r="O194" s="65" t="s">
        <v>678</v>
      </c>
      <c r="P194" s="65" t="s">
        <v>682</v>
      </c>
      <c r="Q194" s="65" t="s">
        <v>201</v>
      </c>
      <c r="R194">
        <v>1</v>
      </c>
      <c r="S194" s="65" t="s">
        <v>42</v>
      </c>
      <c r="T194" s="65" t="s">
        <v>44</v>
      </c>
      <c r="U194" s="65" t="s">
        <v>44</v>
      </c>
      <c r="V194" s="65" t="s">
        <v>45</v>
      </c>
      <c r="W194" s="65" t="s">
        <v>46</v>
      </c>
      <c r="X194">
        <v>152.54</v>
      </c>
      <c r="Y194" s="65" t="s">
        <v>47</v>
      </c>
      <c r="Z194" s="65" t="s">
        <v>48</v>
      </c>
      <c r="AA194" s="65" t="s">
        <v>49</v>
      </c>
      <c r="AB194">
        <v>997145685</v>
      </c>
      <c r="AC194" s="65" t="s">
        <v>666</v>
      </c>
      <c r="AD194">
        <v>30</v>
      </c>
    </row>
    <row r="195" spans="1:30" x14ac:dyDescent="0.3">
      <c r="A195" s="1">
        <v>46206</v>
      </c>
      <c r="B195" s="65" t="s">
        <v>3550</v>
      </c>
      <c r="C195" s="65" t="s">
        <v>699</v>
      </c>
      <c r="D195" s="65" t="s">
        <v>29</v>
      </c>
      <c r="E195" s="65" t="s">
        <v>700</v>
      </c>
      <c r="F195" s="65" t="s">
        <v>31</v>
      </c>
      <c r="G195" s="65" t="s">
        <v>701</v>
      </c>
      <c r="H195" s="65" t="s">
        <v>702</v>
      </c>
      <c r="I195" s="65" t="s">
        <v>703</v>
      </c>
      <c r="J195" s="65" t="s">
        <v>704</v>
      </c>
      <c r="K195" s="65" t="s">
        <v>705</v>
      </c>
      <c r="L195" s="65" t="s">
        <v>37</v>
      </c>
      <c r="M195" s="65" t="s">
        <v>706</v>
      </c>
      <c r="N195" s="65" t="s">
        <v>707</v>
      </c>
      <c r="O195" s="65" t="s">
        <v>702</v>
      </c>
      <c r="P195" s="65" t="s">
        <v>708</v>
      </c>
      <c r="Q195" s="65" t="s">
        <v>159</v>
      </c>
      <c r="R195">
        <v>1</v>
      </c>
      <c r="S195" s="65" t="s">
        <v>42</v>
      </c>
      <c r="T195" s="65" t="s">
        <v>44</v>
      </c>
      <c r="U195" s="65" t="s">
        <v>44</v>
      </c>
      <c r="V195" s="65" t="s">
        <v>45</v>
      </c>
      <c r="W195" s="65" t="s">
        <v>60</v>
      </c>
      <c r="X195">
        <v>135.59</v>
      </c>
      <c r="Y195" s="65" t="s">
        <v>47</v>
      </c>
      <c r="Z195" s="65" t="s">
        <v>48</v>
      </c>
      <c r="AA195" s="65" t="s">
        <v>49</v>
      </c>
      <c r="AB195">
        <v>998418895</v>
      </c>
      <c r="AC195" s="65" t="s">
        <v>709</v>
      </c>
      <c r="AD195">
        <v>30</v>
      </c>
    </row>
    <row r="196" spans="1:30" x14ac:dyDescent="0.3">
      <c r="A196" s="1">
        <v>46206</v>
      </c>
      <c r="B196" s="65" t="s">
        <v>3550</v>
      </c>
      <c r="C196" s="65" t="s">
        <v>699</v>
      </c>
      <c r="D196" s="65" t="s">
        <v>29</v>
      </c>
      <c r="E196" s="65" t="s">
        <v>700</v>
      </c>
      <c r="F196" s="65" t="s">
        <v>31</v>
      </c>
      <c r="G196" s="65" t="s">
        <v>701</v>
      </c>
      <c r="H196" s="65" t="s">
        <v>702</v>
      </c>
      <c r="I196" s="65" t="s">
        <v>703</v>
      </c>
      <c r="J196" s="65" t="s">
        <v>704</v>
      </c>
      <c r="K196" s="65" t="s">
        <v>705</v>
      </c>
      <c r="L196" s="65" t="s">
        <v>37</v>
      </c>
      <c r="M196" s="65" t="s">
        <v>706</v>
      </c>
      <c r="N196" s="65" t="s">
        <v>707</v>
      </c>
      <c r="O196" s="65" t="s">
        <v>702</v>
      </c>
      <c r="P196" s="65" t="s">
        <v>708</v>
      </c>
      <c r="Q196" s="65" t="s">
        <v>158</v>
      </c>
      <c r="R196">
        <v>1</v>
      </c>
      <c r="S196" s="65" t="s">
        <v>42</v>
      </c>
      <c r="T196" s="65" t="s">
        <v>44</v>
      </c>
      <c r="U196" s="65" t="s">
        <v>44</v>
      </c>
      <c r="V196" s="65" t="s">
        <v>45</v>
      </c>
      <c r="W196" s="65" t="s">
        <v>60</v>
      </c>
      <c r="X196">
        <v>152.54</v>
      </c>
      <c r="Y196" s="65" t="s">
        <v>47</v>
      </c>
      <c r="Z196" s="65" t="s">
        <v>48</v>
      </c>
      <c r="AA196" s="65" t="s">
        <v>49</v>
      </c>
      <c r="AB196">
        <v>998418895</v>
      </c>
      <c r="AC196" s="65" t="s">
        <v>709</v>
      </c>
      <c r="AD196">
        <v>30</v>
      </c>
    </row>
    <row r="197" spans="1:30" x14ac:dyDescent="0.3">
      <c r="A197" s="1">
        <v>46206</v>
      </c>
      <c r="B197" s="65" t="s">
        <v>3550</v>
      </c>
      <c r="C197" s="65" t="s">
        <v>699</v>
      </c>
      <c r="D197" s="65" t="s">
        <v>29</v>
      </c>
      <c r="E197" s="65" t="s">
        <v>700</v>
      </c>
      <c r="F197" s="65" t="s">
        <v>31</v>
      </c>
      <c r="G197" s="65" t="s">
        <v>701</v>
      </c>
      <c r="H197" s="65" t="s">
        <v>702</v>
      </c>
      <c r="I197" s="65" t="s">
        <v>703</v>
      </c>
      <c r="J197" s="65" t="s">
        <v>704</v>
      </c>
      <c r="K197" s="65" t="s">
        <v>705</v>
      </c>
      <c r="L197" s="65" t="s">
        <v>37</v>
      </c>
      <c r="M197" s="65" t="s">
        <v>706</v>
      </c>
      <c r="N197" s="65" t="s">
        <v>707</v>
      </c>
      <c r="O197" s="65" t="s">
        <v>702</v>
      </c>
      <c r="P197" s="65" t="s">
        <v>708</v>
      </c>
      <c r="Q197" s="65" t="s">
        <v>101</v>
      </c>
      <c r="R197">
        <v>1</v>
      </c>
      <c r="S197" s="65" t="s">
        <v>42</v>
      </c>
      <c r="T197" s="65" t="s">
        <v>44</v>
      </c>
      <c r="U197" s="65" t="s">
        <v>44</v>
      </c>
      <c r="V197" s="65" t="s">
        <v>45</v>
      </c>
      <c r="W197" s="65" t="s">
        <v>60</v>
      </c>
      <c r="X197">
        <v>186.44</v>
      </c>
      <c r="Y197" s="65" t="s">
        <v>47</v>
      </c>
      <c r="Z197" s="65" t="s">
        <v>48</v>
      </c>
      <c r="AA197" s="65" t="s">
        <v>49</v>
      </c>
      <c r="AB197">
        <v>998418895</v>
      </c>
      <c r="AC197" s="65" t="s">
        <v>709</v>
      </c>
      <c r="AD197">
        <v>50</v>
      </c>
    </row>
    <row r="198" spans="1:30" x14ac:dyDescent="0.3">
      <c r="A198" s="1">
        <v>46206</v>
      </c>
      <c r="B198" s="65" t="s">
        <v>3550</v>
      </c>
      <c r="C198" s="65" t="s">
        <v>741</v>
      </c>
      <c r="D198" s="65" t="s">
        <v>29</v>
      </c>
      <c r="E198" s="65" t="s">
        <v>742</v>
      </c>
      <c r="F198" s="65" t="s">
        <v>31</v>
      </c>
      <c r="G198" s="65" t="s">
        <v>743</v>
      </c>
      <c r="H198" s="65" t="s">
        <v>744</v>
      </c>
      <c r="I198" s="65" t="s">
        <v>745</v>
      </c>
      <c r="J198" s="65" t="s">
        <v>715</v>
      </c>
      <c r="K198" s="65" t="s">
        <v>716</v>
      </c>
      <c r="L198" s="65" t="s">
        <v>37</v>
      </c>
      <c r="M198" s="65" t="s">
        <v>746</v>
      </c>
      <c r="N198" s="65" t="s">
        <v>747</v>
      </c>
      <c r="O198" s="65" t="s">
        <v>744</v>
      </c>
      <c r="P198" s="65" t="s">
        <v>748</v>
      </c>
      <c r="Q198" s="65" t="s">
        <v>41</v>
      </c>
      <c r="R198">
        <v>1</v>
      </c>
      <c r="S198" s="65" t="s">
        <v>70</v>
      </c>
      <c r="T198" s="65" t="s">
        <v>43</v>
      </c>
      <c r="U198" s="65" t="s">
        <v>44</v>
      </c>
      <c r="V198" s="65" t="s">
        <v>71</v>
      </c>
      <c r="W198" s="65" t="s">
        <v>72</v>
      </c>
      <c r="X198">
        <v>186.44</v>
      </c>
      <c r="Y198" s="65" t="s">
        <v>47</v>
      </c>
      <c r="Z198" s="65" t="s">
        <v>48</v>
      </c>
      <c r="AA198" s="65" t="s">
        <v>73</v>
      </c>
      <c r="AB198">
        <v>955356636</v>
      </c>
      <c r="AC198" s="65" t="s">
        <v>720</v>
      </c>
      <c r="AD198">
        <v>50</v>
      </c>
    </row>
    <row r="199" spans="1:30" x14ac:dyDescent="0.3">
      <c r="A199" s="1">
        <v>46206</v>
      </c>
      <c r="B199" s="65" t="s">
        <v>3550</v>
      </c>
      <c r="C199" s="65" t="s">
        <v>749</v>
      </c>
      <c r="D199" s="65" t="s">
        <v>29</v>
      </c>
      <c r="E199" s="65" t="s">
        <v>750</v>
      </c>
      <c r="F199" s="65" t="s">
        <v>31</v>
      </c>
      <c r="G199" s="65" t="s">
        <v>751</v>
      </c>
      <c r="H199" s="65" t="s">
        <v>752</v>
      </c>
      <c r="I199" s="65" t="s">
        <v>753</v>
      </c>
      <c r="J199" s="65" t="s">
        <v>715</v>
      </c>
      <c r="K199" s="65" t="s">
        <v>716</v>
      </c>
      <c r="L199" s="65" t="s">
        <v>37</v>
      </c>
      <c r="M199" s="65" t="s">
        <v>754</v>
      </c>
      <c r="N199" s="65" t="s">
        <v>755</v>
      </c>
      <c r="O199" s="65" t="s">
        <v>752</v>
      </c>
      <c r="P199" s="65" t="s">
        <v>756</v>
      </c>
      <c r="Q199" s="65" t="s">
        <v>41</v>
      </c>
      <c r="R199">
        <v>1</v>
      </c>
      <c r="S199" s="65" t="s">
        <v>70</v>
      </c>
      <c r="T199" s="65" t="s">
        <v>43</v>
      </c>
      <c r="U199" s="65" t="s">
        <v>44</v>
      </c>
      <c r="V199" s="65" t="s">
        <v>71</v>
      </c>
      <c r="W199" s="65" t="s">
        <v>72</v>
      </c>
      <c r="X199">
        <v>186.44</v>
      </c>
      <c r="Y199" s="65" t="s">
        <v>47</v>
      </c>
      <c r="Z199" s="65" t="s">
        <v>48</v>
      </c>
      <c r="AA199" s="65" t="s">
        <v>73</v>
      </c>
      <c r="AB199">
        <v>955356636</v>
      </c>
      <c r="AC199" s="65" t="s">
        <v>720</v>
      </c>
      <c r="AD199">
        <v>50</v>
      </c>
    </row>
    <row r="200" spans="1:30" x14ac:dyDescent="0.3">
      <c r="A200" s="1">
        <v>46206</v>
      </c>
      <c r="B200" s="65" t="s">
        <v>3550</v>
      </c>
      <c r="C200" s="65" t="s">
        <v>749</v>
      </c>
      <c r="D200" s="65" t="s">
        <v>29</v>
      </c>
      <c r="E200" s="65" t="s">
        <v>750</v>
      </c>
      <c r="F200" s="65" t="s">
        <v>31</v>
      </c>
      <c r="G200" s="65" t="s">
        <v>751</v>
      </c>
      <c r="H200" s="65" t="s">
        <v>752</v>
      </c>
      <c r="I200" s="65" t="s">
        <v>753</v>
      </c>
      <c r="J200" s="65" t="s">
        <v>715</v>
      </c>
      <c r="K200" s="65" t="s">
        <v>716</v>
      </c>
      <c r="L200" s="65" t="s">
        <v>37</v>
      </c>
      <c r="M200" s="65" t="s">
        <v>754</v>
      </c>
      <c r="N200" s="65" t="s">
        <v>755</v>
      </c>
      <c r="O200" s="65" t="s">
        <v>752</v>
      </c>
      <c r="P200" s="65" t="s">
        <v>756</v>
      </c>
      <c r="Q200" s="65" t="s">
        <v>101</v>
      </c>
      <c r="R200">
        <v>1</v>
      </c>
      <c r="S200" s="65" t="s">
        <v>70</v>
      </c>
      <c r="T200" s="65" t="s">
        <v>43</v>
      </c>
      <c r="U200" s="65" t="s">
        <v>44</v>
      </c>
      <c r="V200" s="65" t="s">
        <v>71</v>
      </c>
      <c r="W200" s="65" t="s">
        <v>72</v>
      </c>
      <c r="X200">
        <v>186.44</v>
      </c>
      <c r="Y200" s="65" t="s">
        <v>47</v>
      </c>
      <c r="Z200" s="65" t="s">
        <v>48</v>
      </c>
      <c r="AA200" s="65" t="s">
        <v>73</v>
      </c>
      <c r="AB200">
        <v>955356636</v>
      </c>
      <c r="AC200" s="65" t="s">
        <v>720</v>
      </c>
      <c r="AD200">
        <v>50</v>
      </c>
    </row>
    <row r="201" spans="1:30" x14ac:dyDescent="0.3">
      <c r="A201" s="1">
        <v>46206</v>
      </c>
      <c r="B201" s="65" t="s">
        <v>3550</v>
      </c>
      <c r="C201" s="65" t="s">
        <v>969</v>
      </c>
      <c r="D201" s="65" t="s">
        <v>268</v>
      </c>
      <c r="E201" s="65" t="s">
        <v>970</v>
      </c>
      <c r="F201" s="65" t="s">
        <v>31</v>
      </c>
      <c r="G201" s="65" t="s">
        <v>971</v>
      </c>
      <c r="H201" s="65" t="s">
        <v>964</v>
      </c>
      <c r="I201" s="65" t="s">
        <v>965</v>
      </c>
      <c r="J201" s="65" t="s">
        <v>774</v>
      </c>
      <c r="K201" s="65" t="s">
        <v>775</v>
      </c>
      <c r="L201" s="65" t="s">
        <v>37</v>
      </c>
      <c r="M201" s="65" t="s">
        <v>966</v>
      </c>
      <c r="N201" s="65" t="s">
        <v>967</v>
      </c>
      <c r="O201" s="65" t="s">
        <v>798</v>
      </c>
      <c r="P201" s="65" t="s">
        <v>972</v>
      </c>
      <c r="Q201" s="65" t="s">
        <v>288</v>
      </c>
      <c r="R201">
        <v>1</v>
      </c>
      <c r="S201" s="65" t="s">
        <v>42</v>
      </c>
      <c r="T201" s="65" t="s">
        <v>44</v>
      </c>
      <c r="U201" s="65" t="s">
        <v>44</v>
      </c>
      <c r="V201" s="65" t="s">
        <v>45</v>
      </c>
      <c r="W201" s="65" t="s">
        <v>46</v>
      </c>
      <c r="X201">
        <v>0</v>
      </c>
      <c r="Y201" s="65" t="s">
        <v>289</v>
      </c>
      <c r="Z201" s="65" t="s">
        <v>48</v>
      </c>
      <c r="AA201" s="65" t="s">
        <v>49</v>
      </c>
      <c r="AC201" s="65"/>
    </row>
    <row r="202" spans="1:30" x14ac:dyDescent="0.3">
      <c r="A202" s="1">
        <v>46206</v>
      </c>
      <c r="B202" s="65" t="s">
        <v>3550</v>
      </c>
      <c r="C202" s="65" t="s">
        <v>969</v>
      </c>
      <c r="D202" s="65" t="s">
        <v>268</v>
      </c>
      <c r="E202" s="65" t="s">
        <v>970</v>
      </c>
      <c r="F202" s="65" t="s">
        <v>31</v>
      </c>
      <c r="G202" s="65" t="s">
        <v>971</v>
      </c>
      <c r="H202" s="65" t="s">
        <v>964</v>
      </c>
      <c r="I202" s="65" t="s">
        <v>965</v>
      </c>
      <c r="J202" s="65" t="s">
        <v>774</v>
      </c>
      <c r="K202" s="65" t="s">
        <v>775</v>
      </c>
      <c r="L202" s="65" t="s">
        <v>37</v>
      </c>
      <c r="M202" s="65" t="s">
        <v>966</v>
      </c>
      <c r="N202" s="65" t="s">
        <v>967</v>
      </c>
      <c r="O202" s="65" t="s">
        <v>798</v>
      </c>
      <c r="P202" s="65" t="s">
        <v>972</v>
      </c>
      <c r="Q202" s="65" t="s">
        <v>1620</v>
      </c>
      <c r="R202">
        <v>1</v>
      </c>
      <c r="S202" s="65" t="s">
        <v>42</v>
      </c>
      <c r="T202" s="65" t="s">
        <v>44</v>
      </c>
      <c r="U202" s="65" t="s">
        <v>44</v>
      </c>
      <c r="V202" s="65" t="s">
        <v>45</v>
      </c>
      <c r="W202" s="65" t="s">
        <v>46</v>
      </c>
      <c r="X202">
        <v>1483.05</v>
      </c>
      <c r="Y202" s="65" t="s">
        <v>289</v>
      </c>
      <c r="Z202" s="65" t="s">
        <v>48</v>
      </c>
      <c r="AA202" s="65" t="s">
        <v>49</v>
      </c>
      <c r="AC202" s="65"/>
    </row>
    <row r="203" spans="1:30" x14ac:dyDescent="0.3">
      <c r="A203" s="1">
        <v>46206</v>
      </c>
      <c r="B203" s="65" t="s">
        <v>3550</v>
      </c>
      <c r="C203" s="65" t="s">
        <v>1262</v>
      </c>
      <c r="D203" s="65" t="s">
        <v>29</v>
      </c>
      <c r="E203" s="65" t="s">
        <v>1263</v>
      </c>
      <c r="F203" s="65" t="s">
        <v>31</v>
      </c>
      <c r="G203" s="65" t="s">
        <v>1264</v>
      </c>
      <c r="H203" s="65" t="s">
        <v>1265</v>
      </c>
      <c r="I203" s="65" t="s">
        <v>1266</v>
      </c>
      <c r="J203" s="65" t="s">
        <v>2795</v>
      </c>
      <c r="K203" s="65" t="s">
        <v>209</v>
      </c>
      <c r="L203" s="65" t="s">
        <v>37</v>
      </c>
      <c r="M203" s="65" t="s">
        <v>1267</v>
      </c>
      <c r="N203" s="65" t="s">
        <v>608</v>
      </c>
      <c r="O203" s="65" t="s">
        <v>1265</v>
      </c>
      <c r="P203" s="65" t="s">
        <v>1268</v>
      </c>
      <c r="Q203" s="65" t="s">
        <v>288</v>
      </c>
      <c r="R203">
        <v>1</v>
      </c>
      <c r="S203" s="65" t="s">
        <v>42</v>
      </c>
      <c r="T203" s="65" t="s">
        <v>44</v>
      </c>
      <c r="U203" s="65" t="s">
        <v>44</v>
      </c>
      <c r="V203" s="65" t="s">
        <v>45</v>
      </c>
      <c r="W203" s="65" t="s">
        <v>46</v>
      </c>
      <c r="X203">
        <v>0</v>
      </c>
      <c r="Y203" s="65" t="s">
        <v>289</v>
      </c>
      <c r="Z203" s="65" t="s">
        <v>48</v>
      </c>
      <c r="AA203" s="65" t="s">
        <v>49</v>
      </c>
      <c r="AB203">
        <v>994872106</v>
      </c>
      <c r="AC203" s="65" t="s">
        <v>1253</v>
      </c>
    </row>
    <row r="204" spans="1:30" x14ac:dyDescent="0.3">
      <c r="A204" s="1">
        <v>46206</v>
      </c>
      <c r="B204" s="65" t="s">
        <v>3550</v>
      </c>
      <c r="C204" s="65" t="s">
        <v>1262</v>
      </c>
      <c r="D204" s="65" t="s">
        <v>29</v>
      </c>
      <c r="E204" s="65" t="s">
        <v>1263</v>
      </c>
      <c r="F204" s="65" t="s">
        <v>31</v>
      </c>
      <c r="G204" s="65" t="s">
        <v>1264</v>
      </c>
      <c r="H204" s="65" t="s">
        <v>1265</v>
      </c>
      <c r="I204" s="65" t="s">
        <v>1266</v>
      </c>
      <c r="J204" s="65" t="s">
        <v>2795</v>
      </c>
      <c r="K204" s="65" t="s">
        <v>209</v>
      </c>
      <c r="L204" s="65" t="s">
        <v>37</v>
      </c>
      <c r="M204" s="65" t="s">
        <v>1267</v>
      </c>
      <c r="N204" s="65" t="s">
        <v>608</v>
      </c>
      <c r="O204" s="65" t="s">
        <v>1265</v>
      </c>
      <c r="P204" s="65" t="s">
        <v>1268</v>
      </c>
      <c r="Q204" s="65" t="s">
        <v>1620</v>
      </c>
      <c r="R204">
        <v>1</v>
      </c>
      <c r="S204" s="65" t="s">
        <v>42</v>
      </c>
      <c r="T204" s="65" t="s">
        <v>44</v>
      </c>
      <c r="U204" s="65" t="s">
        <v>44</v>
      </c>
      <c r="V204" s="65" t="s">
        <v>45</v>
      </c>
      <c r="W204" s="65" t="s">
        <v>46</v>
      </c>
      <c r="X204">
        <v>139.83000000000001</v>
      </c>
      <c r="Y204" s="65" t="s">
        <v>289</v>
      </c>
      <c r="Z204" s="65" t="s">
        <v>48</v>
      </c>
      <c r="AA204" s="65" t="s">
        <v>49</v>
      </c>
      <c r="AB204">
        <v>994872106</v>
      </c>
      <c r="AC204" s="65" t="s">
        <v>1253</v>
      </c>
    </row>
    <row r="205" spans="1:30" x14ac:dyDescent="0.3">
      <c r="A205" s="1">
        <v>46207</v>
      </c>
      <c r="B205" s="65" t="s">
        <v>3550</v>
      </c>
      <c r="C205" s="65" t="s">
        <v>1428</v>
      </c>
      <c r="D205" s="65" t="s">
        <v>29</v>
      </c>
      <c r="E205" s="65" t="s">
        <v>1429</v>
      </c>
      <c r="F205" s="65" t="s">
        <v>31</v>
      </c>
      <c r="G205" s="65" t="s">
        <v>1430</v>
      </c>
      <c r="H205" s="65" t="s">
        <v>1431</v>
      </c>
      <c r="I205" s="65" t="s">
        <v>1432</v>
      </c>
      <c r="J205" s="65" t="s">
        <v>3047</v>
      </c>
      <c r="K205" s="65" t="s">
        <v>209</v>
      </c>
      <c r="L205" s="65" t="s">
        <v>37</v>
      </c>
      <c r="M205" s="65" t="s">
        <v>1434</v>
      </c>
      <c r="N205" s="65" t="s">
        <v>1435</v>
      </c>
      <c r="O205" s="65" t="s">
        <v>1431</v>
      </c>
      <c r="P205" s="65" t="s">
        <v>1436</v>
      </c>
      <c r="Q205" s="65" t="s">
        <v>41</v>
      </c>
      <c r="R205">
        <v>1</v>
      </c>
      <c r="S205" s="65" t="s">
        <v>42</v>
      </c>
      <c r="T205" s="65" t="s">
        <v>44</v>
      </c>
      <c r="U205" s="65" t="s">
        <v>44</v>
      </c>
      <c r="V205" s="65" t="s">
        <v>45</v>
      </c>
      <c r="W205" s="65" t="s">
        <v>60</v>
      </c>
      <c r="X205">
        <v>186.44</v>
      </c>
      <c r="Y205" s="65" t="s">
        <v>47</v>
      </c>
      <c r="Z205" s="65" t="s">
        <v>48</v>
      </c>
      <c r="AA205" s="65" t="s">
        <v>49</v>
      </c>
      <c r="AB205">
        <v>948878123</v>
      </c>
      <c r="AC205" s="65" t="s">
        <v>3048</v>
      </c>
      <c r="AD205">
        <v>50</v>
      </c>
    </row>
    <row r="206" spans="1:30" x14ac:dyDescent="0.3">
      <c r="A206" s="1">
        <v>46207</v>
      </c>
      <c r="B206" s="65" t="s">
        <v>3550</v>
      </c>
      <c r="C206" s="65" t="s">
        <v>1428</v>
      </c>
      <c r="D206" s="65" t="s">
        <v>29</v>
      </c>
      <c r="E206" s="65" t="s">
        <v>1429</v>
      </c>
      <c r="F206" s="65" t="s">
        <v>31</v>
      </c>
      <c r="G206" s="65" t="s">
        <v>1430</v>
      </c>
      <c r="H206" s="65" t="s">
        <v>1431</v>
      </c>
      <c r="I206" s="65" t="s">
        <v>1432</v>
      </c>
      <c r="J206" s="65" t="s">
        <v>3047</v>
      </c>
      <c r="K206" s="65" t="s">
        <v>209</v>
      </c>
      <c r="L206" s="65" t="s">
        <v>37</v>
      </c>
      <c r="M206" s="65" t="s">
        <v>1434</v>
      </c>
      <c r="N206" s="65" t="s">
        <v>1435</v>
      </c>
      <c r="O206" s="65" t="s">
        <v>1431</v>
      </c>
      <c r="P206" s="65" t="s">
        <v>1436</v>
      </c>
      <c r="Q206" s="65" t="s">
        <v>101</v>
      </c>
      <c r="R206">
        <v>1</v>
      </c>
      <c r="S206" s="65" t="s">
        <v>42</v>
      </c>
      <c r="T206" s="65" t="s">
        <v>44</v>
      </c>
      <c r="U206" s="65" t="s">
        <v>44</v>
      </c>
      <c r="V206" s="65" t="s">
        <v>45</v>
      </c>
      <c r="W206" s="65" t="s">
        <v>60</v>
      </c>
      <c r="X206">
        <v>186.44</v>
      </c>
      <c r="Y206" s="65" t="s">
        <v>47</v>
      </c>
      <c r="Z206" s="65" t="s">
        <v>48</v>
      </c>
      <c r="AA206" s="65" t="s">
        <v>49</v>
      </c>
      <c r="AB206">
        <v>948878123</v>
      </c>
      <c r="AC206" s="65" t="s">
        <v>3048</v>
      </c>
      <c r="AD206">
        <v>50</v>
      </c>
    </row>
    <row r="207" spans="1:30" x14ac:dyDescent="0.3">
      <c r="A207" s="1">
        <v>46207</v>
      </c>
      <c r="B207" s="65" t="s">
        <v>3550</v>
      </c>
      <c r="C207" s="65" t="s">
        <v>1428</v>
      </c>
      <c r="D207" s="65" t="s">
        <v>29</v>
      </c>
      <c r="E207" s="65" t="s">
        <v>1429</v>
      </c>
      <c r="F207" s="65" t="s">
        <v>31</v>
      </c>
      <c r="G207" s="65" t="s">
        <v>1430</v>
      </c>
      <c r="H207" s="65" t="s">
        <v>1431</v>
      </c>
      <c r="I207" s="65" t="s">
        <v>1432</v>
      </c>
      <c r="J207" s="65" t="s">
        <v>3047</v>
      </c>
      <c r="K207" s="65" t="s">
        <v>209</v>
      </c>
      <c r="L207" s="65" t="s">
        <v>37</v>
      </c>
      <c r="M207" s="65" t="s">
        <v>1434</v>
      </c>
      <c r="N207" s="65" t="s">
        <v>1435</v>
      </c>
      <c r="O207" s="65" t="s">
        <v>1431</v>
      </c>
      <c r="P207" s="65" t="s">
        <v>1436</v>
      </c>
      <c r="Q207" s="65" t="s">
        <v>159</v>
      </c>
      <c r="R207">
        <v>1</v>
      </c>
      <c r="S207" s="65" t="s">
        <v>42</v>
      </c>
      <c r="T207" s="65" t="s">
        <v>44</v>
      </c>
      <c r="U207" s="65" t="s">
        <v>44</v>
      </c>
      <c r="V207" s="65" t="s">
        <v>45</v>
      </c>
      <c r="W207" s="65" t="s">
        <v>60</v>
      </c>
      <c r="X207">
        <v>135.59</v>
      </c>
      <c r="Y207" s="65" t="s">
        <v>47</v>
      </c>
      <c r="Z207" s="65" t="s">
        <v>48</v>
      </c>
      <c r="AA207" s="65" t="s">
        <v>49</v>
      </c>
      <c r="AB207">
        <v>948878123</v>
      </c>
      <c r="AC207" s="65" t="s">
        <v>3048</v>
      </c>
      <c r="AD207">
        <v>30</v>
      </c>
    </row>
    <row r="208" spans="1:30" x14ac:dyDescent="0.3">
      <c r="A208" s="1">
        <v>46209</v>
      </c>
      <c r="B208" s="65" t="s">
        <v>3550</v>
      </c>
      <c r="C208" s="65" t="s">
        <v>1306</v>
      </c>
      <c r="D208" s="65" t="s">
        <v>268</v>
      </c>
      <c r="E208" s="65" t="s">
        <v>1307</v>
      </c>
      <c r="F208" s="65" t="s">
        <v>31</v>
      </c>
      <c r="G208" s="65" t="s">
        <v>1308</v>
      </c>
      <c r="H208" s="65" t="s">
        <v>1309</v>
      </c>
      <c r="I208" s="65" t="s">
        <v>1310</v>
      </c>
      <c r="J208" s="65" t="s">
        <v>1311</v>
      </c>
      <c r="K208" s="65" t="s">
        <v>36</v>
      </c>
      <c r="L208" s="65" t="s">
        <v>37</v>
      </c>
      <c r="M208" s="65" t="s">
        <v>1312</v>
      </c>
      <c r="N208" s="65" t="s">
        <v>1313</v>
      </c>
      <c r="O208" s="65" t="s">
        <v>1314</v>
      </c>
      <c r="P208" s="65" t="s">
        <v>1315</v>
      </c>
      <c r="Q208" s="65" t="s">
        <v>59</v>
      </c>
      <c r="R208">
        <v>1</v>
      </c>
      <c r="S208" s="65" t="s">
        <v>42</v>
      </c>
      <c r="T208" s="65" t="s">
        <v>44</v>
      </c>
      <c r="U208" s="65" t="s">
        <v>44</v>
      </c>
      <c r="V208" s="65" t="s">
        <v>45</v>
      </c>
      <c r="W208" s="65" t="s">
        <v>46</v>
      </c>
      <c r="X208">
        <v>101.69</v>
      </c>
      <c r="Y208" s="65" t="s">
        <v>61</v>
      </c>
      <c r="Z208" s="65" t="s">
        <v>48</v>
      </c>
      <c r="AA208" s="65" t="s">
        <v>49</v>
      </c>
      <c r="AB208">
        <v>993496032</v>
      </c>
      <c r="AC208" s="65" t="s">
        <v>1316</v>
      </c>
    </row>
    <row r="209" spans="1:30" x14ac:dyDescent="0.3">
      <c r="A209" s="1">
        <v>46209</v>
      </c>
      <c r="B209" s="65" t="s">
        <v>3550</v>
      </c>
      <c r="C209" s="65" t="s">
        <v>1417</v>
      </c>
      <c r="D209" s="65" t="s">
        <v>268</v>
      </c>
      <c r="E209" s="65" t="s">
        <v>1418</v>
      </c>
      <c r="F209" s="65" t="s">
        <v>31</v>
      </c>
      <c r="G209" s="65" t="s">
        <v>1419</v>
      </c>
      <c r="H209" s="65" t="s">
        <v>1420</v>
      </c>
      <c r="I209" s="65" t="s">
        <v>1421</v>
      </c>
      <c r="J209" s="65" t="s">
        <v>1422</v>
      </c>
      <c r="K209" s="65" t="s">
        <v>1423</v>
      </c>
      <c r="L209" s="65" t="s">
        <v>37</v>
      </c>
      <c r="M209" s="65" t="s">
        <v>1424</v>
      </c>
      <c r="N209" s="65" t="s">
        <v>1425</v>
      </c>
      <c r="O209" s="65" t="s">
        <v>1426</v>
      </c>
      <c r="P209" s="65" t="s">
        <v>1427</v>
      </c>
      <c r="Q209" s="65" t="s">
        <v>41</v>
      </c>
      <c r="R209">
        <v>1</v>
      </c>
      <c r="S209" s="65" t="s">
        <v>42</v>
      </c>
      <c r="T209" s="65" t="s">
        <v>44</v>
      </c>
      <c r="U209" s="65" t="s">
        <v>44</v>
      </c>
      <c r="V209" s="65" t="s">
        <v>45</v>
      </c>
      <c r="W209" s="65" t="s">
        <v>60</v>
      </c>
      <c r="X209">
        <v>186.44</v>
      </c>
      <c r="Y209" s="65" t="s">
        <v>47</v>
      </c>
      <c r="Z209" s="65" t="s">
        <v>48</v>
      </c>
      <c r="AA209" s="65" t="s">
        <v>49</v>
      </c>
      <c r="AC209" s="65"/>
      <c r="AD209">
        <v>50</v>
      </c>
    </row>
    <row r="210" spans="1:30" x14ac:dyDescent="0.3">
      <c r="A210" s="1">
        <v>46209</v>
      </c>
      <c r="B210" s="65" t="s">
        <v>3550</v>
      </c>
      <c r="C210" s="65" t="s">
        <v>1417</v>
      </c>
      <c r="D210" s="65" t="s">
        <v>268</v>
      </c>
      <c r="E210" s="65" t="s">
        <v>1418</v>
      </c>
      <c r="F210" s="65" t="s">
        <v>31</v>
      </c>
      <c r="G210" s="65" t="s">
        <v>1419</v>
      </c>
      <c r="H210" s="65" t="s">
        <v>1420</v>
      </c>
      <c r="I210" s="65" t="s">
        <v>1421</v>
      </c>
      <c r="J210" s="65" t="s">
        <v>1422</v>
      </c>
      <c r="K210" s="65" t="s">
        <v>1423</v>
      </c>
      <c r="L210" s="65" t="s">
        <v>37</v>
      </c>
      <c r="M210" s="65" t="s">
        <v>1424</v>
      </c>
      <c r="N210" s="65" t="s">
        <v>1425</v>
      </c>
      <c r="O210" s="65" t="s">
        <v>1426</v>
      </c>
      <c r="P210" s="65" t="s">
        <v>1427</v>
      </c>
      <c r="Q210" s="65" t="s">
        <v>101</v>
      </c>
      <c r="R210">
        <v>1</v>
      </c>
      <c r="S210" s="65" t="s">
        <v>42</v>
      </c>
      <c r="T210" s="65" t="s">
        <v>44</v>
      </c>
      <c r="U210" s="65" t="s">
        <v>44</v>
      </c>
      <c r="V210" s="65" t="s">
        <v>45</v>
      </c>
      <c r="W210" s="65" t="s">
        <v>60</v>
      </c>
      <c r="X210">
        <v>186.44</v>
      </c>
      <c r="Y210" s="65" t="s">
        <v>47</v>
      </c>
      <c r="Z210" s="65" t="s">
        <v>48</v>
      </c>
      <c r="AA210" s="65" t="s">
        <v>49</v>
      </c>
      <c r="AC210" s="65"/>
      <c r="AD210">
        <v>50</v>
      </c>
    </row>
    <row r="211" spans="1:30" x14ac:dyDescent="0.3">
      <c r="A211" s="1">
        <v>46209</v>
      </c>
      <c r="B211" s="65" t="s">
        <v>3550</v>
      </c>
      <c r="C211" s="65" t="s">
        <v>1417</v>
      </c>
      <c r="D211" s="65" t="s">
        <v>268</v>
      </c>
      <c r="E211" s="65" t="s">
        <v>1418</v>
      </c>
      <c r="F211" s="65" t="s">
        <v>31</v>
      </c>
      <c r="G211" s="65" t="s">
        <v>1419</v>
      </c>
      <c r="H211" s="65" t="s">
        <v>1420</v>
      </c>
      <c r="I211" s="65" t="s">
        <v>1421</v>
      </c>
      <c r="J211" s="65" t="s">
        <v>1422</v>
      </c>
      <c r="K211" s="65" t="s">
        <v>1423</v>
      </c>
      <c r="L211" s="65" t="s">
        <v>37</v>
      </c>
      <c r="M211" s="65" t="s">
        <v>1424</v>
      </c>
      <c r="N211" s="65" t="s">
        <v>1425</v>
      </c>
      <c r="O211" s="65" t="s">
        <v>1426</v>
      </c>
      <c r="P211" s="65" t="s">
        <v>1427</v>
      </c>
      <c r="Q211" s="65" t="s">
        <v>159</v>
      </c>
      <c r="R211">
        <v>1</v>
      </c>
      <c r="S211" s="65" t="s">
        <v>42</v>
      </c>
      <c r="T211" s="65" t="s">
        <v>44</v>
      </c>
      <c r="U211" s="65" t="s">
        <v>44</v>
      </c>
      <c r="V211" s="65" t="s">
        <v>45</v>
      </c>
      <c r="W211" s="65" t="s">
        <v>60</v>
      </c>
      <c r="X211">
        <v>135.59</v>
      </c>
      <c r="Y211" s="65" t="s">
        <v>47</v>
      </c>
      <c r="Z211" s="65" t="s">
        <v>48</v>
      </c>
      <c r="AA211" s="65" t="s">
        <v>49</v>
      </c>
      <c r="AC211" s="65"/>
      <c r="AD211">
        <v>30</v>
      </c>
    </row>
    <row r="212" spans="1:30" x14ac:dyDescent="0.3">
      <c r="A212" s="1">
        <v>46209</v>
      </c>
      <c r="B212" s="65" t="s">
        <v>3550</v>
      </c>
      <c r="C212" s="65" t="s">
        <v>1417</v>
      </c>
      <c r="D212" s="65" t="s">
        <v>268</v>
      </c>
      <c r="E212" s="65" t="s">
        <v>1418</v>
      </c>
      <c r="F212" s="65" t="s">
        <v>31</v>
      </c>
      <c r="G212" s="65" t="s">
        <v>1419</v>
      </c>
      <c r="H212" s="65" t="s">
        <v>1420</v>
      </c>
      <c r="I212" s="65" t="s">
        <v>1421</v>
      </c>
      <c r="J212" s="65" t="s">
        <v>1422</v>
      </c>
      <c r="K212" s="65" t="s">
        <v>1423</v>
      </c>
      <c r="L212" s="65" t="s">
        <v>37</v>
      </c>
      <c r="M212" s="65" t="s">
        <v>1424</v>
      </c>
      <c r="N212" s="65" t="s">
        <v>1425</v>
      </c>
      <c r="O212" s="65" t="s">
        <v>1426</v>
      </c>
      <c r="P212" s="65" t="s">
        <v>1427</v>
      </c>
      <c r="Q212" s="65" t="s">
        <v>202</v>
      </c>
      <c r="R212">
        <v>1</v>
      </c>
      <c r="S212" s="65" t="s">
        <v>42</v>
      </c>
      <c r="T212" s="65" t="s">
        <v>44</v>
      </c>
      <c r="U212" s="65" t="s">
        <v>44</v>
      </c>
      <c r="V212" s="65" t="s">
        <v>45</v>
      </c>
      <c r="W212" s="65" t="s">
        <v>60</v>
      </c>
      <c r="X212">
        <v>135.59</v>
      </c>
      <c r="Y212" s="65" t="s">
        <v>47</v>
      </c>
      <c r="Z212" s="65" t="s">
        <v>48</v>
      </c>
      <c r="AA212" s="65" t="s">
        <v>49</v>
      </c>
      <c r="AC212" s="65"/>
      <c r="AD212">
        <v>30</v>
      </c>
    </row>
    <row r="213" spans="1:30" x14ac:dyDescent="0.3">
      <c r="A213" s="1">
        <v>46209</v>
      </c>
      <c r="B213" s="65" t="s">
        <v>3550</v>
      </c>
      <c r="C213" s="65" t="s">
        <v>1417</v>
      </c>
      <c r="D213" s="65" t="s">
        <v>268</v>
      </c>
      <c r="E213" s="65" t="s">
        <v>1418</v>
      </c>
      <c r="F213" s="65" t="s">
        <v>31</v>
      </c>
      <c r="G213" s="65" t="s">
        <v>1419</v>
      </c>
      <c r="H213" s="65" t="s">
        <v>1420</v>
      </c>
      <c r="I213" s="65" t="s">
        <v>1421</v>
      </c>
      <c r="J213" s="65" t="s">
        <v>1422</v>
      </c>
      <c r="K213" s="65" t="s">
        <v>1423</v>
      </c>
      <c r="L213" s="65" t="s">
        <v>37</v>
      </c>
      <c r="M213" s="65" t="s">
        <v>1424</v>
      </c>
      <c r="N213" s="65" t="s">
        <v>1425</v>
      </c>
      <c r="O213" s="65" t="s">
        <v>1426</v>
      </c>
      <c r="P213" s="65" t="s">
        <v>1427</v>
      </c>
      <c r="Q213" s="65" t="s">
        <v>201</v>
      </c>
      <c r="R213">
        <v>1</v>
      </c>
      <c r="S213" s="65" t="s">
        <v>42</v>
      </c>
      <c r="T213" s="65" t="s">
        <v>44</v>
      </c>
      <c r="U213" s="65" t="s">
        <v>44</v>
      </c>
      <c r="V213" s="65" t="s">
        <v>45</v>
      </c>
      <c r="W213" s="65" t="s">
        <v>60</v>
      </c>
      <c r="X213">
        <v>152.54</v>
      </c>
      <c r="Y213" s="65" t="s">
        <v>47</v>
      </c>
      <c r="Z213" s="65" t="s">
        <v>48</v>
      </c>
      <c r="AA213" s="65" t="s">
        <v>49</v>
      </c>
      <c r="AC213" s="65"/>
      <c r="AD213">
        <v>30</v>
      </c>
    </row>
    <row r="214" spans="1:30" x14ac:dyDescent="0.3">
      <c r="A214" s="1">
        <v>46210</v>
      </c>
      <c r="B214" s="65" t="s">
        <v>3550</v>
      </c>
      <c r="C214" s="65" t="s">
        <v>62</v>
      </c>
      <c r="D214" s="65" t="s">
        <v>29</v>
      </c>
      <c r="E214" s="65" t="s">
        <v>63</v>
      </c>
      <c r="F214" s="65" t="s">
        <v>31</v>
      </c>
      <c r="G214" s="65" t="s">
        <v>64</v>
      </c>
      <c r="H214" s="65" t="s">
        <v>65</v>
      </c>
      <c r="I214" s="65" t="s">
        <v>66</v>
      </c>
      <c r="J214" s="65" t="s">
        <v>35</v>
      </c>
      <c r="K214" s="65" t="s">
        <v>36</v>
      </c>
      <c r="L214" s="65" t="s">
        <v>37</v>
      </c>
      <c r="M214" s="65" t="s">
        <v>67</v>
      </c>
      <c r="N214" s="65" t="s">
        <v>68</v>
      </c>
      <c r="O214" s="65" t="s">
        <v>65</v>
      </c>
      <c r="P214" s="65" t="s">
        <v>69</v>
      </c>
      <c r="Q214" s="65" t="s">
        <v>41</v>
      </c>
      <c r="R214">
        <v>1</v>
      </c>
      <c r="S214" s="65" t="s">
        <v>70</v>
      </c>
      <c r="T214" s="65" t="s">
        <v>43</v>
      </c>
      <c r="U214" s="65" t="s">
        <v>44</v>
      </c>
      <c r="V214" s="65" t="s">
        <v>71</v>
      </c>
      <c r="W214" s="65" t="s">
        <v>72</v>
      </c>
      <c r="X214">
        <v>186.44</v>
      </c>
      <c r="Y214" s="65" t="s">
        <v>47</v>
      </c>
      <c r="Z214" s="65" t="s">
        <v>48</v>
      </c>
      <c r="AA214" s="65" t="s">
        <v>73</v>
      </c>
      <c r="AB214">
        <v>999996347</v>
      </c>
      <c r="AC214" s="65" t="s">
        <v>50</v>
      </c>
      <c r="AD214">
        <v>50</v>
      </c>
    </row>
    <row r="215" spans="1:30" x14ac:dyDescent="0.3">
      <c r="A215" s="1">
        <v>46210</v>
      </c>
      <c r="B215" s="65" t="s">
        <v>3550</v>
      </c>
      <c r="C215" s="65" t="s">
        <v>74</v>
      </c>
      <c r="D215" s="65" t="s">
        <v>29</v>
      </c>
      <c r="E215" s="65" t="s">
        <v>75</v>
      </c>
      <c r="F215" s="65" t="s">
        <v>31</v>
      </c>
      <c r="G215" s="65" t="s">
        <v>76</v>
      </c>
      <c r="H215" s="65" t="s">
        <v>77</v>
      </c>
      <c r="I215" s="65" t="s">
        <v>78</v>
      </c>
      <c r="J215" s="65" t="s">
        <v>35</v>
      </c>
      <c r="K215" s="65" t="s">
        <v>36</v>
      </c>
      <c r="L215" s="65" t="s">
        <v>37</v>
      </c>
      <c r="M215" s="65" t="s">
        <v>79</v>
      </c>
      <c r="N215" s="65" t="s">
        <v>80</v>
      </c>
      <c r="O215" s="65" t="s">
        <v>77</v>
      </c>
      <c r="P215" s="65" t="s">
        <v>81</v>
      </c>
      <c r="Q215" s="65" t="s">
        <v>59</v>
      </c>
      <c r="R215">
        <v>1</v>
      </c>
      <c r="S215" s="65" t="s">
        <v>42</v>
      </c>
      <c r="T215" s="65" t="s">
        <v>44</v>
      </c>
      <c r="U215" s="65" t="s">
        <v>44</v>
      </c>
      <c r="V215" s="65" t="s">
        <v>45</v>
      </c>
      <c r="W215" s="65" t="s">
        <v>60</v>
      </c>
      <c r="X215">
        <v>101.69</v>
      </c>
      <c r="Y215" s="65" t="s">
        <v>61</v>
      </c>
      <c r="Z215" s="65" t="s">
        <v>48</v>
      </c>
      <c r="AA215" s="65" t="s">
        <v>49</v>
      </c>
      <c r="AB215">
        <v>999996347</v>
      </c>
      <c r="AC215" s="65" t="s">
        <v>50</v>
      </c>
    </row>
    <row r="216" spans="1:30" x14ac:dyDescent="0.3">
      <c r="A216" s="1">
        <v>46210</v>
      </c>
      <c r="B216" s="65" t="s">
        <v>3550</v>
      </c>
      <c r="C216" s="65" t="s">
        <v>193</v>
      </c>
      <c r="D216" s="65" t="s">
        <v>29</v>
      </c>
      <c r="E216" s="65" t="s">
        <v>194</v>
      </c>
      <c r="F216" s="65" t="s">
        <v>31</v>
      </c>
      <c r="G216" s="65" t="s">
        <v>195</v>
      </c>
      <c r="H216" s="65" t="s">
        <v>196</v>
      </c>
      <c r="I216" s="65" t="s">
        <v>197</v>
      </c>
      <c r="J216" s="65" t="s">
        <v>136</v>
      </c>
      <c r="K216" s="65" t="s">
        <v>137</v>
      </c>
      <c r="L216" s="65" t="s">
        <v>37</v>
      </c>
      <c r="M216" s="65" t="s">
        <v>198</v>
      </c>
      <c r="N216" s="65" t="s">
        <v>199</v>
      </c>
      <c r="O216" s="65" t="s">
        <v>196</v>
      </c>
      <c r="P216" s="65" t="s">
        <v>200</v>
      </c>
      <c r="Q216" s="65" t="s">
        <v>201</v>
      </c>
      <c r="R216">
        <v>1</v>
      </c>
      <c r="S216" s="65" t="s">
        <v>42</v>
      </c>
      <c r="T216" s="65" t="s">
        <v>44</v>
      </c>
      <c r="U216" s="65" t="s">
        <v>44</v>
      </c>
      <c r="V216" s="65" t="s">
        <v>45</v>
      </c>
      <c r="W216" s="65" t="s">
        <v>60</v>
      </c>
      <c r="X216">
        <v>152.54</v>
      </c>
      <c r="Y216" s="65" t="s">
        <v>47</v>
      </c>
      <c r="Z216" s="65" t="s">
        <v>48</v>
      </c>
      <c r="AA216" s="65" t="s">
        <v>49</v>
      </c>
      <c r="AB216">
        <v>987407712</v>
      </c>
      <c r="AC216" s="65" t="s">
        <v>141</v>
      </c>
      <c r="AD216">
        <v>30</v>
      </c>
    </row>
    <row r="217" spans="1:30" x14ac:dyDescent="0.3">
      <c r="A217" s="1">
        <v>46210</v>
      </c>
      <c r="B217" s="65" t="s">
        <v>3550</v>
      </c>
      <c r="C217" s="65" t="s">
        <v>193</v>
      </c>
      <c r="D217" s="65" t="s">
        <v>29</v>
      </c>
      <c r="E217" s="65" t="s">
        <v>194</v>
      </c>
      <c r="F217" s="65" t="s">
        <v>31</v>
      </c>
      <c r="G217" s="65" t="s">
        <v>195</v>
      </c>
      <c r="H217" s="65" t="s">
        <v>196</v>
      </c>
      <c r="I217" s="65" t="s">
        <v>197</v>
      </c>
      <c r="J217" s="65" t="s">
        <v>136</v>
      </c>
      <c r="K217" s="65" t="s">
        <v>137</v>
      </c>
      <c r="L217" s="65" t="s">
        <v>37</v>
      </c>
      <c r="M217" s="65" t="s">
        <v>198</v>
      </c>
      <c r="N217" s="65" t="s">
        <v>199</v>
      </c>
      <c r="O217" s="65" t="s">
        <v>196</v>
      </c>
      <c r="P217" s="65" t="s">
        <v>200</v>
      </c>
      <c r="Q217" s="65" t="s">
        <v>202</v>
      </c>
      <c r="R217">
        <v>1</v>
      </c>
      <c r="S217" s="65" t="s">
        <v>42</v>
      </c>
      <c r="T217" s="65" t="s">
        <v>44</v>
      </c>
      <c r="U217" s="65" t="s">
        <v>44</v>
      </c>
      <c r="V217" s="65" t="s">
        <v>45</v>
      </c>
      <c r="W217" s="65" t="s">
        <v>60</v>
      </c>
      <c r="X217">
        <v>135.59</v>
      </c>
      <c r="Y217" s="65" t="s">
        <v>47</v>
      </c>
      <c r="Z217" s="65" t="s">
        <v>48</v>
      </c>
      <c r="AA217" s="65" t="s">
        <v>49</v>
      </c>
      <c r="AB217">
        <v>987407712</v>
      </c>
      <c r="AC217" s="65" t="s">
        <v>141</v>
      </c>
      <c r="AD217">
        <v>30</v>
      </c>
    </row>
    <row r="218" spans="1:30" x14ac:dyDescent="0.3">
      <c r="A218" s="1">
        <v>46210</v>
      </c>
      <c r="B218" s="65" t="s">
        <v>3550</v>
      </c>
      <c r="C218" s="65" t="s">
        <v>974</v>
      </c>
      <c r="D218" s="65" t="s">
        <v>268</v>
      </c>
      <c r="E218" s="65" t="s">
        <v>975</v>
      </c>
      <c r="F218" s="65" t="s">
        <v>31</v>
      </c>
      <c r="G218" s="65" t="s">
        <v>976</v>
      </c>
      <c r="H218" s="65" t="s">
        <v>956</v>
      </c>
      <c r="I218" s="65" t="s">
        <v>957</v>
      </c>
      <c r="J218" s="65" t="s">
        <v>774</v>
      </c>
      <c r="K218" s="65" t="s">
        <v>775</v>
      </c>
      <c r="L218" s="65" t="s">
        <v>37</v>
      </c>
      <c r="M218" s="65" t="s">
        <v>958</v>
      </c>
      <c r="N218" s="65" t="s">
        <v>959</v>
      </c>
      <c r="O218" s="65" t="s">
        <v>798</v>
      </c>
      <c r="P218" s="65" t="s">
        <v>977</v>
      </c>
      <c r="Q218" s="65" t="s">
        <v>288</v>
      </c>
      <c r="R218">
        <v>1</v>
      </c>
      <c r="S218" s="65" t="s">
        <v>42</v>
      </c>
      <c r="T218" s="65" t="s">
        <v>44</v>
      </c>
      <c r="U218" s="65" t="s">
        <v>44</v>
      </c>
      <c r="V218" s="65" t="s">
        <v>45</v>
      </c>
      <c r="W218" s="65" t="s">
        <v>60</v>
      </c>
      <c r="X218">
        <v>0</v>
      </c>
      <c r="Y218" s="65" t="s">
        <v>289</v>
      </c>
      <c r="Z218" s="65" t="s">
        <v>48</v>
      </c>
      <c r="AA218" s="65" t="s">
        <v>49</v>
      </c>
      <c r="AC218" s="65"/>
    </row>
    <row r="219" spans="1:30" x14ac:dyDescent="0.3">
      <c r="A219" s="1">
        <v>46210</v>
      </c>
      <c r="B219" s="65" t="s">
        <v>3550</v>
      </c>
      <c r="C219" s="65" t="s">
        <v>974</v>
      </c>
      <c r="D219" s="65" t="s">
        <v>268</v>
      </c>
      <c r="E219" s="65" t="s">
        <v>975</v>
      </c>
      <c r="F219" s="65" t="s">
        <v>31</v>
      </c>
      <c r="G219" s="65" t="s">
        <v>976</v>
      </c>
      <c r="H219" s="65" t="s">
        <v>956</v>
      </c>
      <c r="I219" s="65" t="s">
        <v>957</v>
      </c>
      <c r="J219" s="65" t="s">
        <v>774</v>
      </c>
      <c r="K219" s="65" t="s">
        <v>775</v>
      </c>
      <c r="L219" s="65" t="s">
        <v>37</v>
      </c>
      <c r="M219" s="65" t="s">
        <v>958</v>
      </c>
      <c r="N219" s="65" t="s">
        <v>959</v>
      </c>
      <c r="O219" s="65" t="s">
        <v>798</v>
      </c>
      <c r="P219" s="65" t="s">
        <v>977</v>
      </c>
      <c r="Q219" s="65" t="s">
        <v>1620</v>
      </c>
      <c r="R219">
        <v>1</v>
      </c>
      <c r="S219" s="65" t="s">
        <v>42</v>
      </c>
      <c r="T219" s="65" t="s">
        <v>44</v>
      </c>
      <c r="U219" s="65" t="s">
        <v>44</v>
      </c>
      <c r="V219" s="65" t="s">
        <v>45</v>
      </c>
      <c r="W219" s="65" t="s">
        <v>60</v>
      </c>
      <c r="X219">
        <v>762.71</v>
      </c>
      <c r="Y219" s="65" t="s">
        <v>289</v>
      </c>
      <c r="Z219" s="65" t="s">
        <v>48</v>
      </c>
      <c r="AA219" s="65" t="s">
        <v>49</v>
      </c>
      <c r="AC219" s="65"/>
    </row>
    <row r="220" spans="1:30" x14ac:dyDescent="0.3">
      <c r="A220" s="1">
        <v>46210</v>
      </c>
      <c r="B220" s="65" t="s">
        <v>3550</v>
      </c>
      <c r="C220" s="65" t="s">
        <v>1443</v>
      </c>
      <c r="D220" s="65" t="s">
        <v>29</v>
      </c>
      <c r="E220" s="65" t="s">
        <v>1444</v>
      </c>
      <c r="F220" s="65" t="s">
        <v>31</v>
      </c>
      <c r="G220" s="65" t="s">
        <v>1445</v>
      </c>
      <c r="H220" s="65" t="s">
        <v>1446</v>
      </c>
      <c r="I220" s="65" t="s">
        <v>1447</v>
      </c>
      <c r="J220" s="65" t="s">
        <v>1448</v>
      </c>
      <c r="K220" s="65" t="s">
        <v>3553</v>
      </c>
      <c r="L220" s="65" t="s">
        <v>37</v>
      </c>
      <c r="M220" s="65" t="s">
        <v>1449</v>
      </c>
      <c r="N220" s="65" t="s">
        <v>1450</v>
      </c>
      <c r="O220" s="65" t="s">
        <v>1446</v>
      </c>
      <c r="P220" s="65" t="s">
        <v>1451</v>
      </c>
      <c r="Q220" s="65" t="s">
        <v>1157</v>
      </c>
      <c r="R220">
        <v>1</v>
      </c>
      <c r="S220" s="65" t="s">
        <v>42</v>
      </c>
      <c r="T220" s="65" t="s">
        <v>44</v>
      </c>
      <c r="U220" s="65" t="s">
        <v>44</v>
      </c>
      <c r="V220" s="65" t="s">
        <v>45</v>
      </c>
      <c r="W220" s="65" t="s">
        <v>60</v>
      </c>
      <c r="X220">
        <v>338.98</v>
      </c>
      <c r="Y220" s="65" t="s">
        <v>47</v>
      </c>
      <c r="Z220" s="65" t="s">
        <v>48</v>
      </c>
      <c r="AA220" s="65" t="s">
        <v>49</v>
      </c>
      <c r="AC220" s="65"/>
      <c r="AD220">
        <v>100</v>
      </c>
    </row>
    <row r="221" spans="1:30" x14ac:dyDescent="0.3">
      <c r="A221" s="1">
        <v>46211</v>
      </c>
      <c r="B221" s="65" t="s">
        <v>3550</v>
      </c>
      <c r="C221" s="65" t="s">
        <v>554</v>
      </c>
      <c r="D221" s="65" t="s">
        <v>29</v>
      </c>
      <c r="E221" s="65" t="s">
        <v>555</v>
      </c>
      <c r="F221" s="65" t="s">
        <v>31</v>
      </c>
      <c r="G221" s="65" t="s">
        <v>556</v>
      </c>
      <c r="H221" s="65" t="s">
        <v>557</v>
      </c>
      <c r="I221" s="65" t="s">
        <v>558</v>
      </c>
      <c r="J221" s="65"/>
      <c r="K221" s="65"/>
      <c r="L221" s="65" t="s">
        <v>37</v>
      </c>
      <c r="M221" s="65" t="s">
        <v>559</v>
      </c>
      <c r="N221" s="65" t="s">
        <v>560</v>
      </c>
      <c r="O221" s="65" t="s">
        <v>557</v>
      </c>
      <c r="P221" s="65" t="s">
        <v>561</v>
      </c>
      <c r="Q221" s="65" t="s">
        <v>90</v>
      </c>
      <c r="R221">
        <v>1</v>
      </c>
      <c r="S221" s="65" t="s">
        <v>42</v>
      </c>
      <c r="T221" s="65" t="s">
        <v>44</v>
      </c>
      <c r="U221" s="65" t="s">
        <v>44</v>
      </c>
      <c r="V221" s="65" t="s">
        <v>71</v>
      </c>
      <c r="W221" s="65" t="s">
        <v>184</v>
      </c>
      <c r="X221">
        <v>135.59</v>
      </c>
      <c r="Y221" s="65" t="s">
        <v>47</v>
      </c>
      <c r="Z221" s="65" t="s">
        <v>48</v>
      </c>
      <c r="AA221" s="65" t="s">
        <v>73</v>
      </c>
      <c r="AC221" s="65"/>
      <c r="AD221">
        <v>30</v>
      </c>
    </row>
    <row r="222" spans="1:30" x14ac:dyDescent="0.3">
      <c r="A222" s="1">
        <v>46211</v>
      </c>
      <c r="B222" s="65" t="s">
        <v>3550</v>
      </c>
      <c r="C222" s="65" t="s">
        <v>562</v>
      </c>
      <c r="D222" s="65" t="s">
        <v>29</v>
      </c>
      <c r="E222" s="65" t="s">
        <v>563</v>
      </c>
      <c r="F222" s="65" t="s">
        <v>31</v>
      </c>
      <c r="G222" s="65" t="s">
        <v>564</v>
      </c>
      <c r="H222" s="65" t="s">
        <v>565</v>
      </c>
      <c r="I222" s="65" t="s">
        <v>566</v>
      </c>
      <c r="J222" s="65"/>
      <c r="K222" s="65"/>
      <c r="L222" s="65" t="s">
        <v>37</v>
      </c>
      <c r="M222" s="65" t="s">
        <v>567</v>
      </c>
      <c r="N222" s="65" t="s">
        <v>568</v>
      </c>
      <c r="O222" s="65" t="s">
        <v>565</v>
      </c>
      <c r="P222" s="65" t="s">
        <v>569</v>
      </c>
      <c r="Q222" s="65" t="s">
        <v>90</v>
      </c>
      <c r="R222">
        <v>1</v>
      </c>
      <c r="S222" s="65" t="s">
        <v>42</v>
      </c>
      <c r="T222" s="65" t="s">
        <v>44</v>
      </c>
      <c r="U222" s="65" t="s">
        <v>44</v>
      </c>
      <c r="V222" s="65" t="s">
        <v>71</v>
      </c>
      <c r="W222" s="65" t="s">
        <v>184</v>
      </c>
      <c r="X222">
        <v>135.59</v>
      </c>
      <c r="Y222" s="65" t="s">
        <v>47</v>
      </c>
      <c r="Z222" s="65" t="s">
        <v>48</v>
      </c>
      <c r="AA222" s="65" t="s">
        <v>73</v>
      </c>
      <c r="AC222" s="65"/>
      <c r="AD222">
        <v>30</v>
      </c>
    </row>
    <row r="223" spans="1:30" x14ac:dyDescent="0.3">
      <c r="A223" s="1">
        <v>46211</v>
      </c>
      <c r="B223" s="65" t="s">
        <v>3550</v>
      </c>
      <c r="C223" s="65" t="s">
        <v>683</v>
      </c>
      <c r="D223" s="65" t="s">
        <v>29</v>
      </c>
      <c r="E223" s="65" t="s">
        <v>684</v>
      </c>
      <c r="F223" s="65" t="s">
        <v>31</v>
      </c>
      <c r="G223" s="65" t="s">
        <v>685</v>
      </c>
      <c r="H223" s="65" t="s">
        <v>686</v>
      </c>
      <c r="I223" s="65" t="s">
        <v>687</v>
      </c>
      <c r="J223" s="65" t="s">
        <v>662</v>
      </c>
      <c r="K223" s="65" t="s">
        <v>36</v>
      </c>
      <c r="L223" s="65" t="s">
        <v>37</v>
      </c>
      <c r="M223" s="65" t="s">
        <v>688</v>
      </c>
      <c r="N223" s="65" t="s">
        <v>689</v>
      </c>
      <c r="O223" s="65" t="s">
        <v>686</v>
      </c>
      <c r="P223" s="65" t="s">
        <v>690</v>
      </c>
      <c r="Q223" s="65" t="s">
        <v>101</v>
      </c>
      <c r="R223">
        <v>1</v>
      </c>
      <c r="S223" s="65" t="s">
        <v>42</v>
      </c>
      <c r="T223" s="65" t="s">
        <v>44</v>
      </c>
      <c r="U223" s="65" t="s">
        <v>44</v>
      </c>
      <c r="V223" s="65" t="s">
        <v>45</v>
      </c>
      <c r="W223" s="65" t="s">
        <v>60</v>
      </c>
      <c r="X223">
        <v>186.44</v>
      </c>
      <c r="Y223" s="65" t="s">
        <v>47</v>
      </c>
      <c r="Z223" s="65" t="s">
        <v>48</v>
      </c>
      <c r="AA223" s="65" t="s">
        <v>49</v>
      </c>
      <c r="AB223">
        <v>997145685</v>
      </c>
      <c r="AC223" s="65" t="s">
        <v>666</v>
      </c>
      <c r="AD223">
        <v>50</v>
      </c>
    </row>
    <row r="224" spans="1:30" x14ac:dyDescent="0.3">
      <c r="A224" s="1">
        <v>46211</v>
      </c>
      <c r="B224" s="65" t="s">
        <v>3550</v>
      </c>
      <c r="C224" s="65" t="s">
        <v>1437</v>
      </c>
      <c r="D224" s="65" t="s">
        <v>29</v>
      </c>
      <c r="E224" s="65" t="s">
        <v>1438</v>
      </c>
      <c r="F224" s="65" t="s">
        <v>31</v>
      </c>
      <c r="G224" s="65" t="s">
        <v>1439</v>
      </c>
      <c r="H224" s="65" t="s">
        <v>1290</v>
      </c>
      <c r="I224" s="65" t="s">
        <v>1291</v>
      </c>
      <c r="J224" s="65" t="s">
        <v>1440</v>
      </c>
      <c r="K224" s="65" t="s">
        <v>1098</v>
      </c>
      <c r="L224" s="65" t="s">
        <v>37</v>
      </c>
      <c r="M224" s="65" t="s">
        <v>1292</v>
      </c>
      <c r="N224" s="65" t="s">
        <v>1293</v>
      </c>
      <c r="O224" s="65" t="s">
        <v>1290</v>
      </c>
      <c r="P224" s="65" t="s">
        <v>1441</v>
      </c>
      <c r="Q224" s="65" t="s">
        <v>41</v>
      </c>
      <c r="R224">
        <v>1</v>
      </c>
      <c r="S224" s="65" t="s">
        <v>42</v>
      </c>
      <c r="T224" s="65" t="s">
        <v>44</v>
      </c>
      <c r="U224" s="65" t="s">
        <v>44</v>
      </c>
      <c r="V224" s="65" t="s">
        <v>45</v>
      </c>
      <c r="W224" s="65" t="s">
        <v>60</v>
      </c>
      <c r="X224">
        <v>186.44</v>
      </c>
      <c r="Y224" s="65" t="s">
        <v>47</v>
      </c>
      <c r="Z224" s="65" t="s">
        <v>48</v>
      </c>
      <c r="AA224" s="65" t="s">
        <v>49</v>
      </c>
      <c r="AB224">
        <v>999418834</v>
      </c>
      <c r="AC224" s="65" t="s">
        <v>1442</v>
      </c>
      <c r="AD224">
        <v>50</v>
      </c>
    </row>
    <row r="225" spans="1:30" x14ac:dyDescent="0.3">
      <c r="A225" s="1">
        <v>46211</v>
      </c>
      <c r="B225" s="65" t="s">
        <v>3550</v>
      </c>
      <c r="C225" s="65" t="s">
        <v>1437</v>
      </c>
      <c r="D225" s="65" t="s">
        <v>29</v>
      </c>
      <c r="E225" s="65" t="s">
        <v>1438</v>
      </c>
      <c r="F225" s="65" t="s">
        <v>31</v>
      </c>
      <c r="G225" s="65" t="s">
        <v>1439</v>
      </c>
      <c r="H225" s="65" t="s">
        <v>1290</v>
      </c>
      <c r="I225" s="65" t="s">
        <v>1291</v>
      </c>
      <c r="J225" s="65" t="s">
        <v>1440</v>
      </c>
      <c r="K225" s="65" t="s">
        <v>1098</v>
      </c>
      <c r="L225" s="65" t="s">
        <v>37</v>
      </c>
      <c r="M225" s="65" t="s">
        <v>1292</v>
      </c>
      <c r="N225" s="65" t="s">
        <v>1293</v>
      </c>
      <c r="O225" s="65" t="s">
        <v>1290</v>
      </c>
      <c r="P225" s="65" t="s">
        <v>1441</v>
      </c>
      <c r="Q225" s="65" t="s">
        <v>101</v>
      </c>
      <c r="R225">
        <v>1</v>
      </c>
      <c r="S225" s="65" t="s">
        <v>42</v>
      </c>
      <c r="T225" s="65" t="s">
        <v>44</v>
      </c>
      <c r="U225" s="65" t="s">
        <v>44</v>
      </c>
      <c r="V225" s="65" t="s">
        <v>45</v>
      </c>
      <c r="W225" s="65" t="s">
        <v>60</v>
      </c>
      <c r="X225">
        <v>186.44</v>
      </c>
      <c r="Y225" s="65" t="s">
        <v>47</v>
      </c>
      <c r="Z225" s="65" t="s">
        <v>48</v>
      </c>
      <c r="AA225" s="65" t="s">
        <v>49</v>
      </c>
      <c r="AB225">
        <v>999418834</v>
      </c>
      <c r="AC225" s="65" t="s">
        <v>1442</v>
      </c>
      <c r="AD225">
        <v>50</v>
      </c>
    </row>
    <row r="226" spans="1:30" x14ac:dyDescent="0.3">
      <c r="A226" s="1">
        <v>46212</v>
      </c>
      <c r="B226" s="65" t="s">
        <v>3550</v>
      </c>
      <c r="C226" s="65" t="s">
        <v>248</v>
      </c>
      <c r="D226" s="65" t="s">
        <v>29</v>
      </c>
      <c r="E226" s="65" t="s">
        <v>249</v>
      </c>
      <c r="F226" s="65" t="s">
        <v>31</v>
      </c>
      <c r="G226" s="65" t="s">
        <v>250</v>
      </c>
      <c r="H226" s="65" t="s">
        <v>251</v>
      </c>
      <c r="I226" s="65" t="s">
        <v>252</v>
      </c>
      <c r="J226" s="65" t="s">
        <v>411</v>
      </c>
      <c r="K226" s="65" t="s">
        <v>412</v>
      </c>
      <c r="L226" s="65" t="s">
        <v>37</v>
      </c>
      <c r="M226" s="65" t="s">
        <v>253</v>
      </c>
      <c r="N226" s="65" t="s">
        <v>254</v>
      </c>
      <c r="O226" s="65" t="s">
        <v>251</v>
      </c>
      <c r="P226" s="65" t="s">
        <v>255</v>
      </c>
      <c r="Q226" s="65" t="s">
        <v>41</v>
      </c>
      <c r="R226">
        <v>1</v>
      </c>
      <c r="S226" s="65" t="s">
        <v>42</v>
      </c>
      <c r="T226" s="65" t="s">
        <v>44</v>
      </c>
      <c r="U226" s="65" t="s">
        <v>44</v>
      </c>
      <c r="V226" s="65" t="s">
        <v>45</v>
      </c>
      <c r="W226" s="65" t="s">
        <v>46</v>
      </c>
      <c r="X226">
        <v>186.44</v>
      </c>
      <c r="Y226" s="65" t="s">
        <v>47</v>
      </c>
      <c r="Z226" s="65" t="s">
        <v>48</v>
      </c>
      <c r="AA226" s="65" t="s">
        <v>49</v>
      </c>
      <c r="AB226">
        <v>982673362</v>
      </c>
      <c r="AC226" s="65" t="s">
        <v>416</v>
      </c>
      <c r="AD226">
        <v>50</v>
      </c>
    </row>
    <row r="227" spans="1:30" x14ac:dyDescent="0.3">
      <c r="A227" s="1">
        <v>46212</v>
      </c>
      <c r="B227" s="65" t="s">
        <v>3550</v>
      </c>
      <c r="C227" s="65" t="s">
        <v>248</v>
      </c>
      <c r="D227" s="65" t="s">
        <v>29</v>
      </c>
      <c r="E227" s="65" t="s">
        <v>249</v>
      </c>
      <c r="F227" s="65" t="s">
        <v>31</v>
      </c>
      <c r="G227" s="65" t="s">
        <v>250</v>
      </c>
      <c r="H227" s="65" t="s">
        <v>251</v>
      </c>
      <c r="I227" s="65" t="s">
        <v>252</v>
      </c>
      <c r="J227" s="65" t="s">
        <v>411</v>
      </c>
      <c r="K227" s="65" t="s">
        <v>412</v>
      </c>
      <c r="L227" s="65" t="s">
        <v>37</v>
      </c>
      <c r="M227" s="65" t="s">
        <v>253</v>
      </c>
      <c r="N227" s="65" t="s">
        <v>254</v>
      </c>
      <c r="O227" s="65" t="s">
        <v>251</v>
      </c>
      <c r="P227" s="65" t="s">
        <v>255</v>
      </c>
      <c r="Q227" s="65" t="s">
        <v>101</v>
      </c>
      <c r="R227">
        <v>1</v>
      </c>
      <c r="S227" s="65" t="s">
        <v>42</v>
      </c>
      <c r="T227" s="65" t="s">
        <v>44</v>
      </c>
      <c r="U227" s="65" t="s">
        <v>44</v>
      </c>
      <c r="V227" s="65" t="s">
        <v>45</v>
      </c>
      <c r="W227" s="65" t="s">
        <v>46</v>
      </c>
      <c r="X227">
        <v>186.44</v>
      </c>
      <c r="Y227" s="65" t="s">
        <v>47</v>
      </c>
      <c r="Z227" s="65" t="s">
        <v>48</v>
      </c>
      <c r="AA227" s="65" t="s">
        <v>49</v>
      </c>
      <c r="AB227">
        <v>982673362</v>
      </c>
      <c r="AC227" s="65" t="s">
        <v>416</v>
      </c>
      <c r="AD227">
        <v>50</v>
      </c>
    </row>
    <row r="228" spans="1:30" x14ac:dyDescent="0.3">
      <c r="A228" s="1">
        <v>46212</v>
      </c>
      <c r="B228" s="65" t="s">
        <v>3550</v>
      </c>
      <c r="C228" s="65" t="s">
        <v>578</v>
      </c>
      <c r="D228" s="65" t="s">
        <v>29</v>
      </c>
      <c r="E228" s="65" t="s">
        <v>579</v>
      </c>
      <c r="F228" s="65" t="s">
        <v>31</v>
      </c>
      <c r="G228" s="65" t="s">
        <v>580</v>
      </c>
      <c r="H228" s="65" t="s">
        <v>581</v>
      </c>
      <c r="I228" s="65" t="s">
        <v>582</v>
      </c>
      <c r="J228" s="65" t="s">
        <v>434</v>
      </c>
      <c r="K228" s="65" t="s">
        <v>435</v>
      </c>
      <c r="L228" s="65" t="s">
        <v>37</v>
      </c>
      <c r="M228" s="65" t="s">
        <v>583</v>
      </c>
      <c r="N228" s="65" t="s">
        <v>584</v>
      </c>
      <c r="O228" s="65" t="s">
        <v>581</v>
      </c>
      <c r="P228" s="65" t="s">
        <v>585</v>
      </c>
      <c r="Q228" s="65" t="s">
        <v>130</v>
      </c>
      <c r="R228">
        <v>1</v>
      </c>
      <c r="S228" s="65" t="s">
        <v>42</v>
      </c>
      <c r="T228" s="65" t="s">
        <v>44</v>
      </c>
      <c r="U228" s="65" t="s">
        <v>44</v>
      </c>
      <c r="V228" s="65" t="s">
        <v>71</v>
      </c>
      <c r="W228" s="65" t="s">
        <v>184</v>
      </c>
      <c r="X228">
        <v>152.54</v>
      </c>
      <c r="Y228" s="65" t="s">
        <v>47</v>
      </c>
      <c r="Z228" s="65" t="s">
        <v>48</v>
      </c>
      <c r="AA228" s="65" t="s">
        <v>73</v>
      </c>
      <c r="AB228">
        <v>992903716</v>
      </c>
      <c r="AC228" s="65" t="s">
        <v>439</v>
      </c>
      <c r="AD228">
        <v>30</v>
      </c>
    </row>
    <row r="229" spans="1:30" x14ac:dyDescent="0.3">
      <c r="A229" s="1">
        <v>46212</v>
      </c>
      <c r="B229" s="65" t="s">
        <v>3550</v>
      </c>
      <c r="C229" s="65" t="s">
        <v>570</v>
      </c>
      <c r="D229" s="65" t="s">
        <v>29</v>
      </c>
      <c r="E229" s="65" t="s">
        <v>571</v>
      </c>
      <c r="F229" s="65" t="s">
        <v>31</v>
      </c>
      <c r="G229" s="65" t="s">
        <v>572</v>
      </c>
      <c r="H229" s="65" t="s">
        <v>573</v>
      </c>
      <c r="I229" s="65" t="s">
        <v>574</v>
      </c>
      <c r="J229" s="65" t="s">
        <v>715</v>
      </c>
      <c r="K229" s="65" t="s">
        <v>716</v>
      </c>
      <c r="L229" s="65" t="s">
        <v>37</v>
      </c>
      <c r="M229" s="65" t="s">
        <v>575</v>
      </c>
      <c r="N229" s="65" t="s">
        <v>576</v>
      </c>
      <c r="O229" s="65" t="s">
        <v>573</v>
      </c>
      <c r="P229" s="65" t="s">
        <v>577</v>
      </c>
      <c r="Q229" s="65" t="s">
        <v>159</v>
      </c>
      <c r="R229">
        <v>1</v>
      </c>
      <c r="S229" s="65" t="s">
        <v>70</v>
      </c>
      <c r="T229" s="65" t="s">
        <v>43</v>
      </c>
      <c r="U229" s="65" t="s">
        <v>44</v>
      </c>
      <c r="V229" s="65" t="s">
        <v>71</v>
      </c>
      <c r="W229" s="65" t="s">
        <v>72</v>
      </c>
      <c r="X229">
        <v>135.59</v>
      </c>
      <c r="Y229" s="65" t="s">
        <v>47</v>
      </c>
      <c r="Z229" s="65" t="s">
        <v>48</v>
      </c>
      <c r="AA229" s="65" t="s">
        <v>73</v>
      </c>
      <c r="AB229">
        <v>955356636</v>
      </c>
      <c r="AC229" s="65" t="s">
        <v>720</v>
      </c>
      <c r="AD229">
        <v>30</v>
      </c>
    </row>
    <row r="230" spans="1:30" x14ac:dyDescent="0.3">
      <c r="A230" s="1">
        <v>46212</v>
      </c>
      <c r="B230" s="65" t="s">
        <v>3550</v>
      </c>
      <c r="C230" s="65" t="s">
        <v>986</v>
      </c>
      <c r="D230" s="65" t="s">
        <v>29</v>
      </c>
      <c r="E230" s="65" t="s">
        <v>987</v>
      </c>
      <c r="F230" s="65" t="s">
        <v>31</v>
      </c>
      <c r="G230" s="65" t="s">
        <v>988</v>
      </c>
      <c r="H230" s="65" t="s">
        <v>981</v>
      </c>
      <c r="I230" s="65" t="s">
        <v>982</v>
      </c>
      <c r="J230" s="65" t="s">
        <v>774</v>
      </c>
      <c r="K230" s="65" t="s">
        <v>775</v>
      </c>
      <c r="L230" s="65" t="s">
        <v>37</v>
      </c>
      <c r="M230" s="65" t="s">
        <v>983</v>
      </c>
      <c r="N230" s="65" t="s">
        <v>984</v>
      </c>
      <c r="O230" s="65" t="s">
        <v>981</v>
      </c>
      <c r="P230" s="65" t="s">
        <v>989</v>
      </c>
      <c r="Q230" s="65" t="s">
        <v>641</v>
      </c>
      <c r="R230">
        <v>1</v>
      </c>
      <c r="S230" s="65" t="s">
        <v>42</v>
      </c>
      <c r="T230" s="65" t="s">
        <v>44</v>
      </c>
      <c r="U230" s="65" t="s">
        <v>44</v>
      </c>
      <c r="V230" s="65" t="s">
        <v>45</v>
      </c>
      <c r="W230" s="65" t="s">
        <v>46</v>
      </c>
      <c r="X230">
        <v>84.75</v>
      </c>
      <c r="Y230" s="65" t="s">
        <v>47</v>
      </c>
      <c r="Z230" s="65" t="s">
        <v>48</v>
      </c>
      <c r="AA230" s="65" t="s">
        <v>49</v>
      </c>
      <c r="AC230" s="65"/>
    </row>
    <row r="231" spans="1:30" x14ac:dyDescent="0.3">
      <c r="A231" s="1">
        <v>46212</v>
      </c>
      <c r="B231" s="65" t="s">
        <v>3550</v>
      </c>
      <c r="C231" s="65" t="s">
        <v>978</v>
      </c>
      <c r="D231" s="65" t="s">
        <v>29</v>
      </c>
      <c r="E231" s="65" t="s">
        <v>979</v>
      </c>
      <c r="F231" s="65" t="s">
        <v>31</v>
      </c>
      <c r="G231" s="65" t="s">
        <v>980</v>
      </c>
      <c r="H231" s="65" t="s">
        <v>981</v>
      </c>
      <c r="I231" s="65" t="s">
        <v>982</v>
      </c>
      <c r="J231" s="65" t="s">
        <v>774</v>
      </c>
      <c r="K231" s="65" t="s">
        <v>775</v>
      </c>
      <c r="L231" s="65" t="s">
        <v>37</v>
      </c>
      <c r="M231" s="65" t="s">
        <v>983</v>
      </c>
      <c r="N231" s="65" t="s">
        <v>984</v>
      </c>
      <c r="O231" s="65" t="s">
        <v>981</v>
      </c>
      <c r="P231" s="65" t="s">
        <v>985</v>
      </c>
      <c r="Q231" s="65" t="s">
        <v>618</v>
      </c>
      <c r="R231">
        <v>1</v>
      </c>
      <c r="S231" s="65" t="s">
        <v>42</v>
      </c>
      <c r="T231" s="65" t="s">
        <v>44</v>
      </c>
      <c r="U231" s="65" t="s">
        <v>44</v>
      </c>
      <c r="V231" s="65" t="s">
        <v>45</v>
      </c>
      <c r="W231" s="65" t="s">
        <v>46</v>
      </c>
      <c r="X231">
        <v>12.71</v>
      </c>
      <c r="Y231" s="65" t="s">
        <v>619</v>
      </c>
      <c r="Z231" s="65" t="s">
        <v>48</v>
      </c>
      <c r="AA231" s="65" t="s">
        <v>49</v>
      </c>
      <c r="AC231" s="65"/>
    </row>
    <row r="232" spans="1:30" x14ac:dyDescent="0.3">
      <c r="A232" s="1">
        <v>46212</v>
      </c>
      <c r="B232" s="65" t="s">
        <v>3550</v>
      </c>
      <c r="C232" s="65" t="s">
        <v>978</v>
      </c>
      <c r="D232" s="65" t="s">
        <v>29</v>
      </c>
      <c r="E232" s="65" t="s">
        <v>979</v>
      </c>
      <c r="F232" s="65" t="s">
        <v>31</v>
      </c>
      <c r="G232" s="65" t="s">
        <v>980</v>
      </c>
      <c r="H232" s="65" t="s">
        <v>981</v>
      </c>
      <c r="I232" s="65" t="s">
        <v>982</v>
      </c>
      <c r="J232" s="65" t="s">
        <v>774</v>
      </c>
      <c r="K232" s="65" t="s">
        <v>775</v>
      </c>
      <c r="L232" s="65" t="s">
        <v>37</v>
      </c>
      <c r="M232" s="65" t="s">
        <v>983</v>
      </c>
      <c r="N232" s="65" t="s">
        <v>984</v>
      </c>
      <c r="O232" s="65" t="s">
        <v>981</v>
      </c>
      <c r="P232" s="65" t="s">
        <v>985</v>
      </c>
      <c r="Q232" s="65" t="s">
        <v>620</v>
      </c>
      <c r="R232">
        <v>1</v>
      </c>
      <c r="S232" s="65" t="s">
        <v>42</v>
      </c>
      <c r="T232" s="65" t="s">
        <v>44</v>
      </c>
      <c r="U232" s="65" t="s">
        <v>44</v>
      </c>
      <c r="V232" s="65" t="s">
        <v>45</v>
      </c>
      <c r="W232" s="65" t="s">
        <v>46</v>
      </c>
      <c r="X232">
        <v>21.19</v>
      </c>
      <c r="Y232" s="65" t="s">
        <v>619</v>
      </c>
      <c r="Z232" s="65" t="s">
        <v>48</v>
      </c>
      <c r="AA232" s="65" t="s">
        <v>49</v>
      </c>
      <c r="AC232" s="65"/>
    </row>
    <row r="233" spans="1:30" x14ac:dyDescent="0.3">
      <c r="A233" s="1">
        <v>46212</v>
      </c>
      <c r="B233" s="65" t="s">
        <v>3550</v>
      </c>
      <c r="C233" s="65" t="s">
        <v>978</v>
      </c>
      <c r="D233" s="65" t="s">
        <v>29</v>
      </c>
      <c r="E233" s="65" t="s">
        <v>979</v>
      </c>
      <c r="F233" s="65" t="s">
        <v>31</v>
      </c>
      <c r="G233" s="65" t="s">
        <v>980</v>
      </c>
      <c r="H233" s="65" t="s">
        <v>981</v>
      </c>
      <c r="I233" s="65" t="s">
        <v>982</v>
      </c>
      <c r="J233" s="65" t="s">
        <v>774</v>
      </c>
      <c r="K233" s="65" t="s">
        <v>775</v>
      </c>
      <c r="L233" s="65" t="s">
        <v>37</v>
      </c>
      <c r="M233" s="65" t="s">
        <v>983</v>
      </c>
      <c r="N233" s="65" t="s">
        <v>984</v>
      </c>
      <c r="O233" s="65" t="s">
        <v>981</v>
      </c>
      <c r="P233" s="65" t="s">
        <v>985</v>
      </c>
      <c r="Q233" s="65" t="s">
        <v>621</v>
      </c>
      <c r="R233">
        <v>1</v>
      </c>
      <c r="S233" s="65" t="s">
        <v>42</v>
      </c>
      <c r="T233" s="65" t="s">
        <v>44</v>
      </c>
      <c r="U233" s="65" t="s">
        <v>44</v>
      </c>
      <c r="V233" s="65" t="s">
        <v>45</v>
      </c>
      <c r="W233" s="65" t="s">
        <v>46</v>
      </c>
      <c r="X233">
        <v>12.71</v>
      </c>
      <c r="Y233" s="65" t="s">
        <v>619</v>
      </c>
      <c r="Z233" s="65" t="s">
        <v>48</v>
      </c>
      <c r="AA233" s="65" t="s">
        <v>49</v>
      </c>
      <c r="AC233" s="65"/>
    </row>
    <row r="234" spans="1:30" x14ac:dyDescent="0.3">
      <c r="A234" s="1">
        <v>46212</v>
      </c>
      <c r="B234" s="65" t="s">
        <v>3550</v>
      </c>
      <c r="C234" s="65" t="s">
        <v>978</v>
      </c>
      <c r="D234" s="65" t="s">
        <v>29</v>
      </c>
      <c r="E234" s="65" t="s">
        <v>979</v>
      </c>
      <c r="F234" s="65" t="s">
        <v>31</v>
      </c>
      <c r="G234" s="65" t="s">
        <v>980</v>
      </c>
      <c r="H234" s="65" t="s">
        <v>981</v>
      </c>
      <c r="I234" s="65" t="s">
        <v>982</v>
      </c>
      <c r="J234" s="65" t="s">
        <v>774</v>
      </c>
      <c r="K234" s="65" t="s">
        <v>775</v>
      </c>
      <c r="L234" s="65" t="s">
        <v>37</v>
      </c>
      <c r="M234" s="65" t="s">
        <v>983</v>
      </c>
      <c r="N234" s="65" t="s">
        <v>984</v>
      </c>
      <c r="O234" s="65" t="s">
        <v>981</v>
      </c>
      <c r="P234" s="65" t="s">
        <v>985</v>
      </c>
      <c r="Q234" s="65" t="s">
        <v>622</v>
      </c>
      <c r="R234">
        <v>1</v>
      </c>
      <c r="S234" s="65" t="s">
        <v>42</v>
      </c>
      <c r="T234" s="65" t="s">
        <v>44</v>
      </c>
      <c r="U234" s="65" t="s">
        <v>44</v>
      </c>
      <c r="V234" s="65" t="s">
        <v>45</v>
      </c>
      <c r="W234" s="65" t="s">
        <v>46</v>
      </c>
      <c r="X234">
        <v>12.71</v>
      </c>
      <c r="Y234" s="65" t="s">
        <v>619</v>
      </c>
      <c r="Z234" s="65" t="s">
        <v>48</v>
      </c>
      <c r="AA234" s="65" t="s">
        <v>49</v>
      </c>
      <c r="AC234" s="65"/>
    </row>
    <row r="235" spans="1:30" x14ac:dyDescent="0.3">
      <c r="A235" s="1">
        <v>46212</v>
      </c>
      <c r="B235" s="65" t="s">
        <v>3550</v>
      </c>
      <c r="C235" s="65" t="s">
        <v>978</v>
      </c>
      <c r="D235" s="65" t="s">
        <v>29</v>
      </c>
      <c r="E235" s="65" t="s">
        <v>979</v>
      </c>
      <c r="F235" s="65" t="s">
        <v>31</v>
      </c>
      <c r="G235" s="65" t="s">
        <v>980</v>
      </c>
      <c r="H235" s="65" t="s">
        <v>981</v>
      </c>
      <c r="I235" s="65" t="s">
        <v>982</v>
      </c>
      <c r="J235" s="65" t="s">
        <v>774</v>
      </c>
      <c r="K235" s="65" t="s">
        <v>775</v>
      </c>
      <c r="L235" s="65" t="s">
        <v>37</v>
      </c>
      <c r="M235" s="65" t="s">
        <v>983</v>
      </c>
      <c r="N235" s="65" t="s">
        <v>984</v>
      </c>
      <c r="O235" s="65" t="s">
        <v>981</v>
      </c>
      <c r="P235" s="65" t="s">
        <v>985</v>
      </c>
      <c r="Q235" s="65" t="s">
        <v>833</v>
      </c>
      <c r="R235">
        <v>1</v>
      </c>
      <c r="S235" s="65" t="s">
        <v>42</v>
      </c>
      <c r="T235" s="65" t="s">
        <v>44</v>
      </c>
      <c r="U235" s="65" t="s">
        <v>44</v>
      </c>
      <c r="V235" s="65" t="s">
        <v>45</v>
      </c>
      <c r="W235" s="65" t="s">
        <v>46</v>
      </c>
      <c r="X235">
        <v>50.85</v>
      </c>
      <c r="Y235" s="65" t="s">
        <v>619</v>
      </c>
      <c r="Z235" s="65" t="s">
        <v>48</v>
      </c>
      <c r="AA235" s="65" t="s">
        <v>49</v>
      </c>
      <c r="AC235" s="65"/>
    </row>
    <row r="236" spans="1:30" x14ac:dyDescent="0.3">
      <c r="A236" s="1">
        <v>46212</v>
      </c>
      <c r="B236" s="65" t="s">
        <v>3550</v>
      </c>
      <c r="C236" s="65" t="s">
        <v>997</v>
      </c>
      <c r="D236" s="65" t="s">
        <v>29</v>
      </c>
      <c r="E236" s="65" t="s">
        <v>998</v>
      </c>
      <c r="F236" s="65" t="s">
        <v>31</v>
      </c>
      <c r="G236" s="65" t="s">
        <v>999</v>
      </c>
      <c r="H236" s="65" t="s">
        <v>981</v>
      </c>
      <c r="I236" s="65" t="s">
        <v>982</v>
      </c>
      <c r="J236" s="65" t="s">
        <v>774</v>
      </c>
      <c r="K236" s="65" t="s">
        <v>775</v>
      </c>
      <c r="L236" s="65" t="s">
        <v>37</v>
      </c>
      <c r="M236" s="65" t="s">
        <v>983</v>
      </c>
      <c r="N236" s="65" t="s">
        <v>984</v>
      </c>
      <c r="O236" s="65" t="s">
        <v>981</v>
      </c>
      <c r="P236" s="65" t="s">
        <v>1000</v>
      </c>
      <c r="Q236" s="65" t="s">
        <v>828</v>
      </c>
      <c r="R236">
        <v>1</v>
      </c>
      <c r="S236" s="65" t="s">
        <v>42</v>
      </c>
      <c r="T236" s="65" t="s">
        <v>44</v>
      </c>
      <c r="U236" s="65" t="s">
        <v>44</v>
      </c>
      <c r="V236" s="65" t="s">
        <v>45</v>
      </c>
      <c r="W236" s="65" t="s">
        <v>46</v>
      </c>
      <c r="X236">
        <v>127.12</v>
      </c>
      <c r="Y236" s="65" t="s">
        <v>47</v>
      </c>
      <c r="Z236" s="65" t="s">
        <v>48</v>
      </c>
      <c r="AA236" s="65" t="s">
        <v>49</v>
      </c>
      <c r="AC236" s="65"/>
    </row>
    <row r="237" spans="1:30" x14ac:dyDescent="0.3">
      <c r="A237" s="1">
        <v>46212</v>
      </c>
      <c r="B237" s="65" t="s">
        <v>3550</v>
      </c>
      <c r="C237" s="65" t="s">
        <v>990</v>
      </c>
      <c r="D237" s="65" t="s">
        <v>29</v>
      </c>
      <c r="E237" s="65" t="s">
        <v>991</v>
      </c>
      <c r="F237" s="65" t="s">
        <v>31</v>
      </c>
      <c r="G237" s="65" t="s">
        <v>992</v>
      </c>
      <c r="H237" s="65" t="s">
        <v>993</v>
      </c>
      <c r="I237" s="65" t="s">
        <v>994</v>
      </c>
      <c r="J237" s="65" t="s">
        <v>774</v>
      </c>
      <c r="K237" s="65" t="s">
        <v>775</v>
      </c>
      <c r="L237" s="65" t="s">
        <v>37</v>
      </c>
      <c r="M237" s="65" t="s">
        <v>995</v>
      </c>
      <c r="N237" s="65" t="s">
        <v>984</v>
      </c>
      <c r="O237" s="65" t="s">
        <v>993</v>
      </c>
      <c r="P237" s="65" t="s">
        <v>996</v>
      </c>
      <c r="Q237" s="65" t="s">
        <v>641</v>
      </c>
      <c r="R237">
        <v>1</v>
      </c>
      <c r="S237" s="65" t="s">
        <v>42</v>
      </c>
      <c r="T237" s="65" t="s">
        <v>44</v>
      </c>
      <c r="U237" s="65" t="s">
        <v>44</v>
      </c>
      <c r="V237" s="65" t="s">
        <v>45</v>
      </c>
      <c r="W237" s="65" t="s">
        <v>60</v>
      </c>
      <c r="X237">
        <v>84.75</v>
      </c>
      <c r="Y237" s="65" t="s">
        <v>47</v>
      </c>
      <c r="Z237" s="65" t="s">
        <v>48</v>
      </c>
      <c r="AA237" s="65" t="s">
        <v>49</v>
      </c>
      <c r="AC237" s="65"/>
    </row>
    <row r="238" spans="1:30" x14ac:dyDescent="0.3">
      <c r="A238" s="1">
        <v>46212</v>
      </c>
      <c r="B238" s="65" t="s">
        <v>3550</v>
      </c>
      <c r="C238" s="65" t="s">
        <v>1269</v>
      </c>
      <c r="D238" s="65" t="s">
        <v>268</v>
      </c>
      <c r="E238" s="65" t="s">
        <v>1270</v>
      </c>
      <c r="F238" s="65" t="s">
        <v>31</v>
      </c>
      <c r="G238" s="65" t="s">
        <v>1271</v>
      </c>
      <c r="H238" s="65" t="s">
        <v>1272</v>
      </c>
      <c r="I238" s="65" t="s">
        <v>1273</v>
      </c>
      <c r="J238" s="65" t="s">
        <v>2795</v>
      </c>
      <c r="K238" s="65" t="s">
        <v>209</v>
      </c>
      <c r="L238" s="65" t="s">
        <v>37</v>
      </c>
      <c r="M238" s="65" t="s">
        <v>1274</v>
      </c>
      <c r="N238" s="65" t="s">
        <v>608</v>
      </c>
      <c r="O238" s="65" t="s">
        <v>1251</v>
      </c>
      <c r="P238" s="65" t="s">
        <v>1275</v>
      </c>
      <c r="Q238" s="65" t="s">
        <v>288</v>
      </c>
      <c r="R238">
        <v>1</v>
      </c>
      <c r="S238" s="65" t="s">
        <v>42</v>
      </c>
      <c r="T238" s="65" t="s">
        <v>44</v>
      </c>
      <c r="U238" s="65" t="s">
        <v>44</v>
      </c>
      <c r="V238" s="65" t="s">
        <v>45</v>
      </c>
      <c r="W238" s="65" t="s">
        <v>46</v>
      </c>
      <c r="X238">
        <v>0</v>
      </c>
      <c r="Y238" s="65" t="s">
        <v>289</v>
      </c>
      <c r="Z238" s="65" t="s">
        <v>48</v>
      </c>
      <c r="AA238" s="65" t="s">
        <v>49</v>
      </c>
      <c r="AB238">
        <v>994872106</v>
      </c>
      <c r="AC238" s="65" t="s">
        <v>1253</v>
      </c>
    </row>
    <row r="239" spans="1:30" x14ac:dyDescent="0.3">
      <c r="A239" s="1">
        <v>46212</v>
      </c>
      <c r="B239" s="65" t="s">
        <v>3550</v>
      </c>
      <c r="C239" s="65" t="s">
        <v>1269</v>
      </c>
      <c r="D239" s="65" t="s">
        <v>268</v>
      </c>
      <c r="E239" s="65" t="s">
        <v>1270</v>
      </c>
      <c r="F239" s="65" t="s">
        <v>31</v>
      </c>
      <c r="G239" s="65" t="s">
        <v>1271</v>
      </c>
      <c r="H239" s="65" t="s">
        <v>1272</v>
      </c>
      <c r="I239" s="65" t="s">
        <v>1273</v>
      </c>
      <c r="J239" s="65" t="s">
        <v>2795</v>
      </c>
      <c r="K239" s="65" t="s">
        <v>209</v>
      </c>
      <c r="L239" s="65" t="s">
        <v>37</v>
      </c>
      <c r="M239" s="65" t="s">
        <v>1274</v>
      </c>
      <c r="N239" s="65" t="s">
        <v>608</v>
      </c>
      <c r="O239" s="65" t="s">
        <v>1251</v>
      </c>
      <c r="P239" s="65" t="s">
        <v>1275</v>
      </c>
      <c r="Q239" s="65" t="s">
        <v>1620</v>
      </c>
      <c r="R239">
        <v>1</v>
      </c>
      <c r="S239" s="65" t="s">
        <v>42</v>
      </c>
      <c r="T239" s="65" t="s">
        <v>44</v>
      </c>
      <c r="U239" s="65" t="s">
        <v>44</v>
      </c>
      <c r="V239" s="65" t="s">
        <v>45</v>
      </c>
      <c r="W239" s="65" t="s">
        <v>46</v>
      </c>
      <c r="X239">
        <v>279.66000000000003</v>
      </c>
      <c r="Y239" s="65" t="s">
        <v>289</v>
      </c>
      <c r="Z239" s="65" t="s">
        <v>48</v>
      </c>
      <c r="AA239" s="65" t="s">
        <v>49</v>
      </c>
      <c r="AB239">
        <v>994872106</v>
      </c>
      <c r="AC239" s="65" t="s">
        <v>1253</v>
      </c>
    </row>
    <row r="240" spans="1:30" x14ac:dyDescent="0.3">
      <c r="A240" s="1">
        <v>46213</v>
      </c>
      <c r="B240" s="65" t="s">
        <v>3550</v>
      </c>
      <c r="C240" s="65" t="s">
        <v>1001</v>
      </c>
      <c r="D240" s="65" t="s">
        <v>268</v>
      </c>
      <c r="E240" s="65" t="s">
        <v>1002</v>
      </c>
      <c r="F240" s="65" t="s">
        <v>31</v>
      </c>
      <c r="G240" s="65" t="s">
        <v>1003</v>
      </c>
      <c r="H240" s="65" t="s">
        <v>993</v>
      </c>
      <c r="I240" s="65" t="s">
        <v>994</v>
      </c>
      <c r="J240" s="65" t="s">
        <v>774</v>
      </c>
      <c r="K240" s="65" t="s">
        <v>775</v>
      </c>
      <c r="L240" s="65" t="s">
        <v>37</v>
      </c>
      <c r="M240" s="65" t="s">
        <v>995</v>
      </c>
      <c r="N240" s="65" t="s">
        <v>984</v>
      </c>
      <c r="O240" s="65" t="s">
        <v>798</v>
      </c>
      <c r="P240" s="65" t="s">
        <v>1004</v>
      </c>
      <c r="Q240" s="65" t="s">
        <v>288</v>
      </c>
      <c r="R240">
        <v>1</v>
      </c>
      <c r="S240" s="65" t="s">
        <v>42</v>
      </c>
      <c r="T240" s="65" t="s">
        <v>44</v>
      </c>
      <c r="U240" s="65" t="s">
        <v>44</v>
      </c>
      <c r="V240" s="65" t="s">
        <v>45</v>
      </c>
      <c r="W240" s="65" t="s">
        <v>60</v>
      </c>
      <c r="X240">
        <v>0</v>
      </c>
      <c r="Y240" s="65" t="s">
        <v>289</v>
      </c>
      <c r="Z240" s="65" t="s">
        <v>48</v>
      </c>
      <c r="AA240" s="65" t="s">
        <v>49</v>
      </c>
      <c r="AC240" s="65"/>
    </row>
    <row r="241" spans="1:30" x14ac:dyDescent="0.3">
      <c r="A241" s="1">
        <v>46213</v>
      </c>
      <c r="B241" s="65" t="s">
        <v>3550</v>
      </c>
      <c r="C241" s="65" t="s">
        <v>1001</v>
      </c>
      <c r="D241" s="65" t="s">
        <v>268</v>
      </c>
      <c r="E241" s="65" t="s">
        <v>1002</v>
      </c>
      <c r="F241" s="65" t="s">
        <v>31</v>
      </c>
      <c r="G241" s="65" t="s">
        <v>1003</v>
      </c>
      <c r="H241" s="65" t="s">
        <v>993</v>
      </c>
      <c r="I241" s="65" t="s">
        <v>994</v>
      </c>
      <c r="J241" s="65" t="s">
        <v>774</v>
      </c>
      <c r="K241" s="65" t="s">
        <v>775</v>
      </c>
      <c r="L241" s="65" t="s">
        <v>37</v>
      </c>
      <c r="M241" s="65" t="s">
        <v>995</v>
      </c>
      <c r="N241" s="65" t="s">
        <v>984</v>
      </c>
      <c r="O241" s="65" t="s">
        <v>798</v>
      </c>
      <c r="P241" s="65" t="s">
        <v>1004</v>
      </c>
      <c r="Q241" s="65" t="s">
        <v>1620</v>
      </c>
      <c r="R241">
        <v>1</v>
      </c>
      <c r="S241" s="65" t="s">
        <v>42</v>
      </c>
      <c r="T241" s="65" t="s">
        <v>44</v>
      </c>
      <c r="U241" s="65" t="s">
        <v>44</v>
      </c>
      <c r="V241" s="65" t="s">
        <v>45</v>
      </c>
      <c r="W241" s="65" t="s">
        <v>60</v>
      </c>
      <c r="X241">
        <v>762.71</v>
      </c>
      <c r="Y241" s="65" t="s">
        <v>289</v>
      </c>
      <c r="Z241" s="65" t="s">
        <v>48</v>
      </c>
      <c r="AA241" s="65" t="s">
        <v>49</v>
      </c>
      <c r="AC241" s="65"/>
    </row>
    <row r="242" spans="1:30" x14ac:dyDescent="0.3">
      <c r="A242" s="1">
        <v>46213</v>
      </c>
      <c r="B242" s="65" t="s">
        <v>3550</v>
      </c>
      <c r="C242" s="65" t="s">
        <v>1005</v>
      </c>
      <c r="D242" s="65" t="s">
        <v>268</v>
      </c>
      <c r="E242" s="65" t="s">
        <v>1006</v>
      </c>
      <c r="F242" s="65" t="s">
        <v>31</v>
      </c>
      <c r="G242" s="65" t="s">
        <v>1007</v>
      </c>
      <c r="H242" s="65" t="s">
        <v>981</v>
      </c>
      <c r="I242" s="65" t="s">
        <v>982</v>
      </c>
      <c r="J242" s="65" t="s">
        <v>774</v>
      </c>
      <c r="K242" s="65" t="s">
        <v>775</v>
      </c>
      <c r="L242" s="65" t="s">
        <v>37</v>
      </c>
      <c r="M242" s="65" t="s">
        <v>983</v>
      </c>
      <c r="N242" s="65" t="s">
        <v>984</v>
      </c>
      <c r="O242" s="65" t="s">
        <v>798</v>
      </c>
      <c r="P242" s="65" t="s">
        <v>1008</v>
      </c>
      <c r="Q242" s="65" t="s">
        <v>288</v>
      </c>
      <c r="R242">
        <v>1</v>
      </c>
      <c r="S242" s="65" t="s">
        <v>42</v>
      </c>
      <c r="T242" s="65" t="s">
        <v>44</v>
      </c>
      <c r="U242" s="65" t="s">
        <v>44</v>
      </c>
      <c r="V242" s="65" t="s">
        <v>45</v>
      </c>
      <c r="W242" s="65" t="s">
        <v>60</v>
      </c>
      <c r="X242">
        <v>0</v>
      </c>
      <c r="Y242" s="65" t="s">
        <v>289</v>
      </c>
      <c r="Z242" s="65" t="s">
        <v>48</v>
      </c>
      <c r="AA242" s="65" t="s">
        <v>49</v>
      </c>
      <c r="AC242" s="65"/>
    </row>
    <row r="243" spans="1:30" x14ac:dyDescent="0.3">
      <c r="A243" s="1">
        <v>46213</v>
      </c>
      <c r="B243" s="65" t="s">
        <v>3550</v>
      </c>
      <c r="C243" s="65" t="s">
        <v>1005</v>
      </c>
      <c r="D243" s="65" t="s">
        <v>268</v>
      </c>
      <c r="E243" s="65" t="s">
        <v>1006</v>
      </c>
      <c r="F243" s="65" t="s">
        <v>31</v>
      </c>
      <c r="G243" s="65" t="s">
        <v>1007</v>
      </c>
      <c r="H243" s="65" t="s">
        <v>981</v>
      </c>
      <c r="I243" s="65" t="s">
        <v>982</v>
      </c>
      <c r="J243" s="65" t="s">
        <v>774</v>
      </c>
      <c r="K243" s="65" t="s">
        <v>775</v>
      </c>
      <c r="L243" s="65" t="s">
        <v>37</v>
      </c>
      <c r="M243" s="65" t="s">
        <v>983</v>
      </c>
      <c r="N243" s="65" t="s">
        <v>984</v>
      </c>
      <c r="O243" s="65" t="s">
        <v>798</v>
      </c>
      <c r="P243" s="65" t="s">
        <v>1008</v>
      </c>
      <c r="Q243" s="65" t="s">
        <v>1620</v>
      </c>
      <c r="R243">
        <v>1</v>
      </c>
      <c r="S243" s="65" t="s">
        <v>42</v>
      </c>
      <c r="T243" s="65" t="s">
        <v>44</v>
      </c>
      <c r="U243" s="65" t="s">
        <v>44</v>
      </c>
      <c r="V243" s="65" t="s">
        <v>45</v>
      </c>
      <c r="W243" s="65" t="s">
        <v>60</v>
      </c>
      <c r="X243">
        <v>762.71</v>
      </c>
      <c r="Y243" s="65" t="s">
        <v>289</v>
      </c>
      <c r="Z243" s="65" t="s">
        <v>48</v>
      </c>
      <c r="AA243" s="65" t="s">
        <v>49</v>
      </c>
      <c r="AC243" s="65"/>
    </row>
    <row r="244" spans="1:30" x14ac:dyDescent="0.3">
      <c r="A244" s="1">
        <v>46213</v>
      </c>
      <c r="B244" s="65" t="s">
        <v>3550</v>
      </c>
      <c r="C244" s="65" t="s">
        <v>586</v>
      </c>
      <c r="D244" s="65" t="s">
        <v>29</v>
      </c>
      <c r="E244" s="65" t="s">
        <v>587</v>
      </c>
      <c r="F244" s="65" t="s">
        <v>31</v>
      </c>
      <c r="G244" s="65" t="s">
        <v>588</v>
      </c>
      <c r="H244" s="65" t="s">
        <v>589</v>
      </c>
      <c r="I244" s="65" t="s">
        <v>590</v>
      </c>
      <c r="J244" s="65" t="s">
        <v>1073</v>
      </c>
      <c r="K244" s="65" t="s">
        <v>97</v>
      </c>
      <c r="L244" s="65" t="s">
        <v>37</v>
      </c>
      <c r="M244" s="65" t="s">
        <v>591</v>
      </c>
      <c r="N244" s="65" t="s">
        <v>592</v>
      </c>
      <c r="O244" s="65" t="s">
        <v>589</v>
      </c>
      <c r="P244" s="65" t="s">
        <v>593</v>
      </c>
      <c r="Q244" s="65" t="s">
        <v>159</v>
      </c>
      <c r="R244">
        <v>1</v>
      </c>
      <c r="S244" s="65" t="s">
        <v>70</v>
      </c>
      <c r="T244" s="65" t="s">
        <v>43</v>
      </c>
      <c r="U244" s="65" t="s">
        <v>44</v>
      </c>
      <c r="V244" s="65" t="s">
        <v>71</v>
      </c>
      <c r="W244" s="65" t="s">
        <v>72</v>
      </c>
      <c r="X244">
        <v>135.59</v>
      </c>
      <c r="Y244" s="65" t="s">
        <v>47</v>
      </c>
      <c r="Z244" s="65" t="s">
        <v>48</v>
      </c>
      <c r="AA244" s="65" t="s">
        <v>73</v>
      </c>
      <c r="AB244">
        <v>999986041</v>
      </c>
      <c r="AC244" s="65" t="s">
        <v>1077</v>
      </c>
      <c r="AD244">
        <v>30</v>
      </c>
    </row>
    <row r="245" spans="1:30" x14ac:dyDescent="0.3">
      <c r="A245" s="1">
        <v>46213</v>
      </c>
      <c r="B245" s="65" t="s">
        <v>3550</v>
      </c>
      <c r="C245" s="65" t="s">
        <v>3554</v>
      </c>
      <c r="D245" s="65" t="s">
        <v>29</v>
      </c>
      <c r="E245" s="65" t="s">
        <v>1453</v>
      </c>
      <c r="F245" s="65" t="s">
        <v>31</v>
      </c>
      <c r="G245" s="65" t="s">
        <v>1461</v>
      </c>
      <c r="H245" s="65" t="s">
        <v>1455</v>
      </c>
      <c r="I245" s="65" t="s">
        <v>1456</v>
      </c>
      <c r="J245" s="65" t="s">
        <v>1700</v>
      </c>
      <c r="K245" s="65" t="s">
        <v>1165</v>
      </c>
      <c r="L245" s="65" t="s">
        <v>37</v>
      </c>
      <c r="M245" s="65" t="s">
        <v>1458</v>
      </c>
      <c r="N245" s="65" t="s">
        <v>1459</v>
      </c>
      <c r="O245" s="65" t="s">
        <v>1455</v>
      </c>
      <c r="P245" s="65" t="s">
        <v>1460</v>
      </c>
      <c r="Q245" s="65" t="s">
        <v>159</v>
      </c>
      <c r="R245">
        <v>1</v>
      </c>
      <c r="S245" s="65" t="s">
        <v>42</v>
      </c>
      <c r="T245" s="65" t="s">
        <v>44</v>
      </c>
      <c r="U245" s="65" t="s">
        <v>44</v>
      </c>
      <c r="V245" s="65" t="s">
        <v>45</v>
      </c>
      <c r="W245" s="65" t="s">
        <v>60</v>
      </c>
      <c r="X245">
        <v>135.59</v>
      </c>
      <c r="Y245" s="65" t="s">
        <v>47</v>
      </c>
      <c r="Z245" s="65" t="s">
        <v>48</v>
      </c>
      <c r="AA245" s="65" t="s">
        <v>49</v>
      </c>
      <c r="AC245" s="65"/>
      <c r="AD245">
        <v>30</v>
      </c>
    </row>
    <row r="246" spans="1:30" x14ac:dyDescent="0.3">
      <c r="A246" s="1">
        <v>46213</v>
      </c>
      <c r="B246" s="65" t="s">
        <v>3550</v>
      </c>
      <c r="C246" s="65" t="s">
        <v>1452</v>
      </c>
      <c r="D246" s="65" t="s">
        <v>399</v>
      </c>
      <c r="E246" s="65" t="s">
        <v>1453</v>
      </c>
      <c r="F246" s="65" t="s">
        <v>400</v>
      </c>
      <c r="G246" s="65" t="s">
        <v>1454</v>
      </c>
      <c r="H246" s="65" t="s">
        <v>1455</v>
      </c>
      <c r="I246" s="65" t="s">
        <v>1456</v>
      </c>
      <c r="J246" s="65" t="s">
        <v>1700</v>
      </c>
      <c r="K246" s="65" t="s">
        <v>1165</v>
      </c>
      <c r="L246" s="65" t="s">
        <v>400</v>
      </c>
      <c r="M246" s="65" t="s">
        <v>1458</v>
      </c>
      <c r="N246" s="65" t="s">
        <v>1459</v>
      </c>
      <c r="O246" s="65" t="s">
        <v>1455</v>
      </c>
      <c r="P246" s="65" t="s">
        <v>1460</v>
      </c>
      <c r="Q246" s="65" t="s">
        <v>159</v>
      </c>
      <c r="R246">
        <v>1</v>
      </c>
      <c r="S246" s="65" t="s">
        <v>42</v>
      </c>
      <c r="T246" s="65" t="s">
        <v>44</v>
      </c>
      <c r="U246" s="65" t="s">
        <v>44</v>
      </c>
      <c r="V246" s="65" t="s">
        <v>45</v>
      </c>
      <c r="W246" s="65" t="s">
        <v>60</v>
      </c>
      <c r="X246">
        <v>-135.59</v>
      </c>
      <c r="Y246" s="65" t="s">
        <v>47</v>
      </c>
      <c r="Z246" s="65" t="s">
        <v>48</v>
      </c>
      <c r="AA246" s="65" t="s">
        <v>49</v>
      </c>
      <c r="AC246" s="65"/>
      <c r="AD246">
        <v>30</v>
      </c>
    </row>
    <row r="247" spans="1:30" x14ac:dyDescent="0.3">
      <c r="A247" s="1">
        <v>46214</v>
      </c>
      <c r="B247" s="65" t="s">
        <v>3550</v>
      </c>
      <c r="C247" s="65" t="s">
        <v>594</v>
      </c>
      <c r="D247" s="65" t="s">
        <v>29</v>
      </c>
      <c r="E247" s="65" t="s">
        <v>595</v>
      </c>
      <c r="F247" s="65" t="s">
        <v>31</v>
      </c>
      <c r="G247" s="65" t="s">
        <v>596</v>
      </c>
      <c r="H247" s="65" t="s">
        <v>597</v>
      </c>
      <c r="I247" s="65" t="s">
        <v>598</v>
      </c>
      <c r="J247" s="65" t="s">
        <v>434</v>
      </c>
      <c r="K247" s="65" t="s">
        <v>435</v>
      </c>
      <c r="L247" s="65" t="s">
        <v>37</v>
      </c>
      <c r="M247" s="65" t="s">
        <v>599</v>
      </c>
      <c r="N247" s="65" t="s">
        <v>600</v>
      </c>
      <c r="O247" s="65" t="s">
        <v>597</v>
      </c>
      <c r="P247" s="65" t="s">
        <v>601</v>
      </c>
      <c r="Q247" s="65" t="s">
        <v>90</v>
      </c>
      <c r="R247">
        <v>1</v>
      </c>
      <c r="S247" s="65" t="s">
        <v>70</v>
      </c>
      <c r="T247" s="65" t="s">
        <v>43</v>
      </c>
      <c r="U247" s="65" t="s">
        <v>44</v>
      </c>
      <c r="V247" s="65" t="s">
        <v>71</v>
      </c>
      <c r="W247" s="65" t="s">
        <v>72</v>
      </c>
      <c r="X247">
        <v>135.59</v>
      </c>
      <c r="Y247" s="65" t="s">
        <v>47</v>
      </c>
      <c r="Z247" s="65" t="s">
        <v>48</v>
      </c>
      <c r="AA247" s="65" t="s">
        <v>73</v>
      </c>
      <c r="AB247">
        <v>992903716</v>
      </c>
      <c r="AC247" s="65" t="s">
        <v>439</v>
      </c>
      <c r="AD247">
        <v>30</v>
      </c>
    </row>
    <row r="248" spans="1:30" x14ac:dyDescent="0.3">
      <c r="A248" s="1">
        <v>46214</v>
      </c>
      <c r="B248" s="65" t="s">
        <v>3550</v>
      </c>
      <c r="C248" s="65" t="s">
        <v>594</v>
      </c>
      <c r="D248" s="65" t="s">
        <v>29</v>
      </c>
      <c r="E248" s="65" t="s">
        <v>595</v>
      </c>
      <c r="F248" s="65" t="s">
        <v>31</v>
      </c>
      <c r="G248" s="65" t="s">
        <v>596</v>
      </c>
      <c r="H248" s="65" t="s">
        <v>597</v>
      </c>
      <c r="I248" s="65" t="s">
        <v>598</v>
      </c>
      <c r="J248" s="65" t="s">
        <v>434</v>
      </c>
      <c r="K248" s="65" t="s">
        <v>435</v>
      </c>
      <c r="L248" s="65" t="s">
        <v>37</v>
      </c>
      <c r="M248" s="65" t="s">
        <v>599</v>
      </c>
      <c r="N248" s="65" t="s">
        <v>600</v>
      </c>
      <c r="O248" s="65" t="s">
        <v>597</v>
      </c>
      <c r="P248" s="65" t="s">
        <v>601</v>
      </c>
      <c r="Q248" s="65" t="s">
        <v>101</v>
      </c>
      <c r="R248">
        <v>1</v>
      </c>
      <c r="S248" s="65" t="s">
        <v>70</v>
      </c>
      <c r="T248" s="65" t="s">
        <v>43</v>
      </c>
      <c r="U248" s="65" t="s">
        <v>44</v>
      </c>
      <c r="V248" s="65" t="s">
        <v>71</v>
      </c>
      <c r="W248" s="65" t="s">
        <v>72</v>
      </c>
      <c r="X248">
        <v>186.44</v>
      </c>
      <c r="Y248" s="65" t="s">
        <v>47</v>
      </c>
      <c r="Z248" s="65" t="s">
        <v>48</v>
      </c>
      <c r="AA248" s="65" t="s">
        <v>73</v>
      </c>
      <c r="AB248">
        <v>992903716</v>
      </c>
      <c r="AC248" s="65" t="s">
        <v>439</v>
      </c>
      <c r="AD248">
        <v>50</v>
      </c>
    </row>
    <row r="249" spans="1:30" x14ac:dyDescent="0.3">
      <c r="A249" s="1">
        <v>46214</v>
      </c>
      <c r="B249" s="65" t="s">
        <v>3550</v>
      </c>
      <c r="C249" s="65" t="s">
        <v>1133</v>
      </c>
      <c r="D249" s="65" t="s">
        <v>268</v>
      </c>
      <c r="E249" s="65" t="s">
        <v>1134</v>
      </c>
      <c r="F249" s="65" t="s">
        <v>31</v>
      </c>
      <c r="G249" s="65" t="s">
        <v>1135</v>
      </c>
      <c r="H249" s="65" t="s">
        <v>1117</v>
      </c>
      <c r="I249" s="65" t="s">
        <v>1118</v>
      </c>
      <c r="J249" s="65" t="s">
        <v>1119</v>
      </c>
      <c r="K249" s="65" t="s">
        <v>1120</v>
      </c>
      <c r="L249" s="65" t="s">
        <v>37</v>
      </c>
      <c r="M249" s="65" t="s">
        <v>1121</v>
      </c>
      <c r="N249" s="65" t="s">
        <v>1122</v>
      </c>
      <c r="O249" s="65" t="s">
        <v>552</v>
      </c>
      <c r="P249" s="65" t="s">
        <v>1136</v>
      </c>
      <c r="Q249" s="65" t="s">
        <v>288</v>
      </c>
      <c r="R249">
        <v>1</v>
      </c>
      <c r="S249" s="65" t="s">
        <v>42</v>
      </c>
      <c r="T249" s="65" t="s">
        <v>44</v>
      </c>
      <c r="U249" s="65" t="s">
        <v>44</v>
      </c>
      <c r="V249" s="65" t="s">
        <v>45</v>
      </c>
      <c r="W249" s="65" t="s">
        <v>46</v>
      </c>
      <c r="X249">
        <v>0</v>
      </c>
      <c r="Y249" s="65" t="s">
        <v>289</v>
      </c>
      <c r="Z249" s="65" t="s">
        <v>48</v>
      </c>
      <c r="AA249" s="65" t="s">
        <v>49</v>
      </c>
      <c r="AB249">
        <v>993540760</v>
      </c>
      <c r="AC249" s="65" t="s">
        <v>1124</v>
      </c>
    </row>
    <row r="250" spans="1:30" x14ac:dyDescent="0.3">
      <c r="A250" s="1">
        <v>46214</v>
      </c>
      <c r="B250" s="65" t="s">
        <v>3550</v>
      </c>
      <c r="C250" s="65" t="s">
        <v>1133</v>
      </c>
      <c r="D250" s="65" t="s">
        <v>268</v>
      </c>
      <c r="E250" s="65" t="s">
        <v>1134</v>
      </c>
      <c r="F250" s="65" t="s">
        <v>31</v>
      </c>
      <c r="G250" s="65" t="s">
        <v>1135</v>
      </c>
      <c r="H250" s="65" t="s">
        <v>1117</v>
      </c>
      <c r="I250" s="65" t="s">
        <v>1118</v>
      </c>
      <c r="J250" s="65" t="s">
        <v>1119</v>
      </c>
      <c r="K250" s="65" t="s">
        <v>1120</v>
      </c>
      <c r="L250" s="65" t="s">
        <v>37</v>
      </c>
      <c r="M250" s="65" t="s">
        <v>1121</v>
      </c>
      <c r="N250" s="65" t="s">
        <v>1122</v>
      </c>
      <c r="O250" s="65" t="s">
        <v>552</v>
      </c>
      <c r="P250" s="65" t="s">
        <v>1136</v>
      </c>
      <c r="Q250" s="65" t="s">
        <v>1620</v>
      </c>
      <c r="R250">
        <v>1</v>
      </c>
      <c r="S250" s="65" t="s">
        <v>42</v>
      </c>
      <c r="T250" s="65" t="s">
        <v>44</v>
      </c>
      <c r="U250" s="65" t="s">
        <v>44</v>
      </c>
      <c r="V250" s="65" t="s">
        <v>45</v>
      </c>
      <c r="W250" s="65" t="s">
        <v>46</v>
      </c>
      <c r="X250">
        <v>550.85</v>
      </c>
      <c r="Y250" s="65" t="s">
        <v>289</v>
      </c>
      <c r="Z250" s="65" t="s">
        <v>48</v>
      </c>
      <c r="AA250" s="65" t="s">
        <v>49</v>
      </c>
      <c r="AB250">
        <v>993540760</v>
      </c>
      <c r="AC250" s="65" t="s">
        <v>1124</v>
      </c>
    </row>
    <row r="251" spans="1:30" x14ac:dyDescent="0.3">
      <c r="A251" s="1">
        <v>46216</v>
      </c>
      <c r="B251" s="65" t="s">
        <v>3550</v>
      </c>
      <c r="C251" s="65" t="s">
        <v>3555</v>
      </c>
      <c r="D251" s="65" t="s">
        <v>268</v>
      </c>
      <c r="E251" s="65" t="s">
        <v>3556</v>
      </c>
      <c r="F251" s="65" t="s">
        <v>31</v>
      </c>
      <c r="G251" s="65" t="s">
        <v>3557</v>
      </c>
      <c r="H251" s="65" t="s">
        <v>3558</v>
      </c>
      <c r="I251" s="65" t="s">
        <v>3559</v>
      </c>
      <c r="J251" s="65" t="s">
        <v>477</v>
      </c>
      <c r="K251" s="65" t="s">
        <v>209</v>
      </c>
      <c r="L251" s="65" t="s">
        <v>37</v>
      </c>
      <c r="M251" s="65" t="s">
        <v>3560</v>
      </c>
      <c r="N251" s="65" t="s">
        <v>3561</v>
      </c>
      <c r="O251" s="65" t="s">
        <v>486</v>
      </c>
      <c r="P251" s="65" t="s">
        <v>3562</v>
      </c>
      <c r="Q251" s="65" t="s">
        <v>59</v>
      </c>
      <c r="R251">
        <v>1</v>
      </c>
      <c r="S251" s="65" t="s">
        <v>42</v>
      </c>
      <c r="T251" s="65" t="s">
        <v>44</v>
      </c>
      <c r="U251" s="65" t="s">
        <v>44</v>
      </c>
      <c r="V251" s="65" t="s">
        <v>45</v>
      </c>
      <c r="W251" s="65" t="s">
        <v>46</v>
      </c>
      <c r="X251">
        <v>101.69</v>
      </c>
      <c r="Y251" s="65" t="s">
        <v>61</v>
      </c>
      <c r="Z251" s="65" t="s">
        <v>48</v>
      </c>
      <c r="AA251" s="65" t="s">
        <v>49</v>
      </c>
      <c r="AB251">
        <v>982536223</v>
      </c>
      <c r="AC251" s="65" t="s">
        <v>482</v>
      </c>
    </row>
    <row r="252" spans="1:30" x14ac:dyDescent="0.3">
      <c r="A252" s="1">
        <v>46216</v>
      </c>
      <c r="B252" s="65" t="s">
        <v>3550</v>
      </c>
      <c r="C252" s="65" t="s">
        <v>3563</v>
      </c>
      <c r="D252" s="65" t="s">
        <v>29</v>
      </c>
      <c r="E252" s="65" t="s">
        <v>3564</v>
      </c>
      <c r="F252" s="65" t="s">
        <v>31</v>
      </c>
      <c r="G252" s="65" t="s">
        <v>3565</v>
      </c>
      <c r="H252" s="65" t="s">
        <v>3566</v>
      </c>
      <c r="I252" s="65" t="s">
        <v>3567</v>
      </c>
      <c r="J252" s="65"/>
      <c r="K252" s="65"/>
      <c r="L252" s="65" t="s">
        <v>37</v>
      </c>
      <c r="M252" s="65" t="s">
        <v>3568</v>
      </c>
      <c r="N252" s="65" t="s">
        <v>3569</v>
      </c>
      <c r="O252" s="65" t="s">
        <v>3566</v>
      </c>
      <c r="P252" s="65" t="s">
        <v>3570</v>
      </c>
      <c r="Q252" s="65" t="s">
        <v>159</v>
      </c>
      <c r="R252">
        <v>1</v>
      </c>
      <c r="S252" s="65" t="s">
        <v>42</v>
      </c>
      <c r="T252" s="65" t="s">
        <v>44</v>
      </c>
      <c r="U252" s="65" t="s">
        <v>44</v>
      </c>
      <c r="V252" s="65" t="s">
        <v>45</v>
      </c>
      <c r="W252" s="65" t="s">
        <v>46</v>
      </c>
      <c r="X252">
        <v>135.59</v>
      </c>
      <c r="Y252" s="65" t="s">
        <v>47</v>
      </c>
      <c r="Z252" s="65" t="s">
        <v>48</v>
      </c>
      <c r="AA252" s="65" t="s">
        <v>49</v>
      </c>
      <c r="AC252" s="65"/>
      <c r="AD252">
        <v>30</v>
      </c>
    </row>
    <row r="253" spans="1:30" x14ac:dyDescent="0.3">
      <c r="A253" s="1">
        <v>46216</v>
      </c>
      <c r="B253" s="65" t="s">
        <v>3550</v>
      </c>
      <c r="C253" s="65" t="s">
        <v>3571</v>
      </c>
      <c r="D253" s="65" t="s">
        <v>29</v>
      </c>
      <c r="E253" s="65" t="s">
        <v>3572</v>
      </c>
      <c r="F253" s="65" t="s">
        <v>31</v>
      </c>
      <c r="G253" s="65" t="s">
        <v>3573</v>
      </c>
      <c r="H253" s="65" t="s">
        <v>3574</v>
      </c>
      <c r="I253" s="65" t="s">
        <v>3575</v>
      </c>
      <c r="J253" s="65"/>
      <c r="K253" s="65"/>
      <c r="L253" s="65" t="s">
        <v>37</v>
      </c>
      <c r="M253" s="65" t="s">
        <v>3576</v>
      </c>
      <c r="N253" s="65" t="s">
        <v>3577</v>
      </c>
      <c r="O253" s="65" t="s">
        <v>3574</v>
      </c>
      <c r="P253" s="65" t="s">
        <v>3578</v>
      </c>
      <c r="Q253" s="65" t="s">
        <v>41</v>
      </c>
      <c r="R253">
        <v>1</v>
      </c>
      <c r="S253" s="65" t="s">
        <v>42</v>
      </c>
      <c r="T253" s="65" t="s">
        <v>44</v>
      </c>
      <c r="U253" s="65" t="s">
        <v>44</v>
      </c>
      <c r="V253" s="65" t="s">
        <v>45</v>
      </c>
      <c r="W253" s="65" t="s">
        <v>60</v>
      </c>
      <c r="X253">
        <v>186.44</v>
      </c>
      <c r="Y253" s="65" t="s">
        <v>47</v>
      </c>
      <c r="Z253" s="65" t="s">
        <v>48</v>
      </c>
      <c r="AA253" s="65" t="s">
        <v>49</v>
      </c>
      <c r="AC253" s="65"/>
      <c r="AD253">
        <v>50</v>
      </c>
    </row>
    <row r="254" spans="1:30" x14ac:dyDescent="0.3">
      <c r="A254" s="1">
        <v>46216</v>
      </c>
      <c r="B254" s="65" t="s">
        <v>3550</v>
      </c>
      <c r="C254" s="65" t="s">
        <v>3571</v>
      </c>
      <c r="D254" s="65" t="s">
        <v>29</v>
      </c>
      <c r="E254" s="65" t="s">
        <v>3572</v>
      </c>
      <c r="F254" s="65" t="s">
        <v>31</v>
      </c>
      <c r="G254" s="65" t="s">
        <v>3573</v>
      </c>
      <c r="H254" s="65" t="s">
        <v>3574</v>
      </c>
      <c r="I254" s="65" t="s">
        <v>3575</v>
      </c>
      <c r="J254" s="65"/>
      <c r="K254" s="65"/>
      <c r="L254" s="65" t="s">
        <v>37</v>
      </c>
      <c r="M254" s="65" t="s">
        <v>3576</v>
      </c>
      <c r="N254" s="65" t="s">
        <v>3577</v>
      </c>
      <c r="O254" s="65" t="s">
        <v>3574</v>
      </c>
      <c r="P254" s="65" t="s">
        <v>3578</v>
      </c>
      <c r="Q254" s="65" t="s">
        <v>101</v>
      </c>
      <c r="R254">
        <v>1</v>
      </c>
      <c r="S254" s="65" t="s">
        <v>42</v>
      </c>
      <c r="T254" s="65" t="s">
        <v>44</v>
      </c>
      <c r="U254" s="65" t="s">
        <v>44</v>
      </c>
      <c r="V254" s="65" t="s">
        <v>45</v>
      </c>
      <c r="W254" s="65" t="s">
        <v>60</v>
      </c>
      <c r="X254">
        <v>186.44</v>
      </c>
      <c r="Y254" s="65" t="s">
        <v>47</v>
      </c>
      <c r="Z254" s="65" t="s">
        <v>48</v>
      </c>
      <c r="AA254" s="65" t="s">
        <v>49</v>
      </c>
      <c r="AC254" s="65"/>
      <c r="AD254">
        <v>50</v>
      </c>
    </row>
    <row r="255" spans="1:30" x14ac:dyDescent="0.3">
      <c r="A255" s="1">
        <v>46216</v>
      </c>
      <c r="B255" s="65" t="s">
        <v>3550</v>
      </c>
      <c r="C255" s="65" t="s">
        <v>3579</v>
      </c>
      <c r="D255" s="65" t="s">
        <v>29</v>
      </c>
      <c r="E255" s="65" t="s">
        <v>3580</v>
      </c>
      <c r="F255" s="65" t="s">
        <v>31</v>
      </c>
      <c r="G255" s="65" t="s">
        <v>3581</v>
      </c>
      <c r="H255" s="65" t="s">
        <v>3582</v>
      </c>
      <c r="I255" s="65" t="s">
        <v>3583</v>
      </c>
      <c r="J255" s="65"/>
      <c r="K255" s="65"/>
      <c r="L255" s="65" t="s">
        <v>37</v>
      </c>
      <c r="M255" s="65" t="s">
        <v>3584</v>
      </c>
      <c r="N255" s="65" t="s">
        <v>3585</v>
      </c>
      <c r="O255" s="65" t="s">
        <v>3582</v>
      </c>
      <c r="P255" s="65" t="s">
        <v>3586</v>
      </c>
      <c r="Q255" s="65" t="s">
        <v>159</v>
      </c>
      <c r="R255">
        <v>1</v>
      </c>
      <c r="S255" s="65" t="s">
        <v>42</v>
      </c>
      <c r="T255" s="65" t="s">
        <v>44</v>
      </c>
      <c r="U255" s="65" t="s">
        <v>44</v>
      </c>
      <c r="V255" s="65" t="s">
        <v>45</v>
      </c>
      <c r="W255" s="65" t="s">
        <v>46</v>
      </c>
      <c r="X255">
        <v>135.59</v>
      </c>
      <c r="Y255" s="65" t="s">
        <v>47</v>
      </c>
      <c r="Z255" s="65" t="s">
        <v>48</v>
      </c>
      <c r="AA255" s="65" t="s">
        <v>49</v>
      </c>
      <c r="AC255" s="65"/>
      <c r="AD255">
        <v>30</v>
      </c>
    </row>
    <row r="256" spans="1:30" x14ac:dyDescent="0.3">
      <c r="A256" s="1">
        <v>46216</v>
      </c>
      <c r="B256" s="65" t="s">
        <v>3550</v>
      </c>
      <c r="C256" s="65" t="s">
        <v>3587</v>
      </c>
      <c r="D256" s="65" t="s">
        <v>29</v>
      </c>
      <c r="E256" s="65" t="s">
        <v>3588</v>
      </c>
      <c r="F256" s="65" t="s">
        <v>31</v>
      </c>
      <c r="G256" s="65" t="s">
        <v>3589</v>
      </c>
      <c r="H256" s="65" t="s">
        <v>354</v>
      </c>
      <c r="I256" s="65" t="s">
        <v>355</v>
      </c>
      <c r="J256" s="65"/>
      <c r="K256" s="65"/>
      <c r="L256" s="65" t="s">
        <v>37</v>
      </c>
      <c r="M256" s="65" t="s">
        <v>356</v>
      </c>
      <c r="N256" s="65" t="s">
        <v>357</v>
      </c>
      <c r="O256" s="65" t="s">
        <v>354</v>
      </c>
      <c r="P256" s="65" t="s">
        <v>3590</v>
      </c>
      <c r="Q256" s="65" t="s">
        <v>159</v>
      </c>
      <c r="R256">
        <v>1</v>
      </c>
      <c r="S256" s="65" t="s">
        <v>42</v>
      </c>
      <c r="T256" s="65" t="s">
        <v>44</v>
      </c>
      <c r="U256" s="65" t="s">
        <v>44</v>
      </c>
      <c r="V256" s="65" t="s">
        <v>45</v>
      </c>
      <c r="W256" s="65" t="s">
        <v>60</v>
      </c>
      <c r="X256">
        <v>135.59</v>
      </c>
      <c r="Y256" s="65" t="s">
        <v>47</v>
      </c>
      <c r="Z256" s="65" t="s">
        <v>48</v>
      </c>
      <c r="AA256" s="65" t="s">
        <v>49</v>
      </c>
      <c r="AC256" s="65"/>
      <c r="AD256">
        <v>30</v>
      </c>
    </row>
    <row r="257" spans="1:30" x14ac:dyDescent="0.3">
      <c r="A257" s="1">
        <v>46216</v>
      </c>
      <c r="B257" s="65" t="s">
        <v>3550</v>
      </c>
      <c r="C257" s="65" t="s">
        <v>3591</v>
      </c>
      <c r="D257" s="65" t="s">
        <v>29</v>
      </c>
      <c r="E257" s="65" t="s">
        <v>3592</v>
      </c>
      <c r="F257" s="65" t="s">
        <v>31</v>
      </c>
      <c r="G257" s="65" t="s">
        <v>3593</v>
      </c>
      <c r="H257" s="65" t="s">
        <v>3594</v>
      </c>
      <c r="I257" s="65" t="s">
        <v>3595</v>
      </c>
      <c r="J257" s="65"/>
      <c r="K257" s="65"/>
      <c r="L257" s="65" t="s">
        <v>37</v>
      </c>
      <c r="M257" s="65" t="s">
        <v>3596</v>
      </c>
      <c r="N257" s="65" t="s">
        <v>3597</v>
      </c>
      <c r="O257" s="65" t="s">
        <v>3594</v>
      </c>
      <c r="P257" s="65" t="s">
        <v>3598</v>
      </c>
      <c r="Q257" s="65" t="s">
        <v>101</v>
      </c>
      <c r="R257">
        <v>1</v>
      </c>
      <c r="S257" s="65" t="s">
        <v>42</v>
      </c>
      <c r="T257" s="65" t="s">
        <v>44</v>
      </c>
      <c r="U257" s="65" t="s">
        <v>44</v>
      </c>
      <c r="V257" s="65" t="s">
        <v>45</v>
      </c>
      <c r="W257" s="65" t="s">
        <v>46</v>
      </c>
      <c r="X257">
        <v>186.44</v>
      </c>
      <c r="Y257" s="65" t="s">
        <v>47</v>
      </c>
      <c r="Z257" s="65" t="s">
        <v>48</v>
      </c>
      <c r="AA257" s="65" t="s">
        <v>49</v>
      </c>
      <c r="AC257" s="65"/>
      <c r="AD257">
        <v>50</v>
      </c>
    </row>
    <row r="258" spans="1:30" x14ac:dyDescent="0.3">
      <c r="A258" s="1">
        <v>46217</v>
      </c>
      <c r="B258" s="65" t="s">
        <v>3550</v>
      </c>
      <c r="C258" s="65" t="s">
        <v>3599</v>
      </c>
      <c r="D258" s="65" t="s">
        <v>268</v>
      </c>
      <c r="E258" s="65" t="s">
        <v>3600</v>
      </c>
      <c r="F258" s="65" t="s">
        <v>31</v>
      </c>
      <c r="G258" s="65" t="s">
        <v>3601</v>
      </c>
      <c r="H258" s="65" t="s">
        <v>3602</v>
      </c>
      <c r="I258" s="65" t="s">
        <v>3603</v>
      </c>
      <c r="J258" s="65"/>
      <c r="K258" s="65"/>
      <c r="L258" s="65" t="s">
        <v>37</v>
      </c>
      <c r="M258" s="65" t="s">
        <v>3604</v>
      </c>
      <c r="N258" s="65" t="s">
        <v>3605</v>
      </c>
      <c r="O258" s="65" t="s">
        <v>3606</v>
      </c>
      <c r="P258" s="65" t="s">
        <v>3607</v>
      </c>
      <c r="Q258" s="65" t="s">
        <v>202</v>
      </c>
      <c r="R258">
        <v>1</v>
      </c>
      <c r="S258" s="65" t="s">
        <v>42</v>
      </c>
      <c r="T258" s="65" t="s">
        <v>44</v>
      </c>
      <c r="U258" s="65" t="s">
        <v>44</v>
      </c>
      <c r="V258" s="65" t="s">
        <v>45</v>
      </c>
      <c r="W258" s="65" t="s">
        <v>46</v>
      </c>
      <c r="X258">
        <v>135.59</v>
      </c>
      <c r="Y258" s="65" t="s">
        <v>47</v>
      </c>
      <c r="Z258" s="65" t="s">
        <v>48</v>
      </c>
      <c r="AA258" s="65" t="s">
        <v>49</v>
      </c>
      <c r="AC258" s="65"/>
      <c r="AD258">
        <v>30</v>
      </c>
    </row>
    <row r="259" spans="1:30" x14ac:dyDescent="0.3">
      <c r="A259" s="1">
        <v>46217</v>
      </c>
      <c r="B259" s="65" t="s">
        <v>3550</v>
      </c>
      <c r="C259" s="65" t="s">
        <v>3608</v>
      </c>
      <c r="D259" s="65" t="s">
        <v>29</v>
      </c>
      <c r="E259" s="65" t="s">
        <v>3609</v>
      </c>
      <c r="F259" s="65" t="s">
        <v>31</v>
      </c>
      <c r="G259" s="65" t="s">
        <v>3610</v>
      </c>
      <c r="H259" s="65" t="s">
        <v>3611</v>
      </c>
      <c r="I259" s="65" t="s">
        <v>3612</v>
      </c>
      <c r="J259" s="65" t="s">
        <v>774</v>
      </c>
      <c r="K259" s="65" t="s">
        <v>775</v>
      </c>
      <c r="L259" s="65" t="s">
        <v>37</v>
      </c>
      <c r="M259" s="65" t="s">
        <v>3613</v>
      </c>
      <c r="N259" s="65" t="s">
        <v>3614</v>
      </c>
      <c r="O259" s="65" t="s">
        <v>3611</v>
      </c>
      <c r="P259" s="65" t="s">
        <v>3615</v>
      </c>
      <c r="Q259" s="65" t="s">
        <v>641</v>
      </c>
      <c r="R259">
        <v>1</v>
      </c>
      <c r="S259" s="65" t="s">
        <v>42</v>
      </c>
      <c r="T259" s="65" t="s">
        <v>44</v>
      </c>
      <c r="U259" s="65" t="s">
        <v>44</v>
      </c>
      <c r="V259" s="65" t="s">
        <v>45</v>
      </c>
      <c r="W259" s="65" t="s">
        <v>60</v>
      </c>
      <c r="X259">
        <v>84.75</v>
      </c>
      <c r="Y259" s="65" t="s">
        <v>47</v>
      </c>
      <c r="Z259" s="65" t="s">
        <v>48</v>
      </c>
      <c r="AA259" s="65" t="s">
        <v>49</v>
      </c>
      <c r="AC259" s="65"/>
    </row>
    <row r="260" spans="1:30" x14ac:dyDescent="0.3">
      <c r="A260" s="1">
        <v>46217</v>
      </c>
      <c r="B260" s="65" t="s">
        <v>3550</v>
      </c>
      <c r="C260" s="65" t="s">
        <v>3616</v>
      </c>
      <c r="D260" s="65" t="s">
        <v>29</v>
      </c>
      <c r="E260" s="65" t="s">
        <v>3617</v>
      </c>
      <c r="F260" s="65" t="s">
        <v>31</v>
      </c>
      <c r="G260" s="65" t="s">
        <v>3618</v>
      </c>
      <c r="H260" s="65" t="s">
        <v>3619</v>
      </c>
      <c r="I260" s="65" t="s">
        <v>3620</v>
      </c>
      <c r="J260" s="65" t="s">
        <v>774</v>
      </c>
      <c r="K260" s="65" t="s">
        <v>775</v>
      </c>
      <c r="L260" s="65" t="s">
        <v>37</v>
      </c>
      <c r="M260" s="65" t="s">
        <v>3621</v>
      </c>
      <c r="N260" s="65" t="s">
        <v>3622</v>
      </c>
      <c r="O260" s="65" t="s">
        <v>3619</v>
      </c>
      <c r="P260" s="65" t="s">
        <v>3623</v>
      </c>
      <c r="Q260" s="65" t="s">
        <v>618</v>
      </c>
      <c r="R260">
        <v>1</v>
      </c>
      <c r="S260" s="65" t="s">
        <v>42</v>
      </c>
      <c r="T260" s="65" t="s">
        <v>44</v>
      </c>
      <c r="U260" s="65" t="s">
        <v>44</v>
      </c>
      <c r="V260" s="65" t="s">
        <v>45</v>
      </c>
      <c r="W260" s="65" t="s">
        <v>46</v>
      </c>
      <c r="X260">
        <v>12.71</v>
      </c>
      <c r="Y260" s="65" t="s">
        <v>619</v>
      </c>
      <c r="Z260" s="65" t="s">
        <v>48</v>
      </c>
      <c r="AA260" s="65" t="s">
        <v>49</v>
      </c>
      <c r="AC260" s="65"/>
    </row>
    <row r="261" spans="1:30" x14ac:dyDescent="0.3">
      <c r="A261" s="1">
        <v>46217</v>
      </c>
      <c r="B261" s="65" t="s">
        <v>3550</v>
      </c>
      <c r="C261" s="65" t="s">
        <v>3616</v>
      </c>
      <c r="D261" s="65" t="s">
        <v>29</v>
      </c>
      <c r="E261" s="65" t="s">
        <v>3617</v>
      </c>
      <c r="F261" s="65" t="s">
        <v>31</v>
      </c>
      <c r="G261" s="65" t="s">
        <v>3618</v>
      </c>
      <c r="H261" s="65" t="s">
        <v>3619</v>
      </c>
      <c r="I261" s="65" t="s">
        <v>3620</v>
      </c>
      <c r="J261" s="65" t="s">
        <v>774</v>
      </c>
      <c r="K261" s="65" t="s">
        <v>775</v>
      </c>
      <c r="L261" s="65" t="s">
        <v>37</v>
      </c>
      <c r="M261" s="65" t="s">
        <v>3621</v>
      </c>
      <c r="N261" s="65" t="s">
        <v>3622</v>
      </c>
      <c r="O261" s="65" t="s">
        <v>3619</v>
      </c>
      <c r="P261" s="65" t="s">
        <v>3623</v>
      </c>
      <c r="Q261" s="65" t="s">
        <v>620</v>
      </c>
      <c r="R261">
        <v>1</v>
      </c>
      <c r="S261" s="65" t="s">
        <v>42</v>
      </c>
      <c r="T261" s="65" t="s">
        <v>44</v>
      </c>
      <c r="U261" s="65" t="s">
        <v>44</v>
      </c>
      <c r="V261" s="65" t="s">
        <v>45</v>
      </c>
      <c r="W261" s="65" t="s">
        <v>46</v>
      </c>
      <c r="X261">
        <v>21.19</v>
      </c>
      <c r="Y261" s="65" t="s">
        <v>619</v>
      </c>
      <c r="Z261" s="65" t="s">
        <v>48</v>
      </c>
      <c r="AA261" s="65" t="s">
        <v>49</v>
      </c>
      <c r="AC261" s="65"/>
    </row>
    <row r="262" spans="1:30" x14ac:dyDescent="0.3">
      <c r="A262" s="1">
        <v>46217</v>
      </c>
      <c r="B262" s="65" t="s">
        <v>3550</v>
      </c>
      <c r="C262" s="65" t="s">
        <v>3616</v>
      </c>
      <c r="D262" s="65" t="s">
        <v>29</v>
      </c>
      <c r="E262" s="65" t="s">
        <v>3617</v>
      </c>
      <c r="F262" s="65" t="s">
        <v>31</v>
      </c>
      <c r="G262" s="65" t="s">
        <v>3618</v>
      </c>
      <c r="H262" s="65" t="s">
        <v>3619</v>
      </c>
      <c r="I262" s="65" t="s">
        <v>3620</v>
      </c>
      <c r="J262" s="65" t="s">
        <v>774</v>
      </c>
      <c r="K262" s="65" t="s">
        <v>775</v>
      </c>
      <c r="L262" s="65" t="s">
        <v>37</v>
      </c>
      <c r="M262" s="65" t="s">
        <v>3621</v>
      </c>
      <c r="N262" s="65" t="s">
        <v>3622</v>
      </c>
      <c r="O262" s="65" t="s">
        <v>3619</v>
      </c>
      <c r="P262" s="65" t="s">
        <v>3623</v>
      </c>
      <c r="Q262" s="65" t="s">
        <v>621</v>
      </c>
      <c r="R262">
        <v>1</v>
      </c>
      <c r="S262" s="65" t="s">
        <v>42</v>
      </c>
      <c r="T262" s="65" t="s">
        <v>44</v>
      </c>
      <c r="U262" s="65" t="s">
        <v>44</v>
      </c>
      <c r="V262" s="65" t="s">
        <v>45</v>
      </c>
      <c r="W262" s="65" t="s">
        <v>46</v>
      </c>
      <c r="X262">
        <v>12.71</v>
      </c>
      <c r="Y262" s="65" t="s">
        <v>619</v>
      </c>
      <c r="Z262" s="65" t="s">
        <v>48</v>
      </c>
      <c r="AA262" s="65" t="s">
        <v>49</v>
      </c>
      <c r="AC262" s="65"/>
    </row>
    <row r="263" spans="1:30" x14ac:dyDescent="0.3">
      <c r="A263" s="1">
        <v>46217</v>
      </c>
      <c r="B263" s="65" t="s">
        <v>3550</v>
      </c>
      <c r="C263" s="65" t="s">
        <v>3616</v>
      </c>
      <c r="D263" s="65" t="s">
        <v>29</v>
      </c>
      <c r="E263" s="65" t="s">
        <v>3617</v>
      </c>
      <c r="F263" s="65" t="s">
        <v>31</v>
      </c>
      <c r="G263" s="65" t="s">
        <v>3618</v>
      </c>
      <c r="H263" s="65" t="s">
        <v>3619</v>
      </c>
      <c r="I263" s="65" t="s">
        <v>3620</v>
      </c>
      <c r="J263" s="65" t="s">
        <v>774</v>
      </c>
      <c r="K263" s="65" t="s">
        <v>775</v>
      </c>
      <c r="L263" s="65" t="s">
        <v>37</v>
      </c>
      <c r="M263" s="65" t="s">
        <v>3621</v>
      </c>
      <c r="N263" s="65" t="s">
        <v>3622</v>
      </c>
      <c r="O263" s="65" t="s">
        <v>3619</v>
      </c>
      <c r="P263" s="65" t="s">
        <v>3623</v>
      </c>
      <c r="Q263" s="65" t="s">
        <v>622</v>
      </c>
      <c r="R263">
        <v>1</v>
      </c>
      <c r="S263" s="65" t="s">
        <v>42</v>
      </c>
      <c r="T263" s="65" t="s">
        <v>44</v>
      </c>
      <c r="U263" s="65" t="s">
        <v>44</v>
      </c>
      <c r="V263" s="65" t="s">
        <v>45</v>
      </c>
      <c r="W263" s="65" t="s">
        <v>46</v>
      </c>
      <c r="X263">
        <v>12.71</v>
      </c>
      <c r="Y263" s="65" t="s">
        <v>619</v>
      </c>
      <c r="Z263" s="65" t="s">
        <v>48</v>
      </c>
      <c r="AA263" s="65" t="s">
        <v>49</v>
      </c>
      <c r="AC263" s="65"/>
    </row>
    <row r="264" spans="1:30" x14ac:dyDescent="0.3">
      <c r="A264" s="1">
        <v>46217</v>
      </c>
      <c r="B264" s="65" t="s">
        <v>3550</v>
      </c>
      <c r="C264" s="65" t="s">
        <v>3616</v>
      </c>
      <c r="D264" s="65" t="s">
        <v>29</v>
      </c>
      <c r="E264" s="65" t="s">
        <v>3617</v>
      </c>
      <c r="F264" s="65" t="s">
        <v>31</v>
      </c>
      <c r="G264" s="65" t="s">
        <v>3618</v>
      </c>
      <c r="H264" s="65" t="s">
        <v>3619</v>
      </c>
      <c r="I264" s="65" t="s">
        <v>3620</v>
      </c>
      <c r="J264" s="65" t="s">
        <v>774</v>
      </c>
      <c r="K264" s="65" t="s">
        <v>775</v>
      </c>
      <c r="L264" s="65" t="s">
        <v>37</v>
      </c>
      <c r="M264" s="65" t="s">
        <v>3621</v>
      </c>
      <c r="N264" s="65" t="s">
        <v>3622</v>
      </c>
      <c r="O264" s="65" t="s">
        <v>3619</v>
      </c>
      <c r="P264" s="65" t="s">
        <v>3623</v>
      </c>
      <c r="Q264" s="65" t="s">
        <v>833</v>
      </c>
      <c r="R264">
        <v>1</v>
      </c>
      <c r="S264" s="65" t="s">
        <v>42</v>
      </c>
      <c r="T264" s="65" t="s">
        <v>44</v>
      </c>
      <c r="U264" s="65" t="s">
        <v>44</v>
      </c>
      <c r="V264" s="65" t="s">
        <v>45</v>
      </c>
      <c r="W264" s="65" t="s">
        <v>46</v>
      </c>
      <c r="X264">
        <v>50.85</v>
      </c>
      <c r="Y264" s="65" t="s">
        <v>619</v>
      </c>
      <c r="Z264" s="65" t="s">
        <v>48</v>
      </c>
      <c r="AA264" s="65" t="s">
        <v>49</v>
      </c>
      <c r="AC264" s="65"/>
    </row>
    <row r="265" spans="1:30" x14ac:dyDescent="0.3">
      <c r="A265" s="1">
        <v>46217</v>
      </c>
      <c r="B265" s="65" t="s">
        <v>3550</v>
      </c>
      <c r="C265" s="65" t="s">
        <v>3624</v>
      </c>
      <c r="D265" s="65" t="s">
        <v>29</v>
      </c>
      <c r="E265" s="65" t="s">
        <v>3625</v>
      </c>
      <c r="F265" s="65" t="s">
        <v>31</v>
      </c>
      <c r="G265" s="65" t="s">
        <v>3626</v>
      </c>
      <c r="H265" s="65" t="s">
        <v>3619</v>
      </c>
      <c r="I265" s="65" t="s">
        <v>3620</v>
      </c>
      <c r="J265" s="65" t="s">
        <v>774</v>
      </c>
      <c r="K265" s="65" t="s">
        <v>775</v>
      </c>
      <c r="L265" s="65" t="s">
        <v>37</v>
      </c>
      <c r="M265" s="65" t="s">
        <v>3621</v>
      </c>
      <c r="N265" s="65" t="s">
        <v>3622</v>
      </c>
      <c r="O265" s="65" t="s">
        <v>3619</v>
      </c>
      <c r="P265" s="65" t="s">
        <v>3627</v>
      </c>
      <c r="Q265" s="65" t="s">
        <v>828</v>
      </c>
      <c r="R265">
        <v>1</v>
      </c>
      <c r="S265" s="65" t="s">
        <v>42</v>
      </c>
      <c r="T265" s="65" t="s">
        <v>44</v>
      </c>
      <c r="U265" s="65" t="s">
        <v>44</v>
      </c>
      <c r="V265" s="65" t="s">
        <v>45</v>
      </c>
      <c r="W265" s="65" t="s">
        <v>46</v>
      </c>
      <c r="X265">
        <v>127.12</v>
      </c>
      <c r="Y265" s="65" t="s">
        <v>47</v>
      </c>
      <c r="Z265" s="65" t="s">
        <v>48</v>
      </c>
      <c r="AA265" s="65" t="s">
        <v>49</v>
      </c>
      <c r="AC265" s="65"/>
    </row>
    <row r="266" spans="1:30" x14ac:dyDescent="0.3">
      <c r="A266" s="1">
        <v>46217</v>
      </c>
      <c r="B266" s="65" t="s">
        <v>3550</v>
      </c>
      <c r="C266" s="65" t="s">
        <v>3628</v>
      </c>
      <c r="D266" s="65" t="s">
        <v>29</v>
      </c>
      <c r="E266" s="65" t="s">
        <v>3629</v>
      </c>
      <c r="F266" s="65" t="s">
        <v>31</v>
      </c>
      <c r="G266" s="65" t="s">
        <v>3630</v>
      </c>
      <c r="H266" s="65" t="s">
        <v>3619</v>
      </c>
      <c r="I266" s="65" t="s">
        <v>3620</v>
      </c>
      <c r="J266" s="65" t="s">
        <v>774</v>
      </c>
      <c r="K266" s="65" t="s">
        <v>775</v>
      </c>
      <c r="L266" s="65" t="s">
        <v>37</v>
      </c>
      <c r="M266" s="65" t="s">
        <v>3621</v>
      </c>
      <c r="N266" s="65" t="s">
        <v>3622</v>
      </c>
      <c r="O266" s="65" t="s">
        <v>3619</v>
      </c>
      <c r="P266" s="65" t="s">
        <v>3631</v>
      </c>
      <c r="Q266" s="65" t="s">
        <v>641</v>
      </c>
      <c r="R266">
        <v>1</v>
      </c>
      <c r="S266" s="65" t="s">
        <v>42</v>
      </c>
      <c r="T266" s="65" t="s">
        <v>44</v>
      </c>
      <c r="U266" s="65" t="s">
        <v>44</v>
      </c>
      <c r="V266" s="65" t="s">
        <v>45</v>
      </c>
      <c r="W266" s="65" t="s">
        <v>46</v>
      </c>
      <c r="X266">
        <v>84.75</v>
      </c>
      <c r="Y266" s="65" t="s">
        <v>47</v>
      </c>
      <c r="Z266" s="65" t="s">
        <v>48</v>
      </c>
      <c r="AA266" s="65" t="s">
        <v>49</v>
      </c>
      <c r="AC266" s="65"/>
    </row>
    <row r="267" spans="1:30" x14ac:dyDescent="0.3">
      <c r="A267" s="1">
        <v>46217</v>
      </c>
      <c r="B267" s="65" t="s">
        <v>3550</v>
      </c>
      <c r="C267" s="65" t="s">
        <v>3632</v>
      </c>
      <c r="D267" s="65" t="s">
        <v>29</v>
      </c>
      <c r="E267" s="65" t="s">
        <v>340</v>
      </c>
      <c r="F267" s="65" t="s">
        <v>31</v>
      </c>
      <c r="G267" s="65" t="s">
        <v>341</v>
      </c>
      <c r="H267" s="65" t="s">
        <v>3633</v>
      </c>
      <c r="I267" s="65" t="s">
        <v>3634</v>
      </c>
      <c r="J267" s="65" t="s">
        <v>774</v>
      </c>
      <c r="K267" s="65" t="s">
        <v>775</v>
      </c>
      <c r="L267" s="65" t="s">
        <v>37</v>
      </c>
      <c r="M267" s="65" t="s">
        <v>3635</v>
      </c>
      <c r="N267" s="65" t="s">
        <v>3636</v>
      </c>
      <c r="O267" s="65" t="s">
        <v>3633</v>
      </c>
      <c r="P267" s="65" t="s">
        <v>3637</v>
      </c>
      <c r="Q267" s="65" t="s">
        <v>3638</v>
      </c>
      <c r="R267">
        <v>1</v>
      </c>
      <c r="S267" s="65" t="s">
        <v>42</v>
      </c>
      <c r="T267" s="65" t="s">
        <v>44</v>
      </c>
      <c r="U267" s="65" t="s">
        <v>44</v>
      </c>
      <c r="V267" s="65" t="s">
        <v>45</v>
      </c>
      <c r="W267" s="65" t="s">
        <v>3639</v>
      </c>
      <c r="X267">
        <v>84.75</v>
      </c>
      <c r="Y267" s="65" t="s">
        <v>3640</v>
      </c>
      <c r="Z267" s="65" t="s">
        <v>48</v>
      </c>
      <c r="AA267" s="65" t="s">
        <v>49</v>
      </c>
      <c r="AC267" s="65"/>
    </row>
    <row r="268" spans="1:30" x14ac:dyDescent="0.3">
      <c r="A268" s="1">
        <v>46217</v>
      </c>
      <c r="B268" s="65" t="s">
        <v>3550</v>
      </c>
      <c r="C268" s="65" t="s">
        <v>3641</v>
      </c>
      <c r="D268" s="65" t="s">
        <v>29</v>
      </c>
      <c r="E268" s="65" t="s">
        <v>3642</v>
      </c>
      <c r="F268" s="65" t="s">
        <v>31</v>
      </c>
      <c r="G268" s="65" t="s">
        <v>3643</v>
      </c>
      <c r="H268" s="65" t="s">
        <v>3644</v>
      </c>
      <c r="I268" s="65" t="s">
        <v>3645</v>
      </c>
      <c r="J268" s="65" t="s">
        <v>774</v>
      </c>
      <c r="K268" s="65" t="s">
        <v>775</v>
      </c>
      <c r="L268" s="65" t="s">
        <v>37</v>
      </c>
      <c r="M268" s="65" t="s">
        <v>3646</v>
      </c>
      <c r="N268" s="65" t="s">
        <v>3647</v>
      </c>
      <c r="O268" s="65" t="s">
        <v>3644</v>
      </c>
      <c r="P268" s="65" t="s">
        <v>3648</v>
      </c>
      <c r="Q268" s="65" t="s">
        <v>641</v>
      </c>
      <c r="R268">
        <v>1</v>
      </c>
      <c r="S268" s="65" t="s">
        <v>42</v>
      </c>
      <c r="T268" s="65" t="s">
        <v>44</v>
      </c>
      <c r="U268" s="65" t="s">
        <v>44</v>
      </c>
      <c r="V268" s="65" t="s">
        <v>45</v>
      </c>
      <c r="W268" s="65" t="s">
        <v>60</v>
      </c>
      <c r="X268">
        <v>84.75</v>
      </c>
      <c r="Y268" s="65" t="s">
        <v>47</v>
      </c>
      <c r="Z268" s="65" t="s">
        <v>48</v>
      </c>
      <c r="AA268" s="65" t="s">
        <v>49</v>
      </c>
      <c r="AC268" s="65"/>
    </row>
    <row r="269" spans="1:30" x14ac:dyDescent="0.3">
      <c r="A269" s="1">
        <v>46217</v>
      </c>
      <c r="B269" s="65" t="s">
        <v>3550</v>
      </c>
      <c r="C269" s="65" t="s">
        <v>3649</v>
      </c>
      <c r="D269" s="65" t="s">
        <v>268</v>
      </c>
      <c r="E269" s="65" t="s">
        <v>3650</v>
      </c>
      <c r="F269" s="65" t="s">
        <v>31</v>
      </c>
      <c r="G269" s="65" t="s">
        <v>3651</v>
      </c>
      <c r="H269" s="65" t="s">
        <v>3611</v>
      </c>
      <c r="I269" s="65" t="s">
        <v>3612</v>
      </c>
      <c r="J269" s="65" t="s">
        <v>774</v>
      </c>
      <c r="K269" s="65" t="s">
        <v>775</v>
      </c>
      <c r="L269" s="65" t="s">
        <v>37</v>
      </c>
      <c r="M269" s="65" t="s">
        <v>3613</v>
      </c>
      <c r="N269" s="65" t="s">
        <v>3614</v>
      </c>
      <c r="O269" s="65" t="s">
        <v>798</v>
      </c>
      <c r="P269" s="65" t="s">
        <v>3652</v>
      </c>
      <c r="Q269" s="65" t="s">
        <v>288</v>
      </c>
      <c r="R269">
        <v>1</v>
      </c>
      <c r="S269" s="65" t="s">
        <v>42</v>
      </c>
      <c r="T269" s="65" t="s">
        <v>44</v>
      </c>
      <c r="U269" s="65" t="s">
        <v>44</v>
      </c>
      <c r="V269" s="65" t="s">
        <v>45</v>
      </c>
      <c r="W269" s="65" t="s">
        <v>60</v>
      </c>
      <c r="X269">
        <v>0</v>
      </c>
      <c r="Y269" s="65" t="s">
        <v>289</v>
      </c>
      <c r="Z269" s="65" t="s">
        <v>48</v>
      </c>
      <c r="AA269" s="65" t="s">
        <v>49</v>
      </c>
      <c r="AC269" s="65"/>
    </row>
    <row r="270" spans="1:30" x14ac:dyDescent="0.3">
      <c r="A270" s="1">
        <v>46217</v>
      </c>
      <c r="B270" s="65" t="s">
        <v>3550</v>
      </c>
      <c r="C270" s="65" t="s">
        <v>3649</v>
      </c>
      <c r="D270" s="65" t="s">
        <v>268</v>
      </c>
      <c r="E270" s="65" t="s">
        <v>3650</v>
      </c>
      <c r="F270" s="65" t="s">
        <v>31</v>
      </c>
      <c r="G270" s="65" t="s">
        <v>3651</v>
      </c>
      <c r="H270" s="65" t="s">
        <v>3611</v>
      </c>
      <c r="I270" s="65" t="s">
        <v>3612</v>
      </c>
      <c r="J270" s="65" t="s">
        <v>774</v>
      </c>
      <c r="K270" s="65" t="s">
        <v>775</v>
      </c>
      <c r="L270" s="65" t="s">
        <v>37</v>
      </c>
      <c r="M270" s="65" t="s">
        <v>3613</v>
      </c>
      <c r="N270" s="65" t="s">
        <v>3614</v>
      </c>
      <c r="O270" s="65" t="s">
        <v>798</v>
      </c>
      <c r="P270" s="65" t="s">
        <v>3652</v>
      </c>
      <c r="Q270" s="65" t="s">
        <v>1620</v>
      </c>
      <c r="R270">
        <v>1</v>
      </c>
      <c r="S270" s="65" t="s">
        <v>42</v>
      </c>
      <c r="T270" s="65" t="s">
        <v>44</v>
      </c>
      <c r="U270" s="65" t="s">
        <v>44</v>
      </c>
      <c r="V270" s="65" t="s">
        <v>45</v>
      </c>
      <c r="W270" s="65" t="s">
        <v>60</v>
      </c>
      <c r="X270">
        <v>762.71</v>
      </c>
      <c r="Y270" s="65" t="s">
        <v>289</v>
      </c>
      <c r="Z270" s="65" t="s">
        <v>48</v>
      </c>
      <c r="AA270" s="65" t="s">
        <v>49</v>
      </c>
      <c r="AC270" s="65"/>
    </row>
    <row r="271" spans="1:30" x14ac:dyDescent="0.3">
      <c r="A271" s="1">
        <v>46217</v>
      </c>
      <c r="B271" s="65" t="s">
        <v>3550</v>
      </c>
      <c r="C271" s="65" t="s">
        <v>3653</v>
      </c>
      <c r="D271" s="65" t="s">
        <v>268</v>
      </c>
      <c r="E271" s="65" t="s">
        <v>3654</v>
      </c>
      <c r="F271" s="65" t="s">
        <v>31</v>
      </c>
      <c r="G271" s="65" t="s">
        <v>3655</v>
      </c>
      <c r="H271" s="65" t="s">
        <v>3633</v>
      </c>
      <c r="I271" s="65" t="s">
        <v>3634</v>
      </c>
      <c r="J271" s="65" t="s">
        <v>774</v>
      </c>
      <c r="K271" s="65" t="s">
        <v>775</v>
      </c>
      <c r="L271" s="65" t="s">
        <v>37</v>
      </c>
      <c r="M271" s="65" t="s">
        <v>3635</v>
      </c>
      <c r="N271" s="65" t="s">
        <v>3636</v>
      </c>
      <c r="O271" s="65" t="s">
        <v>798</v>
      </c>
      <c r="P271" s="65" t="s">
        <v>3656</v>
      </c>
      <c r="Q271" s="65" t="s">
        <v>288</v>
      </c>
      <c r="R271">
        <v>1</v>
      </c>
      <c r="S271" s="65" t="s">
        <v>42</v>
      </c>
      <c r="T271" s="65" t="s">
        <v>44</v>
      </c>
      <c r="U271" s="65" t="s">
        <v>44</v>
      </c>
      <c r="V271" s="65" t="s">
        <v>45</v>
      </c>
      <c r="W271" s="65" t="s">
        <v>60</v>
      </c>
      <c r="X271">
        <v>0</v>
      </c>
      <c r="Y271" s="65" t="s">
        <v>289</v>
      </c>
      <c r="Z271" s="65" t="s">
        <v>48</v>
      </c>
      <c r="AA271" s="65" t="s">
        <v>49</v>
      </c>
      <c r="AC271" s="65"/>
    </row>
    <row r="272" spans="1:30" x14ac:dyDescent="0.3">
      <c r="A272" s="1">
        <v>46217</v>
      </c>
      <c r="B272" s="65" t="s">
        <v>3550</v>
      </c>
      <c r="C272" s="65" t="s">
        <v>3653</v>
      </c>
      <c r="D272" s="65" t="s">
        <v>268</v>
      </c>
      <c r="E272" s="65" t="s">
        <v>3654</v>
      </c>
      <c r="F272" s="65" t="s">
        <v>31</v>
      </c>
      <c r="G272" s="65" t="s">
        <v>3655</v>
      </c>
      <c r="H272" s="65" t="s">
        <v>3633</v>
      </c>
      <c r="I272" s="65" t="s">
        <v>3634</v>
      </c>
      <c r="J272" s="65" t="s">
        <v>774</v>
      </c>
      <c r="K272" s="65" t="s">
        <v>775</v>
      </c>
      <c r="L272" s="65" t="s">
        <v>37</v>
      </c>
      <c r="M272" s="65" t="s">
        <v>3635</v>
      </c>
      <c r="N272" s="65" t="s">
        <v>3636</v>
      </c>
      <c r="O272" s="65" t="s">
        <v>798</v>
      </c>
      <c r="P272" s="65" t="s">
        <v>3656</v>
      </c>
      <c r="Q272" s="65" t="s">
        <v>1620</v>
      </c>
      <c r="R272">
        <v>1</v>
      </c>
      <c r="S272" s="65" t="s">
        <v>42</v>
      </c>
      <c r="T272" s="65" t="s">
        <v>44</v>
      </c>
      <c r="U272" s="65" t="s">
        <v>44</v>
      </c>
      <c r="V272" s="65" t="s">
        <v>45</v>
      </c>
      <c r="W272" s="65" t="s">
        <v>60</v>
      </c>
      <c r="X272">
        <v>1525.42</v>
      </c>
      <c r="Y272" s="65" t="s">
        <v>289</v>
      </c>
      <c r="Z272" s="65" t="s">
        <v>48</v>
      </c>
      <c r="AA272" s="65" t="s">
        <v>49</v>
      </c>
      <c r="AC272" s="65"/>
    </row>
    <row r="273" spans="1:30" x14ac:dyDescent="0.3">
      <c r="A273" s="1">
        <v>46217</v>
      </c>
      <c r="B273" s="65" t="s">
        <v>3550</v>
      </c>
      <c r="C273" s="65" t="s">
        <v>3657</v>
      </c>
      <c r="D273" s="65" t="s">
        <v>268</v>
      </c>
      <c r="E273" s="65" t="s">
        <v>3658</v>
      </c>
      <c r="F273" s="65" t="s">
        <v>31</v>
      </c>
      <c r="G273" s="65" t="s">
        <v>3659</v>
      </c>
      <c r="H273" s="65" t="s">
        <v>3644</v>
      </c>
      <c r="I273" s="65" t="s">
        <v>3645</v>
      </c>
      <c r="J273" s="65" t="s">
        <v>774</v>
      </c>
      <c r="K273" s="65" t="s">
        <v>775</v>
      </c>
      <c r="L273" s="65" t="s">
        <v>37</v>
      </c>
      <c r="M273" s="65" t="s">
        <v>3646</v>
      </c>
      <c r="N273" s="65" t="s">
        <v>3647</v>
      </c>
      <c r="O273" s="65" t="s">
        <v>798</v>
      </c>
      <c r="P273" s="65" t="s">
        <v>3660</v>
      </c>
      <c r="Q273" s="65" t="s">
        <v>288</v>
      </c>
      <c r="R273">
        <v>1</v>
      </c>
      <c r="S273" s="65" t="s">
        <v>42</v>
      </c>
      <c r="T273" s="65" t="s">
        <v>44</v>
      </c>
      <c r="U273" s="65" t="s">
        <v>44</v>
      </c>
      <c r="V273" s="65" t="s">
        <v>45</v>
      </c>
      <c r="W273" s="65" t="s">
        <v>60</v>
      </c>
      <c r="X273">
        <v>0</v>
      </c>
      <c r="Y273" s="65" t="s">
        <v>289</v>
      </c>
      <c r="Z273" s="65" t="s">
        <v>48</v>
      </c>
      <c r="AA273" s="65" t="s">
        <v>49</v>
      </c>
      <c r="AC273" s="65"/>
    </row>
    <row r="274" spans="1:30" x14ac:dyDescent="0.3">
      <c r="A274" s="1">
        <v>46217</v>
      </c>
      <c r="B274" s="65" t="s">
        <v>3550</v>
      </c>
      <c r="C274" s="65" t="s">
        <v>3657</v>
      </c>
      <c r="D274" s="65" t="s">
        <v>268</v>
      </c>
      <c r="E274" s="65" t="s">
        <v>3658</v>
      </c>
      <c r="F274" s="65" t="s">
        <v>31</v>
      </c>
      <c r="G274" s="65" t="s">
        <v>3659</v>
      </c>
      <c r="H274" s="65" t="s">
        <v>3644</v>
      </c>
      <c r="I274" s="65" t="s">
        <v>3645</v>
      </c>
      <c r="J274" s="65" t="s">
        <v>774</v>
      </c>
      <c r="K274" s="65" t="s">
        <v>775</v>
      </c>
      <c r="L274" s="65" t="s">
        <v>37</v>
      </c>
      <c r="M274" s="65" t="s">
        <v>3646</v>
      </c>
      <c r="N274" s="65" t="s">
        <v>3647</v>
      </c>
      <c r="O274" s="65" t="s">
        <v>798</v>
      </c>
      <c r="P274" s="65" t="s">
        <v>3660</v>
      </c>
      <c r="Q274" s="65" t="s">
        <v>1620</v>
      </c>
      <c r="R274">
        <v>1</v>
      </c>
      <c r="S274" s="65" t="s">
        <v>42</v>
      </c>
      <c r="T274" s="65" t="s">
        <v>44</v>
      </c>
      <c r="U274" s="65" t="s">
        <v>44</v>
      </c>
      <c r="V274" s="65" t="s">
        <v>45</v>
      </c>
      <c r="W274" s="65" t="s">
        <v>60</v>
      </c>
      <c r="X274">
        <v>762.71</v>
      </c>
      <c r="Y274" s="65" t="s">
        <v>289</v>
      </c>
      <c r="Z274" s="65" t="s">
        <v>48</v>
      </c>
      <c r="AA274" s="65" t="s">
        <v>49</v>
      </c>
      <c r="AC274" s="65"/>
    </row>
    <row r="275" spans="1:30" x14ac:dyDescent="0.3">
      <c r="A275" s="1">
        <v>46217</v>
      </c>
      <c r="B275" s="65" t="s">
        <v>3550</v>
      </c>
      <c r="C275" s="65" t="s">
        <v>3661</v>
      </c>
      <c r="D275" s="65" t="s">
        <v>29</v>
      </c>
      <c r="E275" s="65" t="s">
        <v>3662</v>
      </c>
      <c r="F275" s="65" t="s">
        <v>31</v>
      </c>
      <c r="G275" s="65" t="s">
        <v>3663</v>
      </c>
      <c r="H275" s="65" t="s">
        <v>3633</v>
      </c>
      <c r="I275" s="65" t="s">
        <v>3634</v>
      </c>
      <c r="J275" s="65" t="s">
        <v>774</v>
      </c>
      <c r="K275" s="65" t="s">
        <v>775</v>
      </c>
      <c r="L275" s="65" t="s">
        <v>37</v>
      </c>
      <c r="M275" s="65" t="s">
        <v>3635</v>
      </c>
      <c r="N275" s="65" t="s">
        <v>3636</v>
      </c>
      <c r="O275" s="65" t="s">
        <v>3633</v>
      </c>
      <c r="P275" s="65" t="s">
        <v>3664</v>
      </c>
      <c r="Q275" s="65" t="s">
        <v>641</v>
      </c>
      <c r="R275">
        <v>1</v>
      </c>
      <c r="S275" s="65" t="s">
        <v>42</v>
      </c>
      <c r="T275" s="65" t="s">
        <v>44</v>
      </c>
      <c r="U275" s="65" t="s">
        <v>44</v>
      </c>
      <c r="V275" s="65" t="s">
        <v>45</v>
      </c>
      <c r="W275" s="65" t="s">
        <v>60</v>
      </c>
      <c r="X275">
        <v>84.75</v>
      </c>
      <c r="Y275" s="65" t="s">
        <v>47</v>
      </c>
      <c r="Z275" s="65" t="s">
        <v>48</v>
      </c>
      <c r="AA275" s="65" t="s">
        <v>49</v>
      </c>
      <c r="AC275" s="65"/>
    </row>
    <row r="276" spans="1:30" x14ac:dyDescent="0.3">
      <c r="A276" s="1">
        <v>46218</v>
      </c>
      <c r="B276" s="65" t="s">
        <v>3550</v>
      </c>
      <c r="C276" s="65" t="s">
        <v>3665</v>
      </c>
      <c r="D276" s="65" t="s">
        <v>268</v>
      </c>
      <c r="E276" s="65" t="s">
        <v>3666</v>
      </c>
      <c r="F276" s="65" t="s">
        <v>31</v>
      </c>
      <c r="G276" s="65" t="s">
        <v>3667</v>
      </c>
      <c r="H276" s="65" t="s">
        <v>2193</v>
      </c>
      <c r="I276" s="65" t="s">
        <v>2194</v>
      </c>
      <c r="J276" s="65" t="s">
        <v>273</v>
      </c>
      <c r="K276" s="65" t="s">
        <v>274</v>
      </c>
      <c r="L276" s="65" t="s">
        <v>37</v>
      </c>
      <c r="M276" s="65" t="s">
        <v>2195</v>
      </c>
      <c r="N276" s="65" t="s">
        <v>2196</v>
      </c>
      <c r="O276" s="65" t="s">
        <v>277</v>
      </c>
      <c r="P276" s="65" t="s">
        <v>3668</v>
      </c>
      <c r="Q276" s="65" t="s">
        <v>201</v>
      </c>
      <c r="R276">
        <v>1</v>
      </c>
      <c r="S276" s="65" t="s">
        <v>42</v>
      </c>
      <c r="T276" s="65" t="s">
        <v>44</v>
      </c>
      <c r="U276" s="65" t="s">
        <v>44</v>
      </c>
      <c r="V276" s="65" t="s">
        <v>45</v>
      </c>
      <c r="W276" s="65" t="s">
        <v>46</v>
      </c>
      <c r="X276">
        <v>152.54</v>
      </c>
      <c r="Y276" s="65" t="s">
        <v>47</v>
      </c>
      <c r="Z276" s="65" t="s">
        <v>48</v>
      </c>
      <c r="AA276" s="65" t="s">
        <v>49</v>
      </c>
      <c r="AB276">
        <v>950133748</v>
      </c>
      <c r="AC276" s="65" t="s">
        <v>279</v>
      </c>
      <c r="AD276">
        <v>30</v>
      </c>
    </row>
    <row r="277" spans="1:30" x14ac:dyDescent="0.3">
      <c r="A277" s="1">
        <v>46219</v>
      </c>
      <c r="B277" s="65" t="s">
        <v>3550</v>
      </c>
      <c r="C277" s="65" t="s">
        <v>3669</v>
      </c>
      <c r="D277" s="65" t="s">
        <v>29</v>
      </c>
      <c r="E277" s="65" t="s">
        <v>3670</v>
      </c>
      <c r="F277" s="65" t="s">
        <v>31</v>
      </c>
      <c r="G277" s="65" t="s">
        <v>3671</v>
      </c>
      <c r="H277" s="65" t="s">
        <v>3672</v>
      </c>
      <c r="I277" s="65" t="s">
        <v>3673</v>
      </c>
      <c r="J277" s="65" t="s">
        <v>411</v>
      </c>
      <c r="K277" s="65" t="s">
        <v>412</v>
      </c>
      <c r="L277" s="65" t="s">
        <v>37</v>
      </c>
      <c r="M277" s="65" t="s">
        <v>3674</v>
      </c>
      <c r="N277" s="65" t="s">
        <v>3675</v>
      </c>
      <c r="O277" s="65" t="s">
        <v>3672</v>
      </c>
      <c r="P277" s="65" t="s">
        <v>3676</v>
      </c>
      <c r="Q277" s="65" t="s">
        <v>159</v>
      </c>
      <c r="R277">
        <v>1</v>
      </c>
      <c r="S277" s="65" t="s">
        <v>42</v>
      </c>
      <c r="T277" s="65" t="s">
        <v>44</v>
      </c>
      <c r="U277" s="65" t="s">
        <v>44</v>
      </c>
      <c r="V277" s="65" t="s">
        <v>45</v>
      </c>
      <c r="W277" s="65" t="s">
        <v>46</v>
      </c>
      <c r="X277">
        <v>135.59</v>
      </c>
      <c r="Y277" s="65" t="s">
        <v>47</v>
      </c>
      <c r="Z277" s="65" t="s">
        <v>48</v>
      </c>
      <c r="AA277" s="65" t="s">
        <v>49</v>
      </c>
      <c r="AB277">
        <v>982673362</v>
      </c>
      <c r="AC277" s="65" t="s">
        <v>416</v>
      </c>
      <c r="AD277">
        <v>30</v>
      </c>
    </row>
    <row r="278" spans="1:30" x14ac:dyDescent="0.3">
      <c r="A278" s="1">
        <v>46219</v>
      </c>
      <c r="B278" s="65" t="s">
        <v>3550</v>
      </c>
      <c r="C278" s="65" t="s">
        <v>3677</v>
      </c>
      <c r="D278" s="65" t="s">
        <v>29</v>
      </c>
      <c r="E278" s="65" t="s">
        <v>3678</v>
      </c>
      <c r="F278" s="65" t="s">
        <v>31</v>
      </c>
      <c r="G278" s="65" t="s">
        <v>3679</v>
      </c>
      <c r="H278" s="65" t="s">
        <v>3680</v>
      </c>
      <c r="I278" s="65" t="s">
        <v>3681</v>
      </c>
      <c r="J278" s="65" t="s">
        <v>2024</v>
      </c>
      <c r="K278" s="65" t="s">
        <v>2025</v>
      </c>
      <c r="L278" s="65" t="s">
        <v>37</v>
      </c>
      <c r="M278" s="65" t="s">
        <v>3682</v>
      </c>
      <c r="N278" s="65" t="s">
        <v>3683</v>
      </c>
      <c r="O278" s="65" t="s">
        <v>3680</v>
      </c>
      <c r="P278" s="65" t="s">
        <v>3684</v>
      </c>
      <c r="Q278" s="65" t="s">
        <v>101</v>
      </c>
      <c r="R278">
        <v>1</v>
      </c>
      <c r="S278" s="65" t="s">
        <v>42</v>
      </c>
      <c r="T278" s="65" t="s">
        <v>44</v>
      </c>
      <c r="U278" s="65" t="s">
        <v>44</v>
      </c>
      <c r="V278" s="65" t="s">
        <v>45</v>
      </c>
      <c r="W278" s="65" t="s">
        <v>46</v>
      </c>
      <c r="X278">
        <v>186.44</v>
      </c>
      <c r="Y278" s="65" t="s">
        <v>47</v>
      </c>
      <c r="Z278" s="65" t="s">
        <v>48</v>
      </c>
      <c r="AA278" s="65" t="s">
        <v>49</v>
      </c>
      <c r="AB278">
        <v>986661693</v>
      </c>
      <c r="AC278" s="65" t="s">
        <v>2029</v>
      </c>
      <c r="AD278">
        <v>50</v>
      </c>
    </row>
    <row r="279" spans="1:30" x14ac:dyDescent="0.3">
      <c r="A279" s="1">
        <v>46219</v>
      </c>
      <c r="B279" s="65" t="s">
        <v>3550</v>
      </c>
      <c r="C279" s="65" t="s">
        <v>3685</v>
      </c>
      <c r="D279" s="65" t="s">
        <v>29</v>
      </c>
      <c r="E279" s="65" t="s">
        <v>3686</v>
      </c>
      <c r="F279" s="65" t="s">
        <v>31</v>
      </c>
      <c r="G279" s="65" t="s">
        <v>3687</v>
      </c>
      <c r="H279" s="65" t="s">
        <v>3688</v>
      </c>
      <c r="I279" s="65" t="s">
        <v>3689</v>
      </c>
      <c r="J279" s="65" t="s">
        <v>1073</v>
      </c>
      <c r="K279" s="65" t="s">
        <v>97</v>
      </c>
      <c r="L279" s="65" t="s">
        <v>37</v>
      </c>
      <c r="M279" s="65" t="s">
        <v>3690</v>
      </c>
      <c r="N279" s="65" t="s">
        <v>3691</v>
      </c>
      <c r="O279" s="65" t="s">
        <v>3688</v>
      </c>
      <c r="P279" s="65" t="s">
        <v>3692</v>
      </c>
      <c r="Q279" s="65" t="s">
        <v>90</v>
      </c>
      <c r="R279">
        <v>1</v>
      </c>
      <c r="S279" s="65" t="s">
        <v>70</v>
      </c>
      <c r="T279" s="65" t="s">
        <v>43</v>
      </c>
      <c r="U279" s="65" t="s">
        <v>44</v>
      </c>
      <c r="V279" s="65" t="s">
        <v>71</v>
      </c>
      <c r="W279" s="65" t="s">
        <v>72</v>
      </c>
      <c r="X279">
        <v>135.59</v>
      </c>
      <c r="Y279" s="65" t="s">
        <v>47</v>
      </c>
      <c r="Z279" s="65" t="s">
        <v>48</v>
      </c>
      <c r="AA279" s="65" t="s">
        <v>73</v>
      </c>
      <c r="AB279">
        <v>999986041</v>
      </c>
      <c r="AC279" s="65" t="s">
        <v>1077</v>
      </c>
      <c r="AD279">
        <v>30</v>
      </c>
    </row>
    <row r="280" spans="1:30" x14ac:dyDescent="0.3">
      <c r="A280" s="1">
        <v>46219</v>
      </c>
      <c r="B280" s="65" t="s">
        <v>3550</v>
      </c>
      <c r="C280" s="65" t="s">
        <v>3693</v>
      </c>
      <c r="D280" s="65" t="s">
        <v>268</v>
      </c>
      <c r="E280" s="65" t="s">
        <v>3694</v>
      </c>
      <c r="F280" s="65" t="s">
        <v>31</v>
      </c>
      <c r="G280" s="65" t="s">
        <v>3695</v>
      </c>
      <c r="H280" s="65" t="s">
        <v>3696</v>
      </c>
      <c r="I280" s="65" t="s">
        <v>3697</v>
      </c>
      <c r="J280" s="65" t="s">
        <v>2226</v>
      </c>
      <c r="K280" s="65" t="s">
        <v>36</v>
      </c>
      <c r="L280" s="65" t="s">
        <v>37</v>
      </c>
      <c r="M280" s="65" t="s">
        <v>3698</v>
      </c>
      <c r="N280" s="65" t="s">
        <v>3699</v>
      </c>
      <c r="O280" s="65" t="s">
        <v>2226</v>
      </c>
      <c r="P280" s="65" t="s">
        <v>3700</v>
      </c>
      <c r="Q280" s="65" t="s">
        <v>481</v>
      </c>
      <c r="R280">
        <v>2</v>
      </c>
      <c r="S280" s="65" t="s">
        <v>42</v>
      </c>
      <c r="T280" s="65" t="s">
        <v>44</v>
      </c>
      <c r="U280" s="65" t="s">
        <v>44</v>
      </c>
      <c r="V280" s="65" t="s">
        <v>45</v>
      </c>
      <c r="W280" s="65" t="s">
        <v>46</v>
      </c>
      <c r="X280">
        <v>203.39</v>
      </c>
      <c r="Y280" s="65" t="s">
        <v>61</v>
      </c>
      <c r="Z280" s="65" t="s">
        <v>48</v>
      </c>
      <c r="AA280" s="65" t="s">
        <v>49</v>
      </c>
      <c r="AC280" s="65"/>
    </row>
    <row r="281" spans="1:30" x14ac:dyDescent="0.3">
      <c r="A281" s="1">
        <v>46220</v>
      </c>
      <c r="B281" s="65" t="s">
        <v>3550</v>
      </c>
      <c r="C281" s="65" t="s">
        <v>3701</v>
      </c>
      <c r="D281" s="65" t="s">
        <v>29</v>
      </c>
      <c r="E281" s="65" t="s">
        <v>3702</v>
      </c>
      <c r="F281" s="65" t="s">
        <v>31</v>
      </c>
      <c r="G281" s="65" t="s">
        <v>3703</v>
      </c>
      <c r="H281" s="65" t="s">
        <v>3704</v>
      </c>
      <c r="I281" s="65" t="s">
        <v>3705</v>
      </c>
      <c r="J281" s="65"/>
      <c r="K281" s="65"/>
      <c r="L281" s="65" t="s">
        <v>37</v>
      </c>
      <c r="M281" s="65" t="s">
        <v>3706</v>
      </c>
      <c r="N281" s="65" t="s">
        <v>3707</v>
      </c>
      <c r="O281" s="65" t="s">
        <v>3704</v>
      </c>
      <c r="P281" s="65" t="s">
        <v>3708</v>
      </c>
      <c r="Q281" s="65" t="s">
        <v>90</v>
      </c>
      <c r="R281">
        <v>1</v>
      </c>
      <c r="S281" s="65" t="s">
        <v>42</v>
      </c>
      <c r="T281" s="65" t="s">
        <v>44</v>
      </c>
      <c r="U281" s="65" t="s">
        <v>44</v>
      </c>
      <c r="V281" s="65" t="s">
        <v>45</v>
      </c>
      <c r="W281" s="65" t="s">
        <v>60</v>
      </c>
      <c r="X281">
        <v>135.59</v>
      </c>
      <c r="Y281" s="65" t="s">
        <v>47</v>
      </c>
      <c r="Z281" s="65" t="s">
        <v>48</v>
      </c>
      <c r="AA281" s="65" t="s">
        <v>49</v>
      </c>
      <c r="AC281" s="65"/>
      <c r="AD281">
        <v>30</v>
      </c>
    </row>
    <row r="282" spans="1:30" x14ac:dyDescent="0.3">
      <c r="A282" s="1">
        <v>46221</v>
      </c>
      <c r="B282" s="65" t="s">
        <v>3550</v>
      </c>
      <c r="C282" s="65" t="s">
        <v>3709</v>
      </c>
      <c r="D282" s="65" t="s">
        <v>29</v>
      </c>
      <c r="E282" s="65" t="s">
        <v>3710</v>
      </c>
      <c r="F282" s="65" t="s">
        <v>31</v>
      </c>
      <c r="G282" s="65" t="s">
        <v>3711</v>
      </c>
      <c r="H282" s="65" t="s">
        <v>3712</v>
      </c>
      <c r="I282" s="65" t="s">
        <v>3713</v>
      </c>
      <c r="J282" s="65" t="s">
        <v>3034</v>
      </c>
      <c r="K282" s="65" t="s">
        <v>3037</v>
      </c>
      <c r="L282" s="65" t="s">
        <v>37</v>
      </c>
      <c r="M282" s="65" t="s">
        <v>3714</v>
      </c>
      <c r="N282" s="65" t="s">
        <v>3715</v>
      </c>
      <c r="O282" s="65" t="s">
        <v>3712</v>
      </c>
      <c r="P282" s="65" t="s">
        <v>3716</v>
      </c>
      <c r="Q282" s="65" t="s">
        <v>130</v>
      </c>
      <c r="R282">
        <v>1</v>
      </c>
      <c r="S282" s="65" t="s">
        <v>42</v>
      </c>
      <c r="T282" s="65" t="s">
        <v>44</v>
      </c>
      <c r="U282" s="65" t="s">
        <v>44</v>
      </c>
      <c r="V282" s="65" t="s">
        <v>45</v>
      </c>
      <c r="W282" s="65" t="s">
        <v>60</v>
      </c>
      <c r="X282">
        <v>152.54</v>
      </c>
      <c r="Y282" s="65" t="s">
        <v>47</v>
      </c>
      <c r="Z282" s="65" t="s">
        <v>48</v>
      </c>
      <c r="AA282" s="65" t="s">
        <v>49</v>
      </c>
      <c r="AB282">
        <v>940621858</v>
      </c>
      <c r="AC282" s="65" t="s">
        <v>3035</v>
      </c>
      <c r="AD282">
        <v>30</v>
      </c>
    </row>
    <row r="283" spans="1:30" x14ac:dyDescent="0.3">
      <c r="A283" s="1">
        <v>46221</v>
      </c>
      <c r="B283" s="65" t="s">
        <v>3550</v>
      </c>
      <c r="C283" s="65" t="s">
        <v>3709</v>
      </c>
      <c r="D283" s="65" t="s">
        <v>29</v>
      </c>
      <c r="E283" s="65" t="s">
        <v>3710</v>
      </c>
      <c r="F283" s="65" t="s">
        <v>31</v>
      </c>
      <c r="G283" s="65" t="s">
        <v>3711</v>
      </c>
      <c r="H283" s="65" t="s">
        <v>3712</v>
      </c>
      <c r="I283" s="65" t="s">
        <v>3713</v>
      </c>
      <c r="J283" s="65" t="s">
        <v>3034</v>
      </c>
      <c r="K283" s="65" t="s">
        <v>3037</v>
      </c>
      <c r="L283" s="65" t="s">
        <v>37</v>
      </c>
      <c r="M283" s="65" t="s">
        <v>3714</v>
      </c>
      <c r="N283" s="65" t="s">
        <v>3715</v>
      </c>
      <c r="O283" s="65" t="s">
        <v>3712</v>
      </c>
      <c r="P283" s="65" t="s">
        <v>3716</v>
      </c>
      <c r="Q283" s="65" t="s">
        <v>202</v>
      </c>
      <c r="R283">
        <v>1</v>
      </c>
      <c r="S283" s="65" t="s">
        <v>42</v>
      </c>
      <c r="T283" s="65" t="s">
        <v>44</v>
      </c>
      <c r="U283" s="65" t="s">
        <v>44</v>
      </c>
      <c r="V283" s="65" t="s">
        <v>45</v>
      </c>
      <c r="W283" s="65" t="s">
        <v>60</v>
      </c>
      <c r="X283">
        <v>135.59</v>
      </c>
      <c r="Y283" s="65" t="s">
        <v>47</v>
      </c>
      <c r="Z283" s="65" t="s">
        <v>48</v>
      </c>
      <c r="AA283" s="65" t="s">
        <v>49</v>
      </c>
      <c r="AB283">
        <v>940621858</v>
      </c>
      <c r="AC283" s="65" t="s">
        <v>3035</v>
      </c>
      <c r="AD283">
        <v>30</v>
      </c>
    </row>
    <row r="284" spans="1:30" x14ac:dyDescent="0.3">
      <c r="A284" s="1">
        <v>46223</v>
      </c>
      <c r="B284" s="65" t="s">
        <v>3550</v>
      </c>
      <c r="C284" s="65" t="s">
        <v>3717</v>
      </c>
      <c r="D284" s="65" t="s">
        <v>29</v>
      </c>
      <c r="E284" s="65" t="s">
        <v>3718</v>
      </c>
      <c r="F284" s="65" t="s">
        <v>31</v>
      </c>
      <c r="G284" s="65" t="s">
        <v>3719</v>
      </c>
      <c r="H284" s="65" t="s">
        <v>3720</v>
      </c>
      <c r="I284" s="65" t="s">
        <v>3721</v>
      </c>
      <c r="J284" s="65" t="s">
        <v>434</v>
      </c>
      <c r="K284" s="65" t="s">
        <v>435</v>
      </c>
      <c r="L284" s="65" t="s">
        <v>37</v>
      </c>
      <c r="M284" s="65" t="s">
        <v>3722</v>
      </c>
      <c r="N284" s="65" t="s">
        <v>3723</v>
      </c>
      <c r="O284" s="65" t="s">
        <v>3720</v>
      </c>
      <c r="P284" s="65" t="s">
        <v>3724</v>
      </c>
      <c r="Q284" s="65" t="s">
        <v>41</v>
      </c>
      <c r="R284">
        <v>1</v>
      </c>
      <c r="S284" s="65" t="s">
        <v>70</v>
      </c>
      <c r="T284" s="65" t="s">
        <v>43</v>
      </c>
      <c r="U284" s="65" t="s">
        <v>44</v>
      </c>
      <c r="V284" s="65" t="s">
        <v>71</v>
      </c>
      <c r="W284" s="65" t="s">
        <v>72</v>
      </c>
      <c r="X284">
        <v>186.44</v>
      </c>
      <c r="Y284" s="65" t="s">
        <v>47</v>
      </c>
      <c r="Z284" s="65" t="s">
        <v>48</v>
      </c>
      <c r="AA284" s="65" t="s">
        <v>73</v>
      </c>
      <c r="AB284">
        <v>992903716</v>
      </c>
      <c r="AC284" s="65" t="s">
        <v>439</v>
      </c>
      <c r="AD284">
        <v>50</v>
      </c>
    </row>
    <row r="285" spans="1:30" x14ac:dyDescent="0.3">
      <c r="A285" s="1">
        <v>46223</v>
      </c>
      <c r="B285" s="65" t="s">
        <v>3550</v>
      </c>
      <c r="C285" s="65" t="s">
        <v>3725</v>
      </c>
      <c r="D285" s="65" t="s">
        <v>29</v>
      </c>
      <c r="E285" s="65" t="s">
        <v>3726</v>
      </c>
      <c r="F285" s="65" t="s">
        <v>31</v>
      </c>
      <c r="G285" s="65" t="s">
        <v>3727</v>
      </c>
      <c r="H285" s="65" t="s">
        <v>3728</v>
      </c>
      <c r="I285" s="65" t="s">
        <v>3729</v>
      </c>
      <c r="J285" s="65" t="s">
        <v>704</v>
      </c>
      <c r="K285" s="65" t="s">
        <v>705</v>
      </c>
      <c r="L285" s="65" t="s">
        <v>37</v>
      </c>
      <c r="M285" s="65" t="s">
        <v>3730</v>
      </c>
      <c r="N285" s="65" t="s">
        <v>3731</v>
      </c>
      <c r="O285" s="65" t="s">
        <v>3728</v>
      </c>
      <c r="P285" s="65" t="s">
        <v>3732</v>
      </c>
      <c r="Q285" s="65" t="s">
        <v>159</v>
      </c>
      <c r="R285">
        <v>1</v>
      </c>
      <c r="S285" s="65" t="s">
        <v>42</v>
      </c>
      <c r="T285" s="65" t="s">
        <v>44</v>
      </c>
      <c r="U285" s="65" t="s">
        <v>44</v>
      </c>
      <c r="V285" s="65" t="s">
        <v>45</v>
      </c>
      <c r="W285" s="65" t="s">
        <v>46</v>
      </c>
      <c r="X285">
        <v>135.59</v>
      </c>
      <c r="Y285" s="65" t="s">
        <v>47</v>
      </c>
      <c r="Z285" s="65" t="s">
        <v>48</v>
      </c>
      <c r="AA285" s="65" t="s">
        <v>49</v>
      </c>
      <c r="AB285">
        <v>998418895</v>
      </c>
      <c r="AC285" s="65" t="s">
        <v>709</v>
      </c>
      <c r="AD285">
        <v>30</v>
      </c>
    </row>
    <row r="286" spans="1:30" x14ac:dyDescent="0.3">
      <c r="A286" s="1">
        <v>46223</v>
      </c>
      <c r="B286" s="65" t="s">
        <v>3550</v>
      </c>
      <c r="C286" s="65" t="s">
        <v>3725</v>
      </c>
      <c r="D286" s="65" t="s">
        <v>29</v>
      </c>
      <c r="E286" s="65" t="s">
        <v>3726</v>
      </c>
      <c r="F286" s="65" t="s">
        <v>31</v>
      </c>
      <c r="G286" s="65" t="s">
        <v>3727</v>
      </c>
      <c r="H286" s="65" t="s">
        <v>3728</v>
      </c>
      <c r="I286" s="65" t="s">
        <v>3729</v>
      </c>
      <c r="J286" s="65" t="s">
        <v>704</v>
      </c>
      <c r="K286" s="65" t="s">
        <v>705</v>
      </c>
      <c r="L286" s="65" t="s">
        <v>37</v>
      </c>
      <c r="M286" s="65" t="s">
        <v>3730</v>
      </c>
      <c r="N286" s="65" t="s">
        <v>3731</v>
      </c>
      <c r="O286" s="65" t="s">
        <v>3728</v>
      </c>
      <c r="P286" s="65" t="s">
        <v>3732</v>
      </c>
      <c r="Q286" s="65" t="s">
        <v>158</v>
      </c>
      <c r="R286">
        <v>1</v>
      </c>
      <c r="S286" s="65" t="s">
        <v>42</v>
      </c>
      <c r="T286" s="65" t="s">
        <v>44</v>
      </c>
      <c r="U286" s="65" t="s">
        <v>44</v>
      </c>
      <c r="V286" s="65" t="s">
        <v>45</v>
      </c>
      <c r="W286" s="65" t="s">
        <v>46</v>
      </c>
      <c r="X286">
        <v>152.54</v>
      </c>
      <c r="Y286" s="65" t="s">
        <v>47</v>
      </c>
      <c r="Z286" s="65" t="s">
        <v>48</v>
      </c>
      <c r="AA286" s="65" t="s">
        <v>49</v>
      </c>
      <c r="AB286">
        <v>998418895</v>
      </c>
      <c r="AC286" s="65" t="s">
        <v>709</v>
      </c>
      <c r="AD286">
        <v>30</v>
      </c>
    </row>
    <row r="287" spans="1:30" x14ac:dyDescent="0.3">
      <c r="A287" s="1">
        <v>46223</v>
      </c>
      <c r="B287" s="65" t="s">
        <v>3550</v>
      </c>
      <c r="C287" s="65" t="s">
        <v>3725</v>
      </c>
      <c r="D287" s="65" t="s">
        <v>29</v>
      </c>
      <c r="E287" s="65" t="s">
        <v>3726</v>
      </c>
      <c r="F287" s="65" t="s">
        <v>31</v>
      </c>
      <c r="G287" s="65" t="s">
        <v>3727</v>
      </c>
      <c r="H287" s="65" t="s">
        <v>3728</v>
      </c>
      <c r="I287" s="65" t="s">
        <v>3729</v>
      </c>
      <c r="J287" s="65" t="s">
        <v>704</v>
      </c>
      <c r="K287" s="65" t="s">
        <v>705</v>
      </c>
      <c r="L287" s="65" t="s">
        <v>37</v>
      </c>
      <c r="M287" s="65" t="s">
        <v>3730</v>
      </c>
      <c r="N287" s="65" t="s">
        <v>3731</v>
      </c>
      <c r="O287" s="65" t="s">
        <v>3728</v>
      </c>
      <c r="P287" s="65" t="s">
        <v>3732</v>
      </c>
      <c r="Q287" s="65" t="s">
        <v>101</v>
      </c>
      <c r="R287">
        <v>1</v>
      </c>
      <c r="S287" s="65" t="s">
        <v>42</v>
      </c>
      <c r="T287" s="65" t="s">
        <v>44</v>
      </c>
      <c r="U287" s="65" t="s">
        <v>44</v>
      </c>
      <c r="V287" s="65" t="s">
        <v>45</v>
      </c>
      <c r="W287" s="65" t="s">
        <v>46</v>
      </c>
      <c r="X287">
        <v>186.44</v>
      </c>
      <c r="Y287" s="65" t="s">
        <v>47</v>
      </c>
      <c r="Z287" s="65" t="s">
        <v>48</v>
      </c>
      <c r="AA287" s="65" t="s">
        <v>49</v>
      </c>
      <c r="AB287">
        <v>998418895</v>
      </c>
      <c r="AC287" s="65" t="s">
        <v>709</v>
      </c>
      <c r="AD287">
        <v>50</v>
      </c>
    </row>
    <row r="288" spans="1:30" x14ac:dyDescent="0.3">
      <c r="A288" s="1">
        <v>46224</v>
      </c>
      <c r="B288" s="65" t="s">
        <v>3550</v>
      </c>
      <c r="C288" s="65" t="s">
        <v>3733</v>
      </c>
      <c r="D288" s="65" t="s">
        <v>268</v>
      </c>
      <c r="E288" s="65" t="s">
        <v>3734</v>
      </c>
      <c r="F288" s="65" t="s">
        <v>31</v>
      </c>
      <c r="G288" s="65" t="s">
        <v>3735</v>
      </c>
      <c r="H288" s="65" t="s">
        <v>2193</v>
      </c>
      <c r="I288" s="65" t="s">
        <v>2194</v>
      </c>
      <c r="J288" s="65" t="s">
        <v>273</v>
      </c>
      <c r="K288" s="65" t="s">
        <v>274</v>
      </c>
      <c r="L288" s="65" t="s">
        <v>37</v>
      </c>
      <c r="M288" s="65" t="s">
        <v>2195</v>
      </c>
      <c r="N288" s="65" t="s">
        <v>2196</v>
      </c>
      <c r="O288" s="65" t="s">
        <v>277</v>
      </c>
      <c r="P288" s="65" t="s">
        <v>3736</v>
      </c>
      <c r="Q288" s="65" t="s">
        <v>288</v>
      </c>
      <c r="R288">
        <v>1</v>
      </c>
      <c r="S288" s="65" t="s">
        <v>42</v>
      </c>
      <c r="T288" s="65" t="s">
        <v>44</v>
      </c>
      <c r="U288" s="65" t="s">
        <v>44</v>
      </c>
      <c r="V288" s="65" t="s">
        <v>45</v>
      </c>
      <c r="W288" s="65" t="s">
        <v>46</v>
      </c>
      <c r="X288">
        <v>0</v>
      </c>
      <c r="Y288" s="65" t="s">
        <v>289</v>
      </c>
      <c r="Z288" s="65" t="s">
        <v>48</v>
      </c>
      <c r="AA288" s="65" t="s">
        <v>49</v>
      </c>
      <c r="AB288">
        <v>950133748</v>
      </c>
      <c r="AC288" s="65" t="s">
        <v>279</v>
      </c>
    </row>
    <row r="289" spans="1:30" x14ac:dyDescent="0.3">
      <c r="A289" s="1">
        <v>46224</v>
      </c>
      <c r="B289" s="65" t="s">
        <v>3550</v>
      </c>
      <c r="C289" s="65" t="s">
        <v>3733</v>
      </c>
      <c r="D289" s="65" t="s">
        <v>268</v>
      </c>
      <c r="E289" s="65" t="s">
        <v>3734</v>
      </c>
      <c r="F289" s="65" t="s">
        <v>31</v>
      </c>
      <c r="G289" s="65" t="s">
        <v>3735</v>
      </c>
      <c r="H289" s="65" t="s">
        <v>2193</v>
      </c>
      <c r="I289" s="65" t="s">
        <v>2194</v>
      </c>
      <c r="J289" s="65" t="s">
        <v>273</v>
      </c>
      <c r="K289" s="65" t="s">
        <v>274</v>
      </c>
      <c r="L289" s="65" t="s">
        <v>37</v>
      </c>
      <c r="M289" s="65" t="s">
        <v>2195</v>
      </c>
      <c r="N289" s="65" t="s">
        <v>2196</v>
      </c>
      <c r="O289" s="65" t="s">
        <v>277</v>
      </c>
      <c r="P289" s="65" t="s">
        <v>3736</v>
      </c>
      <c r="Q289" s="65" t="s">
        <v>1620</v>
      </c>
      <c r="R289">
        <v>1</v>
      </c>
      <c r="S289" s="65" t="s">
        <v>42</v>
      </c>
      <c r="T289" s="65" t="s">
        <v>44</v>
      </c>
      <c r="U289" s="65" t="s">
        <v>44</v>
      </c>
      <c r="V289" s="65" t="s">
        <v>45</v>
      </c>
      <c r="W289" s="65" t="s">
        <v>46</v>
      </c>
      <c r="X289">
        <v>1305.08</v>
      </c>
      <c r="Y289" s="65" t="s">
        <v>289</v>
      </c>
      <c r="Z289" s="65" t="s">
        <v>48</v>
      </c>
      <c r="AA289" s="65" t="s">
        <v>49</v>
      </c>
      <c r="AB289">
        <v>950133748</v>
      </c>
      <c r="AC289" s="65" t="s">
        <v>279</v>
      </c>
    </row>
    <row r="290" spans="1:30" x14ac:dyDescent="0.3">
      <c r="A290" s="1">
        <v>46224</v>
      </c>
      <c r="B290" s="65" t="s">
        <v>3550</v>
      </c>
      <c r="C290" s="65" t="s">
        <v>3737</v>
      </c>
      <c r="D290" s="65" t="s">
        <v>268</v>
      </c>
      <c r="E290" s="65" t="s">
        <v>3738</v>
      </c>
      <c r="F290" s="65" t="s">
        <v>31</v>
      </c>
      <c r="G290" s="65" t="s">
        <v>3739</v>
      </c>
      <c r="H290" s="65" t="s">
        <v>330</v>
      </c>
      <c r="I290" s="65" t="s">
        <v>331</v>
      </c>
      <c r="J290" s="65" t="s">
        <v>273</v>
      </c>
      <c r="K290" s="65" t="s">
        <v>274</v>
      </c>
      <c r="L290" s="65" t="s">
        <v>37</v>
      </c>
      <c r="M290" s="65" t="s">
        <v>332</v>
      </c>
      <c r="N290" s="65" t="s">
        <v>333</v>
      </c>
      <c r="O290" s="65" t="s">
        <v>277</v>
      </c>
      <c r="P290" s="65" t="s">
        <v>3740</v>
      </c>
      <c r="Q290" s="65" t="s">
        <v>481</v>
      </c>
      <c r="R290">
        <v>1</v>
      </c>
      <c r="S290" s="65" t="s">
        <v>42</v>
      </c>
      <c r="T290" s="65" t="s">
        <v>44</v>
      </c>
      <c r="U290" s="65" t="s">
        <v>44</v>
      </c>
      <c r="V290" s="65" t="s">
        <v>45</v>
      </c>
      <c r="W290" s="65" t="s">
        <v>60</v>
      </c>
      <c r="X290">
        <v>101.69</v>
      </c>
      <c r="Y290" s="65" t="s">
        <v>61</v>
      </c>
      <c r="Z290" s="65" t="s">
        <v>48</v>
      </c>
      <c r="AA290" s="65" t="s">
        <v>49</v>
      </c>
      <c r="AB290">
        <v>950133748</v>
      </c>
      <c r="AC290" s="65" t="s">
        <v>279</v>
      </c>
    </row>
    <row r="291" spans="1:30" x14ac:dyDescent="0.3">
      <c r="A291" s="1">
        <v>46224</v>
      </c>
      <c r="B291" s="65" t="s">
        <v>3550</v>
      </c>
      <c r="C291" s="65" t="s">
        <v>3741</v>
      </c>
      <c r="D291" s="65" t="s">
        <v>29</v>
      </c>
      <c r="E291" s="65" t="s">
        <v>3742</v>
      </c>
      <c r="F291" s="65" t="s">
        <v>31</v>
      </c>
      <c r="G291" s="65" t="s">
        <v>3743</v>
      </c>
      <c r="H291" s="65" t="s">
        <v>3744</v>
      </c>
      <c r="I291" s="65" t="s">
        <v>3745</v>
      </c>
      <c r="J291" s="65" t="s">
        <v>662</v>
      </c>
      <c r="K291" s="65" t="s">
        <v>36</v>
      </c>
      <c r="L291" s="65" t="s">
        <v>37</v>
      </c>
      <c r="M291" s="65" t="s">
        <v>3746</v>
      </c>
      <c r="N291" s="65" t="s">
        <v>3747</v>
      </c>
      <c r="O291" s="65" t="s">
        <v>3744</v>
      </c>
      <c r="P291" s="65" t="s">
        <v>3748</v>
      </c>
      <c r="Q291" s="65" t="s">
        <v>201</v>
      </c>
      <c r="R291">
        <v>1</v>
      </c>
      <c r="S291" s="65" t="s">
        <v>42</v>
      </c>
      <c r="T291" s="65" t="s">
        <v>44</v>
      </c>
      <c r="U291" s="65" t="s">
        <v>44</v>
      </c>
      <c r="V291" s="65" t="s">
        <v>45</v>
      </c>
      <c r="W291" s="65" t="s">
        <v>46</v>
      </c>
      <c r="X291">
        <v>135.59</v>
      </c>
      <c r="Y291" s="65" t="s">
        <v>47</v>
      </c>
      <c r="Z291" s="65" t="s">
        <v>48</v>
      </c>
      <c r="AA291" s="65" t="s">
        <v>49</v>
      </c>
      <c r="AB291">
        <v>997145685</v>
      </c>
      <c r="AC291" s="65" t="s">
        <v>666</v>
      </c>
      <c r="AD291">
        <v>30</v>
      </c>
    </row>
    <row r="292" spans="1:30" x14ac:dyDescent="0.3">
      <c r="A292" s="1">
        <v>46224</v>
      </c>
      <c r="B292" s="65" t="s">
        <v>3550</v>
      </c>
      <c r="C292" s="65" t="s">
        <v>3741</v>
      </c>
      <c r="D292" s="65" t="s">
        <v>29</v>
      </c>
      <c r="E292" s="65" t="s">
        <v>3742</v>
      </c>
      <c r="F292" s="65" t="s">
        <v>31</v>
      </c>
      <c r="G292" s="65" t="s">
        <v>3743</v>
      </c>
      <c r="H292" s="65" t="s">
        <v>3744</v>
      </c>
      <c r="I292" s="65" t="s">
        <v>3745</v>
      </c>
      <c r="J292" s="65" t="s">
        <v>662</v>
      </c>
      <c r="K292" s="65" t="s">
        <v>36</v>
      </c>
      <c r="L292" s="65" t="s">
        <v>37</v>
      </c>
      <c r="M292" s="65" t="s">
        <v>3746</v>
      </c>
      <c r="N292" s="65" t="s">
        <v>3747</v>
      </c>
      <c r="O292" s="65" t="s">
        <v>3744</v>
      </c>
      <c r="P292" s="65" t="s">
        <v>3748</v>
      </c>
      <c r="Q292" s="65" t="s">
        <v>202</v>
      </c>
      <c r="R292">
        <v>1</v>
      </c>
      <c r="S292" s="65" t="s">
        <v>42</v>
      </c>
      <c r="T292" s="65" t="s">
        <v>44</v>
      </c>
      <c r="U292" s="65" t="s">
        <v>44</v>
      </c>
      <c r="V292" s="65" t="s">
        <v>45</v>
      </c>
      <c r="W292" s="65" t="s">
        <v>46</v>
      </c>
      <c r="X292">
        <v>152.54</v>
      </c>
      <c r="Y292" s="65" t="s">
        <v>47</v>
      </c>
      <c r="Z292" s="65" t="s">
        <v>48</v>
      </c>
      <c r="AA292" s="65" t="s">
        <v>49</v>
      </c>
      <c r="AB292">
        <v>997145685</v>
      </c>
      <c r="AC292" s="65" t="s">
        <v>666</v>
      </c>
      <c r="AD292">
        <v>30</v>
      </c>
    </row>
    <row r="293" spans="1:30" x14ac:dyDescent="0.3">
      <c r="A293" s="1">
        <v>46224</v>
      </c>
      <c r="B293" s="65" t="s">
        <v>3550</v>
      </c>
      <c r="C293" s="65" t="s">
        <v>3741</v>
      </c>
      <c r="D293" s="65" t="s">
        <v>29</v>
      </c>
      <c r="E293" s="65" t="s">
        <v>3742</v>
      </c>
      <c r="F293" s="65" t="s">
        <v>31</v>
      </c>
      <c r="G293" s="65" t="s">
        <v>3743</v>
      </c>
      <c r="H293" s="65" t="s">
        <v>3744</v>
      </c>
      <c r="I293" s="65" t="s">
        <v>3745</v>
      </c>
      <c r="J293" s="65" t="s">
        <v>662</v>
      </c>
      <c r="K293" s="65" t="s">
        <v>36</v>
      </c>
      <c r="L293" s="65" t="s">
        <v>37</v>
      </c>
      <c r="M293" s="65" t="s">
        <v>3746</v>
      </c>
      <c r="N293" s="65" t="s">
        <v>3747</v>
      </c>
      <c r="O293" s="65" t="s">
        <v>3744</v>
      </c>
      <c r="P293" s="65" t="s">
        <v>3748</v>
      </c>
      <c r="Q293" s="65" t="s">
        <v>130</v>
      </c>
      <c r="R293">
        <v>1</v>
      </c>
      <c r="S293" s="65" t="s">
        <v>42</v>
      </c>
      <c r="T293" s="65" t="s">
        <v>44</v>
      </c>
      <c r="U293" s="65" t="s">
        <v>44</v>
      </c>
      <c r="V293" s="65" t="s">
        <v>45</v>
      </c>
      <c r="W293" s="65" t="s">
        <v>46</v>
      </c>
      <c r="X293">
        <v>152.54</v>
      </c>
      <c r="Y293" s="65" t="s">
        <v>47</v>
      </c>
      <c r="Z293" s="65" t="s">
        <v>48</v>
      </c>
      <c r="AA293" s="65" t="s">
        <v>49</v>
      </c>
      <c r="AB293">
        <v>997145685</v>
      </c>
      <c r="AC293" s="65" t="s">
        <v>666</v>
      </c>
      <c r="AD293">
        <v>30</v>
      </c>
    </row>
    <row r="294" spans="1:30" x14ac:dyDescent="0.3">
      <c r="A294" s="1">
        <v>46224</v>
      </c>
      <c r="B294" s="65" t="s">
        <v>3550</v>
      </c>
      <c r="C294" s="65" t="s">
        <v>3749</v>
      </c>
      <c r="D294" s="65" t="s">
        <v>29</v>
      </c>
      <c r="E294" s="65" t="s">
        <v>3750</v>
      </c>
      <c r="F294" s="65" t="s">
        <v>31</v>
      </c>
      <c r="G294" s="65" t="s">
        <v>3751</v>
      </c>
      <c r="H294" s="65" t="s">
        <v>3752</v>
      </c>
      <c r="I294" s="65" t="s">
        <v>3753</v>
      </c>
      <c r="J294" s="65" t="s">
        <v>774</v>
      </c>
      <c r="K294" s="65" t="s">
        <v>775</v>
      </c>
      <c r="L294" s="65" t="s">
        <v>37</v>
      </c>
      <c r="M294" s="65" t="s">
        <v>3754</v>
      </c>
      <c r="N294" s="65" t="s">
        <v>3755</v>
      </c>
      <c r="O294" s="65" t="s">
        <v>3752</v>
      </c>
      <c r="P294" s="65" t="s">
        <v>3756</v>
      </c>
      <c r="Q294" s="65" t="s">
        <v>641</v>
      </c>
      <c r="R294">
        <v>1</v>
      </c>
      <c r="S294" s="65" t="s">
        <v>42</v>
      </c>
      <c r="T294" s="65" t="s">
        <v>44</v>
      </c>
      <c r="U294" s="65" t="s">
        <v>44</v>
      </c>
      <c r="V294" s="65" t="s">
        <v>45</v>
      </c>
      <c r="W294" s="65" t="s">
        <v>60</v>
      </c>
      <c r="X294">
        <v>84.75</v>
      </c>
      <c r="Y294" s="65" t="s">
        <v>47</v>
      </c>
      <c r="Z294" s="65" t="s">
        <v>48</v>
      </c>
      <c r="AA294" s="65" t="s">
        <v>49</v>
      </c>
      <c r="AC294" s="65"/>
    </row>
    <row r="295" spans="1:30" x14ac:dyDescent="0.3">
      <c r="A295" s="1">
        <v>46224</v>
      </c>
      <c r="B295" s="65" t="s">
        <v>3550</v>
      </c>
      <c r="C295" s="65" t="s">
        <v>3757</v>
      </c>
      <c r="D295" s="65" t="s">
        <v>29</v>
      </c>
      <c r="E295" s="65" t="s">
        <v>3758</v>
      </c>
      <c r="F295" s="65" t="s">
        <v>31</v>
      </c>
      <c r="G295" s="65" t="s">
        <v>3759</v>
      </c>
      <c r="H295" s="65" t="s">
        <v>2451</v>
      </c>
      <c r="I295" s="65" t="s">
        <v>2452</v>
      </c>
      <c r="J295" s="65" t="s">
        <v>774</v>
      </c>
      <c r="K295" s="65" t="s">
        <v>775</v>
      </c>
      <c r="L295" s="65" t="s">
        <v>37</v>
      </c>
      <c r="M295" s="65" t="s">
        <v>2453</v>
      </c>
      <c r="N295" s="65" t="s">
        <v>2454</v>
      </c>
      <c r="O295" s="65" t="s">
        <v>2451</v>
      </c>
      <c r="P295" s="65" t="s">
        <v>3760</v>
      </c>
      <c r="Q295" s="65" t="s">
        <v>641</v>
      </c>
      <c r="R295">
        <v>1</v>
      </c>
      <c r="S295" s="65" t="s">
        <v>42</v>
      </c>
      <c r="T295" s="65" t="s">
        <v>44</v>
      </c>
      <c r="U295" s="65" t="s">
        <v>44</v>
      </c>
      <c r="V295" s="65" t="s">
        <v>45</v>
      </c>
      <c r="W295" s="65" t="s">
        <v>46</v>
      </c>
      <c r="X295">
        <v>84.75</v>
      </c>
      <c r="Y295" s="65" t="s">
        <v>47</v>
      </c>
      <c r="Z295" s="65" t="s">
        <v>48</v>
      </c>
      <c r="AA295" s="65" t="s">
        <v>49</v>
      </c>
      <c r="AC295" s="65"/>
    </row>
    <row r="296" spans="1:30" x14ac:dyDescent="0.3">
      <c r="A296" s="1">
        <v>46224</v>
      </c>
      <c r="B296" s="65" t="s">
        <v>3550</v>
      </c>
      <c r="C296" s="65" t="s">
        <v>3761</v>
      </c>
      <c r="D296" s="65" t="s">
        <v>29</v>
      </c>
      <c r="E296" s="65" t="s">
        <v>3762</v>
      </c>
      <c r="F296" s="65" t="s">
        <v>31</v>
      </c>
      <c r="G296" s="65" t="s">
        <v>3763</v>
      </c>
      <c r="H296" s="65" t="s">
        <v>3752</v>
      </c>
      <c r="I296" s="65" t="s">
        <v>3753</v>
      </c>
      <c r="J296" s="65" t="s">
        <v>774</v>
      </c>
      <c r="K296" s="65" t="s">
        <v>775</v>
      </c>
      <c r="L296" s="65" t="s">
        <v>37</v>
      </c>
      <c r="M296" s="65" t="s">
        <v>3754</v>
      </c>
      <c r="N296" s="65" t="s">
        <v>3755</v>
      </c>
      <c r="O296" s="65" t="s">
        <v>3752</v>
      </c>
      <c r="P296" s="65" t="s">
        <v>3764</v>
      </c>
      <c r="Q296" s="65" t="s">
        <v>3765</v>
      </c>
      <c r="R296">
        <v>2</v>
      </c>
      <c r="S296" s="65" t="s">
        <v>42</v>
      </c>
      <c r="T296" s="65" t="s">
        <v>44</v>
      </c>
      <c r="U296" s="65" t="s">
        <v>44</v>
      </c>
      <c r="V296" s="65" t="s">
        <v>45</v>
      </c>
      <c r="W296" s="65" t="s">
        <v>3766</v>
      </c>
      <c r="X296">
        <v>4.24</v>
      </c>
      <c r="Y296" s="65" t="s">
        <v>533</v>
      </c>
      <c r="Z296" s="65" t="s">
        <v>48</v>
      </c>
      <c r="AA296" s="65" t="s">
        <v>49</v>
      </c>
      <c r="AC296" s="65"/>
    </row>
    <row r="297" spans="1:30" x14ac:dyDescent="0.3">
      <c r="A297" s="1">
        <v>46224</v>
      </c>
      <c r="B297" s="65" t="s">
        <v>3550</v>
      </c>
      <c r="C297" s="65" t="s">
        <v>3767</v>
      </c>
      <c r="D297" s="65" t="s">
        <v>268</v>
      </c>
      <c r="E297" s="65" t="s">
        <v>3768</v>
      </c>
      <c r="F297" s="65" t="s">
        <v>31</v>
      </c>
      <c r="G297" s="65" t="s">
        <v>3769</v>
      </c>
      <c r="H297" s="65" t="s">
        <v>3752</v>
      </c>
      <c r="I297" s="65" t="s">
        <v>3753</v>
      </c>
      <c r="J297" s="65" t="s">
        <v>774</v>
      </c>
      <c r="K297" s="65" t="s">
        <v>775</v>
      </c>
      <c r="L297" s="65" t="s">
        <v>37</v>
      </c>
      <c r="M297" s="65" t="s">
        <v>3754</v>
      </c>
      <c r="N297" s="65" t="s">
        <v>3755</v>
      </c>
      <c r="O297" s="65" t="s">
        <v>798</v>
      </c>
      <c r="P297" s="65" t="s">
        <v>3770</v>
      </c>
      <c r="Q297" s="65" t="s">
        <v>288</v>
      </c>
      <c r="R297">
        <v>1</v>
      </c>
      <c r="S297" s="65" t="s">
        <v>42</v>
      </c>
      <c r="T297" s="65" t="s">
        <v>44</v>
      </c>
      <c r="U297" s="65" t="s">
        <v>44</v>
      </c>
      <c r="V297" s="65" t="s">
        <v>45</v>
      </c>
      <c r="W297" s="65" t="s">
        <v>60</v>
      </c>
      <c r="X297">
        <v>0</v>
      </c>
      <c r="Y297" s="65" t="s">
        <v>289</v>
      </c>
      <c r="Z297" s="65" t="s">
        <v>48</v>
      </c>
      <c r="AA297" s="65" t="s">
        <v>49</v>
      </c>
      <c r="AC297" s="65"/>
    </row>
    <row r="298" spans="1:30" x14ac:dyDescent="0.3">
      <c r="A298" s="1">
        <v>46224</v>
      </c>
      <c r="B298" s="65" t="s">
        <v>3550</v>
      </c>
      <c r="C298" s="65" t="s">
        <v>3767</v>
      </c>
      <c r="D298" s="65" t="s">
        <v>268</v>
      </c>
      <c r="E298" s="65" t="s">
        <v>3768</v>
      </c>
      <c r="F298" s="65" t="s">
        <v>31</v>
      </c>
      <c r="G298" s="65" t="s">
        <v>3769</v>
      </c>
      <c r="H298" s="65" t="s">
        <v>3752</v>
      </c>
      <c r="I298" s="65" t="s">
        <v>3753</v>
      </c>
      <c r="J298" s="65" t="s">
        <v>774</v>
      </c>
      <c r="K298" s="65" t="s">
        <v>775</v>
      </c>
      <c r="L298" s="65" t="s">
        <v>37</v>
      </c>
      <c r="M298" s="65" t="s">
        <v>3754</v>
      </c>
      <c r="N298" s="65" t="s">
        <v>3755</v>
      </c>
      <c r="O298" s="65" t="s">
        <v>798</v>
      </c>
      <c r="P298" s="65" t="s">
        <v>3770</v>
      </c>
      <c r="Q298" s="65" t="s">
        <v>1620</v>
      </c>
      <c r="R298">
        <v>1</v>
      </c>
      <c r="S298" s="65" t="s">
        <v>42</v>
      </c>
      <c r="T298" s="65" t="s">
        <v>44</v>
      </c>
      <c r="U298" s="65" t="s">
        <v>44</v>
      </c>
      <c r="V298" s="65" t="s">
        <v>45</v>
      </c>
      <c r="W298" s="65" t="s">
        <v>60</v>
      </c>
      <c r="X298">
        <v>1525.42</v>
      </c>
      <c r="Y298" s="65" t="s">
        <v>289</v>
      </c>
      <c r="Z298" s="65" t="s">
        <v>48</v>
      </c>
      <c r="AA298" s="65" t="s">
        <v>49</v>
      </c>
      <c r="AC298" s="65"/>
    </row>
    <row r="299" spans="1:30" x14ac:dyDescent="0.3">
      <c r="A299" s="1">
        <v>46224</v>
      </c>
      <c r="B299" s="65" t="s">
        <v>3550</v>
      </c>
      <c r="C299" s="65" t="s">
        <v>3771</v>
      </c>
      <c r="D299" s="65" t="s">
        <v>29</v>
      </c>
      <c r="E299" s="65" t="s">
        <v>3772</v>
      </c>
      <c r="F299" s="65" t="s">
        <v>31</v>
      </c>
      <c r="G299" s="65" t="s">
        <v>3773</v>
      </c>
      <c r="H299" s="65" t="s">
        <v>3774</v>
      </c>
      <c r="I299" s="65" t="s">
        <v>3775</v>
      </c>
      <c r="J299" s="65" t="s">
        <v>3529</v>
      </c>
      <c r="K299" s="65" t="s">
        <v>209</v>
      </c>
      <c r="L299" s="65" t="s">
        <v>37</v>
      </c>
      <c r="M299" s="65" t="s">
        <v>3776</v>
      </c>
      <c r="N299" s="65" t="s">
        <v>3777</v>
      </c>
      <c r="O299" s="65" t="s">
        <v>3774</v>
      </c>
      <c r="P299" s="65" t="s">
        <v>3778</v>
      </c>
      <c r="Q299" s="65" t="s">
        <v>201</v>
      </c>
      <c r="R299">
        <v>1</v>
      </c>
      <c r="S299" s="65" t="s">
        <v>42</v>
      </c>
      <c r="T299" s="65" t="s">
        <v>44</v>
      </c>
      <c r="U299" s="65" t="s">
        <v>44</v>
      </c>
      <c r="V299" s="65" t="s">
        <v>45</v>
      </c>
      <c r="W299" s="65" t="s">
        <v>60</v>
      </c>
      <c r="X299">
        <v>152.54</v>
      </c>
      <c r="Y299" s="65" t="s">
        <v>47</v>
      </c>
      <c r="Z299" s="65" t="s">
        <v>48</v>
      </c>
      <c r="AA299" s="65" t="s">
        <v>49</v>
      </c>
      <c r="AB299">
        <v>971430775</v>
      </c>
      <c r="AC299" s="65"/>
      <c r="AD299">
        <v>30</v>
      </c>
    </row>
    <row r="300" spans="1:30" x14ac:dyDescent="0.3">
      <c r="A300" s="1">
        <v>46224</v>
      </c>
      <c r="B300" s="65" t="s">
        <v>3550</v>
      </c>
      <c r="C300" s="65" t="s">
        <v>3771</v>
      </c>
      <c r="D300" s="65" t="s">
        <v>29</v>
      </c>
      <c r="E300" s="65" t="s">
        <v>3772</v>
      </c>
      <c r="F300" s="65" t="s">
        <v>31</v>
      </c>
      <c r="G300" s="65" t="s">
        <v>3773</v>
      </c>
      <c r="H300" s="65" t="s">
        <v>3774</v>
      </c>
      <c r="I300" s="65" t="s">
        <v>3775</v>
      </c>
      <c r="J300" s="65" t="s">
        <v>3529</v>
      </c>
      <c r="K300" s="65" t="s">
        <v>209</v>
      </c>
      <c r="L300" s="65" t="s">
        <v>37</v>
      </c>
      <c r="M300" s="65" t="s">
        <v>3776</v>
      </c>
      <c r="N300" s="65" t="s">
        <v>3777</v>
      </c>
      <c r="O300" s="65" t="s">
        <v>3774</v>
      </c>
      <c r="P300" s="65" t="s">
        <v>3778</v>
      </c>
      <c r="Q300" s="65" t="s">
        <v>90</v>
      </c>
      <c r="R300">
        <v>1</v>
      </c>
      <c r="S300" s="65" t="s">
        <v>42</v>
      </c>
      <c r="T300" s="65" t="s">
        <v>44</v>
      </c>
      <c r="U300" s="65" t="s">
        <v>44</v>
      </c>
      <c r="V300" s="65" t="s">
        <v>45</v>
      </c>
      <c r="W300" s="65" t="s">
        <v>60</v>
      </c>
      <c r="X300">
        <v>135.59</v>
      </c>
      <c r="Y300" s="65" t="s">
        <v>47</v>
      </c>
      <c r="Z300" s="65" t="s">
        <v>48</v>
      </c>
      <c r="AA300" s="65" t="s">
        <v>49</v>
      </c>
      <c r="AB300">
        <v>971430775</v>
      </c>
      <c r="AC300" s="65"/>
      <c r="AD300">
        <v>30</v>
      </c>
    </row>
    <row r="301" spans="1:30" x14ac:dyDescent="0.3">
      <c r="A301" s="1">
        <v>46225</v>
      </c>
      <c r="B301" s="65" t="s">
        <v>3550</v>
      </c>
      <c r="C301" s="65" t="s">
        <v>3779</v>
      </c>
      <c r="D301" s="65" t="s">
        <v>29</v>
      </c>
      <c r="E301" s="65" t="s">
        <v>3780</v>
      </c>
      <c r="F301" s="65" t="s">
        <v>31</v>
      </c>
      <c r="G301" s="65" t="s">
        <v>3781</v>
      </c>
      <c r="H301" s="65" t="s">
        <v>3782</v>
      </c>
      <c r="I301" s="65" t="s">
        <v>3783</v>
      </c>
      <c r="J301" s="65" t="s">
        <v>628</v>
      </c>
      <c r="K301" s="65" t="s">
        <v>629</v>
      </c>
      <c r="L301" s="65" t="s">
        <v>37</v>
      </c>
      <c r="M301" s="65" t="s">
        <v>3784</v>
      </c>
      <c r="N301" s="65" t="s">
        <v>608</v>
      </c>
      <c r="O301" s="65" t="s">
        <v>3782</v>
      </c>
      <c r="P301" s="65" t="s">
        <v>3785</v>
      </c>
      <c r="Q301" s="65" t="s">
        <v>641</v>
      </c>
      <c r="R301">
        <v>1</v>
      </c>
      <c r="S301" s="65" t="s">
        <v>42</v>
      </c>
      <c r="T301" s="65" t="s">
        <v>44</v>
      </c>
      <c r="U301" s="65" t="s">
        <v>44</v>
      </c>
      <c r="V301" s="65" t="s">
        <v>45</v>
      </c>
      <c r="W301" s="65" t="s">
        <v>60</v>
      </c>
      <c r="X301">
        <v>84.75</v>
      </c>
      <c r="Y301" s="65" t="s">
        <v>47</v>
      </c>
      <c r="Z301" s="65" t="s">
        <v>48</v>
      </c>
      <c r="AA301" s="65" t="s">
        <v>49</v>
      </c>
      <c r="AB301">
        <v>978789268</v>
      </c>
      <c r="AC301" s="65" t="s">
        <v>633</v>
      </c>
    </row>
    <row r="302" spans="1:30" x14ac:dyDescent="0.3">
      <c r="A302" s="1">
        <v>46225</v>
      </c>
      <c r="B302" s="65" t="s">
        <v>3550</v>
      </c>
      <c r="C302" s="65" t="s">
        <v>3786</v>
      </c>
      <c r="D302" s="65" t="s">
        <v>29</v>
      </c>
      <c r="E302" s="65" t="s">
        <v>3787</v>
      </c>
      <c r="F302" s="65" t="s">
        <v>31</v>
      </c>
      <c r="G302" s="65" t="s">
        <v>3788</v>
      </c>
      <c r="H302" s="65" t="s">
        <v>3789</v>
      </c>
      <c r="I302" s="65" t="s">
        <v>3790</v>
      </c>
      <c r="J302" s="65" t="s">
        <v>628</v>
      </c>
      <c r="K302" s="65" t="s">
        <v>629</v>
      </c>
      <c r="L302" s="65" t="s">
        <v>37</v>
      </c>
      <c r="M302" s="65" t="s">
        <v>3791</v>
      </c>
      <c r="N302" s="65" t="s">
        <v>3792</v>
      </c>
      <c r="O302" s="65" t="s">
        <v>3789</v>
      </c>
      <c r="P302" s="65" t="s">
        <v>3793</v>
      </c>
      <c r="Q302" s="65" t="s">
        <v>288</v>
      </c>
      <c r="R302">
        <v>1</v>
      </c>
      <c r="S302" s="65" t="s">
        <v>42</v>
      </c>
      <c r="T302" s="65" t="s">
        <v>44</v>
      </c>
      <c r="U302" s="65" t="s">
        <v>44</v>
      </c>
      <c r="V302" s="65" t="s">
        <v>45</v>
      </c>
      <c r="W302" s="65" t="s">
        <v>60</v>
      </c>
      <c r="X302">
        <v>0</v>
      </c>
      <c r="Y302" s="65" t="s">
        <v>289</v>
      </c>
      <c r="Z302" s="65" t="s">
        <v>48</v>
      </c>
      <c r="AA302" s="65" t="s">
        <v>49</v>
      </c>
      <c r="AB302">
        <v>978789268</v>
      </c>
      <c r="AC302" s="65" t="s">
        <v>633</v>
      </c>
    </row>
    <row r="303" spans="1:30" x14ac:dyDescent="0.3">
      <c r="A303" s="1">
        <v>46225</v>
      </c>
      <c r="B303" s="65" t="s">
        <v>3550</v>
      </c>
      <c r="C303" s="65" t="s">
        <v>3786</v>
      </c>
      <c r="D303" s="65" t="s">
        <v>29</v>
      </c>
      <c r="E303" s="65" t="s">
        <v>3787</v>
      </c>
      <c r="F303" s="65" t="s">
        <v>31</v>
      </c>
      <c r="G303" s="65" t="s">
        <v>3788</v>
      </c>
      <c r="H303" s="65" t="s">
        <v>3789</v>
      </c>
      <c r="I303" s="65" t="s">
        <v>3790</v>
      </c>
      <c r="J303" s="65" t="s">
        <v>628</v>
      </c>
      <c r="K303" s="65" t="s">
        <v>629</v>
      </c>
      <c r="L303" s="65" t="s">
        <v>37</v>
      </c>
      <c r="M303" s="65" t="s">
        <v>3791</v>
      </c>
      <c r="N303" s="65" t="s">
        <v>3792</v>
      </c>
      <c r="O303" s="65" t="s">
        <v>3789</v>
      </c>
      <c r="P303" s="65" t="s">
        <v>3793</v>
      </c>
      <c r="Q303" s="65" t="s">
        <v>1620</v>
      </c>
      <c r="R303">
        <v>1</v>
      </c>
      <c r="S303" s="65" t="s">
        <v>42</v>
      </c>
      <c r="T303" s="65" t="s">
        <v>44</v>
      </c>
      <c r="U303" s="65" t="s">
        <v>44</v>
      </c>
      <c r="V303" s="65" t="s">
        <v>45</v>
      </c>
      <c r="W303" s="65" t="s">
        <v>60</v>
      </c>
      <c r="X303">
        <v>139.83000000000001</v>
      </c>
      <c r="Y303" s="65" t="s">
        <v>289</v>
      </c>
      <c r="Z303" s="65" t="s">
        <v>48</v>
      </c>
      <c r="AA303" s="65" t="s">
        <v>49</v>
      </c>
      <c r="AB303">
        <v>978789268</v>
      </c>
      <c r="AC303" s="65" t="s">
        <v>633</v>
      </c>
    </row>
    <row r="304" spans="1:30" x14ac:dyDescent="0.3">
      <c r="A304" s="1">
        <v>46225</v>
      </c>
      <c r="B304" s="65" t="s">
        <v>3550</v>
      </c>
      <c r="C304" s="65" t="s">
        <v>3794</v>
      </c>
      <c r="D304" s="65" t="s">
        <v>29</v>
      </c>
      <c r="E304" s="65" t="s">
        <v>3795</v>
      </c>
      <c r="F304" s="65" t="s">
        <v>31</v>
      </c>
      <c r="G304" s="65" t="s">
        <v>3796</v>
      </c>
      <c r="H304" s="65" t="s">
        <v>3782</v>
      </c>
      <c r="I304" s="65" t="s">
        <v>3783</v>
      </c>
      <c r="J304" s="65" t="s">
        <v>628</v>
      </c>
      <c r="K304" s="65" t="s">
        <v>629</v>
      </c>
      <c r="L304" s="65" t="s">
        <v>37</v>
      </c>
      <c r="M304" s="65" t="s">
        <v>3784</v>
      </c>
      <c r="N304" s="65" t="s">
        <v>608</v>
      </c>
      <c r="O304" s="65" t="s">
        <v>3782</v>
      </c>
      <c r="P304" s="65" t="s">
        <v>3797</v>
      </c>
      <c r="Q304" s="65" t="s">
        <v>288</v>
      </c>
      <c r="R304">
        <v>1</v>
      </c>
      <c r="S304" s="65" t="s">
        <v>42</v>
      </c>
      <c r="T304" s="65" t="s">
        <v>44</v>
      </c>
      <c r="U304" s="65" t="s">
        <v>44</v>
      </c>
      <c r="V304" s="65" t="s">
        <v>45</v>
      </c>
      <c r="W304" s="65" t="s">
        <v>60</v>
      </c>
      <c r="X304">
        <v>0</v>
      </c>
      <c r="Y304" s="65" t="s">
        <v>289</v>
      </c>
      <c r="Z304" s="65" t="s">
        <v>48</v>
      </c>
      <c r="AA304" s="65" t="s">
        <v>49</v>
      </c>
      <c r="AB304">
        <v>978789268</v>
      </c>
      <c r="AC304" s="65" t="s">
        <v>633</v>
      </c>
    </row>
    <row r="305" spans="1:30" x14ac:dyDescent="0.3">
      <c r="A305" s="1">
        <v>46225</v>
      </c>
      <c r="B305" s="65" t="s">
        <v>3550</v>
      </c>
      <c r="C305" s="65" t="s">
        <v>3794</v>
      </c>
      <c r="D305" s="65" t="s">
        <v>29</v>
      </c>
      <c r="E305" s="65" t="s">
        <v>3795</v>
      </c>
      <c r="F305" s="65" t="s">
        <v>31</v>
      </c>
      <c r="G305" s="65" t="s">
        <v>3796</v>
      </c>
      <c r="H305" s="65" t="s">
        <v>3782</v>
      </c>
      <c r="I305" s="65" t="s">
        <v>3783</v>
      </c>
      <c r="J305" s="65" t="s">
        <v>628</v>
      </c>
      <c r="K305" s="65" t="s">
        <v>629</v>
      </c>
      <c r="L305" s="65" t="s">
        <v>37</v>
      </c>
      <c r="M305" s="65" t="s">
        <v>3784</v>
      </c>
      <c r="N305" s="65" t="s">
        <v>608</v>
      </c>
      <c r="O305" s="65" t="s">
        <v>3782</v>
      </c>
      <c r="P305" s="65" t="s">
        <v>3797</v>
      </c>
      <c r="Q305" s="65" t="s">
        <v>1620</v>
      </c>
      <c r="R305">
        <v>1</v>
      </c>
      <c r="S305" s="65" t="s">
        <v>42</v>
      </c>
      <c r="T305" s="65" t="s">
        <v>44</v>
      </c>
      <c r="U305" s="65" t="s">
        <v>44</v>
      </c>
      <c r="V305" s="65" t="s">
        <v>45</v>
      </c>
      <c r="W305" s="65" t="s">
        <v>60</v>
      </c>
      <c r="X305">
        <v>1050.8499999999999</v>
      </c>
      <c r="Y305" s="65" t="s">
        <v>289</v>
      </c>
      <c r="Z305" s="65" t="s">
        <v>48</v>
      </c>
      <c r="AA305" s="65" t="s">
        <v>49</v>
      </c>
      <c r="AB305">
        <v>978789268</v>
      </c>
      <c r="AC305" s="65" t="s">
        <v>633</v>
      </c>
    </row>
    <row r="306" spans="1:30" x14ac:dyDescent="0.3">
      <c r="A306" s="1">
        <v>46225</v>
      </c>
      <c r="B306" s="65" t="s">
        <v>3550</v>
      </c>
      <c r="C306" s="65" t="s">
        <v>3798</v>
      </c>
      <c r="D306" s="65" t="s">
        <v>268</v>
      </c>
      <c r="E306" s="65" t="s">
        <v>3799</v>
      </c>
      <c r="F306" s="65" t="s">
        <v>31</v>
      </c>
      <c r="G306" s="65" t="s">
        <v>3800</v>
      </c>
      <c r="H306" s="65" t="s">
        <v>3801</v>
      </c>
      <c r="I306" s="65" t="s">
        <v>3802</v>
      </c>
      <c r="J306" s="65" t="s">
        <v>2795</v>
      </c>
      <c r="K306" s="65" t="s">
        <v>209</v>
      </c>
      <c r="L306" s="65" t="s">
        <v>37</v>
      </c>
      <c r="M306" s="65" t="s">
        <v>3803</v>
      </c>
      <c r="N306" s="65" t="s">
        <v>3804</v>
      </c>
      <c r="O306" s="65" t="s">
        <v>1251</v>
      </c>
      <c r="P306" s="65" t="s">
        <v>3805</v>
      </c>
      <c r="Q306" s="65" t="s">
        <v>288</v>
      </c>
      <c r="R306">
        <v>1</v>
      </c>
      <c r="S306" s="65" t="s">
        <v>42</v>
      </c>
      <c r="T306" s="65" t="s">
        <v>44</v>
      </c>
      <c r="U306" s="65" t="s">
        <v>44</v>
      </c>
      <c r="V306" s="65" t="s">
        <v>45</v>
      </c>
      <c r="W306" s="65" t="s">
        <v>60</v>
      </c>
      <c r="X306">
        <v>0</v>
      </c>
      <c r="Y306" s="65" t="s">
        <v>289</v>
      </c>
      <c r="Z306" s="65" t="s">
        <v>48</v>
      </c>
      <c r="AA306" s="65" t="s">
        <v>49</v>
      </c>
      <c r="AB306">
        <v>994872106</v>
      </c>
      <c r="AC306" s="65" t="s">
        <v>1253</v>
      </c>
    </row>
    <row r="307" spans="1:30" x14ac:dyDescent="0.3">
      <c r="A307" s="1">
        <v>46225</v>
      </c>
      <c r="B307" s="65" t="s">
        <v>3550</v>
      </c>
      <c r="C307" s="65" t="s">
        <v>3798</v>
      </c>
      <c r="D307" s="65" t="s">
        <v>268</v>
      </c>
      <c r="E307" s="65" t="s">
        <v>3799</v>
      </c>
      <c r="F307" s="65" t="s">
        <v>31</v>
      </c>
      <c r="G307" s="65" t="s">
        <v>3800</v>
      </c>
      <c r="H307" s="65" t="s">
        <v>3801</v>
      </c>
      <c r="I307" s="65" t="s">
        <v>3802</v>
      </c>
      <c r="J307" s="65" t="s">
        <v>2795</v>
      </c>
      <c r="K307" s="65" t="s">
        <v>209</v>
      </c>
      <c r="L307" s="65" t="s">
        <v>37</v>
      </c>
      <c r="M307" s="65" t="s">
        <v>3803</v>
      </c>
      <c r="N307" s="65" t="s">
        <v>3804</v>
      </c>
      <c r="O307" s="65" t="s">
        <v>1251</v>
      </c>
      <c r="P307" s="65" t="s">
        <v>3805</v>
      </c>
      <c r="Q307" s="65" t="s">
        <v>1620</v>
      </c>
      <c r="R307">
        <v>1</v>
      </c>
      <c r="S307" s="65" t="s">
        <v>42</v>
      </c>
      <c r="T307" s="65" t="s">
        <v>44</v>
      </c>
      <c r="U307" s="65" t="s">
        <v>44</v>
      </c>
      <c r="V307" s="65" t="s">
        <v>45</v>
      </c>
      <c r="W307" s="65" t="s">
        <v>60</v>
      </c>
      <c r="X307">
        <v>279.66000000000003</v>
      </c>
      <c r="Y307" s="65" t="s">
        <v>289</v>
      </c>
      <c r="Z307" s="65" t="s">
        <v>48</v>
      </c>
      <c r="AA307" s="65" t="s">
        <v>49</v>
      </c>
      <c r="AB307">
        <v>994872106</v>
      </c>
      <c r="AC307" s="65" t="s">
        <v>1253</v>
      </c>
    </row>
    <row r="308" spans="1:30" x14ac:dyDescent="0.3">
      <c r="A308" s="1">
        <v>46225</v>
      </c>
      <c r="B308" s="65" t="s">
        <v>3550</v>
      </c>
      <c r="C308" s="65" t="s">
        <v>3806</v>
      </c>
      <c r="D308" s="65" t="s">
        <v>268</v>
      </c>
      <c r="E308" s="65" t="s">
        <v>3807</v>
      </c>
      <c r="F308" s="65" t="s">
        <v>31</v>
      </c>
      <c r="G308" s="65" t="s">
        <v>3808</v>
      </c>
      <c r="H308" s="65" t="s">
        <v>1248</v>
      </c>
      <c r="I308" s="65" t="s">
        <v>1249</v>
      </c>
      <c r="J308" s="65" t="s">
        <v>2795</v>
      </c>
      <c r="K308" s="65" t="s">
        <v>209</v>
      </c>
      <c r="L308" s="65" t="s">
        <v>37</v>
      </c>
      <c r="M308" s="65" t="s">
        <v>1250</v>
      </c>
      <c r="N308" s="65" t="s">
        <v>608</v>
      </c>
      <c r="O308" s="65" t="s">
        <v>1251</v>
      </c>
      <c r="P308" s="65" t="s">
        <v>3809</v>
      </c>
      <c r="Q308" s="65" t="s">
        <v>288</v>
      </c>
      <c r="R308">
        <v>1</v>
      </c>
      <c r="S308" s="65" t="s">
        <v>42</v>
      </c>
      <c r="T308" s="65" t="s">
        <v>44</v>
      </c>
      <c r="U308" s="65" t="s">
        <v>44</v>
      </c>
      <c r="V308" s="65" t="s">
        <v>45</v>
      </c>
      <c r="W308" s="65" t="s">
        <v>60</v>
      </c>
      <c r="X308">
        <v>0</v>
      </c>
      <c r="Y308" s="65" t="s">
        <v>289</v>
      </c>
      <c r="Z308" s="65" t="s">
        <v>48</v>
      </c>
      <c r="AA308" s="65" t="s">
        <v>49</v>
      </c>
      <c r="AB308">
        <v>994872106</v>
      </c>
      <c r="AC308" s="65" t="s">
        <v>1253</v>
      </c>
    </row>
    <row r="309" spans="1:30" x14ac:dyDescent="0.3">
      <c r="A309" s="1">
        <v>46225</v>
      </c>
      <c r="B309" s="65" t="s">
        <v>3550</v>
      </c>
      <c r="C309" s="65" t="s">
        <v>3806</v>
      </c>
      <c r="D309" s="65" t="s">
        <v>268</v>
      </c>
      <c r="E309" s="65" t="s">
        <v>3807</v>
      </c>
      <c r="F309" s="65" t="s">
        <v>31</v>
      </c>
      <c r="G309" s="65" t="s">
        <v>3808</v>
      </c>
      <c r="H309" s="65" t="s">
        <v>1248</v>
      </c>
      <c r="I309" s="65" t="s">
        <v>1249</v>
      </c>
      <c r="J309" s="65" t="s">
        <v>2795</v>
      </c>
      <c r="K309" s="65" t="s">
        <v>209</v>
      </c>
      <c r="L309" s="65" t="s">
        <v>37</v>
      </c>
      <c r="M309" s="65" t="s">
        <v>1250</v>
      </c>
      <c r="N309" s="65" t="s">
        <v>608</v>
      </c>
      <c r="O309" s="65" t="s">
        <v>1251</v>
      </c>
      <c r="P309" s="65" t="s">
        <v>3809</v>
      </c>
      <c r="Q309" s="65" t="s">
        <v>1620</v>
      </c>
      <c r="R309">
        <v>1</v>
      </c>
      <c r="S309" s="65" t="s">
        <v>42</v>
      </c>
      <c r="T309" s="65" t="s">
        <v>44</v>
      </c>
      <c r="U309" s="65" t="s">
        <v>44</v>
      </c>
      <c r="V309" s="65" t="s">
        <v>45</v>
      </c>
      <c r="W309" s="65" t="s">
        <v>60</v>
      </c>
      <c r="X309">
        <v>139.83000000000001</v>
      </c>
      <c r="Y309" s="65" t="s">
        <v>289</v>
      </c>
      <c r="Z309" s="65" t="s">
        <v>48</v>
      </c>
      <c r="AA309" s="65" t="s">
        <v>49</v>
      </c>
      <c r="AB309">
        <v>994872106</v>
      </c>
      <c r="AC309" s="65" t="s">
        <v>1253</v>
      </c>
    </row>
    <row r="310" spans="1:30" x14ac:dyDescent="0.3">
      <c r="A310" s="1">
        <v>46225</v>
      </c>
      <c r="B310" s="65" t="s">
        <v>3550</v>
      </c>
      <c r="C310" s="65" t="s">
        <v>3810</v>
      </c>
      <c r="D310" s="65" t="s">
        <v>29</v>
      </c>
      <c r="E310" s="65" t="s">
        <v>3811</v>
      </c>
      <c r="F310" s="65" t="s">
        <v>31</v>
      </c>
      <c r="G310" s="65" t="s">
        <v>3812</v>
      </c>
      <c r="H310" s="65" t="s">
        <v>3813</v>
      </c>
      <c r="I310" s="65" t="s">
        <v>3814</v>
      </c>
      <c r="J310" s="65" t="s">
        <v>1322</v>
      </c>
      <c r="K310" s="65" t="s">
        <v>36</v>
      </c>
      <c r="L310" s="65" t="s">
        <v>37</v>
      </c>
      <c r="M310" s="65" t="s">
        <v>3815</v>
      </c>
      <c r="N310" s="65" t="s">
        <v>3816</v>
      </c>
      <c r="O310" s="65" t="s">
        <v>3813</v>
      </c>
      <c r="P310" s="65" t="s">
        <v>3817</v>
      </c>
      <c r="Q310" s="65" t="s">
        <v>41</v>
      </c>
      <c r="R310">
        <v>1</v>
      </c>
      <c r="S310" s="65" t="s">
        <v>70</v>
      </c>
      <c r="T310" s="65" t="s">
        <v>43</v>
      </c>
      <c r="U310" s="65" t="s">
        <v>44</v>
      </c>
      <c r="V310" s="65" t="s">
        <v>71</v>
      </c>
      <c r="W310" s="65" t="s">
        <v>72</v>
      </c>
      <c r="X310">
        <v>186.44</v>
      </c>
      <c r="Y310" s="65" t="s">
        <v>47</v>
      </c>
      <c r="Z310" s="65" t="s">
        <v>48</v>
      </c>
      <c r="AA310" s="65" t="s">
        <v>73</v>
      </c>
      <c r="AB310">
        <v>999111362</v>
      </c>
      <c r="AC310" s="65" t="s">
        <v>1326</v>
      </c>
      <c r="AD310">
        <v>50</v>
      </c>
    </row>
    <row r="311" spans="1:30" x14ac:dyDescent="0.3">
      <c r="A311" s="1">
        <v>46225</v>
      </c>
      <c r="B311" s="65" t="s">
        <v>3550</v>
      </c>
      <c r="C311" s="65" t="s">
        <v>3818</v>
      </c>
      <c r="D311" s="65" t="s">
        <v>29</v>
      </c>
      <c r="E311" s="65" t="s">
        <v>3819</v>
      </c>
      <c r="F311" s="65" t="s">
        <v>31</v>
      </c>
      <c r="G311" s="65" t="s">
        <v>3820</v>
      </c>
      <c r="H311" s="65" t="s">
        <v>3821</v>
      </c>
      <c r="I311" s="65" t="s">
        <v>3822</v>
      </c>
      <c r="J311" s="65" t="s">
        <v>3530</v>
      </c>
      <c r="K311" s="65" t="s">
        <v>629</v>
      </c>
      <c r="L311" s="65" t="s">
        <v>37</v>
      </c>
      <c r="M311" s="65" t="s">
        <v>3823</v>
      </c>
      <c r="N311" s="65" t="s">
        <v>3824</v>
      </c>
      <c r="O311" s="65" t="s">
        <v>3821</v>
      </c>
      <c r="P311" s="65" t="s">
        <v>3825</v>
      </c>
      <c r="Q311" s="65" t="s">
        <v>101</v>
      </c>
      <c r="R311">
        <v>1</v>
      </c>
      <c r="S311" s="65" t="s">
        <v>42</v>
      </c>
      <c r="T311" s="65" t="s">
        <v>44</v>
      </c>
      <c r="U311" s="65" t="s">
        <v>44</v>
      </c>
      <c r="V311" s="65" t="s">
        <v>45</v>
      </c>
      <c r="W311" s="65" t="s">
        <v>60</v>
      </c>
      <c r="X311">
        <v>186.44</v>
      </c>
      <c r="Y311" s="65" t="s">
        <v>47</v>
      </c>
      <c r="Z311" s="65" t="s">
        <v>48</v>
      </c>
      <c r="AA311" s="65" t="s">
        <v>49</v>
      </c>
      <c r="AB311">
        <v>990440701</v>
      </c>
      <c r="AC311" s="65"/>
      <c r="AD311">
        <v>50</v>
      </c>
    </row>
    <row r="312" spans="1:30" x14ac:dyDescent="0.3">
      <c r="A312" s="1">
        <v>46225</v>
      </c>
      <c r="B312" s="65" t="s">
        <v>3550</v>
      </c>
      <c r="C312" s="65" t="s">
        <v>3826</v>
      </c>
      <c r="D312" s="65" t="s">
        <v>29</v>
      </c>
      <c r="E312" s="65" t="s">
        <v>3827</v>
      </c>
      <c r="F312" s="65" t="s">
        <v>31</v>
      </c>
      <c r="G312" s="65" t="s">
        <v>3828</v>
      </c>
      <c r="H312" s="65" t="s">
        <v>3829</v>
      </c>
      <c r="I312" s="65" t="s">
        <v>3830</v>
      </c>
      <c r="J312" s="65" t="s">
        <v>3831</v>
      </c>
      <c r="K312" s="65"/>
      <c r="L312" s="65" t="s">
        <v>37</v>
      </c>
      <c r="M312" s="65" t="s">
        <v>3832</v>
      </c>
      <c r="N312" s="65" t="s">
        <v>3833</v>
      </c>
      <c r="O312" s="65" t="s">
        <v>3829</v>
      </c>
      <c r="P312" s="65" t="s">
        <v>3834</v>
      </c>
      <c r="Q312" s="65" t="s">
        <v>41</v>
      </c>
      <c r="R312">
        <v>1</v>
      </c>
      <c r="S312" s="65" t="s">
        <v>42</v>
      </c>
      <c r="T312" s="65" t="s">
        <v>44</v>
      </c>
      <c r="U312" s="65" t="s">
        <v>44</v>
      </c>
      <c r="V312" s="65" t="s">
        <v>45</v>
      </c>
      <c r="W312" s="65" t="s">
        <v>60</v>
      </c>
      <c r="X312">
        <v>186.44</v>
      </c>
      <c r="Y312" s="65" t="s">
        <v>47</v>
      </c>
      <c r="Z312" s="65" t="s">
        <v>48</v>
      </c>
      <c r="AA312" s="65" t="s">
        <v>49</v>
      </c>
      <c r="AC312" s="65"/>
      <c r="AD312">
        <v>50</v>
      </c>
    </row>
    <row r="313" spans="1:30" x14ac:dyDescent="0.3">
      <c r="A313" s="1">
        <v>46227</v>
      </c>
      <c r="B313" s="65" t="s">
        <v>3550</v>
      </c>
      <c r="C313" s="65" t="s">
        <v>3851</v>
      </c>
      <c r="D313" s="65" t="s">
        <v>268</v>
      </c>
      <c r="E313" s="65" t="s">
        <v>3852</v>
      </c>
      <c r="F313" s="65" t="s">
        <v>31</v>
      </c>
      <c r="G313" s="65" t="s">
        <v>3853</v>
      </c>
      <c r="H313" s="65" t="s">
        <v>3854</v>
      </c>
      <c r="I313" s="65" t="s">
        <v>3855</v>
      </c>
      <c r="J313" s="65" t="s">
        <v>477</v>
      </c>
      <c r="K313" s="65" t="s">
        <v>209</v>
      </c>
      <c r="L313" s="65" t="s">
        <v>37</v>
      </c>
      <c r="M313" s="65" t="s">
        <v>3856</v>
      </c>
      <c r="N313" s="65" t="s">
        <v>3857</v>
      </c>
      <c r="O313" s="65" t="s">
        <v>486</v>
      </c>
      <c r="P313" s="65" t="s">
        <v>3858</v>
      </c>
      <c r="Q313" s="65" t="s">
        <v>59</v>
      </c>
      <c r="R313">
        <v>1</v>
      </c>
      <c r="S313" s="65" t="s">
        <v>42</v>
      </c>
      <c r="T313" s="65" t="s">
        <v>44</v>
      </c>
      <c r="U313" s="65" t="s">
        <v>44</v>
      </c>
      <c r="V313" s="65" t="s">
        <v>45</v>
      </c>
      <c r="W313" s="65" t="s">
        <v>60</v>
      </c>
      <c r="X313">
        <v>101.69</v>
      </c>
      <c r="Y313" s="65" t="s">
        <v>61</v>
      </c>
      <c r="Z313" s="65" t="s">
        <v>48</v>
      </c>
      <c r="AA313" s="65" t="s">
        <v>49</v>
      </c>
      <c r="AB313">
        <v>982536223</v>
      </c>
      <c r="AC313" s="65" t="s">
        <v>482</v>
      </c>
    </row>
    <row r="314" spans="1:30" x14ac:dyDescent="0.3">
      <c r="A314" s="1">
        <v>46227</v>
      </c>
      <c r="B314" s="65" t="s">
        <v>3550</v>
      </c>
      <c r="C314" s="65" t="s">
        <v>3843</v>
      </c>
      <c r="D314" s="65" t="s">
        <v>29</v>
      </c>
      <c r="E314" s="65" t="s">
        <v>3844</v>
      </c>
      <c r="F314" s="65" t="s">
        <v>31</v>
      </c>
      <c r="G314" s="65" t="s">
        <v>3845</v>
      </c>
      <c r="H314" s="65" t="s">
        <v>3846</v>
      </c>
      <c r="I314" s="65" t="s">
        <v>3847</v>
      </c>
      <c r="J314" s="65" t="s">
        <v>774</v>
      </c>
      <c r="K314" s="65" t="s">
        <v>775</v>
      </c>
      <c r="L314" s="65" t="s">
        <v>37</v>
      </c>
      <c r="M314" s="65" t="s">
        <v>3848</v>
      </c>
      <c r="N314" s="65" t="s">
        <v>3849</v>
      </c>
      <c r="O314" s="65" t="s">
        <v>3846</v>
      </c>
      <c r="P314" s="65" t="s">
        <v>3850</v>
      </c>
      <c r="Q314" s="65" t="s">
        <v>641</v>
      </c>
      <c r="R314">
        <v>1</v>
      </c>
      <c r="S314" s="65" t="s">
        <v>42</v>
      </c>
      <c r="T314" s="65" t="s">
        <v>44</v>
      </c>
      <c r="U314" s="65" t="s">
        <v>44</v>
      </c>
      <c r="V314" s="65" t="s">
        <v>45</v>
      </c>
      <c r="W314" s="65" t="s">
        <v>60</v>
      </c>
      <c r="X314">
        <v>84.75</v>
      </c>
      <c r="Y314" s="65" t="s">
        <v>47</v>
      </c>
      <c r="Z314" s="65" t="s">
        <v>48</v>
      </c>
      <c r="AA314" s="65" t="s">
        <v>49</v>
      </c>
      <c r="AC314" s="65"/>
    </row>
    <row r="315" spans="1:30" x14ac:dyDescent="0.3">
      <c r="A315" s="1">
        <v>46227</v>
      </c>
      <c r="B315" s="65" t="s">
        <v>3550</v>
      </c>
      <c r="C315" s="65" t="s">
        <v>3835</v>
      </c>
      <c r="D315" s="65" t="s">
        <v>29</v>
      </c>
      <c r="E315" s="65" t="s">
        <v>3836</v>
      </c>
      <c r="F315" s="65" t="s">
        <v>31</v>
      </c>
      <c r="G315" s="65" t="s">
        <v>3837</v>
      </c>
      <c r="H315" s="65" t="s">
        <v>3838</v>
      </c>
      <c r="I315" s="65" t="s">
        <v>3839</v>
      </c>
      <c r="J315" s="65" t="s">
        <v>1700</v>
      </c>
      <c r="K315" s="65" t="s">
        <v>1165</v>
      </c>
      <c r="L315" s="65" t="s">
        <v>37</v>
      </c>
      <c r="M315" s="65" t="s">
        <v>3840</v>
      </c>
      <c r="N315" s="65" t="s">
        <v>3841</v>
      </c>
      <c r="O315" s="65" t="s">
        <v>3838</v>
      </c>
      <c r="P315" s="65" t="s">
        <v>3842</v>
      </c>
      <c r="Q315" s="65" t="s">
        <v>1157</v>
      </c>
      <c r="R315">
        <v>1</v>
      </c>
      <c r="S315" s="65" t="s">
        <v>42</v>
      </c>
      <c r="T315" s="65" t="s">
        <v>44</v>
      </c>
      <c r="U315" s="65" t="s">
        <v>44</v>
      </c>
      <c r="V315" s="65" t="s">
        <v>45</v>
      </c>
      <c r="W315" s="65" t="s">
        <v>60</v>
      </c>
      <c r="X315">
        <v>338.98</v>
      </c>
      <c r="Y315" s="65" t="s">
        <v>47</v>
      </c>
      <c r="Z315" s="65" t="s">
        <v>48</v>
      </c>
      <c r="AA315" s="65" t="s">
        <v>49</v>
      </c>
      <c r="AC315" s="65"/>
      <c r="AD315">
        <v>100</v>
      </c>
    </row>
    <row r="316" spans="1:30" x14ac:dyDescent="0.3">
      <c r="A316" s="1">
        <v>46228</v>
      </c>
      <c r="B316" s="65" t="s">
        <v>3550</v>
      </c>
      <c r="C316" s="65" t="s">
        <v>3859</v>
      </c>
      <c r="D316" s="65" t="s">
        <v>268</v>
      </c>
      <c r="E316" s="65" t="s">
        <v>3860</v>
      </c>
      <c r="F316" s="65" t="s">
        <v>31</v>
      </c>
      <c r="G316" s="65" t="s">
        <v>3861</v>
      </c>
      <c r="H316" s="65" t="s">
        <v>3846</v>
      </c>
      <c r="I316" s="65" t="s">
        <v>3847</v>
      </c>
      <c r="J316" s="65" t="s">
        <v>774</v>
      </c>
      <c r="K316" s="65" t="s">
        <v>775</v>
      </c>
      <c r="L316" s="65" t="s">
        <v>37</v>
      </c>
      <c r="M316" s="65" t="s">
        <v>3848</v>
      </c>
      <c r="N316" s="65" t="s">
        <v>3849</v>
      </c>
      <c r="O316" s="65" t="s">
        <v>798</v>
      </c>
      <c r="P316" s="65" t="s">
        <v>3862</v>
      </c>
      <c r="Q316" s="65" t="s">
        <v>288</v>
      </c>
      <c r="R316">
        <v>1</v>
      </c>
      <c r="S316" s="65" t="s">
        <v>42</v>
      </c>
      <c r="T316" s="65" t="s">
        <v>44</v>
      </c>
      <c r="U316" s="65" t="s">
        <v>44</v>
      </c>
      <c r="V316" s="65" t="s">
        <v>45</v>
      </c>
      <c r="W316" s="65" t="s">
        <v>60</v>
      </c>
      <c r="X316">
        <v>0</v>
      </c>
      <c r="Y316" s="65" t="s">
        <v>289</v>
      </c>
      <c r="Z316" s="65" t="s">
        <v>48</v>
      </c>
      <c r="AA316" s="65" t="s">
        <v>49</v>
      </c>
      <c r="AC316" s="65"/>
    </row>
    <row r="317" spans="1:30" x14ac:dyDescent="0.3">
      <c r="A317" s="1">
        <v>46228</v>
      </c>
      <c r="B317" s="65" t="s">
        <v>3550</v>
      </c>
      <c r="C317" s="65" t="s">
        <v>3859</v>
      </c>
      <c r="D317" s="65" t="s">
        <v>268</v>
      </c>
      <c r="E317" s="65" t="s">
        <v>3860</v>
      </c>
      <c r="F317" s="65" t="s">
        <v>31</v>
      </c>
      <c r="G317" s="65" t="s">
        <v>3861</v>
      </c>
      <c r="H317" s="65" t="s">
        <v>3846</v>
      </c>
      <c r="I317" s="65" t="s">
        <v>3847</v>
      </c>
      <c r="J317" s="65" t="s">
        <v>774</v>
      </c>
      <c r="K317" s="65" t="s">
        <v>775</v>
      </c>
      <c r="L317" s="65" t="s">
        <v>37</v>
      </c>
      <c r="M317" s="65" t="s">
        <v>3848</v>
      </c>
      <c r="N317" s="65" t="s">
        <v>3849</v>
      </c>
      <c r="O317" s="65" t="s">
        <v>798</v>
      </c>
      <c r="P317" s="65" t="s">
        <v>3862</v>
      </c>
      <c r="Q317" s="65" t="s">
        <v>1620</v>
      </c>
      <c r="R317">
        <v>1</v>
      </c>
      <c r="S317" s="65" t="s">
        <v>42</v>
      </c>
      <c r="T317" s="65" t="s">
        <v>44</v>
      </c>
      <c r="U317" s="65" t="s">
        <v>44</v>
      </c>
      <c r="V317" s="65" t="s">
        <v>45</v>
      </c>
      <c r="W317" s="65" t="s">
        <v>60</v>
      </c>
      <c r="X317">
        <v>762.71</v>
      </c>
      <c r="Y317" s="65" t="s">
        <v>289</v>
      </c>
      <c r="Z317" s="65" t="s">
        <v>48</v>
      </c>
      <c r="AA317" s="65" t="s">
        <v>49</v>
      </c>
      <c r="AC317" s="65"/>
    </row>
    <row r="318" spans="1:30" x14ac:dyDescent="0.3">
      <c r="A318" s="1">
        <v>46228</v>
      </c>
      <c r="B318" s="65" t="s">
        <v>3550</v>
      </c>
      <c r="C318" s="65" t="s">
        <v>3863</v>
      </c>
      <c r="D318" s="65" t="s">
        <v>29</v>
      </c>
      <c r="E318" s="65" t="s">
        <v>3864</v>
      </c>
      <c r="F318" s="65" t="s">
        <v>31</v>
      </c>
      <c r="G318" s="65" t="s">
        <v>3865</v>
      </c>
      <c r="H318" s="65" t="s">
        <v>3866</v>
      </c>
      <c r="I318" s="65" t="s">
        <v>3867</v>
      </c>
      <c r="J318" s="65" t="s">
        <v>3116</v>
      </c>
      <c r="K318" s="65" t="s">
        <v>2558</v>
      </c>
      <c r="L318" s="65" t="s">
        <v>37</v>
      </c>
      <c r="M318" s="65" t="s">
        <v>3868</v>
      </c>
      <c r="N318" s="65" t="s">
        <v>3869</v>
      </c>
      <c r="O318" s="65" t="s">
        <v>3866</v>
      </c>
      <c r="P318" s="65" t="s">
        <v>3870</v>
      </c>
      <c r="Q318" s="65" t="s">
        <v>288</v>
      </c>
      <c r="R318">
        <v>1</v>
      </c>
      <c r="S318" s="65" t="s">
        <v>42</v>
      </c>
      <c r="T318" s="65" t="s">
        <v>44</v>
      </c>
      <c r="U318" s="65" t="s">
        <v>44</v>
      </c>
      <c r="V318" s="65" t="s">
        <v>45</v>
      </c>
      <c r="W318" s="65" t="s">
        <v>60</v>
      </c>
      <c r="X318">
        <v>0</v>
      </c>
      <c r="Y318" s="65" t="s">
        <v>289</v>
      </c>
      <c r="Z318" s="65" t="s">
        <v>48</v>
      </c>
      <c r="AA318" s="65" t="s">
        <v>49</v>
      </c>
      <c r="AB318">
        <v>973914900</v>
      </c>
      <c r="AC318" s="65" t="s">
        <v>3117</v>
      </c>
    </row>
    <row r="319" spans="1:30" x14ac:dyDescent="0.3">
      <c r="A319" s="1">
        <v>46228</v>
      </c>
      <c r="B319" s="65" t="s">
        <v>3550</v>
      </c>
      <c r="C319" s="65" t="s">
        <v>3863</v>
      </c>
      <c r="D319" s="65" t="s">
        <v>29</v>
      </c>
      <c r="E319" s="65" t="s">
        <v>3864</v>
      </c>
      <c r="F319" s="65" t="s">
        <v>31</v>
      </c>
      <c r="G319" s="65" t="s">
        <v>3865</v>
      </c>
      <c r="H319" s="65" t="s">
        <v>3866</v>
      </c>
      <c r="I319" s="65" t="s">
        <v>3867</v>
      </c>
      <c r="J319" s="65" t="s">
        <v>3116</v>
      </c>
      <c r="K319" s="65" t="s">
        <v>2558</v>
      </c>
      <c r="L319" s="65" t="s">
        <v>37</v>
      </c>
      <c r="M319" s="65" t="s">
        <v>3868</v>
      </c>
      <c r="N319" s="65" t="s">
        <v>3869</v>
      </c>
      <c r="O319" s="65" t="s">
        <v>3866</v>
      </c>
      <c r="P319" s="65" t="s">
        <v>3870</v>
      </c>
      <c r="Q319" s="65" t="s">
        <v>1620</v>
      </c>
      <c r="R319">
        <v>1</v>
      </c>
      <c r="S319" s="65" t="s">
        <v>42</v>
      </c>
      <c r="T319" s="65" t="s">
        <v>44</v>
      </c>
      <c r="U319" s="65" t="s">
        <v>44</v>
      </c>
      <c r="V319" s="65" t="s">
        <v>45</v>
      </c>
      <c r="W319" s="65" t="s">
        <v>60</v>
      </c>
      <c r="X319">
        <v>762.71</v>
      </c>
      <c r="Y319" s="65" t="s">
        <v>289</v>
      </c>
      <c r="Z319" s="65" t="s">
        <v>48</v>
      </c>
      <c r="AA319" s="65" t="s">
        <v>49</v>
      </c>
      <c r="AB319">
        <v>973914900</v>
      </c>
      <c r="AC319" s="65" t="s">
        <v>3117</v>
      </c>
    </row>
    <row r="320" spans="1:30" x14ac:dyDescent="0.3">
      <c r="A320" s="1">
        <v>46228</v>
      </c>
      <c r="B320" s="65" t="s">
        <v>3550</v>
      </c>
      <c r="C320" s="65" t="s">
        <v>3871</v>
      </c>
      <c r="D320" s="65" t="s">
        <v>29</v>
      </c>
      <c r="E320" s="65" t="s">
        <v>3872</v>
      </c>
      <c r="F320" s="65" t="s">
        <v>31</v>
      </c>
      <c r="G320" s="65" t="s">
        <v>3873</v>
      </c>
      <c r="H320" s="65" t="s">
        <v>3874</v>
      </c>
      <c r="I320" s="65" t="s">
        <v>3875</v>
      </c>
      <c r="J320" s="65"/>
      <c r="K320" s="65"/>
      <c r="L320" s="65" t="s">
        <v>37</v>
      </c>
      <c r="M320" s="65" t="s">
        <v>3876</v>
      </c>
      <c r="N320" s="65" t="s">
        <v>3877</v>
      </c>
      <c r="O320" s="65" t="s">
        <v>3874</v>
      </c>
      <c r="P320" s="65" t="s">
        <v>3878</v>
      </c>
      <c r="Q320" s="65" t="s">
        <v>90</v>
      </c>
      <c r="R320">
        <v>1</v>
      </c>
      <c r="S320" s="65" t="s">
        <v>42</v>
      </c>
      <c r="T320" s="65" t="s">
        <v>44</v>
      </c>
      <c r="U320" s="65" t="s">
        <v>44</v>
      </c>
      <c r="V320" s="65" t="s">
        <v>45</v>
      </c>
      <c r="W320" s="65" t="s">
        <v>60</v>
      </c>
      <c r="X320">
        <v>135.59</v>
      </c>
      <c r="Y320" s="65" t="s">
        <v>47</v>
      </c>
      <c r="Z320" s="65" t="s">
        <v>48</v>
      </c>
      <c r="AA320" s="65" t="s">
        <v>49</v>
      </c>
      <c r="AC320" s="65"/>
      <c r="AD320">
        <v>30</v>
      </c>
    </row>
    <row r="321" spans="1:30" x14ac:dyDescent="0.3">
      <c r="A321" s="1">
        <v>46230</v>
      </c>
      <c r="B321" s="65" t="s">
        <v>3550</v>
      </c>
      <c r="C321" s="65" t="s">
        <v>3879</v>
      </c>
      <c r="D321" s="65" t="s">
        <v>29</v>
      </c>
      <c r="E321" s="65" t="s">
        <v>3880</v>
      </c>
      <c r="F321" s="65" t="s">
        <v>31</v>
      </c>
      <c r="G321" s="65" t="s">
        <v>3881</v>
      </c>
      <c r="H321" s="65" t="s">
        <v>3882</v>
      </c>
      <c r="I321" s="65" t="s">
        <v>3883</v>
      </c>
      <c r="J321" s="65"/>
      <c r="K321" s="65"/>
      <c r="L321" s="65" t="s">
        <v>37</v>
      </c>
      <c r="M321" s="65" t="s">
        <v>3884</v>
      </c>
      <c r="N321" s="65" t="s">
        <v>3885</v>
      </c>
      <c r="O321" s="65" t="s">
        <v>3882</v>
      </c>
      <c r="P321" s="65" t="s">
        <v>3886</v>
      </c>
      <c r="Q321" s="65" t="s">
        <v>90</v>
      </c>
      <c r="R321">
        <v>1</v>
      </c>
      <c r="S321" s="65" t="s">
        <v>70</v>
      </c>
      <c r="T321" s="65" t="s">
        <v>43</v>
      </c>
      <c r="U321" s="65" t="s">
        <v>44</v>
      </c>
      <c r="V321" s="65" t="s">
        <v>71</v>
      </c>
      <c r="W321" s="65" t="s">
        <v>184</v>
      </c>
      <c r="X321">
        <v>135.59</v>
      </c>
      <c r="Y321" s="65" t="s">
        <v>47</v>
      </c>
      <c r="Z321" s="65" t="s">
        <v>48</v>
      </c>
      <c r="AA321" s="65" t="s">
        <v>73</v>
      </c>
      <c r="AC321" s="65"/>
      <c r="AD321">
        <v>30</v>
      </c>
    </row>
    <row r="322" spans="1:30" x14ac:dyDescent="0.3">
      <c r="A322" s="1">
        <v>46230</v>
      </c>
      <c r="B322" s="65" t="s">
        <v>3550</v>
      </c>
      <c r="C322" s="65" t="s">
        <v>3887</v>
      </c>
      <c r="D322" s="65" t="s">
        <v>29</v>
      </c>
      <c r="E322" s="65" t="s">
        <v>3888</v>
      </c>
      <c r="F322" s="65" t="s">
        <v>31</v>
      </c>
      <c r="G322" s="65" t="s">
        <v>3889</v>
      </c>
      <c r="H322" s="65" t="s">
        <v>3890</v>
      </c>
      <c r="I322" s="65" t="s">
        <v>3891</v>
      </c>
      <c r="J322" s="65"/>
      <c r="K322" s="65"/>
      <c r="L322" s="65" t="s">
        <v>37</v>
      </c>
      <c r="M322" s="65" t="s">
        <v>3892</v>
      </c>
      <c r="N322" s="65" t="s">
        <v>3893</v>
      </c>
      <c r="O322" s="65" t="s">
        <v>3890</v>
      </c>
      <c r="P322" s="65" t="s">
        <v>3894</v>
      </c>
      <c r="Q322" s="65" t="s">
        <v>1565</v>
      </c>
      <c r="R322">
        <v>1</v>
      </c>
      <c r="S322" s="65" t="s">
        <v>42</v>
      </c>
      <c r="T322" s="65" t="s">
        <v>44</v>
      </c>
      <c r="U322" s="65" t="s">
        <v>44</v>
      </c>
      <c r="V322" s="65" t="s">
        <v>45</v>
      </c>
      <c r="W322" s="65" t="s">
        <v>60</v>
      </c>
      <c r="X322">
        <v>152.54</v>
      </c>
      <c r="Y322" s="65" t="s">
        <v>61</v>
      </c>
      <c r="Z322" s="65" t="s">
        <v>48</v>
      </c>
      <c r="AA322" s="65" t="s">
        <v>49</v>
      </c>
      <c r="AC322" s="65"/>
    </row>
    <row r="323" spans="1:30" x14ac:dyDescent="0.3">
      <c r="A323" s="1">
        <v>46230</v>
      </c>
      <c r="B323" s="65" t="s">
        <v>3550</v>
      </c>
      <c r="C323" s="65" t="s">
        <v>3895</v>
      </c>
      <c r="D323" s="65" t="s">
        <v>29</v>
      </c>
      <c r="E323" s="65" t="s">
        <v>3896</v>
      </c>
      <c r="F323" s="65" t="s">
        <v>31</v>
      </c>
      <c r="G323" s="65" t="s">
        <v>3897</v>
      </c>
      <c r="H323" s="65" t="s">
        <v>3898</v>
      </c>
      <c r="I323" s="65" t="s">
        <v>3899</v>
      </c>
      <c r="J323" s="65"/>
      <c r="K323" s="65"/>
      <c r="L323" s="65" t="s">
        <v>37</v>
      </c>
      <c r="M323" s="65" t="s">
        <v>3900</v>
      </c>
      <c r="N323" s="65" t="s">
        <v>3901</v>
      </c>
      <c r="O323" s="65" t="s">
        <v>3898</v>
      </c>
      <c r="P323" s="65" t="s">
        <v>3902</v>
      </c>
      <c r="Q323" s="65" t="s">
        <v>130</v>
      </c>
      <c r="R323">
        <v>1</v>
      </c>
      <c r="S323" s="65" t="s">
        <v>42</v>
      </c>
      <c r="T323" s="65" t="s">
        <v>44</v>
      </c>
      <c r="U323" s="65" t="s">
        <v>44</v>
      </c>
      <c r="V323" s="65" t="s">
        <v>45</v>
      </c>
      <c r="W323" s="65" t="s">
        <v>60</v>
      </c>
      <c r="X323">
        <v>152.54</v>
      </c>
      <c r="Y323" s="65" t="s">
        <v>47</v>
      </c>
      <c r="Z323" s="65" t="s">
        <v>48</v>
      </c>
      <c r="AA323" s="65" t="s">
        <v>49</v>
      </c>
      <c r="AC323" s="65"/>
      <c r="AD323">
        <v>30</v>
      </c>
    </row>
    <row r="324" spans="1:30" x14ac:dyDescent="0.3">
      <c r="A324" s="1">
        <v>46230</v>
      </c>
      <c r="B324" s="65" t="s">
        <v>3550</v>
      </c>
      <c r="C324" s="65" t="s">
        <v>3903</v>
      </c>
      <c r="D324" s="65" t="s">
        <v>399</v>
      </c>
      <c r="E324" s="65" t="s">
        <v>3896</v>
      </c>
      <c r="F324" s="65" t="s">
        <v>400</v>
      </c>
      <c r="G324" s="65" t="s">
        <v>3904</v>
      </c>
      <c r="H324" s="65" t="s">
        <v>3898</v>
      </c>
      <c r="I324" s="65" t="s">
        <v>3899</v>
      </c>
      <c r="J324" s="65"/>
      <c r="K324" s="65"/>
      <c r="L324" s="65" t="s">
        <v>400</v>
      </c>
      <c r="M324" s="65" t="s">
        <v>3900</v>
      </c>
      <c r="N324" s="65" t="s">
        <v>3901</v>
      </c>
      <c r="O324" s="65" t="s">
        <v>3898</v>
      </c>
      <c r="P324" s="65" t="s">
        <v>3902</v>
      </c>
      <c r="Q324" s="65" t="s">
        <v>130</v>
      </c>
      <c r="R324">
        <v>1</v>
      </c>
      <c r="S324" s="65" t="s">
        <v>42</v>
      </c>
      <c r="T324" s="65" t="s">
        <v>44</v>
      </c>
      <c r="U324" s="65" t="s">
        <v>44</v>
      </c>
      <c r="V324" s="65" t="s">
        <v>45</v>
      </c>
      <c r="W324" s="65" t="s">
        <v>60</v>
      </c>
      <c r="X324">
        <v>-152.54</v>
      </c>
      <c r="Y324" s="65" t="s">
        <v>47</v>
      </c>
      <c r="Z324" s="65" t="s">
        <v>48</v>
      </c>
      <c r="AA324" s="65" t="s">
        <v>49</v>
      </c>
      <c r="AC324" s="65"/>
      <c r="AD324">
        <v>30</v>
      </c>
    </row>
    <row r="325" spans="1:30" x14ac:dyDescent="0.3">
      <c r="A325" s="1">
        <v>46230</v>
      </c>
      <c r="B325" s="65" t="s">
        <v>3550</v>
      </c>
      <c r="C325" s="65" t="s">
        <v>3905</v>
      </c>
      <c r="D325" s="65" t="s">
        <v>29</v>
      </c>
      <c r="E325" s="65" t="s">
        <v>3906</v>
      </c>
      <c r="F325" s="65" t="s">
        <v>31</v>
      </c>
      <c r="G325" s="65" t="s">
        <v>3907</v>
      </c>
      <c r="H325" s="65" t="s">
        <v>3908</v>
      </c>
      <c r="I325" s="65" t="s">
        <v>3909</v>
      </c>
      <c r="J325" s="65"/>
      <c r="K325" s="65"/>
      <c r="L325" s="65" t="s">
        <v>37</v>
      </c>
      <c r="M325" s="65" t="s">
        <v>3910</v>
      </c>
      <c r="N325" s="65" t="s">
        <v>3911</v>
      </c>
      <c r="O325" s="65" t="s">
        <v>3908</v>
      </c>
      <c r="P325" s="65" t="s">
        <v>3912</v>
      </c>
      <c r="Q325" s="65" t="s">
        <v>41</v>
      </c>
      <c r="R325">
        <v>1</v>
      </c>
      <c r="S325" s="65" t="s">
        <v>42</v>
      </c>
      <c r="T325" s="65" t="s">
        <v>44</v>
      </c>
      <c r="U325" s="65" t="s">
        <v>44</v>
      </c>
      <c r="V325" s="65" t="s">
        <v>45</v>
      </c>
      <c r="W325" s="65" t="s">
        <v>60</v>
      </c>
      <c r="X325">
        <v>186.44</v>
      </c>
      <c r="Y325" s="65" t="s">
        <v>47</v>
      </c>
      <c r="Z325" s="65" t="s">
        <v>48</v>
      </c>
      <c r="AA325" s="65" t="s">
        <v>49</v>
      </c>
      <c r="AC325" s="65"/>
      <c r="AD325">
        <v>50</v>
      </c>
    </row>
    <row r="326" spans="1:30" x14ac:dyDescent="0.3">
      <c r="A326" s="1">
        <v>46230</v>
      </c>
      <c r="B326" s="65" t="s">
        <v>3550</v>
      </c>
      <c r="C326" s="65" t="s">
        <v>3905</v>
      </c>
      <c r="D326" s="65" t="s">
        <v>29</v>
      </c>
      <c r="E326" s="65" t="s">
        <v>3906</v>
      </c>
      <c r="F326" s="65" t="s">
        <v>31</v>
      </c>
      <c r="G326" s="65" t="s">
        <v>3907</v>
      </c>
      <c r="H326" s="65" t="s">
        <v>3908</v>
      </c>
      <c r="I326" s="65" t="s">
        <v>3909</v>
      </c>
      <c r="J326" s="65"/>
      <c r="K326" s="65"/>
      <c r="L326" s="65" t="s">
        <v>37</v>
      </c>
      <c r="M326" s="65" t="s">
        <v>3910</v>
      </c>
      <c r="N326" s="65" t="s">
        <v>3911</v>
      </c>
      <c r="O326" s="65" t="s">
        <v>3908</v>
      </c>
      <c r="P326" s="65" t="s">
        <v>3912</v>
      </c>
      <c r="Q326" s="65" t="s">
        <v>101</v>
      </c>
      <c r="R326">
        <v>1</v>
      </c>
      <c r="S326" s="65" t="s">
        <v>42</v>
      </c>
      <c r="T326" s="65" t="s">
        <v>44</v>
      </c>
      <c r="U326" s="65" t="s">
        <v>44</v>
      </c>
      <c r="V326" s="65" t="s">
        <v>45</v>
      </c>
      <c r="W326" s="65" t="s">
        <v>60</v>
      </c>
      <c r="X326">
        <v>186.44</v>
      </c>
      <c r="Y326" s="65" t="s">
        <v>47</v>
      </c>
      <c r="Z326" s="65" t="s">
        <v>48</v>
      </c>
      <c r="AA326" s="65" t="s">
        <v>49</v>
      </c>
      <c r="AC326" s="65"/>
      <c r="AD326">
        <v>50</v>
      </c>
    </row>
    <row r="327" spans="1:30" x14ac:dyDescent="0.3">
      <c r="A327" s="1">
        <v>46233</v>
      </c>
      <c r="B327" s="65" t="s">
        <v>3550</v>
      </c>
      <c r="C327" s="65" t="s">
        <v>3913</v>
      </c>
      <c r="D327" s="65" t="s">
        <v>29</v>
      </c>
      <c r="E327" s="65" t="s">
        <v>3914</v>
      </c>
      <c r="F327" s="65" t="s">
        <v>31</v>
      </c>
      <c r="G327" s="65" t="s">
        <v>3915</v>
      </c>
      <c r="H327" s="65" t="s">
        <v>3916</v>
      </c>
      <c r="I327" s="65" t="s">
        <v>3917</v>
      </c>
      <c r="J327" s="65"/>
      <c r="K327" s="65"/>
      <c r="L327" s="65" t="s">
        <v>37</v>
      </c>
      <c r="M327" s="65" t="s">
        <v>3918</v>
      </c>
      <c r="N327" s="65" t="s">
        <v>3919</v>
      </c>
      <c r="O327" s="65" t="s">
        <v>3916</v>
      </c>
      <c r="P327" s="65" t="s">
        <v>3920</v>
      </c>
      <c r="Q327" s="65" t="s">
        <v>130</v>
      </c>
      <c r="R327">
        <v>1</v>
      </c>
      <c r="S327" s="65" t="s">
        <v>42</v>
      </c>
      <c r="T327" s="65" t="s">
        <v>44</v>
      </c>
      <c r="U327" s="65" t="s">
        <v>44</v>
      </c>
      <c r="V327" s="65" t="s">
        <v>71</v>
      </c>
      <c r="W327" s="65" t="s">
        <v>184</v>
      </c>
      <c r="X327">
        <v>152.54</v>
      </c>
      <c r="Y327" s="65" t="s">
        <v>47</v>
      </c>
      <c r="Z327" s="65" t="s">
        <v>48</v>
      </c>
      <c r="AA327" s="65" t="s">
        <v>73</v>
      </c>
      <c r="AC327" s="65"/>
      <c r="AD327">
        <v>30</v>
      </c>
    </row>
    <row r="328" spans="1:30" x14ac:dyDescent="0.3">
      <c r="A328" s="1">
        <v>46233</v>
      </c>
      <c r="B328" s="65" t="s">
        <v>3550</v>
      </c>
      <c r="C328" s="65" t="s">
        <v>3921</v>
      </c>
      <c r="D328" s="65" t="s">
        <v>29</v>
      </c>
      <c r="E328" s="65" t="s">
        <v>3922</v>
      </c>
      <c r="F328" s="65" t="s">
        <v>31</v>
      </c>
      <c r="G328" s="65" t="s">
        <v>3923</v>
      </c>
      <c r="H328" s="65" t="s">
        <v>3924</v>
      </c>
      <c r="I328" s="65" t="s">
        <v>3925</v>
      </c>
      <c r="J328" s="65"/>
      <c r="K328" s="65"/>
      <c r="L328" s="65" t="s">
        <v>37</v>
      </c>
      <c r="M328" s="65" t="s">
        <v>3926</v>
      </c>
      <c r="N328" s="65" t="s">
        <v>3927</v>
      </c>
      <c r="O328" s="65" t="s">
        <v>3924</v>
      </c>
      <c r="P328" s="65" t="s">
        <v>3928</v>
      </c>
      <c r="Q328" s="65" t="s">
        <v>101</v>
      </c>
      <c r="R328">
        <v>1</v>
      </c>
      <c r="S328" s="65" t="s">
        <v>42</v>
      </c>
      <c r="T328" s="65" t="s">
        <v>44</v>
      </c>
      <c r="U328" s="65" t="s">
        <v>44</v>
      </c>
      <c r="V328" s="65" t="s">
        <v>45</v>
      </c>
      <c r="W328" s="65" t="s">
        <v>46</v>
      </c>
      <c r="X328">
        <v>186.44</v>
      </c>
      <c r="Y328" s="65" t="s">
        <v>47</v>
      </c>
      <c r="Z328" s="65" t="s">
        <v>48</v>
      </c>
      <c r="AA328" s="65" t="s">
        <v>49</v>
      </c>
      <c r="AC328" s="65"/>
      <c r="AD328">
        <v>50</v>
      </c>
    </row>
    <row r="329" spans="1:30" x14ac:dyDescent="0.3">
      <c r="A329" s="1">
        <v>46233</v>
      </c>
      <c r="B329" s="65" t="s">
        <v>3550</v>
      </c>
      <c r="C329" s="65" t="s">
        <v>3929</v>
      </c>
      <c r="D329" s="65" t="s">
        <v>29</v>
      </c>
      <c r="E329" s="65" t="s">
        <v>3930</v>
      </c>
      <c r="F329" s="65" t="s">
        <v>31</v>
      </c>
      <c r="G329" s="65" t="s">
        <v>3931</v>
      </c>
      <c r="H329" s="65" t="s">
        <v>3932</v>
      </c>
      <c r="I329" s="65" t="s">
        <v>3933</v>
      </c>
      <c r="J329" s="65"/>
      <c r="K329" s="65"/>
      <c r="L329" s="65" t="s">
        <v>37</v>
      </c>
      <c r="M329" s="65" t="s">
        <v>3934</v>
      </c>
      <c r="N329" s="65" t="s">
        <v>3935</v>
      </c>
      <c r="O329" s="65" t="s">
        <v>3932</v>
      </c>
      <c r="P329" s="65" t="s">
        <v>3936</v>
      </c>
      <c r="Q329" s="65" t="s">
        <v>101</v>
      </c>
      <c r="R329">
        <v>1</v>
      </c>
      <c r="S329" s="65" t="s">
        <v>42</v>
      </c>
      <c r="T329" s="65" t="s">
        <v>44</v>
      </c>
      <c r="U329" s="65" t="s">
        <v>44</v>
      </c>
      <c r="V329" s="65" t="s">
        <v>71</v>
      </c>
      <c r="W329" s="65" t="s">
        <v>184</v>
      </c>
      <c r="X329">
        <v>186.44</v>
      </c>
      <c r="Y329" s="65" t="s">
        <v>47</v>
      </c>
      <c r="Z329" s="65" t="s">
        <v>48</v>
      </c>
      <c r="AA329" s="65" t="s">
        <v>73</v>
      </c>
      <c r="AC329" s="65"/>
      <c r="AD329">
        <v>50</v>
      </c>
    </row>
    <row r="330" spans="1:30" x14ac:dyDescent="0.3">
      <c r="A330" s="1">
        <v>46233</v>
      </c>
      <c r="B330" s="65" t="s">
        <v>3550</v>
      </c>
      <c r="C330" s="65" t="s">
        <v>3937</v>
      </c>
      <c r="D330" s="65" t="s">
        <v>29</v>
      </c>
      <c r="E330" s="65" t="s">
        <v>3938</v>
      </c>
      <c r="F330" s="65" t="s">
        <v>31</v>
      </c>
      <c r="G330" s="65" t="s">
        <v>3939</v>
      </c>
      <c r="H330" s="65" t="s">
        <v>3940</v>
      </c>
      <c r="I330" s="65" t="s">
        <v>3941</v>
      </c>
      <c r="J330" s="65"/>
      <c r="K330" s="65"/>
      <c r="L330" s="65" t="s">
        <v>37</v>
      </c>
      <c r="M330" s="65" t="s">
        <v>3942</v>
      </c>
      <c r="N330" s="65" t="s">
        <v>3943</v>
      </c>
      <c r="O330" s="65" t="s">
        <v>3940</v>
      </c>
      <c r="P330" s="65" t="s">
        <v>3944</v>
      </c>
      <c r="Q330" s="65" t="s">
        <v>90</v>
      </c>
      <c r="R330">
        <v>1</v>
      </c>
      <c r="S330" s="65" t="s">
        <v>42</v>
      </c>
      <c r="T330" s="65" t="s">
        <v>44</v>
      </c>
      <c r="U330" s="65" t="s">
        <v>44</v>
      </c>
      <c r="V330" s="65" t="s">
        <v>45</v>
      </c>
      <c r="W330" s="65" t="s">
        <v>46</v>
      </c>
      <c r="X330">
        <v>135.59</v>
      </c>
      <c r="Y330" s="65" t="s">
        <v>47</v>
      </c>
      <c r="Z330" s="65" t="s">
        <v>48</v>
      </c>
      <c r="AA330" s="65" t="s">
        <v>49</v>
      </c>
      <c r="AC330" s="65"/>
      <c r="AD330">
        <v>30</v>
      </c>
    </row>
    <row r="331" spans="1:30" x14ac:dyDescent="0.3">
      <c r="A331" s="1">
        <v>46234</v>
      </c>
      <c r="B331" s="65" t="s">
        <v>3550</v>
      </c>
      <c r="C331" s="65" t="s">
        <v>3945</v>
      </c>
      <c r="D331" s="65" t="s">
        <v>29</v>
      </c>
      <c r="E331" s="65" t="s">
        <v>3946</v>
      </c>
      <c r="F331" s="65" t="s">
        <v>31</v>
      </c>
      <c r="G331" s="65" t="s">
        <v>3947</v>
      </c>
      <c r="H331" s="65" t="s">
        <v>3948</v>
      </c>
      <c r="I331" s="65" t="s">
        <v>3949</v>
      </c>
      <c r="J331" s="65"/>
      <c r="K331" s="65"/>
      <c r="L331" s="65" t="s">
        <v>37</v>
      </c>
      <c r="M331" s="65" t="s">
        <v>3950</v>
      </c>
      <c r="N331" s="65" t="s">
        <v>3951</v>
      </c>
      <c r="O331" s="65" t="s">
        <v>3948</v>
      </c>
      <c r="P331" s="65" t="s">
        <v>3952</v>
      </c>
      <c r="Q331" s="65" t="s">
        <v>201</v>
      </c>
      <c r="R331">
        <v>1</v>
      </c>
      <c r="S331" s="65" t="s">
        <v>42</v>
      </c>
      <c r="T331" s="65" t="s">
        <v>44</v>
      </c>
      <c r="U331" s="65" t="s">
        <v>44</v>
      </c>
      <c r="V331" s="65" t="s">
        <v>45</v>
      </c>
      <c r="W331" s="65" t="s">
        <v>46</v>
      </c>
      <c r="X331">
        <v>152.54</v>
      </c>
      <c r="Y331" s="65" t="s">
        <v>47</v>
      </c>
      <c r="Z331" s="65" t="s">
        <v>48</v>
      </c>
      <c r="AA331" s="65" t="s">
        <v>49</v>
      </c>
      <c r="AC331" s="65"/>
      <c r="AD331">
        <v>30</v>
      </c>
    </row>
    <row r="332" spans="1:30" x14ac:dyDescent="0.3">
      <c r="A332" s="1">
        <v>46234</v>
      </c>
      <c r="B332" s="65" t="s">
        <v>3550</v>
      </c>
      <c r="C332" s="65" t="s">
        <v>3953</v>
      </c>
      <c r="D332" s="65" t="s">
        <v>29</v>
      </c>
      <c r="E332" s="65" t="s">
        <v>3954</v>
      </c>
      <c r="F332" s="65" t="s">
        <v>31</v>
      </c>
      <c r="G332" s="65" t="s">
        <v>3955</v>
      </c>
      <c r="H332" s="65" t="s">
        <v>3956</v>
      </c>
      <c r="I332" s="65" t="s">
        <v>3957</v>
      </c>
      <c r="J332" s="65"/>
      <c r="K332" s="65"/>
      <c r="L332" s="65" t="s">
        <v>37</v>
      </c>
      <c r="M332" s="65" t="s">
        <v>3958</v>
      </c>
      <c r="N332" s="65" t="s">
        <v>3959</v>
      </c>
      <c r="O332" s="65" t="s">
        <v>3956</v>
      </c>
      <c r="P332" s="65" t="s">
        <v>3960</v>
      </c>
      <c r="Q332" s="65" t="s">
        <v>90</v>
      </c>
      <c r="R332">
        <v>1</v>
      </c>
      <c r="S332" s="65" t="s">
        <v>42</v>
      </c>
      <c r="T332" s="65" t="s">
        <v>44</v>
      </c>
      <c r="U332" s="65" t="s">
        <v>44</v>
      </c>
      <c r="V332" s="65" t="s">
        <v>45</v>
      </c>
      <c r="W332" s="65" t="s">
        <v>46</v>
      </c>
      <c r="X332">
        <v>135.59</v>
      </c>
      <c r="Y332" s="65" t="s">
        <v>47</v>
      </c>
      <c r="Z332" s="65" t="s">
        <v>48</v>
      </c>
      <c r="AA332" s="65" t="s">
        <v>49</v>
      </c>
      <c r="AC332" s="65"/>
      <c r="AD332">
        <v>30</v>
      </c>
    </row>
    <row r="333" spans="1:30" x14ac:dyDescent="0.3">
      <c r="A333" s="1">
        <v>46234</v>
      </c>
      <c r="B333" s="65" t="s">
        <v>3550</v>
      </c>
      <c r="C333" s="65" t="s">
        <v>3961</v>
      </c>
      <c r="D333" s="65" t="s">
        <v>29</v>
      </c>
      <c r="E333" s="65" t="s">
        <v>3962</v>
      </c>
      <c r="F333" s="65" t="s">
        <v>31</v>
      </c>
      <c r="G333" s="65" t="s">
        <v>3963</v>
      </c>
      <c r="H333" s="65" t="s">
        <v>3964</v>
      </c>
      <c r="I333" s="65" t="s">
        <v>3965</v>
      </c>
      <c r="J333" s="65"/>
      <c r="K333" s="65"/>
      <c r="L333" s="65" t="s">
        <v>37</v>
      </c>
      <c r="M333" s="65" t="s">
        <v>3966</v>
      </c>
      <c r="N333" s="65" t="s">
        <v>3967</v>
      </c>
      <c r="O333" s="65" t="s">
        <v>3964</v>
      </c>
      <c r="P333" s="65" t="s">
        <v>3968</v>
      </c>
      <c r="Q333" s="65" t="s">
        <v>349</v>
      </c>
      <c r="R333">
        <v>1</v>
      </c>
      <c r="S333" s="65" t="s">
        <v>70</v>
      </c>
      <c r="T333" s="65" t="s">
        <v>43</v>
      </c>
      <c r="U333" s="65" t="s">
        <v>44</v>
      </c>
      <c r="V333" s="65" t="s">
        <v>71</v>
      </c>
      <c r="W333" s="65" t="s">
        <v>72</v>
      </c>
      <c r="X333">
        <v>169.49</v>
      </c>
      <c r="Y333" s="65" t="s">
        <v>47</v>
      </c>
      <c r="Z333" s="65" t="s">
        <v>48</v>
      </c>
      <c r="AA333" s="65" t="s">
        <v>73</v>
      </c>
      <c r="AC333" s="65"/>
      <c r="AD333">
        <v>50</v>
      </c>
    </row>
    <row r="334" spans="1:30" x14ac:dyDescent="0.3">
      <c r="A334" s="1">
        <v>46234</v>
      </c>
      <c r="B334" s="65" t="s">
        <v>3550</v>
      </c>
      <c r="C334" s="65" t="s">
        <v>3969</v>
      </c>
      <c r="D334" s="65" t="s">
        <v>29</v>
      </c>
      <c r="E334" s="65" t="s">
        <v>3970</v>
      </c>
      <c r="F334" s="65" t="s">
        <v>31</v>
      </c>
      <c r="G334" s="65" t="s">
        <v>3971</v>
      </c>
      <c r="H334" s="65" t="s">
        <v>3972</v>
      </c>
      <c r="I334" s="65" t="s">
        <v>3973</v>
      </c>
      <c r="J334" s="65"/>
      <c r="K334" s="65"/>
      <c r="L334" s="65" t="s">
        <v>37</v>
      </c>
      <c r="M334" s="65" t="s">
        <v>3974</v>
      </c>
      <c r="N334" s="65" t="s">
        <v>3975</v>
      </c>
      <c r="O334" s="65" t="s">
        <v>3972</v>
      </c>
      <c r="P334" s="65" t="s">
        <v>3976</v>
      </c>
      <c r="Q334" s="65" t="s">
        <v>41</v>
      </c>
      <c r="R334">
        <v>1</v>
      </c>
      <c r="S334" s="65" t="s">
        <v>42</v>
      </c>
      <c r="T334" s="65" t="s">
        <v>44</v>
      </c>
      <c r="U334" s="65" t="s">
        <v>44</v>
      </c>
      <c r="V334" s="65" t="s">
        <v>45</v>
      </c>
      <c r="W334" s="65" t="s">
        <v>46</v>
      </c>
      <c r="X334">
        <v>186.44</v>
      </c>
      <c r="Y334" s="65" t="s">
        <v>47</v>
      </c>
      <c r="Z334" s="65" t="s">
        <v>48</v>
      </c>
      <c r="AA334" s="65" t="s">
        <v>49</v>
      </c>
      <c r="AC334" s="65"/>
      <c r="AD334">
        <v>50</v>
      </c>
    </row>
    <row r="335" spans="1:30" x14ac:dyDescent="0.3">
      <c r="A335" s="1">
        <v>46234</v>
      </c>
      <c r="B335" s="65" t="s">
        <v>3550</v>
      </c>
      <c r="C335" s="65" t="s">
        <v>3977</v>
      </c>
      <c r="D335" s="65" t="s">
        <v>268</v>
      </c>
      <c r="E335" s="65" t="s">
        <v>3978</v>
      </c>
      <c r="F335" s="65" t="s">
        <v>31</v>
      </c>
      <c r="G335" s="65" t="s">
        <v>3979</v>
      </c>
      <c r="H335" s="65" t="s">
        <v>2193</v>
      </c>
      <c r="I335" s="65" t="s">
        <v>2194</v>
      </c>
      <c r="J335" s="65" t="s">
        <v>273</v>
      </c>
      <c r="K335" s="65" t="s">
        <v>274</v>
      </c>
      <c r="L335" s="65" t="s">
        <v>37</v>
      </c>
      <c r="M335" s="65" t="s">
        <v>2195</v>
      </c>
      <c r="N335" s="65" t="s">
        <v>2196</v>
      </c>
      <c r="O335" s="65" t="s">
        <v>277</v>
      </c>
      <c r="P335" s="65" t="s">
        <v>3980</v>
      </c>
      <c r="Q335" s="65" t="s">
        <v>288</v>
      </c>
      <c r="R335">
        <v>1</v>
      </c>
      <c r="S335" s="65" t="s">
        <v>42</v>
      </c>
      <c r="T335" s="65" t="s">
        <v>44</v>
      </c>
      <c r="U335" s="65" t="s">
        <v>44</v>
      </c>
      <c r="V335" s="65" t="s">
        <v>45</v>
      </c>
      <c r="W335" s="65" t="s">
        <v>46</v>
      </c>
      <c r="X335">
        <v>0</v>
      </c>
      <c r="Y335" s="65" t="s">
        <v>289</v>
      </c>
      <c r="Z335" s="65" t="s">
        <v>48</v>
      </c>
      <c r="AA335" s="65" t="s">
        <v>49</v>
      </c>
      <c r="AB335">
        <v>950133748</v>
      </c>
      <c r="AC335" s="65" t="s">
        <v>279</v>
      </c>
    </row>
    <row r="336" spans="1:30" x14ac:dyDescent="0.3">
      <c r="A336" s="1">
        <v>46234</v>
      </c>
      <c r="B336" s="65" t="s">
        <v>3550</v>
      </c>
      <c r="C336" s="65" t="s">
        <v>3977</v>
      </c>
      <c r="D336" s="65" t="s">
        <v>268</v>
      </c>
      <c r="E336" s="65" t="s">
        <v>3978</v>
      </c>
      <c r="F336" s="65" t="s">
        <v>31</v>
      </c>
      <c r="G336" s="65" t="s">
        <v>3979</v>
      </c>
      <c r="H336" s="65" t="s">
        <v>2193</v>
      </c>
      <c r="I336" s="65" t="s">
        <v>2194</v>
      </c>
      <c r="J336" s="65" t="s">
        <v>273</v>
      </c>
      <c r="K336" s="65" t="s">
        <v>274</v>
      </c>
      <c r="L336" s="65" t="s">
        <v>37</v>
      </c>
      <c r="M336" s="65" t="s">
        <v>2195</v>
      </c>
      <c r="N336" s="65" t="s">
        <v>2196</v>
      </c>
      <c r="O336" s="65" t="s">
        <v>277</v>
      </c>
      <c r="P336" s="65" t="s">
        <v>3980</v>
      </c>
      <c r="Q336" s="65" t="s">
        <v>1620</v>
      </c>
      <c r="R336">
        <v>1</v>
      </c>
      <c r="S336" s="65" t="s">
        <v>42</v>
      </c>
      <c r="T336" s="65" t="s">
        <v>44</v>
      </c>
      <c r="U336" s="65" t="s">
        <v>44</v>
      </c>
      <c r="V336" s="65" t="s">
        <v>45</v>
      </c>
      <c r="W336" s="65" t="s">
        <v>46</v>
      </c>
      <c r="X336">
        <v>3508.47</v>
      </c>
      <c r="Y336" s="65" t="s">
        <v>289</v>
      </c>
      <c r="Z336" s="65" t="s">
        <v>48</v>
      </c>
      <c r="AA336" s="65" t="s">
        <v>49</v>
      </c>
      <c r="AB336">
        <v>950133748</v>
      </c>
      <c r="AC336" s="65" t="s">
        <v>279</v>
      </c>
    </row>
    <row r="337" spans="1:30" x14ac:dyDescent="0.3">
      <c r="A337" s="1">
        <v>46234</v>
      </c>
      <c r="B337" s="65" t="s">
        <v>3550</v>
      </c>
      <c r="C337" s="65" t="s">
        <v>3981</v>
      </c>
      <c r="D337" s="65" t="s">
        <v>268</v>
      </c>
      <c r="E337" s="65" t="s">
        <v>1957</v>
      </c>
      <c r="F337" s="65" t="s">
        <v>31</v>
      </c>
      <c r="G337" s="65" t="s">
        <v>3982</v>
      </c>
      <c r="H337" s="65" t="s">
        <v>3983</v>
      </c>
      <c r="I337" s="65" t="s">
        <v>3984</v>
      </c>
      <c r="J337" s="65"/>
      <c r="K337" s="65"/>
      <c r="L337" s="65" t="s">
        <v>37</v>
      </c>
      <c r="M337" s="65" t="s">
        <v>3985</v>
      </c>
      <c r="N337" s="65" t="s">
        <v>3986</v>
      </c>
      <c r="O337" s="65" t="s">
        <v>277</v>
      </c>
      <c r="P337" s="65" t="s">
        <v>3987</v>
      </c>
      <c r="Q337" s="65" t="s">
        <v>59</v>
      </c>
      <c r="R337">
        <v>1</v>
      </c>
      <c r="S337" s="65" t="s">
        <v>42</v>
      </c>
      <c r="T337" s="65" t="s">
        <v>44</v>
      </c>
      <c r="U337" s="65" t="s">
        <v>44</v>
      </c>
      <c r="V337" s="65" t="s">
        <v>45</v>
      </c>
      <c r="W337" s="65" t="s">
        <v>46</v>
      </c>
      <c r="X337">
        <v>101.69</v>
      </c>
      <c r="Y337" s="65" t="s">
        <v>61</v>
      </c>
      <c r="Z337" s="65" t="s">
        <v>48</v>
      </c>
      <c r="AA337" s="65" t="s">
        <v>49</v>
      </c>
      <c r="AC337" s="65"/>
    </row>
    <row r="338" spans="1:30" x14ac:dyDescent="0.3">
      <c r="A338" s="1">
        <v>46234</v>
      </c>
      <c r="B338" s="65" t="s">
        <v>3550</v>
      </c>
      <c r="C338" s="65" t="s">
        <v>3988</v>
      </c>
      <c r="D338" s="65" t="s">
        <v>268</v>
      </c>
      <c r="E338" s="65" t="s">
        <v>3989</v>
      </c>
      <c r="F338" s="65" t="s">
        <v>31</v>
      </c>
      <c r="G338" s="65" t="s">
        <v>3990</v>
      </c>
      <c r="H338" s="65" t="s">
        <v>3991</v>
      </c>
      <c r="I338" s="65" t="s">
        <v>3992</v>
      </c>
      <c r="J338" s="65"/>
      <c r="K338" s="65"/>
      <c r="L338" s="65" t="s">
        <v>37</v>
      </c>
      <c r="M338" s="65" t="s">
        <v>3993</v>
      </c>
      <c r="N338" s="65" t="s">
        <v>3994</v>
      </c>
      <c r="O338" s="65" t="s">
        <v>277</v>
      </c>
      <c r="P338" s="65" t="s">
        <v>3995</v>
      </c>
      <c r="Q338" s="65" t="s">
        <v>130</v>
      </c>
      <c r="R338">
        <v>1</v>
      </c>
      <c r="S338" s="65" t="s">
        <v>42</v>
      </c>
      <c r="T338" s="65" t="s">
        <v>44</v>
      </c>
      <c r="U338" s="65" t="s">
        <v>44</v>
      </c>
      <c r="V338" s="65" t="s">
        <v>45</v>
      </c>
      <c r="W338" s="65" t="s">
        <v>46</v>
      </c>
      <c r="X338">
        <v>152.54</v>
      </c>
      <c r="Y338" s="65" t="s">
        <v>47</v>
      </c>
      <c r="Z338" s="65" t="s">
        <v>48</v>
      </c>
      <c r="AA338" s="65" t="s">
        <v>49</v>
      </c>
      <c r="AC338" s="65"/>
      <c r="AD338">
        <v>30</v>
      </c>
    </row>
    <row r="339" spans="1:30" x14ac:dyDescent="0.3">
      <c r="A339" s="1">
        <v>46234</v>
      </c>
      <c r="B339" s="65" t="s">
        <v>3550</v>
      </c>
      <c r="C339" s="65" t="s">
        <v>3996</v>
      </c>
      <c r="D339" s="65" t="s">
        <v>29</v>
      </c>
      <c r="E339" s="65" t="s">
        <v>3997</v>
      </c>
      <c r="F339" s="65" t="s">
        <v>31</v>
      </c>
      <c r="G339" s="65" t="s">
        <v>3998</v>
      </c>
      <c r="H339" s="65" t="s">
        <v>3999</v>
      </c>
      <c r="I339" s="65" t="s">
        <v>4000</v>
      </c>
      <c r="J339" s="65" t="s">
        <v>662</v>
      </c>
      <c r="K339" s="65" t="s">
        <v>36</v>
      </c>
      <c r="L339" s="65" t="s">
        <v>37</v>
      </c>
      <c r="M339" s="65" t="s">
        <v>4001</v>
      </c>
      <c r="N339" s="65" t="s">
        <v>4002</v>
      </c>
      <c r="O339" s="65" t="s">
        <v>3999</v>
      </c>
      <c r="P339" s="65" t="s">
        <v>4003</v>
      </c>
      <c r="Q339" s="65" t="s">
        <v>59</v>
      </c>
      <c r="R339">
        <v>2</v>
      </c>
      <c r="S339" s="65" t="s">
        <v>42</v>
      </c>
      <c r="T339" s="65" t="s">
        <v>44</v>
      </c>
      <c r="U339" s="65" t="s">
        <v>44</v>
      </c>
      <c r="V339" s="65" t="s">
        <v>45</v>
      </c>
      <c r="W339" s="65" t="s">
        <v>46</v>
      </c>
      <c r="X339">
        <v>203.39</v>
      </c>
      <c r="Y339" s="65" t="s">
        <v>61</v>
      </c>
      <c r="Z339" s="65" t="s">
        <v>48</v>
      </c>
      <c r="AA339" s="65" t="s">
        <v>49</v>
      </c>
      <c r="AB339">
        <v>997145685</v>
      </c>
      <c r="AC339" s="65" t="s">
        <v>666</v>
      </c>
    </row>
    <row r="340" spans="1:30" x14ac:dyDescent="0.3">
      <c r="A340" s="1">
        <v>46235</v>
      </c>
      <c r="B340" s="65" t="s">
        <v>4004</v>
      </c>
      <c r="C340" s="65" t="s">
        <v>1327</v>
      </c>
      <c r="D340" s="65" t="s">
        <v>29</v>
      </c>
      <c r="E340" s="65" t="s">
        <v>1328</v>
      </c>
      <c r="F340" s="65" t="s">
        <v>31</v>
      </c>
      <c r="G340" s="65" t="s">
        <v>1329</v>
      </c>
      <c r="H340" s="65" t="s">
        <v>1330</v>
      </c>
      <c r="I340" s="65" t="s">
        <v>1331</v>
      </c>
      <c r="J340" s="65" t="s">
        <v>1322</v>
      </c>
      <c r="K340" s="65" t="s">
        <v>36</v>
      </c>
      <c r="L340" s="65" t="s">
        <v>37</v>
      </c>
      <c r="M340" s="65" t="s">
        <v>1332</v>
      </c>
      <c r="N340" s="65" t="s">
        <v>1333</v>
      </c>
      <c r="O340" s="65" t="s">
        <v>1330</v>
      </c>
      <c r="P340" s="65" t="s">
        <v>1334</v>
      </c>
      <c r="Q340" s="65" t="s">
        <v>202</v>
      </c>
      <c r="R340">
        <v>1</v>
      </c>
      <c r="S340" s="65" t="s">
        <v>42</v>
      </c>
      <c r="T340" s="65" t="s">
        <v>44</v>
      </c>
      <c r="U340" s="65" t="s">
        <v>44</v>
      </c>
      <c r="V340" s="65" t="s">
        <v>45</v>
      </c>
      <c r="W340" s="65" t="s">
        <v>46</v>
      </c>
      <c r="X340">
        <v>135.59</v>
      </c>
      <c r="Y340" s="65" t="s">
        <v>47</v>
      </c>
      <c r="Z340" s="65" t="s">
        <v>48</v>
      </c>
      <c r="AA340" s="65" t="s">
        <v>49</v>
      </c>
      <c r="AB340">
        <v>999111362</v>
      </c>
      <c r="AC340" s="65" t="s">
        <v>1326</v>
      </c>
      <c r="AD340">
        <v>30</v>
      </c>
    </row>
    <row r="341" spans="1:30" x14ac:dyDescent="0.3">
      <c r="A341" s="1">
        <v>46237</v>
      </c>
      <c r="B341" s="65" t="s">
        <v>4004</v>
      </c>
      <c r="C341" s="65" t="s">
        <v>1009</v>
      </c>
      <c r="D341" s="65" t="s">
        <v>29</v>
      </c>
      <c r="E341" s="65" t="s">
        <v>1010</v>
      </c>
      <c r="F341" s="65" t="s">
        <v>31</v>
      </c>
      <c r="G341" s="65" t="s">
        <v>1011</v>
      </c>
      <c r="H341" s="65" t="s">
        <v>1012</v>
      </c>
      <c r="I341" s="65" t="s">
        <v>1013</v>
      </c>
      <c r="J341" s="65" t="s">
        <v>774</v>
      </c>
      <c r="K341" s="65" t="s">
        <v>775</v>
      </c>
      <c r="L341" s="65" t="s">
        <v>37</v>
      </c>
      <c r="M341" s="65" t="s">
        <v>1014</v>
      </c>
      <c r="N341" s="65" t="s">
        <v>1015</v>
      </c>
      <c r="O341" s="65" t="s">
        <v>1012</v>
      </c>
      <c r="P341" s="65" t="s">
        <v>1016</v>
      </c>
      <c r="Q341" s="65" t="s">
        <v>618</v>
      </c>
      <c r="R341">
        <v>1</v>
      </c>
      <c r="S341" s="65" t="s">
        <v>42</v>
      </c>
      <c r="T341" s="65" t="s">
        <v>44</v>
      </c>
      <c r="U341" s="65" t="s">
        <v>44</v>
      </c>
      <c r="V341" s="65" t="s">
        <v>45</v>
      </c>
      <c r="W341" s="65" t="s">
        <v>46</v>
      </c>
      <c r="X341">
        <v>12.71</v>
      </c>
      <c r="Y341" s="65" t="s">
        <v>619</v>
      </c>
      <c r="Z341" s="65" t="s">
        <v>48</v>
      </c>
      <c r="AA341" s="65" t="s">
        <v>49</v>
      </c>
      <c r="AC341" s="65"/>
    </row>
    <row r="342" spans="1:30" x14ac:dyDescent="0.3">
      <c r="A342" s="1">
        <v>46237</v>
      </c>
      <c r="B342" s="65" t="s">
        <v>4004</v>
      </c>
      <c r="C342" s="65" t="s">
        <v>1009</v>
      </c>
      <c r="D342" s="65" t="s">
        <v>29</v>
      </c>
      <c r="E342" s="65" t="s">
        <v>1010</v>
      </c>
      <c r="F342" s="65" t="s">
        <v>31</v>
      </c>
      <c r="G342" s="65" t="s">
        <v>1011</v>
      </c>
      <c r="H342" s="65" t="s">
        <v>1012</v>
      </c>
      <c r="I342" s="65" t="s">
        <v>1013</v>
      </c>
      <c r="J342" s="65" t="s">
        <v>774</v>
      </c>
      <c r="K342" s="65" t="s">
        <v>775</v>
      </c>
      <c r="L342" s="65" t="s">
        <v>37</v>
      </c>
      <c r="M342" s="65" t="s">
        <v>1014</v>
      </c>
      <c r="N342" s="65" t="s">
        <v>1015</v>
      </c>
      <c r="O342" s="65" t="s">
        <v>1012</v>
      </c>
      <c r="P342" s="65" t="s">
        <v>1016</v>
      </c>
      <c r="Q342" s="65" t="s">
        <v>620</v>
      </c>
      <c r="R342">
        <v>1</v>
      </c>
      <c r="S342" s="65" t="s">
        <v>42</v>
      </c>
      <c r="T342" s="65" t="s">
        <v>44</v>
      </c>
      <c r="U342" s="65" t="s">
        <v>44</v>
      </c>
      <c r="V342" s="65" t="s">
        <v>45</v>
      </c>
      <c r="W342" s="65" t="s">
        <v>46</v>
      </c>
      <c r="X342">
        <v>21.19</v>
      </c>
      <c r="Y342" s="65" t="s">
        <v>619</v>
      </c>
      <c r="Z342" s="65" t="s">
        <v>48</v>
      </c>
      <c r="AA342" s="65" t="s">
        <v>49</v>
      </c>
      <c r="AC342" s="65"/>
    </row>
    <row r="343" spans="1:30" x14ac:dyDescent="0.3">
      <c r="A343" s="1">
        <v>46237</v>
      </c>
      <c r="B343" s="65" t="s">
        <v>4004</v>
      </c>
      <c r="C343" s="65" t="s">
        <v>1009</v>
      </c>
      <c r="D343" s="65" t="s">
        <v>29</v>
      </c>
      <c r="E343" s="65" t="s">
        <v>1010</v>
      </c>
      <c r="F343" s="65" t="s">
        <v>31</v>
      </c>
      <c r="G343" s="65" t="s">
        <v>1011</v>
      </c>
      <c r="H343" s="65" t="s">
        <v>1012</v>
      </c>
      <c r="I343" s="65" t="s">
        <v>1013</v>
      </c>
      <c r="J343" s="65" t="s">
        <v>774</v>
      </c>
      <c r="K343" s="65" t="s">
        <v>775</v>
      </c>
      <c r="L343" s="65" t="s">
        <v>37</v>
      </c>
      <c r="M343" s="65" t="s">
        <v>1014</v>
      </c>
      <c r="N343" s="65" t="s">
        <v>1015</v>
      </c>
      <c r="O343" s="65" t="s">
        <v>1012</v>
      </c>
      <c r="P343" s="65" t="s">
        <v>1016</v>
      </c>
      <c r="Q343" s="65" t="s">
        <v>621</v>
      </c>
      <c r="R343">
        <v>1</v>
      </c>
      <c r="S343" s="65" t="s">
        <v>42</v>
      </c>
      <c r="T343" s="65" t="s">
        <v>44</v>
      </c>
      <c r="U343" s="65" t="s">
        <v>44</v>
      </c>
      <c r="V343" s="65" t="s">
        <v>45</v>
      </c>
      <c r="W343" s="65" t="s">
        <v>46</v>
      </c>
      <c r="X343">
        <v>12.71</v>
      </c>
      <c r="Y343" s="65" t="s">
        <v>619</v>
      </c>
      <c r="Z343" s="65" t="s">
        <v>48</v>
      </c>
      <c r="AA343" s="65" t="s">
        <v>49</v>
      </c>
      <c r="AC343" s="65"/>
    </row>
    <row r="344" spans="1:30" x14ac:dyDescent="0.3">
      <c r="A344" s="1">
        <v>46237</v>
      </c>
      <c r="B344" s="65" t="s">
        <v>4004</v>
      </c>
      <c r="C344" s="65" t="s">
        <v>1009</v>
      </c>
      <c r="D344" s="65" t="s">
        <v>29</v>
      </c>
      <c r="E344" s="65" t="s">
        <v>1010</v>
      </c>
      <c r="F344" s="65" t="s">
        <v>31</v>
      </c>
      <c r="G344" s="65" t="s">
        <v>1011</v>
      </c>
      <c r="H344" s="65" t="s">
        <v>1012</v>
      </c>
      <c r="I344" s="65" t="s">
        <v>1013</v>
      </c>
      <c r="J344" s="65" t="s">
        <v>774</v>
      </c>
      <c r="K344" s="65" t="s">
        <v>775</v>
      </c>
      <c r="L344" s="65" t="s">
        <v>37</v>
      </c>
      <c r="M344" s="65" t="s">
        <v>1014</v>
      </c>
      <c r="N344" s="65" t="s">
        <v>1015</v>
      </c>
      <c r="O344" s="65" t="s">
        <v>1012</v>
      </c>
      <c r="P344" s="65" t="s">
        <v>1016</v>
      </c>
      <c r="Q344" s="65" t="s">
        <v>622</v>
      </c>
      <c r="R344">
        <v>1</v>
      </c>
      <c r="S344" s="65" t="s">
        <v>42</v>
      </c>
      <c r="T344" s="65" t="s">
        <v>44</v>
      </c>
      <c r="U344" s="65" t="s">
        <v>44</v>
      </c>
      <c r="V344" s="65" t="s">
        <v>45</v>
      </c>
      <c r="W344" s="65" t="s">
        <v>46</v>
      </c>
      <c r="X344">
        <v>12.71</v>
      </c>
      <c r="Y344" s="65" t="s">
        <v>619</v>
      </c>
      <c r="Z344" s="65" t="s">
        <v>48</v>
      </c>
      <c r="AA344" s="65" t="s">
        <v>49</v>
      </c>
      <c r="AC344" s="65"/>
    </row>
    <row r="345" spans="1:30" x14ac:dyDescent="0.3">
      <c r="A345" s="1">
        <v>46237</v>
      </c>
      <c r="B345" s="65" t="s">
        <v>4004</v>
      </c>
      <c r="C345" s="65" t="s">
        <v>1009</v>
      </c>
      <c r="D345" s="65" t="s">
        <v>29</v>
      </c>
      <c r="E345" s="65" t="s">
        <v>1010</v>
      </c>
      <c r="F345" s="65" t="s">
        <v>31</v>
      </c>
      <c r="G345" s="65" t="s">
        <v>1011</v>
      </c>
      <c r="H345" s="65" t="s">
        <v>1012</v>
      </c>
      <c r="I345" s="65" t="s">
        <v>1013</v>
      </c>
      <c r="J345" s="65" t="s">
        <v>774</v>
      </c>
      <c r="K345" s="65" t="s">
        <v>775</v>
      </c>
      <c r="L345" s="65" t="s">
        <v>37</v>
      </c>
      <c r="M345" s="65" t="s">
        <v>1014</v>
      </c>
      <c r="N345" s="65" t="s">
        <v>1015</v>
      </c>
      <c r="O345" s="65" t="s">
        <v>1012</v>
      </c>
      <c r="P345" s="65" t="s">
        <v>1016</v>
      </c>
      <c r="Q345" s="65" t="s">
        <v>833</v>
      </c>
      <c r="R345">
        <v>1</v>
      </c>
      <c r="S345" s="65" t="s">
        <v>42</v>
      </c>
      <c r="T345" s="65" t="s">
        <v>44</v>
      </c>
      <c r="U345" s="65" t="s">
        <v>44</v>
      </c>
      <c r="V345" s="65" t="s">
        <v>45</v>
      </c>
      <c r="W345" s="65" t="s">
        <v>46</v>
      </c>
      <c r="X345">
        <v>50.85</v>
      </c>
      <c r="Y345" s="65" t="s">
        <v>619</v>
      </c>
      <c r="Z345" s="65" t="s">
        <v>48</v>
      </c>
      <c r="AA345" s="65" t="s">
        <v>49</v>
      </c>
      <c r="AC345" s="65"/>
    </row>
    <row r="346" spans="1:30" x14ac:dyDescent="0.3">
      <c r="A346" s="1">
        <v>46237</v>
      </c>
      <c r="B346" s="65" t="s">
        <v>4004</v>
      </c>
      <c r="C346" s="65" t="s">
        <v>1017</v>
      </c>
      <c r="D346" s="65" t="s">
        <v>29</v>
      </c>
      <c r="E346" s="65" t="s">
        <v>1018</v>
      </c>
      <c r="F346" s="65" t="s">
        <v>31</v>
      </c>
      <c r="G346" s="65" t="s">
        <v>1019</v>
      </c>
      <c r="H346" s="65" t="s">
        <v>1012</v>
      </c>
      <c r="I346" s="65" t="s">
        <v>1013</v>
      </c>
      <c r="J346" s="65" t="s">
        <v>774</v>
      </c>
      <c r="K346" s="65" t="s">
        <v>775</v>
      </c>
      <c r="L346" s="65" t="s">
        <v>37</v>
      </c>
      <c r="M346" s="65" t="s">
        <v>1014</v>
      </c>
      <c r="N346" s="65" t="s">
        <v>1015</v>
      </c>
      <c r="O346" s="65" t="s">
        <v>1012</v>
      </c>
      <c r="P346" s="65" t="s">
        <v>1020</v>
      </c>
      <c r="Q346" s="65" t="s">
        <v>828</v>
      </c>
      <c r="R346">
        <v>1</v>
      </c>
      <c r="S346" s="65" t="s">
        <v>42</v>
      </c>
      <c r="T346" s="65" t="s">
        <v>44</v>
      </c>
      <c r="U346" s="65" t="s">
        <v>44</v>
      </c>
      <c r="V346" s="65" t="s">
        <v>45</v>
      </c>
      <c r="W346" s="65" t="s">
        <v>46</v>
      </c>
      <c r="X346">
        <v>127.12</v>
      </c>
      <c r="Y346" s="65" t="s">
        <v>47</v>
      </c>
      <c r="Z346" s="65" t="s">
        <v>48</v>
      </c>
      <c r="AA346" s="65" t="s">
        <v>49</v>
      </c>
      <c r="AC346" s="65"/>
    </row>
    <row r="347" spans="1:30" x14ac:dyDescent="0.3">
      <c r="A347" s="1">
        <v>46237</v>
      </c>
      <c r="B347" s="65" t="s">
        <v>4004</v>
      </c>
      <c r="C347" s="65" t="s">
        <v>1021</v>
      </c>
      <c r="D347" s="65" t="s">
        <v>29</v>
      </c>
      <c r="E347" s="65" t="s">
        <v>1022</v>
      </c>
      <c r="F347" s="65" t="s">
        <v>31</v>
      </c>
      <c r="G347" s="65" t="s">
        <v>1023</v>
      </c>
      <c r="H347" s="65" t="s">
        <v>1012</v>
      </c>
      <c r="I347" s="65" t="s">
        <v>1013</v>
      </c>
      <c r="J347" s="65" t="s">
        <v>774</v>
      </c>
      <c r="K347" s="65" t="s">
        <v>775</v>
      </c>
      <c r="L347" s="65" t="s">
        <v>37</v>
      </c>
      <c r="M347" s="65" t="s">
        <v>1014</v>
      </c>
      <c r="N347" s="65" t="s">
        <v>1015</v>
      </c>
      <c r="O347" s="65" t="s">
        <v>1012</v>
      </c>
      <c r="P347" s="65" t="s">
        <v>1024</v>
      </c>
      <c r="Q347" s="65" t="s">
        <v>641</v>
      </c>
      <c r="R347">
        <v>1</v>
      </c>
      <c r="S347" s="65" t="s">
        <v>42</v>
      </c>
      <c r="T347" s="65" t="s">
        <v>44</v>
      </c>
      <c r="U347" s="65" t="s">
        <v>44</v>
      </c>
      <c r="V347" s="65" t="s">
        <v>45</v>
      </c>
      <c r="W347" s="65" t="s">
        <v>46</v>
      </c>
      <c r="X347">
        <v>84.75</v>
      </c>
      <c r="Y347" s="65" t="s">
        <v>47</v>
      </c>
      <c r="Z347" s="65" t="s">
        <v>48</v>
      </c>
      <c r="AA347" s="65" t="s">
        <v>49</v>
      </c>
      <c r="AC347" s="65"/>
    </row>
    <row r="348" spans="1:30" x14ac:dyDescent="0.3">
      <c r="A348" s="1">
        <v>46237</v>
      </c>
      <c r="B348" s="65" t="s">
        <v>4004</v>
      </c>
      <c r="C348" s="65" t="s">
        <v>406</v>
      </c>
      <c r="D348" s="65" t="s">
        <v>29</v>
      </c>
      <c r="E348" s="65" t="s">
        <v>407</v>
      </c>
      <c r="F348" s="65" t="s">
        <v>31</v>
      </c>
      <c r="G348" s="65" t="s">
        <v>408</v>
      </c>
      <c r="H348" s="65" t="s">
        <v>409</v>
      </c>
      <c r="I348" s="65" t="s">
        <v>410</v>
      </c>
      <c r="J348" s="65" t="s">
        <v>411</v>
      </c>
      <c r="K348" s="65" t="s">
        <v>412</v>
      </c>
      <c r="L348" s="65" t="s">
        <v>37</v>
      </c>
      <c r="M348" s="65" t="s">
        <v>413</v>
      </c>
      <c r="N348" s="65" t="s">
        <v>414</v>
      </c>
      <c r="O348" s="65" t="s">
        <v>409</v>
      </c>
      <c r="P348" s="65" t="s">
        <v>415</v>
      </c>
      <c r="Q348" s="65" t="s">
        <v>90</v>
      </c>
      <c r="R348">
        <v>1</v>
      </c>
      <c r="S348" s="65" t="s">
        <v>42</v>
      </c>
      <c r="T348" s="65" t="s">
        <v>44</v>
      </c>
      <c r="U348" s="65" t="s">
        <v>44</v>
      </c>
      <c r="V348" s="65" t="s">
        <v>45</v>
      </c>
      <c r="W348" s="65" t="s">
        <v>46</v>
      </c>
      <c r="X348">
        <v>135.59</v>
      </c>
      <c r="Y348" s="65" t="s">
        <v>47</v>
      </c>
      <c r="Z348" s="65" t="s">
        <v>48</v>
      </c>
      <c r="AA348" s="65" t="s">
        <v>49</v>
      </c>
      <c r="AB348">
        <v>982673362</v>
      </c>
      <c r="AC348" s="65" t="s">
        <v>416</v>
      </c>
      <c r="AD348">
        <v>30</v>
      </c>
    </row>
    <row r="349" spans="1:30" x14ac:dyDescent="0.3">
      <c r="A349" s="1">
        <v>46237</v>
      </c>
      <c r="B349" s="65" t="s">
        <v>4004</v>
      </c>
      <c r="C349" s="65" t="s">
        <v>1462</v>
      </c>
      <c r="D349" s="65" t="s">
        <v>29</v>
      </c>
      <c r="E349" s="65" t="s">
        <v>1463</v>
      </c>
      <c r="F349" s="65" t="s">
        <v>31</v>
      </c>
      <c r="G349" s="65" t="s">
        <v>1464</v>
      </c>
      <c r="H349" s="65" t="s">
        <v>1465</v>
      </c>
      <c r="I349" s="65" t="s">
        <v>1466</v>
      </c>
      <c r="J349" s="65" t="s">
        <v>1467</v>
      </c>
      <c r="K349" s="65" t="s">
        <v>629</v>
      </c>
      <c r="L349" s="65" t="s">
        <v>37</v>
      </c>
      <c r="M349" s="65" t="s">
        <v>1468</v>
      </c>
      <c r="N349" s="65" t="s">
        <v>1469</v>
      </c>
      <c r="O349" s="65" t="s">
        <v>1465</v>
      </c>
      <c r="P349" s="65" t="s">
        <v>1470</v>
      </c>
      <c r="Q349" s="65" t="s">
        <v>101</v>
      </c>
      <c r="R349">
        <v>1</v>
      </c>
      <c r="S349" s="65" t="s">
        <v>42</v>
      </c>
      <c r="T349" s="65" t="s">
        <v>44</v>
      </c>
      <c r="U349" s="65" t="s">
        <v>44</v>
      </c>
      <c r="V349" s="65" t="s">
        <v>45</v>
      </c>
      <c r="W349" s="65" t="s">
        <v>60</v>
      </c>
      <c r="X349">
        <v>186.44</v>
      </c>
      <c r="Y349" s="65" t="s">
        <v>47</v>
      </c>
      <c r="Z349" s="65" t="s">
        <v>48</v>
      </c>
      <c r="AA349" s="65" t="s">
        <v>49</v>
      </c>
      <c r="AB349">
        <v>946789080</v>
      </c>
      <c r="AC349" s="65"/>
      <c r="AD349">
        <v>50</v>
      </c>
    </row>
    <row r="350" spans="1:30" x14ac:dyDescent="0.3">
      <c r="A350" s="1">
        <v>46237</v>
      </c>
      <c r="B350" s="65" t="s">
        <v>4004</v>
      </c>
      <c r="C350" s="65" t="s">
        <v>1471</v>
      </c>
      <c r="D350" s="65" t="s">
        <v>29</v>
      </c>
      <c r="E350" s="65" t="s">
        <v>1472</v>
      </c>
      <c r="F350" s="65" t="s">
        <v>31</v>
      </c>
      <c r="G350" s="65" t="s">
        <v>1473</v>
      </c>
      <c r="H350" s="65" t="s">
        <v>1465</v>
      </c>
      <c r="I350" s="65" t="s">
        <v>1466</v>
      </c>
      <c r="J350" s="65" t="s">
        <v>1467</v>
      </c>
      <c r="K350" s="65" t="s">
        <v>629</v>
      </c>
      <c r="L350" s="65" t="s">
        <v>37</v>
      </c>
      <c r="M350" s="65" t="s">
        <v>1468</v>
      </c>
      <c r="N350" s="65" t="s">
        <v>1469</v>
      </c>
      <c r="O350" s="65" t="s">
        <v>1465</v>
      </c>
      <c r="P350" s="65" t="s">
        <v>1474</v>
      </c>
      <c r="Q350" s="65" t="s">
        <v>159</v>
      </c>
      <c r="R350">
        <v>1</v>
      </c>
      <c r="S350" s="65" t="s">
        <v>42</v>
      </c>
      <c r="T350" s="65" t="s">
        <v>44</v>
      </c>
      <c r="U350" s="65" t="s">
        <v>44</v>
      </c>
      <c r="V350" s="65" t="s">
        <v>45</v>
      </c>
      <c r="W350" s="65" t="s">
        <v>60</v>
      </c>
      <c r="X350">
        <v>135.59</v>
      </c>
      <c r="Y350" s="65" t="s">
        <v>47</v>
      </c>
      <c r="Z350" s="65" t="s">
        <v>48</v>
      </c>
      <c r="AA350" s="65" t="s">
        <v>49</v>
      </c>
      <c r="AB350">
        <v>946789080</v>
      </c>
      <c r="AC350" s="65"/>
      <c r="AD350">
        <v>30</v>
      </c>
    </row>
    <row r="351" spans="1:30" x14ac:dyDescent="0.3">
      <c r="A351" s="1">
        <v>46237</v>
      </c>
      <c r="B351" s="65" t="s">
        <v>4004</v>
      </c>
      <c r="C351" s="65" t="s">
        <v>1381</v>
      </c>
      <c r="D351" s="65" t="s">
        <v>29</v>
      </c>
      <c r="E351" s="65" t="s">
        <v>1382</v>
      </c>
      <c r="F351" s="65" t="s">
        <v>31</v>
      </c>
      <c r="G351" s="65" t="s">
        <v>1383</v>
      </c>
      <c r="H351" s="65" t="s">
        <v>1384</v>
      </c>
      <c r="I351" s="65" t="s">
        <v>1385</v>
      </c>
      <c r="J351" s="65" t="s">
        <v>1386</v>
      </c>
      <c r="K351" s="65" t="s">
        <v>4005</v>
      </c>
      <c r="L351" s="65" t="s">
        <v>37</v>
      </c>
      <c r="M351" s="65" t="s">
        <v>1387</v>
      </c>
      <c r="N351" s="65" t="s">
        <v>1388</v>
      </c>
      <c r="O351" s="65" t="s">
        <v>1384</v>
      </c>
      <c r="P351" s="65" t="s">
        <v>1389</v>
      </c>
      <c r="Q351" s="65" t="s">
        <v>202</v>
      </c>
      <c r="R351">
        <v>1</v>
      </c>
      <c r="S351" s="65" t="s">
        <v>42</v>
      </c>
      <c r="T351" s="65" t="s">
        <v>44</v>
      </c>
      <c r="U351" s="65" t="s">
        <v>44</v>
      </c>
      <c r="V351" s="65" t="s">
        <v>45</v>
      </c>
      <c r="W351" s="65" t="s">
        <v>46</v>
      </c>
      <c r="X351">
        <v>135.59</v>
      </c>
      <c r="Y351" s="65" t="s">
        <v>47</v>
      </c>
      <c r="Z351" s="65" t="s">
        <v>48</v>
      </c>
      <c r="AA351" s="65" t="s">
        <v>49</v>
      </c>
      <c r="AB351">
        <v>917791542</v>
      </c>
      <c r="AC351" s="65" t="s">
        <v>1390</v>
      </c>
      <c r="AD351">
        <v>30</v>
      </c>
    </row>
    <row r="352" spans="1:30" x14ac:dyDescent="0.3">
      <c r="A352" s="1">
        <v>46238</v>
      </c>
      <c r="B352" s="65" t="s">
        <v>4004</v>
      </c>
      <c r="C352" s="65" t="s">
        <v>1025</v>
      </c>
      <c r="D352" s="65" t="s">
        <v>29</v>
      </c>
      <c r="E352" s="65" t="s">
        <v>1026</v>
      </c>
      <c r="F352" s="65" t="s">
        <v>31</v>
      </c>
      <c r="G352" s="65" t="s">
        <v>1027</v>
      </c>
      <c r="H352" s="65" t="s">
        <v>1028</v>
      </c>
      <c r="I352" s="65" t="s">
        <v>1029</v>
      </c>
      <c r="J352" s="65" t="s">
        <v>774</v>
      </c>
      <c r="K352" s="65" t="s">
        <v>775</v>
      </c>
      <c r="L352" s="65" t="s">
        <v>37</v>
      </c>
      <c r="M352" s="65" t="s">
        <v>1030</v>
      </c>
      <c r="N352" s="65" t="s">
        <v>1031</v>
      </c>
      <c r="O352" s="65" t="s">
        <v>1028</v>
      </c>
      <c r="P352" s="65" t="s">
        <v>1032</v>
      </c>
      <c r="Q352" s="65" t="s">
        <v>828</v>
      </c>
      <c r="R352">
        <v>1</v>
      </c>
      <c r="S352" s="65" t="s">
        <v>42</v>
      </c>
      <c r="T352" s="65" t="s">
        <v>44</v>
      </c>
      <c r="U352" s="65" t="s">
        <v>44</v>
      </c>
      <c r="V352" s="65" t="s">
        <v>45</v>
      </c>
      <c r="W352" s="65" t="s">
        <v>46</v>
      </c>
      <c r="X352">
        <v>127.12</v>
      </c>
      <c r="Y352" s="65" t="s">
        <v>47</v>
      </c>
      <c r="Z352" s="65" t="s">
        <v>48</v>
      </c>
      <c r="AA352" s="65" t="s">
        <v>49</v>
      </c>
      <c r="AC352" s="65"/>
    </row>
    <row r="353" spans="1:30" x14ac:dyDescent="0.3">
      <c r="A353" s="1">
        <v>46238</v>
      </c>
      <c r="B353" s="65" t="s">
        <v>4004</v>
      </c>
      <c r="C353" s="65" t="s">
        <v>1033</v>
      </c>
      <c r="D353" s="65" t="s">
        <v>29</v>
      </c>
      <c r="E353" s="65" t="s">
        <v>1034</v>
      </c>
      <c r="F353" s="65" t="s">
        <v>31</v>
      </c>
      <c r="G353" s="65" t="s">
        <v>1035</v>
      </c>
      <c r="H353" s="65" t="s">
        <v>1028</v>
      </c>
      <c r="I353" s="65" t="s">
        <v>1029</v>
      </c>
      <c r="J353" s="65" t="s">
        <v>774</v>
      </c>
      <c r="K353" s="65" t="s">
        <v>775</v>
      </c>
      <c r="L353" s="65" t="s">
        <v>37</v>
      </c>
      <c r="M353" s="65" t="s">
        <v>1030</v>
      </c>
      <c r="N353" s="65" t="s">
        <v>1031</v>
      </c>
      <c r="O353" s="65" t="s">
        <v>1028</v>
      </c>
      <c r="P353" s="65" t="s">
        <v>1036</v>
      </c>
      <c r="Q353" s="65" t="s">
        <v>618</v>
      </c>
      <c r="R353">
        <v>1</v>
      </c>
      <c r="S353" s="65" t="s">
        <v>42</v>
      </c>
      <c r="T353" s="65" t="s">
        <v>44</v>
      </c>
      <c r="U353" s="65" t="s">
        <v>44</v>
      </c>
      <c r="V353" s="65" t="s">
        <v>45</v>
      </c>
      <c r="W353" s="65" t="s">
        <v>46</v>
      </c>
      <c r="X353">
        <v>12.71</v>
      </c>
      <c r="Y353" s="65" t="s">
        <v>619</v>
      </c>
      <c r="Z353" s="65" t="s">
        <v>48</v>
      </c>
      <c r="AA353" s="65" t="s">
        <v>49</v>
      </c>
      <c r="AC353" s="65"/>
    </row>
    <row r="354" spans="1:30" x14ac:dyDescent="0.3">
      <c r="A354" s="1">
        <v>46238</v>
      </c>
      <c r="B354" s="65" t="s">
        <v>4004</v>
      </c>
      <c r="C354" s="65" t="s">
        <v>1033</v>
      </c>
      <c r="D354" s="65" t="s">
        <v>29</v>
      </c>
      <c r="E354" s="65" t="s">
        <v>1034</v>
      </c>
      <c r="F354" s="65" t="s">
        <v>31</v>
      </c>
      <c r="G354" s="65" t="s">
        <v>1035</v>
      </c>
      <c r="H354" s="65" t="s">
        <v>1028</v>
      </c>
      <c r="I354" s="65" t="s">
        <v>1029</v>
      </c>
      <c r="J354" s="65" t="s">
        <v>774</v>
      </c>
      <c r="K354" s="65" t="s">
        <v>775</v>
      </c>
      <c r="L354" s="65" t="s">
        <v>37</v>
      </c>
      <c r="M354" s="65" t="s">
        <v>1030</v>
      </c>
      <c r="N354" s="65" t="s">
        <v>1031</v>
      </c>
      <c r="O354" s="65" t="s">
        <v>1028</v>
      </c>
      <c r="P354" s="65" t="s">
        <v>1036</v>
      </c>
      <c r="Q354" s="65" t="s">
        <v>620</v>
      </c>
      <c r="R354">
        <v>1</v>
      </c>
      <c r="S354" s="65" t="s">
        <v>42</v>
      </c>
      <c r="T354" s="65" t="s">
        <v>44</v>
      </c>
      <c r="U354" s="65" t="s">
        <v>44</v>
      </c>
      <c r="V354" s="65" t="s">
        <v>45</v>
      </c>
      <c r="W354" s="65" t="s">
        <v>46</v>
      </c>
      <c r="X354">
        <v>21.19</v>
      </c>
      <c r="Y354" s="65" t="s">
        <v>619</v>
      </c>
      <c r="Z354" s="65" t="s">
        <v>48</v>
      </c>
      <c r="AA354" s="65" t="s">
        <v>49</v>
      </c>
      <c r="AC354" s="65"/>
    </row>
    <row r="355" spans="1:30" x14ac:dyDescent="0.3">
      <c r="A355" s="1">
        <v>46238</v>
      </c>
      <c r="B355" s="65" t="s">
        <v>4004</v>
      </c>
      <c r="C355" s="65" t="s">
        <v>1033</v>
      </c>
      <c r="D355" s="65" t="s">
        <v>29</v>
      </c>
      <c r="E355" s="65" t="s">
        <v>1034</v>
      </c>
      <c r="F355" s="65" t="s">
        <v>31</v>
      </c>
      <c r="G355" s="65" t="s">
        <v>1035</v>
      </c>
      <c r="H355" s="65" t="s">
        <v>1028</v>
      </c>
      <c r="I355" s="65" t="s">
        <v>1029</v>
      </c>
      <c r="J355" s="65" t="s">
        <v>774</v>
      </c>
      <c r="K355" s="65" t="s">
        <v>775</v>
      </c>
      <c r="L355" s="65" t="s">
        <v>37</v>
      </c>
      <c r="M355" s="65" t="s">
        <v>1030</v>
      </c>
      <c r="N355" s="65" t="s">
        <v>1031</v>
      </c>
      <c r="O355" s="65" t="s">
        <v>1028</v>
      </c>
      <c r="P355" s="65" t="s">
        <v>1036</v>
      </c>
      <c r="Q355" s="65" t="s">
        <v>621</v>
      </c>
      <c r="R355">
        <v>1</v>
      </c>
      <c r="S355" s="65" t="s">
        <v>42</v>
      </c>
      <c r="T355" s="65" t="s">
        <v>44</v>
      </c>
      <c r="U355" s="65" t="s">
        <v>44</v>
      </c>
      <c r="V355" s="65" t="s">
        <v>45</v>
      </c>
      <c r="W355" s="65" t="s">
        <v>46</v>
      </c>
      <c r="X355">
        <v>12.71</v>
      </c>
      <c r="Y355" s="65" t="s">
        <v>619</v>
      </c>
      <c r="Z355" s="65" t="s">
        <v>48</v>
      </c>
      <c r="AA355" s="65" t="s">
        <v>49</v>
      </c>
      <c r="AC355" s="65"/>
    </row>
    <row r="356" spans="1:30" x14ac:dyDescent="0.3">
      <c r="A356" s="1">
        <v>46238</v>
      </c>
      <c r="B356" s="65" t="s">
        <v>4004</v>
      </c>
      <c r="C356" s="65" t="s">
        <v>1033</v>
      </c>
      <c r="D356" s="65" t="s">
        <v>29</v>
      </c>
      <c r="E356" s="65" t="s">
        <v>1034</v>
      </c>
      <c r="F356" s="65" t="s">
        <v>31</v>
      </c>
      <c r="G356" s="65" t="s">
        <v>1035</v>
      </c>
      <c r="H356" s="65" t="s">
        <v>1028</v>
      </c>
      <c r="I356" s="65" t="s">
        <v>1029</v>
      </c>
      <c r="J356" s="65" t="s">
        <v>774</v>
      </c>
      <c r="K356" s="65" t="s">
        <v>775</v>
      </c>
      <c r="L356" s="65" t="s">
        <v>37</v>
      </c>
      <c r="M356" s="65" t="s">
        <v>1030</v>
      </c>
      <c r="N356" s="65" t="s">
        <v>1031</v>
      </c>
      <c r="O356" s="65" t="s">
        <v>1028</v>
      </c>
      <c r="P356" s="65" t="s">
        <v>1036</v>
      </c>
      <c r="Q356" s="65" t="s">
        <v>622</v>
      </c>
      <c r="R356">
        <v>1</v>
      </c>
      <c r="S356" s="65" t="s">
        <v>42</v>
      </c>
      <c r="T356" s="65" t="s">
        <v>44</v>
      </c>
      <c r="U356" s="65" t="s">
        <v>44</v>
      </c>
      <c r="V356" s="65" t="s">
        <v>45</v>
      </c>
      <c r="W356" s="65" t="s">
        <v>46</v>
      </c>
      <c r="X356">
        <v>12.71</v>
      </c>
      <c r="Y356" s="65" t="s">
        <v>619</v>
      </c>
      <c r="Z356" s="65" t="s">
        <v>48</v>
      </c>
      <c r="AA356" s="65" t="s">
        <v>49</v>
      </c>
      <c r="AC356" s="65"/>
    </row>
    <row r="357" spans="1:30" x14ac:dyDescent="0.3">
      <c r="A357" s="1">
        <v>46238</v>
      </c>
      <c r="B357" s="65" t="s">
        <v>4004</v>
      </c>
      <c r="C357" s="65" t="s">
        <v>1033</v>
      </c>
      <c r="D357" s="65" t="s">
        <v>29</v>
      </c>
      <c r="E357" s="65" t="s">
        <v>1034</v>
      </c>
      <c r="F357" s="65" t="s">
        <v>31</v>
      </c>
      <c r="G357" s="65" t="s">
        <v>1035</v>
      </c>
      <c r="H357" s="65" t="s">
        <v>1028</v>
      </c>
      <c r="I357" s="65" t="s">
        <v>1029</v>
      </c>
      <c r="J357" s="65" t="s">
        <v>774</v>
      </c>
      <c r="K357" s="65" t="s">
        <v>775</v>
      </c>
      <c r="L357" s="65" t="s">
        <v>37</v>
      </c>
      <c r="M357" s="65" t="s">
        <v>1030</v>
      </c>
      <c r="N357" s="65" t="s">
        <v>1031</v>
      </c>
      <c r="O357" s="65" t="s">
        <v>1028</v>
      </c>
      <c r="P357" s="65" t="s">
        <v>1036</v>
      </c>
      <c r="Q357" s="65" t="s">
        <v>833</v>
      </c>
      <c r="R357">
        <v>1</v>
      </c>
      <c r="S357" s="65" t="s">
        <v>42</v>
      </c>
      <c r="T357" s="65" t="s">
        <v>44</v>
      </c>
      <c r="U357" s="65" t="s">
        <v>44</v>
      </c>
      <c r="V357" s="65" t="s">
        <v>45</v>
      </c>
      <c r="W357" s="65" t="s">
        <v>46</v>
      </c>
      <c r="X357">
        <v>50.85</v>
      </c>
      <c r="Y357" s="65" t="s">
        <v>619</v>
      </c>
      <c r="Z357" s="65" t="s">
        <v>48</v>
      </c>
      <c r="AA357" s="65" t="s">
        <v>49</v>
      </c>
      <c r="AC357" s="65"/>
    </row>
    <row r="358" spans="1:30" x14ac:dyDescent="0.3">
      <c r="A358" s="1">
        <v>46238</v>
      </c>
      <c r="B358" s="65" t="s">
        <v>4004</v>
      </c>
      <c r="C358" s="65" t="s">
        <v>1037</v>
      </c>
      <c r="D358" s="65" t="s">
        <v>29</v>
      </c>
      <c r="E358" s="65" t="s">
        <v>1038</v>
      </c>
      <c r="F358" s="65" t="s">
        <v>31</v>
      </c>
      <c r="G358" s="65" t="s">
        <v>1039</v>
      </c>
      <c r="H358" s="65" t="s">
        <v>1028</v>
      </c>
      <c r="I358" s="65" t="s">
        <v>1029</v>
      </c>
      <c r="J358" s="65" t="s">
        <v>774</v>
      </c>
      <c r="K358" s="65" t="s">
        <v>775</v>
      </c>
      <c r="L358" s="65" t="s">
        <v>37</v>
      </c>
      <c r="M358" s="65" t="s">
        <v>1030</v>
      </c>
      <c r="N358" s="65" t="s">
        <v>1031</v>
      </c>
      <c r="O358" s="65" t="s">
        <v>1028</v>
      </c>
      <c r="P358" s="65" t="s">
        <v>1040</v>
      </c>
      <c r="Q358" s="65" t="s">
        <v>641</v>
      </c>
      <c r="R358">
        <v>1</v>
      </c>
      <c r="S358" s="65" t="s">
        <v>42</v>
      </c>
      <c r="T358" s="65" t="s">
        <v>44</v>
      </c>
      <c r="U358" s="65" t="s">
        <v>44</v>
      </c>
      <c r="V358" s="65" t="s">
        <v>45</v>
      </c>
      <c r="W358" s="65" t="s">
        <v>46</v>
      </c>
      <c r="X358">
        <v>84.75</v>
      </c>
      <c r="Y358" s="65" t="s">
        <v>47</v>
      </c>
      <c r="Z358" s="65" t="s">
        <v>48</v>
      </c>
      <c r="AA358" s="65" t="s">
        <v>49</v>
      </c>
      <c r="AC358" s="65"/>
    </row>
    <row r="359" spans="1:30" x14ac:dyDescent="0.3">
      <c r="A359" s="1">
        <v>46238</v>
      </c>
      <c r="B359" s="65" t="s">
        <v>4004</v>
      </c>
      <c r="C359" s="65" t="s">
        <v>1485</v>
      </c>
      <c r="D359" s="65" t="s">
        <v>29</v>
      </c>
      <c r="E359" s="65" t="s">
        <v>1486</v>
      </c>
      <c r="F359" s="65" t="s">
        <v>31</v>
      </c>
      <c r="G359" s="65" t="s">
        <v>1487</v>
      </c>
      <c r="H359" s="65" t="s">
        <v>1488</v>
      </c>
      <c r="I359" s="65" t="s">
        <v>1489</v>
      </c>
      <c r="J359" s="65" t="s">
        <v>1490</v>
      </c>
      <c r="K359" s="65" t="s">
        <v>345</v>
      </c>
      <c r="L359" s="65" t="s">
        <v>37</v>
      </c>
      <c r="M359" s="65" t="s">
        <v>1491</v>
      </c>
      <c r="N359" s="65" t="s">
        <v>1492</v>
      </c>
      <c r="O359" s="65" t="s">
        <v>1488</v>
      </c>
      <c r="P359" s="65" t="s">
        <v>1493</v>
      </c>
      <c r="Q359" s="65" t="s">
        <v>201</v>
      </c>
      <c r="R359">
        <v>1</v>
      </c>
      <c r="S359" s="65" t="s">
        <v>42</v>
      </c>
      <c r="T359" s="65" t="s">
        <v>44</v>
      </c>
      <c r="U359" s="65" t="s">
        <v>44</v>
      </c>
      <c r="V359" s="65" t="s">
        <v>45</v>
      </c>
      <c r="W359" s="65" t="s">
        <v>60</v>
      </c>
      <c r="X359">
        <v>152.54</v>
      </c>
      <c r="Y359" s="65" t="s">
        <v>47</v>
      </c>
      <c r="Z359" s="65" t="s">
        <v>48</v>
      </c>
      <c r="AA359" s="65" t="s">
        <v>49</v>
      </c>
      <c r="AB359">
        <v>975750204</v>
      </c>
      <c r="AC359" s="65"/>
      <c r="AD359">
        <v>30</v>
      </c>
    </row>
    <row r="360" spans="1:30" x14ac:dyDescent="0.3">
      <c r="A360" s="1">
        <v>46238</v>
      </c>
      <c r="B360" s="65" t="s">
        <v>4004</v>
      </c>
      <c r="C360" s="65" t="s">
        <v>417</v>
      </c>
      <c r="D360" s="65" t="s">
        <v>29</v>
      </c>
      <c r="E360" s="65" t="s">
        <v>418</v>
      </c>
      <c r="F360" s="65" t="s">
        <v>31</v>
      </c>
      <c r="G360" s="65" t="s">
        <v>419</v>
      </c>
      <c r="H360" s="65" t="s">
        <v>420</v>
      </c>
      <c r="I360" s="65" t="s">
        <v>421</v>
      </c>
      <c r="J360" s="65" t="s">
        <v>411</v>
      </c>
      <c r="K360" s="65" t="s">
        <v>412</v>
      </c>
      <c r="L360" s="65" t="s">
        <v>37</v>
      </c>
      <c r="M360" s="65" t="s">
        <v>422</v>
      </c>
      <c r="N360" s="65" t="s">
        <v>423</v>
      </c>
      <c r="O360" s="65" t="s">
        <v>420</v>
      </c>
      <c r="P360" s="65" t="s">
        <v>424</v>
      </c>
      <c r="Q360" s="65" t="s">
        <v>101</v>
      </c>
      <c r="R360">
        <v>1</v>
      </c>
      <c r="S360" s="65" t="s">
        <v>70</v>
      </c>
      <c r="T360" s="65" t="s">
        <v>43</v>
      </c>
      <c r="U360" s="65" t="s">
        <v>44</v>
      </c>
      <c r="V360" s="65" t="s">
        <v>71</v>
      </c>
      <c r="W360" s="65" t="s">
        <v>72</v>
      </c>
      <c r="X360">
        <v>186.44</v>
      </c>
      <c r="Y360" s="65" t="s">
        <v>47</v>
      </c>
      <c r="Z360" s="65" t="s">
        <v>48</v>
      </c>
      <c r="AA360" s="65" t="s">
        <v>73</v>
      </c>
      <c r="AB360">
        <v>982673362</v>
      </c>
      <c r="AC360" s="65" t="s">
        <v>416</v>
      </c>
      <c r="AD360">
        <v>50</v>
      </c>
    </row>
    <row r="361" spans="1:30" x14ac:dyDescent="0.3">
      <c r="A361" s="1">
        <v>46238</v>
      </c>
      <c r="B361" s="65" t="s">
        <v>4004</v>
      </c>
      <c r="C361" s="65" t="s">
        <v>417</v>
      </c>
      <c r="D361" s="65" t="s">
        <v>29</v>
      </c>
      <c r="E361" s="65" t="s">
        <v>418</v>
      </c>
      <c r="F361" s="65" t="s">
        <v>31</v>
      </c>
      <c r="G361" s="65" t="s">
        <v>419</v>
      </c>
      <c r="H361" s="65" t="s">
        <v>420</v>
      </c>
      <c r="I361" s="65" t="s">
        <v>421</v>
      </c>
      <c r="J361" s="65" t="s">
        <v>411</v>
      </c>
      <c r="K361" s="65" t="s">
        <v>412</v>
      </c>
      <c r="L361" s="65" t="s">
        <v>37</v>
      </c>
      <c r="M361" s="65" t="s">
        <v>422</v>
      </c>
      <c r="N361" s="65" t="s">
        <v>423</v>
      </c>
      <c r="O361" s="65" t="s">
        <v>420</v>
      </c>
      <c r="P361" s="65" t="s">
        <v>424</v>
      </c>
      <c r="Q361" s="65" t="s">
        <v>159</v>
      </c>
      <c r="R361">
        <v>1</v>
      </c>
      <c r="S361" s="65" t="s">
        <v>70</v>
      </c>
      <c r="T361" s="65" t="s">
        <v>43</v>
      </c>
      <c r="U361" s="65" t="s">
        <v>44</v>
      </c>
      <c r="V361" s="65" t="s">
        <v>71</v>
      </c>
      <c r="W361" s="65" t="s">
        <v>72</v>
      </c>
      <c r="X361">
        <v>135.59</v>
      </c>
      <c r="Y361" s="65" t="s">
        <v>47</v>
      </c>
      <c r="Z361" s="65" t="s">
        <v>48</v>
      </c>
      <c r="AA361" s="65" t="s">
        <v>73</v>
      </c>
      <c r="AB361">
        <v>982673362</v>
      </c>
      <c r="AC361" s="65" t="s">
        <v>416</v>
      </c>
      <c r="AD361">
        <v>30</v>
      </c>
    </row>
    <row r="362" spans="1:30" x14ac:dyDescent="0.3">
      <c r="A362" s="1">
        <v>46239</v>
      </c>
      <c r="B362" s="65" t="s">
        <v>4004</v>
      </c>
      <c r="C362" s="65" t="s">
        <v>634</v>
      </c>
      <c r="D362" s="65" t="s">
        <v>29</v>
      </c>
      <c r="E362" s="65" t="s">
        <v>635</v>
      </c>
      <c r="F362" s="65" t="s">
        <v>31</v>
      </c>
      <c r="G362" s="65" t="s">
        <v>636</v>
      </c>
      <c r="H362" s="65" t="s">
        <v>637</v>
      </c>
      <c r="I362" s="65" t="s">
        <v>638</v>
      </c>
      <c r="J362" s="65" t="s">
        <v>628</v>
      </c>
      <c r="K362" s="65" t="s">
        <v>629</v>
      </c>
      <c r="L362" s="65" t="s">
        <v>37</v>
      </c>
      <c r="M362" s="65" t="s">
        <v>639</v>
      </c>
      <c r="N362" s="65" t="s">
        <v>608</v>
      </c>
      <c r="O362" s="65" t="s">
        <v>637</v>
      </c>
      <c r="P362" s="65" t="s">
        <v>640</v>
      </c>
      <c r="Q362" s="65" t="s">
        <v>641</v>
      </c>
      <c r="R362">
        <v>1</v>
      </c>
      <c r="S362" s="65" t="s">
        <v>42</v>
      </c>
      <c r="T362" s="65" t="s">
        <v>44</v>
      </c>
      <c r="U362" s="65" t="s">
        <v>44</v>
      </c>
      <c r="V362" s="65" t="s">
        <v>45</v>
      </c>
      <c r="W362" s="65" t="s">
        <v>46</v>
      </c>
      <c r="X362">
        <v>84.75</v>
      </c>
      <c r="Y362" s="65" t="s">
        <v>47</v>
      </c>
      <c r="Z362" s="65" t="s">
        <v>48</v>
      </c>
      <c r="AA362" s="65" t="s">
        <v>49</v>
      </c>
      <c r="AB362">
        <v>978789268</v>
      </c>
      <c r="AC362" s="65" t="s">
        <v>633</v>
      </c>
    </row>
    <row r="363" spans="1:30" x14ac:dyDescent="0.3">
      <c r="A363" s="1">
        <v>46239</v>
      </c>
      <c r="B363" s="65" t="s">
        <v>4004</v>
      </c>
      <c r="C363" s="65" t="s">
        <v>642</v>
      </c>
      <c r="D363" s="65" t="s">
        <v>29</v>
      </c>
      <c r="E363" s="65" t="s">
        <v>643</v>
      </c>
      <c r="F363" s="65" t="s">
        <v>31</v>
      </c>
      <c r="G363" s="65" t="s">
        <v>644</v>
      </c>
      <c r="H363" s="65" t="s">
        <v>637</v>
      </c>
      <c r="I363" s="65" t="s">
        <v>638</v>
      </c>
      <c r="J363" s="65" t="s">
        <v>628</v>
      </c>
      <c r="K363" s="65" t="s">
        <v>629</v>
      </c>
      <c r="L363" s="65" t="s">
        <v>37</v>
      </c>
      <c r="M363" s="65" t="s">
        <v>639</v>
      </c>
      <c r="N363" s="65" t="s">
        <v>608</v>
      </c>
      <c r="O363" s="65" t="s">
        <v>637</v>
      </c>
      <c r="P363" s="65" t="s">
        <v>645</v>
      </c>
      <c r="Q363" s="65" t="s">
        <v>288</v>
      </c>
      <c r="R363">
        <v>1</v>
      </c>
      <c r="S363" s="65" t="s">
        <v>42</v>
      </c>
      <c r="T363" s="65" t="s">
        <v>44</v>
      </c>
      <c r="U363" s="65" t="s">
        <v>44</v>
      </c>
      <c r="V363" s="65" t="s">
        <v>45</v>
      </c>
      <c r="W363" s="65" t="s">
        <v>46</v>
      </c>
      <c r="X363">
        <v>0</v>
      </c>
      <c r="Y363" s="65" t="s">
        <v>289</v>
      </c>
      <c r="Z363" s="65" t="s">
        <v>48</v>
      </c>
      <c r="AA363" s="65" t="s">
        <v>49</v>
      </c>
      <c r="AB363">
        <v>978789268</v>
      </c>
      <c r="AC363" s="65" t="s">
        <v>633</v>
      </c>
    </row>
    <row r="364" spans="1:30" x14ac:dyDescent="0.3">
      <c r="A364" s="1">
        <v>46239</v>
      </c>
      <c r="B364" s="65" t="s">
        <v>4004</v>
      </c>
      <c r="C364" s="65" t="s">
        <v>642</v>
      </c>
      <c r="D364" s="65" t="s">
        <v>29</v>
      </c>
      <c r="E364" s="65" t="s">
        <v>643</v>
      </c>
      <c r="F364" s="65" t="s">
        <v>31</v>
      </c>
      <c r="G364" s="65" t="s">
        <v>644</v>
      </c>
      <c r="H364" s="65" t="s">
        <v>637</v>
      </c>
      <c r="I364" s="65" t="s">
        <v>638</v>
      </c>
      <c r="J364" s="65" t="s">
        <v>628</v>
      </c>
      <c r="K364" s="65" t="s">
        <v>629</v>
      </c>
      <c r="L364" s="65" t="s">
        <v>37</v>
      </c>
      <c r="M364" s="65" t="s">
        <v>639</v>
      </c>
      <c r="N364" s="65" t="s">
        <v>608</v>
      </c>
      <c r="O364" s="65" t="s">
        <v>637</v>
      </c>
      <c r="P364" s="65" t="s">
        <v>645</v>
      </c>
      <c r="Q364" s="65" t="s">
        <v>290</v>
      </c>
      <c r="R364">
        <v>1</v>
      </c>
      <c r="S364" s="65" t="s">
        <v>42</v>
      </c>
      <c r="T364" s="65" t="s">
        <v>44</v>
      </c>
      <c r="U364" s="65" t="s">
        <v>44</v>
      </c>
      <c r="V364" s="65" t="s">
        <v>45</v>
      </c>
      <c r="W364" s="65" t="s">
        <v>46</v>
      </c>
      <c r="X364">
        <v>1050.8499999999999</v>
      </c>
      <c r="Y364" s="65" t="s">
        <v>289</v>
      </c>
      <c r="Z364" s="65" t="s">
        <v>48</v>
      </c>
      <c r="AA364" s="65" t="s">
        <v>49</v>
      </c>
      <c r="AB364">
        <v>978789268</v>
      </c>
      <c r="AC364" s="65" t="s">
        <v>633</v>
      </c>
    </row>
    <row r="365" spans="1:30" x14ac:dyDescent="0.3">
      <c r="A365" s="1">
        <v>46239</v>
      </c>
      <c r="B365" s="65" t="s">
        <v>4004</v>
      </c>
      <c r="C365" s="65" t="s">
        <v>381</v>
      </c>
      <c r="D365" s="65" t="s">
        <v>268</v>
      </c>
      <c r="E365" s="65" t="s">
        <v>382</v>
      </c>
      <c r="F365" s="65" t="s">
        <v>31</v>
      </c>
      <c r="G365" s="65" t="s">
        <v>383</v>
      </c>
      <c r="H365" s="65" t="s">
        <v>384</v>
      </c>
      <c r="I365" s="65" t="s">
        <v>385</v>
      </c>
      <c r="J365" s="65" t="s">
        <v>364</v>
      </c>
      <c r="K365" s="65" t="s">
        <v>365</v>
      </c>
      <c r="L365" s="65" t="s">
        <v>37</v>
      </c>
      <c r="M365" s="65" t="s">
        <v>386</v>
      </c>
      <c r="N365" s="65" t="s">
        <v>387</v>
      </c>
      <c r="O365" s="65" t="s">
        <v>368</v>
      </c>
      <c r="P365" s="65" t="s">
        <v>388</v>
      </c>
      <c r="Q365" s="65" t="s">
        <v>288</v>
      </c>
      <c r="R365">
        <v>1</v>
      </c>
      <c r="S365" s="65" t="s">
        <v>42</v>
      </c>
      <c r="T365" s="65" t="s">
        <v>44</v>
      </c>
      <c r="U365" s="65" t="s">
        <v>44</v>
      </c>
      <c r="V365" s="65" t="s">
        <v>45</v>
      </c>
      <c r="W365" s="65" t="s">
        <v>60</v>
      </c>
      <c r="X365">
        <v>0</v>
      </c>
      <c r="Y365" s="65" t="s">
        <v>289</v>
      </c>
      <c r="Z365" s="65" t="s">
        <v>48</v>
      </c>
      <c r="AA365" s="65" t="s">
        <v>49</v>
      </c>
      <c r="AB365">
        <v>976922608</v>
      </c>
      <c r="AC365" s="65" t="s">
        <v>370</v>
      </c>
    </row>
    <row r="366" spans="1:30" x14ac:dyDescent="0.3">
      <c r="A366" s="1">
        <v>46239</v>
      </c>
      <c r="B366" s="65" t="s">
        <v>4004</v>
      </c>
      <c r="C366" s="65" t="s">
        <v>381</v>
      </c>
      <c r="D366" s="65" t="s">
        <v>268</v>
      </c>
      <c r="E366" s="65" t="s">
        <v>382</v>
      </c>
      <c r="F366" s="65" t="s">
        <v>31</v>
      </c>
      <c r="G366" s="65" t="s">
        <v>383</v>
      </c>
      <c r="H366" s="65" t="s">
        <v>384</v>
      </c>
      <c r="I366" s="65" t="s">
        <v>385</v>
      </c>
      <c r="J366" s="65" t="s">
        <v>364</v>
      </c>
      <c r="K366" s="65" t="s">
        <v>365</v>
      </c>
      <c r="L366" s="65" t="s">
        <v>37</v>
      </c>
      <c r="M366" s="65" t="s">
        <v>386</v>
      </c>
      <c r="N366" s="65" t="s">
        <v>387</v>
      </c>
      <c r="O366" s="65" t="s">
        <v>368</v>
      </c>
      <c r="P366" s="65" t="s">
        <v>388</v>
      </c>
      <c r="Q366" s="65" t="s">
        <v>389</v>
      </c>
      <c r="R366">
        <v>1</v>
      </c>
      <c r="S366" s="65" t="s">
        <v>42</v>
      </c>
      <c r="T366" s="65" t="s">
        <v>44</v>
      </c>
      <c r="U366" s="65" t="s">
        <v>44</v>
      </c>
      <c r="V366" s="65" t="s">
        <v>45</v>
      </c>
      <c r="W366" s="65" t="s">
        <v>60</v>
      </c>
      <c r="X366">
        <v>550.85</v>
      </c>
      <c r="Y366" s="65" t="s">
        <v>289</v>
      </c>
      <c r="Z366" s="65" t="s">
        <v>48</v>
      </c>
      <c r="AA366" s="65" t="s">
        <v>49</v>
      </c>
      <c r="AB366">
        <v>976922608</v>
      </c>
      <c r="AC366" s="65" t="s">
        <v>370</v>
      </c>
    </row>
    <row r="367" spans="1:30" x14ac:dyDescent="0.3">
      <c r="A367" s="1">
        <v>46239</v>
      </c>
      <c r="B367" s="65" t="s">
        <v>4004</v>
      </c>
      <c r="C367" s="65" t="s">
        <v>390</v>
      </c>
      <c r="D367" s="65" t="s">
        <v>268</v>
      </c>
      <c r="E367" s="65" t="s">
        <v>391</v>
      </c>
      <c r="F367" s="65" t="s">
        <v>31</v>
      </c>
      <c r="G367" s="65" t="s">
        <v>392</v>
      </c>
      <c r="H367" s="65" t="s">
        <v>384</v>
      </c>
      <c r="I367" s="65" t="s">
        <v>385</v>
      </c>
      <c r="J367" s="65" t="s">
        <v>364</v>
      </c>
      <c r="K367" s="65" t="s">
        <v>365</v>
      </c>
      <c r="L367" s="65" t="s">
        <v>37</v>
      </c>
      <c r="M367" s="65" t="s">
        <v>386</v>
      </c>
      <c r="N367" s="65" t="s">
        <v>387</v>
      </c>
      <c r="O367" s="65" t="s">
        <v>368</v>
      </c>
      <c r="P367" s="65" t="s">
        <v>393</v>
      </c>
      <c r="Q367" s="65" t="s">
        <v>130</v>
      </c>
      <c r="R367">
        <v>1</v>
      </c>
      <c r="S367" s="65" t="s">
        <v>42</v>
      </c>
      <c r="T367" s="65" t="s">
        <v>44</v>
      </c>
      <c r="U367" s="65" t="s">
        <v>44</v>
      </c>
      <c r="V367" s="65" t="s">
        <v>45</v>
      </c>
      <c r="W367" s="65" t="s">
        <v>60</v>
      </c>
      <c r="X367">
        <v>152.54</v>
      </c>
      <c r="Y367" s="65" t="s">
        <v>47</v>
      </c>
      <c r="Z367" s="65" t="s">
        <v>48</v>
      </c>
      <c r="AA367" s="65" t="s">
        <v>49</v>
      </c>
      <c r="AB367">
        <v>976922608</v>
      </c>
      <c r="AC367" s="65" t="s">
        <v>370</v>
      </c>
      <c r="AD367">
        <v>30</v>
      </c>
    </row>
    <row r="368" spans="1:30" x14ac:dyDescent="0.3">
      <c r="A368" s="1">
        <v>46239</v>
      </c>
      <c r="B368" s="65" t="s">
        <v>4004</v>
      </c>
      <c r="C368" s="65" t="s">
        <v>394</v>
      </c>
      <c r="D368" s="65" t="s">
        <v>29</v>
      </c>
      <c r="E368" s="65" t="s">
        <v>395</v>
      </c>
      <c r="F368" s="65" t="s">
        <v>31</v>
      </c>
      <c r="G368" s="65" t="s">
        <v>396</v>
      </c>
      <c r="H368" s="65" t="s">
        <v>384</v>
      </c>
      <c r="I368" s="65" t="s">
        <v>385</v>
      </c>
      <c r="J368" s="65" t="s">
        <v>364</v>
      </c>
      <c r="K368" s="65" t="s">
        <v>365</v>
      </c>
      <c r="L368" s="65" t="s">
        <v>37</v>
      </c>
      <c r="M368" s="65" t="s">
        <v>386</v>
      </c>
      <c r="N368" s="65" t="s">
        <v>387</v>
      </c>
      <c r="O368" s="65" t="s">
        <v>368</v>
      </c>
      <c r="P368" s="65" t="s">
        <v>397</v>
      </c>
      <c r="Q368" s="65" t="s">
        <v>380</v>
      </c>
      <c r="R368">
        <v>1</v>
      </c>
      <c r="S368" s="65" t="s">
        <v>42</v>
      </c>
      <c r="T368" s="65" t="s">
        <v>44</v>
      </c>
      <c r="U368" s="65" t="s">
        <v>44</v>
      </c>
      <c r="V368" s="65" t="s">
        <v>45</v>
      </c>
      <c r="W368" s="65" t="s">
        <v>60</v>
      </c>
      <c r="X368">
        <v>33.9</v>
      </c>
      <c r="Y368" s="65" t="s">
        <v>47</v>
      </c>
      <c r="Z368" s="65" t="s">
        <v>48</v>
      </c>
      <c r="AA368" s="65" t="s">
        <v>49</v>
      </c>
      <c r="AB368">
        <v>976922608</v>
      </c>
      <c r="AC368" s="65" t="s">
        <v>370</v>
      </c>
    </row>
    <row r="369" spans="1:30" x14ac:dyDescent="0.3">
      <c r="A369" s="1">
        <v>46239</v>
      </c>
      <c r="B369" s="65" t="s">
        <v>4004</v>
      </c>
      <c r="C369" s="65" t="s">
        <v>398</v>
      </c>
      <c r="D369" s="65" t="s">
        <v>399</v>
      </c>
      <c r="E369" s="65" t="s">
        <v>395</v>
      </c>
      <c r="F369" s="65" t="s">
        <v>400</v>
      </c>
      <c r="G369" s="65" t="s">
        <v>401</v>
      </c>
      <c r="H369" s="65" t="s">
        <v>384</v>
      </c>
      <c r="I369" s="65" t="s">
        <v>385</v>
      </c>
      <c r="J369" s="65" t="s">
        <v>364</v>
      </c>
      <c r="K369" s="65" t="s">
        <v>365</v>
      </c>
      <c r="L369" s="65" t="s">
        <v>400</v>
      </c>
      <c r="M369" s="65" t="s">
        <v>386</v>
      </c>
      <c r="N369" s="65" t="s">
        <v>387</v>
      </c>
      <c r="O369" s="65" t="s">
        <v>368</v>
      </c>
      <c r="P369" s="65" t="s">
        <v>397</v>
      </c>
      <c r="Q369" s="65" t="s">
        <v>380</v>
      </c>
      <c r="R369">
        <v>1</v>
      </c>
      <c r="S369" s="65" t="s">
        <v>42</v>
      </c>
      <c r="T369" s="65" t="s">
        <v>44</v>
      </c>
      <c r="U369" s="65" t="s">
        <v>44</v>
      </c>
      <c r="V369" s="65" t="s">
        <v>45</v>
      </c>
      <c r="W369" s="65" t="s">
        <v>60</v>
      </c>
      <c r="X369">
        <v>-33.9</v>
      </c>
      <c r="Y369" s="65" t="s">
        <v>47</v>
      </c>
      <c r="Z369" s="65" t="s">
        <v>48</v>
      </c>
      <c r="AA369" s="65" t="s">
        <v>49</v>
      </c>
      <c r="AB369">
        <v>976922608</v>
      </c>
      <c r="AC369" s="65" t="s">
        <v>370</v>
      </c>
    </row>
    <row r="370" spans="1:30" x14ac:dyDescent="0.3">
      <c r="A370" s="1">
        <v>46239</v>
      </c>
      <c r="B370" s="65" t="s">
        <v>4004</v>
      </c>
      <c r="C370" s="65" t="s">
        <v>402</v>
      </c>
      <c r="D370" s="65" t="s">
        <v>268</v>
      </c>
      <c r="E370" s="65" t="s">
        <v>403</v>
      </c>
      <c r="F370" s="65" t="s">
        <v>31</v>
      </c>
      <c r="G370" s="65" t="s">
        <v>404</v>
      </c>
      <c r="H370" s="65" t="s">
        <v>384</v>
      </c>
      <c r="I370" s="65" t="s">
        <v>385</v>
      </c>
      <c r="J370" s="65" t="s">
        <v>364</v>
      </c>
      <c r="K370" s="65" t="s">
        <v>365</v>
      </c>
      <c r="L370" s="65" t="s">
        <v>37</v>
      </c>
      <c r="M370" s="65" t="s">
        <v>386</v>
      </c>
      <c r="N370" s="65" t="s">
        <v>387</v>
      </c>
      <c r="O370" s="65" t="s">
        <v>368</v>
      </c>
      <c r="P370" s="65" t="s">
        <v>405</v>
      </c>
      <c r="Q370" s="65" t="s">
        <v>380</v>
      </c>
      <c r="R370">
        <v>1</v>
      </c>
      <c r="S370" s="65" t="s">
        <v>42</v>
      </c>
      <c r="T370" s="65" t="s">
        <v>44</v>
      </c>
      <c r="U370" s="65" t="s">
        <v>44</v>
      </c>
      <c r="V370" s="65" t="s">
        <v>45</v>
      </c>
      <c r="W370" s="65" t="s">
        <v>60</v>
      </c>
      <c r="X370">
        <v>33.9</v>
      </c>
      <c r="Y370" s="65" t="s">
        <v>47</v>
      </c>
      <c r="Z370" s="65" t="s">
        <v>48</v>
      </c>
      <c r="AA370" s="65" t="s">
        <v>49</v>
      </c>
      <c r="AB370">
        <v>976922608</v>
      </c>
      <c r="AC370" s="65" t="s">
        <v>370</v>
      </c>
    </row>
    <row r="371" spans="1:30" x14ac:dyDescent="0.3">
      <c r="A371" s="1">
        <v>46239</v>
      </c>
      <c r="B371" s="65" t="s">
        <v>4004</v>
      </c>
      <c r="C371" s="65" t="s">
        <v>1494</v>
      </c>
      <c r="D371" s="65" t="s">
        <v>29</v>
      </c>
      <c r="E371" s="65" t="s">
        <v>1495</v>
      </c>
      <c r="F371" s="65" t="s">
        <v>31</v>
      </c>
      <c r="G371" s="65" t="s">
        <v>1496</v>
      </c>
      <c r="H371" s="65" t="s">
        <v>1497</v>
      </c>
      <c r="I371" s="65" t="s">
        <v>1498</v>
      </c>
      <c r="J371" s="65" t="s">
        <v>1490</v>
      </c>
      <c r="K371" s="65" t="s">
        <v>345</v>
      </c>
      <c r="L371" s="65" t="s">
        <v>37</v>
      </c>
      <c r="M371" s="65" t="s">
        <v>1499</v>
      </c>
      <c r="N371" s="65" t="s">
        <v>1500</v>
      </c>
      <c r="O371" s="65" t="s">
        <v>1497</v>
      </c>
      <c r="P371" s="65" t="s">
        <v>1501</v>
      </c>
      <c r="Q371" s="65" t="s">
        <v>201</v>
      </c>
      <c r="R371">
        <v>1</v>
      </c>
      <c r="S371" s="65" t="s">
        <v>42</v>
      </c>
      <c r="T371" s="65" t="s">
        <v>44</v>
      </c>
      <c r="U371" s="65" t="s">
        <v>44</v>
      </c>
      <c r="V371" s="65" t="s">
        <v>45</v>
      </c>
      <c r="W371" s="65" t="s">
        <v>46</v>
      </c>
      <c r="X371">
        <v>152.54</v>
      </c>
      <c r="Y371" s="65" t="s">
        <v>47</v>
      </c>
      <c r="Z371" s="65" t="s">
        <v>48</v>
      </c>
      <c r="AA371" s="65" t="s">
        <v>49</v>
      </c>
      <c r="AB371">
        <v>975750204</v>
      </c>
      <c r="AC371" s="65"/>
      <c r="AD371">
        <v>30</v>
      </c>
    </row>
    <row r="372" spans="1:30" x14ac:dyDescent="0.3">
      <c r="A372" s="1">
        <v>46239</v>
      </c>
      <c r="B372" s="65" t="s">
        <v>4004</v>
      </c>
      <c r="C372" s="65" t="s">
        <v>602</v>
      </c>
      <c r="D372" s="65" t="s">
        <v>268</v>
      </c>
      <c r="E372" s="65" t="s">
        <v>603</v>
      </c>
      <c r="F372" s="65" t="s">
        <v>31</v>
      </c>
      <c r="G372" s="65" t="s">
        <v>604</v>
      </c>
      <c r="H372" s="65" t="s">
        <v>605</v>
      </c>
      <c r="I372" s="65" t="s">
        <v>606</v>
      </c>
      <c r="J372" s="65"/>
      <c r="K372" s="65"/>
      <c r="L372" s="65" t="s">
        <v>37</v>
      </c>
      <c r="M372" s="65" t="s">
        <v>607</v>
      </c>
      <c r="N372" s="65" t="s">
        <v>608</v>
      </c>
      <c r="O372" s="65" t="s">
        <v>277</v>
      </c>
      <c r="P372" s="65" t="s">
        <v>609</v>
      </c>
      <c r="Q372" s="65" t="s">
        <v>213</v>
      </c>
      <c r="R372">
        <v>1</v>
      </c>
      <c r="S372" s="65" t="s">
        <v>42</v>
      </c>
      <c r="T372" s="65" t="s">
        <v>44</v>
      </c>
      <c r="U372" s="65" t="s">
        <v>44</v>
      </c>
      <c r="V372" s="65" t="s">
        <v>45</v>
      </c>
      <c r="W372" s="65" t="s">
        <v>60</v>
      </c>
      <c r="X372">
        <v>254.24</v>
      </c>
      <c r="Y372" s="65" t="s">
        <v>61</v>
      </c>
      <c r="Z372" s="65" t="s">
        <v>48</v>
      </c>
      <c r="AA372" s="65" t="s">
        <v>49</v>
      </c>
      <c r="AC372" s="65"/>
    </row>
    <row r="373" spans="1:30" x14ac:dyDescent="0.3">
      <c r="A373" s="1">
        <v>46239</v>
      </c>
      <c r="B373" s="65" t="s">
        <v>4004</v>
      </c>
      <c r="C373" s="65" t="s">
        <v>327</v>
      </c>
      <c r="D373" s="65" t="s">
        <v>268</v>
      </c>
      <c r="E373" s="65" t="s">
        <v>328</v>
      </c>
      <c r="F373" s="65" t="s">
        <v>31</v>
      </c>
      <c r="G373" s="65" t="s">
        <v>329</v>
      </c>
      <c r="H373" s="65" t="s">
        <v>330</v>
      </c>
      <c r="I373" s="65" t="s">
        <v>331</v>
      </c>
      <c r="J373" s="65" t="s">
        <v>273</v>
      </c>
      <c r="K373" s="65" t="s">
        <v>274</v>
      </c>
      <c r="L373" s="65" t="s">
        <v>37</v>
      </c>
      <c r="M373" s="65" t="s">
        <v>332</v>
      </c>
      <c r="N373" s="65" t="s">
        <v>333</v>
      </c>
      <c r="O373" s="65" t="s">
        <v>277</v>
      </c>
      <c r="P373" s="65" t="s">
        <v>334</v>
      </c>
      <c r="Q373" s="65" t="s">
        <v>288</v>
      </c>
      <c r="R373">
        <v>1</v>
      </c>
      <c r="S373" s="65" t="s">
        <v>42</v>
      </c>
      <c r="T373" s="65" t="s">
        <v>44</v>
      </c>
      <c r="U373" s="65" t="s">
        <v>44</v>
      </c>
      <c r="V373" s="65" t="s">
        <v>45</v>
      </c>
      <c r="W373" s="65" t="s">
        <v>46</v>
      </c>
      <c r="X373">
        <v>0</v>
      </c>
      <c r="Y373" s="65" t="s">
        <v>289</v>
      </c>
      <c r="Z373" s="65" t="s">
        <v>48</v>
      </c>
      <c r="AA373" s="65" t="s">
        <v>49</v>
      </c>
      <c r="AB373">
        <v>950133748</v>
      </c>
      <c r="AC373" s="65" t="s">
        <v>279</v>
      </c>
    </row>
    <row r="374" spans="1:30" x14ac:dyDescent="0.3">
      <c r="A374" s="1">
        <v>46239</v>
      </c>
      <c r="B374" s="65" t="s">
        <v>4004</v>
      </c>
      <c r="C374" s="65" t="s">
        <v>327</v>
      </c>
      <c r="D374" s="65" t="s">
        <v>268</v>
      </c>
      <c r="E374" s="65" t="s">
        <v>328</v>
      </c>
      <c r="F374" s="65" t="s">
        <v>31</v>
      </c>
      <c r="G374" s="65" t="s">
        <v>329</v>
      </c>
      <c r="H374" s="65" t="s">
        <v>330</v>
      </c>
      <c r="I374" s="65" t="s">
        <v>331</v>
      </c>
      <c r="J374" s="65" t="s">
        <v>273</v>
      </c>
      <c r="K374" s="65" t="s">
        <v>274</v>
      </c>
      <c r="L374" s="65" t="s">
        <v>37</v>
      </c>
      <c r="M374" s="65" t="s">
        <v>332</v>
      </c>
      <c r="N374" s="65" t="s">
        <v>333</v>
      </c>
      <c r="O374" s="65" t="s">
        <v>277</v>
      </c>
      <c r="P374" s="65" t="s">
        <v>334</v>
      </c>
      <c r="Q374" s="65" t="s">
        <v>290</v>
      </c>
      <c r="R374">
        <v>1</v>
      </c>
      <c r="S374" s="65" t="s">
        <v>42</v>
      </c>
      <c r="T374" s="65" t="s">
        <v>44</v>
      </c>
      <c r="U374" s="65" t="s">
        <v>44</v>
      </c>
      <c r="V374" s="65" t="s">
        <v>45</v>
      </c>
      <c r="W374" s="65" t="s">
        <v>46</v>
      </c>
      <c r="X374">
        <v>1050.8499999999999</v>
      </c>
      <c r="Y374" s="65" t="s">
        <v>289</v>
      </c>
      <c r="Z374" s="65" t="s">
        <v>48</v>
      </c>
      <c r="AA374" s="65" t="s">
        <v>49</v>
      </c>
      <c r="AB374">
        <v>950133748</v>
      </c>
      <c r="AC374" s="65" t="s">
        <v>279</v>
      </c>
    </row>
    <row r="375" spans="1:30" x14ac:dyDescent="0.3">
      <c r="A375" s="1">
        <v>46239</v>
      </c>
      <c r="B375" s="65" t="s">
        <v>4004</v>
      </c>
      <c r="C375" s="65" t="s">
        <v>335</v>
      </c>
      <c r="D375" s="65" t="s">
        <v>268</v>
      </c>
      <c r="E375" s="65" t="s">
        <v>336</v>
      </c>
      <c r="F375" s="65" t="s">
        <v>31</v>
      </c>
      <c r="G375" s="65" t="s">
        <v>337</v>
      </c>
      <c r="H375" s="65" t="s">
        <v>330</v>
      </c>
      <c r="I375" s="65" t="s">
        <v>331</v>
      </c>
      <c r="J375" s="65" t="s">
        <v>273</v>
      </c>
      <c r="K375" s="65" t="s">
        <v>274</v>
      </c>
      <c r="L375" s="65" t="s">
        <v>37</v>
      </c>
      <c r="M375" s="65" t="s">
        <v>332</v>
      </c>
      <c r="N375" s="65" t="s">
        <v>333</v>
      </c>
      <c r="O375" s="65" t="s">
        <v>277</v>
      </c>
      <c r="P375" s="65" t="s">
        <v>338</v>
      </c>
      <c r="Q375" s="65" t="s">
        <v>201</v>
      </c>
      <c r="R375">
        <v>1</v>
      </c>
      <c r="S375" s="65" t="s">
        <v>42</v>
      </c>
      <c r="T375" s="65" t="s">
        <v>44</v>
      </c>
      <c r="U375" s="65" t="s">
        <v>44</v>
      </c>
      <c r="V375" s="65" t="s">
        <v>45</v>
      </c>
      <c r="W375" s="65" t="s">
        <v>60</v>
      </c>
      <c r="X375">
        <v>152.54</v>
      </c>
      <c r="Y375" s="65" t="s">
        <v>47</v>
      </c>
      <c r="Z375" s="65" t="s">
        <v>48</v>
      </c>
      <c r="AA375" s="65" t="s">
        <v>49</v>
      </c>
      <c r="AB375">
        <v>950133748</v>
      </c>
      <c r="AC375" s="65" t="s">
        <v>279</v>
      </c>
      <c r="AD375">
        <v>30</v>
      </c>
    </row>
    <row r="376" spans="1:30" x14ac:dyDescent="0.3">
      <c r="A376" s="1">
        <v>46239</v>
      </c>
      <c r="B376" s="65" t="s">
        <v>4004</v>
      </c>
      <c r="C376" s="65" t="s">
        <v>1227</v>
      </c>
      <c r="D376" s="65" t="s">
        <v>29</v>
      </c>
      <c r="E376" s="65" t="s">
        <v>1228</v>
      </c>
      <c r="F376" s="65" t="s">
        <v>31</v>
      </c>
      <c r="G376" s="65" t="s">
        <v>1229</v>
      </c>
      <c r="H376" s="65" t="s">
        <v>1230</v>
      </c>
      <c r="I376" s="65" t="s">
        <v>1231</v>
      </c>
      <c r="J376" s="65" t="s">
        <v>1232</v>
      </c>
      <c r="K376" s="65" t="s">
        <v>209</v>
      </c>
      <c r="L376" s="65" t="s">
        <v>37</v>
      </c>
      <c r="M376" s="65" t="s">
        <v>1233</v>
      </c>
      <c r="N376" s="65" t="s">
        <v>1234</v>
      </c>
      <c r="O376" s="65" t="s">
        <v>1230</v>
      </c>
      <c r="P376" s="65" t="s">
        <v>1235</v>
      </c>
      <c r="Q376" s="65" t="s">
        <v>159</v>
      </c>
      <c r="R376">
        <v>1</v>
      </c>
      <c r="S376" s="65" t="s">
        <v>42</v>
      </c>
      <c r="T376" s="65" t="s">
        <v>44</v>
      </c>
      <c r="U376" s="65" t="s">
        <v>44</v>
      </c>
      <c r="V376" s="65" t="s">
        <v>45</v>
      </c>
      <c r="W376" s="65" t="s">
        <v>60</v>
      </c>
      <c r="X376">
        <v>135.59</v>
      </c>
      <c r="Y376" s="65" t="s">
        <v>47</v>
      </c>
      <c r="Z376" s="65" t="s">
        <v>48</v>
      </c>
      <c r="AA376" s="65" t="s">
        <v>49</v>
      </c>
      <c r="AC376" s="65" t="s">
        <v>1236</v>
      </c>
      <c r="AD376">
        <v>30</v>
      </c>
    </row>
    <row r="377" spans="1:30" x14ac:dyDescent="0.3">
      <c r="A377" s="1">
        <v>46239</v>
      </c>
      <c r="B377" s="65" t="s">
        <v>4004</v>
      </c>
      <c r="C377" s="65" t="s">
        <v>1475</v>
      </c>
      <c r="D377" s="65" t="s">
        <v>268</v>
      </c>
      <c r="E377" s="65" t="s">
        <v>1476</v>
      </c>
      <c r="F377" s="65" t="s">
        <v>31</v>
      </c>
      <c r="G377" s="65" t="s">
        <v>1477</v>
      </c>
      <c r="H377" s="65" t="s">
        <v>1478</v>
      </c>
      <c r="I377" s="65" t="s">
        <v>1479</v>
      </c>
      <c r="J377" s="65" t="s">
        <v>1480</v>
      </c>
      <c r="K377" s="65" t="s">
        <v>1481</v>
      </c>
      <c r="L377" s="65" t="s">
        <v>37</v>
      </c>
      <c r="M377" s="65" t="s">
        <v>1482</v>
      </c>
      <c r="N377" s="65" t="s">
        <v>608</v>
      </c>
      <c r="O377" s="65" t="s">
        <v>1483</v>
      </c>
      <c r="P377" s="65" t="s">
        <v>1484</v>
      </c>
      <c r="Q377" s="65" t="s">
        <v>288</v>
      </c>
      <c r="R377">
        <v>1</v>
      </c>
      <c r="S377" s="65" t="s">
        <v>42</v>
      </c>
      <c r="T377" s="65" t="s">
        <v>44</v>
      </c>
      <c r="U377" s="65" t="s">
        <v>44</v>
      </c>
      <c r="V377" s="65" t="s">
        <v>45</v>
      </c>
      <c r="W377" s="65" t="s">
        <v>60</v>
      </c>
      <c r="X377">
        <v>0</v>
      </c>
      <c r="Y377" s="65" t="s">
        <v>289</v>
      </c>
      <c r="Z377" s="65" t="s">
        <v>48</v>
      </c>
      <c r="AA377" s="65" t="s">
        <v>49</v>
      </c>
      <c r="AC377" s="65"/>
    </row>
    <row r="378" spans="1:30" x14ac:dyDescent="0.3">
      <c r="A378" s="1">
        <v>46239</v>
      </c>
      <c r="B378" s="65" t="s">
        <v>4004</v>
      </c>
      <c r="C378" s="65" t="s">
        <v>1475</v>
      </c>
      <c r="D378" s="65" t="s">
        <v>268</v>
      </c>
      <c r="E378" s="65" t="s">
        <v>1476</v>
      </c>
      <c r="F378" s="65" t="s">
        <v>31</v>
      </c>
      <c r="G378" s="65" t="s">
        <v>1477</v>
      </c>
      <c r="H378" s="65" t="s">
        <v>1478</v>
      </c>
      <c r="I378" s="65" t="s">
        <v>1479</v>
      </c>
      <c r="J378" s="65" t="s">
        <v>1480</v>
      </c>
      <c r="K378" s="65" t="s">
        <v>1481</v>
      </c>
      <c r="L378" s="65" t="s">
        <v>37</v>
      </c>
      <c r="M378" s="65" t="s">
        <v>1482</v>
      </c>
      <c r="N378" s="65" t="s">
        <v>608</v>
      </c>
      <c r="O378" s="65" t="s">
        <v>1483</v>
      </c>
      <c r="P378" s="65" t="s">
        <v>1484</v>
      </c>
      <c r="Q378" s="65" t="s">
        <v>1254</v>
      </c>
      <c r="R378">
        <v>1</v>
      </c>
      <c r="S378" s="65" t="s">
        <v>42</v>
      </c>
      <c r="T378" s="65" t="s">
        <v>44</v>
      </c>
      <c r="U378" s="65" t="s">
        <v>44</v>
      </c>
      <c r="V378" s="65" t="s">
        <v>45</v>
      </c>
      <c r="W378" s="65" t="s">
        <v>60</v>
      </c>
      <c r="X378">
        <v>563.55999999999995</v>
      </c>
      <c r="Y378" s="65" t="s">
        <v>289</v>
      </c>
      <c r="Z378" s="65" t="s">
        <v>48</v>
      </c>
      <c r="AA378" s="65" t="s">
        <v>49</v>
      </c>
      <c r="AC378" s="65"/>
    </row>
    <row r="379" spans="1:30" x14ac:dyDescent="0.3">
      <c r="A379" s="1">
        <v>46241</v>
      </c>
      <c r="B379" s="65" t="s">
        <v>4004</v>
      </c>
      <c r="C379" s="65" t="s">
        <v>1189</v>
      </c>
      <c r="D379" s="65" t="s">
        <v>29</v>
      </c>
      <c r="E379" s="65" t="s">
        <v>1190</v>
      </c>
      <c r="F379" s="65" t="s">
        <v>31</v>
      </c>
      <c r="G379" s="65" t="s">
        <v>1191</v>
      </c>
      <c r="H379" s="65" t="s">
        <v>1192</v>
      </c>
      <c r="I379" s="65" t="s">
        <v>1193</v>
      </c>
      <c r="J379" s="65" t="s">
        <v>1184</v>
      </c>
      <c r="K379" s="65" t="s">
        <v>209</v>
      </c>
      <c r="L379" s="65" t="s">
        <v>37</v>
      </c>
      <c r="M379" s="65" t="s">
        <v>1194</v>
      </c>
      <c r="N379" s="65" t="s">
        <v>1195</v>
      </c>
      <c r="O379" s="65" t="s">
        <v>1192</v>
      </c>
      <c r="P379" s="65" t="s">
        <v>1196</v>
      </c>
      <c r="Q379" s="65" t="s">
        <v>90</v>
      </c>
      <c r="R379">
        <v>1</v>
      </c>
      <c r="S379" s="65" t="s">
        <v>42</v>
      </c>
      <c r="T379" s="65" t="s">
        <v>44</v>
      </c>
      <c r="U379" s="65" t="s">
        <v>44</v>
      </c>
      <c r="V379" s="65" t="s">
        <v>45</v>
      </c>
      <c r="W379" s="65" t="s">
        <v>60</v>
      </c>
      <c r="X379">
        <v>135.59</v>
      </c>
      <c r="Y379" s="65" t="s">
        <v>47</v>
      </c>
      <c r="Z379" s="65" t="s">
        <v>48</v>
      </c>
      <c r="AA379" s="65" t="s">
        <v>49</v>
      </c>
      <c r="AB379">
        <v>981227454</v>
      </c>
      <c r="AC379" s="65" t="s">
        <v>1188</v>
      </c>
      <c r="AD379">
        <v>30</v>
      </c>
    </row>
    <row r="380" spans="1:30" x14ac:dyDescent="0.3">
      <c r="A380" s="1">
        <v>46241</v>
      </c>
      <c r="B380" s="65" t="s">
        <v>4004</v>
      </c>
      <c r="C380" s="65" t="s">
        <v>1502</v>
      </c>
      <c r="D380" s="65" t="s">
        <v>29</v>
      </c>
      <c r="E380" s="65" t="s">
        <v>1503</v>
      </c>
      <c r="F380" s="65" t="s">
        <v>31</v>
      </c>
      <c r="G380" s="65" t="s">
        <v>1504</v>
      </c>
      <c r="H380" s="65" t="s">
        <v>1505</v>
      </c>
      <c r="I380" s="65" t="s">
        <v>1506</v>
      </c>
      <c r="J380" s="65" t="s">
        <v>2739</v>
      </c>
      <c r="K380" s="65" t="s">
        <v>209</v>
      </c>
      <c r="L380" s="65" t="s">
        <v>37</v>
      </c>
      <c r="M380" s="65" t="s">
        <v>1508</v>
      </c>
      <c r="N380" s="65" t="s">
        <v>1509</v>
      </c>
      <c r="O380" s="65" t="s">
        <v>1505</v>
      </c>
      <c r="P380" s="65" t="s">
        <v>1510</v>
      </c>
      <c r="Q380" s="65" t="s">
        <v>202</v>
      </c>
      <c r="R380">
        <v>1</v>
      </c>
      <c r="S380" s="65" t="s">
        <v>42</v>
      </c>
      <c r="T380" s="65" t="s">
        <v>44</v>
      </c>
      <c r="U380" s="65" t="s">
        <v>44</v>
      </c>
      <c r="V380" s="65" t="s">
        <v>45</v>
      </c>
      <c r="W380" s="65" t="s">
        <v>60</v>
      </c>
      <c r="X380">
        <v>135.59</v>
      </c>
      <c r="Y380" s="65" t="s">
        <v>47</v>
      </c>
      <c r="Z380" s="65" t="s">
        <v>48</v>
      </c>
      <c r="AA380" s="65" t="s">
        <v>49</v>
      </c>
      <c r="AC380" s="65"/>
      <c r="AD380">
        <v>30</v>
      </c>
    </row>
    <row r="381" spans="1:30" x14ac:dyDescent="0.3">
      <c r="A381" s="1">
        <v>46241</v>
      </c>
      <c r="B381" s="65" t="s">
        <v>4004</v>
      </c>
      <c r="C381" s="65" t="s">
        <v>1344</v>
      </c>
      <c r="D381" s="65" t="s">
        <v>29</v>
      </c>
      <c r="E381" s="65" t="s">
        <v>1345</v>
      </c>
      <c r="F381" s="65" t="s">
        <v>31</v>
      </c>
      <c r="G381" s="65" t="s">
        <v>1346</v>
      </c>
      <c r="H381" s="65" t="s">
        <v>1347</v>
      </c>
      <c r="I381" s="65" t="s">
        <v>1348</v>
      </c>
      <c r="J381" s="65" t="s">
        <v>1349</v>
      </c>
      <c r="K381" s="65" t="s">
        <v>209</v>
      </c>
      <c r="L381" s="65" t="s">
        <v>37</v>
      </c>
      <c r="M381" s="65" t="s">
        <v>1350</v>
      </c>
      <c r="N381" s="65" t="s">
        <v>1351</v>
      </c>
      <c r="O381" s="65" t="s">
        <v>1347</v>
      </c>
      <c r="P381" s="65" t="s">
        <v>1352</v>
      </c>
      <c r="Q381" s="65" t="s">
        <v>130</v>
      </c>
      <c r="R381">
        <v>1</v>
      </c>
      <c r="S381" s="65" t="s">
        <v>42</v>
      </c>
      <c r="T381" s="65" t="s">
        <v>44</v>
      </c>
      <c r="U381" s="65" t="s">
        <v>44</v>
      </c>
      <c r="V381" s="65" t="s">
        <v>45</v>
      </c>
      <c r="W381" s="65" t="s">
        <v>60</v>
      </c>
      <c r="X381">
        <v>152.54</v>
      </c>
      <c r="Y381" s="65" t="s">
        <v>47</v>
      </c>
      <c r="Z381" s="65" t="s">
        <v>48</v>
      </c>
      <c r="AA381" s="65" t="s">
        <v>49</v>
      </c>
      <c r="AB381">
        <v>980030101</v>
      </c>
      <c r="AC381" s="65" t="s">
        <v>1353</v>
      </c>
      <c r="AD381">
        <v>30</v>
      </c>
    </row>
    <row r="382" spans="1:30" x14ac:dyDescent="0.3">
      <c r="A382" s="1">
        <v>46241</v>
      </c>
      <c r="B382" s="65" t="s">
        <v>4004</v>
      </c>
      <c r="C382" s="65" t="s">
        <v>1041</v>
      </c>
      <c r="D382" s="65" t="s">
        <v>29</v>
      </c>
      <c r="E382" s="65" t="s">
        <v>1042</v>
      </c>
      <c r="F382" s="65" t="s">
        <v>31</v>
      </c>
      <c r="G382" s="65" t="s">
        <v>1043</v>
      </c>
      <c r="H382" s="65" t="s">
        <v>1044</v>
      </c>
      <c r="I382" s="65" t="s">
        <v>1045</v>
      </c>
      <c r="J382" s="65" t="s">
        <v>774</v>
      </c>
      <c r="K382" s="65" t="s">
        <v>775</v>
      </c>
      <c r="L382" s="65" t="s">
        <v>37</v>
      </c>
      <c r="M382" s="65" t="s">
        <v>1046</v>
      </c>
      <c r="N382" s="65" t="s">
        <v>1047</v>
      </c>
      <c r="O382" s="65" t="s">
        <v>1044</v>
      </c>
      <c r="P382" s="65" t="s">
        <v>1048</v>
      </c>
      <c r="Q382" s="65" t="s">
        <v>90</v>
      </c>
      <c r="R382">
        <v>1</v>
      </c>
      <c r="S382" s="65" t="s">
        <v>42</v>
      </c>
      <c r="T382" s="65" t="s">
        <v>44</v>
      </c>
      <c r="U382" s="65" t="s">
        <v>44</v>
      </c>
      <c r="V382" s="65" t="s">
        <v>45</v>
      </c>
      <c r="W382" s="65" t="s">
        <v>60</v>
      </c>
      <c r="X382">
        <v>135.59</v>
      </c>
      <c r="Y382" s="65" t="s">
        <v>47</v>
      </c>
      <c r="Z382" s="65" t="s">
        <v>48</v>
      </c>
      <c r="AA382" s="65" t="s">
        <v>49</v>
      </c>
      <c r="AC382" s="65"/>
      <c r="AD382">
        <v>30</v>
      </c>
    </row>
    <row r="383" spans="1:30" x14ac:dyDescent="0.3">
      <c r="A383" s="1">
        <v>46241</v>
      </c>
      <c r="B383" s="65" t="s">
        <v>4004</v>
      </c>
      <c r="C383" s="65" t="s">
        <v>1511</v>
      </c>
      <c r="D383" s="65" t="s">
        <v>29</v>
      </c>
      <c r="E383" s="65" t="s">
        <v>1512</v>
      </c>
      <c r="F383" s="65" t="s">
        <v>31</v>
      </c>
      <c r="G383" s="65" t="s">
        <v>1513</v>
      </c>
      <c r="H383" s="65" t="s">
        <v>1514</v>
      </c>
      <c r="I383" s="65" t="s">
        <v>1515</v>
      </c>
      <c r="J383" s="65" t="s">
        <v>1516</v>
      </c>
      <c r="K383" s="65" t="s">
        <v>629</v>
      </c>
      <c r="L383" s="65" t="s">
        <v>37</v>
      </c>
      <c r="M383" s="65" t="s">
        <v>1517</v>
      </c>
      <c r="N383" s="65" t="s">
        <v>1518</v>
      </c>
      <c r="O383" s="65" t="s">
        <v>1514</v>
      </c>
      <c r="P383" s="65" t="s">
        <v>1519</v>
      </c>
      <c r="Q383" s="65" t="s">
        <v>481</v>
      </c>
      <c r="R383">
        <v>2</v>
      </c>
      <c r="S383" s="65" t="s">
        <v>42</v>
      </c>
      <c r="T383" s="65" t="s">
        <v>44</v>
      </c>
      <c r="U383" s="65" t="s">
        <v>44</v>
      </c>
      <c r="V383" s="65" t="s">
        <v>45</v>
      </c>
      <c r="W383" s="65" t="s">
        <v>46</v>
      </c>
      <c r="X383">
        <v>203.39</v>
      </c>
      <c r="Y383" s="65" t="s">
        <v>61</v>
      </c>
      <c r="Z383" s="65" t="s">
        <v>48</v>
      </c>
      <c r="AA383" s="65" t="s">
        <v>49</v>
      </c>
      <c r="AB383">
        <v>947422476</v>
      </c>
      <c r="AC383" s="65"/>
    </row>
    <row r="384" spans="1:30" x14ac:dyDescent="0.3">
      <c r="A384" s="1">
        <v>46241</v>
      </c>
      <c r="B384" s="65" t="s">
        <v>4004</v>
      </c>
      <c r="C384" s="65" t="s">
        <v>1363</v>
      </c>
      <c r="D384" s="65" t="s">
        <v>29</v>
      </c>
      <c r="E384" s="65" t="s">
        <v>1364</v>
      </c>
      <c r="F384" s="65" t="s">
        <v>31</v>
      </c>
      <c r="G384" s="65" t="s">
        <v>1365</v>
      </c>
      <c r="H384" s="65" t="s">
        <v>1366</v>
      </c>
      <c r="I384" s="65" t="s">
        <v>1367</v>
      </c>
      <c r="J384" s="65" t="s">
        <v>1368</v>
      </c>
      <c r="K384" s="65" t="s">
        <v>629</v>
      </c>
      <c r="L384" s="65" t="s">
        <v>37</v>
      </c>
      <c r="M384" s="65" t="s">
        <v>1369</v>
      </c>
      <c r="N384" s="65" t="s">
        <v>1370</v>
      </c>
      <c r="O384" s="65" t="s">
        <v>1366</v>
      </c>
      <c r="P384" s="65" t="s">
        <v>1371</v>
      </c>
      <c r="Q384" s="65" t="s">
        <v>159</v>
      </c>
      <c r="R384">
        <v>1</v>
      </c>
      <c r="S384" s="65" t="s">
        <v>42</v>
      </c>
      <c r="T384" s="65" t="s">
        <v>44</v>
      </c>
      <c r="U384" s="65" t="s">
        <v>44</v>
      </c>
      <c r="V384" s="65" t="s">
        <v>45</v>
      </c>
      <c r="W384" s="65" t="s">
        <v>60</v>
      </c>
      <c r="X384">
        <v>135.59</v>
      </c>
      <c r="Y384" s="65" t="s">
        <v>47</v>
      </c>
      <c r="Z384" s="65" t="s">
        <v>48</v>
      </c>
      <c r="AA384" s="65" t="s">
        <v>49</v>
      </c>
      <c r="AB384">
        <v>994336842</v>
      </c>
      <c r="AC384" s="65"/>
      <c r="AD384">
        <v>30</v>
      </c>
    </row>
    <row r="385" spans="1:30" x14ac:dyDescent="0.3">
      <c r="A385" s="1">
        <v>46242</v>
      </c>
      <c r="B385" s="65" t="s">
        <v>4004</v>
      </c>
      <c r="C385" s="65" t="s">
        <v>425</v>
      </c>
      <c r="D385" s="65" t="s">
        <v>29</v>
      </c>
      <c r="E385" s="65" t="s">
        <v>426</v>
      </c>
      <c r="F385" s="65" t="s">
        <v>31</v>
      </c>
      <c r="G385" s="65" t="s">
        <v>427</v>
      </c>
      <c r="H385" s="65" t="s">
        <v>409</v>
      </c>
      <c r="I385" s="65" t="s">
        <v>410</v>
      </c>
      <c r="J385" s="65" t="s">
        <v>411</v>
      </c>
      <c r="K385" s="65" t="s">
        <v>412</v>
      </c>
      <c r="L385" s="65" t="s">
        <v>37</v>
      </c>
      <c r="M385" s="65" t="s">
        <v>413</v>
      </c>
      <c r="N385" s="65" t="s">
        <v>414</v>
      </c>
      <c r="O385" s="65" t="s">
        <v>409</v>
      </c>
      <c r="P385" s="65" t="s">
        <v>428</v>
      </c>
      <c r="Q385" s="65" t="s">
        <v>41</v>
      </c>
      <c r="R385">
        <v>1</v>
      </c>
      <c r="S385" s="65" t="s">
        <v>42</v>
      </c>
      <c r="T385" s="65" t="s">
        <v>44</v>
      </c>
      <c r="U385" s="65" t="s">
        <v>44</v>
      </c>
      <c r="V385" s="65" t="s">
        <v>45</v>
      </c>
      <c r="W385" s="65" t="s">
        <v>60</v>
      </c>
      <c r="X385">
        <v>186.44</v>
      </c>
      <c r="Y385" s="65" t="s">
        <v>47</v>
      </c>
      <c r="Z385" s="65" t="s">
        <v>48</v>
      </c>
      <c r="AA385" s="65" t="s">
        <v>49</v>
      </c>
      <c r="AB385">
        <v>982673362</v>
      </c>
      <c r="AC385" s="65" t="s">
        <v>416</v>
      </c>
      <c r="AD385">
        <v>50</v>
      </c>
    </row>
    <row r="386" spans="1:30" x14ac:dyDescent="0.3">
      <c r="A386" s="1">
        <v>46242</v>
      </c>
      <c r="B386" s="65" t="s">
        <v>4004</v>
      </c>
      <c r="C386" s="65" t="s">
        <v>425</v>
      </c>
      <c r="D386" s="65" t="s">
        <v>29</v>
      </c>
      <c r="E386" s="65" t="s">
        <v>426</v>
      </c>
      <c r="F386" s="65" t="s">
        <v>31</v>
      </c>
      <c r="G386" s="65" t="s">
        <v>427</v>
      </c>
      <c r="H386" s="65" t="s">
        <v>409</v>
      </c>
      <c r="I386" s="65" t="s">
        <v>410</v>
      </c>
      <c r="J386" s="65" t="s">
        <v>411</v>
      </c>
      <c r="K386" s="65" t="s">
        <v>412</v>
      </c>
      <c r="L386" s="65" t="s">
        <v>37</v>
      </c>
      <c r="M386" s="65" t="s">
        <v>413</v>
      </c>
      <c r="N386" s="65" t="s">
        <v>414</v>
      </c>
      <c r="O386" s="65" t="s">
        <v>409</v>
      </c>
      <c r="P386" s="65" t="s">
        <v>428</v>
      </c>
      <c r="Q386" s="65" t="s">
        <v>101</v>
      </c>
      <c r="R386">
        <v>1</v>
      </c>
      <c r="S386" s="65" t="s">
        <v>42</v>
      </c>
      <c r="T386" s="65" t="s">
        <v>44</v>
      </c>
      <c r="U386" s="65" t="s">
        <v>44</v>
      </c>
      <c r="V386" s="65" t="s">
        <v>45</v>
      </c>
      <c r="W386" s="65" t="s">
        <v>60</v>
      </c>
      <c r="X386">
        <v>186.44</v>
      </c>
      <c r="Y386" s="65" t="s">
        <v>47</v>
      </c>
      <c r="Z386" s="65" t="s">
        <v>48</v>
      </c>
      <c r="AA386" s="65" t="s">
        <v>49</v>
      </c>
      <c r="AB386">
        <v>982673362</v>
      </c>
      <c r="AC386" s="65" t="s">
        <v>416</v>
      </c>
      <c r="AD386">
        <v>50</v>
      </c>
    </row>
    <row r="387" spans="1:30" x14ac:dyDescent="0.3">
      <c r="A387" s="1">
        <v>46242</v>
      </c>
      <c r="B387" s="65" t="s">
        <v>4004</v>
      </c>
      <c r="C387" s="65" t="s">
        <v>1170</v>
      </c>
      <c r="D387" s="65" t="s">
        <v>29</v>
      </c>
      <c r="E387" s="65" t="s">
        <v>1171</v>
      </c>
      <c r="F387" s="65" t="s">
        <v>31</v>
      </c>
      <c r="G387" s="65" t="s">
        <v>1172</v>
      </c>
      <c r="H387" s="65" t="s">
        <v>1173</v>
      </c>
      <c r="I387" s="65" t="s">
        <v>1174</v>
      </c>
      <c r="J387" s="65" t="s">
        <v>1164</v>
      </c>
      <c r="K387" s="65" t="s">
        <v>1165</v>
      </c>
      <c r="L387" s="65" t="s">
        <v>37</v>
      </c>
      <c r="M387" s="65" t="s">
        <v>1175</v>
      </c>
      <c r="N387" s="65" t="s">
        <v>1176</v>
      </c>
      <c r="O387" s="65" t="s">
        <v>1173</v>
      </c>
      <c r="P387" s="65" t="s">
        <v>1177</v>
      </c>
      <c r="Q387" s="65" t="s">
        <v>1178</v>
      </c>
      <c r="R387">
        <v>1</v>
      </c>
      <c r="S387" s="65" t="s">
        <v>42</v>
      </c>
      <c r="T387" s="65" t="s">
        <v>44</v>
      </c>
      <c r="U387" s="65" t="s">
        <v>44</v>
      </c>
      <c r="V387" s="65" t="s">
        <v>45</v>
      </c>
      <c r="W387" s="65" t="s">
        <v>60</v>
      </c>
      <c r="X387">
        <v>186.44</v>
      </c>
      <c r="Y387" s="65" t="s">
        <v>47</v>
      </c>
      <c r="Z387" s="65" t="s">
        <v>48</v>
      </c>
      <c r="AA387" s="65" t="s">
        <v>49</v>
      </c>
      <c r="AB387">
        <v>978548687</v>
      </c>
      <c r="AC387" s="65" t="s">
        <v>1169</v>
      </c>
      <c r="AD387">
        <v>50</v>
      </c>
    </row>
    <row r="388" spans="1:30" x14ac:dyDescent="0.3">
      <c r="A388" s="1">
        <v>46244</v>
      </c>
      <c r="B388" s="65" t="s">
        <v>4004</v>
      </c>
      <c r="C388" s="65" t="s">
        <v>691</v>
      </c>
      <c r="D388" s="65" t="s">
        <v>29</v>
      </c>
      <c r="E388" s="65" t="s">
        <v>692</v>
      </c>
      <c r="F388" s="65" t="s">
        <v>31</v>
      </c>
      <c r="G388" s="65" t="s">
        <v>693</v>
      </c>
      <c r="H388" s="65" t="s">
        <v>694</v>
      </c>
      <c r="I388" s="65" t="s">
        <v>695</v>
      </c>
      <c r="J388" s="65" t="s">
        <v>662</v>
      </c>
      <c r="K388" s="65" t="s">
        <v>36</v>
      </c>
      <c r="L388" s="65" t="s">
        <v>37</v>
      </c>
      <c r="M388" s="65" t="s">
        <v>696</v>
      </c>
      <c r="N388" s="65" t="s">
        <v>697</v>
      </c>
      <c r="O388" s="65" t="s">
        <v>694</v>
      </c>
      <c r="P388" s="65" t="s">
        <v>698</v>
      </c>
      <c r="Q388" s="65" t="s">
        <v>201</v>
      </c>
      <c r="R388">
        <v>1</v>
      </c>
      <c r="S388" s="65" t="s">
        <v>42</v>
      </c>
      <c r="T388" s="65" t="s">
        <v>44</v>
      </c>
      <c r="U388" s="65" t="s">
        <v>44</v>
      </c>
      <c r="V388" s="65" t="s">
        <v>45</v>
      </c>
      <c r="W388" s="65" t="s">
        <v>60</v>
      </c>
      <c r="X388">
        <v>152.54</v>
      </c>
      <c r="Y388" s="65" t="s">
        <v>47</v>
      </c>
      <c r="Z388" s="65" t="s">
        <v>48</v>
      </c>
      <c r="AA388" s="65" t="s">
        <v>49</v>
      </c>
      <c r="AB388">
        <v>997145685</v>
      </c>
      <c r="AC388" s="65" t="s">
        <v>666</v>
      </c>
      <c r="AD388">
        <v>30</v>
      </c>
    </row>
    <row r="389" spans="1:30" x14ac:dyDescent="0.3">
      <c r="A389" s="1">
        <v>46244</v>
      </c>
      <c r="B389" s="65" t="s">
        <v>4004</v>
      </c>
      <c r="C389" s="65" t="s">
        <v>464</v>
      </c>
      <c r="D389" s="65" t="s">
        <v>29</v>
      </c>
      <c r="E389" s="65" t="s">
        <v>465</v>
      </c>
      <c r="F389" s="65" t="s">
        <v>31</v>
      </c>
      <c r="G389" s="65" t="s">
        <v>466</v>
      </c>
      <c r="H389" s="65" t="s">
        <v>467</v>
      </c>
      <c r="I389" s="65" t="s">
        <v>468</v>
      </c>
      <c r="J389" s="65" t="s">
        <v>434</v>
      </c>
      <c r="K389" s="65" t="s">
        <v>435</v>
      </c>
      <c r="L389" s="65" t="s">
        <v>37</v>
      </c>
      <c r="M389" s="65" t="s">
        <v>469</v>
      </c>
      <c r="N389" s="65" t="s">
        <v>470</v>
      </c>
      <c r="O389" s="65" t="s">
        <v>467</v>
      </c>
      <c r="P389" s="65" t="s">
        <v>471</v>
      </c>
      <c r="Q389" s="65" t="s">
        <v>90</v>
      </c>
      <c r="R389">
        <v>1</v>
      </c>
      <c r="S389" s="65" t="s">
        <v>70</v>
      </c>
      <c r="T389" s="65" t="s">
        <v>43</v>
      </c>
      <c r="U389" s="65" t="s">
        <v>44</v>
      </c>
      <c r="V389" s="65" t="s">
        <v>71</v>
      </c>
      <c r="W389" s="65" t="s">
        <v>72</v>
      </c>
      <c r="X389">
        <v>135.59</v>
      </c>
      <c r="Y389" s="65" t="s">
        <v>47</v>
      </c>
      <c r="Z389" s="65" t="s">
        <v>48</v>
      </c>
      <c r="AA389" s="65" t="s">
        <v>73</v>
      </c>
      <c r="AB389">
        <v>992903716</v>
      </c>
      <c r="AC389" s="65" t="s">
        <v>439</v>
      </c>
      <c r="AD389">
        <v>30</v>
      </c>
    </row>
    <row r="390" spans="1:30" x14ac:dyDescent="0.3">
      <c r="A390" s="1">
        <v>46244</v>
      </c>
      <c r="B390" s="65" t="s">
        <v>4004</v>
      </c>
      <c r="C390" s="65" t="s">
        <v>1295</v>
      </c>
      <c r="D390" s="65" t="s">
        <v>268</v>
      </c>
      <c r="E390" s="65" t="s">
        <v>1296</v>
      </c>
      <c r="F390" s="65" t="s">
        <v>31</v>
      </c>
      <c r="G390" s="65" t="s">
        <v>1297</v>
      </c>
      <c r="H390" s="65" t="s">
        <v>1298</v>
      </c>
      <c r="I390" s="65" t="s">
        <v>1299</v>
      </c>
      <c r="J390" s="65" t="s">
        <v>1300</v>
      </c>
      <c r="K390" s="65" t="s">
        <v>365</v>
      </c>
      <c r="L390" s="65" t="s">
        <v>37</v>
      </c>
      <c r="M390" s="65" t="s">
        <v>1301</v>
      </c>
      <c r="N390" s="65" t="s">
        <v>1302</v>
      </c>
      <c r="O390" s="65" t="s">
        <v>1303</v>
      </c>
      <c r="P390" s="65" t="s">
        <v>1304</v>
      </c>
      <c r="Q390" s="65" t="s">
        <v>90</v>
      </c>
      <c r="R390">
        <v>1</v>
      </c>
      <c r="S390" s="65" t="s">
        <v>42</v>
      </c>
      <c r="T390" s="65" t="s">
        <v>44</v>
      </c>
      <c r="U390" s="65" t="s">
        <v>44</v>
      </c>
      <c r="V390" s="65" t="s">
        <v>45</v>
      </c>
      <c r="W390" s="65" t="s">
        <v>46</v>
      </c>
      <c r="X390">
        <v>135.59</v>
      </c>
      <c r="Y390" s="65" t="s">
        <v>47</v>
      </c>
      <c r="Z390" s="65" t="s">
        <v>48</v>
      </c>
      <c r="AA390" s="65" t="s">
        <v>49</v>
      </c>
      <c r="AB390">
        <v>980702810</v>
      </c>
      <c r="AC390" s="65" t="s">
        <v>1305</v>
      </c>
      <c r="AD390">
        <v>30</v>
      </c>
    </row>
    <row r="391" spans="1:30" x14ac:dyDescent="0.3">
      <c r="A391" s="1">
        <v>46244</v>
      </c>
      <c r="B391" s="65" t="s">
        <v>4004</v>
      </c>
      <c r="C391" s="65" t="s">
        <v>1237</v>
      </c>
      <c r="D391" s="65" t="s">
        <v>29</v>
      </c>
      <c r="E391" s="65" t="s">
        <v>1238</v>
      </c>
      <c r="F391" s="65" t="s">
        <v>31</v>
      </c>
      <c r="G391" s="65" t="s">
        <v>1239</v>
      </c>
      <c r="H391" s="65" t="s">
        <v>1240</v>
      </c>
      <c r="I391" s="65" t="s">
        <v>1241</v>
      </c>
      <c r="J391" s="65" t="s">
        <v>1232</v>
      </c>
      <c r="K391" s="65" t="s">
        <v>209</v>
      </c>
      <c r="L391" s="65" t="s">
        <v>37</v>
      </c>
      <c r="M391" s="65" t="s">
        <v>1242</v>
      </c>
      <c r="N391" s="65" t="s">
        <v>1243</v>
      </c>
      <c r="O391" s="65" t="s">
        <v>1240</v>
      </c>
      <c r="P391" s="65" t="s">
        <v>1244</v>
      </c>
      <c r="Q391" s="65" t="s">
        <v>41</v>
      </c>
      <c r="R391">
        <v>1</v>
      </c>
      <c r="S391" s="65" t="s">
        <v>42</v>
      </c>
      <c r="T391" s="65" t="s">
        <v>44</v>
      </c>
      <c r="U391" s="65" t="s">
        <v>44</v>
      </c>
      <c r="V391" s="65" t="s">
        <v>45</v>
      </c>
      <c r="W391" s="65" t="s">
        <v>60</v>
      </c>
      <c r="X391">
        <v>169.49</v>
      </c>
      <c r="Y391" s="65" t="s">
        <v>47</v>
      </c>
      <c r="Z391" s="65" t="s">
        <v>48</v>
      </c>
      <c r="AA391" s="65" t="s">
        <v>49</v>
      </c>
      <c r="AC391" s="65" t="s">
        <v>1236</v>
      </c>
      <c r="AD391">
        <v>50</v>
      </c>
    </row>
    <row r="392" spans="1:30" x14ac:dyDescent="0.3">
      <c r="A392" s="1">
        <v>46244</v>
      </c>
      <c r="B392" s="65" t="s">
        <v>4004</v>
      </c>
      <c r="C392" s="65" t="s">
        <v>1276</v>
      </c>
      <c r="D392" s="65" t="s">
        <v>29</v>
      </c>
      <c r="E392" s="65" t="s">
        <v>1277</v>
      </c>
      <c r="F392" s="65" t="s">
        <v>31</v>
      </c>
      <c r="G392" s="65" t="s">
        <v>1278</v>
      </c>
      <c r="H392" s="65" t="s">
        <v>1279</v>
      </c>
      <c r="I392" s="65" t="s">
        <v>1280</v>
      </c>
      <c r="J392" s="65" t="s">
        <v>1281</v>
      </c>
      <c r="K392" s="65" t="s">
        <v>1098</v>
      </c>
      <c r="L392" s="65" t="s">
        <v>37</v>
      </c>
      <c r="M392" s="65" t="s">
        <v>1282</v>
      </c>
      <c r="N392" s="65" t="s">
        <v>1283</v>
      </c>
      <c r="O392" s="65" t="s">
        <v>1279</v>
      </c>
      <c r="P392" s="65" t="s">
        <v>1284</v>
      </c>
      <c r="Q392" s="65" t="s">
        <v>159</v>
      </c>
      <c r="R392">
        <v>1</v>
      </c>
      <c r="S392" s="65" t="s">
        <v>42</v>
      </c>
      <c r="T392" s="65" t="s">
        <v>44</v>
      </c>
      <c r="U392" s="65" t="s">
        <v>44</v>
      </c>
      <c r="V392" s="65" t="s">
        <v>531</v>
      </c>
      <c r="W392" s="65" t="s">
        <v>1285</v>
      </c>
      <c r="X392">
        <v>135.59</v>
      </c>
      <c r="Y392" s="65" t="s">
        <v>47</v>
      </c>
      <c r="Z392" s="65" t="s">
        <v>48</v>
      </c>
      <c r="AA392" s="65" t="s">
        <v>534</v>
      </c>
      <c r="AB392">
        <v>983837511</v>
      </c>
      <c r="AC392" s="65" t="s">
        <v>1286</v>
      </c>
      <c r="AD392">
        <v>30</v>
      </c>
    </row>
    <row r="393" spans="1:30" x14ac:dyDescent="0.3">
      <c r="A393" s="1">
        <v>46245</v>
      </c>
      <c r="B393" s="65" t="s">
        <v>4004</v>
      </c>
      <c r="C393" s="65" t="s">
        <v>610</v>
      </c>
      <c r="D393" s="65" t="s">
        <v>29</v>
      </c>
      <c r="E393" s="65" t="s">
        <v>611</v>
      </c>
      <c r="F393" s="65" t="s">
        <v>31</v>
      </c>
      <c r="G393" s="65" t="s">
        <v>612</v>
      </c>
      <c r="H393" s="65" t="s">
        <v>613</v>
      </c>
      <c r="I393" s="65" t="s">
        <v>614</v>
      </c>
      <c r="J393" s="65"/>
      <c r="K393" s="65"/>
      <c r="L393" s="65" t="s">
        <v>37</v>
      </c>
      <c r="M393" s="65" t="s">
        <v>615</v>
      </c>
      <c r="N393" s="65" t="s">
        <v>616</v>
      </c>
      <c r="O393" s="65" t="s">
        <v>613</v>
      </c>
      <c r="P393" s="65" t="s">
        <v>617</v>
      </c>
      <c r="Q393" s="65" t="s">
        <v>618</v>
      </c>
      <c r="R393">
        <v>1</v>
      </c>
      <c r="S393" s="65" t="s">
        <v>42</v>
      </c>
      <c r="T393" s="65" t="s">
        <v>44</v>
      </c>
      <c r="U393" s="65" t="s">
        <v>44</v>
      </c>
      <c r="V393" s="65" t="s">
        <v>45</v>
      </c>
      <c r="W393" s="65" t="s">
        <v>46</v>
      </c>
      <c r="X393">
        <v>12.71</v>
      </c>
      <c r="Y393" s="65" t="s">
        <v>619</v>
      </c>
      <c r="Z393" s="65" t="s">
        <v>48</v>
      </c>
      <c r="AA393" s="65" t="s">
        <v>49</v>
      </c>
      <c r="AC393" s="65"/>
    </row>
    <row r="394" spans="1:30" x14ac:dyDescent="0.3">
      <c r="A394" s="1">
        <v>46245</v>
      </c>
      <c r="B394" s="65" t="s">
        <v>4004</v>
      </c>
      <c r="C394" s="65" t="s">
        <v>610</v>
      </c>
      <c r="D394" s="65" t="s">
        <v>29</v>
      </c>
      <c r="E394" s="65" t="s">
        <v>611</v>
      </c>
      <c r="F394" s="65" t="s">
        <v>31</v>
      </c>
      <c r="G394" s="65" t="s">
        <v>612</v>
      </c>
      <c r="H394" s="65" t="s">
        <v>613</v>
      </c>
      <c r="I394" s="65" t="s">
        <v>614</v>
      </c>
      <c r="J394" s="65"/>
      <c r="K394" s="65"/>
      <c r="L394" s="65" t="s">
        <v>37</v>
      </c>
      <c r="M394" s="65" t="s">
        <v>615</v>
      </c>
      <c r="N394" s="65" t="s">
        <v>616</v>
      </c>
      <c r="O394" s="65" t="s">
        <v>613</v>
      </c>
      <c r="P394" s="65" t="s">
        <v>617</v>
      </c>
      <c r="Q394" s="65" t="s">
        <v>620</v>
      </c>
      <c r="R394">
        <v>1</v>
      </c>
      <c r="S394" s="65" t="s">
        <v>42</v>
      </c>
      <c r="T394" s="65" t="s">
        <v>44</v>
      </c>
      <c r="U394" s="65" t="s">
        <v>44</v>
      </c>
      <c r="V394" s="65" t="s">
        <v>45</v>
      </c>
      <c r="W394" s="65" t="s">
        <v>46</v>
      </c>
      <c r="X394">
        <v>21.19</v>
      </c>
      <c r="Y394" s="65" t="s">
        <v>619</v>
      </c>
      <c r="Z394" s="65" t="s">
        <v>48</v>
      </c>
      <c r="AA394" s="65" t="s">
        <v>49</v>
      </c>
      <c r="AC394" s="65"/>
    </row>
    <row r="395" spans="1:30" x14ac:dyDescent="0.3">
      <c r="A395" s="1">
        <v>46245</v>
      </c>
      <c r="B395" s="65" t="s">
        <v>4004</v>
      </c>
      <c r="C395" s="65" t="s">
        <v>610</v>
      </c>
      <c r="D395" s="65" t="s">
        <v>29</v>
      </c>
      <c r="E395" s="65" t="s">
        <v>611</v>
      </c>
      <c r="F395" s="65" t="s">
        <v>31</v>
      </c>
      <c r="G395" s="65" t="s">
        <v>612</v>
      </c>
      <c r="H395" s="65" t="s">
        <v>613</v>
      </c>
      <c r="I395" s="65" t="s">
        <v>614</v>
      </c>
      <c r="J395" s="65"/>
      <c r="K395" s="65"/>
      <c r="L395" s="65" t="s">
        <v>37</v>
      </c>
      <c r="M395" s="65" t="s">
        <v>615</v>
      </c>
      <c r="N395" s="65" t="s">
        <v>616</v>
      </c>
      <c r="O395" s="65" t="s">
        <v>613</v>
      </c>
      <c r="P395" s="65" t="s">
        <v>617</v>
      </c>
      <c r="Q395" s="65" t="s">
        <v>621</v>
      </c>
      <c r="R395">
        <v>1</v>
      </c>
      <c r="S395" s="65" t="s">
        <v>42</v>
      </c>
      <c r="T395" s="65" t="s">
        <v>44</v>
      </c>
      <c r="U395" s="65" t="s">
        <v>44</v>
      </c>
      <c r="V395" s="65" t="s">
        <v>45</v>
      </c>
      <c r="W395" s="65" t="s">
        <v>46</v>
      </c>
      <c r="X395">
        <v>12.71</v>
      </c>
      <c r="Y395" s="65" t="s">
        <v>619</v>
      </c>
      <c r="Z395" s="65" t="s">
        <v>48</v>
      </c>
      <c r="AA395" s="65" t="s">
        <v>49</v>
      </c>
      <c r="AC395" s="65"/>
    </row>
    <row r="396" spans="1:30" x14ac:dyDescent="0.3">
      <c r="A396" s="1">
        <v>46245</v>
      </c>
      <c r="B396" s="65" t="s">
        <v>4004</v>
      </c>
      <c r="C396" s="65" t="s">
        <v>610</v>
      </c>
      <c r="D396" s="65" t="s">
        <v>29</v>
      </c>
      <c r="E396" s="65" t="s">
        <v>611</v>
      </c>
      <c r="F396" s="65" t="s">
        <v>31</v>
      </c>
      <c r="G396" s="65" t="s">
        <v>612</v>
      </c>
      <c r="H396" s="65" t="s">
        <v>613</v>
      </c>
      <c r="I396" s="65" t="s">
        <v>614</v>
      </c>
      <c r="J396" s="65"/>
      <c r="K396" s="65"/>
      <c r="L396" s="65" t="s">
        <v>37</v>
      </c>
      <c r="M396" s="65" t="s">
        <v>615</v>
      </c>
      <c r="N396" s="65" t="s">
        <v>616</v>
      </c>
      <c r="O396" s="65" t="s">
        <v>613</v>
      </c>
      <c r="P396" s="65" t="s">
        <v>617</v>
      </c>
      <c r="Q396" s="65" t="s">
        <v>622</v>
      </c>
      <c r="R396">
        <v>1</v>
      </c>
      <c r="S396" s="65" t="s">
        <v>42</v>
      </c>
      <c r="T396" s="65" t="s">
        <v>44</v>
      </c>
      <c r="U396" s="65" t="s">
        <v>44</v>
      </c>
      <c r="V396" s="65" t="s">
        <v>45</v>
      </c>
      <c r="W396" s="65" t="s">
        <v>46</v>
      </c>
      <c r="X396">
        <v>12.71</v>
      </c>
      <c r="Y396" s="65" t="s">
        <v>619</v>
      </c>
      <c r="Z396" s="65" t="s">
        <v>48</v>
      </c>
      <c r="AA396" s="65" t="s">
        <v>49</v>
      </c>
      <c r="AC396" s="65"/>
    </row>
    <row r="397" spans="1:30" x14ac:dyDescent="0.3">
      <c r="A397" s="1">
        <v>46245</v>
      </c>
      <c r="B397" s="65" t="s">
        <v>4004</v>
      </c>
      <c r="C397" s="65" t="s">
        <v>610</v>
      </c>
      <c r="D397" s="65" t="s">
        <v>29</v>
      </c>
      <c r="E397" s="65" t="s">
        <v>611</v>
      </c>
      <c r="F397" s="65" t="s">
        <v>31</v>
      </c>
      <c r="G397" s="65" t="s">
        <v>612</v>
      </c>
      <c r="H397" s="65" t="s">
        <v>613</v>
      </c>
      <c r="I397" s="65" t="s">
        <v>614</v>
      </c>
      <c r="J397" s="65"/>
      <c r="K397" s="65"/>
      <c r="L397" s="65" t="s">
        <v>37</v>
      </c>
      <c r="M397" s="65" t="s">
        <v>615</v>
      </c>
      <c r="N397" s="65" t="s">
        <v>616</v>
      </c>
      <c r="O397" s="65" t="s">
        <v>613</v>
      </c>
      <c r="P397" s="65" t="s">
        <v>617</v>
      </c>
      <c r="Q397" s="65" t="s">
        <v>833</v>
      </c>
      <c r="R397">
        <v>1</v>
      </c>
      <c r="S397" s="65" t="s">
        <v>42</v>
      </c>
      <c r="T397" s="65" t="s">
        <v>44</v>
      </c>
      <c r="U397" s="65" t="s">
        <v>44</v>
      </c>
      <c r="V397" s="65" t="s">
        <v>45</v>
      </c>
      <c r="W397" s="65" t="s">
        <v>46</v>
      </c>
      <c r="X397">
        <v>50.85</v>
      </c>
      <c r="Y397" s="65" t="s">
        <v>619</v>
      </c>
      <c r="Z397" s="65" t="s">
        <v>48</v>
      </c>
      <c r="AA397" s="65" t="s">
        <v>49</v>
      </c>
      <c r="AC397" s="65"/>
    </row>
    <row r="398" spans="1:30" x14ac:dyDescent="0.3">
      <c r="A398" s="1">
        <v>46245</v>
      </c>
      <c r="B398" s="65" t="s">
        <v>4004</v>
      </c>
      <c r="C398" s="65" t="s">
        <v>1520</v>
      </c>
      <c r="D398" s="65" t="s">
        <v>29</v>
      </c>
      <c r="E398" s="65" t="s">
        <v>1521</v>
      </c>
      <c r="F398" s="65" t="s">
        <v>31</v>
      </c>
      <c r="G398" s="65" t="s">
        <v>1522</v>
      </c>
      <c r="H398" s="65" t="s">
        <v>613</v>
      </c>
      <c r="I398" s="65" t="s">
        <v>614</v>
      </c>
      <c r="J398" s="65"/>
      <c r="K398" s="65"/>
      <c r="L398" s="65" t="s">
        <v>37</v>
      </c>
      <c r="M398" s="65" t="s">
        <v>615</v>
      </c>
      <c r="N398" s="65" t="s">
        <v>616</v>
      </c>
      <c r="O398" s="65" t="s">
        <v>613</v>
      </c>
      <c r="P398" s="65" t="s">
        <v>1523</v>
      </c>
      <c r="Q398" s="65" t="s">
        <v>828</v>
      </c>
      <c r="R398">
        <v>1</v>
      </c>
      <c r="S398" s="65" t="s">
        <v>42</v>
      </c>
      <c r="T398" s="65" t="s">
        <v>44</v>
      </c>
      <c r="U398" s="65" t="s">
        <v>44</v>
      </c>
      <c r="V398" s="65" t="s">
        <v>45</v>
      </c>
      <c r="W398" s="65" t="s">
        <v>46</v>
      </c>
      <c r="X398">
        <v>127.12</v>
      </c>
      <c r="Y398" s="65" t="s">
        <v>47</v>
      </c>
      <c r="Z398" s="65" t="s">
        <v>48</v>
      </c>
      <c r="AA398" s="65" t="s">
        <v>49</v>
      </c>
      <c r="AC398" s="65"/>
    </row>
    <row r="399" spans="1:30" x14ac:dyDescent="0.3">
      <c r="A399" s="1">
        <v>46245</v>
      </c>
      <c r="B399" s="65" t="s">
        <v>4004</v>
      </c>
      <c r="C399" s="65" t="s">
        <v>1524</v>
      </c>
      <c r="D399" s="65" t="s">
        <v>29</v>
      </c>
      <c r="E399" s="65" t="s">
        <v>1525</v>
      </c>
      <c r="F399" s="65" t="s">
        <v>31</v>
      </c>
      <c r="G399" s="65" t="s">
        <v>1526</v>
      </c>
      <c r="H399" s="65" t="s">
        <v>613</v>
      </c>
      <c r="I399" s="65" t="s">
        <v>614</v>
      </c>
      <c r="J399" s="65"/>
      <c r="K399" s="65"/>
      <c r="L399" s="65" t="s">
        <v>37</v>
      </c>
      <c r="M399" s="65" t="s">
        <v>615</v>
      </c>
      <c r="N399" s="65" t="s">
        <v>616</v>
      </c>
      <c r="O399" s="65" t="s">
        <v>613</v>
      </c>
      <c r="P399" s="65" t="s">
        <v>1527</v>
      </c>
      <c r="Q399" s="65" t="s">
        <v>641</v>
      </c>
      <c r="R399">
        <v>1</v>
      </c>
      <c r="S399" s="65" t="s">
        <v>42</v>
      </c>
      <c r="T399" s="65" t="s">
        <v>44</v>
      </c>
      <c r="U399" s="65" t="s">
        <v>44</v>
      </c>
      <c r="V399" s="65" t="s">
        <v>45</v>
      </c>
      <c r="W399" s="65" t="s">
        <v>46</v>
      </c>
      <c r="X399">
        <v>84.75</v>
      </c>
      <c r="Y399" s="65" t="s">
        <v>47</v>
      </c>
      <c r="Z399" s="65" t="s">
        <v>48</v>
      </c>
      <c r="AA399" s="65" t="s">
        <v>49</v>
      </c>
      <c r="AC399" s="65"/>
    </row>
    <row r="400" spans="1:30" x14ac:dyDescent="0.3">
      <c r="A400" s="1">
        <v>46245</v>
      </c>
      <c r="B400" s="65" t="s">
        <v>4004</v>
      </c>
      <c r="C400" s="65" t="s">
        <v>1528</v>
      </c>
      <c r="D400" s="65" t="s">
        <v>29</v>
      </c>
      <c r="E400" s="65" t="s">
        <v>1529</v>
      </c>
      <c r="F400" s="65" t="s">
        <v>31</v>
      </c>
      <c r="G400" s="65" t="s">
        <v>1530</v>
      </c>
      <c r="H400" s="65" t="s">
        <v>1531</v>
      </c>
      <c r="I400" s="65" t="s">
        <v>1532</v>
      </c>
      <c r="J400" s="65" t="s">
        <v>1073</v>
      </c>
      <c r="K400" s="65" t="s">
        <v>97</v>
      </c>
      <c r="L400" s="65" t="s">
        <v>37</v>
      </c>
      <c r="M400" s="65" t="s">
        <v>1533</v>
      </c>
      <c r="N400" s="65" t="s">
        <v>1534</v>
      </c>
      <c r="O400" s="65" t="s">
        <v>1531</v>
      </c>
      <c r="P400" s="65" t="s">
        <v>1535</v>
      </c>
      <c r="Q400" s="65" t="s">
        <v>201</v>
      </c>
      <c r="R400">
        <v>1</v>
      </c>
      <c r="S400" s="65" t="s">
        <v>42</v>
      </c>
      <c r="T400" s="65" t="s">
        <v>44</v>
      </c>
      <c r="U400" s="65" t="s">
        <v>44</v>
      </c>
      <c r="V400" s="65" t="s">
        <v>45</v>
      </c>
      <c r="W400" s="65" t="s">
        <v>60</v>
      </c>
      <c r="X400">
        <v>152.54</v>
      </c>
      <c r="Y400" s="65" t="s">
        <v>47</v>
      </c>
      <c r="Z400" s="65" t="s">
        <v>48</v>
      </c>
      <c r="AA400" s="65" t="s">
        <v>49</v>
      </c>
      <c r="AB400">
        <v>999986041</v>
      </c>
      <c r="AC400" s="65" t="s">
        <v>1077</v>
      </c>
      <c r="AD400">
        <v>30</v>
      </c>
    </row>
    <row r="401" spans="1:30" x14ac:dyDescent="0.3">
      <c r="A401" s="1">
        <v>46245</v>
      </c>
      <c r="B401" s="65" t="s">
        <v>4004</v>
      </c>
      <c r="C401" s="65" t="s">
        <v>1528</v>
      </c>
      <c r="D401" s="65" t="s">
        <v>29</v>
      </c>
      <c r="E401" s="65" t="s">
        <v>1529</v>
      </c>
      <c r="F401" s="65" t="s">
        <v>31</v>
      </c>
      <c r="G401" s="65" t="s">
        <v>1530</v>
      </c>
      <c r="H401" s="65" t="s">
        <v>1531</v>
      </c>
      <c r="I401" s="65" t="s">
        <v>1532</v>
      </c>
      <c r="J401" s="65" t="s">
        <v>1073</v>
      </c>
      <c r="K401" s="65" t="s">
        <v>97</v>
      </c>
      <c r="L401" s="65" t="s">
        <v>37</v>
      </c>
      <c r="M401" s="65" t="s">
        <v>1533</v>
      </c>
      <c r="N401" s="65" t="s">
        <v>1534</v>
      </c>
      <c r="O401" s="65" t="s">
        <v>1531</v>
      </c>
      <c r="P401" s="65" t="s">
        <v>1535</v>
      </c>
      <c r="Q401" s="65" t="s">
        <v>202</v>
      </c>
      <c r="R401">
        <v>1</v>
      </c>
      <c r="S401" s="65" t="s">
        <v>42</v>
      </c>
      <c r="T401" s="65" t="s">
        <v>44</v>
      </c>
      <c r="U401" s="65" t="s">
        <v>44</v>
      </c>
      <c r="V401" s="65" t="s">
        <v>45</v>
      </c>
      <c r="W401" s="65" t="s">
        <v>60</v>
      </c>
      <c r="X401">
        <v>135.59</v>
      </c>
      <c r="Y401" s="65" t="s">
        <v>47</v>
      </c>
      <c r="Z401" s="65" t="s">
        <v>48</v>
      </c>
      <c r="AA401" s="65" t="s">
        <v>49</v>
      </c>
      <c r="AB401">
        <v>999986041</v>
      </c>
      <c r="AC401" s="65" t="s">
        <v>1077</v>
      </c>
      <c r="AD401">
        <v>30</v>
      </c>
    </row>
    <row r="402" spans="1:30" x14ac:dyDescent="0.3">
      <c r="A402" s="1">
        <v>46245</v>
      </c>
      <c r="B402" s="65" t="s">
        <v>4004</v>
      </c>
      <c r="C402" s="65" t="s">
        <v>1536</v>
      </c>
      <c r="D402" s="65" t="s">
        <v>29</v>
      </c>
      <c r="E402" s="65" t="s">
        <v>1537</v>
      </c>
      <c r="F402" s="65" t="s">
        <v>31</v>
      </c>
      <c r="G402" s="65" t="s">
        <v>1538</v>
      </c>
      <c r="H402" s="65" t="s">
        <v>1539</v>
      </c>
      <c r="I402" s="65" t="s">
        <v>1540</v>
      </c>
      <c r="J402" s="65" t="s">
        <v>1541</v>
      </c>
      <c r="K402" s="65" t="s">
        <v>1542</v>
      </c>
      <c r="L402" s="65" t="s">
        <v>37</v>
      </c>
      <c r="M402" s="65" t="s">
        <v>1543</v>
      </c>
      <c r="N402" s="65" t="s">
        <v>1544</v>
      </c>
      <c r="O402" s="65" t="s">
        <v>1539</v>
      </c>
      <c r="P402" s="65" t="s">
        <v>1545</v>
      </c>
      <c r="Q402" s="65" t="s">
        <v>159</v>
      </c>
      <c r="R402">
        <v>1</v>
      </c>
      <c r="S402" s="65" t="s">
        <v>42</v>
      </c>
      <c r="T402" s="65" t="s">
        <v>44</v>
      </c>
      <c r="U402" s="65" t="s">
        <v>44</v>
      </c>
      <c r="V402" s="65" t="s">
        <v>45</v>
      </c>
      <c r="W402" s="65" t="s">
        <v>60</v>
      </c>
      <c r="X402">
        <v>135.59</v>
      </c>
      <c r="Y402" s="65" t="s">
        <v>47</v>
      </c>
      <c r="Z402" s="65" t="s">
        <v>48</v>
      </c>
      <c r="AA402" s="65" t="s">
        <v>49</v>
      </c>
      <c r="AB402">
        <v>990080724</v>
      </c>
      <c r="AC402" s="65" t="s">
        <v>1546</v>
      </c>
      <c r="AD402">
        <v>30</v>
      </c>
    </row>
    <row r="403" spans="1:30" x14ac:dyDescent="0.3">
      <c r="A403" s="1">
        <v>46245</v>
      </c>
      <c r="B403" s="65" t="s">
        <v>4004</v>
      </c>
      <c r="C403" s="65" t="s">
        <v>1536</v>
      </c>
      <c r="D403" s="65" t="s">
        <v>29</v>
      </c>
      <c r="E403" s="65" t="s">
        <v>1537</v>
      </c>
      <c r="F403" s="65" t="s">
        <v>31</v>
      </c>
      <c r="G403" s="65" t="s">
        <v>1538</v>
      </c>
      <c r="H403" s="65" t="s">
        <v>1539</v>
      </c>
      <c r="I403" s="65" t="s">
        <v>1540</v>
      </c>
      <c r="J403" s="65" t="s">
        <v>1541</v>
      </c>
      <c r="K403" s="65" t="s">
        <v>1542</v>
      </c>
      <c r="L403" s="65" t="s">
        <v>37</v>
      </c>
      <c r="M403" s="65" t="s">
        <v>1543</v>
      </c>
      <c r="N403" s="65" t="s">
        <v>1544</v>
      </c>
      <c r="O403" s="65" t="s">
        <v>1539</v>
      </c>
      <c r="P403" s="65" t="s">
        <v>1545</v>
      </c>
      <c r="Q403" s="65" t="s">
        <v>158</v>
      </c>
      <c r="R403">
        <v>1</v>
      </c>
      <c r="S403" s="65" t="s">
        <v>42</v>
      </c>
      <c r="T403" s="65" t="s">
        <v>44</v>
      </c>
      <c r="U403" s="65" t="s">
        <v>44</v>
      </c>
      <c r="V403" s="65" t="s">
        <v>45</v>
      </c>
      <c r="W403" s="65" t="s">
        <v>60</v>
      </c>
      <c r="X403">
        <v>152.54</v>
      </c>
      <c r="Y403" s="65" t="s">
        <v>47</v>
      </c>
      <c r="Z403" s="65" t="s">
        <v>48</v>
      </c>
      <c r="AA403" s="65" t="s">
        <v>49</v>
      </c>
      <c r="AB403">
        <v>990080724</v>
      </c>
      <c r="AC403" s="65" t="s">
        <v>1546</v>
      </c>
      <c r="AD403">
        <v>30</v>
      </c>
    </row>
    <row r="404" spans="1:30" x14ac:dyDescent="0.3">
      <c r="A404" s="1">
        <v>46245</v>
      </c>
      <c r="B404" s="65" t="s">
        <v>4004</v>
      </c>
      <c r="C404" s="65" t="s">
        <v>1547</v>
      </c>
      <c r="D404" s="65" t="s">
        <v>29</v>
      </c>
      <c r="E404" s="65" t="s">
        <v>1548</v>
      </c>
      <c r="F404" s="65" t="s">
        <v>31</v>
      </c>
      <c r="G404" s="65" t="s">
        <v>1549</v>
      </c>
      <c r="H404" s="65" t="s">
        <v>1550</v>
      </c>
      <c r="I404" s="65" t="s">
        <v>1551</v>
      </c>
      <c r="J404" s="65" t="s">
        <v>715</v>
      </c>
      <c r="K404" s="65" t="s">
        <v>716</v>
      </c>
      <c r="L404" s="65" t="s">
        <v>37</v>
      </c>
      <c r="M404" s="65" t="s">
        <v>1552</v>
      </c>
      <c r="N404" s="65" t="s">
        <v>1553</v>
      </c>
      <c r="O404" s="65" t="s">
        <v>1550</v>
      </c>
      <c r="P404" s="65" t="s">
        <v>1554</v>
      </c>
      <c r="Q404" s="65" t="s">
        <v>41</v>
      </c>
      <c r="R404">
        <v>1</v>
      </c>
      <c r="S404" s="65" t="s">
        <v>70</v>
      </c>
      <c r="T404" s="65" t="s">
        <v>43</v>
      </c>
      <c r="U404" s="65" t="s">
        <v>44</v>
      </c>
      <c r="V404" s="65" t="s">
        <v>71</v>
      </c>
      <c r="W404" s="65" t="s">
        <v>72</v>
      </c>
      <c r="X404">
        <v>186.44</v>
      </c>
      <c r="Y404" s="65" t="s">
        <v>47</v>
      </c>
      <c r="Z404" s="65" t="s">
        <v>48</v>
      </c>
      <c r="AA404" s="65" t="s">
        <v>73</v>
      </c>
      <c r="AB404">
        <v>955356636</v>
      </c>
      <c r="AC404" s="65" t="s">
        <v>720</v>
      </c>
      <c r="AD404">
        <v>50</v>
      </c>
    </row>
    <row r="405" spans="1:30" x14ac:dyDescent="0.3">
      <c r="A405" s="1">
        <v>46245</v>
      </c>
      <c r="B405" s="65" t="s">
        <v>4004</v>
      </c>
      <c r="C405" s="65" t="s">
        <v>1555</v>
      </c>
      <c r="D405" s="65" t="s">
        <v>268</v>
      </c>
      <c r="E405" s="65" t="s">
        <v>1556</v>
      </c>
      <c r="F405" s="65" t="s">
        <v>31</v>
      </c>
      <c r="G405" s="65" t="s">
        <v>1557</v>
      </c>
      <c r="H405" s="65" t="s">
        <v>1558</v>
      </c>
      <c r="I405" s="65" t="s">
        <v>1559</v>
      </c>
      <c r="J405" s="65" t="s">
        <v>1560</v>
      </c>
      <c r="K405" s="65" t="s">
        <v>705</v>
      </c>
      <c r="L405" s="65" t="s">
        <v>37</v>
      </c>
      <c r="M405" s="65" t="s">
        <v>1561</v>
      </c>
      <c r="N405" s="65" t="s">
        <v>1562</v>
      </c>
      <c r="O405" s="65" t="s">
        <v>1563</v>
      </c>
      <c r="P405" s="65" t="s">
        <v>1564</v>
      </c>
      <c r="Q405" s="65" t="s">
        <v>1565</v>
      </c>
      <c r="R405">
        <v>1</v>
      </c>
      <c r="S405" s="65" t="s">
        <v>42</v>
      </c>
      <c r="T405" s="65" t="s">
        <v>44</v>
      </c>
      <c r="U405" s="65" t="s">
        <v>44</v>
      </c>
      <c r="V405" s="65" t="s">
        <v>45</v>
      </c>
      <c r="W405" s="65" t="s">
        <v>60</v>
      </c>
      <c r="X405">
        <v>152.54</v>
      </c>
      <c r="Y405" s="65" t="s">
        <v>61</v>
      </c>
      <c r="Z405" s="65" t="s">
        <v>48</v>
      </c>
      <c r="AA405" s="65" t="s">
        <v>49</v>
      </c>
      <c r="AC405" s="65"/>
    </row>
    <row r="406" spans="1:30" x14ac:dyDescent="0.3">
      <c r="A406" s="1">
        <v>46245</v>
      </c>
      <c r="B406" s="65" t="s">
        <v>4004</v>
      </c>
      <c r="C406" s="65" t="s">
        <v>1566</v>
      </c>
      <c r="D406" s="65" t="s">
        <v>29</v>
      </c>
      <c r="E406" s="65" t="s">
        <v>1567</v>
      </c>
      <c r="F406" s="65" t="s">
        <v>31</v>
      </c>
      <c r="G406" s="65" t="s">
        <v>1568</v>
      </c>
      <c r="H406" s="65" t="s">
        <v>1569</v>
      </c>
      <c r="I406" s="65" t="s">
        <v>1570</v>
      </c>
      <c r="J406" s="65" t="s">
        <v>1322</v>
      </c>
      <c r="K406" s="65" t="s">
        <v>36</v>
      </c>
      <c r="L406" s="65" t="s">
        <v>37</v>
      </c>
      <c r="M406" s="65" t="s">
        <v>1571</v>
      </c>
      <c r="N406" s="65" t="s">
        <v>1572</v>
      </c>
      <c r="O406" s="65" t="s">
        <v>1569</v>
      </c>
      <c r="P406" s="65" t="s">
        <v>1573</v>
      </c>
      <c r="Q406" s="65" t="s">
        <v>101</v>
      </c>
      <c r="R406">
        <v>1</v>
      </c>
      <c r="S406" s="65" t="s">
        <v>70</v>
      </c>
      <c r="T406" s="65" t="s">
        <v>43</v>
      </c>
      <c r="U406" s="65" t="s">
        <v>44</v>
      </c>
      <c r="V406" s="65" t="s">
        <v>71</v>
      </c>
      <c r="W406" s="65" t="s">
        <v>72</v>
      </c>
      <c r="X406">
        <v>186.44</v>
      </c>
      <c r="Y406" s="65" t="s">
        <v>47</v>
      </c>
      <c r="Z406" s="65" t="s">
        <v>48</v>
      </c>
      <c r="AA406" s="65" t="s">
        <v>73</v>
      </c>
      <c r="AB406">
        <v>999111362</v>
      </c>
      <c r="AC406" s="65" t="s">
        <v>1326</v>
      </c>
      <c r="AD406">
        <v>50</v>
      </c>
    </row>
    <row r="407" spans="1:30" x14ac:dyDescent="0.3">
      <c r="A407" s="1">
        <v>46245</v>
      </c>
      <c r="B407" s="65" t="s">
        <v>4004</v>
      </c>
      <c r="C407" s="65" t="s">
        <v>1574</v>
      </c>
      <c r="D407" s="65" t="s">
        <v>29</v>
      </c>
      <c r="E407" s="65" t="s">
        <v>1575</v>
      </c>
      <c r="F407" s="65" t="s">
        <v>31</v>
      </c>
      <c r="G407" s="65" t="s">
        <v>1576</v>
      </c>
      <c r="H407" s="65" t="s">
        <v>1577</v>
      </c>
      <c r="I407" s="65" t="s">
        <v>1578</v>
      </c>
      <c r="J407" s="65" t="s">
        <v>1386</v>
      </c>
      <c r="K407" s="65" t="s">
        <v>4005</v>
      </c>
      <c r="L407" s="65" t="s">
        <v>37</v>
      </c>
      <c r="M407" s="65" t="s">
        <v>1579</v>
      </c>
      <c r="N407" s="65" t="s">
        <v>1580</v>
      </c>
      <c r="O407" s="65" t="s">
        <v>1577</v>
      </c>
      <c r="P407" s="65" t="s">
        <v>1581</v>
      </c>
      <c r="Q407" s="65" t="s">
        <v>202</v>
      </c>
      <c r="R407">
        <v>1</v>
      </c>
      <c r="S407" s="65" t="s">
        <v>42</v>
      </c>
      <c r="T407" s="65" t="s">
        <v>44</v>
      </c>
      <c r="U407" s="65" t="s">
        <v>44</v>
      </c>
      <c r="V407" s="65" t="s">
        <v>45</v>
      </c>
      <c r="W407" s="65" t="s">
        <v>60</v>
      </c>
      <c r="X407">
        <v>135.59</v>
      </c>
      <c r="Y407" s="65" t="s">
        <v>47</v>
      </c>
      <c r="Z407" s="65" t="s">
        <v>48</v>
      </c>
      <c r="AA407" s="65" t="s">
        <v>49</v>
      </c>
      <c r="AB407">
        <v>917791542</v>
      </c>
      <c r="AC407" s="65" t="s">
        <v>1390</v>
      </c>
      <c r="AD407">
        <v>30</v>
      </c>
    </row>
    <row r="408" spans="1:30" x14ac:dyDescent="0.3">
      <c r="A408" s="1">
        <v>46246</v>
      </c>
      <c r="B408" s="65" t="s">
        <v>4004</v>
      </c>
      <c r="C408" s="65" t="s">
        <v>1582</v>
      </c>
      <c r="D408" s="65" t="s">
        <v>29</v>
      </c>
      <c r="E408" s="65" t="s">
        <v>1583</v>
      </c>
      <c r="F408" s="65" t="s">
        <v>31</v>
      </c>
      <c r="G408" s="65" t="s">
        <v>1584</v>
      </c>
      <c r="H408" s="65" t="s">
        <v>1585</v>
      </c>
      <c r="I408" s="65" t="s">
        <v>1586</v>
      </c>
      <c r="J408" s="65" t="s">
        <v>2739</v>
      </c>
      <c r="K408" s="65" t="s">
        <v>209</v>
      </c>
      <c r="L408" s="65" t="s">
        <v>37</v>
      </c>
      <c r="M408" s="65" t="s">
        <v>1587</v>
      </c>
      <c r="N408" s="65" t="s">
        <v>1588</v>
      </c>
      <c r="O408" s="65" t="s">
        <v>1585</v>
      </c>
      <c r="P408" s="65" t="s">
        <v>1589</v>
      </c>
      <c r="Q408" s="65" t="s">
        <v>202</v>
      </c>
      <c r="R408">
        <v>1</v>
      </c>
      <c r="S408" s="65" t="s">
        <v>42</v>
      </c>
      <c r="T408" s="65" t="s">
        <v>44</v>
      </c>
      <c r="U408" s="65" t="s">
        <v>44</v>
      </c>
      <c r="V408" s="65" t="s">
        <v>45</v>
      </c>
      <c r="W408" s="65" t="s">
        <v>60</v>
      </c>
      <c r="X408">
        <v>135.59</v>
      </c>
      <c r="Y408" s="65" t="s">
        <v>47</v>
      </c>
      <c r="Z408" s="65" t="s">
        <v>48</v>
      </c>
      <c r="AA408" s="65" t="s">
        <v>49</v>
      </c>
      <c r="AC408" s="65"/>
      <c r="AD408">
        <v>30</v>
      </c>
    </row>
    <row r="409" spans="1:30" x14ac:dyDescent="0.3">
      <c r="A409" s="1">
        <v>46246</v>
      </c>
      <c r="B409" s="65" t="s">
        <v>4004</v>
      </c>
      <c r="C409" s="65" t="s">
        <v>1590</v>
      </c>
      <c r="D409" s="65" t="s">
        <v>29</v>
      </c>
      <c r="E409" s="65" t="s">
        <v>1591</v>
      </c>
      <c r="F409" s="65" t="s">
        <v>31</v>
      </c>
      <c r="G409" s="65" t="s">
        <v>1592</v>
      </c>
      <c r="H409" s="65" t="s">
        <v>1593</v>
      </c>
      <c r="I409" s="65" t="s">
        <v>1594</v>
      </c>
      <c r="J409" s="65" t="s">
        <v>1595</v>
      </c>
      <c r="K409" s="65" t="s">
        <v>1596</v>
      </c>
      <c r="L409" s="65" t="s">
        <v>37</v>
      </c>
      <c r="M409" s="65" t="s">
        <v>1597</v>
      </c>
      <c r="N409" s="65" t="s">
        <v>1598</v>
      </c>
      <c r="O409" s="65" t="s">
        <v>1593</v>
      </c>
      <c r="P409" s="65" t="s">
        <v>1599</v>
      </c>
      <c r="Q409" s="65" t="s">
        <v>201</v>
      </c>
      <c r="R409">
        <v>1</v>
      </c>
      <c r="S409" s="65" t="s">
        <v>42</v>
      </c>
      <c r="T409" s="65" t="s">
        <v>44</v>
      </c>
      <c r="U409" s="65" t="s">
        <v>44</v>
      </c>
      <c r="V409" s="65" t="s">
        <v>45</v>
      </c>
      <c r="W409" s="65" t="s">
        <v>60</v>
      </c>
      <c r="X409">
        <v>152.54</v>
      </c>
      <c r="Y409" s="65" t="s">
        <v>47</v>
      </c>
      <c r="Z409" s="65" t="s">
        <v>48</v>
      </c>
      <c r="AA409" s="65" t="s">
        <v>49</v>
      </c>
      <c r="AB409">
        <v>980543337</v>
      </c>
      <c r="AC409" s="65" t="s">
        <v>1600</v>
      </c>
      <c r="AD409">
        <v>30</v>
      </c>
    </row>
    <row r="410" spans="1:30" x14ac:dyDescent="0.3">
      <c r="A410" s="1">
        <v>46246</v>
      </c>
      <c r="B410" s="65" t="s">
        <v>4004</v>
      </c>
      <c r="C410" s="65" t="s">
        <v>1590</v>
      </c>
      <c r="D410" s="65" t="s">
        <v>29</v>
      </c>
      <c r="E410" s="65" t="s">
        <v>1591</v>
      </c>
      <c r="F410" s="65" t="s">
        <v>31</v>
      </c>
      <c r="G410" s="65" t="s">
        <v>1592</v>
      </c>
      <c r="H410" s="65" t="s">
        <v>1593</v>
      </c>
      <c r="I410" s="65" t="s">
        <v>1594</v>
      </c>
      <c r="J410" s="65" t="s">
        <v>1595</v>
      </c>
      <c r="K410" s="65" t="s">
        <v>1596</v>
      </c>
      <c r="L410" s="65" t="s">
        <v>37</v>
      </c>
      <c r="M410" s="65" t="s">
        <v>1597</v>
      </c>
      <c r="N410" s="65" t="s">
        <v>1598</v>
      </c>
      <c r="O410" s="65" t="s">
        <v>1593</v>
      </c>
      <c r="P410" s="65" t="s">
        <v>1599</v>
      </c>
      <c r="Q410" s="65" t="s">
        <v>202</v>
      </c>
      <c r="R410">
        <v>1</v>
      </c>
      <c r="S410" s="65" t="s">
        <v>42</v>
      </c>
      <c r="T410" s="65" t="s">
        <v>44</v>
      </c>
      <c r="U410" s="65" t="s">
        <v>44</v>
      </c>
      <c r="V410" s="65" t="s">
        <v>45</v>
      </c>
      <c r="W410" s="65" t="s">
        <v>60</v>
      </c>
      <c r="X410">
        <v>135.59</v>
      </c>
      <c r="Y410" s="65" t="s">
        <v>47</v>
      </c>
      <c r="Z410" s="65" t="s">
        <v>48</v>
      </c>
      <c r="AA410" s="65" t="s">
        <v>49</v>
      </c>
      <c r="AB410">
        <v>980543337</v>
      </c>
      <c r="AC410" s="65" t="s">
        <v>1600</v>
      </c>
      <c r="AD410">
        <v>30</v>
      </c>
    </row>
    <row r="411" spans="1:30" x14ac:dyDescent="0.3">
      <c r="A411" s="1">
        <v>46246</v>
      </c>
      <c r="B411" s="65" t="s">
        <v>4004</v>
      </c>
      <c r="C411" s="65" t="s">
        <v>1601</v>
      </c>
      <c r="D411" s="65" t="s">
        <v>29</v>
      </c>
      <c r="E411" s="65" t="s">
        <v>1602</v>
      </c>
      <c r="F411" s="65" t="s">
        <v>31</v>
      </c>
      <c r="G411" s="65" t="s">
        <v>1603</v>
      </c>
      <c r="H411" s="65" t="s">
        <v>1604</v>
      </c>
      <c r="I411" s="65" t="s">
        <v>1605</v>
      </c>
      <c r="J411" s="65" t="s">
        <v>1606</v>
      </c>
      <c r="K411" s="65" t="s">
        <v>209</v>
      </c>
      <c r="L411" s="65" t="s">
        <v>37</v>
      </c>
      <c r="M411" s="65" t="s">
        <v>1607</v>
      </c>
      <c r="N411" s="65" t="s">
        <v>1608</v>
      </c>
      <c r="O411" s="65" t="s">
        <v>1604</v>
      </c>
      <c r="P411" s="65" t="s">
        <v>1609</v>
      </c>
      <c r="Q411" s="65" t="s">
        <v>90</v>
      </c>
      <c r="R411">
        <v>1</v>
      </c>
      <c r="S411" s="65" t="s">
        <v>42</v>
      </c>
      <c r="T411" s="65" t="s">
        <v>44</v>
      </c>
      <c r="U411" s="65" t="s">
        <v>44</v>
      </c>
      <c r="V411" s="65" t="s">
        <v>45</v>
      </c>
      <c r="W411" s="65" t="s">
        <v>46</v>
      </c>
      <c r="X411">
        <v>135.59</v>
      </c>
      <c r="Y411" s="65" t="s">
        <v>47</v>
      </c>
      <c r="Z411" s="65" t="s">
        <v>48</v>
      </c>
      <c r="AA411" s="65" t="s">
        <v>49</v>
      </c>
      <c r="AB411">
        <v>944212985</v>
      </c>
      <c r="AC411" s="65"/>
      <c r="AD411">
        <v>30</v>
      </c>
    </row>
    <row r="412" spans="1:30" x14ac:dyDescent="0.3">
      <c r="A412" s="1">
        <v>46246</v>
      </c>
      <c r="B412" s="65" t="s">
        <v>4004</v>
      </c>
      <c r="C412" s="65" t="s">
        <v>1610</v>
      </c>
      <c r="D412" s="65" t="s">
        <v>29</v>
      </c>
      <c r="E412" s="65" t="s">
        <v>1611</v>
      </c>
      <c r="F412" s="65" t="s">
        <v>31</v>
      </c>
      <c r="G412" s="65" t="s">
        <v>1612</v>
      </c>
      <c r="H412" s="65" t="s">
        <v>1613</v>
      </c>
      <c r="I412" s="65" t="s">
        <v>1614</v>
      </c>
      <c r="J412" s="65" t="s">
        <v>1615</v>
      </c>
      <c r="K412" s="65" t="s">
        <v>1616</v>
      </c>
      <c r="L412" s="65" t="s">
        <v>37</v>
      </c>
      <c r="M412" s="65" t="s">
        <v>1617</v>
      </c>
      <c r="N412" s="65" t="s">
        <v>1618</v>
      </c>
      <c r="O412" s="65" t="s">
        <v>1615</v>
      </c>
      <c r="P412" s="65" t="s">
        <v>1619</v>
      </c>
      <c r="Q412" s="65" t="s">
        <v>288</v>
      </c>
      <c r="R412">
        <v>1</v>
      </c>
      <c r="S412" s="65" t="s">
        <v>70</v>
      </c>
      <c r="T412" s="65" t="s">
        <v>43</v>
      </c>
      <c r="U412" s="65" t="s">
        <v>44</v>
      </c>
      <c r="V412" s="65" t="s">
        <v>71</v>
      </c>
      <c r="W412" s="65" t="s">
        <v>184</v>
      </c>
      <c r="X412">
        <v>0</v>
      </c>
      <c r="Y412" s="65" t="s">
        <v>289</v>
      </c>
      <c r="Z412" s="65" t="s">
        <v>48</v>
      </c>
      <c r="AA412" s="65" t="s">
        <v>73</v>
      </c>
      <c r="AB412">
        <v>950418896</v>
      </c>
      <c r="AC412" s="65"/>
    </row>
    <row r="413" spans="1:30" x14ac:dyDescent="0.3">
      <c r="A413" s="1">
        <v>46246</v>
      </c>
      <c r="B413" s="65" t="s">
        <v>4004</v>
      </c>
      <c r="C413" s="65" t="s">
        <v>1610</v>
      </c>
      <c r="D413" s="65" t="s">
        <v>29</v>
      </c>
      <c r="E413" s="65" t="s">
        <v>1611</v>
      </c>
      <c r="F413" s="65" t="s">
        <v>31</v>
      </c>
      <c r="G413" s="65" t="s">
        <v>1612</v>
      </c>
      <c r="H413" s="65" t="s">
        <v>1613</v>
      </c>
      <c r="I413" s="65" t="s">
        <v>1614</v>
      </c>
      <c r="J413" s="65" t="s">
        <v>1615</v>
      </c>
      <c r="K413" s="65" t="s">
        <v>1616</v>
      </c>
      <c r="L413" s="65" t="s">
        <v>37</v>
      </c>
      <c r="M413" s="65" t="s">
        <v>1617</v>
      </c>
      <c r="N413" s="65" t="s">
        <v>1618</v>
      </c>
      <c r="O413" s="65" t="s">
        <v>1615</v>
      </c>
      <c r="P413" s="65" t="s">
        <v>1619</v>
      </c>
      <c r="Q413" s="65" t="s">
        <v>1620</v>
      </c>
      <c r="R413">
        <v>1</v>
      </c>
      <c r="S413" s="65" t="s">
        <v>70</v>
      </c>
      <c r="T413" s="65" t="s">
        <v>43</v>
      </c>
      <c r="U413" s="65" t="s">
        <v>44</v>
      </c>
      <c r="V413" s="65" t="s">
        <v>71</v>
      </c>
      <c r="W413" s="65" t="s">
        <v>184</v>
      </c>
      <c r="X413">
        <v>139.83000000000001</v>
      </c>
      <c r="Y413" s="65" t="s">
        <v>289</v>
      </c>
      <c r="Z413" s="65" t="s">
        <v>48</v>
      </c>
      <c r="AA413" s="65" t="s">
        <v>73</v>
      </c>
      <c r="AB413">
        <v>950418896</v>
      </c>
      <c r="AC413" s="65"/>
    </row>
    <row r="414" spans="1:30" x14ac:dyDescent="0.3">
      <c r="A414" s="1">
        <v>46247</v>
      </c>
      <c r="B414" s="65" t="s">
        <v>4004</v>
      </c>
      <c r="C414" s="65" t="s">
        <v>1621</v>
      </c>
      <c r="D414" s="65" t="s">
        <v>29</v>
      </c>
      <c r="E414" s="65" t="s">
        <v>1622</v>
      </c>
      <c r="F414" s="65" t="s">
        <v>31</v>
      </c>
      <c r="G414" s="65" t="s">
        <v>1623</v>
      </c>
      <c r="H414" s="65" t="s">
        <v>1624</v>
      </c>
      <c r="I414" s="65" t="s">
        <v>1625</v>
      </c>
      <c r="J414" s="65" t="s">
        <v>774</v>
      </c>
      <c r="K414" s="65" t="s">
        <v>775</v>
      </c>
      <c r="L414" s="65" t="s">
        <v>37</v>
      </c>
      <c r="M414" s="65" t="s">
        <v>1626</v>
      </c>
      <c r="N414" s="65" t="s">
        <v>1627</v>
      </c>
      <c r="O414" s="65" t="s">
        <v>1624</v>
      </c>
      <c r="P414" s="65" t="s">
        <v>1628</v>
      </c>
      <c r="Q414" s="65" t="s">
        <v>618</v>
      </c>
      <c r="R414">
        <v>1</v>
      </c>
      <c r="S414" s="65" t="s">
        <v>42</v>
      </c>
      <c r="T414" s="65" t="s">
        <v>44</v>
      </c>
      <c r="U414" s="65" t="s">
        <v>44</v>
      </c>
      <c r="V414" s="65" t="s">
        <v>45</v>
      </c>
      <c r="W414" s="65" t="s">
        <v>46</v>
      </c>
      <c r="X414">
        <v>12.71</v>
      </c>
      <c r="Y414" s="65" t="s">
        <v>619</v>
      </c>
      <c r="Z414" s="65" t="s">
        <v>48</v>
      </c>
      <c r="AA414" s="65" t="s">
        <v>49</v>
      </c>
      <c r="AC414" s="65"/>
    </row>
    <row r="415" spans="1:30" x14ac:dyDescent="0.3">
      <c r="A415" s="1">
        <v>46247</v>
      </c>
      <c r="B415" s="65" t="s">
        <v>4004</v>
      </c>
      <c r="C415" s="65" t="s">
        <v>1621</v>
      </c>
      <c r="D415" s="65" t="s">
        <v>29</v>
      </c>
      <c r="E415" s="65" t="s">
        <v>1622</v>
      </c>
      <c r="F415" s="65" t="s">
        <v>31</v>
      </c>
      <c r="G415" s="65" t="s">
        <v>1623</v>
      </c>
      <c r="H415" s="65" t="s">
        <v>1624</v>
      </c>
      <c r="I415" s="65" t="s">
        <v>1625</v>
      </c>
      <c r="J415" s="65" t="s">
        <v>774</v>
      </c>
      <c r="K415" s="65" t="s">
        <v>775</v>
      </c>
      <c r="L415" s="65" t="s">
        <v>37</v>
      </c>
      <c r="M415" s="65" t="s">
        <v>1626</v>
      </c>
      <c r="N415" s="65" t="s">
        <v>1627</v>
      </c>
      <c r="O415" s="65" t="s">
        <v>1624</v>
      </c>
      <c r="P415" s="65" t="s">
        <v>1628</v>
      </c>
      <c r="Q415" s="65" t="s">
        <v>620</v>
      </c>
      <c r="R415">
        <v>1</v>
      </c>
      <c r="S415" s="65" t="s">
        <v>42</v>
      </c>
      <c r="T415" s="65" t="s">
        <v>44</v>
      </c>
      <c r="U415" s="65" t="s">
        <v>44</v>
      </c>
      <c r="V415" s="65" t="s">
        <v>45</v>
      </c>
      <c r="W415" s="65" t="s">
        <v>46</v>
      </c>
      <c r="X415">
        <v>21.19</v>
      </c>
      <c r="Y415" s="65" t="s">
        <v>619</v>
      </c>
      <c r="Z415" s="65" t="s">
        <v>48</v>
      </c>
      <c r="AA415" s="65" t="s">
        <v>49</v>
      </c>
      <c r="AC415" s="65"/>
    </row>
    <row r="416" spans="1:30" x14ac:dyDescent="0.3">
      <c r="A416" s="1">
        <v>46247</v>
      </c>
      <c r="B416" s="65" t="s">
        <v>4004</v>
      </c>
      <c r="C416" s="65" t="s">
        <v>1621</v>
      </c>
      <c r="D416" s="65" t="s">
        <v>29</v>
      </c>
      <c r="E416" s="65" t="s">
        <v>1622</v>
      </c>
      <c r="F416" s="65" t="s">
        <v>31</v>
      </c>
      <c r="G416" s="65" t="s">
        <v>1623</v>
      </c>
      <c r="H416" s="65" t="s">
        <v>1624</v>
      </c>
      <c r="I416" s="65" t="s">
        <v>1625</v>
      </c>
      <c r="J416" s="65" t="s">
        <v>774</v>
      </c>
      <c r="K416" s="65" t="s">
        <v>775</v>
      </c>
      <c r="L416" s="65" t="s">
        <v>37</v>
      </c>
      <c r="M416" s="65" t="s">
        <v>1626</v>
      </c>
      <c r="N416" s="65" t="s">
        <v>1627</v>
      </c>
      <c r="O416" s="65" t="s">
        <v>1624</v>
      </c>
      <c r="P416" s="65" t="s">
        <v>1628</v>
      </c>
      <c r="Q416" s="65" t="s">
        <v>621</v>
      </c>
      <c r="R416">
        <v>1</v>
      </c>
      <c r="S416" s="65" t="s">
        <v>42</v>
      </c>
      <c r="T416" s="65" t="s">
        <v>44</v>
      </c>
      <c r="U416" s="65" t="s">
        <v>44</v>
      </c>
      <c r="V416" s="65" t="s">
        <v>45</v>
      </c>
      <c r="W416" s="65" t="s">
        <v>46</v>
      </c>
      <c r="X416">
        <v>12.71</v>
      </c>
      <c r="Y416" s="65" t="s">
        <v>619</v>
      </c>
      <c r="Z416" s="65" t="s">
        <v>48</v>
      </c>
      <c r="AA416" s="65" t="s">
        <v>49</v>
      </c>
      <c r="AC416" s="65"/>
    </row>
    <row r="417" spans="1:30" x14ac:dyDescent="0.3">
      <c r="A417" s="1">
        <v>46247</v>
      </c>
      <c r="B417" s="65" t="s">
        <v>4004</v>
      </c>
      <c r="C417" s="65" t="s">
        <v>1621</v>
      </c>
      <c r="D417" s="65" t="s">
        <v>29</v>
      </c>
      <c r="E417" s="65" t="s">
        <v>1622</v>
      </c>
      <c r="F417" s="65" t="s">
        <v>31</v>
      </c>
      <c r="G417" s="65" t="s">
        <v>1623</v>
      </c>
      <c r="H417" s="65" t="s">
        <v>1624</v>
      </c>
      <c r="I417" s="65" t="s">
        <v>1625</v>
      </c>
      <c r="J417" s="65" t="s">
        <v>774</v>
      </c>
      <c r="K417" s="65" t="s">
        <v>775</v>
      </c>
      <c r="L417" s="65" t="s">
        <v>37</v>
      </c>
      <c r="M417" s="65" t="s">
        <v>1626</v>
      </c>
      <c r="N417" s="65" t="s">
        <v>1627</v>
      </c>
      <c r="O417" s="65" t="s">
        <v>1624</v>
      </c>
      <c r="P417" s="65" t="s">
        <v>1628</v>
      </c>
      <c r="Q417" s="65" t="s">
        <v>622</v>
      </c>
      <c r="R417">
        <v>1</v>
      </c>
      <c r="S417" s="65" t="s">
        <v>42</v>
      </c>
      <c r="T417" s="65" t="s">
        <v>44</v>
      </c>
      <c r="U417" s="65" t="s">
        <v>44</v>
      </c>
      <c r="V417" s="65" t="s">
        <v>45</v>
      </c>
      <c r="W417" s="65" t="s">
        <v>46</v>
      </c>
      <c r="X417">
        <v>12.71</v>
      </c>
      <c r="Y417" s="65" t="s">
        <v>619</v>
      </c>
      <c r="Z417" s="65" t="s">
        <v>48</v>
      </c>
      <c r="AA417" s="65" t="s">
        <v>49</v>
      </c>
      <c r="AC417" s="65"/>
    </row>
    <row r="418" spans="1:30" x14ac:dyDescent="0.3">
      <c r="A418" s="1">
        <v>46247</v>
      </c>
      <c r="B418" s="65" t="s">
        <v>4004</v>
      </c>
      <c r="C418" s="65" t="s">
        <v>1621</v>
      </c>
      <c r="D418" s="65" t="s">
        <v>29</v>
      </c>
      <c r="E418" s="65" t="s">
        <v>1622</v>
      </c>
      <c r="F418" s="65" t="s">
        <v>31</v>
      </c>
      <c r="G418" s="65" t="s">
        <v>1623</v>
      </c>
      <c r="H418" s="65" t="s">
        <v>1624</v>
      </c>
      <c r="I418" s="65" t="s">
        <v>1625</v>
      </c>
      <c r="J418" s="65" t="s">
        <v>774</v>
      </c>
      <c r="K418" s="65" t="s">
        <v>775</v>
      </c>
      <c r="L418" s="65" t="s">
        <v>37</v>
      </c>
      <c r="M418" s="65" t="s">
        <v>1626</v>
      </c>
      <c r="N418" s="65" t="s">
        <v>1627</v>
      </c>
      <c r="O418" s="65" t="s">
        <v>1624</v>
      </c>
      <c r="P418" s="65" t="s">
        <v>1628</v>
      </c>
      <c r="Q418" s="65" t="s">
        <v>833</v>
      </c>
      <c r="R418">
        <v>1</v>
      </c>
      <c r="S418" s="65" t="s">
        <v>42</v>
      </c>
      <c r="T418" s="65" t="s">
        <v>44</v>
      </c>
      <c r="U418" s="65" t="s">
        <v>44</v>
      </c>
      <c r="V418" s="65" t="s">
        <v>45</v>
      </c>
      <c r="W418" s="65" t="s">
        <v>46</v>
      </c>
      <c r="X418">
        <v>50.85</v>
      </c>
      <c r="Y418" s="65" t="s">
        <v>619</v>
      </c>
      <c r="Z418" s="65" t="s">
        <v>48</v>
      </c>
      <c r="AA418" s="65" t="s">
        <v>49</v>
      </c>
      <c r="AC418" s="65"/>
    </row>
    <row r="419" spans="1:30" x14ac:dyDescent="0.3">
      <c r="A419" s="1">
        <v>46247</v>
      </c>
      <c r="B419" s="65" t="s">
        <v>4004</v>
      </c>
      <c r="C419" s="65" t="s">
        <v>1629</v>
      </c>
      <c r="D419" s="65" t="s">
        <v>29</v>
      </c>
      <c r="E419" s="65" t="s">
        <v>1630</v>
      </c>
      <c r="F419" s="65" t="s">
        <v>31</v>
      </c>
      <c r="G419" s="65" t="s">
        <v>1631</v>
      </c>
      <c r="H419" s="65" t="s">
        <v>1624</v>
      </c>
      <c r="I419" s="65" t="s">
        <v>1625</v>
      </c>
      <c r="J419" s="65" t="s">
        <v>774</v>
      </c>
      <c r="K419" s="65" t="s">
        <v>775</v>
      </c>
      <c r="L419" s="65" t="s">
        <v>37</v>
      </c>
      <c r="M419" s="65" t="s">
        <v>1626</v>
      </c>
      <c r="N419" s="65" t="s">
        <v>1627</v>
      </c>
      <c r="O419" s="65" t="s">
        <v>1624</v>
      </c>
      <c r="P419" s="65" t="s">
        <v>1632</v>
      </c>
      <c r="Q419" s="65" t="s">
        <v>828</v>
      </c>
      <c r="R419">
        <v>1</v>
      </c>
      <c r="S419" s="65" t="s">
        <v>42</v>
      </c>
      <c r="T419" s="65" t="s">
        <v>44</v>
      </c>
      <c r="U419" s="65" t="s">
        <v>44</v>
      </c>
      <c r="V419" s="65" t="s">
        <v>45</v>
      </c>
      <c r="W419" s="65" t="s">
        <v>46</v>
      </c>
      <c r="X419">
        <v>127.12</v>
      </c>
      <c r="Y419" s="65" t="s">
        <v>47</v>
      </c>
      <c r="Z419" s="65" t="s">
        <v>48</v>
      </c>
      <c r="AA419" s="65" t="s">
        <v>49</v>
      </c>
      <c r="AC419" s="65"/>
    </row>
    <row r="420" spans="1:30" x14ac:dyDescent="0.3">
      <c r="A420" s="1">
        <v>46247</v>
      </c>
      <c r="B420" s="65" t="s">
        <v>4004</v>
      </c>
      <c r="C420" s="65" t="s">
        <v>1633</v>
      </c>
      <c r="D420" s="65" t="s">
        <v>29</v>
      </c>
      <c r="E420" s="65" t="s">
        <v>1634</v>
      </c>
      <c r="F420" s="65" t="s">
        <v>31</v>
      </c>
      <c r="G420" s="65" t="s">
        <v>1635</v>
      </c>
      <c r="H420" s="65" t="s">
        <v>1624</v>
      </c>
      <c r="I420" s="65" t="s">
        <v>1625</v>
      </c>
      <c r="J420" s="65" t="s">
        <v>774</v>
      </c>
      <c r="K420" s="65" t="s">
        <v>775</v>
      </c>
      <c r="L420" s="65" t="s">
        <v>37</v>
      </c>
      <c r="M420" s="65" t="s">
        <v>1626</v>
      </c>
      <c r="N420" s="65" t="s">
        <v>1627</v>
      </c>
      <c r="O420" s="65" t="s">
        <v>1624</v>
      </c>
      <c r="P420" s="65" t="s">
        <v>1636</v>
      </c>
      <c r="Q420" s="65" t="s">
        <v>641</v>
      </c>
      <c r="R420">
        <v>1</v>
      </c>
      <c r="S420" s="65" t="s">
        <v>42</v>
      </c>
      <c r="T420" s="65" t="s">
        <v>44</v>
      </c>
      <c r="U420" s="65" t="s">
        <v>44</v>
      </c>
      <c r="V420" s="65" t="s">
        <v>45</v>
      </c>
      <c r="W420" s="65" t="s">
        <v>46</v>
      </c>
      <c r="X420">
        <v>84.75</v>
      </c>
      <c r="Y420" s="65" t="s">
        <v>47</v>
      </c>
      <c r="Z420" s="65" t="s">
        <v>48</v>
      </c>
      <c r="AA420" s="65" t="s">
        <v>49</v>
      </c>
      <c r="AC420" s="65"/>
    </row>
    <row r="421" spans="1:30" x14ac:dyDescent="0.3">
      <c r="A421" s="1">
        <v>46247</v>
      </c>
      <c r="B421" s="65" t="s">
        <v>4004</v>
      </c>
      <c r="C421" s="65" t="s">
        <v>1637</v>
      </c>
      <c r="D421" s="65" t="s">
        <v>29</v>
      </c>
      <c r="E421" s="65" t="s">
        <v>1638</v>
      </c>
      <c r="F421" s="65" t="s">
        <v>31</v>
      </c>
      <c r="G421" s="65" t="s">
        <v>1639</v>
      </c>
      <c r="H421" s="65" t="s">
        <v>1640</v>
      </c>
      <c r="I421" s="65" t="s">
        <v>1641</v>
      </c>
      <c r="J421" s="65" t="s">
        <v>35</v>
      </c>
      <c r="K421" s="65" t="s">
        <v>36</v>
      </c>
      <c r="L421" s="65" t="s">
        <v>37</v>
      </c>
      <c r="M421" s="65" t="s">
        <v>1642</v>
      </c>
      <c r="N421" s="65" t="s">
        <v>1643</v>
      </c>
      <c r="O421" s="65" t="s">
        <v>1640</v>
      </c>
      <c r="P421" s="65" t="s">
        <v>1644</v>
      </c>
      <c r="Q421" s="65" t="s">
        <v>101</v>
      </c>
      <c r="R421">
        <v>1</v>
      </c>
      <c r="S421" s="65" t="s">
        <v>42</v>
      </c>
      <c r="T421" s="65" t="s">
        <v>44</v>
      </c>
      <c r="U421" s="65" t="s">
        <v>44</v>
      </c>
      <c r="V421" s="65" t="s">
        <v>45</v>
      </c>
      <c r="W421" s="65" t="s">
        <v>60</v>
      </c>
      <c r="X421">
        <v>186.44</v>
      </c>
      <c r="Y421" s="65" t="s">
        <v>47</v>
      </c>
      <c r="Z421" s="65" t="s">
        <v>48</v>
      </c>
      <c r="AA421" s="65" t="s">
        <v>49</v>
      </c>
      <c r="AB421">
        <v>999996347</v>
      </c>
      <c r="AC421" s="65" t="s">
        <v>50</v>
      </c>
      <c r="AD421">
        <v>50</v>
      </c>
    </row>
    <row r="422" spans="1:30" x14ac:dyDescent="0.3">
      <c r="A422" s="1">
        <v>46247</v>
      </c>
      <c r="B422" s="65" t="s">
        <v>4004</v>
      </c>
      <c r="C422" s="65" t="s">
        <v>1645</v>
      </c>
      <c r="D422" s="65" t="s">
        <v>29</v>
      </c>
      <c r="E422" s="65" t="s">
        <v>1646</v>
      </c>
      <c r="F422" s="65" t="s">
        <v>31</v>
      </c>
      <c r="G422" s="65" t="s">
        <v>1647</v>
      </c>
      <c r="H422" s="65" t="s">
        <v>1648</v>
      </c>
      <c r="I422" s="65" t="s">
        <v>1649</v>
      </c>
      <c r="J422" s="65"/>
      <c r="K422" s="65"/>
      <c r="L422" s="65" t="s">
        <v>37</v>
      </c>
      <c r="M422" s="65" t="s">
        <v>1650</v>
      </c>
      <c r="N422" s="65" t="s">
        <v>1651</v>
      </c>
      <c r="O422" s="65" t="s">
        <v>1648</v>
      </c>
      <c r="P422" s="65" t="s">
        <v>1652</v>
      </c>
      <c r="Q422" s="65" t="s">
        <v>641</v>
      </c>
      <c r="R422">
        <v>1</v>
      </c>
      <c r="S422" s="65" t="s">
        <v>42</v>
      </c>
      <c r="T422" s="65" t="s">
        <v>44</v>
      </c>
      <c r="U422" s="65" t="s">
        <v>44</v>
      </c>
      <c r="V422" s="65" t="s">
        <v>45</v>
      </c>
      <c r="W422" s="65" t="s">
        <v>46</v>
      </c>
      <c r="X422">
        <v>84.75</v>
      </c>
      <c r="Y422" s="65" t="s">
        <v>47</v>
      </c>
      <c r="Z422" s="65" t="s">
        <v>48</v>
      </c>
      <c r="AA422" s="65" t="s">
        <v>49</v>
      </c>
      <c r="AC422" s="65"/>
    </row>
    <row r="423" spans="1:30" x14ac:dyDescent="0.3">
      <c r="A423" s="1">
        <v>46247</v>
      </c>
      <c r="B423" s="65" t="s">
        <v>4004</v>
      </c>
      <c r="C423" s="65" t="s">
        <v>1653</v>
      </c>
      <c r="D423" s="65" t="s">
        <v>29</v>
      </c>
      <c r="E423" s="65" t="s">
        <v>1654</v>
      </c>
      <c r="F423" s="65" t="s">
        <v>31</v>
      </c>
      <c r="G423" s="65" t="s">
        <v>1655</v>
      </c>
      <c r="H423" s="65" t="s">
        <v>1656</v>
      </c>
      <c r="I423" s="65" t="s">
        <v>1657</v>
      </c>
      <c r="J423" s="65" t="s">
        <v>136</v>
      </c>
      <c r="K423" s="65" t="s">
        <v>137</v>
      </c>
      <c r="L423" s="65" t="s">
        <v>37</v>
      </c>
      <c r="M423" s="65" t="s">
        <v>1658</v>
      </c>
      <c r="N423" s="65" t="s">
        <v>1659</v>
      </c>
      <c r="O423" s="65" t="s">
        <v>1656</v>
      </c>
      <c r="P423" s="65" t="s">
        <v>1660</v>
      </c>
      <c r="Q423" s="65" t="s">
        <v>41</v>
      </c>
      <c r="R423">
        <v>1</v>
      </c>
      <c r="S423" s="65" t="s">
        <v>42</v>
      </c>
      <c r="T423" s="65" t="s">
        <v>44</v>
      </c>
      <c r="U423" s="65" t="s">
        <v>44</v>
      </c>
      <c r="V423" s="65" t="s">
        <v>45</v>
      </c>
      <c r="W423" s="65" t="s">
        <v>46</v>
      </c>
      <c r="X423">
        <v>186.44</v>
      </c>
      <c r="Y423" s="65" t="s">
        <v>47</v>
      </c>
      <c r="Z423" s="65" t="s">
        <v>48</v>
      </c>
      <c r="AA423" s="65" t="s">
        <v>49</v>
      </c>
      <c r="AB423">
        <v>987407712</v>
      </c>
      <c r="AC423" s="65" t="s">
        <v>141</v>
      </c>
      <c r="AD423">
        <v>50</v>
      </c>
    </row>
    <row r="424" spans="1:30" x14ac:dyDescent="0.3">
      <c r="A424" s="1">
        <v>46247</v>
      </c>
      <c r="B424" s="65" t="s">
        <v>4004</v>
      </c>
      <c r="C424" s="65" t="s">
        <v>1661</v>
      </c>
      <c r="D424" s="65" t="s">
        <v>29</v>
      </c>
      <c r="E424" s="65" t="s">
        <v>1662</v>
      </c>
      <c r="F424" s="65" t="s">
        <v>31</v>
      </c>
      <c r="G424" s="65" t="s">
        <v>1663</v>
      </c>
      <c r="H424" s="65" t="s">
        <v>1664</v>
      </c>
      <c r="I424" s="65" t="s">
        <v>1665</v>
      </c>
      <c r="J424" s="65" t="s">
        <v>116</v>
      </c>
      <c r="K424" s="65" t="s">
        <v>117</v>
      </c>
      <c r="L424" s="65" t="s">
        <v>37</v>
      </c>
      <c r="M424" s="65" t="s">
        <v>1666</v>
      </c>
      <c r="N424" s="65" t="s">
        <v>1667</v>
      </c>
      <c r="O424" s="65" t="s">
        <v>1664</v>
      </c>
      <c r="P424" s="65" t="s">
        <v>1668</v>
      </c>
      <c r="Q424" s="65" t="s">
        <v>90</v>
      </c>
      <c r="R424">
        <v>1</v>
      </c>
      <c r="S424" s="65" t="s">
        <v>42</v>
      </c>
      <c r="T424" s="65" t="s">
        <v>44</v>
      </c>
      <c r="U424" s="65" t="s">
        <v>44</v>
      </c>
      <c r="V424" s="65" t="s">
        <v>45</v>
      </c>
      <c r="W424" s="65" t="s">
        <v>60</v>
      </c>
      <c r="X424">
        <v>135.59</v>
      </c>
      <c r="Y424" s="65" t="s">
        <v>47</v>
      </c>
      <c r="Z424" s="65" t="s">
        <v>48</v>
      </c>
      <c r="AA424" s="65" t="s">
        <v>49</v>
      </c>
      <c r="AB424">
        <v>945319366</v>
      </c>
      <c r="AC424" s="65" t="s">
        <v>121</v>
      </c>
      <c r="AD424">
        <v>30</v>
      </c>
    </row>
    <row r="425" spans="1:30" x14ac:dyDescent="0.3">
      <c r="A425" s="1">
        <v>46247</v>
      </c>
      <c r="B425" s="65" t="s">
        <v>4004</v>
      </c>
      <c r="C425" s="65" t="s">
        <v>1669</v>
      </c>
      <c r="D425" s="65" t="s">
        <v>29</v>
      </c>
      <c r="E425" s="65" t="s">
        <v>1670</v>
      </c>
      <c r="F425" s="65" t="s">
        <v>31</v>
      </c>
      <c r="G425" s="65" t="s">
        <v>1671</v>
      </c>
      <c r="H425" s="65" t="s">
        <v>1672</v>
      </c>
      <c r="I425" s="65" t="s">
        <v>1673</v>
      </c>
      <c r="J425" s="65" t="s">
        <v>1674</v>
      </c>
      <c r="K425" s="65" t="s">
        <v>1675</v>
      </c>
      <c r="L425" s="65" t="s">
        <v>37</v>
      </c>
      <c r="M425" s="65" t="s">
        <v>1676</v>
      </c>
      <c r="N425" s="65" t="s">
        <v>1677</v>
      </c>
      <c r="O425" s="65" t="s">
        <v>1672</v>
      </c>
      <c r="P425" s="65" t="s">
        <v>1678</v>
      </c>
      <c r="Q425" s="65" t="s">
        <v>41</v>
      </c>
      <c r="R425">
        <v>1</v>
      </c>
      <c r="S425" s="65" t="s">
        <v>42</v>
      </c>
      <c r="T425" s="65" t="s">
        <v>44</v>
      </c>
      <c r="U425" s="65" t="s">
        <v>44</v>
      </c>
      <c r="V425" s="65" t="s">
        <v>45</v>
      </c>
      <c r="W425" s="65" t="s">
        <v>60</v>
      </c>
      <c r="X425">
        <v>186.44</v>
      </c>
      <c r="Y425" s="65" t="s">
        <v>47</v>
      </c>
      <c r="Z425" s="65" t="s">
        <v>48</v>
      </c>
      <c r="AA425" s="65" t="s">
        <v>49</v>
      </c>
      <c r="AB425">
        <v>987483056</v>
      </c>
      <c r="AC425" s="65"/>
      <c r="AD425">
        <v>50</v>
      </c>
    </row>
    <row r="426" spans="1:30" x14ac:dyDescent="0.3">
      <c r="A426" s="1">
        <v>46247</v>
      </c>
      <c r="B426" s="65" t="s">
        <v>4004</v>
      </c>
      <c r="C426" s="65" t="s">
        <v>1679</v>
      </c>
      <c r="D426" s="65" t="s">
        <v>29</v>
      </c>
      <c r="E426" s="65" t="s">
        <v>1680</v>
      </c>
      <c r="F426" s="65" t="s">
        <v>31</v>
      </c>
      <c r="G426" s="65" t="s">
        <v>1681</v>
      </c>
      <c r="H426" s="65" t="s">
        <v>1682</v>
      </c>
      <c r="I426" s="65" t="s">
        <v>1683</v>
      </c>
      <c r="J426" s="65" t="s">
        <v>1386</v>
      </c>
      <c r="K426" s="65" t="s">
        <v>4005</v>
      </c>
      <c r="L426" s="65" t="s">
        <v>37</v>
      </c>
      <c r="M426" s="65" t="s">
        <v>1684</v>
      </c>
      <c r="N426" s="65" t="s">
        <v>1685</v>
      </c>
      <c r="O426" s="65" t="s">
        <v>1682</v>
      </c>
      <c r="P426" s="65" t="s">
        <v>1686</v>
      </c>
      <c r="Q426" s="65" t="s">
        <v>202</v>
      </c>
      <c r="R426">
        <v>1</v>
      </c>
      <c r="S426" s="65" t="s">
        <v>42</v>
      </c>
      <c r="T426" s="65" t="s">
        <v>44</v>
      </c>
      <c r="U426" s="65" t="s">
        <v>44</v>
      </c>
      <c r="V426" s="65" t="s">
        <v>45</v>
      </c>
      <c r="W426" s="65" t="s">
        <v>46</v>
      </c>
      <c r="X426">
        <v>135.59</v>
      </c>
      <c r="Y426" s="65" t="s">
        <v>47</v>
      </c>
      <c r="Z426" s="65" t="s">
        <v>48</v>
      </c>
      <c r="AA426" s="65" t="s">
        <v>49</v>
      </c>
      <c r="AB426">
        <v>917791542</v>
      </c>
      <c r="AC426" s="65" t="s">
        <v>1390</v>
      </c>
      <c r="AD426">
        <v>30</v>
      </c>
    </row>
    <row r="427" spans="1:30" x14ac:dyDescent="0.3">
      <c r="A427" s="1">
        <v>46248</v>
      </c>
      <c r="B427" s="65" t="s">
        <v>4004</v>
      </c>
      <c r="C427" s="65" t="s">
        <v>1687</v>
      </c>
      <c r="D427" s="65" t="s">
        <v>29</v>
      </c>
      <c r="E427" s="65" t="s">
        <v>1688</v>
      </c>
      <c r="F427" s="65" t="s">
        <v>31</v>
      </c>
      <c r="G427" s="65" t="s">
        <v>1689</v>
      </c>
      <c r="H427" s="65" t="s">
        <v>1690</v>
      </c>
      <c r="I427" s="65" t="s">
        <v>1691</v>
      </c>
      <c r="J427" s="65" t="s">
        <v>1322</v>
      </c>
      <c r="K427" s="65" t="s">
        <v>36</v>
      </c>
      <c r="L427" s="65" t="s">
        <v>37</v>
      </c>
      <c r="M427" s="65" t="s">
        <v>1692</v>
      </c>
      <c r="N427" s="65" t="s">
        <v>1693</v>
      </c>
      <c r="O427" s="65" t="s">
        <v>1690</v>
      </c>
      <c r="P427" s="65" t="s">
        <v>1694</v>
      </c>
      <c r="Q427" s="65" t="s">
        <v>101</v>
      </c>
      <c r="R427">
        <v>1</v>
      </c>
      <c r="S427" s="65" t="s">
        <v>42</v>
      </c>
      <c r="T427" s="65" t="s">
        <v>44</v>
      </c>
      <c r="U427" s="65" t="s">
        <v>44</v>
      </c>
      <c r="V427" s="65" t="s">
        <v>45</v>
      </c>
      <c r="W427" s="65" t="s">
        <v>46</v>
      </c>
      <c r="X427">
        <v>186.44</v>
      </c>
      <c r="Y427" s="65" t="s">
        <v>47</v>
      </c>
      <c r="Z427" s="65" t="s">
        <v>48</v>
      </c>
      <c r="AA427" s="65" t="s">
        <v>49</v>
      </c>
      <c r="AB427">
        <v>999111362</v>
      </c>
      <c r="AC427" s="65" t="s">
        <v>1326</v>
      </c>
      <c r="AD427">
        <v>50</v>
      </c>
    </row>
    <row r="428" spans="1:30" x14ac:dyDescent="0.3">
      <c r="A428" s="1">
        <v>46248</v>
      </c>
      <c r="B428" s="65" t="s">
        <v>4004</v>
      </c>
      <c r="C428" s="65" t="s">
        <v>1695</v>
      </c>
      <c r="D428" s="65" t="s">
        <v>29</v>
      </c>
      <c r="E428" s="65" t="s">
        <v>1696</v>
      </c>
      <c r="F428" s="65" t="s">
        <v>31</v>
      </c>
      <c r="G428" s="65" t="s">
        <v>1697</v>
      </c>
      <c r="H428" s="65" t="s">
        <v>1698</v>
      </c>
      <c r="I428" s="65" t="s">
        <v>1699</v>
      </c>
      <c r="J428" s="65" t="s">
        <v>1700</v>
      </c>
      <c r="K428" s="65" t="s">
        <v>1165</v>
      </c>
      <c r="L428" s="65" t="s">
        <v>37</v>
      </c>
      <c r="M428" s="65" t="s">
        <v>1701</v>
      </c>
      <c r="N428" s="65" t="s">
        <v>1702</v>
      </c>
      <c r="O428" s="65" t="s">
        <v>1698</v>
      </c>
      <c r="P428" s="65" t="s">
        <v>1703</v>
      </c>
      <c r="Q428" s="65" t="s">
        <v>1157</v>
      </c>
      <c r="R428">
        <v>1</v>
      </c>
      <c r="S428" s="65" t="s">
        <v>42</v>
      </c>
      <c r="T428" s="65" t="s">
        <v>44</v>
      </c>
      <c r="U428" s="65" t="s">
        <v>44</v>
      </c>
      <c r="V428" s="65" t="s">
        <v>45</v>
      </c>
      <c r="W428" s="65" t="s">
        <v>60</v>
      </c>
      <c r="X428">
        <v>338.98</v>
      </c>
      <c r="Y428" s="65" t="s">
        <v>47</v>
      </c>
      <c r="Z428" s="65" t="s">
        <v>48</v>
      </c>
      <c r="AA428" s="65" t="s">
        <v>49</v>
      </c>
      <c r="AC428" s="65"/>
      <c r="AD428">
        <v>100</v>
      </c>
    </row>
    <row r="429" spans="1:30" x14ac:dyDescent="0.3">
      <c r="A429" s="1">
        <v>46248</v>
      </c>
      <c r="B429" s="65" t="s">
        <v>4004</v>
      </c>
      <c r="C429" s="65" t="s">
        <v>1704</v>
      </c>
      <c r="D429" s="65" t="s">
        <v>268</v>
      </c>
      <c r="E429" s="65" t="s">
        <v>1705</v>
      </c>
      <c r="F429" s="65" t="s">
        <v>31</v>
      </c>
      <c r="G429" s="65" t="s">
        <v>1706</v>
      </c>
      <c r="H429" s="65" t="s">
        <v>1707</v>
      </c>
      <c r="I429" s="65" t="s">
        <v>1708</v>
      </c>
      <c r="J429" s="65" t="s">
        <v>2795</v>
      </c>
      <c r="K429" s="65" t="s">
        <v>209</v>
      </c>
      <c r="L429" s="65" t="s">
        <v>37</v>
      </c>
      <c r="M429" s="65" t="s">
        <v>1709</v>
      </c>
      <c r="N429" s="65" t="s">
        <v>1710</v>
      </c>
      <c r="O429" s="65" t="s">
        <v>1251</v>
      </c>
      <c r="P429" s="65" t="s">
        <v>1711</v>
      </c>
      <c r="Q429" s="65" t="s">
        <v>288</v>
      </c>
      <c r="R429">
        <v>1</v>
      </c>
      <c r="S429" s="65" t="s">
        <v>42</v>
      </c>
      <c r="T429" s="65" t="s">
        <v>44</v>
      </c>
      <c r="U429" s="65" t="s">
        <v>44</v>
      </c>
      <c r="V429" s="65" t="s">
        <v>45</v>
      </c>
      <c r="W429" s="65" t="s">
        <v>46</v>
      </c>
      <c r="X429">
        <v>0</v>
      </c>
      <c r="Y429" s="65" t="s">
        <v>289</v>
      </c>
      <c r="Z429" s="65" t="s">
        <v>48</v>
      </c>
      <c r="AA429" s="65" t="s">
        <v>49</v>
      </c>
      <c r="AB429">
        <v>994872106</v>
      </c>
      <c r="AC429" s="65" t="s">
        <v>1253</v>
      </c>
    </row>
    <row r="430" spans="1:30" x14ac:dyDescent="0.3">
      <c r="A430" s="1">
        <v>46248</v>
      </c>
      <c r="B430" s="65" t="s">
        <v>4004</v>
      </c>
      <c r="C430" s="65" t="s">
        <v>1704</v>
      </c>
      <c r="D430" s="65" t="s">
        <v>268</v>
      </c>
      <c r="E430" s="65" t="s">
        <v>1705</v>
      </c>
      <c r="F430" s="65" t="s">
        <v>31</v>
      </c>
      <c r="G430" s="65" t="s">
        <v>1706</v>
      </c>
      <c r="H430" s="65" t="s">
        <v>1707</v>
      </c>
      <c r="I430" s="65" t="s">
        <v>1708</v>
      </c>
      <c r="J430" s="65" t="s">
        <v>2795</v>
      </c>
      <c r="K430" s="65" t="s">
        <v>209</v>
      </c>
      <c r="L430" s="65" t="s">
        <v>37</v>
      </c>
      <c r="M430" s="65" t="s">
        <v>1709</v>
      </c>
      <c r="N430" s="65" t="s">
        <v>1710</v>
      </c>
      <c r="O430" s="65" t="s">
        <v>1251</v>
      </c>
      <c r="P430" s="65" t="s">
        <v>1711</v>
      </c>
      <c r="Q430" s="65" t="s">
        <v>1254</v>
      </c>
      <c r="R430">
        <v>1</v>
      </c>
      <c r="S430" s="65" t="s">
        <v>42</v>
      </c>
      <c r="T430" s="65" t="s">
        <v>44</v>
      </c>
      <c r="U430" s="65" t="s">
        <v>44</v>
      </c>
      <c r="V430" s="65" t="s">
        <v>45</v>
      </c>
      <c r="W430" s="65" t="s">
        <v>46</v>
      </c>
      <c r="X430">
        <v>139.83000000000001</v>
      </c>
      <c r="Y430" s="65" t="s">
        <v>289</v>
      </c>
      <c r="Z430" s="65" t="s">
        <v>48</v>
      </c>
      <c r="AA430" s="65" t="s">
        <v>49</v>
      </c>
      <c r="AB430">
        <v>994872106</v>
      </c>
      <c r="AC430" s="65" t="s">
        <v>1253</v>
      </c>
    </row>
    <row r="431" spans="1:30" x14ac:dyDescent="0.3">
      <c r="A431" s="1">
        <v>46248</v>
      </c>
      <c r="B431" s="65" t="s">
        <v>4004</v>
      </c>
      <c r="C431" s="65" t="s">
        <v>1712</v>
      </c>
      <c r="D431" s="65" t="s">
        <v>268</v>
      </c>
      <c r="E431" s="65" t="s">
        <v>1713</v>
      </c>
      <c r="F431" s="65" t="s">
        <v>31</v>
      </c>
      <c r="G431" s="65" t="s">
        <v>1714</v>
      </c>
      <c r="H431" s="65" t="s">
        <v>1648</v>
      </c>
      <c r="I431" s="65" t="s">
        <v>1649</v>
      </c>
      <c r="J431" s="65"/>
      <c r="K431" s="65"/>
      <c r="L431" s="65" t="s">
        <v>37</v>
      </c>
      <c r="M431" s="65" t="s">
        <v>1650</v>
      </c>
      <c r="N431" s="65" t="s">
        <v>1651</v>
      </c>
      <c r="O431" s="65" t="s">
        <v>798</v>
      </c>
      <c r="P431" s="65" t="s">
        <v>1715</v>
      </c>
      <c r="Q431" s="65" t="s">
        <v>288</v>
      </c>
      <c r="R431">
        <v>1</v>
      </c>
      <c r="S431" s="65" t="s">
        <v>42</v>
      </c>
      <c r="T431" s="65" t="s">
        <v>44</v>
      </c>
      <c r="U431" s="65" t="s">
        <v>44</v>
      </c>
      <c r="V431" s="65" t="s">
        <v>45</v>
      </c>
      <c r="W431" s="65" t="s">
        <v>46</v>
      </c>
      <c r="X431">
        <v>0</v>
      </c>
      <c r="Y431" s="65" t="s">
        <v>289</v>
      </c>
      <c r="Z431" s="65" t="s">
        <v>48</v>
      </c>
      <c r="AA431" s="65" t="s">
        <v>49</v>
      </c>
      <c r="AC431" s="65"/>
    </row>
    <row r="432" spans="1:30" x14ac:dyDescent="0.3">
      <c r="A432" s="1">
        <v>46248</v>
      </c>
      <c r="B432" s="65" t="s">
        <v>4004</v>
      </c>
      <c r="C432" s="65" t="s">
        <v>1712</v>
      </c>
      <c r="D432" s="65" t="s">
        <v>268</v>
      </c>
      <c r="E432" s="65" t="s">
        <v>1713</v>
      </c>
      <c r="F432" s="65" t="s">
        <v>31</v>
      </c>
      <c r="G432" s="65" t="s">
        <v>1714</v>
      </c>
      <c r="H432" s="65" t="s">
        <v>1648</v>
      </c>
      <c r="I432" s="65" t="s">
        <v>1649</v>
      </c>
      <c r="J432" s="65"/>
      <c r="K432" s="65"/>
      <c r="L432" s="65" t="s">
        <v>37</v>
      </c>
      <c r="M432" s="65" t="s">
        <v>1650</v>
      </c>
      <c r="N432" s="65" t="s">
        <v>1651</v>
      </c>
      <c r="O432" s="65" t="s">
        <v>798</v>
      </c>
      <c r="P432" s="65" t="s">
        <v>1715</v>
      </c>
      <c r="Q432" s="65" t="s">
        <v>290</v>
      </c>
      <c r="R432">
        <v>1</v>
      </c>
      <c r="S432" s="65" t="s">
        <v>42</v>
      </c>
      <c r="T432" s="65" t="s">
        <v>44</v>
      </c>
      <c r="U432" s="65" t="s">
        <v>44</v>
      </c>
      <c r="V432" s="65" t="s">
        <v>45</v>
      </c>
      <c r="W432" s="65" t="s">
        <v>46</v>
      </c>
      <c r="X432">
        <v>1525.42</v>
      </c>
      <c r="Y432" s="65" t="s">
        <v>289</v>
      </c>
      <c r="Z432" s="65" t="s">
        <v>48</v>
      </c>
      <c r="AA432" s="65" t="s">
        <v>49</v>
      </c>
      <c r="AC432" s="65"/>
    </row>
    <row r="433" spans="1:30" x14ac:dyDescent="0.3">
      <c r="A433" s="1">
        <v>46248</v>
      </c>
      <c r="B433" s="65" t="s">
        <v>4004</v>
      </c>
      <c r="C433" s="65" t="s">
        <v>1716</v>
      </c>
      <c r="D433" s="65" t="s">
        <v>29</v>
      </c>
      <c r="E433" s="65" t="s">
        <v>1717</v>
      </c>
      <c r="F433" s="65" t="s">
        <v>31</v>
      </c>
      <c r="G433" s="65" t="s">
        <v>1718</v>
      </c>
      <c r="H433" s="65" t="s">
        <v>1719</v>
      </c>
      <c r="I433" s="65" t="s">
        <v>1720</v>
      </c>
      <c r="J433" s="65" t="s">
        <v>762</v>
      </c>
      <c r="K433" s="65" t="s">
        <v>209</v>
      </c>
      <c r="L433" s="65" t="s">
        <v>37</v>
      </c>
      <c r="M433" s="65" t="s">
        <v>1721</v>
      </c>
      <c r="N433" s="65" t="s">
        <v>1722</v>
      </c>
      <c r="O433" s="65" t="s">
        <v>1719</v>
      </c>
      <c r="P433" s="65" t="s">
        <v>1723</v>
      </c>
      <c r="Q433" s="65" t="s">
        <v>1157</v>
      </c>
      <c r="R433">
        <v>1</v>
      </c>
      <c r="S433" s="65" t="s">
        <v>42</v>
      </c>
      <c r="T433" s="65" t="s">
        <v>44</v>
      </c>
      <c r="U433" s="65" t="s">
        <v>44</v>
      </c>
      <c r="V433" s="65" t="s">
        <v>45</v>
      </c>
      <c r="W433" s="65" t="s">
        <v>46</v>
      </c>
      <c r="X433">
        <v>338.98</v>
      </c>
      <c r="Y433" s="65" t="s">
        <v>47</v>
      </c>
      <c r="Z433" s="65" t="s">
        <v>48</v>
      </c>
      <c r="AA433" s="65" t="s">
        <v>49</v>
      </c>
      <c r="AB433">
        <v>969791876</v>
      </c>
      <c r="AC433" s="65" t="s">
        <v>768</v>
      </c>
      <c r="AD433">
        <v>100</v>
      </c>
    </row>
    <row r="434" spans="1:30" x14ac:dyDescent="0.3">
      <c r="A434" s="1">
        <v>46249</v>
      </c>
      <c r="B434" s="65" t="s">
        <v>4004</v>
      </c>
      <c r="C434" s="65" t="s">
        <v>1724</v>
      </c>
      <c r="D434" s="65" t="s">
        <v>29</v>
      </c>
      <c r="E434" s="65" t="s">
        <v>1725</v>
      </c>
      <c r="F434" s="65" t="s">
        <v>31</v>
      </c>
      <c r="G434" s="65" t="s">
        <v>1726</v>
      </c>
      <c r="H434" s="65" t="s">
        <v>1727</v>
      </c>
      <c r="I434" s="65" t="s">
        <v>1728</v>
      </c>
      <c r="J434" s="65" t="s">
        <v>411</v>
      </c>
      <c r="K434" s="65" t="s">
        <v>412</v>
      </c>
      <c r="L434" s="65" t="s">
        <v>37</v>
      </c>
      <c r="M434" s="65" t="s">
        <v>1729</v>
      </c>
      <c r="N434" s="65" t="s">
        <v>1730</v>
      </c>
      <c r="O434" s="65" t="s">
        <v>1727</v>
      </c>
      <c r="P434" s="65" t="s">
        <v>1731</v>
      </c>
      <c r="Q434" s="65" t="s">
        <v>202</v>
      </c>
      <c r="R434">
        <v>1</v>
      </c>
      <c r="S434" s="65" t="s">
        <v>42</v>
      </c>
      <c r="T434" s="65" t="s">
        <v>44</v>
      </c>
      <c r="U434" s="65" t="s">
        <v>44</v>
      </c>
      <c r="V434" s="65" t="s">
        <v>45</v>
      </c>
      <c r="W434" s="65" t="s">
        <v>60</v>
      </c>
      <c r="X434">
        <v>135.59</v>
      </c>
      <c r="Y434" s="65" t="s">
        <v>47</v>
      </c>
      <c r="Z434" s="65" t="s">
        <v>48</v>
      </c>
      <c r="AA434" s="65" t="s">
        <v>49</v>
      </c>
      <c r="AB434">
        <v>982673362</v>
      </c>
      <c r="AC434" s="65" t="s">
        <v>416</v>
      </c>
      <c r="AD434">
        <v>30</v>
      </c>
    </row>
    <row r="435" spans="1:30" x14ac:dyDescent="0.3">
      <c r="A435" s="1">
        <v>46249</v>
      </c>
      <c r="B435" s="65" t="s">
        <v>4004</v>
      </c>
      <c r="C435" s="65" t="s">
        <v>1732</v>
      </c>
      <c r="D435" s="65" t="s">
        <v>29</v>
      </c>
      <c r="E435" s="65" t="s">
        <v>1733</v>
      </c>
      <c r="F435" s="65" t="s">
        <v>31</v>
      </c>
      <c r="G435" s="65" t="s">
        <v>1734</v>
      </c>
      <c r="H435" s="65" t="s">
        <v>1735</v>
      </c>
      <c r="I435" s="65" t="s">
        <v>1736</v>
      </c>
      <c r="J435" s="65" t="s">
        <v>1311</v>
      </c>
      <c r="K435" s="65" t="s">
        <v>36</v>
      </c>
      <c r="L435" s="65" t="s">
        <v>37</v>
      </c>
      <c r="M435" s="65" t="s">
        <v>1737</v>
      </c>
      <c r="N435" s="65" t="s">
        <v>1738</v>
      </c>
      <c r="O435" s="65" t="s">
        <v>1735</v>
      </c>
      <c r="P435" s="65" t="s">
        <v>1739</v>
      </c>
      <c r="Q435" s="65" t="s">
        <v>201</v>
      </c>
      <c r="R435">
        <v>1</v>
      </c>
      <c r="S435" s="65" t="s">
        <v>42</v>
      </c>
      <c r="T435" s="65" t="s">
        <v>44</v>
      </c>
      <c r="U435" s="65" t="s">
        <v>44</v>
      </c>
      <c r="V435" s="65" t="s">
        <v>45</v>
      </c>
      <c r="W435" s="65" t="s">
        <v>46</v>
      </c>
      <c r="X435">
        <v>152.54</v>
      </c>
      <c r="Y435" s="65" t="s">
        <v>47</v>
      </c>
      <c r="Z435" s="65" t="s">
        <v>48</v>
      </c>
      <c r="AA435" s="65" t="s">
        <v>49</v>
      </c>
      <c r="AB435">
        <v>993496032</v>
      </c>
      <c r="AC435" s="65" t="s">
        <v>1316</v>
      </c>
      <c r="AD435">
        <v>30</v>
      </c>
    </row>
    <row r="436" spans="1:30" x14ac:dyDescent="0.3">
      <c r="A436" s="1">
        <v>46249</v>
      </c>
      <c r="B436" s="65" t="s">
        <v>4004</v>
      </c>
      <c r="C436" s="65" t="s">
        <v>1740</v>
      </c>
      <c r="D436" s="65" t="s">
        <v>268</v>
      </c>
      <c r="E436" s="65" t="s">
        <v>1741</v>
      </c>
      <c r="F436" s="65" t="s">
        <v>31</v>
      </c>
      <c r="G436" s="65" t="s">
        <v>1742</v>
      </c>
      <c r="H436" s="65" t="s">
        <v>1743</v>
      </c>
      <c r="I436" s="65" t="s">
        <v>1744</v>
      </c>
      <c r="J436" s="65"/>
      <c r="K436" s="65"/>
      <c r="L436" s="65" t="s">
        <v>37</v>
      </c>
      <c r="M436" s="65" t="s">
        <v>1745</v>
      </c>
      <c r="N436" s="65" t="s">
        <v>1746</v>
      </c>
      <c r="O436" s="65" t="s">
        <v>1747</v>
      </c>
      <c r="P436" s="65" t="s">
        <v>1748</v>
      </c>
      <c r="Q436" s="65" t="s">
        <v>481</v>
      </c>
      <c r="R436">
        <v>2</v>
      </c>
      <c r="S436" s="65" t="s">
        <v>42</v>
      </c>
      <c r="T436" s="65" t="s">
        <v>44</v>
      </c>
      <c r="U436" s="65" t="s">
        <v>44</v>
      </c>
      <c r="V436" s="65" t="s">
        <v>45</v>
      </c>
      <c r="W436" s="65" t="s">
        <v>46</v>
      </c>
      <c r="X436">
        <v>203.39</v>
      </c>
      <c r="Y436" s="65" t="s">
        <v>61</v>
      </c>
      <c r="Z436" s="65" t="s">
        <v>48</v>
      </c>
      <c r="AA436" s="65" t="s">
        <v>49</v>
      </c>
      <c r="AC436" s="65"/>
    </row>
    <row r="437" spans="1:30" x14ac:dyDescent="0.3">
      <c r="A437" s="1">
        <v>46251</v>
      </c>
      <c r="B437" s="65" t="s">
        <v>4004</v>
      </c>
      <c r="C437" s="65" t="s">
        <v>1749</v>
      </c>
      <c r="D437" s="65" t="s">
        <v>29</v>
      </c>
      <c r="E437" s="65" t="s">
        <v>1750</v>
      </c>
      <c r="F437" s="65" t="s">
        <v>31</v>
      </c>
      <c r="G437" s="65" t="s">
        <v>1751</v>
      </c>
      <c r="H437" s="65" t="s">
        <v>1752</v>
      </c>
      <c r="I437" s="65" t="s">
        <v>1753</v>
      </c>
      <c r="J437" s="65" t="s">
        <v>1322</v>
      </c>
      <c r="K437" s="65" t="s">
        <v>36</v>
      </c>
      <c r="L437" s="65" t="s">
        <v>37</v>
      </c>
      <c r="M437" s="65" t="s">
        <v>1754</v>
      </c>
      <c r="N437" s="65" t="s">
        <v>1755</v>
      </c>
      <c r="O437" s="65" t="s">
        <v>1752</v>
      </c>
      <c r="P437" s="65" t="s">
        <v>1756</v>
      </c>
      <c r="Q437" s="65" t="s">
        <v>101</v>
      </c>
      <c r="R437">
        <v>1</v>
      </c>
      <c r="S437" s="65" t="s">
        <v>42</v>
      </c>
      <c r="T437" s="65" t="s">
        <v>44</v>
      </c>
      <c r="U437" s="65" t="s">
        <v>44</v>
      </c>
      <c r="V437" s="65" t="s">
        <v>45</v>
      </c>
      <c r="W437" s="65" t="s">
        <v>60</v>
      </c>
      <c r="X437">
        <v>186.44</v>
      </c>
      <c r="Y437" s="65" t="s">
        <v>47</v>
      </c>
      <c r="Z437" s="65" t="s">
        <v>48</v>
      </c>
      <c r="AA437" s="65" t="s">
        <v>49</v>
      </c>
      <c r="AB437">
        <v>999111362</v>
      </c>
      <c r="AC437" s="65" t="s">
        <v>1326</v>
      </c>
      <c r="AD437">
        <v>50</v>
      </c>
    </row>
    <row r="438" spans="1:30" x14ac:dyDescent="0.3">
      <c r="A438" s="1">
        <v>46251</v>
      </c>
      <c r="B438" s="65" t="s">
        <v>4004</v>
      </c>
      <c r="C438" s="65" t="s">
        <v>1757</v>
      </c>
      <c r="D438" s="65" t="s">
        <v>29</v>
      </c>
      <c r="E438" s="65" t="s">
        <v>1758</v>
      </c>
      <c r="F438" s="65" t="s">
        <v>31</v>
      </c>
      <c r="G438" s="65" t="s">
        <v>1759</v>
      </c>
      <c r="H438" s="65" t="s">
        <v>1760</v>
      </c>
      <c r="I438" s="65" t="s">
        <v>1761</v>
      </c>
      <c r="J438" s="65" t="s">
        <v>1073</v>
      </c>
      <c r="K438" s="65" t="s">
        <v>97</v>
      </c>
      <c r="L438" s="65" t="s">
        <v>37</v>
      </c>
      <c r="M438" s="65" t="s">
        <v>1762</v>
      </c>
      <c r="N438" s="65" t="s">
        <v>1763</v>
      </c>
      <c r="O438" s="65" t="s">
        <v>1760</v>
      </c>
      <c r="P438" s="65" t="s">
        <v>1764</v>
      </c>
      <c r="Q438" s="65" t="s">
        <v>41</v>
      </c>
      <c r="R438">
        <v>1</v>
      </c>
      <c r="S438" s="65" t="s">
        <v>70</v>
      </c>
      <c r="T438" s="65" t="s">
        <v>43</v>
      </c>
      <c r="U438" s="65" t="s">
        <v>44</v>
      </c>
      <c r="V438" s="65" t="s">
        <v>71</v>
      </c>
      <c r="W438" s="65" t="s">
        <v>72</v>
      </c>
      <c r="X438">
        <v>186.44</v>
      </c>
      <c r="Y438" s="65" t="s">
        <v>47</v>
      </c>
      <c r="Z438" s="65" t="s">
        <v>48</v>
      </c>
      <c r="AA438" s="65" t="s">
        <v>73</v>
      </c>
      <c r="AB438">
        <v>999986041</v>
      </c>
      <c r="AC438" s="65" t="s">
        <v>1077</v>
      </c>
      <c r="AD438">
        <v>50</v>
      </c>
    </row>
    <row r="439" spans="1:30" x14ac:dyDescent="0.3">
      <c r="A439" s="1">
        <v>46251</v>
      </c>
      <c r="B439" s="65" t="s">
        <v>4004</v>
      </c>
      <c r="C439" s="65" t="s">
        <v>1765</v>
      </c>
      <c r="D439" s="65" t="s">
        <v>29</v>
      </c>
      <c r="E439" s="65" t="s">
        <v>1766</v>
      </c>
      <c r="F439" s="65" t="s">
        <v>31</v>
      </c>
      <c r="G439" s="65" t="s">
        <v>1767</v>
      </c>
      <c r="H439" s="65" t="s">
        <v>1768</v>
      </c>
      <c r="I439" s="65" t="s">
        <v>1769</v>
      </c>
      <c r="J439" s="65" t="s">
        <v>1440</v>
      </c>
      <c r="K439" s="65" t="s">
        <v>1098</v>
      </c>
      <c r="L439" s="65" t="s">
        <v>37</v>
      </c>
      <c r="M439" s="65" t="s">
        <v>1770</v>
      </c>
      <c r="N439" s="65" t="s">
        <v>1771</v>
      </c>
      <c r="O439" s="65" t="s">
        <v>1768</v>
      </c>
      <c r="P439" s="65" t="s">
        <v>1772</v>
      </c>
      <c r="Q439" s="65" t="s">
        <v>159</v>
      </c>
      <c r="R439">
        <v>1</v>
      </c>
      <c r="S439" s="65" t="s">
        <v>42</v>
      </c>
      <c r="T439" s="65" t="s">
        <v>44</v>
      </c>
      <c r="U439" s="65" t="s">
        <v>44</v>
      </c>
      <c r="V439" s="65" t="s">
        <v>45</v>
      </c>
      <c r="W439" s="65" t="s">
        <v>60</v>
      </c>
      <c r="X439">
        <v>135.59</v>
      </c>
      <c r="Y439" s="65" t="s">
        <v>47</v>
      </c>
      <c r="Z439" s="65" t="s">
        <v>48</v>
      </c>
      <c r="AA439" s="65" t="s">
        <v>49</v>
      </c>
      <c r="AB439">
        <v>999418834</v>
      </c>
      <c r="AC439" s="65" t="s">
        <v>1442</v>
      </c>
      <c r="AD439">
        <v>30</v>
      </c>
    </row>
    <row r="440" spans="1:30" x14ac:dyDescent="0.3">
      <c r="A440" s="1">
        <v>46251</v>
      </c>
      <c r="B440" s="65" t="s">
        <v>4004</v>
      </c>
      <c r="C440" s="65" t="s">
        <v>1773</v>
      </c>
      <c r="D440" s="65" t="s">
        <v>268</v>
      </c>
      <c r="E440" s="65" t="s">
        <v>1774</v>
      </c>
      <c r="F440" s="65" t="s">
        <v>31</v>
      </c>
      <c r="G440" s="65" t="s">
        <v>1775</v>
      </c>
      <c r="H440" s="65" t="s">
        <v>1776</v>
      </c>
      <c r="I440" s="65" t="s">
        <v>1777</v>
      </c>
      <c r="J440" s="65" t="s">
        <v>477</v>
      </c>
      <c r="K440" s="65" t="s">
        <v>209</v>
      </c>
      <c r="L440" s="65" t="s">
        <v>37</v>
      </c>
      <c r="M440" s="65" t="s">
        <v>1778</v>
      </c>
      <c r="N440" s="65" t="s">
        <v>1779</v>
      </c>
      <c r="O440" s="65" t="s">
        <v>486</v>
      </c>
      <c r="P440" s="65" t="s">
        <v>1780</v>
      </c>
      <c r="Q440" s="65" t="s">
        <v>481</v>
      </c>
      <c r="R440">
        <v>1</v>
      </c>
      <c r="S440" s="65" t="s">
        <v>42</v>
      </c>
      <c r="T440" s="65" t="s">
        <v>44</v>
      </c>
      <c r="U440" s="65" t="s">
        <v>44</v>
      </c>
      <c r="V440" s="65" t="s">
        <v>45</v>
      </c>
      <c r="W440" s="65" t="s">
        <v>46</v>
      </c>
      <c r="X440">
        <v>101.69</v>
      </c>
      <c r="Y440" s="65" t="s">
        <v>61</v>
      </c>
      <c r="Z440" s="65" t="s">
        <v>48</v>
      </c>
      <c r="AA440" s="65" t="s">
        <v>49</v>
      </c>
      <c r="AB440">
        <v>982536223</v>
      </c>
      <c r="AC440" s="65" t="s">
        <v>482</v>
      </c>
    </row>
    <row r="441" spans="1:30" x14ac:dyDescent="0.3">
      <c r="A441" s="1">
        <v>46252</v>
      </c>
      <c r="B441" s="65" t="s">
        <v>4004</v>
      </c>
      <c r="C441" s="65" t="s">
        <v>1781</v>
      </c>
      <c r="D441" s="65" t="s">
        <v>29</v>
      </c>
      <c r="E441" s="65" t="s">
        <v>1782</v>
      </c>
      <c r="F441" s="65" t="s">
        <v>31</v>
      </c>
      <c r="G441" s="65" t="s">
        <v>1783</v>
      </c>
      <c r="H441" s="65" t="s">
        <v>1784</v>
      </c>
      <c r="I441" s="65" t="s">
        <v>1785</v>
      </c>
      <c r="J441" s="65" t="s">
        <v>1232</v>
      </c>
      <c r="K441" s="65" t="s">
        <v>209</v>
      </c>
      <c r="L441" s="65" t="s">
        <v>37</v>
      </c>
      <c r="M441" s="65" t="s">
        <v>1786</v>
      </c>
      <c r="N441" s="65" t="s">
        <v>608</v>
      </c>
      <c r="O441" s="65" t="s">
        <v>1784</v>
      </c>
      <c r="P441" s="65" t="s">
        <v>1787</v>
      </c>
      <c r="Q441" s="65" t="s">
        <v>201</v>
      </c>
      <c r="R441">
        <v>1</v>
      </c>
      <c r="S441" s="65" t="s">
        <v>42</v>
      </c>
      <c r="T441" s="65" t="s">
        <v>44</v>
      </c>
      <c r="U441" s="65" t="s">
        <v>44</v>
      </c>
      <c r="V441" s="65" t="s">
        <v>45</v>
      </c>
      <c r="W441" s="65" t="s">
        <v>60</v>
      </c>
      <c r="X441">
        <v>42.37</v>
      </c>
      <c r="Y441" s="65" t="s">
        <v>47</v>
      </c>
      <c r="Z441" s="65" t="s">
        <v>48</v>
      </c>
      <c r="AA441" s="65" t="s">
        <v>49</v>
      </c>
      <c r="AC441" s="65" t="s">
        <v>1236</v>
      </c>
      <c r="AD441">
        <v>30</v>
      </c>
    </row>
    <row r="442" spans="1:30" x14ac:dyDescent="0.3">
      <c r="A442" s="1">
        <v>46252</v>
      </c>
      <c r="B442" s="65" t="s">
        <v>4004</v>
      </c>
      <c r="C442" s="65" t="s">
        <v>1781</v>
      </c>
      <c r="D442" s="65" t="s">
        <v>29</v>
      </c>
      <c r="E442" s="65" t="s">
        <v>1782</v>
      </c>
      <c r="F442" s="65" t="s">
        <v>31</v>
      </c>
      <c r="G442" s="65" t="s">
        <v>1783</v>
      </c>
      <c r="H442" s="65" t="s">
        <v>1784</v>
      </c>
      <c r="I442" s="65" t="s">
        <v>1785</v>
      </c>
      <c r="J442" s="65" t="s">
        <v>1232</v>
      </c>
      <c r="K442" s="65" t="s">
        <v>209</v>
      </c>
      <c r="L442" s="65" t="s">
        <v>37</v>
      </c>
      <c r="M442" s="65" t="s">
        <v>1786</v>
      </c>
      <c r="N442" s="65" t="s">
        <v>608</v>
      </c>
      <c r="O442" s="65" t="s">
        <v>1784</v>
      </c>
      <c r="P442" s="65" t="s">
        <v>1787</v>
      </c>
      <c r="Q442" s="65" t="s">
        <v>202</v>
      </c>
      <c r="R442">
        <v>1</v>
      </c>
      <c r="S442" s="65" t="s">
        <v>42</v>
      </c>
      <c r="T442" s="65" t="s">
        <v>44</v>
      </c>
      <c r="U442" s="65" t="s">
        <v>44</v>
      </c>
      <c r="V442" s="65" t="s">
        <v>45</v>
      </c>
      <c r="W442" s="65" t="s">
        <v>60</v>
      </c>
      <c r="X442">
        <v>42.37</v>
      </c>
      <c r="Y442" s="65" t="s">
        <v>47</v>
      </c>
      <c r="Z442" s="65" t="s">
        <v>48</v>
      </c>
      <c r="AA442" s="65" t="s">
        <v>49</v>
      </c>
      <c r="AC442" s="65" t="s">
        <v>1236</v>
      </c>
      <c r="AD442">
        <v>30</v>
      </c>
    </row>
    <row r="443" spans="1:30" x14ac:dyDescent="0.3">
      <c r="A443" s="1">
        <v>46252</v>
      </c>
      <c r="B443" s="65" t="s">
        <v>4004</v>
      </c>
      <c r="C443" s="65" t="s">
        <v>1788</v>
      </c>
      <c r="D443" s="65" t="s">
        <v>29</v>
      </c>
      <c r="E443" s="65" t="s">
        <v>1789</v>
      </c>
      <c r="F443" s="65" t="s">
        <v>31</v>
      </c>
      <c r="G443" s="65" t="s">
        <v>1790</v>
      </c>
      <c r="H443" s="65" t="s">
        <v>1791</v>
      </c>
      <c r="I443" s="65" t="s">
        <v>1792</v>
      </c>
      <c r="J443" s="65" t="s">
        <v>774</v>
      </c>
      <c r="K443" s="65" t="s">
        <v>775</v>
      </c>
      <c r="L443" s="65" t="s">
        <v>37</v>
      </c>
      <c r="M443" s="65" t="s">
        <v>1793</v>
      </c>
      <c r="N443" s="65" t="s">
        <v>1794</v>
      </c>
      <c r="O443" s="65" t="s">
        <v>1791</v>
      </c>
      <c r="P443" s="65" t="s">
        <v>1795</v>
      </c>
      <c r="Q443" s="65" t="s">
        <v>618</v>
      </c>
      <c r="R443">
        <v>1</v>
      </c>
      <c r="S443" s="65" t="s">
        <v>42</v>
      </c>
      <c r="T443" s="65" t="s">
        <v>44</v>
      </c>
      <c r="U443" s="65" t="s">
        <v>44</v>
      </c>
      <c r="V443" s="65" t="s">
        <v>45</v>
      </c>
      <c r="W443" s="65" t="s">
        <v>60</v>
      </c>
      <c r="X443">
        <v>12.71</v>
      </c>
      <c r="Y443" s="65" t="s">
        <v>619</v>
      </c>
      <c r="Z443" s="65" t="s">
        <v>48</v>
      </c>
      <c r="AA443" s="65" t="s">
        <v>49</v>
      </c>
      <c r="AC443" s="65"/>
    </row>
    <row r="444" spans="1:30" x14ac:dyDescent="0.3">
      <c r="A444" s="1">
        <v>46252</v>
      </c>
      <c r="B444" s="65" t="s">
        <v>4004</v>
      </c>
      <c r="C444" s="65" t="s">
        <v>1788</v>
      </c>
      <c r="D444" s="65" t="s">
        <v>29</v>
      </c>
      <c r="E444" s="65" t="s">
        <v>1789</v>
      </c>
      <c r="F444" s="65" t="s">
        <v>31</v>
      </c>
      <c r="G444" s="65" t="s">
        <v>1790</v>
      </c>
      <c r="H444" s="65" t="s">
        <v>1791</v>
      </c>
      <c r="I444" s="65" t="s">
        <v>1792</v>
      </c>
      <c r="J444" s="65" t="s">
        <v>774</v>
      </c>
      <c r="K444" s="65" t="s">
        <v>775</v>
      </c>
      <c r="L444" s="65" t="s">
        <v>37</v>
      </c>
      <c r="M444" s="65" t="s">
        <v>1793</v>
      </c>
      <c r="N444" s="65" t="s">
        <v>1794</v>
      </c>
      <c r="O444" s="65" t="s">
        <v>1791</v>
      </c>
      <c r="P444" s="65" t="s">
        <v>1795</v>
      </c>
      <c r="Q444" s="65" t="s">
        <v>620</v>
      </c>
      <c r="R444">
        <v>1</v>
      </c>
      <c r="S444" s="65" t="s">
        <v>42</v>
      </c>
      <c r="T444" s="65" t="s">
        <v>44</v>
      </c>
      <c r="U444" s="65" t="s">
        <v>44</v>
      </c>
      <c r="V444" s="65" t="s">
        <v>45</v>
      </c>
      <c r="W444" s="65" t="s">
        <v>60</v>
      </c>
      <c r="X444">
        <v>21.19</v>
      </c>
      <c r="Y444" s="65" t="s">
        <v>619</v>
      </c>
      <c r="Z444" s="65" t="s">
        <v>48</v>
      </c>
      <c r="AA444" s="65" t="s">
        <v>49</v>
      </c>
      <c r="AC444" s="65"/>
    </row>
    <row r="445" spans="1:30" x14ac:dyDescent="0.3">
      <c r="A445" s="1">
        <v>46252</v>
      </c>
      <c r="B445" s="65" t="s">
        <v>4004</v>
      </c>
      <c r="C445" s="65" t="s">
        <v>1788</v>
      </c>
      <c r="D445" s="65" t="s">
        <v>29</v>
      </c>
      <c r="E445" s="65" t="s">
        <v>1789</v>
      </c>
      <c r="F445" s="65" t="s">
        <v>31</v>
      </c>
      <c r="G445" s="65" t="s">
        <v>1790</v>
      </c>
      <c r="H445" s="65" t="s">
        <v>1791</v>
      </c>
      <c r="I445" s="65" t="s">
        <v>1792</v>
      </c>
      <c r="J445" s="65" t="s">
        <v>774</v>
      </c>
      <c r="K445" s="65" t="s">
        <v>775</v>
      </c>
      <c r="L445" s="65" t="s">
        <v>37</v>
      </c>
      <c r="M445" s="65" t="s">
        <v>1793</v>
      </c>
      <c r="N445" s="65" t="s">
        <v>1794</v>
      </c>
      <c r="O445" s="65" t="s">
        <v>1791</v>
      </c>
      <c r="P445" s="65" t="s">
        <v>1795</v>
      </c>
      <c r="Q445" s="65" t="s">
        <v>621</v>
      </c>
      <c r="R445">
        <v>1</v>
      </c>
      <c r="S445" s="65" t="s">
        <v>42</v>
      </c>
      <c r="T445" s="65" t="s">
        <v>44</v>
      </c>
      <c r="U445" s="65" t="s">
        <v>44</v>
      </c>
      <c r="V445" s="65" t="s">
        <v>45</v>
      </c>
      <c r="W445" s="65" t="s">
        <v>60</v>
      </c>
      <c r="X445">
        <v>12.71</v>
      </c>
      <c r="Y445" s="65" t="s">
        <v>619</v>
      </c>
      <c r="Z445" s="65" t="s">
        <v>48</v>
      </c>
      <c r="AA445" s="65" t="s">
        <v>49</v>
      </c>
      <c r="AC445" s="65"/>
    </row>
    <row r="446" spans="1:30" x14ac:dyDescent="0.3">
      <c r="A446" s="1">
        <v>46252</v>
      </c>
      <c r="B446" s="65" t="s">
        <v>4004</v>
      </c>
      <c r="C446" s="65" t="s">
        <v>1788</v>
      </c>
      <c r="D446" s="65" t="s">
        <v>29</v>
      </c>
      <c r="E446" s="65" t="s">
        <v>1789</v>
      </c>
      <c r="F446" s="65" t="s">
        <v>31</v>
      </c>
      <c r="G446" s="65" t="s">
        <v>1790</v>
      </c>
      <c r="H446" s="65" t="s">
        <v>1791</v>
      </c>
      <c r="I446" s="65" t="s">
        <v>1792</v>
      </c>
      <c r="J446" s="65" t="s">
        <v>774</v>
      </c>
      <c r="K446" s="65" t="s">
        <v>775</v>
      </c>
      <c r="L446" s="65" t="s">
        <v>37</v>
      </c>
      <c r="M446" s="65" t="s">
        <v>1793</v>
      </c>
      <c r="N446" s="65" t="s">
        <v>1794</v>
      </c>
      <c r="O446" s="65" t="s">
        <v>1791</v>
      </c>
      <c r="P446" s="65" t="s">
        <v>1795</v>
      </c>
      <c r="Q446" s="65" t="s">
        <v>622</v>
      </c>
      <c r="R446">
        <v>1</v>
      </c>
      <c r="S446" s="65" t="s">
        <v>42</v>
      </c>
      <c r="T446" s="65" t="s">
        <v>44</v>
      </c>
      <c r="U446" s="65" t="s">
        <v>44</v>
      </c>
      <c r="V446" s="65" t="s">
        <v>45</v>
      </c>
      <c r="W446" s="65" t="s">
        <v>60</v>
      </c>
      <c r="X446">
        <v>12.71</v>
      </c>
      <c r="Y446" s="65" t="s">
        <v>619</v>
      </c>
      <c r="Z446" s="65" t="s">
        <v>48</v>
      </c>
      <c r="AA446" s="65" t="s">
        <v>49</v>
      </c>
      <c r="AC446" s="65"/>
    </row>
    <row r="447" spans="1:30" x14ac:dyDescent="0.3">
      <c r="A447" s="1">
        <v>46252</v>
      </c>
      <c r="B447" s="65" t="s">
        <v>4004</v>
      </c>
      <c r="C447" s="65" t="s">
        <v>1788</v>
      </c>
      <c r="D447" s="65" t="s">
        <v>29</v>
      </c>
      <c r="E447" s="65" t="s">
        <v>1789</v>
      </c>
      <c r="F447" s="65" t="s">
        <v>31</v>
      </c>
      <c r="G447" s="65" t="s">
        <v>1790</v>
      </c>
      <c r="H447" s="65" t="s">
        <v>1791</v>
      </c>
      <c r="I447" s="65" t="s">
        <v>1792</v>
      </c>
      <c r="J447" s="65" t="s">
        <v>774</v>
      </c>
      <c r="K447" s="65" t="s">
        <v>775</v>
      </c>
      <c r="L447" s="65" t="s">
        <v>37</v>
      </c>
      <c r="M447" s="65" t="s">
        <v>1793</v>
      </c>
      <c r="N447" s="65" t="s">
        <v>1794</v>
      </c>
      <c r="O447" s="65" t="s">
        <v>1791</v>
      </c>
      <c r="P447" s="65" t="s">
        <v>1795</v>
      </c>
      <c r="Q447" s="65" t="s">
        <v>833</v>
      </c>
      <c r="R447">
        <v>1</v>
      </c>
      <c r="S447" s="65" t="s">
        <v>42</v>
      </c>
      <c r="T447" s="65" t="s">
        <v>44</v>
      </c>
      <c r="U447" s="65" t="s">
        <v>44</v>
      </c>
      <c r="V447" s="65" t="s">
        <v>45</v>
      </c>
      <c r="W447" s="65" t="s">
        <v>60</v>
      </c>
      <c r="X447">
        <v>50.85</v>
      </c>
      <c r="Y447" s="65" t="s">
        <v>619</v>
      </c>
      <c r="Z447" s="65" t="s">
        <v>48</v>
      </c>
      <c r="AA447" s="65" t="s">
        <v>49</v>
      </c>
      <c r="AC447" s="65"/>
    </row>
    <row r="448" spans="1:30" x14ac:dyDescent="0.3">
      <c r="A448" s="1">
        <v>46252</v>
      </c>
      <c r="B448" s="65" t="s">
        <v>4004</v>
      </c>
      <c r="C448" s="65" t="s">
        <v>1796</v>
      </c>
      <c r="D448" s="65" t="s">
        <v>29</v>
      </c>
      <c r="E448" s="65" t="s">
        <v>1797</v>
      </c>
      <c r="F448" s="65" t="s">
        <v>31</v>
      </c>
      <c r="G448" s="65" t="s">
        <v>1798</v>
      </c>
      <c r="H448" s="65" t="s">
        <v>1791</v>
      </c>
      <c r="I448" s="65" t="s">
        <v>1792</v>
      </c>
      <c r="J448" s="65" t="s">
        <v>1232</v>
      </c>
      <c r="K448" s="65" t="s">
        <v>209</v>
      </c>
      <c r="L448" s="65" t="s">
        <v>37</v>
      </c>
      <c r="M448" s="65" t="s">
        <v>1793</v>
      </c>
      <c r="N448" s="65" t="s">
        <v>1794</v>
      </c>
      <c r="O448" s="65" t="s">
        <v>1791</v>
      </c>
      <c r="P448" s="65" t="s">
        <v>1799</v>
      </c>
      <c r="Q448" s="65" t="s">
        <v>201</v>
      </c>
      <c r="R448">
        <v>1</v>
      </c>
      <c r="S448" s="65" t="s">
        <v>42</v>
      </c>
      <c r="T448" s="65" t="s">
        <v>44</v>
      </c>
      <c r="U448" s="65" t="s">
        <v>44</v>
      </c>
      <c r="V448" s="65" t="s">
        <v>45</v>
      </c>
      <c r="W448" s="65" t="s">
        <v>60</v>
      </c>
      <c r="X448">
        <v>42.37</v>
      </c>
      <c r="Y448" s="65" t="s">
        <v>47</v>
      </c>
      <c r="Z448" s="65" t="s">
        <v>48</v>
      </c>
      <c r="AA448" s="65" t="s">
        <v>49</v>
      </c>
      <c r="AC448" s="65" t="s">
        <v>1236</v>
      </c>
      <c r="AD448">
        <v>30</v>
      </c>
    </row>
    <row r="449" spans="1:30" x14ac:dyDescent="0.3">
      <c r="A449" s="1">
        <v>46252</v>
      </c>
      <c r="B449" s="65" t="s">
        <v>4004</v>
      </c>
      <c r="C449" s="65" t="s">
        <v>1796</v>
      </c>
      <c r="D449" s="65" t="s">
        <v>29</v>
      </c>
      <c r="E449" s="65" t="s">
        <v>1797</v>
      </c>
      <c r="F449" s="65" t="s">
        <v>31</v>
      </c>
      <c r="G449" s="65" t="s">
        <v>1798</v>
      </c>
      <c r="H449" s="65" t="s">
        <v>1791</v>
      </c>
      <c r="I449" s="65" t="s">
        <v>1792</v>
      </c>
      <c r="J449" s="65" t="s">
        <v>1232</v>
      </c>
      <c r="K449" s="65" t="s">
        <v>209</v>
      </c>
      <c r="L449" s="65" t="s">
        <v>37</v>
      </c>
      <c r="M449" s="65" t="s">
        <v>1793</v>
      </c>
      <c r="N449" s="65" t="s">
        <v>1794</v>
      </c>
      <c r="O449" s="65" t="s">
        <v>1791</v>
      </c>
      <c r="P449" s="65" t="s">
        <v>1799</v>
      </c>
      <c r="Q449" s="65" t="s">
        <v>202</v>
      </c>
      <c r="R449">
        <v>1</v>
      </c>
      <c r="S449" s="65" t="s">
        <v>42</v>
      </c>
      <c r="T449" s="65" t="s">
        <v>44</v>
      </c>
      <c r="U449" s="65" t="s">
        <v>44</v>
      </c>
      <c r="V449" s="65" t="s">
        <v>45</v>
      </c>
      <c r="W449" s="65" t="s">
        <v>60</v>
      </c>
      <c r="X449">
        <v>42.37</v>
      </c>
      <c r="Y449" s="65" t="s">
        <v>47</v>
      </c>
      <c r="Z449" s="65" t="s">
        <v>48</v>
      </c>
      <c r="AA449" s="65" t="s">
        <v>49</v>
      </c>
      <c r="AC449" s="65" t="s">
        <v>1236</v>
      </c>
      <c r="AD449">
        <v>30</v>
      </c>
    </row>
    <row r="450" spans="1:30" x14ac:dyDescent="0.3">
      <c r="A450" s="1">
        <v>46252</v>
      </c>
      <c r="B450" s="65" t="s">
        <v>4004</v>
      </c>
      <c r="C450" s="65" t="s">
        <v>1800</v>
      </c>
      <c r="D450" s="65" t="s">
        <v>29</v>
      </c>
      <c r="E450" s="65" t="s">
        <v>1801</v>
      </c>
      <c r="F450" s="65" t="s">
        <v>31</v>
      </c>
      <c r="G450" s="65" t="s">
        <v>1802</v>
      </c>
      <c r="H450" s="65" t="s">
        <v>1803</v>
      </c>
      <c r="I450" s="65" t="s">
        <v>1804</v>
      </c>
      <c r="J450" s="65" t="s">
        <v>136</v>
      </c>
      <c r="K450" s="65" t="s">
        <v>137</v>
      </c>
      <c r="L450" s="65" t="s">
        <v>37</v>
      </c>
      <c r="M450" s="65" t="s">
        <v>1805</v>
      </c>
      <c r="N450" s="65" t="s">
        <v>1806</v>
      </c>
      <c r="O450" s="65" t="s">
        <v>1803</v>
      </c>
      <c r="P450" s="65" t="s">
        <v>1807</v>
      </c>
      <c r="Q450" s="65" t="s">
        <v>101</v>
      </c>
      <c r="R450">
        <v>1</v>
      </c>
      <c r="S450" s="65" t="s">
        <v>42</v>
      </c>
      <c r="T450" s="65" t="s">
        <v>44</v>
      </c>
      <c r="U450" s="65" t="s">
        <v>44</v>
      </c>
      <c r="V450" s="65" t="s">
        <v>45</v>
      </c>
      <c r="W450" s="65" t="s">
        <v>60</v>
      </c>
      <c r="X450">
        <v>186.44</v>
      </c>
      <c r="Y450" s="65" t="s">
        <v>47</v>
      </c>
      <c r="Z450" s="65" t="s">
        <v>48</v>
      </c>
      <c r="AA450" s="65" t="s">
        <v>49</v>
      </c>
      <c r="AB450">
        <v>987407712</v>
      </c>
      <c r="AC450" s="65" t="s">
        <v>141</v>
      </c>
      <c r="AD450">
        <v>50</v>
      </c>
    </row>
    <row r="451" spans="1:30" x14ac:dyDescent="0.3">
      <c r="A451" s="1">
        <v>46252</v>
      </c>
      <c r="B451" s="65" t="s">
        <v>4004</v>
      </c>
      <c r="C451" s="65" t="s">
        <v>1808</v>
      </c>
      <c r="D451" s="65" t="s">
        <v>29</v>
      </c>
      <c r="E451" s="65" t="s">
        <v>1809</v>
      </c>
      <c r="F451" s="65" t="s">
        <v>31</v>
      </c>
      <c r="G451" s="65" t="s">
        <v>1810</v>
      </c>
      <c r="H451" s="65" t="s">
        <v>1811</v>
      </c>
      <c r="I451" s="65" t="s">
        <v>1812</v>
      </c>
      <c r="J451" s="65" t="s">
        <v>1322</v>
      </c>
      <c r="K451" s="65" t="s">
        <v>36</v>
      </c>
      <c r="L451" s="65" t="s">
        <v>37</v>
      </c>
      <c r="M451" s="65" t="s">
        <v>1813</v>
      </c>
      <c r="N451" s="65" t="s">
        <v>1814</v>
      </c>
      <c r="O451" s="65" t="s">
        <v>1811</v>
      </c>
      <c r="P451" s="65" t="s">
        <v>1815</v>
      </c>
      <c r="Q451" s="65" t="s">
        <v>202</v>
      </c>
      <c r="R451">
        <v>1</v>
      </c>
      <c r="S451" s="65" t="s">
        <v>42</v>
      </c>
      <c r="T451" s="65" t="s">
        <v>44</v>
      </c>
      <c r="U451" s="65" t="s">
        <v>44</v>
      </c>
      <c r="V451" s="65" t="s">
        <v>45</v>
      </c>
      <c r="W451" s="65" t="s">
        <v>60</v>
      </c>
      <c r="X451">
        <v>42.37</v>
      </c>
      <c r="Y451" s="65" t="s">
        <v>47</v>
      </c>
      <c r="Z451" s="65" t="s">
        <v>48</v>
      </c>
      <c r="AA451" s="65" t="s">
        <v>49</v>
      </c>
      <c r="AB451">
        <v>999111362</v>
      </c>
      <c r="AC451" s="65" t="s">
        <v>1326</v>
      </c>
      <c r="AD451">
        <v>30</v>
      </c>
    </row>
    <row r="452" spans="1:30" x14ac:dyDescent="0.3">
      <c r="A452" s="1">
        <v>46252</v>
      </c>
      <c r="B452" s="65" t="s">
        <v>4004</v>
      </c>
      <c r="C452" s="65" t="s">
        <v>1808</v>
      </c>
      <c r="D452" s="65" t="s">
        <v>29</v>
      </c>
      <c r="E452" s="65" t="s">
        <v>1809</v>
      </c>
      <c r="F452" s="65" t="s">
        <v>31</v>
      </c>
      <c r="G452" s="65" t="s">
        <v>1810</v>
      </c>
      <c r="H452" s="65" t="s">
        <v>1811</v>
      </c>
      <c r="I452" s="65" t="s">
        <v>1812</v>
      </c>
      <c r="J452" s="65" t="s">
        <v>1322</v>
      </c>
      <c r="K452" s="65" t="s">
        <v>36</v>
      </c>
      <c r="L452" s="65" t="s">
        <v>37</v>
      </c>
      <c r="M452" s="65" t="s">
        <v>1813</v>
      </c>
      <c r="N452" s="65" t="s">
        <v>1814</v>
      </c>
      <c r="O452" s="65" t="s">
        <v>1811</v>
      </c>
      <c r="P452" s="65" t="s">
        <v>1815</v>
      </c>
      <c r="Q452" s="65" t="s">
        <v>201</v>
      </c>
      <c r="R452">
        <v>1</v>
      </c>
      <c r="S452" s="65" t="s">
        <v>42</v>
      </c>
      <c r="T452" s="65" t="s">
        <v>44</v>
      </c>
      <c r="U452" s="65" t="s">
        <v>44</v>
      </c>
      <c r="V452" s="65" t="s">
        <v>45</v>
      </c>
      <c r="W452" s="65" t="s">
        <v>60</v>
      </c>
      <c r="X452">
        <v>42.37</v>
      </c>
      <c r="Y452" s="65" t="s">
        <v>47</v>
      </c>
      <c r="Z452" s="65" t="s">
        <v>48</v>
      </c>
      <c r="AA452" s="65" t="s">
        <v>49</v>
      </c>
      <c r="AB452">
        <v>999111362</v>
      </c>
      <c r="AC452" s="65" t="s">
        <v>1326</v>
      </c>
      <c r="AD452">
        <v>30</v>
      </c>
    </row>
    <row r="453" spans="1:30" x14ac:dyDescent="0.3">
      <c r="A453" s="1">
        <v>46252</v>
      </c>
      <c r="B453" s="65" t="s">
        <v>4004</v>
      </c>
      <c r="C453" s="65" t="s">
        <v>1816</v>
      </c>
      <c r="D453" s="65" t="s">
        <v>29</v>
      </c>
      <c r="E453" s="65" t="s">
        <v>1817</v>
      </c>
      <c r="F453" s="65" t="s">
        <v>31</v>
      </c>
      <c r="G453" s="65" t="s">
        <v>1818</v>
      </c>
      <c r="H453" s="65" t="s">
        <v>1819</v>
      </c>
      <c r="I453" s="65" t="s">
        <v>1820</v>
      </c>
      <c r="J453" s="65" t="s">
        <v>774</v>
      </c>
      <c r="K453" s="65" t="s">
        <v>775</v>
      </c>
      <c r="L453" s="65" t="s">
        <v>37</v>
      </c>
      <c r="M453" s="65" t="s">
        <v>1821</v>
      </c>
      <c r="N453" s="65" t="s">
        <v>1822</v>
      </c>
      <c r="O453" s="65" t="s">
        <v>1819</v>
      </c>
      <c r="P453" s="65" t="s">
        <v>1823</v>
      </c>
      <c r="Q453" s="65" t="s">
        <v>201</v>
      </c>
      <c r="R453">
        <v>1</v>
      </c>
      <c r="S453" s="65" t="s">
        <v>42</v>
      </c>
      <c r="T453" s="65" t="s">
        <v>44</v>
      </c>
      <c r="U453" s="65" t="s">
        <v>44</v>
      </c>
      <c r="V453" s="65" t="s">
        <v>45</v>
      </c>
      <c r="W453" s="65" t="s">
        <v>60</v>
      </c>
      <c r="X453">
        <v>42.37</v>
      </c>
      <c r="Y453" s="65" t="s">
        <v>47</v>
      </c>
      <c r="Z453" s="65" t="s">
        <v>48</v>
      </c>
      <c r="AA453" s="65" t="s">
        <v>49</v>
      </c>
      <c r="AC453" s="65"/>
      <c r="AD453">
        <v>30</v>
      </c>
    </row>
    <row r="454" spans="1:30" x14ac:dyDescent="0.3">
      <c r="A454" s="1">
        <v>46252</v>
      </c>
      <c r="B454" s="65" t="s">
        <v>4004</v>
      </c>
      <c r="C454" s="65" t="s">
        <v>1816</v>
      </c>
      <c r="D454" s="65" t="s">
        <v>29</v>
      </c>
      <c r="E454" s="65" t="s">
        <v>1817</v>
      </c>
      <c r="F454" s="65" t="s">
        <v>31</v>
      </c>
      <c r="G454" s="65" t="s">
        <v>1818</v>
      </c>
      <c r="H454" s="65" t="s">
        <v>1819</v>
      </c>
      <c r="I454" s="65" t="s">
        <v>1820</v>
      </c>
      <c r="J454" s="65" t="s">
        <v>774</v>
      </c>
      <c r="K454" s="65" t="s">
        <v>775</v>
      </c>
      <c r="L454" s="65" t="s">
        <v>37</v>
      </c>
      <c r="M454" s="65" t="s">
        <v>1821</v>
      </c>
      <c r="N454" s="65" t="s">
        <v>1822</v>
      </c>
      <c r="O454" s="65" t="s">
        <v>1819</v>
      </c>
      <c r="P454" s="65" t="s">
        <v>1823</v>
      </c>
      <c r="Q454" s="65" t="s">
        <v>202</v>
      </c>
      <c r="R454">
        <v>1</v>
      </c>
      <c r="S454" s="65" t="s">
        <v>42</v>
      </c>
      <c r="T454" s="65" t="s">
        <v>44</v>
      </c>
      <c r="U454" s="65" t="s">
        <v>44</v>
      </c>
      <c r="V454" s="65" t="s">
        <v>45</v>
      </c>
      <c r="W454" s="65" t="s">
        <v>60</v>
      </c>
      <c r="X454">
        <v>42.37</v>
      </c>
      <c r="Y454" s="65" t="s">
        <v>47</v>
      </c>
      <c r="Z454" s="65" t="s">
        <v>48</v>
      </c>
      <c r="AA454" s="65" t="s">
        <v>49</v>
      </c>
      <c r="AC454" s="65"/>
      <c r="AD454">
        <v>30</v>
      </c>
    </row>
    <row r="455" spans="1:30" x14ac:dyDescent="0.3">
      <c r="A455" s="1">
        <v>46252</v>
      </c>
      <c r="B455" s="65" t="s">
        <v>4004</v>
      </c>
      <c r="C455" s="65" t="s">
        <v>1824</v>
      </c>
      <c r="D455" s="65" t="s">
        <v>29</v>
      </c>
      <c r="E455" s="65" t="s">
        <v>1825</v>
      </c>
      <c r="F455" s="65" t="s">
        <v>31</v>
      </c>
      <c r="G455" s="65" t="s">
        <v>1826</v>
      </c>
      <c r="H455" s="65" t="s">
        <v>1827</v>
      </c>
      <c r="I455" s="65" t="s">
        <v>1828</v>
      </c>
      <c r="J455" s="65" t="s">
        <v>1829</v>
      </c>
      <c r="K455" s="65" t="s">
        <v>262</v>
      </c>
      <c r="L455" s="65" t="s">
        <v>37</v>
      </c>
      <c r="M455" s="65" t="s">
        <v>1830</v>
      </c>
      <c r="N455" s="65" t="s">
        <v>1814</v>
      </c>
      <c r="O455" s="65" t="s">
        <v>1827</v>
      </c>
      <c r="P455" s="65" t="s">
        <v>1831</v>
      </c>
      <c r="Q455" s="65" t="s">
        <v>41</v>
      </c>
      <c r="R455">
        <v>1</v>
      </c>
      <c r="S455" s="65" t="s">
        <v>42</v>
      </c>
      <c r="T455" s="65" t="s">
        <v>44</v>
      </c>
      <c r="U455" s="65" t="s">
        <v>44</v>
      </c>
      <c r="V455" s="65" t="s">
        <v>45</v>
      </c>
      <c r="W455" s="65" t="s">
        <v>60</v>
      </c>
      <c r="X455">
        <v>186.44</v>
      </c>
      <c r="Y455" s="65" t="s">
        <v>47</v>
      </c>
      <c r="Z455" s="65" t="s">
        <v>48</v>
      </c>
      <c r="AA455" s="65" t="s">
        <v>49</v>
      </c>
      <c r="AB455">
        <v>999700200</v>
      </c>
      <c r="AC455" s="65" t="s">
        <v>1832</v>
      </c>
      <c r="AD455">
        <v>50</v>
      </c>
    </row>
    <row r="456" spans="1:30" x14ac:dyDescent="0.3">
      <c r="A456" s="1">
        <v>46252</v>
      </c>
      <c r="B456" s="65" t="s">
        <v>4004</v>
      </c>
      <c r="C456" s="65" t="s">
        <v>1833</v>
      </c>
      <c r="D456" s="65" t="s">
        <v>268</v>
      </c>
      <c r="E456" s="65" t="s">
        <v>1834</v>
      </c>
      <c r="F456" s="65" t="s">
        <v>31</v>
      </c>
      <c r="G456" s="65" t="s">
        <v>1835</v>
      </c>
      <c r="H456" s="65" t="s">
        <v>1836</v>
      </c>
      <c r="I456" s="65" t="s">
        <v>1837</v>
      </c>
      <c r="J456" s="65"/>
      <c r="K456" s="65"/>
      <c r="L456" s="65" t="s">
        <v>37</v>
      </c>
      <c r="M456" s="65" t="s">
        <v>1838</v>
      </c>
      <c r="N456" s="65" t="s">
        <v>1839</v>
      </c>
      <c r="O456" s="65" t="s">
        <v>1840</v>
      </c>
      <c r="P456" s="65" t="s">
        <v>1841</v>
      </c>
      <c r="Q456" s="65" t="s">
        <v>288</v>
      </c>
      <c r="R456">
        <v>1</v>
      </c>
      <c r="S456" s="65" t="s">
        <v>42</v>
      </c>
      <c r="T456" s="65" t="s">
        <v>44</v>
      </c>
      <c r="U456" s="65" t="s">
        <v>44</v>
      </c>
      <c r="V456" s="65" t="s">
        <v>45</v>
      </c>
      <c r="W456" s="65" t="s">
        <v>46</v>
      </c>
      <c r="X456">
        <v>0</v>
      </c>
      <c r="Y456" s="65" t="s">
        <v>289</v>
      </c>
      <c r="Z456" s="65" t="s">
        <v>48</v>
      </c>
      <c r="AA456" s="65" t="s">
        <v>49</v>
      </c>
      <c r="AC456" s="65"/>
    </row>
    <row r="457" spans="1:30" x14ac:dyDescent="0.3">
      <c r="A457" s="1">
        <v>46252</v>
      </c>
      <c r="B457" s="65" t="s">
        <v>4004</v>
      </c>
      <c r="C457" s="65" t="s">
        <v>1833</v>
      </c>
      <c r="D457" s="65" t="s">
        <v>268</v>
      </c>
      <c r="E457" s="65" t="s">
        <v>1834</v>
      </c>
      <c r="F457" s="65" t="s">
        <v>31</v>
      </c>
      <c r="G457" s="65" t="s">
        <v>1835</v>
      </c>
      <c r="H457" s="65" t="s">
        <v>1836</v>
      </c>
      <c r="I457" s="65" t="s">
        <v>1837</v>
      </c>
      <c r="J457" s="65"/>
      <c r="K457" s="65"/>
      <c r="L457" s="65" t="s">
        <v>37</v>
      </c>
      <c r="M457" s="65" t="s">
        <v>1838</v>
      </c>
      <c r="N457" s="65" t="s">
        <v>1839</v>
      </c>
      <c r="O457" s="65" t="s">
        <v>1840</v>
      </c>
      <c r="P457" s="65" t="s">
        <v>1841</v>
      </c>
      <c r="Q457" s="65" t="s">
        <v>973</v>
      </c>
      <c r="R457">
        <v>1</v>
      </c>
      <c r="S457" s="65" t="s">
        <v>42</v>
      </c>
      <c r="T457" s="65" t="s">
        <v>44</v>
      </c>
      <c r="U457" s="65" t="s">
        <v>44</v>
      </c>
      <c r="V457" s="65" t="s">
        <v>45</v>
      </c>
      <c r="W457" s="65" t="s">
        <v>46</v>
      </c>
      <c r="X457">
        <v>1016.95</v>
      </c>
      <c r="Y457" s="65" t="s">
        <v>289</v>
      </c>
      <c r="Z457" s="65" t="s">
        <v>48</v>
      </c>
      <c r="AA457" s="65" t="s">
        <v>49</v>
      </c>
      <c r="AC457" s="65"/>
    </row>
    <row r="458" spans="1:30" x14ac:dyDescent="0.3">
      <c r="A458" s="1">
        <v>46252</v>
      </c>
      <c r="B458" s="65" t="s">
        <v>4004</v>
      </c>
      <c r="C458" s="65" t="s">
        <v>1842</v>
      </c>
      <c r="D458" s="65" t="s">
        <v>268</v>
      </c>
      <c r="E458" s="65" t="s">
        <v>1843</v>
      </c>
      <c r="F458" s="65" t="s">
        <v>31</v>
      </c>
      <c r="G458" s="65" t="s">
        <v>1844</v>
      </c>
      <c r="H458" s="65" t="s">
        <v>1784</v>
      </c>
      <c r="I458" s="65" t="s">
        <v>1785</v>
      </c>
      <c r="J458" s="65" t="s">
        <v>774</v>
      </c>
      <c r="K458" s="65" t="s">
        <v>775</v>
      </c>
      <c r="L458" s="65" t="s">
        <v>37</v>
      </c>
      <c r="M458" s="65" t="s">
        <v>1786</v>
      </c>
      <c r="N458" s="65" t="s">
        <v>608</v>
      </c>
      <c r="O458" s="65" t="s">
        <v>798</v>
      </c>
      <c r="P458" s="65" t="s">
        <v>1845</v>
      </c>
      <c r="Q458" s="65" t="s">
        <v>288</v>
      </c>
      <c r="R458">
        <v>1</v>
      </c>
      <c r="S458" s="65" t="s">
        <v>42</v>
      </c>
      <c r="T458" s="65" t="s">
        <v>44</v>
      </c>
      <c r="U458" s="65" t="s">
        <v>44</v>
      </c>
      <c r="V458" s="65" t="s">
        <v>45</v>
      </c>
      <c r="W458" s="65" t="s">
        <v>60</v>
      </c>
      <c r="X458">
        <v>0</v>
      </c>
      <c r="Y458" s="65" t="s">
        <v>289</v>
      </c>
      <c r="Z458" s="65" t="s">
        <v>48</v>
      </c>
      <c r="AA458" s="65" t="s">
        <v>49</v>
      </c>
      <c r="AC458" s="65"/>
    </row>
    <row r="459" spans="1:30" x14ac:dyDescent="0.3">
      <c r="A459" s="1">
        <v>46252</v>
      </c>
      <c r="B459" s="65" t="s">
        <v>4004</v>
      </c>
      <c r="C459" s="65" t="s">
        <v>1842</v>
      </c>
      <c r="D459" s="65" t="s">
        <v>268</v>
      </c>
      <c r="E459" s="65" t="s">
        <v>1843</v>
      </c>
      <c r="F459" s="65" t="s">
        <v>31</v>
      </c>
      <c r="G459" s="65" t="s">
        <v>1844</v>
      </c>
      <c r="H459" s="65" t="s">
        <v>1784</v>
      </c>
      <c r="I459" s="65" t="s">
        <v>1785</v>
      </c>
      <c r="J459" s="65" t="s">
        <v>774</v>
      </c>
      <c r="K459" s="65" t="s">
        <v>775</v>
      </c>
      <c r="L459" s="65" t="s">
        <v>37</v>
      </c>
      <c r="M459" s="65" t="s">
        <v>1786</v>
      </c>
      <c r="N459" s="65" t="s">
        <v>608</v>
      </c>
      <c r="O459" s="65" t="s">
        <v>798</v>
      </c>
      <c r="P459" s="65" t="s">
        <v>1845</v>
      </c>
      <c r="Q459" s="65" t="s">
        <v>290</v>
      </c>
      <c r="R459">
        <v>1</v>
      </c>
      <c r="S459" s="65" t="s">
        <v>42</v>
      </c>
      <c r="T459" s="65" t="s">
        <v>44</v>
      </c>
      <c r="U459" s="65" t="s">
        <v>44</v>
      </c>
      <c r="V459" s="65" t="s">
        <v>45</v>
      </c>
      <c r="W459" s="65" t="s">
        <v>60</v>
      </c>
      <c r="X459">
        <v>1525.42</v>
      </c>
      <c r="Y459" s="65" t="s">
        <v>289</v>
      </c>
      <c r="Z459" s="65" t="s">
        <v>48</v>
      </c>
      <c r="AA459" s="65" t="s">
        <v>49</v>
      </c>
      <c r="AC459" s="65"/>
    </row>
    <row r="460" spans="1:30" x14ac:dyDescent="0.3">
      <c r="A460" s="1">
        <v>46252</v>
      </c>
      <c r="B460" s="65" t="s">
        <v>4004</v>
      </c>
      <c r="C460" s="65" t="s">
        <v>1846</v>
      </c>
      <c r="D460" s="65" t="s">
        <v>268</v>
      </c>
      <c r="E460" s="65" t="s">
        <v>1847</v>
      </c>
      <c r="F460" s="65" t="s">
        <v>31</v>
      </c>
      <c r="G460" s="65" t="s">
        <v>1848</v>
      </c>
      <c r="H460" s="65" t="s">
        <v>1791</v>
      </c>
      <c r="I460" s="65" t="s">
        <v>1792</v>
      </c>
      <c r="J460" s="65" t="s">
        <v>774</v>
      </c>
      <c r="K460" s="65" t="s">
        <v>775</v>
      </c>
      <c r="L460" s="65" t="s">
        <v>37</v>
      </c>
      <c r="M460" s="65" t="s">
        <v>1793</v>
      </c>
      <c r="N460" s="65" t="s">
        <v>1794</v>
      </c>
      <c r="O460" s="65" t="s">
        <v>798</v>
      </c>
      <c r="P460" s="65" t="s">
        <v>1849</v>
      </c>
      <c r="Q460" s="65" t="s">
        <v>288</v>
      </c>
      <c r="R460">
        <v>1</v>
      </c>
      <c r="S460" s="65" t="s">
        <v>42</v>
      </c>
      <c r="T460" s="65" t="s">
        <v>44</v>
      </c>
      <c r="U460" s="65" t="s">
        <v>44</v>
      </c>
      <c r="V460" s="65" t="s">
        <v>45</v>
      </c>
      <c r="W460" s="65" t="s">
        <v>60</v>
      </c>
      <c r="X460">
        <v>0</v>
      </c>
      <c r="Y460" s="65" t="s">
        <v>289</v>
      </c>
      <c r="Z460" s="65" t="s">
        <v>48</v>
      </c>
      <c r="AA460" s="65" t="s">
        <v>49</v>
      </c>
      <c r="AC460" s="65"/>
    </row>
    <row r="461" spans="1:30" x14ac:dyDescent="0.3">
      <c r="A461" s="1">
        <v>46252</v>
      </c>
      <c r="B461" s="65" t="s">
        <v>4004</v>
      </c>
      <c r="C461" s="65" t="s">
        <v>1846</v>
      </c>
      <c r="D461" s="65" t="s">
        <v>268</v>
      </c>
      <c r="E461" s="65" t="s">
        <v>1847</v>
      </c>
      <c r="F461" s="65" t="s">
        <v>31</v>
      </c>
      <c r="G461" s="65" t="s">
        <v>1848</v>
      </c>
      <c r="H461" s="65" t="s">
        <v>1791</v>
      </c>
      <c r="I461" s="65" t="s">
        <v>1792</v>
      </c>
      <c r="J461" s="65" t="s">
        <v>774</v>
      </c>
      <c r="K461" s="65" t="s">
        <v>775</v>
      </c>
      <c r="L461" s="65" t="s">
        <v>37</v>
      </c>
      <c r="M461" s="65" t="s">
        <v>1793</v>
      </c>
      <c r="N461" s="65" t="s">
        <v>1794</v>
      </c>
      <c r="O461" s="65" t="s">
        <v>798</v>
      </c>
      <c r="P461" s="65" t="s">
        <v>1849</v>
      </c>
      <c r="Q461" s="65" t="s">
        <v>290</v>
      </c>
      <c r="R461">
        <v>1</v>
      </c>
      <c r="S461" s="65" t="s">
        <v>42</v>
      </c>
      <c r="T461" s="65" t="s">
        <v>44</v>
      </c>
      <c r="U461" s="65" t="s">
        <v>44</v>
      </c>
      <c r="V461" s="65" t="s">
        <v>45</v>
      </c>
      <c r="W461" s="65" t="s">
        <v>60</v>
      </c>
      <c r="X461">
        <v>762.71</v>
      </c>
      <c r="Y461" s="65" t="s">
        <v>289</v>
      </c>
      <c r="Z461" s="65" t="s">
        <v>48</v>
      </c>
      <c r="AA461" s="65" t="s">
        <v>49</v>
      </c>
      <c r="AC461" s="65"/>
    </row>
    <row r="462" spans="1:30" x14ac:dyDescent="0.3">
      <c r="A462" s="1">
        <v>46252</v>
      </c>
      <c r="B462" s="65" t="s">
        <v>4004</v>
      </c>
      <c r="C462" s="65" t="s">
        <v>1850</v>
      </c>
      <c r="D462" s="65" t="s">
        <v>268</v>
      </c>
      <c r="E462" s="65" t="s">
        <v>1851</v>
      </c>
      <c r="F462" s="65" t="s">
        <v>31</v>
      </c>
      <c r="G462" s="65" t="s">
        <v>1852</v>
      </c>
      <c r="H462" s="65" t="s">
        <v>1819</v>
      </c>
      <c r="I462" s="65" t="s">
        <v>1820</v>
      </c>
      <c r="J462" s="65"/>
      <c r="K462" s="65"/>
      <c r="L462" s="65" t="s">
        <v>37</v>
      </c>
      <c r="M462" s="65" t="s">
        <v>1821</v>
      </c>
      <c r="N462" s="65" t="s">
        <v>1822</v>
      </c>
      <c r="O462" s="65" t="s">
        <v>798</v>
      </c>
      <c r="P462" s="65" t="s">
        <v>1853</v>
      </c>
      <c r="Q462" s="65" t="s">
        <v>288</v>
      </c>
      <c r="R462">
        <v>1</v>
      </c>
      <c r="S462" s="65" t="s">
        <v>42</v>
      </c>
      <c r="T462" s="65" t="s">
        <v>44</v>
      </c>
      <c r="U462" s="65" t="s">
        <v>44</v>
      </c>
      <c r="V462" s="65" t="s">
        <v>45</v>
      </c>
      <c r="W462" s="65" t="s">
        <v>60</v>
      </c>
      <c r="X462">
        <v>0</v>
      </c>
      <c r="Y462" s="65" t="s">
        <v>289</v>
      </c>
      <c r="Z462" s="65" t="s">
        <v>48</v>
      </c>
      <c r="AA462" s="65" t="s">
        <v>49</v>
      </c>
      <c r="AC462" s="65"/>
    </row>
    <row r="463" spans="1:30" x14ac:dyDescent="0.3">
      <c r="A463" s="1">
        <v>46252</v>
      </c>
      <c r="B463" s="65" t="s">
        <v>4004</v>
      </c>
      <c r="C463" s="65" t="s">
        <v>1850</v>
      </c>
      <c r="D463" s="65" t="s">
        <v>268</v>
      </c>
      <c r="E463" s="65" t="s">
        <v>1851</v>
      </c>
      <c r="F463" s="65" t="s">
        <v>31</v>
      </c>
      <c r="G463" s="65" t="s">
        <v>1852</v>
      </c>
      <c r="H463" s="65" t="s">
        <v>1819</v>
      </c>
      <c r="I463" s="65" t="s">
        <v>1820</v>
      </c>
      <c r="J463" s="65"/>
      <c r="K463" s="65"/>
      <c r="L463" s="65" t="s">
        <v>37</v>
      </c>
      <c r="M463" s="65" t="s">
        <v>1821</v>
      </c>
      <c r="N463" s="65" t="s">
        <v>1822</v>
      </c>
      <c r="O463" s="65" t="s">
        <v>798</v>
      </c>
      <c r="P463" s="65" t="s">
        <v>1853</v>
      </c>
      <c r="Q463" s="65" t="s">
        <v>290</v>
      </c>
      <c r="R463">
        <v>1</v>
      </c>
      <c r="S463" s="65" t="s">
        <v>42</v>
      </c>
      <c r="T463" s="65" t="s">
        <v>44</v>
      </c>
      <c r="U463" s="65" t="s">
        <v>44</v>
      </c>
      <c r="V463" s="65" t="s">
        <v>45</v>
      </c>
      <c r="W463" s="65" t="s">
        <v>60</v>
      </c>
      <c r="X463">
        <v>1525.42</v>
      </c>
      <c r="Y463" s="65" t="s">
        <v>289</v>
      </c>
      <c r="Z463" s="65" t="s">
        <v>48</v>
      </c>
      <c r="AA463" s="65" t="s">
        <v>49</v>
      </c>
      <c r="AC463" s="65"/>
    </row>
    <row r="464" spans="1:30" x14ac:dyDescent="0.3">
      <c r="A464" s="1">
        <v>46252</v>
      </c>
      <c r="B464" s="65" t="s">
        <v>4004</v>
      </c>
      <c r="C464" s="65" t="s">
        <v>1854</v>
      </c>
      <c r="D464" s="65" t="s">
        <v>268</v>
      </c>
      <c r="E464" s="65" t="s">
        <v>1855</v>
      </c>
      <c r="F464" s="65" t="s">
        <v>31</v>
      </c>
      <c r="G464" s="65" t="s">
        <v>1856</v>
      </c>
      <c r="H464" s="65" t="s">
        <v>1811</v>
      </c>
      <c r="I464" s="65" t="s">
        <v>1812</v>
      </c>
      <c r="J464" s="65" t="s">
        <v>774</v>
      </c>
      <c r="K464" s="65" t="s">
        <v>775</v>
      </c>
      <c r="L464" s="65" t="s">
        <v>37</v>
      </c>
      <c r="M464" s="65" t="s">
        <v>1813</v>
      </c>
      <c r="N464" s="65" t="s">
        <v>1814</v>
      </c>
      <c r="O464" s="65" t="s">
        <v>798</v>
      </c>
      <c r="P464" s="65" t="s">
        <v>1857</v>
      </c>
      <c r="Q464" s="65" t="s">
        <v>288</v>
      </c>
      <c r="R464">
        <v>1</v>
      </c>
      <c r="S464" s="65" t="s">
        <v>42</v>
      </c>
      <c r="T464" s="65" t="s">
        <v>44</v>
      </c>
      <c r="U464" s="65" t="s">
        <v>44</v>
      </c>
      <c r="V464" s="65" t="s">
        <v>45</v>
      </c>
      <c r="W464" s="65" t="s">
        <v>60</v>
      </c>
      <c r="X464">
        <v>0</v>
      </c>
      <c r="Y464" s="65" t="s">
        <v>289</v>
      </c>
      <c r="Z464" s="65" t="s">
        <v>48</v>
      </c>
      <c r="AA464" s="65" t="s">
        <v>49</v>
      </c>
      <c r="AC464" s="65"/>
    </row>
    <row r="465" spans="1:30" x14ac:dyDescent="0.3">
      <c r="A465" s="1">
        <v>46252</v>
      </c>
      <c r="B465" s="65" t="s">
        <v>4004</v>
      </c>
      <c r="C465" s="65" t="s">
        <v>1854</v>
      </c>
      <c r="D465" s="65" t="s">
        <v>268</v>
      </c>
      <c r="E465" s="65" t="s">
        <v>1855</v>
      </c>
      <c r="F465" s="65" t="s">
        <v>31</v>
      </c>
      <c r="G465" s="65" t="s">
        <v>1856</v>
      </c>
      <c r="H465" s="65" t="s">
        <v>1811</v>
      </c>
      <c r="I465" s="65" t="s">
        <v>1812</v>
      </c>
      <c r="J465" s="65" t="s">
        <v>774</v>
      </c>
      <c r="K465" s="65" t="s">
        <v>775</v>
      </c>
      <c r="L465" s="65" t="s">
        <v>37</v>
      </c>
      <c r="M465" s="65" t="s">
        <v>1813</v>
      </c>
      <c r="N465" s="65" t="s">
        <v>1814</v>
      </c>
      <c r="O465" s="65" t="s">
        <v>798</v>
      </c>
      <c r="P465" s="65" t="s">
        <v>1857</v>
      </c>
      <c r="Q465" s="65" t="s">
        <v>290</v>
      </c>
      <c r="R465">
        <v>1</v>
      </c>
      <c r="S465" s="65" t="s">
        <v>42</v>
      </c>
      <c r="T465" s="65" t="s">
        <v>44</v>
      </c>
      <c r="U465" s="65" t="s">
        <v>44</v>
      </c>
      <c r="V465" s="65" t="s">
        <v>45</v>
      </c>
      <c r="W465" s="65" t="s">
        <v>60</v>
      </c>
      <c r="X465">
        <v>762.71</v>
      </c>
      <c r="Y465" s="65" t="s">
        <v>289</v>
      </c>
      <c r="Z465" s="65" t="s">
        <v>48</v>
      </c>
      <c r="AA465" s="65" t="s">
        <v>49</v>
      </c>
      <c r="AC465" s="65"/>
    </row>
    <row r="466" spans="1:30" x14ac:dyDescent="0.3">
      <c r="A466" s="1">
        <v>46252</v>
      </c>
      <c r="B466" s="65" t="s">
        <v>4004</v>
      </c>
      <c r="C466" s="65" t="s">
        <v>1858</v>
      </c>
      <c r="D466" s="65" t="s">
        <v>29</v>
      </c>
      <c r="E466" s="65" t="s">
        <v>1859</v>
      </c>
      <c r="F466" s="65" t="s">
        <v>31</v>
      </c>
      <c r="G466" s="65" t="s">
        <v>1860</v>
      </c>
      <c r="H466" s="65" t="s">
        <v>1861</v>
      </c>
      <c r="I466" s="65" t="s">
        <v>1862</v>
      </c>
      <c r="J466" s="65" t="s">
        <v>4680</v>
      </c>
      <c r="K466" s="65" t="s">
        <v>1864</v>
      </c>
      <c r="L466" s="65" t="s">
        <v>37</v>
      </c>
      <c r="M466" s="65" t="s">
        <v>1865</v>
      </c>
      <c r="N466" s="65" t="s">
        <v>1866</v>
      </c>
      <c r="O466" s="65" t="s">
        <v>1861</v>
      </c>
      <c r="P466" s="65" t="s">
        <v>1867</v>
      </c>
      <c r="Q466" s="65" t="s">
        <v>202</v>
      </c>
      <c r="R466">
        <v>1</v>
      </c>
      <c r="S466" s="65" t="s">
        <v>42</v>
      </c>
      <c r="T466" s="65" t="s">
        <v>44</v>
      </c>
      <c r="U466" s="65" t="s">
        <v>44</v>
      </c>
      <c r="V466" s="65" t="s">
        <v>45</v>
      </c>
      <c r="W466" s="65" t="s">
        <v>60</v>
      </c>
      <c r="X466">
        <v>135.59</v>
      </c>
      <c r="Y466" s="65" t="s">
        <v>47</v>
      </c>
      <c r="Z466" s="65" t="s">
        <v>48</v>
      </c>
      <c r="AA466" s="65" t="s">
        <v>49</v>
      </c>
      <c r="AB466">
        <v>901918745</v>
      </c>
      <c r="AC466" s="65"/>
      <c r="AD466">
        <v>30</v>
      </c>
    </row>
    <row r="467" spans="1:30" x14ac:dyDescent="0.3">
      <c r="A467" s="1">
        <v>46253</v>
      </c>
      <c r="B467" s="65" t="s">
        <v>4004</v>
      </c>
      <c r="C467" s="65" t="s">
        <v>1868</v>
      </c>
      <c r="D467" s="65" t="s">
        <v>268</v>
      </c>
      <c r="E467" s="65" t="s">
        <v>1869</v>
      </c>
      <c r="F467" s="65" t="s">
        <v>31</v>
      </c>
      <c r="G467" s="65" t="s">
        <v>1870</v>
      </c>
      <c r="H467" s="65" t="s">
        <v>1871</v>
      </c>
      <c r="I467" s="65" t="s">
        <v>1872</v>
      </c>
      <c r="J467" s="65" t="s">
        <v>1873</v>
      </c>
      <c r="K467" s="65"/>
      <c r="L467" s="65" t="s">
        <v>37</v>
      </c>
      <c r="M467" s="65" t="s">
        <v>1874</v>
      </c>
      <c r="N467" s="65" t="s">
        <v>1875</v>
      </c>
      <c r="O467" s="65" t="s">
        <v>1876</v>
      </c>
      <c r="P467" s="65" t="s">
        <v>1877</v>
      </c>
      <c r="Q467" s="65" t="s">
        <v>202</v>
      </c>
      <c r="R467">
        <v>1</v>
      </c>
      <c r="S467" s="65" t="s">
        <v>42</v>
      </c>
      <c r="T467" s="65" t="s">
        <v>44</v>
      </c>
      <c r="U467" s="65" t="s">
        <v>44</v>
      </c>
      <c r="V467" s="65" t="s">
        <v>45</v>
      </c>
      <c r="W467" s="65" t="s">
        <v>46</v>
      </c>
      <c r="X467">
        <v>135.59</v>
      </c>
      <c r="Y467" s="65" t="s">
        <v>47</v>
      </c>
      <c r="Z467" s="65" t="s">
        <v>48</v>
      </c>
      <c r="AA467" s="65" t="s">
        <v>49</v>
      </c>
      <c r="AC467" s="65"/>
      <c r="AD467">
        <v>30</v>
      </c>
    </row>
    <row r="468" spans="1:30" x14ac:dyDescent="0.3">
      <c r="A468" s="1">
        <v>46253</v>
      </c>
      <c r="B468" s="65" t="s">
        <v>4004</v>
      </c>
      <c r="C468" s="65" t="s">
        <v>1878</v>
      </c>
      <c r="D468" s="65" t="s">
        <v>29</v>
      </c>
      <c r="E468" s="65" t="s">
        <v>1879</v>
      </c>
      <c r="F468" s="65" t="s">
        <v>31</v>
      </c>
      <c r="G468" s="65" t="s">
        <v>1880</v>
      </c>
      <c r="H468" s="65" t="s">
        <v>1881</v>
      </c>
      <c r="I468" s="65" t="s">
        <v>1882</v>
      </c>
      <c r="J468" s="65" t="s">
        <v>662</v>
      </c>
      <c r="K468" s="65" t="s">
        <v>36</v>
      </c>
      <c r="L468" s="65" t="s">
        <v>37</v>
      </c>
      <c r="M468" s="65" t="s">
        <v>1883</v>
      </c>
      <c r="N468" s="65" t="s">
        <v>1884</v>
      </c>
      <c r="O468" s="65" t="s">
        <v>1881</v>
      </c>
      <c r="P468" s="65" t="s">
        <v>1885</v>
      </c>
      <c r="Q468" s="65" t="s">
        <v>101</v>
      </c>
      <c r="R468">
        <v>1</v>
      </c>
      <c r="S468" s="65" t="s">
        <v>42</v>
      </c>
      <c r="T468" s="65" t="s">
        <v>44</v>
      </c>
      <c r="U468" s="65" t="s">
        <v>44</v>
      </c>
      <c r="V468" s="65" t="s">
        <v>45</v>
      </c>
      <c r="W468" s="65" t="s">
        <v>46</v>
      </c>
      <c r="X468">
        <v>186.44</v>
      </c>
      <c r="Y468" s="65" t="s">
        <v>47</v>
      </c>
      <c r="Z468" s="65" t="s">
        <v>48</v>
      </c>
      <c r="AA468" s="65" t="s">
        <v>49</v>
      </c>
      <c r="AB468">
        <v>997145685</v>
      </c>
      <c r="AC468" s="65" t="s">
        <v>666</v>
      </c>
      <c r="AD468">
        <v>50</v>
      </c>
    </row>
    <row r="469" spans="1:30" x14ac:dyDescent="0.3">
      <c r="A469" s="1">
        <v>46253</v>
      </c>
      <c r="B469" s="65" t="s">
        <v>4004</v>
      </c>
      <c r="C469" s="65" t="s">
        <v>1886</v>
      </c>
      <c r="D469" s="65" t="s">
        <v>268</v>
      </c>
      <c r="E469" s="65" t="s">
        <v>1887</v>
      </c>
      <c r="F469" s="65" t="s">
        <v>31</v>
      </c>
      <c r="G469" s="65" t="s">
        <v>1888</v>
      </c>
      <c r="H469" s="65" t="s">
        <v>1889</v>
      </c>
      <c r="I469" s="65" t="s">
        <v>1890</v>
      </c>
      <c r="J469" s="65" t="s">
        <v>3385</v>
      </c>
      <c r="K469" s="65" t="s">
        <v>1891</v>
      </c>
      <c r="L469" s="65" t="s">
        <v>37</v>
      </c>
      <c r="M469" s="65" t="s">
        <v>1892</v>
      </c>
      <c r="N469" s="65" t="s">
        <v>1893</v>
      </c>
      <c r="O469" s="65" t="s">
        <v>1894</v>
      </c>
      <c r="P469" s="65" t="s">
        <v>1895</v>
      </c>
      <c r="Q469" s="65" t="s">
        <v>90</v>
      </c>
      <c r="R469">
        <v>1</v>
      </c>
      <c r="S469" s="65" t="s">
        <v>42</v>
      </c>
      <c r="T469" s="65" t="s">
        <v>44</v>
      </c>
      <c r="U469" s="65" t="s">
        <v>44</v>
      </c>
      <c r="V469" s="65" t="s">
        <v>45</v>
      </c>
      <c r="W469" s="65" t="s">
        <v>46</v>
      </c>
      <c r="X469">
        <v>135.59</v>
      </c>
      <c r="Y469" s="65" t="s">
        <v>47</v>
      </c>
      <c r="Z469" s="65" t="s">
        <v>48</v>
      </c>
      <c r="AA469" s="65" t="s">
        <v>49</v>
      </c>
      <c r="AB469">
        <v>999421990</v>
      </c>
      <c r="AC469" s="65"/>
      <c r="AD469">
        <v>30</v>
      </c>
    </row>
    <row r="470" spans="1:30" x14ac:dyDescent="0.3">
      <c r="A470" s="1">
        <v>46253</v>
      </c>
      <c r="B470" s="65" t="s">
        <v>4004</v>
      </c>
      <c r="C470" s="65" t="s">
        <v>1896</v>
      </c>
      <c r="D470" s="65" t="s">
        <v>29</v>
      </c>
      <c r="E470" s="65" t="s">
        <v>1897</v>
      </c>
      <c r="F470" s="65" t="s">
        <v>31</v>
      </c>
      <c r="G470" s="65" t="s">
        <v>1898</v>
      </c>
      <c r="H470" s="65" t="s">
        <v>1899</v>
      </c>
      <c r="I470" s="65" t="s">
        <v>1900</v>
      </c>
      <c r="J470" s="65" t="s">
        <v>411</v>
      </c>
      <c r="K470" s="65" t="s">
        <v>412</v>
      </c>
      <c r="L470" s="65" t="s">
        <v>37</v>
      </c>
      <c r="M470" s="65" t="s">
        <v>1901</v>
      </c>
      <c r="N470" s="65" t="s">
        <v>1902</v>
      </c>
      <c r="O470" s="65" t="s">
        <v>1899</v>
      </c>
      <c r="P470" s="65" t="s">
        <v>1903</v>
      </c>
      <c r="Q470" s="65" t="s">
        <v>159</v>
      </c>
      <c r="R470">
        <v>1</v>
      </c>
      <c r="S470" s="65" t="s">
        <v>42</v>
      </c>
      <c r="T470" s="65" t="s">
        <v>44</v>
      </c>
      <c r="U470" s="65" t="s">
        <v>44</v>
      </c>
      <c r="V470" s="65" t="s">
        <v>45</v>
      </c>
      <c r="W470" s="65" t="s">
        <v>60</v>
      </c>
      <c r="X470">
        <v>135.59</v>
      </c>
      <c r="Y470" s="65" t="s">
        <v>47</v>
      </c>
      <c r="Z470" s="65" t="s">
        <v>48</v>
      </c>
      <c r="AA470" s="65" t="s">
        <v>49</v>
      </c>
      <c r="AB470">
        <v>982673362</v>
      </c>
      <c r="AC470" s="65" t="s">
        <v>416</v>
      </c>
      <c r="AD470">
        <v>30</v>
      </c>
    </row>
    <row r="471" spans="1:30" x14ac:dyDescent="0.3">
      <c r="A471" s="1">
        <v>46253</v>
      </c>
      <c r="B471" s="65" t="s">
        <v>4004</v>
      </c>
      <c r="C471" s="65" t="s">
        <v>1904</v>
      </c>
      <c r="D471" s="65" t="s">
        <v>29</v>
      </c>
      <c r="E471" s="65" t="s">
        <v>1905</v>
      </c>
      <c r="F471" s="65" t="s">
        <v>31</v>
      </c>
      <c r="G471" s="65" t="s">
        <v>1906</v>
      </c>
      <c r="H471" s="65" t="s">
        <v>1907</v>
      </c>
      <c r="I471" s="65" t="s">
        <v>1908</v>
      </c>
      <c r="J471" s="65" t="s">
        <v>434</v>
      </c>
      <c r="K471" s="65" t="s">
        <v>435</v>
      </c>
      <c r="L471" s="65" t="s">
        <v>37</v>
      </c>
      <c r="M471" s="65" t="s">
        <v>1909</v>
      </c>
      <c r="N471" s="65" t="s">
        <v>1910</v>
      </c>
      <c r="O471" s="65" t="s">
        <v>1907</v>
      </c>
      <c r="P471" s="65" t="s">
        <v>1911</v>
      </c>
      <c r="Q471" s="65" t="s">
        <v>101</v>
      </c>
      <c r="R471">
        <v>1</v>
      </c>
      <c r="S471" s="65" t="s">
        <v>70</v>
      </c>
      <c r="T471" s="65" t="s">
        <v>43</v>
      </c>
      <c r="U471" s="65" t="s">
        <v>44</v>
      </c>
      <c r="V471" s="65" t="s">
        <v>71</v>
      </c>
      <c r="W471" s="65" t="s">
        <v>184</v>
      </c>
      <c r="X471">
        <v>186.44</v>
      </c>
      <c r="Y471" s="65" t="s">
        <v>47</v>
      </c>
      <c r="Z471" s="65" t="s">
        <v>48</v>
      </c>
      <c r="AA471" s="65" t="s">
        <v>73</v>
      </c>
      <c r="AB471">
        <v>992903716</v>
      </c>
      <c r="AC471" s="65" t="s">
        <v>439</v>
      </c>
      <c r="AD471">
        <v>50</v>
      </c>
    </row>
    <row r="472" spans="1:30" x14ac:dyDescent="0.3">
      <c r="A472" s="1">
        <v>46253</v>
      </c>
      <c r="B472" s="65" t="s">
        <v>4004</v>
      </c>
      <c r="C472" s="65" t="s">
        <v>1904</v>
      </c>
      <c r="D472" s="65" t="s">
        <v>29</v>
      </c>
      <c r="E472" s="65" t="s">
        <v>1905</v>
      </c>
      <c r="F472" s="65" t="s">
        <v>31</v>
      </c>
      <c r="G472" s="65" t="s">
        <v>1906</v>
      </c>
      <c r="H472" s="65" t="s">
        <v>1907</v>
      </c>
      <c r="I472" s="65" t="s">
        <v>1908</v>
      </c>
      <c r="J472" s="65" t="s">
        <v>434</v>
      </c>
      <c r="K472" s="65" t="s">
        <v>435</v>
      </c>
      <c r="L472" s="65" t="s">
        <v>37</v>
      </c>
      <c r="M472" s="65" t="s">
        <v>1909</v>
      </c>
      <c r="N472" s="65" t="s">
        <v>1910</v>
      </c>
      <c r="O472" s="65" t="s">
        <v>1907</v>
      </c>
      <c r="P472" s="65" t="s">
        <v>1911</v>
      </c>
      <c r="Q472" s="65" t="s">
        <v>159</v>
      </c>
      <c r="R472">
        <v>1</v>
      </c>
      <c r="S472" s="65" t="s">
        <v>70</v>
      </c>
      <c r="T472" s="65" t="s">
        <v>43</v>
      </c>
      <c r="U472" s="65" t="s">
        <v>44</v>
      </c>
      <c r="V472" s="65" t="s">
        <v>71</v>
      </c>
      <c r="W472" s="65" t="s">
        <v>184</v>
      </c>
      <c r="X472">
        <v>135.59</v>
      </c>
      <c r="Y472" s="65" t="s">
        <v>47</v>
      </c>
      <c r="Z472" s="65" t="s">
        <v>48</v>
      </c>
      <c r="AA472" s="65" t="s">
        <v>73</v>
      </c>
      <c r="AB472">
        <v>992903716</v>
      </c>
      <c r="AC472" s="65" t="s">
        <v>439</v>
      </c>
      <c r="AD472">
        <v>30</v>
      </c>
    </row>
    <row r="473" spans="1:30" x14ac:dyDescent="0.3">
      <c r="A473" s="1">
        <v>46253</v>
      </c>
      <c r="B473" s="65" t="s">
        <v>4004</v>
      </c>
      <c r="C473" s="65" t="s">
        <v>1912</v>
      </c>
      <c r="D473" s="65" t="s">
        <v>29</v>
      </c>
      <c r="E473" s="65" t="s">
        <v>1913</v>
      </c>
      <c r="F473" s="65" t="s">
        <v>31</v>
      </c>
      <c r="G473" s="65" t="s">
        <v>1914</v>
      </c>
      <c r="H473" s="65" t="s">
        <v>1915</v>
      </c>
      <c r="I473" s="65" t="s">
        <v>1916</v>
      </c>
      <c r="J473" s="65" t="s">
        <v>704</v>
      </c>
      <c r="K473" s="65" t="s">
        <v>705</v>
      </c>
      <c r="L473" s="65" t="s">
        <v>37</v>
      </c>
      <c r="M473" s="65" t="s">
        <v>1917</v>
      </c>
      <c r="N473" s="65" t="s">
        <v>1918</v>
      </c>
      <c r="O473" s="65" t="s">
        <v>1915</v>
      </c>
      <c r="P473" s="65" t="s">
        <v>1919</v>
      </c>
      <c r="Q473" s="65" t="s">
        <v>41</v>
      </c>
      <c r="R473">
        <v>1</v>
      </c>
      <c r="S473" s="65" t="s">
        <v>42</v>
      </c>
      <c r="T473" s="65" t="s">
        <v>44</v>
      </c>
      <c r="U473" s="65" t="s">
        <v>44</v>
      </c>
      <c r="V473" s="65" t="s">
        <v>45</v>
      </c>
      <c r="W473" s="65" t="s">
        <v>60</v>
      </c>
      <c r="X473">
        <v>186.44</v>
      </c>
      <c r="Y473" s="65" t="s">
        <v>47</v>
      </c>
      <c r="Z473" s="65" t="s">
        <v>48</v>
      </c>
      <c r="AA473" s="65" t="s">
        <v>49</v>
      </c>
      <c r="AB473">
        <v>998418895</v>
      </c>
      <c r="AC473" s="65" t="s">
        <v>709</v>
      </c>
      <c r="AD473">
        <v>50</v>
      </c>
    </row>
    <row r="474" spans="1:30" x14ac:dyDescent="0.3">
      <c r="A474" s="1">
        <v>46253</v>
      </c>
      <c r="B474" s="65" t="s">
        <v>4004</v>
      </c>
      <c r="C474" s="65" t="s">
        <v>1920</v>
      </c>
      <c r="D474" s="65" t="s">
        <v>29</v>
      </c>
      <c r="E474" s="65" t="s">
        <v>1921</v>
      </c>
      <c r="F474" s="65" t="s">
        <v>31</v>
      </c>
      <c r="G474" s="65" t="s">
        <v>1922</v>
      </c>
      <c r="H474" s="65" t="s">
        <v>1923</v>
      </c>
      <c r="I474" s="65" t="s">
        <v>1924</v>
      </c>
      <c r="J474" s="65" t="s">
        <v>715</v>
      </c>
      <c r="K474" s="65" t="s">
        <v>716</v>
      </c>
      <c r="L474" s="65" t="s">
        <v>37</v>
      </c>
      <c r="M474" s="65" t="s">
        <v>1925</v>
      </c>
      <c r="N474" s="65" t="s">
        <v>1926</v>
      </c>
      <c r="O474" s="65" t="s">
        <v>1923</v>
      </c>
      <c r="P474" s="65" t="s">
        <v>1927</v>
      </c>
      <c r="Q474" s="65" t="s">
        <v>159</v>
      </c>
      <c r="R474">
        <v>1</v>
      </c>
      <c r="S474" s="65" t="s">
        <v>42</v>
      </c>
      <c r="T474" s="65" t="s">
        <v>44</v>
      </c>
      <c r="U474" s="65" t="s">
        <v>44</v>
      </c>
      <c r="V474" s="65" t="s">
        <v>531</v>
      </c>
      <c r="W474" s="65" t="s">
        <v>1285</v>
      </c>
      <c r="X474">
        <v>135.59</v>
      </c>
      <c r="Y474" s="65" t="s">
        <v>47</v>
      </c>
      <c r="Z474" s="65" t="s">
        <v>48</v>
      </c>
      <c r="AA474" s="65" t="s">
        <v>534</v>
      </c>
      <c r="AB474">
        <v>955356636</v>
      </c>
      <c r="AC474" s="65" t="s">
        <v>720</v>
      </c>
      <c r="AD474">
        <v>30</v>
      </c>
    </row>
    <row r="475" spans="1:30" x14ac:dyDescent="0.3">
      <c r="A475" s="1">
        <v>46253</v>
      </c>
      <c r="B475" s="65" t="s">
        <v>4004</v>
      </c>
      <c r="C475" s="65" t="s">
        <v>1920</v>
      </c>
      <c r="D475" s="65" t="s">
        <v>29</v>
      </c>
      <c r="E475" s="65" t="s">
        <v>1921</v>
      </c>
      <c r="F475" s="65" t="s">
        <v>31</v>
      </c>
      <c r="G475" s="65" t="s">
        <v>1922</v>
      </c>
      <c r="H475" s="65" t="s">
        <v>1923</v>
      </c>
      <c r="I475" s="65" t="s">
        <v>1924</v>
      </c>
      <c r="J475" s="65" t="s">
        <v>715</v>
      </c>
      <c r="K475" s="65" t="s">
        <v>716</v>
      </c>
      <c r="L475" s="65" t="s">
        <v>37</v>
      </c>
      <c r="M475" s="65" t="s">
        <v>1925</v>
      </c>
      <c r="N475" s="65" t="s">
        <v>1926</v>
      </c>
      <c r="O475" s="65" t="s">
        <v>1923</v>
      </c>
      <c r="P475" s="65" t="s">
        <v>1927</v>
      </c>
      <c r="Q475" s="65" t="s">
        <v>202</v>
      </c>
      <c r="R475">
        <v>1</v>
      </c>
      <c r="S475" s="65" t="s">
        <v>42</v>
      </c>
      <c r="T475" s="65" t="s">
        <v>44</v>
      </c>
      <c r="U475" s="65" t="s">
        <v>44</v>
      </c>
      <c r="V475" s="65" t="s">
        <v>531</v>
      </c>
      <c r="W475" s="65" t="s">
        <v>1285</v>
      </c>
      <c r="X475">
        <v>135.59</v>
      </c>
      <c r="Y475" s="65" t="s">
        <v>47</v>
      </c>
      <c r="Z475" s="65" t="s">
        <v>48</v>
      </c>
      <c r="AA475" s="65" t="s">
        <v>534</v>
      </c>
      <c r="AB475">
        <v>955356636</v>
      </c>
      <c r="AC475" s="65" t="s">
        <v>720</v>
      </c>
      <c r="AD475">
        <v>30</v>
      </c>
    </row>
    <row r="476" spans="1:30" x14ac:dyDescent="0.3">
      <c r="A476" s="1">
        <v>46253</v>
      </c>
      <c r="B476" s="65" t="s">
        <v>4004</v>
      </c>
      <c r="C476" s="65" t="s">
        <v>1928</v>
      </c>
      <c r="D476" s="65" t="s">
        <v>268</v>
      </c>
      <c r="E476" s="65" t="s">
        <v>1929</v>
      </c>
      <c r="F476" s="65" t="s">
        <v>31</v>
      </c>
      <c r="G476" s="65" t="s">
        <v>1930</v>
      </c>
      <c r="H476" s="65" t="s">
        <v>1106</v>
      </c>
      <c r="I476" s="65" t="s">
        <v>1107</v>
      </c>
      <c r="J476" s="65" t="s">
        <v>1108</v>
      </c>
      <c r="K476" s="65" t="s">
        <v>209</v>
      </c>
      <c r="L476" s="65" t="s">
        <v>37</v>
      </c>
      <c r="M476" s="65" t="s">
        <v>1109</v>
      </c>
      <c r="N476" s="65" t="s">
        <v>1110</v>
      </c>
      <c r="O476" s="65" t="s">
        <v>1111</v>
      </c>
      <c r="P476" s="65" t="s">
        <v>1931</v>
      </c>
      <c r="Q476" s="65" t="s">
        <v>213</v>
      </c>
      <c r="R476">
        <v>1</v>
      </c>
      <c r="S476" s="65" t="s">
        <v>42</v>
      </c>
      <c r="T476" s="65" t="s">
        <v>44</v>
      </c>
      <c r="U476" s="65" t="s">
        <v>44</v>
      </c>
      <c r="V476" s="65" t="s">
        <v>45</v>
      </c>
      <c r="W476" s="65" t="s">
        <v>60</v>
      </c>
      <c r="X476">
        <v>254.24</v>
      </c>
      <c r="Y476" s="65" t="s">
        <v>61</v>
      </c>
      <c r="Z476" s="65" t="s">
        <v>48</v>
      </c>
      <c r="AA476" s="65" t="s">
        <v>49</v>
      </c>
      <c r="AB476">
        <v>970582106</v>
      </c>
      <c r="AC476" s="65" t="s">
        <v>1113</v>
      </c>
    </row>
    <row r="477" spans="1:30" x14ac:dyDescent="0.3">
      <c r="A477" s="1">
        <v>46254</v>
      </c>
      <c r="B477" s="65" t="s">
        <v>4004</v>
      </c>
      <c r="C477" s="65" t="s">
        <v>1932</v>
      </c>
      <c r="D477" s="65" t="s">
        <v>29</v>
      </c>
      <c r="E477" s="65" t="s">
        <v>1933</v>
      </c>
      <c r="F477" s="65" t="s">
        <v>31</v>
      </c>
      <c r="G477" s="65" t="s">
        <v>1934</v>
      </c>
      <c r="H477" s="65" t="s">
        <v>1935</v>
      </c>
      <c r="I477" s="65" t="s">
        <v>1936</v>
      </c>
      <c r="J477" s="65" t="s">
        <v>774</v>
      </c>
      <c r="K477" s="65" t="s">
        <v>775</v>
      </c>
      <c r="L477" s="65" t="s">
        <v>37</v>
      </c>
      <c r="M477" s="65" t="s">
        <v>1937</v>
      </c>
      <c r="N477" s="65" t="s">
        <v>1938</v>
      </c>
      <c r="O477" s="65" t="s">
        <v>1935</v>
      </c>
      <c r="P477" s="65" t="s">
        <v>1939</v>
      </c>
      <c r="Q477" s="65" t="s">
        <v>201</v>
      </c>
      <c r="R477">
        <v>1</v>
      </c>
      <c r="S477" s="65" t="s">
        <v>42</v>
      </c>
      <c r="T477" s="65" t="s">
        <v>44</v>
      </c>
      <c r="U477" s="65" t="s">
        <v>44</v>
      </c>
      <c r="V477" s="65" t="s">
        <v>45</v>
      </c>
      <c r="W477" s="65" t="s">
        <v>60</v>
      </c>
      <c r="X477">
        <v>42.37</v>
      </c>
      <c r="Y477" s="65" t="s">
        <v>47</v>
      </c>
      <c r="Z477" s="65" t="s">
        <v>48</v>
      </c>
      <c r="AA477" s="65" t="s">
        <v>49</v>
      </c>
      <c r="AC477" s="65"/>
      <c r="AD477">
        <v>30</v>
      </c>
    </row>
    <row r="478" spans="1:30" x14ac:dyDescent="0.3">
      <c r="A478" s="1">
        <v>46254</v>
      </c>
      <c r="B478" s="65" t="s">
        <v>4004</v>
      </c>
      <c r="C478" s="65" t="s">
        <v>1932</v>
      </c>
      <c r="D478" s="65" t="s">
        <v>29</v>
      </c>
      <c r="E478" s="65" t="s">
        <v>1933</v>
      </c>
      <c r="F478" s="65" t="s">
        <v>31</v>
      </c>
      <c r="G478" s="65" t="s">
        <v>1934</v>
      </c>
      <c r="H478" s="65" t="s">
        <v>1935</v>
      </c>
      <c r="I478" s="65" t="s">
        <v>1936</v>
      </c>
      <c r="J478" s="65" t="s">
        <v>774</v>
      </c>
      <c r="K478" s="65" t="s">
        <v>775</v>
      </c>
      <c r="L478" s="65" t="s">
        <v>37</v>
      </c>
      <c r="M478" s="65" t="s">
        <v>1937</v>
      </c>
      <c r="N478" s="65" t="s">
        <v>1938</v>
      </c>
      <c r="O478" s="65" t="s">
        <v>1935</v>
      </c>
      <c r="P478" s="65" t="s">
        <v>1939</v>
      </c>
      <c r="Q478" s="65" t="s">
        <v>202</v>
      </c>
      <c r="R478">
        <v>1</v>
      </c>
      <c r="S478" s="65" t="s">
        <v>42</v>
      </c>
      <c r="T478" s="65" t="s">
        <v>44</v>
      </c>
      <c r="U478" s="65" t="s">
        <v>44</v>
      </c>
      <c r="V478" s="65" t="s">
        <v>45</v>
      </c>
      <c r="W478" s="65" t="s">
        <v>60</v>
      </c>
      <c r="X478">
        <v>42.37</v>
      </c>
      <c r="Y478" s="65" t="s">
        <v>47</v>
      </c>
      <c r="Z478" s="65" t="s">
        <v>48</v>
      </c>
      <c r="AA478" s="65" t="s">
        <v>49</v>
      </c>
      <c r="AC478" s="65"/>
      <c r="AD478">
        <v>30</v>
      </c>
    </row>
    <row r="479" spans="1:30" x14ac:dyDescent="0.3">
      <c r="A479" s="1">
        <v>46254</v>
      </c>
      <c r="B479" s="65" t="s">
        <v>4004</v>
      </c>
      <c r="C479" s="65" t="s">
        <v>1940</v>
      </c>
      <c r="D479" s="65" t="s">
        <v>29</v>
      </c>
      <c r="E479" s="65" t="s">
        <v>1941</v>
      </c>
      <c r="F479" s="65" t="s">
        <v>31</v>
      </c>
      <c r="G479" s="65" t="s">
        <v>1942</v>
      </c>
      <c r="H479" s="65" t="s">
        <v>1943</v>
      </c>
      <c r="I479" s="65" t="s">
        <v>1944</v>
      </c>
      <c r="J479" s="65" t="s">
        <v>136</v>
      </c>
      <c r="K479" s="65" t="s">
        <v>137</v>
      </c>
      <c r="L479" s="65" t="s">
        <v>37</v>
      </c>
      <c r="M479" s="65" t="s">
        <v>1945</v>
      </c>
      <c r="N479" s="65" t="s">
        <v>1946</v>
      </c>
      <c r="O479" s="65" t="s">
        <v>1943</v>
      </c>
      <c r="P479" s="65" t="s">
        <v>1947</v>
      </c>
      <c r="Q479" s="65" t="s">
        <v>101</v>
      </c>
      <c r="R479">
        <v>1</v>
      </c>
      <c r="S479" s="65" t="s">
        <v>42</v>
      </c>
      <c r="T479" s="65" t="s">
        <v>44</v>
      </c>
      <c r="U479" s="65" t="s">
        <v>44</v>
      </c>
      <c r="V479" s="65" t="s">
        <v>45</v>
      </c>
      <c r="W479" s="65" t="s">
        <v>60</v>
      </c>
      <c r="X479">
        <v>186.44</v>
      </c>
      <c r="Y479" s="65" t="s">
        <v>47</v>
      </c>
      <c r="Z479" s="65" t="s">
        <v>48</v>
      </c>
      <c r="AA479" s="65" t="s">
        <v>49</v>
      </c>
      <c r="AB479">
        <v>987407712</v>
      </c>
      <c r="AC479" s="65" t="s">
        <v>141</v>
      </c>
      <c r="AD479">
        <v>50</v>
      </c>
    </row>
    <row r="480" spans="1:30" x14ac:dyDescent="0.3">
      <c r="A480" s="1">
        <v>46254</v>
      </c>
      <c r="B480" s="65" t="s">
        <v>4004</v>
      </c>
      <c r="C480" s="65" t="s">
        <v>1948</v>
      </c>
      <c r="D480" s="65" t="s">
        <v>29</v>
      </c>
      <c r="E480" s="65" t="s">
        <v>1949</v>
      </c>
      <c r="F480" s="65" t="s">
        <v>31</v>
      </c>
      <c r="G480" s="65" t="s">
        <v>1950</v>
      </c>
      <c r="H480" s="65" t="s">
        <v>1951</v>
      </c>
      <c r="I480" s="65" t="s">
        <v>1952</v>
      </c>
      <c r="J480" s="65" t="s">
        <v>2739</v>
      </c>
      <c r="K480" s="65" t="s">
        <v>209</v>
      </c>
      <c r="L480" s="65" t="s">
        <v>37</v>
      </c>
      <c r="M480" s="65" t="s">
        <v>1953</v>
      </c>
      <c r="N480" s="65" t="s">
        <v>1954</v>
      </c>
      <c r="O480" s="65" t="s">
        <v>1951</v>
      </c>
      <c r="P480" s="65" t="s">
        <v>1955</v>
      </c>
      <c r="Q480" s="65" t="s">
        <v>159</v>
      </c>
      <c r="R480">
        <v>1</v>
      </c>
      <c r="S480" s="65" t="s">
        <v>42</v>
      </c>
      <c r="T480" s="65" t="s">
        <v>44</v>
      </c>
      <c r="U480" s="65" t="s">
        <v>44</v>
      </c>
      <c r="V480" s="65" t="s">
        <v>71</v>
      </c>
      <c r="W480" s="65" t="s">
        <v>184</v>
      </c>
      <c r="X480">
        <v>135.59</v>
      </c>
      <c r="Y480" s="65" t="s">
        <v>47</v>
      </c>
      <c r="Z480" s="65" t="s">
        <v>48</v>
      </c>
      <c r="AA480" s="65" t="s">
        <v>73</v>
      </c>
      <c r="AC480" s="65"/>
      <c r="AD480">
        <v>30</v>
      </c>
    </row>
    <row r="481" spans="1:30" x14ac:dyDescent="0.3">
      <c r="A481" s="1">
        <v>46254</v>
      </c>
      <c r="B481" s="65" t="s">
        <v>4004</v>
      </c>
      <c r="C481" s="65" t="s">
        <v>1956</v>
      </c>
      <c r="D481" s="65" t="s">
        <v>29</v>
      </c>
      <c r="E481" s="65" t="s">
        <v>1957</v>
      </c>
      <c r="F481" s="65" t="s">
        <v>31</v>
      </c>
      <c r="G481" s="65" t="s">
        <v>1958</v>
      </c>
      <c r="H481" s="65" t="s">
        <v>1959</v>
      </c>
      <c r="I481" s="65" t="s">
        <v>1960</v>
      </c>
      <c r="J481" s="65" t="s">
        <v>1961</v>
      </c>
      <c r="K481" s="65"/>
      <c r="L481" s="65" t="s">
        <v>37</v>
      </c>
      <c r="M481" s="65" t="s">
        <v>1962</v>
      </c>
      <c r="N481" s="65" t="s">
        <v>1963</v>
      </c>
      <c r="O481" s="65" t="s">
        <v>1959</v>
      </c>
      <c r="P481" s="65" t="s">
        <v>1964</v>
      </c>
      <c r="Q481" s="65" t="s">
        <v>159</v>
      </c>
      <c r="R481">
        <v>1</v>
      </c>
      <c r="S481" s="65" t="s">
        <v>42</v>
      </c>
      <c r="T481" s="65" t="s">
        <v>44</v>
      </c>
      <c r="U481" s="65" t="s">
        <v>44</v>
      </c>
      <c r="V481" s="65" t="s">
        <v>531</v>
      </c>
      <c r="W481" s="65" t="s">
        <v>1965</v>
      </c>
      <c r="X481">
        <v>135.59</v>
      </c>
      <c r="Y481" s="65" t="s">
        <v>47</v>
      </c>
      <c r="Z481" s="65" t="s">
        <v>48</v>
      </c>
      <c r="AA481" s="65" t="s">
        <v>534</v>
      </c>
      <c r="AC481" s="65"/>
      <c r="AD481">
        <v>30</v>
      </c>
    </row>
    <row r="482" spans="1:30" x14ac:dyDescent="0.3">
      <c r="A482" s="1">
        <v>46254</v>
      </c>
      <c r="B482" s="65" t="s">
        <v>4004</v>
      </c>
      <c r="C482" s="65" t="s">
        <v>1966</v>
      </c>
      <c r="D482" s="65" t="s">
        <v>29</v>
      </c>
      <c r="E482" s="65" t="s">
        <v>1967</v>
      </c>
      <c r="F482" s="65" t="s">
        <v>31</v>
      </c>
      <c r="G482" s="65" t="s">
        <v>1968</v>
      </c>
      <c r="H482" s="65" t="s">
        <v>1969</v>
      </c>
      <c r="I482" s="65" t="s">
        <v>1970</v>
      </c>
      <c r="J482" s="65" t="s">
        <v>1153</v>
      </c>
      <c r="K482" s="65" t="s">
        <v>1154</v>
      </c>
      <c r="L482" s="65" t="s">
        <v>37</v>
      </c>
      <c r="M482" s="65" t="s">
        <v>1971</v>
      </c>
      <c r="N482" s="65" t="s">
        <v>1972</v>
      </c>
      <c r="O482" s="65" t="s">
        <v>1969</v>
      </c>
      <c r="P482" s="65" t="s">
        <v>1973</v>
      </c>
      <c r="Q482" s="65" t="s">
        <v>41</v>
      </c>
      <c r="R482">
        <v>1</v>
      </c>
      <c r="S482" s="65" t="s">
        <v>70</v>
      </c>
      <c r="T482" s="65" t="s">
        <v>43</v>
      </c>
      <c r="U482" s="65" t="s">
        <v>44</v>
      </c>
      <c r="V482" s="65" t="s">
        <v>71</v>
      </c>
      <c r="W482" s="65" t="s">
        <v>72</v>
      </c>
      <c r="X482">
        <v>186.44</v>
      </c>
      <c r="Y482" s="65" t="s">
        <v>47</v>
      </c>
      <c r="Z482" s="65" t="s">
        <v>48</v>
      </c>
      <c r="AA482" s="65" t="s">
        <v>73</v>
      </c>
      <c r="AB482">
        <v>995868651</v>
      </c>
      <c r="AC482" s="65" t="s">
        <v>1158</v>
      </c>
      <c r="AD482">
        <v>50</v>
      </c>
    </row>
    <row r="483" spans="1:30" x14ac:dyDescent="0.3">
      <c r="A483" s="1">
        <v>46254</v>
      </c>
      <c r="B483" s="65" t="s">
        <v>4004</v>
      </c>
      <c r="C483" s="65" t="s">
        <v>1974</v>
      </c>
      <c r="D483" s="65" t="s">
        <v>268</v>
      </c>
      <c r="E483" s="65" t="s">
        <v>1975</v>
      </c>
      <c r="F483" s="65" t="s">
        <v>31</v>
      </c>
      <c r="G483" s="65" t="s">
        <v>1976</v>
      </c>
      <c r="H483" s="65" t="s">
        <v>1977</v>
      </c>
      <c r="I483" s="65" t="s">
        <v>1978</v>
      </c>
      <c r="J483" s="65"/>
      <c r="K483" s="65"/>
      <c r="L483" s="65" t="s">
        <v>37</v>
      </c>
      <c r="M483" s="65" t="s">
        <v>1979</v>
      </c>
      <c r="N483" s="65" t="s">
        <v>1980</v>
      </c>
      <c r="O483" s="65" t="s">
        <v>765</v>
      </c>
      <c r="P483" s="65" t="s">
        <v>1981</v>
      </c>
      <c r="Q483" s="65" t="s">
        <v>481</v>
      </c>
      <c r="R483">
        <v>1</v>
      </c>
      <c r="S483" s="65" t="s">
        <v>42</v>
      </c>
      <c r="T483" s="65" t="s">
        <v>44</v>
      </c>
      <c r="U483" s="65" t="s">
        <v>44</v>
      </c>
      <c r="V483" s="65" t="s">
        <v>45</v>
      </c>
      <c r="W483" s="65" t="s">
        <v>60</v>
      </c>
      <c r="X483">
        <v>101.69</v>
      </c>
      <c r="Y483" s="65" t="s">
        <v>61</v>
      </c>
      <c r="Z483" s="65" t="s">
        <v>48</v>
      </c>
      <c r="AA483" s="65" t="s">
        <v>49</v>
      </c>
      <c r="AC483" s="65"/>
    </row>
    <row r="484" spans="1:30" x14ac:dyDescent="0.3">
      <c r="A484" s="1">
        <v>46254</v>
      </c>
      <c r="B484" s="65" t="s">
        <v>4004</v>
      </c>
      <c r="C484" s="65" t="s">
        <v>1982</v>
      </c>
      <c r="D484" s="65" t="s">
        <v>29</v>
      </c>
      <c r="E484" s="65" t="s">
        <v>1983</v>
      </c>
      <c r="F484" s="65" t="s">
        <v>31</v>
      </c>
      <c r="G484" s="65" t="s">
        <v>1984</v>
      </c>
      <c r="H484" s="65" t="s">
        <v>1985</v>
      </c>
      <c r="I484" s="65" t="s">
        <v>1986</v>
      </c>
      <c r="J484" s="65" t="s">
        <v>1615</v>
      </c>
      <c r="K484" s="65" t="s">
        <v>1616</v>
      </c>
      <c r="L484" s="65" t="s">
        <v>37</v>
      </c>
      <c r="M484" s="65" t="s">
        <v>1987</v>
      </c>
      <c r="N484" s="65" t="s">
        <v>1988</v>
      </c>
      <c r="O484" s="65" t="s">
        <v>1985</v>
      </c>
      <c r="P484" s="65" t="s">
        <v>1989</v>
      </c>
      <c r="Q484" s="65" t="s">
        <v>159</v>
      </c>
      <c r="R484">
        <v>1</v>
      </c>
      <c r="S484" s="65" t="s">
        <v>70</v>
      </c>
      <c r="T484" s="65" t="s">
        <v>43</v>
      </c>
      <c r="U484" s="65" t="s">
        <v>44</v>
      </c>
      <c r="V484" s="65" t="s">
        <v>71</v>
      </c>
      <c r="W484" s="65" t="s">
        <v>72</v>
      </c>
      <c r="X484">
        <v>135.59</v>
      </c>
      <c r="Y484" s="65" t="s">
        <v>47</v>
      </c>
      <c r="Z484" s="65" t="s">
        <v>48</v>
      </c>
      <c r="AA484" s="65" t="s">
        <v>73</v>
      </c>
      <c r="AB484">
        <v>950418896</v>
      </c>
      <c r="AC484" s="65"/>
      <c r="AD484">
        <v>30</v>
      </c>
    </row>
    <row r="485" spans="1:30" x14ac:dyDescent="0.3">
      <c r="A485" s="1">
        <v>46254</v>
      </c>
      <c r="B485" s="65" t="s">
        <v>4004</v>
      </c>
      <c r="C485" s="65" t="s">
        <v>1990</v>
      </c>
      <c r="D485" s="65" t="s">
        <v>29</v>
      </c>
      <c r="E485" s="65" t="s">
        <v>1991</v>
      </c>
      <c r="F485" s="65" t="s">
        <v>31</v>
      </c>
      <c r="G485" s="65" t="s">
        <v>1992</v>
      </c>
      <c r="H485" s="65" t="s">
        <v>1993</v>
      </c>
      <c r="I485" s="65" t="s">
        <v>1994</v>
      </c>
      <c r="J485" s="65" t="s">
        <v>662</v>
      </c>
      <c r="K485" s="65" t="s">
        <v>36</v>
      </c>
      <c r="L485" s="65" t="s">
        <v>37</v>
      </c>
      <c r="M485" s="65" t="s">
        <v>1995</v>
      </c>
      <c r="N485" s="65" t="s">
        <v>1996</v>
      </c>
      <c r="O485" s="65" t="s">
        <v>1993</v>
      </c>
      <c r="P485" s="65" t="s">
        <v>1997</v>
      </c>
      <c r="Q485" s="65" t="s">
        <v>201</v>
      </c>
      <c r="R485">
        <v>1</v>
      </c>
      <c r="S485" s="65" t="s">
        <v>42</v>
      </c>
      <c r="T485" s="65" t="s">
        <v>44</v>
      </c>
      <c r="U485" s="65" t="s">
        <v>44</v>
      </c>
      <c r="V485" s="65" t="s">
        <v>45</v>
      </c>
      <c r="W485" s="65" t="s">
        <v>60</v>
      </c>
      <c r="X485">
        <v>152.54</v>
      </c>
      <c r="Y485" s="65" t="s">
        <v>47</v>
      </c>
      <c r="Z485" s="65" t="s">
        <v>48</v>
      </c>
      <c r="AA485" s="65" t="s">
        <v>49</v>
      </c>
      <c r="AB485">
        <v>997145685</v>
      </c>
      <c r="AC485" s="65" t="s">
        <v>666</v>
      </c>
      <c r="AD485">
        <v>30</v>
      </c>
    </row>
    <row r="486" spans="1:30" x14ac:dyDescent="0.3">
      <c r="A486" s="1">
        <v>46254</v>
      </c>
      <c r="B486" s="65" t="s">
        <v>4004</v>
      </c>
      <c r="C486" s="65" t="s">
        <v>1990</v>
      </c>
      <c r="D486" s="65" t="s">
        <v>29</v>
      </c>
      <c r="E486" s="65" t="s">
        <v>1991</v>
      </c>
      <c r="F486" s="65" t="s">
        <v>31</v>
      </c>
      <c r="G486" s="65" t="s">
        <v>1992</v>
      </c>
      <c r="H486" s="65" t="s">
        <v>1993</v>
      </c>
      <c r="I486" s="65" t="s">
        <v>1994</v>
      </c>
      <c r="J486" s="65" t="s">
        <v>662</v>
      </c>
      <c r="K486" s="65" t="s">
        <v>36</v>
      </c>
      <c r="L486" s="65" t="s">
        <v>37</v>
      </c>
      <c r="M486" s="65" t="s">
        <v>1995</v>
      </c>
      <c r="N486" s="65" t="s">
        <v>1996</v>
      </c>
      <c r="O486" s="65" t="s">
        <v>1993</v>
      </c>
      <c r="P486" s="65" t="s">
        <v>1997</v>
      </c>
      <c r="Q486" s="65" t="s">
        <v>202</v>
      </c>
      <c r="R486">
        <v>1</v>
      </c>
      <c r="S486" s="65" t="s">
        <v>42</v>
      </c>
      <c r="T486" s="65" t="s">
        <v>44</v>
      </c>
      <c r="U486" s="65" t="s">
        <v>44</v>
      </c>
      <c r="V486" s="65" t="s">
        <v>45</v>
      </c>
      <c r="W486" s="65" t="s">
        <v>60</v>
      </c>
      <c r="X486">
        <v>135.59</v>
      </c>
      <c r="Y486" s="65" t="s">
        <v>47</v>
      </c>
      <c r="Z486" s="65" t="s">
        <v>48</v>
      </c>
      <c r="AA486" s="65" t="s">
        <v>49</v>
      </c>
      <c r="AB486">
        <v>997145685</v>
      </c>
      <c r="AC486" s="65" t="s">
        <v>666</v>
      </c>
      <c r="AD486">
        <v>30</v>
      </c>
    </row>
    <row r="487" spans="1:30" x14ac:dyDescent="0.3">
      <c r="A487" s="1">
        <v>46255</v>
      </c>
      <c r="B487" s="65" t="s">
        <v>4004</v>
      </c>
      <c r="C487" s="65" t="s">
        <v>1998</v>
      </c>
      <c r="D487" s="65" t="s">
        <v>29</v>
      </c>
      <c r="E487" s="65" t="s">
        <v>1999</v>
      </c>
      <c r="F487" s="65" t="s">
        <v>31</v>
      </c>
      <c r="G487" s="65" t="s">
        <v>2000</v>
      </c>
      <c r="H487" s="65" t="s">
        <v>2001</v>
      </c>
      <c r="I487" s="65" t="s">
        <v>2002</v>
      </c>
      <c r="J487" s="65" t="s">
        <v>1232</v>
      </c>
      <c r="K487" s="65" t="s">
        <v>209</v>
      </c>
      <c r="L487" s="65" t="s">
        <v>37</v>
      </c>
      <c r="M487" s="65" t="s">
        <v>2003</v>
      </c>
      <c r="N487" s="65" t="s">
        <v>2004</v>
      </c>
      <c r="O487" s="65" t="s">
        <v>2001</v>
      </c>
      <c r="P487" s="65" t="s">
        <v>2005</v>
      </c>
      <c r="Q487" s="65" t="s">
        <v>101</v>
      </c>
      <c r="R487">
        <v>1</v>
      </c>
      <c r="S487" s="65" t="s">
        <v>42</v>
      </c>
      <c r="T487" s="65" t="s">
        <v>44</v>
      </c>
      <c r="U487" s="65" t="s">
        <v>44</v>
      </c>
      <c r="V487" s="65" t="s">
        <v>45</v>
      </c>
      <c r="W487" s="65" t="s">
        <v>46</v>
      </c>
      <c r="X487">
        <v>186.44</v>
      </c>
      <c r="Y487" s="65" t="s">
        <v>47</v>
      </c>
      <c r="Z487" s="65" t="s">
        <v>48</v>
      </c>
      <c r="AA487" s="65" t="s">
        <v>49</v>
      </c>
      <c r="AC487" s="65" t="s">
        <v>1236</v>
      </c>
      <c r="AD487">
        <v>50</v>
      </c>
    </row>
    <row r="488" spans="1:30" x14ac:dyDescent="0.3">
      <c r="A488" s="1">
        <v>46255</v>
      </c>
      <c r="B488" s="65" t="s">
        <v>4004</v>
      </c>
      <c r="C488" s="65" t="s">
        <v>1998</v>
      </c>
      <c r="D488" s="65" t="s">
        <v>29</v>
      </c>
      <c r="E488" s="65" t="s">
        <v>1999</v>
      </c>
      <c r="F488" s="65" t="s">
        <v>31</v>
      </c>
      <c r="G488" s="65" t="s">
        <v>2000</v>
      </c>
      <c r="H488" s="65" t="s">
        <v>2001</v>
      </c>
      <c r="I488" s="65" t="s">
        <v>2002</v>
      </c>
      <c r="J488" s="65" t="s">
        <v>1232</v>
      </c>
      <c r="K488" s="65" t="s">
        <v>209</v>
      </c>
      <c r="L488" s="65" t="s">
        <v>37</v>
      </c>
      <c r="M488" s="65" t="s">
        <v>2003</v>
      </c>
      <c r="N488" s="65" t="s">
        <v>2004</v>
      </c>
      <c r="O488" s="65" t="s">
        <v>2001</v>
      </c>
      <c r="P488" s="65" t="s">
        <v>2005</v>
      </c>
      <c r="Q488" s="65" t="s">
        <v>158</v>
      </c>
      <c r="R488">
        <v>1</v>
      </c>
      <c r="S488" s="65" t="s">
        <v>42</v>
      </c>
      <c r="T488" s="65" t="s">
        <v>44</v>
      </c>
      <c r="U488" s="65" t="s">
        <v>44</v>
      </c>
      <c r="V488" s="65" t="s">
        <v>45</v>
      </c>
      <c r="W488" s="65" t="s">
        <v>46</v>
      </c>
      <c r="X488">
        <v>152.54</v>
      </c>
      <c r="Y488" s="65" t="s">
        <v>47</v>
      </c>
      <c r="Z488" s="65" t="s">
        <v>48</v>
      </c>
      <c r="AA488" s="65" t="s">
        <v>49</v>
      </c>
      <c r="AC488" s="65" t="s">
        <v>1236</v>
      </c>
      <c r="AD488">
        <v>30</v>
      </c>
    </row>
    <row r="489" spans="1:30" x14ac:dyDescent="0.3">
      <c r="A489" s="1">
        <v>46256</v>
      </c>
      <c r="B489" s="65" t="s">
        <v>4004</v>
      </c>
      <c r="C489" s="65" t="s">
        <v>2006</v>
      </c>
      <c r="D489" s="65" t="s">
        <v>29</v>
      </c>
      <c r="E489" s="65" t="s">
        <v>2007</v>
      </c>
      <c r="F489" s="65" t="s">
        <v>31</v>
      </c>
      <c r="G489" s="65" t="s">
        <v>2008</v>
      </c>
      <c r="H489" s="65" t="s">
        <v>2009</v>
      </c>
      <c r="I489" s="65" t="s">
        <v>2010</v>
      </c>
      <c r="J489" s="65" t="s">
        <v>411</v>
      </c>
      <c r="K489" s="65" t="s">
        <v>412</v>
      </c>
      <c r="L489" s="65" t="s">
        <v>37</v>
      </c>
      <c r="M489" s="65" t="s">
        <v>2011</v>
      </c>
      <c r="N489" s="65" t="s">
        <v>2012</v>
      </c>
      <c r="O489" s="65" t="s">
        <v>2009</v>
      </c>
      <c r="P489" s="65" t="s">
        <v>2013</v>
      </c>
      <c r="Q489" s="65" t="s">
        <v>41</v>
      </c>
      <c r="R489">
        <v>1</v>
      </c>
      <c r="S489" s="65" t="s">
        <v>42</v>
      </c>
      <c r="T489" s="65" t="s">
        <v>44</v>
      </c>
      <c r="U489" s="65" t="s">
        <v>44</v>
      </c>
      <c r="V489" s="65" t="s">
        <v>45</v>
      </c>
      <c r="W489" s="65" t="s">
        <v>60</v>
      </c>
      <c r="X489">
        <v>186.44</v>
      </c>
      <c r="Y489" s="65" t="s">
        <v>47</v>
      </c>
      <c r="Z489" s="65" t="s">
        <v>48</v>
      </c>
      <c r="AA489" s="65" t="s">
        <v>49</v>
      </c>
      <c r="AB489">
        <v>982673362</v>
      </c>
      <c r="AC489" s="65" t="s">
        <v>416</v>
      </c>
      <c r="AD489">
        <v>50</v>
      </c>
    </row>
    <row r="490" spans="1:30" x14ac:dyDescent="0.3">
      <c r="A490" s="1">
        <v>46256</v>
      </c>
      <c r="B490" s="65" t="s">
        <v>4004</v>
      </c>
      <c r="C490" s="65" t="s">
        <v>2006</v>
      </c>
      <c r="D490" s="65" t="s">
        <v>29</v>
      </c>
      <c r="E490" s="65" t="s">
        <v>2007</v>
      </c>
      <c r="F490" s="65" t="s">
        <v>31</v>
      </c>
      <c r="G490" s="65" t="s">
        <v>2008</v>
      </c>
      <c r="H490" s="65" t="s">
        <v>2009</v>
      </c>
      <c r="I490" s="65" t="s">
        <v>2010</v>
      </c>
      <c r="J490" s="65" t="s">
        <v>411</v>
      </c>
      <c r="K490" s="65" t="s">
        <v>412</v>
      </c>
      <c r="L490" s="65" t="s">
        <v>37</v>
      </c>
      <c r="M490" s="65" t="s">
        <v>2011</v>
      </c>
      <c r="N490" s="65" t="s">
        <v>2012</v>
      </c>
      <c r="O490" s="65" t="s">
        <v>2009</v>
      </c>
      <c r="P490" s="65" t="s">
        <v>2013</v>
      </c>
      <c r="Q490" s="65" t="s">
        <v>101</v>
      </c>
      <c r="R490">
        <v>1</v>
      </c>
      <c r="S490" s="65" t="s">
        <v>42</v>
      </c>
      <c r="T490" s="65" t="s">
        <v>44</v>
      </c>
      <c r="U490" s="65" t="s">
        <v>44</v>
      </c>
      <c r="V490" s="65" t="s">
        <v>45</v>
      </c>
      <c r="W490" s="65" t="s">
        <v>60</v>
      </c>
      <c r="X490">
        <v>186.44</v>
      </c>
      <c r="Y490" s="65" t="s">
        <v>47</v>
      </c>
      <c r="Z490" s="65" t="s">
        <v>48</v>
      </c>
      <c r="AA490" s="65" t="s">
        <v>49</v>
      </c>
      <c r="AB490">
        <v>982673362</v>
      </c>
      <c r="AC490" s="65" t="s">
        <v>416</v>
      </c>
      <c r="AD490">
        <v>50</v>
      </c>
    </row>
    <row r="491" spans="1:30" x14ac:dyDescent="0.3">
      <c r="A491" s="1">
        <v>46256</v>
      </c>
      <c r="B491" s="65" t="s">
        <v>4004</v>
      </c>
      <c r="C491" s="65" t="s">
        <v>2014</v>
      </c>
      <c r="D491" s="65" t="s">
        <v>29</v>
      </c>
      <c r="E491" s="65" t="s">
        <v>1774</v>
      </c>
      <c r="F491" s="65" t="s">
        <v>31</v>
      </c>
      <c r="G491" s="65" t="s">
        <v>2015</v>
      </c>
      <c r="H491" s="65" t="s">
        <v>1899</v>
      </c>
      <c r="I491" s="65" t="s">
        <v>1900</v>
      </c>
      <c r="J491" s="65" t="s">
        <v>411</v>
      </c>
      <c r="K491" s="65" t="s">
        <v>412</v>
      </c>
      <c r="L491" s="65" t="s">
        <v>37</v>
      </c>
      <c r="M491" s="65" t="s">
        <v>1901</v>
      </c>
      <c r="N491" s="65" t="s">
        <v>1902</v>
      </c>
      <c r="O491" s="65" t="s">
        <v>1899</v>
      </c>
      <c r="P491" s="65" t="s">
        <v>2016</v>
      </c>
      <c r="Q491" s="65" t="s">
        <v>2017</v>
      </c>
      <c r="R491">
        <v>1</v>
      </c>
      <c r="S491" s="65" t="s">
        <v>42</v>
      </c>
      <c r="T491" s="65" t="s">
        <v>44</v>
      </c>
      <c r="U491" s="65" t="s">
        <v>44</v>
      </c>
      <c r="V491" s="65" t="s">
        <v>531</v>
      </c>
      <c r="W491" s="65" t="s">
        <v>1965</v>
      </c>
      <c r="X491">
        <v>63.56</v>
      </c>
      <c r="Y491" s="65" t="s">
        <v>2018</v>
      </c>
      <c r="Z491" s="65" t="s">
        <v>48</v>
      </c>
      <c r="AA491" s="65" t="s">
        <v>534</v>
      </c>
      <c r="AB491">
        <v>982673362</v>
      </c>
      <c r="AC491" s="65" t="s">
        <v>416</v>
      </c>
    </row>
    <row r="492" spans="1:30" x14ac:dyDescent="0.3">
      <c r="A492" s="1">
        <v>46256</v>
      </c>
      <c r="B492" s="65" t="s">
        <v>4004</v>
      </c>
      <c r="C492" s="65" t="s">
        <v>2019</v>
      </c>
      <c r="D492" s="65" t="s">
        <v>29</v>
      </c>
      <c r="E492" s="65" t="s">
        <v>2020</v>
      </c>
      <c r="F492" s="65" t="s">
        <v>31</v>
      </c>
      <c r="G492" s="65" t="s">
        <v>2021</v>
      </c>
      <c r="H492" s="65" t="s">
        <v>2022</v>
      </c>
      <c r="I492" s="65" t="s">
        <v>2023</v>
      </c>
      <c r="J492" s="65" t="s">
        <v>2024</v>
      </c>
      <c r="K492" s="65" t="s">
        <v>2025</v>
      </c>
      <c r="L492" s="65" t="s">
        <v>37</v>
      </c>
      <c r="M492" s="65" t="s">
        <v>2026</v>
      </c>
      <c r="N492" s="65" t="s">
        <v>2027</v>
      </c>
      <c r="O492" s="65" t="s">
        <v>2022</v>
      </c>
      <c r="P492" s="65" t="s">
        <v>2028</v>
      </c>
      <c r="Q492" s="65" t="s">
        <v>101</v>
      </c>
      <c r="R492">
        <v>1</v>
      </c>
      <c r="S492" s="65" t="s">
        <v>42</v>
      </c>
      <c r="T492" s="65" t="s">
        <v>44</v>
      </c>
      <c r="U492" s="65" t="s">
        <v>44</v>
      </c>
      <c r="V492" s="65" t="s">
        <v>45</v>
      </c>
      <c r="W492" s="65" t="s">
        <v>60</v>
      </c>
      <c r="X492">
        <v>186.44</v>
      </c>
      <c r="Y492" s="65" t="s">
        <v>47</v>
      </c>
      <c r="Z492" s="65" t="s">
        <v>48</v>
      </c>
      <c r="AA492" s="65" t="s">
        <v>49</v>
      </c>
      <c r="AB492">
        <v>986661693</v>
      </c>
      <c r="AC492" s="65" t="s">
        <v>2029</v>
      </c>
      <c r="AD492">
        <v>50</v>
      </c>
    </row>
    <row r="493" spans="1:30" x14ac:dyDescent="0.3">
      <c r="A493" s="1">
        <v>46256</v>
      </c>
      <c r="B493" s="65" t="s">
        <v>4004</v>
      </c>
      <c r="C493" s="65" t="s">
        <v>2030</v>
      </c>
      <c r="D493" s="65" t="s">
        <v>29</v>
      </c>
      <c r="E493" s="65" t="s">
        <v>2031</v>
      </c>
      <c r="F493" s="65" t="s">
        <v>31</v>
      </c>
      <c r="G493" s="65" t="s">
        <v>2032</v>
      </c>
      <c r="H493" s="65" t="s">
        <v>2033</v>
      </c>
      <c r="I493" s="65" t="s">
        <v>2034</v>
      </c>
      <c r="J493" s="65" t="s">
        <v>1386</v>
      </c>
      <c r="K493" s="65" t="s">
        <v>4005</v>
      </c>
      <c r="L493" s="65" t="s">
        <v>37</v>
      </c>
      <c r="M493" s="65" t="s">
        <v>2035</v>
      </c>
      <c r="N493" s="65" t="s">
        <v>2036</v>
      </c>
      <c r="O493" s="65" t="s">
        <v>2033</v>
      </c>
      <c r="P493" s="65" t="s">
        <v>2037</v>
      </c>
      <c r="Q493" s="65" t="s">
        <v>159</v>
      </c>
      <c r="R493">
        <v>1</v>
      </c>
      <c r="S493" s="65" t="s">
        <v>42</v>
      </c>
      <c r="T493" s="65" t="s">
        <v>44</v>
      </c>
      <c r="U493" s="65" t="s">
        <v>44</v>
      </c>
      <c r="V493" s="65" t="s">
        <v>45</v>
      </c>
      <c r="W493" s="65" t="s">
        <v>46</v>
      </c>
      <c r="X493">
        <v>135.59</v>
      </c>
      <c r="Y493" s="65" t="s">
        <v>47</v>
      </c>
      <c r="Z493" s="65" t="s">
        <v>48</v>
      </c>
      <c r="AA493" s="65" t="s">
        <v>49</v>
      </c>
      <c r="AB493">
        <v>917791542</v>
      </c>
      <c r="AC493" s="65" t="s">
        <v>1390</v>
      </c>
      <c r="AD493">
        <v>30</v>
      </c>
    </row>
    <row r="494" spans="1:30" x14ac:dyDescent="0.3">
      <c r="A494" s="1">
        <v>46256</v>
      </c>
      <c r="B494" s="65" t="s">
        <v>4004</v>
      </c>
      <c r="C494" s="65" t="s">
        <v>2038</v>
      </c>
      <c r="D494" s="65" t="s">
        <v>29</v>
      </c>
      <c r="E494" s="65" t="s">
        <v>2039</v>
      </c>
      <c r="F494" s="65" t="s">
        <v>31</v>
      </c>
      <c r="G494" s="65" t="s">
        <v>2040</v>
      </c>
      <c r="H494" s="65" t="s">
        <v>2041</v>
      </c>
      <c r="I494" s="65" t="s">
        <v>2042</v>
      </c>
      <c r="J494" s="65" t="s">
        <v>1386</v>
      </c>
      <c r="K494" s="65" t="s">
        <v>4005</v>
      </c>
      <c r="L494" s="65" t="s">
        <v>37</v>
      </c>
      <c r="M494" s="65" t="s">
        <v>2043</v>
      </c>
      <c r="N494" s="65" t="s">
        <v>2044</v>
      </c>
      <c r="O494" s="65" t="s">
        <v>2041</v>
      </c>
      <c r="P494" s="65" t="s">
        <v>2045</v>
      </c>
      <c r="Q494" s="65" t="s">
        <v>159</v>
      </c>
      <c r="R494">
        <v>1</v>
      </c>
      <c r="S494" s="65" t="s">
        <v>42</v>
      </c>
      <c r="T494" s="65" t="s">
        <v>44</v>
      </c>
      <c r="U494" s="65" t="s">
        <v>44</v>
      </c>
      <c r="V494" s="65" t="s">
        <v>45</v>
      </c>
      <c r="W494" s="65" t="s">
        <v>46</v>
      </c>
      <c r="X494">
        <v>135.59</v>
      </c>
      <c r="Y494" s="65" t="s">
        <v>47</v>
      </c>
      <c r="Z494" s="65" t="s">
        <v>48</v>
      </c>
      <c r="AA494" s="65" t="s">
        <v>49</v>
      </c>
      <c r="AB494">
        <v>917791542</v>
      </c>
      <c r="AC494" s="65" t="s">
        <v>1390</v>
      </c>
      <c r="AD494">
        <v>30</v>
      </c>
    </row>
    <row r="495" spans="1:30" x14ac:dyDescent="0.3">
      <c r="A495" s="1">
        <v>46256</v>
      </c>
      <c r="B495" s="65" t="s">
        <v>4004</v>
      </c>
      <c r="C495" s="65" t="s">
        <v>2046</v>
      </c>
      <c r="D495" s="65" t="s">
        <v>29</v>
      </c>
      <c r="E495" s="65" t="s">
        <v>2047</v>
      </c>
      <c r="F495" s="65" t="s">
        <v>31</v>
      </c>
      <c r="G495" s="65" t="s">
        <v>2048</v>
      </c>
      <c r="H495" s="65" t="s">
        <v>2049</v>
      </c>
      <c r="I495" s="65" t="s">
        <v>2050</v>
      </c>
      <c r="J495" s="65" t="s">
        <v>2739</v>
      </c>
      <c r="K495" s="65" t="s">
        <v>209</v>
      </c>
      <c r="L495" s="65" t="s">
        <v>37</v>
      </c>
      <c r="M495" s="65" t="s">
        <v>2051</v>
      </c>
      <c r="N495" s="65" t="s">
        <v>2052</v>
      </c>
      <c r="O495" s="65" t="s">
        <v>2049</v>
      </c>
      <c r="P495" s="65" t="s">
        <v>2053</v>
      </c>
      <c r="Q495" s="65" t="s">
        <v>202</v>
      </c>
      <c r="R495">
        <v>1</v>
      </c>
      <c r="S495" s="65" t="s">
        <v>42</v>
      </c>
      <c r="T495" s="65" t="s">
        <v>44</v>
      </c>
      <c r="U495" s="65" t="s">
        <v>44</v>
      </c>
      <c r="V495" s="65" t="s">
        <v>71</v>
      </c>
      <c r="W495" s="65" t="s">
        <v>2054</v>
      </c>
      <c r="X495">
        <v>135.59</v>
      </c>
      <c r="Y495" s="65" t="s">
        <v>47</v>
      </c>
      <c r="Z495" s="65" t="s">
        <v>48</v>
      </c>
      <c r="AA495" s="65" t="s">
        <v>73</v>
      </c>
      <c r="AC495" s="65"/>
      <c r="AD495">
        <v>30</v>
      </c>
    </row>
    <row r="496" spans="1:30" x14ac:dyDescent="0.3">
      <c r="A496" s="1">
        <v>46256</v>
      </c>
      <c r="B496" s="65" t="s">
        <v>4004</v>
      </c>
      <c r="C496" s="65" t="s">
        <v>2055</v>
      </c>
      <c r="D496" s="65" t="s">
        <v>29</v>
      </c>
      <c r="E496" s="65" t="s">
        <v>2056</v>
      </c>
      <c r="F496" s="65" t="s">
        <v>31</v>
      </c>
      <c r="G496" s="65" t="s">
        <v>2057</v>
      </c>
      <c r="H496" s="65" t="s">
        <v>2058</v>
      </c>
      <c r="I496" s="65" t="s">
        <v>2059</v>
      </c>
      <c r="J496" s="65" t="s">
        <v>434</v>
      </c>
      <c r="K496" s="65" t="s">
        <v>435</v>
      </c>
      <c r="L496" s="65" t="s">
        <v>37</v>
      </c>
      <c r="M496" s="65" t="s">
        <v>2060</v>
      </c>
      <c r="N496" s="65" t="s">
        <v>2061</v>
      </c>
      <c r="O496" s="65" t="s">
        <v>2058</v>
      </c>
      <c r="P496" s="65" t="s">
        <v>2062</v>
      </c>
      <c r="Q496" s="65" t="s">
        <v>90</v>
      </c>
      <c r="R496">
        <v>1</v>
      </c>
      <c r="S496" s="65" t="s">
        <v>70</v>
      </c>
      <c r="T496" s="65" t="s">
        <v>43</v>
      </c>
      <c r="U496" s="65" t="s">
        <v>44</v>
      </c>
      <c r="V496" s="65" t="s">
        <v>71</v>
      </c>
      <c r="W496" s="65" t="s">
        <v>72</v>
      </c>
      <c r="X496">
        <v>135.59</v>
      </c>
      <c r="Y496" s="65" t="s">
        <v>47</v>
      </c>
      <c r="Z496" s="65" t="s">
        <v>48</v>
      </c>
      <c r="AA496" s="65" t="s">
        <v>73</v>
      </c>
      <c r="AB496">
        <v>992903716</v>
      </c>
      <c r="AC496" s="65" t="s">
        <v>439</v>
      </c>
      <c r="AD496">
        <v>30</v>
      </c>
    </row>
    <row r="497" spans="1:30" x14ac:dyDescent="0.3">
      <c r="A497" s="1">
        <v>46256</v>
      </c>
      <c r="B497" s="65" t="s">
        <v>4004</v>
      </c>
      <c r="C497" s="65" t="s">
        <v>2063</v>
      </c>
      <c r="D497" s="65" t="s">
        <v>29</v>
      </c>
      <c r="E497" s="65" t="s">
        <v>2064</v>
      </c>
      <c r="F497" s="65" t="s">
        <v>31</v>
      </c>
      <c r="G497" s="65" t="s">
        <v>2065</v>
      </c>
      <c r="H497" s="65" t="s">
        <v>2066</v>
      </c>
      <c r="I497" s="65" t="s">
        <v>2067</v>
      </c>
      <c r="J497" s="65" t="s">
        <v>774</v>
      </c>
      <c r="K497" s="65" t="s">
        <v>775</v>
      </c>
      <c r="L497" s="65" t="s">
        <v>37</v>
      </c>
      <c r="M497" s="65" t="s">
        <v>2068</v>
      </c>
      <c r="N497" s="65" t="s">
        <v>2069</v>
      </c>
      <c r="O497" s="65" t="s">
        <v>2066</v>
      </c>
      <c r="P497" s="65" t="s">
        <v>2070</v>
      </c>
      <c r="Q497" s="65" t="s">
        <v>101</v>
      </c>
      <c r="R497">
        <v>1</v>
      </c>
      <c r="S497" s="65" t="s">
        <v>42</v>
      </c>
      <c r="T497" s="65" t="s">
        <v>44</v>
      </c>
      <c r="U497" s="65" t="s">
        <v>44</v>
      </c>
      <c r="V497" s="65" t="s">
        <v>71</v>
      </c>
      <c r="W497" s="65" t="s">
        <v>72</v>
      </c>
      <c r="X497">
        <v>186.44</v>
      </c>
      <c r="Y497" s="65" t="s">
        <v>47</v>
      </c>
      <c r="Z497" s="65" t="s">
        <v>48</v>
      </c>
      <c r="AA497" s="65" t="s">
        <v>73</v>
      </c>
      <c r="AC497" s="65"/>
      <c r="AD497">
        <v>50</v>
      </c>
    </row>
    <row r="498" spans="1:30" x14ac:dyDescent="0.3">
      <c r="A498" s="1">
        <v>46258</v>
      </c>
      <c r="B498" s="65" t="s">
        <v>4004</v>
      </c>
      <c r="C498" s="65" t="s">
        <v>2071</v>
      </c>
      <c r="D498" s="65" t="s">
        <v>29</v>
      </c>
      <c r="E498" s="65" t="s">
        <v>2072</v>
      </c>
      <c r="F498" s="65" t="s">
        <v>31</v>
      </c>
      <c r="G498" s="65" t="s">
        <v>2073</v>
      </c>
      <c r="H498" s="65" t="s">
        <v>2074</v>
      </c>
      <c r="I498" s="65" t="s">
        <v>2075</v>
      </c>
      <c r="J498" s="65" t="s">
        <v>411</v>
      </c>
      <c r="K498" s="65" t="s">
        <v>412</v>
      </c>
      <c r="L498" s="65" t="s">
        <v>37</v>
      </c>
      <c r="M498" s="65" t="s">
        <v>2076</v>
      </c>
      <c r="N498" s="65" t="s">
        <v>2077</v>
      </c>
      <c r="O498" s="65" t="s">
        <v>2074</v>
      </c>
      <c r="P498" s="65" t="s">
        <v>2078</v>
      </c>
      <c r="Q498" s="65" t="s">
        <v>41</v>
      </c>
      <c r="R498">
        <v>1</v>
      </c>
      <c r="S498" s="65" t="s">
        <v>42</v>
      </c>
      <c r="T498" s="65" t="s">
        <v>44</v>
      </c>
      <c r="U498" s="65" t="s">
        <v>44</v>
      </c>
      <c r="V498" s="65" t="s">
        <v>45</v>
      </c>
      <c r="W498" s="65" t="s">
        <v>46</v>
      </c>
      <c r="X498">
        <v>186.44</v>
      </c>
      <c r="Y498" s="65" t="s">
        <v>47</v>
      </c>
      <c r="Z498" s="65" t="s">
        <v>48</v>
      </c>
      <c r="AA498" s="65" t="s">
        <v>49</v>
      </c>
      <c r="AB498">
        <v>982673362</v>
      </c>
      <c r="AC498" s="65" t="s">
        <v>416</v>
      </c>
      <c r="AD498">
        <v>50</v>
      </c>
    </row>
    <row r="499" spans="1:30" x14ac:dyDescent="0.3">
      <c r="A499" s="1">
        <v>46258</v>
      </c>
      <c r="B499" s="65" t="s">
        <v>4004</v>
      </c>
      <c r="C499" s="65" t="s">
        <v>2079</v>
      </c>
      <c r="D499" s="65" t="s">
        <v>29</v>
      </c>
      <c r="E499" s="65" t="s">
        <v>2080</v>
      </c>
      <c r="F499" s="65" t="s">
        <v>31</v>
      </c>
      <c r="G499" s="65" t="s">
        <v>2081</v>
      </c>
      <c r="H499" s="65" t="s">
        <v>2074</v>
      </c>
      <c r="I499" s="65" t="s">
        <v>2075</v>
      </c>
      <c r="J499" s="65" t="s">
        <v>411</v>
      </c>
      <c r="K499" s="65" t="s">
        <v>412</v>
      </c>
      <c r="L499" s="65" t="s">
        <v>37</v>
      </c>
      <c r="M499" s="65" t="s">
        <v>2076</v>
      </c>
      <c r="N499" s="65" t="s">
        <v>2077</v>
      </c>
      <c r="O499" s="65" t="s">
        <v>2074</v>
      </c>
      <c r="P499" s="65" t="s">
        <v>2082</v>
      </c>
      <c r="Q499" s="65" t="s">
        <v>101</v>
      </c>
      <c r="R499">
        <v>1</v>
      </c>
      <c r="S499" s="65" t="s">
        <v>42</v>
      </c>
      <c r="T499" s="65" t="s">
        <v>44</v>
      </c>
      <c r="U499" s="65" t="s">
        <v>44</v>
      </c>
      <c r="V499" s="65" t="s">
        <v>45</v>
      </c>
      <c r="W499" s="65" t="s">
        <v>46</v>
      </c>
      <c r="X499">
        <v>186.44</v>
      </c>
      <c r="Y499" s="65" t="s">
        <v>47</v>
      </c>
      <c r="Z499" s="65" t="s">
        <v>48</v>
      </c>
      <c r="AA499" s="65" t="s">
        <v>49</v>
      </c>
      <c r="AB499">
        <v>982673362</v>
      </c>
      <c r="AC499" s="65" t="s">
        <v>416</v>
      </c>
      <c r="AD499">
        <v>50</v>
      </c>
    </row>
    <row r="500" spans="1:30" x14ac:dyDescent="0.3">
      <c r="A500" s="1">
        <v>46258</v>
      </c>
      <c r="B500" s="65" t="s">
        <v>4004</v>
      </c>
      <c r="C500" s="65" t="s">
        <v>2083</v>
      </c>
      <c r="D500" s="65" t="s">
        <v>29</v>
      </c>
      <c r="E500" s="65" t="s">
        <v>2084</v>
      </c>
      <c r="F500" s="65" t="s">
        <v>31</v>
      </c>
      <c r="G500" s="65" t="s">
        <v>2085</v>
      </c>
      <c r="H500" s="65" t="s">
        <v>2086</v>
      </c>
      <c r="I500" s="65" t="s">
        <v>2087</v>
      </c>
      <c r="J500" s="65" t="s">
        <v>136</v>
      </c>
      <c r="K500" s="65" t="s">
        <v>137</v>
      </c>
      <c r="L500" s="65" t="s">
        <v>37</v>
      </c>
      <c r="M500" s="65" t="s">
        <v>2088</v>
      </c>
      <c r="N500" s="65" t="s">
        <v>2089</v>
      </c>
      <c r="O500" s="65" t="s">
        <v>2086</v>
      </c>
      <c r="P500" s="65" t="s">
        <v>2090</v>
      </c>
      <c r="Q500" s="65" t="s">
        <v>41</v>
      </c>
      <c r="R500">
        <v>1</v>
      </c>
      <c r="S500" s="65" t="s">
        <v>42</v>
      </c>
      <c r="T500" s="65" t="s">
        <v>44</v>
      </c>
      <c r="U500" s="65" t="s">
        <v>44</v>
      </c>
      <c r="V500" s="65" t="s">
        <v>45</v>
      </c>
      <c r="W500" s="65" t="s">
        <v>46</v>
      </c>
      <c r="X500">
        <v>186.44</v>
      </c>
      <c r="Y500" s="65" t="s">
        <v>47</v>
      </c>
      <c r="Z500" s="65" t="s">
        <v>48</v>
      </c>
      <c r="AA500" s="65" t="s">
        <v>49</v>
      </c>
      <c r="AB500">
        <v>987407712</v>
      </c>
      <c r="AC500" s="65" t="s">
        <v>141</v>
      </c>
      <c r="AD500">
        <v>50</v>
      </c>
    </row>
    <row r="501" spans="1:30" x14ac:dyDescent="0.3">
      <c r="A501" s="1">
        <v>46258</v>
      </c>
      <c r="B501" s="65" t="s">
        <v>4004</v>
      </c>
      <c r="C501" s="65" t="s">
        <v>2091</v>
      </c>
      <c r="D501" s="65" t="s">
        <v>29</v>
      </c>
      <c r="E501" s="65" t="s">
        <v>2092</v>
      </c>
      <c r="F501" s="65" t="s">
        <v>31</v>
      </c>
      <c r="G501" s="65" t="s">
        <v>2093</v>
      </c>
      <c r="H501" s="65" t="s">
        <v>2094</v>
      </c>
      <c r="I501" s="65" t="s">
        <v>2095</v>
      </c>
      <c r="J501" s="65" t="s">
        <v>662</v>
      </c>
      <c r="K501" s="65" t="s">
        <v>36</v>
      </c>
      <c r="L501" s="65" t="s">
        <v>37</v>
      </c>
      <c r="M501" s="65" t="s">
        <v>2096</v>
      </c>
      <c r="N501" s="65" t="s">
        <v>2097</v>
      </c>
      <c r="O501" s="65" t="s">
        <v>2094</v>
      </c>
      <c r="P501" s="65" t="s">
        <v>2098</v>
      </c>
      <c r="Q501" s="65" t="s">
        <v>101</v>
      </c>
      <c r="R501">
        <v>1</v>
      </c>
      <c r="S501" s="65" t="s">
        <v>42</v>
      </c>
      <c r="T501" s="65" t="s">
        <v>44</v>
      </c>
      <c r="U501" s="65" t="s">
        <v>44</v>
      </c>
      <c r="V501" s="65" t="s">
        <v>45</v>
      </c>
      <c r="W501" s="65" t="s">
        <v>46</v>
      </c>
      <c r="X501">
        <v>186.44</v>
      </c>
      <c r="Y501" s="65" t="s">
        <v>47</v>
      </c>
      <c r="Z501" s="65" t="s">
        <v>48</v>
      </c>
      <c r="AA501" s="65" t="s">
        <v>49</v>
      </c>
      <c r="AB501">
        <v>997145685</v>
      </c>
      <c r="AC501" s="65" t="s">
        <v>666</v>
      </c>
      <c r="AD501">
        <v>50</v>
      </c>
    </row>
    <row r="502" spans="1:30" x14ac:dyDescent="0.3">
      <c r="A502" s="1">
        <v>46258</v>
      </c>
      <c r="B502" s="65" t="s">
        <v>4004</v>
      </c>
      <c r="C502" s="65" t="s">
        <v>2099</v>
      </c>
      <c r="D502" s="65" t="s">
        <v>29</v>
      </c>
      <c r="E502" s="65" t="s">
        <v>2100</v>
      </c>
      <c r="F502" s="65" t="s">
        <v>31</v>
      </c>
      <c r="G502" s="65" t="s">
        <v>2101</v>
      </c>
      <c r="H502" s="65" t="s">
        <v>2102</v>
      </c>
      <c r="I502" s="65" t="s">
        <v>2103</v>
      </c>
      <c r="J502" s="65" t="s">
        <v>704</v>
      </c>
      <c r="K502" s="65" t="s">
        <v>705</v>
      </c>
      <c r="L502" s="65" t="s">
        <v>37</v>
      </c>
      <c r="M502" s="65" t="s">
        <v>2104</v>
      </c>
      <c r="N502" s="65" t="s">
        <v>2105</v>
      </c>
      <c r="O502" s="65" t="s">
        <v>2102</v>
      </c>
      <c r="P502" s="65" t="s">
        <v>2106</v>
      </c>
      <c r="Q502" s="65" t="s">
        <v>159</v>
      </c>
      <c r="R502">
        <v>1</v>
      </c>
      <c r="S502" s="65" t="s">
        <v>42</v>
      </c>
      <c r="T502" s="65" t="s">
        <v>44</v>
      </c>
      <c r="U502" s="65" t="s">
        <v>44</v>
      </c>
      <c r="V502" s="65" t="s">
        <v>45</v>
      </c>
      <c r="W502" s="65" t="s">
        <v>46</v>
      </c>
      <c r="X502">
        <v>135.59</v>
      </c>
      <c r="Y502" s="65" t="s">
        <v>47</v>
      </c>
      <c r="Z502" s="65" t="s">
        <v>48</v>
      </c>
      <c r="AA502" s="65" t="s">
        <v>49</v>
      </c>
      <c r="AB502">
        <v>998418895</v>
      </c>
      <c r="AC502" s="65" t="s">
        <v>709</v>
      </c>
      <c r="AD502">
        <v>30</v>
      </c>
    </row>
    <row r="503" spans="1:30" x14ac:dyDescent="0.3">
      <c r="A503" s="1">
        <v>46258</v>
      </c>
      <c r="B503" s="65" t="s">
        <v>4004</v>
      </c>
      <c r="C503" s="65" t="s">
        <v>2099</v>
      </c>
      <c r="D503" s="65" t="s">
        <v>29</v>
      </c>
      <c r="E503" s="65" t="s">
        <v>2100</v>
      </c>
      <c r="F503" s="65" t="s">
        <v>31</v>
      </c>
      <c r="G503" s="65" t="s">
        <v>2101</v>
      </c>
      <c r="H503" s="65" t="s">
        <v>2102</v>
      </c>
      <c r="I503" s="65" t="s">
        <v>2103</v>
      </c>
      <c r="J503" s="65" t="s">
        <v>704</v>
      </c>
      <c r="K503" s="65" t="s">
        <v>705</v>
      </c>
      <c r="L503" s="65" t="s">
        <v>37</v>
      </c>
      <c r="M503" s="65" t="s">
        <v>2104</v>
      </c>
      <c r="N503" s="65" t="s">
        <v>2105</v>
      </c>
      <c r="O503" s="65" t="s">
        <v>2102</v>
      </c>
      <c r="P503" s="65" t="s">
        <v>2106</v>
      </c>
      <c r="Q503" s="65" t="s">
        <v>158</v>
      </c>
      <c r="R503">
        <v>1</v>
      </c>
      <c r="S503" s="65" t="s">
        <v>42</v>
      </c>
      <c r="T503" s="65" t="s">
        <v>44</v>
      </c>
      <c r="U503" s="65" t="s">
        <v>44</v>
      </c>
      <c r="V503" s="65" t="s">
        <v>45</v>
      </c>
      <c r="W503" s="65" t="s">
        <v>46</v>
      </c>
      <c r="X503">
        <v>152.54</v>
      </c>
      <c r="Y503" s="65" t="s">
        <v>47</v>
      </c>
      <c r="Z503" s="65" t="s">
        <v>48</v>
      </c>
      <c r="AA503" s="65" t="s">
        <v>49</v>
      </c>
      <c r="AB503">
        <v>998418895</v>
      </c>
      <c r="AC503" s="65" t="s">
        <v>709</v>
      </c>
      <c r="AD503">
        <v>30</v>
      </c>
    </row>
    <row r="504" spans="1:30" x14ac:dyDescent="0.3">
      <c r="A504" s="1">
        <v>46258</v>
      </c>
      <c r="B504" s="65" t="s">
        <v>4004</v>
      </c>
      <c r="C504" s="65" t="s">
        <v>2099</v>
      </c>
      <c r="D504" s="65" t="s">
        <v>29</v>
      </c>
      <c r="E504" s="65" t="s">
        <v>2100</v>
      </c>
      <c r="F504" s="65" t="s">
        <v>31</v>
      </c>
      <c r="G504" s="65" t="s">
        <v>2101</v>
      </c>
      <c r="H504" s="65" t="s">
        <v>2102</v>
      </c>
      <c r="I504" s="65" t="s">
        <v>2103</v>
      </c>
      <c r="J504" s="65" t="s">
        <v>704</v>
      </c>
      <c r="K504" s="65" t="s">
        <v>705</v>
      </c>
      <c r="L504" s="65" t="s">
        <v>37</v>
      </c>
      <c r="M504" s="65" t="s">
        <v>2104</v>
      </c>
      <c r="N504" s="65" t="s">
        <v>2105</v>
      </c>
      <c r="O504" s="65" t="s">
        <v>2102</v>
      </c>
      <c r="P504" s="65" t="s">
        <v>2106</v>
      </c>
      <c r="Q504" s="65" t="s">
        <v>101</v>
      </c>
      <c r="R504">
        <v>1</v>
      </c>
      <c r="S504" s="65" t="s">
        <v>42</v>
      </c>
      <c r="T504" s="65" t="s">
        <v>44</v>
      </c>
      <c r="U504" s="65" t="s">
        <v>44</v>
      </c>
      <c r="V504" s="65" t="s">
        <v>45</v>
      </c>
      <c r="W504" s="65" t="s">
        <v>46</v>
      </c>
      <c r="X504">
        <v>186.44</v>
      </c>
      <c r="Y504" s="65" t="s">
        <v>47</v>
      </c>
      <c r="Z504" s="65" t="s">
        <v>48</v>
      </c>
      <c r="AA504" s="65" t="s">
        <v>49</v>
      </c>
      <c r="AB504">
        <v>998418895</v>
      </c>
      <c r="AC504" s="65" t="s">
        <v>709</v>
      </c>
      <c r="AD504">
        <v>50</v>
      </c>
    </row>
    <row r="505" spans="1:30" x14ac:dyDescent="0.3">
      <c r="A505" s="1">
        <v>46258</v>
      </c>
      <c r="B505" s="65" t="s">
        <v>4004</v>
      </c>
      <c r="C505" s="65" t="s">
        <v>2107</v>
      </c>
      <c r="D505" s="65" t="s">
        <v>29</v>
      </c>
      <c r="E505" s="65" t="s">
        <v>2108</v>
      </c>
      <c r="F505" s="65" t="s">
        <v>31</v>
      </c>
      <c r="G505" s="65" t="s">
        <v>2109</v>
      </c>
      <c r="H505" s="65" t="s">
        <v>2110</v>
      </c>
      <c r="I505" s="65" t="s">
        <v>2111</v>
      </c>
      <c r="J505" s="65" t="s">
        <v>1386</v>
      </c>
      <c r="K505" s="65" t="s">
        <v>4005</v>
      </c>
      <c r="L505" s="65" t="s">
        <v>37</v>
      </c>
      <c r="M505" s="65" t="s">
        <v>2112</v>
      </c>
      <c r="N505" s="65" t="s">
        <v>2113</v>
      </c>
      <c r="O505" s="65" t="s">
        <v>2110</v>
      </c>
      <c r="P505" s="65" t="s">
        <v>2114</v>
      </c>
      <c r="Q505" s="65" t="s">
        <v>202</v>
      </c>
      <c r="R505">
        <v>1</v>
      </c>
      <c r="S505" s="65" t="s">
        <v>42</v>
      </c>
      <c r="T505" s="65" t="s">
        <v>44</v>
      </c>
      <c r="U505" s="65" t="s">
        <v>44</v>
      </c>
      <c r="V505" s="65" t="s">
        <v>71</v>
      </c>
      <c r="W505" s="65" t="s">
        <v>2054</v>
      </c>
      <c r="X505">
        <v>135.59</v>
      </c>
      <c r="Y505" s="65" t="s">
        <v>47</v>
      </c>
      <c r="Z505" s="65" t="s">
        <v>48</v>
      </c>
      <c r="AA505" s="65" t="s">
        <v>73</v>
      </c>
      <c r="AB505">
        <v>917791542</v>
      </c>
      <c r="AC505" s="65" t="s">
        <v>1390</v>
      </c>
      <c r="AD505">
        <v>30</v>
      </c>
    </row>
    <row r="506" spans="1:30" x14ac:dyDescent="0.3">
      <c r="A506" s="1">
        <v>46258</v>
      </c>
      <c r="B506" s="65" t="s">
        <v>4004</v>
      </c>
      <c r="C506" s="65" t="s">
        <v>2115</v>
      </c>
      <c r="D506" s="65" t="s">
        <v>29</v>
      </c>
      <c r="E506" s="65" t="s">
        <v>2116</v>
      </c>
      <c r="F506" s="65" t="s">
        <v>31</v>
      </c>
      <c r="G506" s="65" t="s">
        <v>2117</v>
      </c>
      <c r="H506" s="65" t="s">
        <v>2118</v>
      </c>
      <c r="I506" s="65" t="s">
        <v>2119</v>
      </c>
      <c r="J506" s="65" t="s">
        <v>1322</v>
      </c>
      <c r="K506" s="65" t="s">
        <v>36</v>
      </c>
      <c r="L506" s="65" t="s">
        <v>37</v>
      </c>
      <c r="M506" s="65" t="s">
        <v>2120</v>
      </c>
      <c r="N506" s="65" t="s">
        <v>2121</v>
      </c>
      <c r="O506" s="65" t="s">
        <v>2118</v>
      </c>
      <c r="P506" s="65" t="s">
        <v>2122</v>
      </c>
      <c r="Q506" s="65" t="s">
        <v>101</v>
      </c>
      <c r="R506">
        <v>1</v>
      </c>
      <c r="S506" s="65" t="s">
        <v>70</v>
      </c>
      <c r="T506" s="65" t="s">
        <v>43</v>
      </c>
      <c r="U506" s="65" t="s">
        <v>44</v>
      </c>
      <c r="V506" s="65" t="s">
        <v>71</v>
      </c>
      <c r="W506" s="65" t="s">
        <v>72</v>
      </c>
      <c r="X506">
        <v>186.44</v>
      </c>
      <c r="Y506" s="65" t="s">
        <v>47</v>
      </c>
      <c r="Z506" s="65" t="s">
        <v>48</v>
      </c>
      <c r="AA506" s="65" t="s">
        <v>73</v>
      </c>
      <c r="AB506">
        <v>999111362</v>
      </c>
      <c r="AC506" s="65" t="s">
        <v>1326</v>
      </c>
      <c r="AD506">
        <v>50</v>
      </c>
    </row>
    <row r="507" spans="1:30" x14ac:dyDescent="0.3">
      <c r="A507" s="1">
        <v>46258</v>
      </c>
      <c r="B507" s="65" t="s">
        <v>4004</v>
      </c>
      <c r="C507" s="65" t="s">
        <v>2123</v>
      </c>
      <c r="D507" s="65" t="s">
        <v>29</v>
      </c>
      <c r="E507" s="65" t="s">
        <v>2124</v>
      </c>
      <c r="F507" s="65" t="s">
        <v>31</v>
      </c>
      <c r="G507" s="65" t="s">
        <v>2125</v>
      </c>
      <c r="H507" s="65" t="s">
        <v>2126</v>
      </c>
      <c r="I507" s="65" t="s">
        <v>2127</v>
      </c>
      <c r="J507" s="65" t="s">
        <v>2128</v>
      </c>
      <c r="K507" s="65" t="s">
        <v>1542</v>
      </c>
      <c r="L507" s="65" t="s">
        <v>37</v>
      </c>
      <c r="M507" s="65" t="s">
        <v>2129</v>
      </c>
      <c r="N507" s="65" t="s">
        <v>2130</v>
      </c>
      <c r="O507" s="65" t="s">
        <v>2126</v>
      </c>
      <c r="P507" s="65" t="s">
        <v>2131</v>
      </c>
      <c r="Q507" s="65" t="s">
        <v>101</v>
      </c>
      <c r="R507">
        <v>1</v>
      </c>
      <c r="S507" s="65" t="s">
        <v>42</v>
      </c>
      <c r="T507" s="65" t="s">
        <v>44</v>
      </c>
      <c r="U507" s="65" t="s">
        <v>44</v>
      </c>
      <c r="V507" s="65" t="s">
        <v>45</v>
      </c>
      <c r="W507" s="65" t="s">
        <v>46</v>
      </c>
      <c r="X507">
        <v>186.44</v>
      </c>
      <c r="Y507" s="65" t="s">
        <v>47</v>
      </c>
      <c r="Z507" s="65" t="s">
        <v>48</v>
      </c>
      <c r="AA507" s="65" t="s">
        <v>49</v>
      </c>
      <c r="AB507">
        <v>943089042</v>
      </c>
      <c r="AC507" s="65"/>
      <c r="AD507">
        <v>50</v>
      </c>
    </row>
    <row r="508" spans="1:30" x14ac:dyDescent="0.3">
      <c r="A508" s="1">
        <v>46258</v>
      </c>
      <c r="B508" s="65" t="s">
        <v>4004</v>
      </c>
      <c r="C508" s="65" t="s">
        <v>2132</v>
      </c>
      <c r="D508" s="65" t="s">
        <v>29</v>
      </c>
      <c r="E508" s="65" t="s">
        <v>2133</v>
      </c>
      <c r="F508" s="65" t="s">
        <v>31</v>
      </c>
      <c r="G508" s="65" t="s">
        <v>2134</v>
      </c>
      <c r="H508" s="65" t="s">
        <v>2135</v>
      </c>
      <c r="I508" s="65" t="s">
        <v>2136</v>
      </c>
      <c r="J508" s="65" t="s">
        <v>628</v>
      </c>
      <c r="K508" s="65" t="s">
        <v>629</v>
      </c>
      <c r="L508" s="65" t="s">
        <v>37</v>
      </c>
      <c r="M508" s="65" t="s">
        <v>2137</v>
      </c>
      <c r="N508" s="65" t="s">
        <v>2138</v>
      </c>
      <c r="O508" s="65" t="s">
        <v>2135</v>
      </c>
      <c r="P508" s="65" t="s">
        <v>2139</v>
      </c>
      <c r="Q508" s="65" t="s">
        <v>41</v>
      </c>
      <c r="R508">
        <v>1</v>
      </c>
      <c r="S508" s="65" t="s">
        <v>70</v>
      </c>
      <c r="T508" s="65" t="s">
        <v>43</v>
      </c>
      <c r="U508" s="65" t="s">
        <v>44</v>
      </c>
      <c r="V508" s="65" t="s">
        <v>71</v>
      </c>
      <c r="W508" s="65" t="s">
        <v>72</v>
      </c>
      <c r="X508">
        <v>186.44</v>
      </c>
      <c r="Y508" s="65" t="s">
        <v>47</v>
      </c>
      <c r="Z508" s="65" t="s">
        <v>48</v>
      </c>
      <c r="AA508" s="65" t="s">
        <v>73</v>
      </c>
      <c r="AB508">
        <v>978789268</v>
      </c>
      <c r="AC508" s="65" t="s">
        <v>633</v>
      </c>
      <c r="AD508">
        <v>50</v>
      </c>
    </row>
    <row r="509" spans="1:30" x14ac:dyDescent="0.3">
      <c r="A509" s="1">
        <v>46258</v>
      </c>
      <c r="B509" s="65" t="s">
        <v>4004</v>
      </c>
      <c r="C509" s="65" t="s">
        <v>2140</v>
      </c>
      <c r="D509" s="65" t="s">
        <v>268</v>
      </c>
      <c r="E509" s="65" t="s">
        <v>2141</v>
      </c>
      <c r="F509" s="65" t="s">
        <v>31</v>
      </c>
      <c r="G509" s="65" t="s">
        <v>2142</v>
      </c>
      <c r="H509" s="65" t="s">
        <v>2143</v>
      </c>
      <c r="I509" s="65" t="s">
        <v>2144</v>
      </c>
      <c r="J509" s="65" t="s">
        <v>2145</v>
      </c>
      <c r="K509" s="65" t="s">
        <v>2146</v>
      </c>
      <c r="L509" s="65" t="s">
        <v>37</v>
      </c>
      <c r="M509" s="65" t="s">
        <v>2147</v>
      </c>
      <c r="N509" s="65" t="s">
        <v>2148</v>
      </c>
      <c r="O509" s="65" t="s">
        <v>2149</v>
      </c>
      <c r="P509" s="65" t="s">
        <v>2150</v>
      </c>
      <c r="Q509" s="65" t="s">
        <v>90</v>
      </c>
      <c r="R509">
        <v>1</v>
      </c>
      <c r="S509" s="65" t="s">
        <v>42</v>
      </c>
      <c r="T509" s="65" t="s">
        <v>44</v>
      </c>
      <c r="U509" s="65" t="s">
        <v>44</v>
      </c>
      <c r="V509" s="65" t="s">
        <v>45</v>
      </c>
      <c r="W509" s="65" t="s">
        <v>46</v>
      </c>
      <c r="X509">
        <v>135.59</v>
      </c>
      <c r="Y509" s="65" t="s">
        <v>47</v>
      </c>
      <c r="Z509" s="65" t="s">
        <v>48</v>
      </c>
      <c r="AA509" s="65" t="s">
        <v>49</v>
      </c>
      <c r="AB509">
        <v>990006387</v>
      </c>
      <c r="AC509" s="65"/>
      <c r="AD509">
        <v>30</v>
      </c>
    </row>
    <row r="510" spans="1:30" x14ac:dyDescent="0.3">
      <c r="A510" s="1">
        <v>46259</v>
      </c>
      <c r="B510" s="65" t="s">
        <v>4004</v>
      </c>
      <c r="C510" s="65" t="s">
        <v>2151</v>
      </c>
      <c r="D510" s="65" t="s">
        <v>29</v>
      </c>
      <c r="E510" s="65" t="s">
        <v>2152</v>
      </c>
      <c r="F510" s="65" t="s">
        <v>31</v>
      </c>
      <c r="G510" s="65" t="s">
        <v>2153</v>
      </c>
      <c r="H510" s="65" t="s">
        <v>2154</v>
      </c>
      <c r="I510" s="65" t="s">
        <v>2155</v>
      </c>
      <c r="J510" s="65" t="s">
        <v>774</v>
      </c>
      <c r="K510" s="65" t="s">
        <v>775</v>
      </c>
      <c r="L510" s="65" t="s">
        <v>37</v>
      </c>
      <c r="M510" s="65" t="s">
        <v>2156</v>
      </c>
      <c r="N510" s="65" t="s">
        <v>2157</v>
      </c>
      <c r="O510" s="65" t="s">
        <v>2154</v>
      </c>
      <c r="P510" s="65" t="s">
        <v>2158</v>
      </c>
      <c r="Q510" s="65" t="s">
        <v>641</v>
      </c>
      <c r="R510">
        <v>1</v>
      </c>
      <c r="S510" s="65" t="s">
        <v>42</v>
      </c>
      <c r="T510" s="65" t="s">
        <v>44</v>
      </c>
      <c r="U510" s="65" t="s">
        <v>44</v>
      </c>
      <c r="V510" s="65" t="s">
        <v>45</v>
      </c>
      <c r="W510" s="65" t="s">
        <v>46</v>
      </c>
      <c r="X510">
        <v>84.75</v>
      </c>
      <c r="Y510" s="65" t="s">
        <v>47</v>
      </c>
      <c r="Z510" s="65" t="s">
        <v>48</v>
      </c>
      <c r="AA510" s="65" t="s">
        <v>49</v>
      </c>
      <c r="AC510" s="65"/>
    </row>
    <row r="511" spans="1:30" x14ac:dyDescent="0.3">
      <c r="A511" s="1">
        <v>46259</v>
      </c>
      <c r="B511" s="65" t="s">
        <v>4004</v>
      </c>
      <c r="C511" s="65" t="s">
        <v>2159</v>
      </c>
      <c r="D511" s="65" t="s">
        <v>29</v>
      </c>
      <c r="E511" s="65" t="s">
        <v>2160</v>
      </c>
      <c r="F511" s="65" t="s">
        <v>31</v>
      </c>
      <c r="G511" s="65" t="s">
        <v>2161</v>
      </c>
      <c r="H511" s="65" t="s">
        <v>2154</v>
      </c>
      <c r="I511" s="65" t="s">
        <v>2155</v>
      </c>
      <c r="J511" s="65" t="s">
        <v>774</v>
      </c>
      <c r="K511" s="65" t="s">
        <v>775</v>
      </c>
      <c r="L511" s="65" t="s">
        <v>37</v>
      </c>
      <c r="M511" s="65" t="s">
        <v>2156</v>
      </c>
      <c r="N511" s="65" t="s">
        <v>2157</v>
      </c>
      <c r="O511" s="65" t="s">
        <v>2154</v>
      </c>
      <c r="P511" s="65" t="s">
        <v>2162</v>
      </c>
      <c r="Q511" s="65" t="s">
        <v>828</v>
      </c>
      <c r="R511">
        <v>1</v>
      </c>
      <c r="S511" s="65" t="s">
        <v>42</v>
      </c>
      <c r="T511" s="65" t="s">
        <v>44</v>
      </c>
      <c r="U511" s="65" t="s">
        <v>44</v>
      </c>
      <c r="V511" s="65" t="s">
        <v>45</v>
      </c>
      <c r="W511" s="65" t="s">
        <v>46</v>
      </c>
      <c r="X511">
        <v>127.12</v>
      </c>
      <c r="Y511" s="65" t="s">
        <v>47</v>
      </c>
      <c r="Z511" s="65" t="s">
        <v>48</v>
      </c>
      <c r="AA511" s="65" t="s">
        <v>49</v>
      </c>
      <c r="AC511" s="65"/>
    </row>
    <row r="512" spans="1:30" x14ac:dyDescent="0.3">
      <c r="A512" s="1">
        <v>46259</v>
      </c>
      <c r="B512" s="65" t="s">
        <v>4004</v>
      </c>
      <c r="C512" s="65" t="s">
        <v>2163</v>
      </c>
      <c r="D512" s="65" t="s">
        <v>268</v>
      </c>
      <c r="E512" s="65" t="s">
        <v>2164</v>
      </c>
      <c r="F512" s="65" t="s">
        <v>31</v>
      </c>
      <c r="G512" s="65" t="s">
        <v>2165</v>
      </c>
      <c r="H512" s="65" t="s">
        <v>2166</v>
      </c>
      <c r="I512" s="65" t="s">
        <v>2167</v>
      </c>
      <c r="J512" s="65" t="s">
        <v>1322</v>
      </c>
      <c r="K512" s="65" t="s">
        <v>36</v>
      </c>
      <c r="L512" s="65" t="s">
        <v>37</v>
      </c>
      <c r="M512" s="65" t="s">
        <v>2168</v>
      </c>
      <c r="N512" s="65" t="s">
        <v>2169</v>
      </c>
      <c r="O512" s="65" t="s">
        <v>2170</v>
      </c>
      <c r="P512" s="65" t="s">
        <v>2171</v>
      </c>
      <c r="Q512" s="65" t="s">
        <v>41</v>
      </c>
      <c r="R512">
        <v>1</v>
      </c>
      <c r="S512" s="65" t="s">
        <v>42</v>
      </c>
      <c r="T512" s="65" t="s">
        <v>44</v>
      </c>
      <c r="U512" s="65" t="s">
        <v>44</v>
      </c>
      <c r="V512" s="65" t="s">
        <v>45</v>
      </c>
      <c r="W512" s="65" t="s">
        <v>60</v>
      </c>
      <c r="X512">
        <v>186.44</v>
      </c>
      <c r="Y512" s="65" t="s">
        <v>47</v>
      </c>
      <c r="Z512" s="65" t="s">
        <v>48</v>
      </c>
      <c r="AA512" s="65" t="s">
        <v>49</v>
      </c>
      <c r="AB512">
        <v>999111362</v>
      </c>
      <c r="AC512" s="65" t="s">
        <v>1326</v>
      </c>
      <c r="AD512">
        <v>50</v>
      </c>
    </row>
    <row r="513" spans="1:30" x14ac:dyDescent="0.3">
      <c r="A513" s="1">
        <v>46259</v>
      </c>
      <c r="B513" s="65" t="s">
        <v>4004</v>
      </c>
      <c r="C513" s="65" t="s">
        <v>2172</v>
      </c>
      <c r="D513" s="65" t="s">
        <v>268</v>
      </c>
      <c r="E513" s="65" t="s">
        <v>2173</v>
      </c>
      <c r="F513" s="65" t="s">
        <v>31</v>
      </c>
      <c r="G513" s="65" t="s">
        <v>2174</v>
      </c>
      <c r="H513" s="65" t="s">
        <v>2175</v>
      </c>
      <c r="I513" s="65" t="s">
        <v>2176</v>
      </c>
      <c r="J513" s="65" t="s">
        <v>2177</v>
      </c>
      <c r="K513" s="65"/>
      <c r="L513" s="65" t="s">
        <v>37</v>
      </c>
      <c r="M513" s="65" t="s">
        <v>2178</v>
      </c>
      <c r="N513" s="65" t="s">
        <v>2179</v>
      </c>
      <c r="O513" s="65" t="s">
        <v>2180</v>
      </c>
      <c r="P513" s="65" t="s">
        <v>2181</v>
      </c>
      <c r="Q513" s="65" t="s">
        <v>202</v>
      </c>
      <c r="R513">
        <v>1</v>
      </c>
      <c r="S513" s="65" t="s">
        <v>42</v>
      </c>
      <c r="T513" s="65" t="s">
        <v>44</v>
      </c>
      <c r="U513" s="65" t="s">
        <v>44</v>
      </c>
      <c r="V513" s="65" t="s">
        <v>45</v>
      </c>
      <c r="W513" s="65" t="s">
        <v>60</v>
      </c>
      <c r="X513">
        <v>135.59</v>
      </c>
      <c r="Y513" s="65" t="s">
        <v>47</v>
      </c>
      <c r="Z513" s="65" t="s">
        <v>48</v>
      </c>
      <c r="AA513" s="65" t="s">
        <v>49</v>
      </c>
      <c r="AC513" s="65"/>
      <c r="AD513">
        <v>30</v>
      </c>
    </row>
    <row r="514" spans="1:30" x14ac:dyDescent="0.3">
      <c r="A514" s="1">
        <v>46259</v>
      </c>
      <c r="B514" s="65" t="s">
        <v>4004</v>
      </c>
      <c r="C514" s="65" t="s">
        <v>2182</v>
      </c>
      <c r="D514" s="65" t="s">
        <v>268</v>
      </c>
      <c r="E514" s="65" t="s">
        <v>2183</v>
      </c>
      <c r="F514" s="65" t="s">
        <v>31</v>
      </c>
      <c r="G514" s="65" t="s">
        <v>2184</v>
      </c>
      <c r="H514" s="65" t="s">
        <v>2185</v>
      </c>
      <c r="I514" s="65" t="s">
        <v>2186</v>
      </c>
      <c r="J514" s="65" t="s">
        <v>273</v>
      </c>
      <c r="K514" s="65" t="s">
        <v>274</v>
      </c>
      <c r="L514" s="65" t="s">
        <v>37</v>
      </c>
      <c r="M514" s="65" t="s">
        <v>2187</v>
      </c>
      <c r="N514" s="65" t="s">
        <v>2188</v>
      </c>
      <c r="O514" s="65" t="s">
        <v>277</v>
      </c>
      <c r="P514" s="65" t="s">
        <v>2189</v>
      </c>
      <c r="Q514" s="65" t="s">
        <v>288</v>
      </c>
      <c r="R514">
        <v>1</v>
      </c>
      <c r="S514" s="65" t="s">
        <v>42</v>
      </c>
      <c r="T514" s="65" t="s">
        <v>44</v>
      </c>
      <c r="U514" s="65" t="s">
        <v>44</v>
      </c>
      <c r="V514" s="65" t="s">
        <v>45</v>
      </c>
      <c r="W514" s="65" t="s">
        <v>46</v>
      </c>
      <c r="X514">
        <v>0</v>
      </c>
      <c r="Y514" s="65" t="s">
        <v>289</v>
      </c>
      <c r="Z514" s="65" t="s">
        <v>48</v>
      </c>
      <c r="AA514" s="65" t="s">
        <v>49</v>
      </c>
      <c r="AB514">
        <v>950133748</v>
      </c>
      <c r="AC514" s="65" t="s">
        <v>279</v>
      </c>
    </row>
    <row r="515" spans="1:30" x14ac:dyDescent="0.3">
      <c r="A515" s="1">
        <v>46259</v>
      </c>
      <c r="B515" s="65" t="s">
        <v>4004</v>
      </c>
      <c r="C515" s="65" t="s">
        <v>2182</v>
      </c>
      <c r="D515" s="65" t="s">
        <v>268</v>
      </c>
      <c r="E515" s="65" t="s">
        <v>2183</v>
      </c>
      <c r="F515" s="65" t="s">
        <v>31</v>
      </c>
      <c r="G515" s="65" t="s">
        <v>2184</v>
      </c>
      <c r="H515" s="65" t="s">
        <v>2185</v>
      </c>
      <c r="I515" s="65" t="s">
        <v>2186</v>
      </c>
      <c r="J515" s="65" t="s">
        <v>273</v>
      </c>
      <c r="K515" s="65" t="s">
        <v>274</v>
      </c>
      <c r="L515" s="65" t="s">
        <v>37</v>
      </c>
      <c r="M515" s="65" t="s">
        <v>2187</v>
      </c>
      <c r="N515" s="65" t="s">
        <v>2188</v>
      </c>
      <c r="O515" s="65" t="s">
        <v>277</v>
      </c>
      <c r="P515" s="65" t="s">
        <v>2189</v>
      </c>
      <c r="Q515" s="65" t="s">
        <v>290</v>
      </c>
      <c r="R515">
        <v>1</v>
      </c>
      <c r="S515" s="65" t="s">
        <v>42</v>
      </c>
      <c r="T515" s="65" t="s">
        <v>44</v>
      </c>
      <c r="U515" s="65" t="s">
        <v>44</v>
      </c>
      <c r="V515" s="65" t="s">
        <v>45</v>
      </c>
      <c r="W515" s="65" t="s">
        <v>46</v>
      </c>
      <c r="X515">
        <v>3211.86</v>
      </c>
      <c r="Y515" s="65" t="s">
        <v>289</v>
      </c>
      <c r="Z515" s="65" t="s">
        <v>48</v>
      </c>
      <c r="AA515" s="65" t="s">
        <v>49</v>
      </c>
      <c r="AB515">
        <v>950133748</v>
      </c>
      <c r="AC515" s="65" t="s">
        <v>279</v>
      </c>
    </row>
    <row r="516" spans="1:30" x14ac:dyDescent="0.3">
      <c r="A516" s="1">
        <v>46259</v>
      </c>
      <c r="B516" s="65" t="s">
        <v>4004</v>
      </c>
      <c r="C516" s="65" t="s">
        <v>2190</v>
      </c>
      <c r="D516" s="65" t="s">
        <v>268</v>
      </c>
      <c r="E516" s="65" t="s">
        <v>2191</v>
      </c>
      <c r="F516" s="65" t="s">
        <v>31</v>
      </c>
      <c r="G516" s="65" t="s">
        <v>2192</v>
      </c>
      <c r="H516" s="65" t="s">
        <v>2193</v>
      </c>
      <c r="I516" s="65" t="s">
        <v>2194</v>
      </c>
      <c r="J516" s="65" t="s">
        <v>273</v>
      </c>
      <c r="K516" s="65" t="s">
        <v>274</v>
      </c>
      <c r="L516" s="65" t="s">
        <v>37</v>
      </c>
      <c r="M516" s="65" t="s">
        <v>2195</v>
      </c>
      <c r="N516" s="65" t="s">
        <v>2196</v>
      </c>
      <c r="O516" s="65" t="s">
        <v>277</v>
      </c>
      <c r="P516" s="65" t="s">
        <v>2197</v>
      </c>
      <c r="Q516" s="65" t="s">
        <v>288</v>
      </c>
      <c r="R516">
        <v>1</v>
      </c>
      <c r="S516" s="65" t="s">
        <v>42</v>
      </c>
      <c r="T516" s="65" t="s">
        <v>44</v>
      </c>
      <c r="U516" s="65" t="s">
        <v>44</v>
      </c>
      <c r="V516" s="65" t="s">
        <v>45</v>
      </c>
      <c r="W516" s="65" t="s">
        <v>46</v>
      </c>
      <c r="X516">
        <v>0</v>
      </c>
      <c r="Y516" s="65" t="s">
        <v>289</v>
      </c>
      <c r="Z516" s="65" t="s">
        <v>48</v>
      </c>
      <c r="AA516" s="65" t="s">
        <v>49</v>
      </c>
      <c r="AB516">
        <v>950133748</v>
      </c>
      <c r="AC516" s="65" t="s">
        <v>279</v>
      </c>
    </row>
    <row r="517" spans="1:30" x14ac:dyDescent="0.3">
      <c r="A517" s="1">
        <v>46259</v>
      </c>
      <c r="B517" s="65" t="s">
        <v>4004</v>
      </c>
      <c r="C517" s="65" t="s">
        <v>2190</v>
      </c>
      <c r="D517" s="65" t="s">
        <v>268</v>
      </c>
      <c r="E517" s="65" t="s">
        <v>2191</v>
      </c>
      <c r="F517" s="65" t="s">
        <v>31</v>
      </c>
      <c r="G517" s="65" t="s">
        <v>2192</v>
      </c>
      <c r="H517" s="65" t="s">
        <v>2193</v>
      </c>
      <c r="I517" s="65" t="s">
        <v>2194</v>
      </c>
      <c r="J517" s="65" t="s">
        <v>273</v>
      </c>
      <c r="K517" s="65" t="s">
        <v>274</v>
      </c>
      <c r="L517" s="65" t="s">
        <v>37</v>
      </c>
      <c r="M517" s="65" t="s">
        <v>2195</v>
      </c>
      <c r="N517" s="65" t="s">
        <v>2196</v>
      </c>
      <c r="O517" s="65" t="s">
        <v>277</v>
      </c>
      <c r="P517" s="65" t="s">
        <v>2197</v>
      </c>
      <c r="Q517" s="65" t="s">
        <v>290</v>
      </c>
      <c r="R517">
        <v>1</v>
      </c>
      <c r="S517" s="65" t="s">
        <v>42</v>
      </c>
      <c r="T517" s="65" t="s">
        <v>44</v>
      </c>
      <c r="U517" s="65" t="s">
        <v>44</v>
      </c>
      <c r="V517" s="65" t="s">
        <v>45</v>
      </c>
      <c r="W517" s="65" t="s">
        <v>46</v>
      </c>
      <c r="X517">
        <v>1305.08</v>
      </c>
      <c r="Y517" s="65" t="s">
        <v>289</v>
      </c>
      <c r="Z517" s="65" t="s">
        <v>48</v>
      </c>
      <c r="AA517" s="65" t="s">
        <v>49</v>
      </c>
      <c r="AB517">
        <v>950133748</v>
      </c>
      <c r="AC517" s="65" t="s">
        <v>279</v>
      </c>
    </row>
    <row r="518" spans="1:30" x14ac:dyDescent="0.3">
      <c r="A518" s="1">
        <v>46259</v>
      </c>
      <c r="B518" s="65" t="s">
        <v>4004</v>
      </c>
      <c r="C518" s="65" t="s">
        <v>2198</v>
      </c>
      <c r="D518" s="65" t="s">
        <v>268</v>
      </c>
      <c r="E518" s="65" t="s">
        <v>2199</v>
      </c>
      <c r="F518" s="65" t="s">
        <v>31</v>
      </c>
      <c r="G518" s="65" t="s">
        <v>2200</v>
      </c>
      <c r="H518" s="65" t="s">
        <v>2185</v>
      </c>
      <c r="I518" s="65" t="s">
        <v>2186</v>
      </c>
      <c r="J518" s="65" t="s">
        <v>273</v>
      </c>
      <c r="K518" s="65" t="s">
        <v>274</v>
      </c>
      <c r="L518" s="65" t="s">
        <v>37</v>
      </c>
      <c r="M518" s="65" t="s">
        <v>2187</v>
      </c>
      <c r="N518" s="65" t="s">
        <v>2188</v>
      </c>
      <c r="O518" s="65" t="s">
        <v>277</v>
      </c>
      <c r="P518" s="65" t="s">
        <v>2201</v>
      </c>
      <c r="Q518" s="65" t="s">
        <v>201</v>
      </c>
      <c r="R518">
        <v>1</v>
      </c>
      <c r="S518" s="65" t="s">
        <v>42</v>
      </c>
      <c r="T518" s="65" t="s">
        <v>44</v>
      </c>
      <c r="U518" s="65" t="s">
        <v>44</v>
      </c>
      <c r="V518" s="65" t="s">
        <v>45</v>
      </c>
      <c r="W518" s="65" t="s">
        <v>60</v>
      </c>
      <c r="X518">
        <v>152.54</v>
      </c>
      <c r="Y518" s="65" t="s">
        <v>47</v>
      </c>
      <c r="Z518" s="65" t="s">
        <v>48</v>
      </c>
      <c r="AA518" s="65" t="s">
        <v>49</v>
      </c>
      <c r="AB518">
        <v>950133748</v>
      </c>
      <c r="AC518" s="65" t="s">
        <v>279</v>
      </c>
      <c r="AD518">
        <v>30</v>
      </c>
    </row>
    <row r="519" spans="1:30" x14ac:dyDescent="0.3">
      <c r="A519" s="1">
        <v>46259</v>
      </c>
      <c r="B519" s="65" t="s">
        <v>4004</v>
      </c>
      <c r="C519" s="65" t="s">
        <v>2202</v>
      </c>
      <c r="D519" s="65" t="s">
        <v>29</v>
      </c>
      <c r="E519" s="65" t="s">
        <v>2203</v>
      </c>
      <c r="F519" s="65" t="s">
        <v>31</v>
      </c>
      <c r="G519" s="65" t="s">
        <v>2204</v>
      </c>
      <c r="H519" s="65" t="s">
        <v>2205</v>
      </c>
      <c r="I519" s="65" t="s">
        <v>2206</v>
      </c>
      <c r="J519" s="65" t="s">
        <v>1873</v>
      </c>
      <c r="K519" s="65"/>
      <c r="L519" s="65" t="s">
        <v>37</v>
      </c>
      <c r="M519" s="65" t="s">
        <v>2207</v>
      </c>
      <c r="N519" s="65" t="s">
        <v>2208</v>
      </c>
      <c r="O519" s="65" t="s">
        <v>2205</v>
      </c>
      <c r="P519" s="65" t="s">
        <v>2209</v>
      </c>
      <c r="Q519" s="65" t="s">
        <v>202</v>
      </c>
      <c r="R519">
        <v>1</v>
      </c>
      <c r="S519" s="65" t="s">
        <v>42</v>
      </c>
      <c r="T519" s="65" t="s">
        <v>44</v>
      </c>
      <c r="U519" s="65" t="s">
        <v>44</v>
      </c>
      <c r="V519" s="65" t="s">
        <v>71</v>
      </c>
      <c r="W519" s="65" t="s">
        <v>2054</v>
      </c>
      <c r="X519">
        <v>135.59</v>
      </c>
      <c r="Y519" s="65" t="s">
        <v>47</v>
      </c>
      <c r="Z519" s="65" t="s">
        <v>48</v>
      </c>
      <c r="AA519" s="65" t="s">
        <v>73</v>
      </c>
      <c r="AC519" s="65"/>
      <c r="AD519">
        <v>30</v>
      </c>
    </row>
    <row r="520" spans="1:30" x14ac:dyDescent="0.3">
      <c r="A520" s="1">
        <v>46260</v>
      </c>
      <c r="B520" s="65" t="s">
        <v>4004</v>
      </c>
      <c r="C520" s="65" t="s">
        <v>2210</v>
      </c>
      <c r="D520" s="65" t="s">
        <v>29</v>
      </c>
      <c r="E520" s="65" t="s">
        <v>2211</v>
      </c>
      <c r="F520" s="65" t="s">
        <v>31</v>
      </c>
      <c r="G520" s="65" t="s">
        <v>2212</v>
      </c>
      <c r="H520" s="65" t="s">
        <v>2213</v>
      </c>
      <c r="I520" s="65" t="s">
        <v>2214</v>
      </c>
      <c r="J520" s="65" t="s">
        <v>2177</v>
      </c>
      <c r="K520" s="65"/>
      <c r="L520" s="65" t="s">
        <v>37</v>
      </c>
      <c r="M520" s="65" t="s">
        <v>2215</v>
      </c>
      <c r="N520" s="65" t="s">
        <v>2216</v>
      </c>
      <c r="O520" s="65" t="s">
        <v>2213</v>
      </c>
      <c r="P520" s="65" t="s">
        <v>2217</v>
      </c>
      <c r="Q520" s="65" t="s">
        <v>202</v>
      </c>
      <c r="R520">
        <v>1</v>
      </c>
      <c r="S520" s="65" t="s">
        <v>42</v>
      </c>
      <c r="T520" s="65" t="s">
        <v>44</v>
      </c>
      <c r="U520" s="65" t="s">
        <v>44</v>
      </c>
      <c r="V520" s="65" t="s">
        <v>45</v>
      </c>
      <c r="W520" s="65" t="s">
        <v>46</v>
      </c>
      <c r="X520">
        <v>135.59</v>
      </c>
      <c r="Y520" s="65" t="s">
        <v>47</v>
      </c>
      <c r="Z520" s="65" t="s">
        <v>48</v>
      </c>
      <c r="AA520" s="65" t="s">
        <v>49</v>
      </c>
      <c r="AC520" s="65"/>
      <c r="AD520">
        <v>30</v>
      </c>
    </row>
    <row r="521" spans="1:30" x14ac:dyDescent="0.3">
      <c r="A521" s="1">
        <v>46260</v>
      </c>
      <c r="B521" s="65" t="s">
        <v>4004</v>
      </c>
      <c r="C521" s="65" t="s">
        <v>2218</v>
      </c>
      <c r="D521" s="65" t="s">
        <v>268</v>
      </c>
      <c r="E521" s="65" t="s">
        <v>2219</v>
      </c>
      <c r="F521" s="65" t="s">
        <v>31</v>
      </c>
      <c r="G521" s="65" t="s">
        <v>2220</v>
      </c>
      <c r="H521" s="65" t="s">
        <v>2221</v>
      </c>
      <c r="I521" s="65" t="s">
        <v>2222</v>
      </c>
      <c r="J521" s="65" t="s">
        <v>2226</v>
      </c>
      <c r="K521" s="65" t="s">
        <v>36</v>
      </c>
      <c r="L521" s="65" t="s">
        <v>37</v>
      </c>
      <c r="M521" s="65" t="s">
        <v>2224</v>
      </c>
      <c r="N521" s="65" t="s">
        <v>2225</v>
      </c>
      <c r="O521" s="65" t="s">
        <v>2226</v>
      </c>
      <c r="P521" s="65" t="s">
        <v>2227</v>
      </c>
      <c r="Q521" s="65" t="s">
        <v>481</v>
      </c>
      <c r="R521">
        <v>2</v>
      </c>
      <c r="S521" s="65" t="s">
        <v>42</v>
      </c>
      <c r="T521" s="65" t="s">
        <v>44</v>
      </c>
      <c r="U521" s="65" t="s">
        <v>44</v>
      </c>
      <c r="V521" s="65" t="s">
        <v>45</v>
      </c>
      <c r="W521" s="65" t="s">
        <v>60</v>
      </c>
      <c r="X521">
        <v>203.39</v>
      </c>
      <c r="Y521" s="65" t="s">
        <v>61</v>
      </c>
      <c r="Z521" s="65" t="s">
        <v>48</v>
      </c>
      <c r="AA521" s="65" t="s">
        <v>49</v>
      </c>
      <c r="AC521" s="65"/>
    </row>
    <row r="522" spans="1:30" x14ac:dyDescent="0.3">
      <c r="A522" s="1">
        <v>46260</v>
      </c>
      <c r="B522" s="65" t="s">
        <v>4004</v>
      </c>
      <c r="C522" s="65" t="s">
        <v>2228</v>
      </c>
      <c r="D522" s="65" t="s">
        <v>29</v>
      </c>
      <c r="E522" s="65" t="s">
        <v>2229</v>
      </c>
      <c r="F522" s="65" t="s">
        <v>31</v>
      </c>
      <c r="G522" s="65" t="s">
        <v>2230</v>
      </c>
      <c r="H522" s="65" t="s">
        <v>2231</v>
      </c>
      <c r="I522" s="65" t="s">
        <v>2232</v>
      </c>
      <c r="J522" s="65" t="s">
        <v>2795</v>
      </c>
      <c r="K522" s="65" t="s">
        <v>209</v>
      </c>
      <c r="L522" s="65" t="s">
        <v>37</v>
      </c>
      <c r="M522" s="65" t="s">
        <v>2233</v>
      </c>
      <c r="N522" s="65" t="s">
        <v>2234</v>
      </c>
      <c r="O522" s="65" t="s">
        <v>2231</v>
      </c>
      <c r="P522" s="65" t="s">
        <v>2235</v>
      </c>
      <c r="Q522" s="65" t="s">
        <v>159</v>
      </c>
      <c r="R522">
        <v>1</v>
      </c>
      <c r="S522" s="65" t="s">
        <v>42</v>
      </c>
      <c r="T522" s="65" t="s">
        <v>44</v>
      </c>
      <c r="U522" s="65" t="s">
        <v>44</v>
      </c>
      <c r="V522" s="65" t="s">
        <v>45</v>
      </c>
      <c r="W522" s="65" t="s">
        <v>60</v>
      </c>
      <c r="X522">
        <v>135.59</v>
      </c>
      <c r="Y522" s="65" t="s">
        <v>47</v>
      </c>
      <c r="Z522" s="65" t="s">
        <v>48</v>
      </c>
      <c r="AA522" s="65" t="s">
        <v>49</v>
      </c>
      <c r="AB522">
        <v>994872106</v>
      </c>
      <c r="AC522" s="65" t="s">
        <v>1253</v>
      </c>
      <c r="AD522">
        <v>30</v>
      </c>
    </row>
    <row r="523" spans="1:30" x14ac:dyDescent="0.3">
      <c r="A523" s="1">
        <v>46260</v>
      </c>
      <c r="B523" s="65" t="s">
        <v>4004</v>
      </c>
      <c r="C523" s="65" t="s">
        <v>2236</v>
      </c>
      <c r="D523" s="65" t="s">
        <v>29</v>
      </c>
      <c r="E523" s="65" t="s">
        <v>2237</v>
      </c>
      <c r="F523" s="65" t="s">
        <v>31</v>
      </c>
      <c r="G523" s="65" t="s">
        <v>2238</v>
      </c>
      <c r="H523" s="65" t="s">
        <v>2239</v>
      </c>
      <c r="I523" s="65" t="s">
        <v>2240</v>
      </c>
      <c r="J523" s="65" t="s">
        <v>2241</v>
      </c>
      <c r="K523" s="65" t="s">
        <v>209</v>
      </c>
      <c r="L523" s="65" t="s">
        <v>37</v>
      </c>
      <c r="M523" s="65" t="s">
        <v>2242</v>
      </c>
      <c r="N523" s="65" t="s">
        <v>2243</v>
      </c>
      <c r="O523" s="65" t="s">
        <v>2239</v>
      </c>
      <c r="P523" s="65" t="s">
        <v>2244</v>
      </c>
      <c r="Q523" s="65" t="s">
        <v>159</v>
      </c>
      <c r="R523">
        <v>1</v>
      </c>
      <c r="S523" s="65" t="s">
        <v>42</v>
      </c>
      <c r="T523" s="65" t="s">
        <v>44</v>
      </c>
      <c r="U523" s="65" t="s">
        <v>44</v>
      </c>
      <c r="V523" s="65" t="s">
        <v>45</v>
      </c>
      <c r="W523" s="65" t="s">
        <v>46</v>
      </c>
      <c r="X523">
        <v>135.59</v>
      </c>
      <c r="Y523" s="65" t="s">
        <v>47</v>
      </c>
      <c r="Z523" s="65" t="s">
        <v>48</v>
      </c>
      <c r="AA523" s="65" t="s">
        <v>49</v>
      </c>
      <c r="AB523">
        <v>996106133</v>
      </c>
      <c r="AC523" s="65"/>
      <c r="AD523">
        <v>30</v>
      </c>
    </row>
    <row r="524" spans="1:30" x14ac:dyDescent="0.3">
      <c r="A524" s="1">
        <v>46260</v>
      </c>
      <c r="B524" s="65" t="s">
        <v>4004</v>
      </c>
      <c r="C524" s="65" t="s">
        <v>2245</v>
      </c>
      <c r="D524" s="65" t="s">
        <v>268</v>
      </c>
      <c r="E524" s="65" t="s">
        <v>2246</v>
      </c>
      <c r="F524" s="65" t="s">
        <v>31</v>
      </c>
      <c r="G524" s="65" t="s">
        <v>2247</v>
      </c>
      <c r="H524" s="65" t="s">
        <v>2248</v>
      </c>
      <c r="I524" s="65" t="s">
        <v>2249</v>
      </c>
      <c r="J524" s="65" t="s">
        <v>762</v>
      </c>
      <c r="K524" s="65" t="s">
        <v>209</v>
      </c>
      <c r="L524" s="65" t="s">
        <v>37</v>
      </c>
      <c r="M524" s="65" t="s">
        <v>2250</v>
      </c>
      <c r="N524" s="65" t="s">
        <v>2251</v>
      </c>
      <c r="O524" s="65" t="s">
        <v>765</v>
      </c>
      <c r="P524" s="65" t="s">
        <v>2252</v>
      </c>
      <c r="Q524" s="65" t="s">
        <v>481</v>
      </c>
      <c r="R524">
        <v>1</v>
      </c>
      <c r="S524" s="65" t="s">
        <v>42</v>
      </c>
      <c r="T524" s="65" t="s">
        <v>44</v>
      </c>
      <c r="U524" s="65" t="s">
        <v>44</v>
      </c>
      <c r="V524" s="65" t="s">
        <v>45</v>
      </c>
      <c r="W524" s="65" t="s">
        <v>60</v>
      </c>
      <c r="X524">
        <v>101.69</v>
      </c>
      <c r="Y524" s="65" t="s">
        <v>61</v>
      </c>
      <c r="Z524" s="65" t="s">
        <v>48</v>
      </c>
      <c r="AA524" s="65" t="s">
        <v>49</v>
      </c>
      <c r="AB524">
        <v>969791876</v>
      </c>
      <c r="AC524" s="65" t="s">
        <v>768</v>
      </c>
    </row>
    <row r="525" spans="1:30" x14ac:dyDescent="0.3">
      <c r="A525" s="1">
        <v>46260</v>
      </c>
      <c r="B525" s="65" t="s">
        <v>4004</v>
      </c>
      <c r="C525" s="65" t="s">
        <v>2253</v>
      </c>
      <c r="D525" s="65" t="s">
        <v>29</v>
      </c>
      <c r="E525" s="65" t="s">
        <v>2254</v>
      </c>
      <c r="F525" s="65" t="s">
        <v>31</v>
      </c>
      <c r="G525" s="65" t="s">
        <v>2255</v>
      </c>
      <c r="H525" s="65" t="s">
        <v>2256</v>
      </c>
      <c r="I525" s="65" t="s">
        <v>2257</v>
      </c>
      <c r="J525" s="65" t="s">
        <v>2739</v>
      </c>
      <c r="K525" s="65" t="s">
        <v>209</v>
      </c>
      <c r="L525" s="65" t="s">
        <v>37</v>
      </c>
      <c r="M525" s="65" t="s">
        <v>2258</v>
      </c>
      <c r="N525" s="65" t="s">
        <v>2259</v>
      </c>
      <c r="O525" s="65" t="s">
        <v>2256</v>
      </c>
      <c r="P525" s="65" t="s">
        <v>2260</v>
      </c>
      <c r="Q525" s="65" t="s">
        <v>202</v>
      </c>
      <c r="R525">
        <v>1</v>
      </c>
      <c r="S525" s="65" t="s">
        <v>42</v>
      </c>
      <c r="T525" s="65" t="s">
        <v>44</v>
      </c>
      <c r="U525" s="65" t="s">
        <v>44</v>
      </c>
      <c r="V525" s="65" t="s">
        <v>45</v>
      </c>
      <c r="W525" s="65" t="s">
        <v>60</v>
      </c>
      <c r="X525">
        <v>135.59</v>
      </c>
      <c r="Y525" s="65" t="s">
        <v>47</v>
      </c>
      <c r="Z525" s="65" t="s">
        <v>48</v>
      </c>
      <c r="AA525" s="65" t="s">
        <v>49</v>
      </c>
      <c r="AC525" s="65"/>
      <c r="AD525">
        <v>30</v>
      </c>
    </row>
    <row r="526" spans="1:30" x14ac:dyDescent="0.3">
      <c r="A526" s="1">
        <v>46260</v>
      </c>
      <c r="B526" s="65" t="s">
        <v>4004</v>
      </c>
      <c r="C526" s="65" t="s">
        <v>2261</v>
      </c>
      <c r="D526" s="65" t="s">
        <v>29</v>
      </c>
      <c r="E526" s="65" t="s">
        <v>2262</v>
      </c>
      <c r="F526" s="65" t="s">
        <v>31</v>
      </c>
      <c r="G526" s="65" t="s">
        <v>2263</v>
      </c>
      <c r="H526" s="65" t="s">
        <v>2264</v>
      </c>
      <c r="I526" s="65" t="s">
        <v>2265</v>
      </c>
      <c r="J526" s="65"/>
      <c r="K526" s="65"/>
      <c r="L526" s="65" t="s">
        <v>37</v>
      </c>
      <c r="M526" s="65" t="s">
        <v>2266</v>
      </c>
      <c r="N526" s="65" t="s">
        <v>2267</v>
      </c>
      <c r="O526" s="65" t="s">
        <v>2264</v>
      </c>
      <c r="P526" s="65" t="s">
        <v>2268</v>
      </c>
      <c r="Q526" s="65" t="s">
        <v>2269</v>
      </c>
      <c r="R526">
        <v>1</v>
      </c>
      <c r="S526" s="65" t="s">
        <v>70</v>
      </c>
      <c r="T526" s="65" t="s">
        <v>43</v>
      </c>
      <c r="U526" s="65" t="s">
        <v>44</v>
      </c>
      <c r="V526" s="65" t="s">
        <v>71</v>
      </c>
      <c r="W526" s="65" t="s">
        <v>72</v>
      </c>
      <c r="X526">
        <v>76.27</v>
      </c>
      <c r="Y526" s="65" t="s">
        <v>47</v>
      </c>
      <c r="Z526" s="65" t="s">
        <v>48</v>
      </c>
      <c r="AA526" s="65" t="s">
        <v>73</v>
      </c>
      <c r="AC526" s="65"/>
    </row>
    <row r="527" spans="1:30" x14ac:dyDescent="0.3">
      <c r="A527" s="1">
        <v>46260</v>
      </c>
      <c r="B527" s="65" t="s">
        <v>4004</v>
      </c>
      <c r="C527" s="65" t="s">
        <v>2261</v>
      </c>
      <c r="D527" s="65" t="s">
        <v>29</v>
      </c>
      <c r="E527" s="65" t="s">
        <v>2262</v>
      </c>
      <c r="F527" s="65" t="s">
        <v>31</v>
      </c>
      <c r="G527" s="65" t="s">
        <v>2263</v>
      </c>
      <c r="H527" s="65" t="s">
        <v>2264</v>
      </c>
      <c r="I527" s="65" t="s">
        <v>2265</v>
      </c>
      <c r="J527" s="65"/>
      <c r="K527" s="65"/>
      <c r="L527" s="65" t="s">
        <v>37</v>
      </c>
      <c r="M527" s="65" t="s">
        <v>2266</v>
      </c>
      <c r="N527" s="65" t="s">
        <v>2267</v>
      </c>
      <c r="O527" s="65" t="s">
        <v>2264</v>
      </c>
      <c r="P527" s="65" t="s">
        <v>2268</v>
      </c>
      <c r="Q527" s="65" t="s">
        <v>101</v>
      </c>
      <c r="R527">
        <v>1</v>
      </c>
      <c r="S527" s="65" t="s">
        <v>70</v>
      </c>
      <c r="T527" s="65" t="s">
        <v>43</v>
      </c>
      <c r="U527" s="65" t="s">
        <v>44</v>
      </c>
      <c r="V527" s="65" t="s">
        <v>71</v>
      </c>
      <c r="W527" s="65" t="s">
        <v>72</v>
      </c>
      <c r="X527">
        <v>186.44</v>
      </c>
      <c r="Y527" s="65" t="s">
        <v>47</v>
      </c>
      <c r="Z527" s="65" t="s">
        <v>48</v>
      </c>
      <c r="AA527" s="65" t="s">
        <v>73</v>
      </c>
      <c r="AC527" s="65"/>
      <c r="AD527">
        <v>50</v>
      </c>
    </row>
    <row r="528" spans="1:30" x14ac:dyDescent="0.3">
      <c r="A528" s="1">
        <v>46260</v>
      </c>
      <c r="B528" s="65" t="s">
        <v>4004</v>
      </c>
      <c r="C528" s="65" t="s">
        <v>2270</v>
      </c>
      <c r="D528" s="65" t="s">
        <v>29</v>
      </c>
      <c r="E528" s="65" t="s">
        <v>2271</v>
      </c>
      <c r="F528" s="65" t="s">
        <v>31</v>
      </c>
      <c r="G528" s="65" t="s">
        <v>2272</v>
      </c>
      <c r="H528" s="65" t="s">
        <v>2273</v>
      </c>
      <c r="I528" s="65" t="s">
        <v>2274</v>
      </c>
      <c r="J528" s="65" t="s">
        <v>136</v>
      </c>
      <c r="K528" s="65" t="s">
        <v>137</v>
      </c>
      <c r="L528" s="65" t="s">
        <v>37</v>
      </c>
      <c r="M528" s="65" t="s">
        <v>2275</v>
      </c>
      <c r="N528" s="65" t="s">
        <v>2276</v>
      </c>
      <c r="O528" s="65" t="s">
        <v>2273</v>
      </c>
      <c r="P528" s="65" t="s">
        <v>2277</v>
      </c>
      <c r="Q528" s="65" t="s">
        <v>202</v>
      </c>
      <c r="R528">
        <v>1</v>
      </c>
      <c r="S528" s="65" t="s">
        <v>42</v>
      </c>
      <c r="T528" s="65" t="s">
        <v>44</v>
      </c>
      <c r="U528" s="65" t="s">
        <v>44</v>
      </c>
      <c r="V528" s="65" t="s">
        <v>45</v>
      </c>
      <c r="W528" s="65" t="s">
        <v>60</v>
      </c>
      <c r="X528">
        <v>152.54</v>
      </c>
      <c r="Y528" s="65" t="s">
        <v>47</v>
      </c>
      <c r="Z528" s="65" t="s">
        <v>48</v>
      </c>
      <c r="AA528" s="65" t="s">
        <v>49</v>
      </c>
      <c r="AB528">
        <v>987407712</v>
      </c>
      <c r="AC528" s="65" t="s">
        <v>141</v>
      </c>
      <c r="AD528">
        <v>30</v>
      </c>
    </row>
    <row r="529" spans="1:30" x14ac:dyDescent="0.3">
      <c r="A529" s="1">
        <v>46260</v>
      </c>
      <c r="B529" s="65" t="s">
        <v>4004</v>
      </c>
      <c r="C529" s="65" t="s">
        <v>2278</v>
      </c>
      <c r="D529" s="65" t="s">
        <v>268</v>
      </c>
      <c r="E529" s="65" t="s">
        <v>2279</v>
      </c>
      <c r="F529" s="65" t="s">
        <v>31</v>
      </c>
      <c r="G529" s="65" t="s">
        <v>2280</v>
      </c>
      <c r="H529" s="65" t="s">
        <v>2281</v>
      </c>
      <c r="I529" s="65" t="s">
        <v>2282</v>
      </c>
      <c r="J529" s="65" t="s">
        <v>1560</v>
      </c>
      <c r="K529" s="65" t="s">
        <v>705</v>
      </c>
      <c r="L529" s="65" t="s">
        <v>37</v>
      </c>
      <c r="M529" s="65" t="s">
        <v>2283</v>
      </c>
      <c r="N529" s="65" t="s">
        <v>2284</v>
      </c>
      <c r="O529" s="65" t="s">
        <v>1563</v>
      </c>
      <c r="P529" s="65" t="s">
        <v>2285</v>
      </c>
      <c r="Q529" s="65" t="s">
        <v>1565</v>
      </c>
      <c r="R529">
        <v>2</v>
      </c>
      <c r="S529" s="65" t="s">
        <v>42</v>
      </c>
      <c r="T529" s="65" t="s">
        <v>44</v>
      </c>
      <c r="U529" s="65" t="s">
        <v>44</v>
      </c>
      <c r="V529" s="65" t="s">
        <v>45</v>
      </c>
      <c r="W529" s="65" t="s">
        <v>60</v>
      </c>
      <c r="X529">
        <v>305.08</v>
      </c>
      <c r="Y529" s="65" t="s">
        <v>61</v>
      </c>
      <c r="Z529" s="65" t="s">
        <v>48</v>
      </c>
      <c r="AA529" s="65" t="s">
        <v>49</v>
      </c>
      <c r="AC529" s="65"/>
    </row>
    <row r="530" spans="1:30" x14ac:dyDescent="0.3">
      <c r="A530" s="1">
        <v>46261</v>
      </c>
      <c r="B530" s="65" t="s">
        <v>4004</v>
      </c>
      <c r="C530" s="65" t="s">
        <v>2286</v>
      </c>
      <c r="D530" s="65" t="s">
        <v>29</v>
      </c>
      <c r="E530" s="65" t="s">
        <v>2287</v>
      </c>
      <c r="F530" s="65" t="s">
        <v>31</v>
      </c>
      <c r="G530" s="65" t="s">
        <v>2288</v>
      </c>
      <c r="H530" s="65" t="s">
        <v>2289</v>
      </c>
      <c r="I530" s="65" t="s">
        <v>2290</v>
      </c>
      <c r="J530" s="65" t="s">
        <v>2291</v>
      </c>
      <c r="K530" s="65" t="s">
        <v>1542</v>
      </c>
      <c r="L530" s="65" t="s">
        <v>37</v>
      </c>
      <c r="M530" s="65" t="s">
        <v>2292</v>
      </c>
      <c r="N530" s="65" t="s">
        <v>2293</v>
      </c>
      <c r="O530" s="65" t="s">
        <v>2289</v>
      </c>
      <c r="P530" s="65" t="s">
        <v>2294</v>
      </c>
      <c r="Q530" s="65" t="s">
        <v>41</v>
      </c>
      <c r="R530">
        <v>1</v>
      </c>
      <c r="S530" s="65" t="s">
        <v>42</v>
      </c>
      <c r="T530" s="65" t="s">
        <v>44</v>
      </c>
      <c r="U530" s="65" t="s">
        <v>44</v>
      </c>
      <c r="V530" s="65" t="s">
        <v>45</v>
      </c>
      <c r="W530" s="65" t="s">
        <v>60</v>
      </c>
      <c r="X530">
        <v>186.44</v>
      </c>
      <c r="Y530" s="65" t="s">
        <v>47</v>
      </c>
      <c r="Z530" s="65" t="s">
        <v>48</v>
      </c>
      <c r="AA530" s="65" t="s">
        <v>49</v>
      </c>
      <c r="AB530">
        <v>945093839</v>
      </c>
      <c r="AC530" s="65" t="s">
        <v>2295</v>
      </c>
      <c r="AD530">
        <v>50</v>
      </c>
    </row>
    <row r="531" spans="1:30" x14ac:dyDescent="0.3">
      <c r="A531" s="1">
        <v>46261</v>
      </c>
      <c r="B531" s="65" t="s">
        <v>4004</v>
      </c>
      <c r="C531" s="65" t="s">
        <v>2296</v>
      </c>
      <c r="D531" s="65" t="s">
        <v>29</v>
      </c>
      <c r="E531" s="65" t="s">
        <v>2297</v>
      </c>
      <c r="F531" s="65" t="s">
        <v>31</v>
      </c>
      <c r="G531" s="65" t="s">
        <v>2298</v>
      </c>
      <c r="H531" s="65" t="s">
        <v>2299</v>
      </c>
      <c r="I531" s="65" t="s">
        <v>2300</v>
      </c>
      <c r="J531" s="65" t="s">
        <v>1829</v>
      </c>
      <c r="K531" s="65" t="s">
        <v>262</v>
      </c>
      <c r="L531" s="65" t="s">
        <v>37</v>
      </c>
      <c r="M531" s="65" t="s">
        <v>2302</v>
      </c>
      <c r="N531" s="65" t="s">
        <v>2303</v>
      </c>
      <c r="O531" s="65" t="s">
        <v>2299</v>
      </c>
      <c r="P531" s="65" t="s">
        <v>2304</v>
      </c>
      <c r="Q531" s="65" t="s">
        <v>41</v>
      </c>
      <c r="R531">
        <v>1</v>
      </c>
      <c r="S531" s="65" t="s">
        <v>42</v>
      </c>
      <c r="T531" s="65" t="s">
        <v>44</v>
      </c>
      <c r="U531" s="65" t="s">
        <v>44</v>
      </c>
      <c r="V531" s="65" t="s">
        <v>45</v>
      </c>
      <c r="W531" s="65" t="s">
        <v>60</v>
      </c>
      <c r="X531">
        <v>186.44</v>
      </c>
      <c r="Y531" s="65" t="s">
        <v>47</v>
      </c>
      <c r="Z531" s="65" t="s">
        <v>48</v>
      </c>
      <c r="AA531" s="65" t="s">
        <v>49</v>
      </c>
      <c r="AB531">
        <v>999700200</v>
      </c>
      <c r="AC531" s="65" t="s">
        <v>1832</v>
      </c>
      <c r="AD531">
        <v>50</v>
      </c>
    </row>
    <row r="532" spans="1:30" x14ac:dyDescent="0.3">
      <c r="A532" s="1">
        <v>46261</v>
      </c>
      <c r="B532" s="65" t="s">
        <v>4004</v>
      </c>
      <c r="C532" s="65" t="s">
        <v>2305</v>
      </c>
      <c r="D532" s="65" t="s">
        <v>29</v>
      </c>
      <c r="E532" s="65" t="s">
        <v>2306</v>
      </c>
      <c r="F532" s="65" t="s">
        <v>31</v>
      </c>
      <c r="G532" s="65" t="s">
        <v>2307</v>
      </c>
      <c r="H532" s="65" t="s">
        <v>2308</v>
      </c>
      <c r="I532" s="65" t="s">
        <v>2309</v>
      </c>
      <c r="J532" s="65" t="s">
        <v>2310</v>
      </c>
      <c r="K532" s="65" t="s">
        <v>2311</v>
      </c>
      <c r="L532" s="65" t="s">
        <v>37</v>
      </c>
      <c r="M532" s="65" t="s">
        <v>2312</v>
      </c>
      <c r="N532" s="65" t="s">
        <v>2313</v>
      </c>
      <c r="O532" s="65" t="s">
        <v>2308</v>
      </c>
      <c r="P532" s="65" t="s">
        <v>2314</v>
      </c>
      <c r="Q532" s="65" t="s">
        <v>159</v>
      </c>
      <c r="R532">
        <v>1</v>
      </c>
      <c r="S532" s="65" t="s">
        <v>42</v>
      </c>
      <c r="T532" s="65" t="s">
        <v>44</v>
      </c>
      <c r="U532" s="65" t="s">
        <v>44</v>
      </c>
      <c r="V532" s="65" t="s">
        <v>531</v>
      </c>
      <c r="W532" s="65" t="s">
        <v>1965</v>
      </c>
      <c r="X532">
        <v>135.59</v>
      </c>
      <c r="Y532" s="65" t="s">
        <v>47</v>
      </c>
      <c r="Z532" s="65" t="s">
        <v>48</v>
      </c>
      <c r="AA532" s="65" t="s">
        <v>534</v>
      </c>
      <c r="AB532">
        <v>996132853</v>
      </c>
      <c r="AC532" s="65"/>
      <c r="AD532">
        <v>30</v>
      </c>
    </row>
    <row r="533" spans="1:30" x14ac:dyDescent="0.3">
      <c r="A533" s="1">
        <v>46261</v>
      </c>
      <c r="B533" s="65" t="s">
        <v>4004</v>
      </c>
      <c r="C533" s="65" t="s">
        <v>2315</v>
      </c>
      <c r="D533" s="65" t="s">
        <v>29</v>
      </c>
      <c r="E533" s="65" t="s">
        <v>2316</v>
      </c>
      <c r="F533" s="65" t="s">
        <v>31</v>
      </c>
      <c r="G533" s="65" t="s">
        <v>2317</v>
      </c>
      <c r="H533" s="65" t="s">
        <v>1044</v>
      </c>
      <c r="I533" s="65" t="s">
        <v>1045</v>
      </c>
      <c r="J533" s="65" t="s">
        <v>774</v>
      </c>
      <c r="K533" s="65" t="s">
        <v>775</v>
      </c>
      <c r="L533" s="65" t="s">
        <v>37</v>
      </c>
      <c r="M533" s="65" t="s">
        <v>1046</v>
      </c>
      <c r="N533" s="65" t="s">
        <v>1047</v>
      </c>
      <c r="O533" s="65" t="s">
        <v>1044</v>
      </c>
      <c r="P533" s="65" t="s">
        <v>2318</v>
      </c>
      <c r="Q533" s="65" t="s">
        <v>641</v>
      </c>
      <c r="R533">
        <v>1</v>
      </c>
      <c r="S533" s="65" t="s">
        <v>42</v>
      </c>
      <c r="T533" s="65" t="s">
        <v>44</v>
      </c>
      <c r="U533" s="65" t="s">
        <v>44</v>
      </c>
      <c r="V533" s="65" t="s">
        <v>45</v>
      </c>
      <c r="W533" s="65" t="s">
        <v>46</v>
      </c>
      <c r="X533">
        <v>84.75</v>
      </c>
      <c r="Y533" s="65" t="s">
        <v>47</v>
      </c>
      <c r="Z533" s="65" t="s">
        <v>48</v>
      </c>
      <c r="AA533" s="65" t="s">
        <v>49</v>
      </c>
      <c r="AC533" s="65"/>
    </row>
    <row r="534" spans="1:30" x14ac:dyDescent="0.3">
      <c r="A534" s="1">
        <v>46261</v>
      </c>
      <c r="B534" s="65" t="s">
        <v>4004</v>
      </c>
      <c r="C534" s="65" t="s">
        <v>2319</v>
      </c>
      <c r="D534" s="65" t="s">
        <v>29</v>
      </c>
      <c r="E534" s="65" t="s">
        <v>2320</v>
      </c>
      <c r="F534" s="65" t="s">
        <v>31</v>
      </c>
      <c r="G534" s="65" t="s">
        <v>2321</v>
      </c>
      <c r="H534" s="65" t="s">
        <v>2322</v>
      </c>
      <c r="I534" s="65" t="s">
        <v>2323</v>
      </c>
      <c r="J534" s="65" t="s">
        <v>1386</v>
      </c>
      <c r="K534" s="65" t="s">
        <v>4005</v>
      </c>
      <c r="L534" s="65" t="s">
        <v>37</v>
      </c>
      <c r="M534" s="65" t="s">
        <v>2324</v>
      </c>
      <c r="N534" s="65" t="s">
        <v>2325</v>
      </c>
      <c r="O534" s="65" t="s">
        <v>2322</v>
      </c>
      <c r="P534" s="65" t="s">
        <v>2326</v>
      </c>
      <c r="Q534" s="65" t="s">
        <v>202</v>
      </c>
      <c r="R534">
        <v>1</v>
      </c>
      <c r="S534" s="65" t="s">
        <v>42</v>
      </c>
      <c r="T534" s="65" t="s">
        <v>44</v>
      </c>
      <c r="U534" s="65" t="s">
        <v>44</v>
      </c>
      <c r="V534" s="65" t="s">
        <v>45</v>
      </c>
      <c r="W534" s="65" t="s">
        <v>60</v>
      </c>
      <c r="X534">
        <v>135.59</v>
      </c>
      <c r="Y534" s="65" t="s">
        <v>47</v>
      </c>
      <c r="Z534" s="65" t="s">
        <v>48</v>
      </c>
      <c r="AA534" s="65" t="s">
        <v>49</v>
      </c>
      <c r="AB534">
        <v>917791542</v>
      </c>
      <c r="AC534" s="65" t="s">
        <v>1390</v>
      </c>
      <c r="AD534">
        <v>30</v>
      </c>
    </row>
    <row r="535" spans="1:30" x14ac:dyDescent="0.3">
      <c r="A535" s="1">
        <v>46261</v>
      </c>
      <c r="B535" s="65" t="s">
        <v>4004</v>
      </c>
      <c r="C535" s="65" t="s">
        <v>2327</v>
      </c>
      <c r="D535" s="65" t="s">
        <v>268</v>
      </c>
      <c r="E535" s="65" t="s">
        <v>2328</v>
      </c>
      <c r="F535" s="65" t="s">
        <v>31</v>
      </c>
      <c r="G535" s="65" t="s">
        <v>2329</v>
      </c>
      <c r="H535" s="65" t="s">
        <v>1248</v>
      </c>
      <c r="I535" s="65" t="s">
        <v>1249</v>
      </c>
      <c r="J535" s="65" t="s">
        <v>2330</v>
      </c>
      <c r="K535" s="65" t="s">
        <v>705</v>
      </c>
      <c r="L535" s="65" t="s">
        <v>37</v>
      </c>
      <c r="M535" s="65" t="s">
        <v>1250</v>
      </c>
      <c r="N535" s="65" t="s">
        <v>608</v>
      </c>
      <c r="O535" s="65" t="s">
        <v>1251</v>
      </c>
      <c r="P535" s="65" t="s">
        <v>2331</v>
      </c>
      <c r="Q535" s="65" t="s">
        <v>288</v>
      </c>
      <c r="R535">
        <v>1</v>
      </c>
      <c r="S535" s="65" t="s">
        <v>42</v>
      </c>
      <c r="T535" s="65" t="s">
        <v>44</v>
      </c>
      <c r="U535" s="65" t="s">
        <v>44</v>
      </c>
      <c r="V535" s="65" t="s">
        <v>45</v>
      </c>
      <c r="W535" s="65" t="s">
        <v>46</v>
      </c>
      <c r="X535">
        <v>0</v>
      </c>
      <c r="Y535" s="65" t="s">
        <v>289</v>
      </c>
      <c r="Z535" s="65" t="s">
        <v>48</v>
      </c>
      <c r="AA535" s="65" t="s">
        <v>49</v>
      </c>
      <c r="AC535" s="65"/>
    </row>
    <row r="536" spans="1:30" x14ac:dyDescent="0.3">
      <c r="A536" s="1">
        <v>46261</v>
      </c>
      <c r="B536" s="65" t="s">
        <v>4004</v>
      </c>
      <c r="C536" s="65" t="s">
        <v>2327</v>
      </c>
      <c r="D536" s="65" t="s">
        <v>268</v>
      </c>
      <c r="E536" s="65" t="s">
        <v>2328</v>
      </c>
      <c r="F536" s="65" t="s">
        <v>31</v>
      </c>
      <c r="G536" s="65" t="s">
        <v>2329</v>
      </c>
      <c r="H536" s="65" t="s">
        <v>1248</v>
      </c>
      <c r="I536" s="65" t="s">
        <v>1249</v>
      </c>
      <c r="J536" s="65" t="s">
        <v>2330</v>
      </c>
      <c r="K536" s="65" t="s">
        <v>705</v>
      </c>
      <c r="L536" s="65" t="s">
        <v>37</v>
      </c>
      <c r="M536" s="65" t="s">
        <v>1250</v>
      </c>
      <c r="N536" s="65" t="s">
        <v>608</v>
      </c>
      <c r="O536" s="65" t="s">
        <v>1251</v>
      </c>
      <c r="P536" s="65" t="s">
        <v>2331</v>
      </c>
      <c r="Q536" s="65" t="s">
        <v>290</v>
      </c>
      <c r="R536">
        <v>1</v>
      </c>
      <c r="S536" s="65" t="s">
        <v>42</v>
      </c>
      <c r="T536" s="65" t="s">
        <v>44</v>
      </c>
      <c r="U536" s="65" t="s">
        <v>44</v>
      </c>
      <c r="V536" s="65" t="s">
        <v>45</v>
      </c>
      <c r="W536" s="65" t="s">
        <v>46</v>
      </c>
      <c r="X536">
        <v>847.46</v>
      </c>
      <c r="Y536" s="65" t="s">
        <v>289</v>
      </c>
      <c r="Z536" s="65" t="s">
        <v>48</v>
      </c>
      <c r="AA536" s="65" t="s">
        <v>49</v>
      </c>
      <c r="AC536" s="65"/>
    </row>
    <row r="537" spans="1:30" x14ac:dyDescent="0.3">
      <c r="A537" s="1">
        <v>46261</v>
      </c>
      <c r="B537" s="65" t="s">
        <v>4004</v>
      </c>
      <c r="C537" s="65" t="s">
        <v>2332</v>
      </c>
      <c r="D537" s="65" t="s">
        <v>268</v>
      </c>
      <c r="E537" s="65" t="s">
        <v>2333</v>
      </c>
      <c r="F537" s="65" t="s">
        <v>31</v>
      </c>
      <c r="G537" s="65" t="s">
        <v>2334</v>
      </c>
      <c r="H537" s="65" t="s">
        <v>2335</v>
      </c>
      <c r="I537" s="65" t="s">
        <v>2336</v>
      </c>
      <c r="J537" s="65" t="s">
        <v>774</v>
      </c>
      <c r="K537" s="65" t="s">
        <v>775</v>
      </c>
      <c r="L537" s="65" t="s">
        <v>37</v>
      </c>
      <c r="M537" s="65" t="s">
        <v>2337</v>
      </c>
      <c r="N537" s="65" t="s">
        <v>608</v>
      </c>
      <c r="O537" s="65" t="s">
        <v>1251</v>
      </c>
      <c r="P537" s="65" t="s">
        <v>2338</v>
      </c>
      <c r="Q537" s="65" t="s">
        <v>288</v>
      </c>
      <c r="R537">
        <v>1</v>
      </c>
      <c r="S537" s="65" t="s">
        <v>42</v>
      </c>
      <c r="T537" s="65" t="s">
        <v>44</v>
      </c>
      <c r="U537" s="65" t="s">
        <v>44</v>
      </c>
      <c r="V537" s="65" t="s">
        <v>45</v>
      </c>
      <c r="W537" s="65" t="s">
        <v>46</v>
      </c>
      <c r="X537">
        <v>0</v>
      </c>
      <c r="Y537" s="65" t="s">
        <v>289</v>
      </c>
      <c r="Z537" s="65" t="s">
        <v>48</v>
      </c>
      <c r="AA537" s="65" t="s">
        <v>49</v>
      </c>
      <c r="AC537" s="65"/>
    </row>
    <row r="538" spans="1:30" x14ac:dyDescent="0.3">
      <c r="A538" s="1">
        <v>46261</v>
      </c>
      <c r="B538" s="65" t="s">
        <v>4004</v>
      </c>
      <c r="C538" s="65" t="s">
        <v>2332</v>
      </c>
      <c r="D538" s="65" t="s">
        <v>268</v>
      </c>
      <c r="E538" s="65" t="s">
        <v>2333</v>
      </c>
      <c r="F538" s="65" t="s">
        <v>31</v>
      </c>
      <c r="G538" s="65" t="s">
        <v>2334</v>
      </c>
      <c r="H538" s="65" t="s">
        <v>2335</v>
      </c>
      <c r="I538" s="65" t="s">
        <v>2336</v>
      </c>
      <c r="J538" s="65" t="s">
        <v>774</v>
      </c>
      <c r="K538" s="65" t="s">
        <v>775</v>
      </c>
      <c r="L538" s="65" t="s">
        <v>37</v>
      </c>
      <c r="M538" s="65" t="s">
        <v>2337</v>
      </c>
      <c r="N538" s="65" t="s">
        <v>608</v>
      </c>
      <c r="O538" s="65" t="s">
        <v>1251</v>
      </c>
      <c r="P538" s="65" t="s">
        <v>2338</v>
      </c>
      <c r="Q538" s="65" t="s">
        <v>1137</v>
      </c>
      <c r="R538">
        <v>1</v>
      </c>
      <c r="S538" s="65" t="s">
        <v>42</v>
      </c>
      <c r="T538" s="65" t="s">
        <v>44</v>
      </c>
      <c r="U538" s="65" t="s">
        <v>44</v>
      </c>
      <c r="V538" s="65" t="s">
        <v>45</v>
      </c>
      <c r="W538" s="65" t="s">
        <v>46</v>
      </c>
      <c r="X538">
        <v>635.59</v>
      </c>
      <c r="Y538" s="65" t="s">
        <v>289</v>
      </c>
      <c r="Z538" s="65" t="s">
        <v>48</v>
      </c>
      <c r="AA538" s="65" t="s">
        <v>49</v>
      </c>
      <c r="AC538" s="65"/>
    </row>
    <row r="539" spans="1:30" x14ac:dyDescent="0.3">
      <c r="A539" s="1">
        <v>46261</v>
      </c>
      <c r="B539" s="65" t="s">
        <v>4004</v>
      </c>
      <c r="C539" s="65" t="s">
        <v>2339</v>
      </c>
      <c r="D539" s="65" t="s">
        <v>29</v>
      </c>
      <c r="E539" s="65" t="s">
        <v>2340</v>
      </c>
      <c r="F539" s="65" t="s">
        <v>31</v>
      </c>
      <c r="G539" s="65" t="s">
        <v>2341</v>
      </c>
      <c r="H539" s="65" t="s">
        <v>2342</v>
      </c>
      <c r="I539" s="65" t="s">
        <v>2343</v>
      </c>
      <c r="J539" s="65" t="s">
        <v>774</v>
      </c>
      <c r="K539" s="65" t="s">
        <v>775</v>
      </c>
      <c r="L539" s="65" t="s">
        <v>37</v>
      </c>
      <c r="M539" s="65" t="s">
        <v>2344</v>
      </c>
      <c r="N539" s="65" t="s">
        <v>2345</v>
      </c>
      <c r="O539" s="65" t="s">
        <v>2342</v>
      </c>
      <c r="P539" s="65" t="s">
        <v>2346</v>
      </c>
      <c r="Q539" s="65" t="s">
        <v>90</v>
      </c>
      <c r="R539">
        <v>1</v>
      </c>
      <c r="S539" s="65" t="s">
        <v>42</v>
      </c>
      <c r="T539" s="65" t="s">
        <v>44</v>
      </c>
      <c r="U539" s="65" t="s">
        <v>44</v>
      </c>
      <c r="V539" s="65" t="s">
        <v>45</v>
      </c>
      <c r="W539" s="65" t="s">
        <v>46</v>
      </c>
      <c r="X539">
        <v>135.59</v>
      </c>
      <c r="Y539" s="65" t="s">
        <v>47</v>
      </c>
      <c r="Z539" s="65" t="s">
        <v>48</v>
      </c>
      <c r="AA539" s="65" t="s">
        <v>49</v>
      </c>
      <c r="AC539" s="65"/>
      <c r="AD539">
        <v>30</v>
      </c>
    </row>
    <row r="540" spans="1:30" x14ac:dyDescent="0.3">
      <c r="A540" s="1">
        <v>46261</v>
      </c>
      <c r="B540" s="65" t="s">
        <v>4004</v>
      </c>
      <c r="C540" s="65" t="s">
        <v>2339</v>
      </c>
      <c r="D540" s="65" t="s">
        <v>29</v>
      </c>
      <c r="E540" s="65" t="s">
        <v>2340</v>
      </c>
      <c r="F540" s="65" t="s">
        <v>31</v>
      </c>
      <c r="G540" s="65" t="s">
        <v>2341</v>
      </c>
      <c r="H540" s="65" t="s">
        <v>2342</v>
      </c>
      <c r="I540" s="65" t="s">
        <v>2343</v>
      </c>
      <c r="J540" s="65" t="s">
        <v>774</v>
      </c>
      <c r="K540" s="65" t="s">
        <v>775</v>
      </c>
      <c r="L540" s="65" t="s">
        <v>37</v>
      </c>
      <c r="M540" s="65" t="s">
        <v>2344</v>
      </c>
      <c r="N540" s="65" t="s">
        <v>2345</v>
      </c>
      <c r="O540" s="65" t="s">
        <v>2342</v>
      </c>
      <c r="P540" s="65" t="s">
        <v>2346</v>
      </c>
      <c r="Q540" s="65" t="s">
        <v>41</v>
      </c>
      <c r="R540">
        <v>1</v>
      </c>
      <c r="S540" s="65" t="s">
        <v>42</v>
      </c>
      <c r="T540" s="65" t="s">
        <v>44</v>
      </c>
      <c r="U540" s="65" t="s">
        <v>44</v>
      </c>
      <c r="V540" s="65" t="s">
        <v>45</v>
      </c>
      <c r="W540" s="65" t="s">
        <v>46</v>
      </c>
      <c r="X540">
        <v>186.44</v>
      </c>
      <c r="Y540" s="65" t="s">
        <v>47</v>
      </c>
      <c r="Z540" s="65" t="s">
        <v>48</v>
      </c>
      <c r="AA540" s="65" t="s">
        <v>49</v>
      </c>
      <c r="AC540" s="65"/>
      <c r="AD540">
        <v>50</v>
      </c>
    </row>
    <row r="541" spans="1:30" x14ac:dyDescent="0.3">
      <c r="A541" s="1">
        <v>46261</v>
      </c>
      <c r="B541" s="65" t="s">
        <v>4004</v>
      </c>
      <c r="C541" s="65" t="s">
        <v>2347</v>
      </c>
      <c r="D541" s="65" t="s">
        <v>268</v>
      </c>
      <c r="E541" s="65" t="s">
        <v>2348</v>
      </c>
      <c r="F541" s="65" t="s">
        <v>31</v>
      </c>
      <c r="G541" s="65" t="s">
        <v>2349</v>
      </c>
      <c r="H541" s="65" t="s">
        <v>1935</v>
      </c>
      <c r="I541" s="65" t="s">
        <v>1936</v>
      </c>
      <c r="J541" s="65" t="s">
        <v>774</v>
      </c>
      <c r="K541" s="65" t="s">
        <v>775</v>
      </c>
      <c r="L541" s="65" t="s">
        <v>37</v>
      </c>
      <c r="M541" s="65" t="s">
        <v>1937</v>
      </c>
      <c r="N541" s="65" t="s">
        <v>1938</v>
      </c>
      <c r="O541" s="65" t="s">
        <v>798</v>
      </c>
      <c r="P541" s="65" t="s">
        <v>2350</v>
      </c>
      <c r="Q541" s="65" t="s">
        <v>288</v>
      </c>
      <c r="R541">
        <v>1</v>
      </c>
      <c r="S541" s="65" t="s">
        <v>42</v>
      </c>
      <c r="T541" s="65" t="s">
        <v>44</v>
      </c>
      <c r="U541" s="65" t="s">
        <v>44</v>
      </c>
      <c r="V541" s="65" t="s">
        <v>45</v>
      </c>
      <c r="W541" s="65" t="s">
        <v>60</v>
      </c>
      <c r="X541">
        <v>0</v>
      </c>
      <c r="Y541" s="65" t="s">
        <v>289</v>
      </c>
      <c r="Z541" s="65" t="s">
        <v>48</v>
      </c>
      <c r="AA541" s="65" t="s">
        <v>49</v>
      </c>
      <c r="AC541" s="65"/>
    </row>
    <row r="542" spans="1:30" x14ac:dyDescent="0.3">
      <c r="A542" s="1">
        <v>46261</v>
      </c>
      <c r="B542" s="65" t="s">
        <v>4004</v>
      </c>
      <c r="C542" s="65" t="s">
        <v>2347</v>
      </c>
      <c r="D542" s="65" t="s">
        <v>268</v>
      </c>
      <c r="E542" s="65" t="s">
        <v>2348</v>
      </c>
      <c r="F542" s="65" t="s">
        <v>31</v>
      </c>
      <c r="G542" s="65" t="s">
        <v>2349</v>
      </c>
      <c r="H542" s="65" t="s">
        <v>1935</v>
      </c>
      <c r="I542" s="65" t="s">
        <v>1936</v>
      </c>
      <c r="J542" s="65" t="s">
        <v>774</v>
      </c>
      <c r="K542" s="65" t="s">
        <v>775</v>
      </c>
      <c r="L542" s="65" t="s">
        <v>37</v>
      </c>
      <c r="M542" s="65" t="s">
        <v>1937</v>
      </c>
      <c r="N542" s="65" t="s">
        <v>1938</v>
      </c>
      <c r="O542" s="65" t="s">
        <v>798</v>
      </c>
      <c r="P542" s="65" t="s">
        <v>2350</v>
      </c>
      <c r="Q542" s="65" t="s">
        <v>290</v>
      </c>
      <c r="R542">
        <v>1</v>
      </c>
      <c r="S542" s="65" t="s">
        <v>42</v>
      </c>
      <c r="T542" s="65" t="s">
        <v>44</v>
      </c>
      <c r="U542" s="65" t="s">
        <v>44</v>
      </c>
      <c r="V542" s="65" t="s">
        <v>45</v>
      </c>
      <c r="W542" s="65" t="s">
        <v>60</v>
      </c>
      <c r="X542">
        <v>762.71</v>
      </c>
      <c r="Y542" s="65" t="s">
        <v>289</v>
      </c>
      <c r="Z542" s="65" t="s">
        <v>48</v>
      </c>
      <c r="AA542" s="65" t="s">
        <v>49</v>
      </c>
      <c r="AC542" s="65"/>
    </row>
    <row r="543" spans="1:30" x14ac:dyDescent="0.3">
      <c r="A543" s="1">
        <v>46261</v>
      </c>
      <c r="B543" s="65" t="s">
        <v>4004</v>
      </c>
      <c r="C543" s="65" t="s">
        <v>2351</v>
      </c>
      <c r="D543" s="65" t="s">
        <v>268</v>
      </c>
      <c r="E543" s="65" t="s">
        <v>2352</v>
      </c>
      <c r="F543" s="65" t="s">
        <v>31</v>
      </c>
      <c r="G543" s="65" t="s">
        <v>2353</v>
      </c>
      <c r="H543" s="65" t="s">
        <v>2354</v>
      </c>
      <c r="I543" s="65" t="s">
        <v>2355</v>
      </c>
      <c r="J543" s="65" t="s">
        <v>1108</v>
      </c>
      <c r="K543" s="65" t="s">
        <v>209</v>
      </c>
      <c r="L543" s="65" t="s">
        <v>37</v>
      </c>
      <c r="M543" s="65" t="s">
        <v>2356</v>
      </c>
      <c r="N543" s="65" t="s">
        <v>608</v>
      </c>
      <c r="O543" s="65" t="s">
        <v>1111</v>
      </c>
      <c r="P543" s="65" t="s">
        <v>2357</v>
      </c>
      <c r="Q543" s="65" t="s">
        <v>288</v>
      </c>
      <c r="R543">
        <v>1</v>
      </c>
      <c r="S543" s="65" t="s">
        <v>42</v>
      </c>
      <c r="T543" s="65" t="s">
        <v>44</v>
      </c>
      <c r="U543" s="65" t="s">
        <v>44</v>
      </c>
      <c r="V543" s="65" t="s">
        <v>45</v>
      </c>
      <c r="W543" s="65" t="s">
        <v>60</v>
      </c>
      <c r="X543">
        <v>0</v>
      </c>
      <c r="Y543" s="65" t="s">
        <v>289</v>
      </c>
      <c r="Z543" s="65" t="s">
        <v>48</v>
      </c>
      <c r="AA543" s="65" t="s">
        <v>49</v>
      </c>
      <c r="AB543">
        <v>970582106</v>
      </c>
      <c r="AC543" s="65" t="s">
        <v>1113</v>
      </c>
    </row>
    <row r="544" spans="1:30" x14ac:dyDescent="0.3">
      <c r="A544" s="1">
        <v>46261</v>
      </c>
      <c r="B544" s="65" t="s">
        <v>4004</v>
      </c>
      <c r="C544" s="65" t="s">
        <v>2351</v>
      </c>
      <c r="D544" s="65" t="s">
        <v>268</v>
      </c>
      <c r="E544" s="65" t="s">
        <v>2352</v>
      </c>
      <c r="F544" s="65" t="s">
        <v>31</v>
      </c>
      <c r="G544" s="65" t="s">
        <v>2353</v>
      </c>
      <c r="H544" s="65" t="s">
        <v>2354</v>
      </c>
      <c r="I544" s="65" t="s">
        <v>2355</v>
      </c>
      <c r="J544" s="65" t="s">
        <v>1108</v>
      </c>
      <c r="K544" s="65" t="s">
        <v>209</v>
      </c>
      <c r="L544" s="65" t="s">
        <v>37</v>
      </c>
      <c r="M544" s="65" t="s">
        <v>2356</v>
      </c>
      <c r="N544" s="65" t="s">
        <v>608</v>
      </c>
      <c r="O544" s="65" t="s">
        <v>1111</v>
      </c>
      <c r="P544" s="65" t="s">
        <v>2357</v>
      </c>
      <c r="Q544" s="65" t="s">
        <v>2358</v>
      </c>
      <c r="R544">
        <v>1</v>
      </c>
      <c r="S544" s="65" t="s">
        <v>42</v>
      </c>
      <c r="T544" s="65" t="s">
        <v>44</v>
      </c>
      <c r="U544" s="65" t="s">
        <v>44</v>
      </c>
      <c r="V544" s="65" t="s">
        <v>45</v>
      </c>
      <c r="W544" s="65" t="s">
        <v>60</v>
      </c>
      <c r="X544">
        <v>139.83000000000001</v>
      </c>
      <c r="Y544" s="65" t="s">
        <v>289</v>
      </c>
      <c r="Z544" s="65" t="s">
        <v>48</v>
      </c>
      <c r="AA544" s="65" t="s">
        <v>49</v>
      </c>
      <c r="AB544">
        <v>970582106</v>
      </c>
      <c r="AC544" s="65" t="s">
        <v>1113</v>
      </c>
    </row>
    <row r="545" spans="1:30" x14ac:dyDescent="0.3">
      <c r="A545" s="1">
        <v>46261</v>
      </c>
      <c r="B545" s="65" t="s">
        <v>4004</v>
      </c>
      <c r="C545" s="65" t="s">
        <v>2359</v>
      </c>
      <c r="D545" s="65" t="s">
        <v>268</v>
      </c>
      <c r="E545" s="65" t="s">
        <v>2360</v>
      </c>
      <c r="F545" s="65" t="s">
        <v>31</v>
      </c>
      <c r="G545" s="65" t="s">
        <v>2361</v>
      </c>
      <c r="H545" s="65" t="s">
        <v>2362</v>
      </c>
      <c r="I545" s="65" t="s">
        <v>2363</v>
      </c>
      <c r="J545" s="65" t="s">
        <v>1108</v>
      </c>
      <c r="K545" s="65" t="s">
        <v>209</v>
      </c>
      <c r="L545" s="65" t="s">
        <v>37</v>
      </c>
      <c r="M545" s="65" t="s">
        <v>2364</v>
      </c>
      <c r="N545" s="65" t="s">
        <v>608</v>
      </c>
      <c r="O545" s="65" t="s">
        <v>1111</v>
      </c>
      <c r="P545" s="65" t="s">
        <v>2365</v>
      </c>
      <c r="Q545" s="65" t="s">
        <v>213</v>
      </c>
      <c r="R545">
        <v>1</v>
      </c>
      <c r="S545" s="65" t="s">
        <v>42</v>
      </c>
      <c r="T545" s="65" t="s">
        <v>44</v>
      </c>
      <c r="U545" s="65" t="s">
        <v>44</v>
      </c>
      <c r="V545" s="65" t="s">
        <v>45</v>
      </c>
      <c r="W545" s="65" t="s">
        <v>60</v>
      </c>
      <c r="X545">
        <v>254.24</v>
      </c>
      <c r="Y545" s="65" t="s">
        <v>61</v>
      </c>
      <c r="Z545" s="65" t="s">
        <v>48</v>
      </c>
      <c r="AA545" s="65" t="s">
        <v>49</v>
      </c>
      <c r="AB545">
        <v>970582106</v>
      </c>
      <c r="AC545" s="65" t="s">
        <v>1113</v>
      </c>
    </row>
    <row r="546" spans="1:30" x14ac:dyDescent="0.3">
      <c r="A546" s="1">
        <v>46261</v>
      </c>
      <c r="B546" s="65" t="s">
        <v>4004</v>
      </c>
      <c r="C546" s="65" t="s">
        <v>2366</v>
      </c>
      <c r="D546" s="65" t="s">
        <v>29</v>
      </c>
      <c r="E546" s="65" t="s">
        <v>2367</v>
      </c>
      <c r="F546" s="65" t="s">
        <v>31</v>
      </c>
      <c r="G546" s="65" t="s">
        <v>2368</v>
      </c>
      <c r="H546" s="65" t="s">
        <v>2369</v>
      </c>
      <c r="I546" s="65" t="s">
        <v>2370</v>
      </c>
      <c r="J546" s="65" t="s">
        <v>2371</v>
      </c>
      <c r="K546" s="65" t="s">
        <v>1423</v>
      </c>
      <c r="L546" s="65" t="s">
        <v>37</v>
      </c>
      <c r="M546" s="65" t="s">
        <v>2372</v>
      </c>
      <c r="N546" s="65" t="s">
        <v>2373</v>
      </c>
      <c r="O546" s="65" t="s">
        <v>2369</v>
      </c>
      <c r="P546" s="65" t="s">
        <v>2374</v>
      </c>
      <c r="Q546" s="65" t="s">
        <v>90</v>
      </c>
      <c r="R546">
        <v>1</v>
      </c>
      <c r="S546" s="65" t="s">
        <v>42</v>
      </c>
      <c r="T546" s="65" t="s">
        <v>44</v>
      </c>
      <c r="U546" s="65" t="s">
        <v>44</v>
      </c>
      <c r="V546" s="65" t="s">
        <v>45</v>
      </c>
      <c r="W546" s="65" t="s">
        <v>60</v>
      </c>
      <c r="X546">
        <v>135.59</v>
      </c>
      <c r="Y546" s="65" t="s">
        <v>47</v>
      </c>
      <c r="Z546" s="65" t="s">
        <v>48</v>
      </c>
      <c r="AA546" s="65" t="s">
        <v>49</v>
      </c>
      <c r="AB546">
        <v>991104175</v>
      </c>
      <c r="AC546" s="65"/>
      <c r="AD546">
        <v>30</v>
      </c>
    </row>
    <row r="547" spans="1:30" x14ac:dyDescent="0.3">
      <c r="A547" s="1">
        <v>46262</v>
      </c>
      <c r="B547" s="65" t="s">
        <v>4004</v>
      </c>
      <c r="C547" s="65" t="s">
        <v>2375</v>
      </c>
      <c r="D547" s="65" t="s">
        <v>268</v>
      </c>
      <c r="E547" s="65" t="s">
        <v>2376</v>
      </c>
      <c r="F547" s="65" t="s">
        <v>31</v>
      </c>
      <c r="G547" s="65" t="s">
        <v>2377</v>
      </c>
      <c r="H547" s="65" t="s">
        <v>1044</v>
      </c>
      <c r="I547" s="65" t="s">
        <v>1045</v>
      </c>
      <c r="J547" s="65" t="s">
        <v>774</v>
      </c>
      <c r="K547" s="65" t="s">
        <v>775</v>
      </c>
      <c r="L547" s="65" t="s">
        <v>37</v>
      </c>
      <c r="M547" s="65" t="s">
        <v>1046</v>
      </c>
      <c r="N547" s="65" t="s">
        <v>1047</v>
      </c>
      <c r="O547" s="65" t="s">
        <v>798</v>
      </c>
      <c r="P547" s="65" t="s">
        <v>2378</v>
      </c>
      <c r="Q547" s="65" t="s">
        <v>288</v>
      </c>
      <c r="R547">
        <v>1</v>
      </c>
      <c r="S547" s="65" t="s">
        <v>42</v>
      </c>
      <c r="T547" s="65" t="s">
        <v>44</v>
      </c>
      <c r="U547" s="65" t="s">
        <v>44</v>
      </c>
      <c r="V547" s="65" t="s">
        <v>45</v>
      </c>
      <c r="W547" s="65" t="s">
        <v>46</v>
      </c>
      <c r="X547">
        <v>0</v>
      </c>
      <c r="Y547" s="65" t="s">
        <v>289</v>
      </c>
      <c r="Z547" s="65" t="s">
        <v>48</v>
      </c>
      <c r="AA547" s="65" t="s">
        <v>49</v>
      </c>
      <c r="AC547" s="65"/>
    </row>
    <row r="548" spans="1:30" x14ac:dyDescent="0.3">
      <c r="A548" s="1">
        <v>46262</v>
      </c>
      <c r="B548" s="65" t="s">
        <v>4004</v>
      </c>
      <c r="C548" s="65" t="s">
        <v>2375</v>
      </c>
      <c r="D548" s="65" t="s">
        <v>268</v>
      </c>
      <c r="E548" s="65" t="s">
        <v>2376</v>
      </c>
      <c r="F548" s="65" t="s">
        <v>31</v>
      </c>
      <c r="G548" s="65" t="s">
        <v>2377</v>
      </c>
      <c r="H548" s="65" t="s">
        <v>1044</v>
      </c>
      <c r="I548" s="65" t="s">
        <v>1045</v>
      </c>
      <c r="J548" s="65" t="s">
        <v>774</v>
      </c>
      <c r="K548" s="65" t="s">
        <v>775</v>
      </c>
      <c r="L548" s="65" t="s">
        <v>37</v>
      </c>
      <c r="M548" s="65" t="s">
        <v>1046</v>
      </c>
      <c r="N548" s="65" t="s">
        <v>1047</v>
      </c>
      <c r="O548" s="65" t="s">
        <v>798</v>
      </c>
      <c r="P548" s="65" t="s">
        <v>2378</v>
      </c>
      <c r="Q548" s="65" t="s">
        <v>2379</v>
      </c>
      <c r="R548">
        <v>1</v>
      </c>
      <c r="S548" s="65" t="s">
        <v>42</v>
      </c>
      <c r="T548" s="65" t="s">
        <v>44</v>
      </c>
      <c r="U548" s="65" t="s">
        <v>44</v>
      </c>
      <c r="V548" s="65" t="s">
        <v>45</v>
      </c>
      <c r="W548" s="65" t="s">
        <v>46</v>
      </c>
      <c r="X548">
        <v>1169.49</v>
      </c>
      <c r="Y548" s="65" t="s">
        <v>289</v>
      </c>
      <c r="Z548" s="65" t="s">
        <v>48</v>
      </c>
      <c r="AA548" s="65" t="s">
        <v>49</v>
      </c>
      <c r="AC548" s="65"/>
    </row>
    <row r="549" spans="1:30" x14ac:dyDescent="0.3">
      <c r="A549" s="1">
        <v>46262</v>
      </c>
      <c r="B549" s="65" t="s">
        <v>4004</v>
      </c>
      <c r="C549" s="65" t="s">
        <v>2380</v>
      </c>
      <c r="D549" s="65" t="s">
        <v>29</v>
      </c>
      <c r="E549" s="65" t="s">
        <v>2381</v>
      </c>
      <c r="F549" s="65" t="s">
        <v>31</v>
      </c>
      <c r="G549" s="65" t="s">
        <v>2382</v>
      </c>
      <c r="H549" s="65" t="s">
        <v>2383</v>
      </c>
      <c r="I549" s="65" t="s">
        <v>2384</v>
      </c>
      <c r="J549" s="65" t="s">
        <v>662</v>
      </c>
      <c r="K549" s="65" t="s">
        <v>36</v>
      </c>
      <c r="L549" s="65" t="s">
        <v>37</v>
      </c>
      <c r="M549" s="65" t="s">
        <v>2385</v>
      </c>
      <c r="N549" s="65" t="s">
        <v>2386</v>
      </c>
      <c r="O549" s="65" t="s">
        <v>2383</v>
      </c>
      <c r="P549" s="65" t="s">
        <v>2387</v>
      </c>
      <c r="Q549" s="65" t="s">
        <v>201</v>
      </c>
      <c r="R549">
        <v>1</v>
      </c>
      <c r="S549" s="65" t="s">
        <v>42</v>
      </c>
      <c r="T549" s="65" t="s">
        <v>44</v>
      </c>
      <c r="U549" s="65" t="s">
        <v>44</v>
      </c>
      <c r="V549" s="65" t="s">
        <v>45</v>
      </c>
      <c r="W549" s="65" t="s">
        <v>60</v>
      </c>
      <c r="X549">
        <v>152.54</v>
      </c>
      <c r="Y549" s="65" t="s">
        <v>47</v>
      </c>
      <c r="Z549" s="65" t="s">
        <v>48</v>
      </c>
      <c r="AA549" s="65" t="s">
        <v>49</v>
      </c>
      <c r="AB549">
        <v>997145685</v>
      </c>
      <c r="AC549" s="65" t="s">
        <v>666</v>
      </c>
      <c r="AD549">
        <v>30</v>
      </c>
    </row>
    <row r="550" spans="1:30" x14ac:dyDescent="0.3">
      <c r="A550" s="1">
        <v>46262</v>
      </c>
      <c r="B550" s="65" t="s">
        <v>4004</v>
      </c>
      <c r="C550" s="65" t="s">
        <v>2388</v>
      </c>
      <c r="D550" s="65" t="s">
        <v>29</v>
      </c>
      <c r="E550" s="65" t="s">
        <v>2389</v>
      </c>
      <c r="F550" s="65" t="s">
        <v>31</v>
      </c>
      <c r="G550" s="65" t="s">
        <v>2390</v>
      </c>
      <c r="H550" s="65" t="s">
        <v>2391</v>
      </c>
      <c r="I550" s="65" t="s">
        <v>2392</v>
      </c>
      <c r="J550" s="65" t="s">
        <v>411</v>
      </c>
      <c r="K550" s="65" t="s">
        <v>412</v>
      </c>
      <c r="L550" s="65" t="s">
        <v>37</v>
      </c>
      <c r="M550" s="65" t="s">
        <v>2393</v>
      </c>
      <c r="N550" s="65" t="s">
        <v>2394</v>
      </c>
      <c r="O550" s="65" t="s">
        <v>2391</v>
      </c>
      <c r="P550" s="65" t="s">
        <v>2395</v>
      </c>
      <c r="Q550" s="65" t="s">
        <v>41</v>
      </c>
      <c r="R550">
        <v>1</v>
      </c>
      <c r="S550" s="65" t="s">
        <v>42</v>
      </c>
      <c r="T550" s="65" t="s">
        <v>44</v>
      </c>
      <c r="U550" s="65" t="s">
        <v>44</v>
      </c>
      <c r="V550" s="65" t="s">
        <v>531</v>
      </c>
      <c r="W550" s="65" t="s">
        <v>1965</v>
      </c>
      <c r="X550">
        <v>186.44</v>
      </c>
      <c r="Y550" s="65" t="s">
        <v>47</v>
      </c>
      <c r="Z550" s="65" t="s">
        <v>48</v>
      </c>
      <c r="AA550" s="65" t="s">
        <v>534</v>
      </c>
      <c r="AB550">
        <v>982673362</v>
      </c>
      <c r="AC550" s="65" t="s">
        <v>416</v>
      </c>
      <c r="AD550">
        <v>50</v>
      </c>
    </row>
    <row r="551" spans="1:30" x14ac:dyDescent="0.3">
      <c r="A551" s="1">
        <v>46262</v>
      </c>
      <c r="B551" s="65" t="s">
        <v>4004</v>
      </c>
      <c r="C551" s="65" t="s">
        <v>2388</v>
      </c>
      <c r="D551" s="65" t="s">
        <v>29</v>
      </c>
      <c r="E551" s="65" t="s">
        <v>2389</v>
      </c>
      <c r="F551" s="65" t="s">
        <v>31</v>
      </c>
      <c r="G551" s="65" t="s">
        <v>2390</v>
      </c>
      <c r="H551" s="65" t="s">
        <v>2391</v>
      </c>
      <c r="I551" s="65" t="s">
        <v>2392</v>
      </c>
      <c r="J551" s="65" t="s">
        <v>411</v>
      </c>
      <c r="K551" s="65" t="s">
        <v>412</v>
      </c>
      <c r="L551" s="65" t="s">
        <v>37</v>
      </c>
      <c r="M551" s="65" t="s">
        <v>2393</v>
      </c>
      <c r="N551" s="65" t="s">
        <v>2394</v>
      </c>
      <c r="O551" s="65" t="s">
        <v>2391</v>
      </c>
      <c r="P551" s="65" t="s">
        <v>2395</v>
      </c>
      <c r="Q551" s="65" t="s">
        <v>101</v>
      </c>
      <c r="R551">
        <v>1</v>
      </c>
      <c r="S551" s="65" t="s">
        <v>42</v>
      </c>
      <c r="T551" s="65" t="s">
        <v>44</v>
      </c>
      <c r="U551" s="65" t="s">
        <v>44</v>
      </c>
      <c r="V551" s="65" t="s">
        <v>531</v>
      </c>
      <c r="W551" s="65" t="s">
        <v>1965</v>
      </c>
      <c r="X551">
        <v>186.44</v>
      </c>
      <c r="Y551" s="65" t="s">
        <v>47</v>
      </c>
      <c r="Z551" s="65" t="s">
        <v>48</v>
      </c>
      <c r="AA551" s="65" t="s">
        <v>534</v>
      </c>
      <c r="AB551">
        <v>982673362</v>
      </c>
      <c r="AC551" s="65" t="s">
        <v>416</v>
      </c>
      <c r="AD551">
        <v>50</v>
      </c>
    </row>
    <row r="552" spans="1:30" x14ac:dyDescent="0.3">
      <c r="A552" s="1">
        <v>46263</v>
      </c>
      <c r="B552" s="65" t="s">
        <v>4004</v>
      </c>
      <c r="C552" s="65" t="s">
        <v>2396</v>
      </c>
      <c r="D552" s="65" t="s">
        <v>29</v>
      </c>
      <c r="E552" s="65" t="s">
        <v>2397</v>
      </c>
      <c r="F552" s="65" t="s">
        <v>31</v>
      </c>
      <c r="G552" s="65" t="s">
        <v>2398</v>
      </c>
      <c r="H552" s="65" t="s">
        <v>2399</v>
      </c>
      <c r="I552" s="65" t="s">
        <v>2400</v>
      </c>
      <c r="J552" s="65" t="s">
        <v>2401</v>
      </c>
      <c r="K552" s="65" t="s">
        <v>262</v>
      </c>
      <c r="L552" s="65" t="s">
        <v>37</v>
      </c>
      <c r="M552" s="65" t="s">
        <v>2402</v>
      </c>
      <c r="N552" s="65" t="s">
        <v>2403</v>
      </c>
      <c r="O552" s="65" t="s">
        <v>2399</v>
      </c>
      <c r="P552" s="65" t="s">
        <v>2404</v>
      </c>
      <c r="Q552" s="65" t="s">
        <v>41</v>
      </c>
      <c r="R552">
        <v>1</v>
      </c>
      <c r="S552" s="65" t="s">
        <v>42</v>
      </c>
      <c r="T552" s="65" t="s">
        <v>44</v>
      </c>
      <c r="U552" s="65" t="s">
        <v>44</v>
      </c>
      <c r="V552" s="65" t="s">
        <v>45</v>
      </c>
      <c r="W552" s="65" t="s">
        <v>60</v>
      </c>
      <c r="X552">
        <v>186.44</v>
      </c>
      <c r="Y552" s="65" t="s">
        <v>47</v>
      </c>
      <c r="Z552" s="65" t="s">
        <v>48</v>
      </c>
      <c r="AA552" s="65" t="s">
        <v>49</v>
      </c>
      <c r="AB552">
        <v>987407109</v>
      </c>
      <c r="AC552" s="65" t="s">
        <v>2405</v>
      </c>
      <c r="AD552">
        <v>50</v>
      </c>
    </row>
    <row r="553" spans="1:30" x14ac:dyDescent="0.3">
      <c r="A553" s="1">
        <v>46263</v>
      </c>
      <c r="B553" s="65" t="s">
        <v>4004</v>
      </c>
      <c r="C553" s="65" t="s">
        <v>2406</v>
      </c>
      <c r="D553" s="65" t="s">
        <v>29</v>
      </c>
      <c r="E553" s="65" t="s">
        <v>2407</v>
      </c>
      <c r="F553" s="65" t="s">
        <v>31</v>
      </c>
      <c r="G553" s="65" t="s">
        <v>2408</v>
      </c>
      <c r="H553" s="65" t="s">
        <v>2409</v>
      </c>
      <c r="I553" s="65" t="s">
        <v>2410</v>
      </c>
      <c r="J553" s="65" t="s">
        <v>1300</v>
      </c>
      <c r="K553" s="65" t="s">
        <v>365</v>
      </c>
      <c r="L553" s="65" t="s">
        <v>37</v>
      </c>
      <c r="M553" s="65" t="s">
        <v>2411</v>
      </c>
      <c r="N553" s="65" t="s">
        <v>2412</v>
      </c>
      <c r="O553" s="65" t="s">
        <v>2409</v>
      </c>
      <c r="P553" s="65" t="s">
        <v>2413</v>
      </c>
      <c r="Q553" s="65" t="s">
        <v>130</v>
      </c>
      <c r="R553">
        <v>1</v>
      </c>
      <c r="S553" s="65" t="s">
        <v>70</v>
      </c>
      <c r="T553" s="65" t="s">
        <v>43</v>
      </c>
      <c r="U553" s="65" t="s">
        <v>44</v>
      </c>
      <c r="V553" s="65" t="s">
        <v>71</v>
      </c>
      <c r="W553" s="65" t="s">
        <v>184</v>
      </c>
      <c r="X553">
        <v>152.54</v>
      </c>
      <c r="Y553" s="65" t="s">
        <v>47</v>
      </c>
      <c r="Z553" s="65" t="s">
        <v>48</v>
      </c>
      <c r="AA553" s="65" t="s">
        <v>73</v>
      </c>
      <c r="AB553">
        <v>980702810</v>
      </c>
      <c r="AC553" s="65" t="s">
        <v>1305</v>
      </c>
      <c r="AD553">
        <v>30</v>
      </c>
    </row>
    <row r="554" spans="1:30" x14ac:dyDescent="0.3">
      <c r="A554" s="1">
        <v>46265</v>
      </c>
      <c r="B554" s="65" t="s">
        <v>4004</v>
      </c>
      <c r="C554" s="65" t="s">
        <v>2414</v>
      </c>
      <c r="D554" s="65" t="s">
        <v>268</v>
      </c>
      <c r="E554" s="65" t="s">
        <v>2415</v>
      </c>
      <c r="F554" s="65" t="s">
        <v>31</v>
      </c>
      <c r="G554" s="65" t="s">
        <v>2416</v>
      </c>
      <c r="H554" s="65" t="s">
        <v>2417</v>
      </c>
      <c r="I554" s="65" t="s">
        <v>2418</v>
      </c>
      <c r="J554" s="65" t="s">
        <v>2419</v>
      </c>
      <c r="K554" s="65" t="s">
        <v>2420</v>
      </c>
      <c r="L554" s="65" t="s">
        <v>37</v>
      </c>
      <c r="M554" s="65" t="s">
        <v>2421</v>
      </c>
      <c r="N554" s="65" t="s">
        <v>2422</v>
      </c>
      <c r="O554" s="65" t="s">
        <v>1747</v>
      </c>
      <c r="P554" s="65" t="s">
        <v>2423</v>
      </c>
      <c r="Q554" s="65" t="s">
        <v>481</v>
      </c>
      <c r="R554">
        <v>1</v>
      </c>
      <c r="S554" s="65" t="s">
        <v>42</v>
      </c>
      <c r="T554" s="65" t="s">
        <v>44</v>
      </c>
      <c r="U554" s="65" t="s">
        <v>44</v>
      </c>
      <c r="V554" s="65" t="s">
        <v>45</v>
      </c>
      <c r="W554" s="65" t="s">
        <v>46</v>
      </c>
      <c r="X554">
        <v>101.69</v>
      </c>
      <c r="Y554" s="65" t="s">
        <v>61</v>
      </c>
      <c r="Z554" s="65" t="s">
        <v>48</v>
      </c>
      <c r="AA554" s="65" t="s">
        <v>49</v>
      </c>
      <c r="AC554" s="65"/>
    </row>
    <row r="555" spans="1:30" x14ac:dyDescent="0.3">
      <c r="A555" s="1">
        <v>46265</v>
      </c>
      <c r="B555" s="65" t="s">
        <v>4004</v>
      </c>
      <c r="C555" s="65" t="s">
        <v>2424</v>
      </c>
      <c r="D555" s="65" t="s">
        <v>29</v>
      </c>
      <c r="E555" s="65" t="s">
        <v>2425</v>
      </c>
      <c r="F555" s="65" t="s">
        <v>31</v>
      </c>
      <c r="G555" s="65" t="s">
        <v>2426</v>
      </c>
      <c r="H555" s="65" t="s">
        <v>2427</v>
      </c>
      <c r="I555" s="65" t="s">
        <v>2428</v>
      </c>
      <c r="J555" s="65" t="s">
        <v>1108</v>
      </c>
      <c r="K555" s="65" t="s">
        <v>209</v>
      </c>
      <c r="L555" s="65" t="s">
        <v>37</v>
      </c>
      <c r="M555" s="65" t="s">
        <v>2429</v>
      </c>
      <c r="N555" s="65" t="s">
        <v>2430</v>
      </c>
      <c r="O555" s="65" t="s">
        <v>2427</v>
      </c>
      <c r="P555" s="65" t="s">
        <v>2431</v>
      </c>
      <c r="Q555" s="65" t="s">
        <v>159</v>
      </c>
      <c r="R555">
        <v>1</v>
      </c>
      <c r="S555" s="65" t="s">
        <v>42</v>
      </c>
      <c r="T555" s="65" t="s">
        <v>44</v>
      </c>
      <c r="U555" s="65" t="s">
        <v>44</v>
      </c>
      <c r="V555" s="65" t="s">
        <v>45</v>
      </c>
      <c r="W555" s="65" t="s">
        <v>46</v>
      </c>
      <c r="X555">
        <v>135.59</v>
      </c>
      <c r="Y555" s="65" t="s">
        <v>47</v>
      </c>
      <c r="Z555" s="65" t="s">
        <v>48</v>
      </c>
      <c r="AA555" s="65" t="s">
        <v>49</v>
      </c>
      <c r="AB555">
        <v>970582106</v>
      </c>
      <c r="AC555" s="65" t="s">
        <v>1113</v>
      </c>
      <c r="AD555">
        <v>30</v>
      </c>
    </row>
    <row r="556" spans="1:30" x14ac:dyDescent="0.3">
      <c r="A556" s="1">
        <v>46265</v>
      </c>
      <c r="B556" s="65" t="s">
        <v>4004</v>
      </c>
      <c r="C556" s="65" t="s">
        <v>2432</v>
      </c>
      <c r="D556" s="65" t="s">
        <v>29</v>
      </c>
      <c r="E556" s="65" t="s">
        <v>2433</v>
      </c>
      <c r="F556" s="65" t="s">
        <v>31</v>
      </c>
      <c r="G556" s="65" t="s">
        <v>2434</v>
      </c>
      <c r="H556" s="65" t="s">
        <v>2435</v>
      </c>
      <c r="I556" s="65" t="s">
        <v>2436</v>
      </c>
      <c r="J556" s="65" t="s">
        <v>1322</v>
      </c>
      <c r="K556" s="65" t="s">
        <v>36</v>
      </c>
      <c r="L556" s="65" t="s">
        <v>37</v>
      </c>
      <c r="M556" s="65" t="s">
        <v>2437</v>
      </c>
      <c r="N556" s="65" t="s">
        <v>2438</v>
      </c>
      <c r="O556" s="65" t="s">
        <v>2435</v>
      </c>
      <c r="P556" s="65" t="s">
        <v>2439</v>
      </c>
      <c r="Q556" s="65" t="s">
        <v>201</v>
      </c>
      <c r="R556">
        <v>1</v>
      </c>
      <c r="S556" s="65" t="s">
        <v>42</v>
      </c>
      <c r="T556" s="65" t="s">
        <v>44</v>
      </c>
      <c r="U556" s="65" t="s">
        <v>44</v>
      </c>
      <c r="V556" s="65" t="s">
        <v>45</v>
      </c>
      <c r="W556" s="65" t="s">
        <v>60</v>
      </c>
      <c r="X556">
        <v>152.54</v>
      </c>
      <c r="Y556" s="65" t="s">
        <v>47</v>
      </c>
      <c r="Z556" s="65" t="s">
        <v>48</v>
      </c>
      <c r="AA556" s="65" t="s">
        <v>49</v>
      </c>
      <c r="AB556">
        <v>999111362</v>
      </c>
      <c r="AC556" s="65" t="s">
        <v>1326</v>
      </c>
      <c r="AD556">
        <v>30</v>
      </c>
    </row>
    <row r="557" spans="1:30" x14ac:dyDescent="0.3">
      <c r="A557" s="1">
        <v>46266</v>
      </c>
      <c r="B557" s="65" t="s">
        <v>4006</v>
      </c>
      <c r="C557" s="65" t="s">
        <v>2440</v>
      </c>
      <c r="D557" s="65" t="s">
        <v>29</v>
      </c>
      <c r="E557" s="65" t="s">
        <v>2441</v>
      </c>
      <c r="F557" s="65" t="s">
        <v>31</v>
      </c>
      <c r="G557" s="65" t="s">
        <v>2442</v>
      </c>
      <c r="H557" s="65" t="s">
        <v>2443</v>
      </c>
      <c r="I557" s="65" t="s">
        <v>2444</v>
      </c>
      <c r="J557" s="65" t="s">
        <v>4007</v>
      </c>
      <c r="K557" s="65" t="s">
        <v>4008</v>
      </c>
      <c r="L557" s="65" t="s">
        <v>37</v>
      </c>
      <c r="M557" s="65" t="s">
        <v>2445</v>
      </c>
      <c r="N557" s="65" t="s">
        <v>2446</v>
      </c>
      <c r="O557" s="65" t="s">
        <v>2443</v>
      </c>
      <c r="P557" s="65" t="s">
        <v>2447</v>
      </c>
      <c r="Q557" s="65" t="s">
        <v>1157</v>
      </c>
      <c r="R557">
        <v>1</v>
      </c>
      <c r="S557" s="65" t="s">
        <v>42</v>
      </c>
      <c r="T557" s="65" t="s">
        <v>44</v>
      </c>
      <c r="U557" s="65" t="s">
        <v>44</v>
      </c>
      <c r="V557" s="65" t="s">
        <v>45</v>
      </c>
      <c r="W557" s="65" t="s">
        <v>60</v>
      </c>
      <c r="X557">
        <v>338.98</v>
      </c>
      <c r="Y557" s="65" t="s">
        <v>47</v>
      </c>
      <c r="Z557" s="65" t="s">
        <v>48</v>
      </c>
      <c r="AA557" s="65" t="s">
        <v>49</v>
      </c>
      <c r="AC557" s="65"/>
      <c r="AD557">
        <v>100</v>
      </c>
    </row>
    <row r="558" spans="1:30" x14ac:dyDescent="0.3">
      <c r="A558" s="1">
        <v>46266</v>
      </c>
      <c r="B558" s="65" t="s">
        <v>4006</v>
      </c>
      <c r="C558" s="65" t="s">
        <v>2448</v>
      </c>
      <c r="D558" s="65" t="s">
        <v>29</v>
      </c>
      <c r="E558" s="65" t="s">
        <v>2449</v>
      </c>
      <c r="F558" s="65" t="s">
        <v>31</v>
      </c>
      <c r="G558" s="65" t="s">
        <v>2450</v>
      </c>
      <c r="H558" s="65" t="s">
        <v>2451</v>
      </c>
      <c r="I558" s="65" t="s">
        <v>2452</v>
      </c>
      <c r="J558" s="65" t="s">
        <v>774</v>
      </c>
      <c r="K558" s="65" t="s">
        <v>775</v>
      </c>
      <c r="L558" s="65" t="s">
        <v>37</v>
      </c>
      <c r="M558" s="65" t="s">
        <v>2453</v>
      </c>
      <c r="N558" s="65" t="s">
        <v>2454</v>
      </c>
      <c r="O558" s="65" t="s">
        <v>2451</v>
      </c>
      <c r="P558" s="65" t="s">
        <v>2455</v>
      </c>
      <c r="Q558" s="65" t="s">
        <v>641</v>
      </c>
      <c r="R558">
        <v>1</v>
      </c>
      <c r="S558" s="65" t="s">
        <v>42</v>
      </c>
      <c r="T558" s="65" t="s">
        <v>44</v>
      </c>
      <c r="U558" s="65" t="s">
        <v>44</v>
      </c>
      <c r="V558" s="65" t="s">
        <v>45</v>
      </c>
      <c r="W558" s="65" t="s">
        <v>46</v>
      </c>
      <c r="X558">
        <v>84.75</v>
      </c>
      <c r="Y558" s="65" t="s">
        <v>47</v>
      </c>
      <c r="Z558" s="65" t="s">
        <v>48</v>
      </c>
      <c r="AA558" s="65" t="s">
        <v>49</v>
      </c>
      <c r="AC558" s="65"/>
    </row>
    <row r="559" spans="1:30" x14ac:dyDescent="0.3">
      <c r="A559" s="1">
        <v>46266</v>
      </c>
      <c r="B559" s="65" t="s">
        <v>4006</v>
      </c>
      <c r="C559" s="65" t="s">
        <v>2456</v>
      </c>
      <c r="D559" s="65" t="s">
        <v>29</v>
      </c>
      <c r="E559" s="65" t="s">
        <v>2457</v>
      </c>
      <c r="F559" s="65" t="s">
        <v>31</v>
      </c>
      <c r="G559" s="65" t="s">
        <v>2458</v>
      </c>
      <c r="H559" s="65" t="s">
        <v>2459</v>
      </c>
      <c r="I559" s="65" t="s">
        <v>2460</v>
      </c>
      <c r="J559" s="65" t="s">
        <v>2461</v>
      </c>
      <c r="K559" s="65" t="s">
        <v>1120</v>
      </c>
      <c r="L559" s="65" t="s">
        <v>37</v>
      </c>
      <c r="M559" s="65" t="s">
        <v>2462</v>
      </c>
      <c r="N559" s="65" t="s">
        <v>2463</v>
      </c>
      <c r="O559" s="65" t="s">
        <v>2459</v>
      </c>
      <c r="P559" s="65" t="s">
        <v>2464</v>
      </c>
      <c r="Q559" s="65" t="s">
        <v>41</v>
      </c>
      <c r="R559">
        <v>1</v>
      </c>
      <c r="S559" s="65" t="s">
        <v>42</v>
      </c>
      <c r="T559" s="65" t="s">
        <v>44</v>
      </c>
      <c r="U559" s="65" t="s">
        <v>44</v>
      </c>
      <c r="V559" s="65" t="s">
        <v>45</v>
      </c>
      <c r="W559" s="65" t="s">
        <v>60</v>
      </c>
      <c r="X559">
        <v>186.44</v>
      </c>
      <c r="Y559" s="65" t="s">
        <v>47</v>
      </c>
      <c r="Z559" s="65" t="s">
        <v>48</v>
      </c>
      <c r="AA559" s="65" t="s">
        <v>49</v>
      </c>
      <c r="AB559">
        <v>992789956</v>
      </c>
      <c r="AC559" s="65" t="s">
        <v>2465</v>
      </c>
      <c r="AD559">
        <v>50</v>
      </c>
    </row>
    <row r="560" spans="1:30" x14ac:dyDescent="0.3">
      <c r="A560" s="1">
        <v>46266</v>
      </c>
      <c r="B560" s="65" t="s">
        <v>4006</v>
      </c>
      <c r="C560" s="65" t="s">
        <v>2466</v>
      </c>
      <c r="D560" s="65" t="s">
        <v>29</v>
      </c>
      <c r="E560" s="65" t="s">
        <v>2467</v>
      </c>
      <c r="F560" s="65" t="s">
        <v>31</v>
      </c>
      <c r="G560" s="65" t="s">
        <v>2468</v>
      </c>
      <c r="H560" s="65" t="s">
        <v>2469</v>
      </c>
      <c r="I560" s="65" t="s">
        <v>2470</v>
      </c>
      <c r="J560" s="65" t="s">
        <v>774</v>
      </c>
      <c r="K560" s="65" t="s">
        <v>775</v>
      </c>
      <c r="L560" s="65" t="s">
        <v>37</v>
      </c>
      <c r="M560" s="65" t="s">
        <v>2471</v>
      </c>
      <c r="N560" s="65" t="s">
        <v>2472</v>
      </c>
      <c r="O560" s="65" t="s">
        <v>2469</v>
      </c>
      <c r="P560" s="65" t="s">
        <v>2473</v>
      </c>
      <c r="Q560" s="65" t="s">
        <v>641</v>
      </c>
      <c r="R560">
        <v>1</v>
      </c>
      <c r="S560" s="65" t="s">
        <v>42</v>
      </c>
      <c r="T560" s="65" t="s">
        <v>44</v>
      </c>
      <c r="U560" s="65" t="s">
        <v>44</v>
      </c>
      <c r="V560" s="65" t="s">
        <v>45</v>
      </c>
      <c r="W560" s="65" t="s">
        <v>46</v>
      </c>
      <c r="X560">
        <v>84.75</v>
      </c>
      <c r="Y560" s="65" t="s">
        <v>47</v>
      </c>
      <c r="Z560" s="65" t="s">
        <v>48</v>
      </c>
      <c r="AA560" s="65" t="s">
        <v>49</v>
      </c>
      <c r="AC560" s="65"/>
    </row>
    <row r="561" spans="1:30" x14ac:dyDescent="0.3">
      <c r="A561" s="1">
        <v>46266</v>
      </c>
      <c r="B561" s="65" t="s">
        <v>4006</v>
      </c>
      <c r="C561" s="65" t="s">
        <v>2474</v>
      </c>
      <c r="D561" s="65" t="s">
        <v>29</v>
      </c>
      <c r="E561" s="65" t="s">
        <v>2475</v>
      </c>
      <c r="F561" s="65" t="s">
        <v>31</v>
      </c>
      <c r="G561" s="65" t="s">
        <v>2476</v>
      </c>
      <c r="H561" s="65" t="s">
        <v>2477</v>
      </c>
      <c r="I561" s="65" t="s">
        <v>2478</v>
      </c>
      <c r="J561" s="65" t="s">
        <v>774</v>
      </c>
      <c r="K561" s="65" t="s">
        <v>775</v>
      </c>
      <c r="L561" s="65" t="s">
        <v>37</v>
      </c>
      <c r="M561" s="65" t="s">
        <v>2479</v>
      </c>
      <c r="N561" s="65" t="s">
        <v>2480</v>
      </c>
      <c r="O561" s="65" t="s">
        <v>2477</v>
      </c>
      <c r="P561" s="65" t="s">
        <v>2481</v>
      </c>
      <c r="Q561" s="65" t="s">
        <v>641</v>
      </c>
      <c r="R561">
        <v>1</v>
      </c>
      <c r="S561" s="65" t="s">
        <v>42</v>
      </c>
      <c r="T561" s="65" t="s">
        <v>44</v>
      </c>
      <c r="U561" s="65" t="s">
        <v>44</v>
      </c>
      <c r="V561" s="65" t="s">
        <v>45</v>
      </c>
      <c r="W561" s="65" t="s">
        <v>46</v>
      </c>
      <c r="X561">
        <v>84.75</v>
      </c>
      <c r="Y561" s="65" t="s">
        <v>47</v>
      </c>
      <c r="Z561" s="65" t="s">
        <v>48</v>
      </c>
      <c r="AA561" s="65" t="s">
        <v>49</v>
      </c>
      <c r="AC561" s="65"/>
    </row>
    <row r="562" spans="1:30" x14ac:dyDescent="0.3">
      <c r="A562" s="1">
        <v>46266</v>
      </c>
      <c r="B562" s="65" t="s">
        <v>4006</v>
      </c>
      <c r="C562" s="65" t="s">
        <v>2482</v>
      </c>
      <c r="D562" s="65" t="s">
        <v>29</v>
      </c>
      <c r="E562" s="65" t="s">
        <v>2483</v>
      </c>
      <c r="F562" s="65" t="s">
        <v>31</v>
      </c>
      <c r="G562" s="65" t="s">
        <v>2484</v>
      </c>
      <c r="H562" s="65" t="s">
        <v>2485</v>
      </c>
      <c r="I562" s="65" t="s">
        <v>2486</v>
      </c>
      <c r="J562" s="65"/>
      <c r="K562" s="65"/>
      <c r="L562" s="65" t="s">
        <v>37</v>
      </c>
      <c r="M562" s="65" t="s">
        <v>2488</v>
      </c>
      <c r="N562" s="65" t="s">
        <v>608</v>
      </c>
      <c r="O562" s="65" t="s">
        <v>2485</v>
      </c>
      <c r="P562" s="65" t="s">
        <v>2489</v>
      </c>
      <c r="Q562" s="65" t="s">
        <v>59</v>
      </c>
      <c r="R562">
        <v>1</v>
      </c>
      <c r="S562" s="65" t="s">
        <v>42</v>
      </c>
      <c r="T562" s="65" t="s">
        <v>44</v>
      </c>
      <c r="U562" s="65" t="s">
        <v>44</v>
      </c>
      <c r="V562" s="65" t="s">
        <v>45</v>
      </c>
      <c r="W562" s="65" t="s">
        <v>46</v>
      </c>
      <c r="X562">
        <v>139.83000000000001</v>
      </c>
      <c r="Y562" s="65" t="s">
        <v>289</v>
      </c>
      <c r="Z562" s="65" t="s">
        <v>48</v>
      </c>
      <c r="AA562" s="65" t="s">
        <v>49</v>
      </c>
      <c r="AC562" s="65"/>
    </row>
    <row r="563" spans="1:30" x14ac:dyDescent="0.3">
      <c r="A563" s="1">
        <v>46266</v>
      </c>
      <c r="B563" s="65" t="s">
        <v>4006</v>
      </c>
      <c r="C563" s="65" t="s">
        <v>2482</v>
      </c>
      <c r="D563" s="65" t="s">
        <v>29</v>
      </c>
      <c r="E563" s="65" t="s">
        <v>2483</v>
      </c>
      <c r="F563" s="65" t="s">
        <v>31</v>
      </c>
      <c r="G563" s="65" t="s">
        <v>2484</v>
      </c>
      <c r="H563" s="65" t="s">
        <v>2485</v>
      </c>
      <c r="I563" s="65" t="s">
        <v>2486</v>
      </c>
      <c r="J563" s="65"/>
      <c r="K563" s="65"/>
      <c r="L563" s="65" t="s">
        <v>37</v>
      </c>
      <c r="M563" s="65" t="s">
        <v>2488</v>
      </c>
      <c r="N563" s="65" t="s">
        <v>608</v>
      </c>
      <c r="O563" s="65" t="s">
        <v>2485</v>
      </c>
      <c r="P563" s="65" t="s">
        <v>2489</v>
      </c>
      <c r="Q563" s="65" t="s">
        <v>288</v>
      </c>
      <c r="R563">
        <v>1</v>
      </c>
      <c r="S563" s="65" t="s">
        <v>42</v>
      </c>
      <c r="T563" s="65" t="s">
        <v>44</v>
      </c>
      <c r="U563" s="65" t="s">
        <v>44</v>
      </c>
      <c r="V563" s="65" t="s">
        <v>45</v>
      </c>
      <c r="W563" s="65" t="s">
        <v>46</v>
      </c>
      <c r="X563">
        <v>0</v>
      </c>
      <c r="Y563" s="65" t="s">
        <v>289</v>
      </c>
      <c r="Z563" s="65" t="s">
        <v>48</v>
      </c>
      <c r="AA563" s="65" t="s">
        <v>49</v>
      </c>
      <c r="AC563" s="65"/>
    </row>
    <row r="564" spans="1:30" x14ac:dyDescent="0.3">
      <c r="A564" s="1">
        <v>46266</v>
      </c>
      <c r="B564" s="65" t="s">
        <v>4006</v>
      </c>
      <c r="C564" s="65" t="s">
        <v>2491</v>
      </c>
      <c r="D564" s="65" t="s">
        <v>29</v>
      </c>
      <c r="E564" s="65" t="s">
        <v>2492</v>
      </c>
      <c r="F564" s="65" t="s">
        <v>31</v>
      </c>
      <c r="G564" s="65" t="s">
        <v>2493</v>
      </c>
      <c r="H564" s="65" t="s">
        <v>1615</v>
      </c>
      <c r="I564" s="65" t="s">
        <v>2494</v>
      </c>
      <c r="J564" s="65" t="s">
        <v>1615</v>
      </c>
      <c r="K564" s="65" t="s">
        <v>1616</v>
      </c>
      <c r="L564" s="65" t="s">
        <v>37</v>
      </c>
      <c r="M564" s="65" t="s">
        <v>1617</v>
      </c>
      <c r="N564" s="65" t="s">
        <v>1618</v>
      </c>
      <c r="O564" s="65" t="s">
        <v>1615</v>
      </c>
      <c r="P564" s="65" t="s">
        <v>2495</v>
      </c>
      <c r="Q564" s="65" t="s">
        <v>1215</v>
      </c>
      <c r="R564">
        <v>1</v>
      </c>
      <c r="S564" s="65" t="s">
        <v>70</v>
      </c>
      <c r="T564" s="65" t="s">
        <v>43</v>
      </c>
      <c r="U564" s="65" t="s">
        <v>44</v>
      </c>
      <c r="V564" s="65" t="s">
        <v>71</v>
      </c>
      <c r="W564" s="65" t="s">
        <v>72</v>
      </c>
      <c r="X564">
        <v>139.83000000000001</v>
      </c>
      <c r="Y564" s="65" t="s">
        <v>289</v>
      </c>
      <c r="Z564" s="65" t="s">
        <v>48</v>
      </c>
      <c r="AA564" s="65" t="s">
        <v>73</v>
      </c>
      <c r="AB564">
        <v>950418896</v>
      </c>
      <c r="AC564" s="65"/>
    </row>
    <row r="565" spans="1:30" x14ac:dyDescent="0.3">
      <c r="A565" s="1">
        <v>46266</v>
      </c>
      <c r="B565" s="65" t="s">
        <v>4006</v>
      </c>
      <c r="C565" s="65" t="s">
        <v>2491</v>
      </c>
      <c r="D565" s="65" t="s">
        <v>29</v>
      </c>
      <c r="E565" s="65" t="s">
        <v>2492</v>
      </c>
      <c r="F565" s="65" t="s">
        <v>31</v>
      </c>
      <c r="G565" s="65" t="s">
        <v>2493</v>
      </c>
      <c r="H565" s="65" t="s">
        <v>1615</v>
      </c>
      <c r="I565" s="65" t="s">
        <v>2494</v>
      </c>
      <c r="J565" s="65" t="s">
        <v>1615</v>
      </c>
      <c r="K565" s="65" t="s">
        <v>1616</v>
      </c>
      <c r="L565" s="65" t="s">
        <v>37</v>
      </c>
      <c r="M565" s="65" t="s">
        <v>1617</v>
      </c>
      <c r="N565" s="65" t="s">
        <v>1618</v>
      </c>
      <c r="O565" s="65" t="s">
        <v>1615</v>
      </c>
      <c r="P565" s="65" t="s">
        <v>2495</v>
      </c>
      <c r="Q565" s="65" t="s">
        <v>288</v>
      </c>
      <c r="R565">
        <v>1</v>
      </c>
      <c r="S565" s="65" t="s">
        <v>70</v>
      </c>
      <c r="T565" s="65" t="s">
        <v>43</v>
      </c>
      <c r="U565" s="65" t="s">
        <v>44</v>
      </c>
      <c r="V565" s="65" t="s">
        <v>71</v>
      </c>
      <c r="W565" s="65" t="s">
        <v>72</v>
      </c>
      <c r="X565">
        <v>0</v>
      </c>
      <c r="Y565" s="65" t="s">
        <v>289</v>
      </c>
      <c r="Z565" s="65" t="s">
        <v>48</v>
      </c>
      <c r="AA565" s="65" t="s">
        <v>73</v>
      </c>
      <c r="AB565">
        <v>950418896</v>
      </c>
      <c r="AC565" s="65"/>
    </row>
    <row r="566" spans="1:30" x14ac:dyDescent="0.3">
      <c r="A566" s="1">
        <v>46266</v>
      </c>
      <c r="B566" s="65" t="s">
        <v>4006</v>
      </c>
      <c r="C566" s="65" t="s">
        <v>4009</v>
      </c>
      <c r="D566" s="65" t="s">
        <v>29</v>
      </c>
      <c r="E566" s="65" t="s">
        <v>4010</v>
      </c>
      <c r="F566" s="65" t="s">
        <v>31</v>
      </c>
      <c r="G566" s="65" t="s">
        <v>4011</v>
      </c>
      <c r="H566" s="65" t="s">
        <v>4012</v>
      </c>
      <c r="I566" s="65" t="s">
        <v>4013</v>
      </c>
      <c r="J566" s="65" t="s">
        <v>1322</v>
      </c>
      <c r="K566" s="65" t="s">
        <v>36</v>
      </c>
      <c r="L566" s="65" t="s">
        <v>37</v>
      </c>
      <c r="M566" s="65" t="s">
        <v>4014</v>
      </c>
      <c r="N566" s="65" t="s">
        <v>4015</v>
      </c>
      <c r="O566" s="65" t="s">
        <v>4012</v>
      </c>
      <c r="P566" s="65" t="s">
        <v>4016</v>
      </c>
      <c r="Q566" s="65" t="s">
        <v>90</v>
      </c>
      <c r="R566">
        <v>1</v>
      </c>
      <c r="S566" s="65" t="s">
        <v>42</v>
      </c>
      <c r="T566" s="65" t="s">
        <v>44</v>
      </c>
      <c r="U566" s="65" t="s">
        <v>44</v>
      </c>
      <c r="V566" s="65" t="s">
        <v>531</v>
      </c>
      <c r="W566" s="65" t="s">
        <v>1965</v>
      </c>
      <c r="X566">
        <v>135.59</v>
      </c>
      <c r="Y566" s="65" t="s">
        <v>47</v>
      </c>
      <c r="Z566" s="65" t="s">
        <v>48</v>
      </c>
      <c r="AA566" s="65" t="s">
        <v>534</v>
      </c>
      <c r="AB566">
        <v>999111362</v>
      </c>
      <c r="AC566" s="65" t="s">
        <v>1326</v>
      </c>
      <c r="AD566">
        <v>30</v>
      </c>
    </row>
    <row r="567" spans="1:30" x14ac:dyDescent="0.3">
      <c r="A567" s="1">
        <v>46267</v>
      </c>
      <c r="B567" s="65" t="s">
        <v>4006</v>
      </c>
      <c r="C567" s="65" t="s">
        <v>2496</v>
      </c>
      <c r="D567" s="65" t="s">
        <v>29</v>
      </c>
      <c r="E567" s="65" t="s">
        <v>2497</v>
      </c>
      <c r="F567" s="65" t="s">
        <v>31</v>
      </c>
      <c r="G567" s="65" t="s">
        <v>2498</v>
      </c>
      <c r="H567" s="65" t="s">
        <v>2074</v>
      </c>
      <c r="I567" s="65" t="s">
        <v>2075</v>
      </c>
      <c r="J567" s="65" t="s">
        <v>411</v>
      </c>
      <c r="K567" s="65" t="s">
        <v>412</v>
      </c>
      <c r="L567" s="65" t="s">
        <v>37</v>
      </c>
      <c r="M567" s="65" t="s">
        <v>2076</v>
      </c>
      <c r="N567" s="65" t="s">
        <v>2077</v>
      </c>
      <c r="O567" s="65" t="s">
        <v>2074</v>
      </c>
      <c r="P567" s="65" t="s">
        <v>2499</v>
      </c>
      <c r="Q567" s="65" t="s">
        <v>159</v>
      </c>
      <c r="R567">
        <v>1</v>
      </c>
      <c r="S567" s="65" t="s">
        <v>42</v>
      </c>
      <c r="T567" s="65" t="s">
        <v>44</v>
      </c>
      <c r="U567" s="65" t="s">
        <v>44</v>
      </c>
      <c r="V567" s="65" t="s">
        <v>45</v>
      </c>
      <c r="W567" s="65" t="s">
        <v>46</v>
      </c>
      <c r="X567">
        <v>135.59</v>
      </c>
      <c r="Y567" s="65" t="s">
        <v>47</v>
      </c>
      <c r="Z567" s="65" t="s">
        <v>48</v>
      </c>
      <c r="AA567" s="65" t="s">
        <v>49</v>
      </c>
      <c r="AB567">
        <v>982673362</v>
      </c>
      <c r="AC567" s="65" t="s">
        <v>416</v>
      </c>
      <c r="AD567">
        <v>30</v>
      </c>
    </row>
    <row r="568" spans="1:30" x14ac:dyDescent="0.3">
      <c r="A568" s="1">
        <v>46267</v>
      </c>
      <c r="B568" s="65" t="s">
        <v>4006</v>
      </c>
      <c r="C568" s="65" t="s">
        <v>2500</v>
      </c>
      <c r="D568" s="65" t="s">
        <v>268</v>
      </c>
      <c r="E568" s="65" t="s">
        <v>2501</v>
      </c>
      <c r="F568" s="65" t="s">
        <v>31</v>
      </c>
      <c r="G568" s="65" t="s">
        <v>2502</v>
      </c>
      <c r="H568" s="65" t="s">
        <v>1012</v>
      </c>
      <c r="I568" s="65" t="s">
        <v>1013</v>
      </c>
      <c r="J568" s="65" t="s">
        <v>774</v>
      </c>
      <c r="K568" s="65" t="s">
        <v>775</v>
      </c>
      <c r="L568" s="65" t="s">
        <v>37</v>
      </c>
      <c r="M568" s="65" t="s">
        <v>1014</v>
      </c>
      <c r="N568" s="65" t="s">
        <v>1015</v>
      </c>
      <c r="O568" s="65" t="s">
        <v>798</v>
      </c>
      <c r="P568" s="65" t="s">
        <v>2503</v>
      </c>
      <c r="Q568" s="65" t="s">
        <v>2379</v>
      </c>
      <c r="R568">
        <v>1</v>
      </c>
      <c r="S568" s="65" t="s">
        <v>42</v>
      </c>
      <c r="T568" s="65" t="s">
        <v>44</v>
      </c>
      <c r="U568" s="65" t="s">
        <v>44</v>
      </c>
      <c r="V568" s="65" t="s">
        <v>45</v>
      </c>
      <c r="W568" s="65" t="s">
        <v>46</v>
      </c>
      <c r="X568">
        <v>1169.49</v>
      </c>
      <c r="Y568" s="65" t="s">
        <v>289</v>
      </c>
      <c r="Z568" s="65" t="s">
        <v>48</v>
      </c>
      <c r="AA568" s="65" t="s">
        <v>49</v>
      </c>
      <c r="AC568" s="65"/>
    </row>
    <row r="569" spans="1:30" x14ac:dyDescent="0.3">
      <c r="A569" s="1">
        <v>46267</v>
      </c>
      <c r="B569" s="65" t="s">
        <v>4006</v>
      </c>
      <c r="C569" s="65" t="s">
        <v>2500</v>
      </c>
      <c r="D569" s="65" t="s">
        <v>268</v>
      </c>
      <c r="E569" s="65" t="s">
        <v>2501</v>
      </c>
      <c r="F569" s="65" t="s">
        <v>31</v>
      </c>
      <c r="G569" s="65" t="s">
        <v>2502</v>
      </c>
      <c r="H569" s="65" t="s">
        <v>1012</v>
      </c>
      <c r="I569" s="65" t="s">
        <v>1013</v>
      </c>
      <c r="J569" s="65" t="s">
        <v>774</v>
      </c>
      <c r="K569" s="65" t="s">
        <v>775</v>
      </c>
      <c r="L569" s="65" t="s">
        <v>37</v>
      </c>
      <c r="M569" s="65" t="s">
        <v>1014</v>
      </c>
      <c r="N569" s="65" t="s">
        <v>1015</v>
      </c>
      <c r="O569" s="65" t="s">
        <v>798</v>
      </c>
      <c r="P569" s="65" t="s">
        <v>2503</v>
      </c>
      <c r="Q569" s="65" t="s">
        <v>288</v>
      </c>
      <c r="R569">
        <v>1</v>
      </c>
      <c r="S569" s="65" t="s">
        <v>42</v>
      </c>
      <c r="T569" s="65" t="s">
        <v>44</v>
      </c>
      <c r="U569" s="65" t="s">
        <v>44</v>
      </c>
      <c r="V569" s="65" t="s">
        <v>45</v>
      </c>
      <c r="W569" s="65" t="s">
        <v>46</v>
      </c>
      <c r="X569">
        <v>0</v>
      </c>
      <c r="Y569" s="65" t="s">
        <v>289</v>
      </c>
      <c r="Z569" s="65" t="s">
        <v>48</v>
      </c>
      <c r="AA569" s="65" t="s">
        <v>49</v>
      </c>
      <c r="AC569" s="65"/>
    </row>
    <row r="570" spans="1:30" x14ac:dyDescent="0.3">
      <c r="A570" s="1">
        <v>46267</v>
      </c>
      <c r="B570" s="65" t="s">
        <v>4006</v>
      </c>
      <c r="C570" s="65" t="s">
        <v>2504</v>
      </c>
      <c r="D570" s="65" t="s">
        <v>268</v>
      </c>
      <c r="E570" s="65" t="s">
        <v>2505</v>
      </c>
      <c r="F570" s="65" t="s">
        <v>31</v>
      </c>
      <c r="G570" s="65" t="s">
        <v>2506</v>
      </c>
      <c r="H570" s="65" t="s">
        <v>2451</v>
      </c>
      <c r="I570" s="65" t="s">
        <v>2452</v>
      </c>
      <c r="J570" s="65" t="s">
        <v>774</v>
      </c>
      <c r="K570" s="65" t="s">
        <v>775</v>
      </c>
      <c r="L570" s="65" t="s">
        <v>37</v>
      </c>
      <c r="M570" s="65" t="s">
        <v>2453</v>
      </c>
      <c r="N570" s="65" t="s">
        <v>2454</v>
      </c>
      <c r="O570" s="65" t="s">
        <v>798</v>
      </c>
      <c r="P570" s="65" t="s">
        <v>2507</v>
      </c>
      <c r="Q570" s="65" t="s">
        <v>290</v>
      </c>
      <c r="R570">
        <v>1</v>
      </c>
      <c r="S570" s="65" t="s">
        <v>42</v>
      </c>
      <c r="T570" s="65" t="s">
        <v>44</v>
      </c>
      <c r="U570" s="65" t="s">
        <v>44</v>
      </c>
      <c r="V570" s="65" t="s">
        <v>45</v>
      </c>
      <c r="W570" s="65" t="s">
        <v>46</v>
      </c>
      <c r="X570">
        <v>762.71</v>
      </c>
      <c r="Y570" s="65" t="s">
        <v>289</v>
      </c>
      <c r="Z570" s="65" t="s">
        <v>48</v>
      </c>
      <c r="AA570" s="65" t="s">
        <v>49</v>
      </c>
      <c r="AC570" s="65"/>
    </row>
    <row r="571" spans="1:30" x14ac:dyDescent="0.3">
      <c r="A571" s="1">
        <v>46267</v>
      </c>
      <c r="B571" s="65" t="s">
        <v>4006</v>
      </c>
      <c r="C571" s="65" t="s">
        <v>2504</v>
      </c>
      <c r="D571" s="65" t="s">
        <v>268</v>
      </c>
      <c r="E571" s="65" t="s">
        <v>2505</v>
      </c>
      <c r="F571" s="65" t="s">
        <v>31</v>
      </c>
      <c r="G571" s="65" t="s">
        <v>2506</v>
      </c>
      <c r="H571" s="65" t="s">
        <v>2451</v>
      </c>
      <c r="I571" s="65" t="s">
        <v>2452</v>
      </c>
      <c r="J571" s="65" t="s">
        <v>774</v>
      </c>
      <c r="K571" s="65" t="s">
        <v>775</v>
      </c>
      <c r="L571" s="65" t="s">
        <v>37</v>
      </c>
      <c r="M571" s="65" t="s">
        <v>2453</v>
      </c>
      <c r="N571" s="65" t="s">
        <v>2454</v>
      </c>
      <c r="O571" s="65" t="s">
        <v>798</v>
      </c>
      <c r="P571" s="65" t="s">
        <v>2507</v>
      </c>
      <c r="Q571" s="65" t="s">
        <v>288</v>
      </c>
      <c r="R571">
        <v>1</v>
      </c>
      <c r="S571" s="65" t="s">
        <v>42</v>
      </c>
      <c r="T571" s="65" t="s">
        <v>44</v>
      </c>
      <c r="U571" s="65" t="s">
        <v>44</v>
      </c>
      <c r="V571" s="65" t="s">
        <v>45</v>
      </c>
      <c r="W571" s="65" t="s">
        <v>46</v>
      </c>
      <c r="X571">
        <v>0</v>
      </c>
      <c r="Y571" s="65" t="s">
        <v>289</v>
      </c>
      <c r="Z571" s="65" t="s">
        <v>48</v>
      </c>
      <c r="AA571" s="65" t="s">
        <v>49</v>
      </c>
      <c r="AC571" s="65"/>
    </row>
    <row r="572" spans="1:30" x14ac:dyDescent="0.3">
      <c r="A572" s="1">
        <v>46267</v>
      </c>
      <c r="B572" s="65" t="s">
        <v>4006</v>
      </c>
      <c r="C572" s="65" t="s">
        <v>2508</v>
      </c>
      <c r="D572" s="65" t="s">
        <v>268</v>
      </c>
      <c r="E572" s="65" t="s">
        <v>2509</v>
      </c>
      <c r="F572" s="65" t="s">
        <v>31</v>
      </c>
      <c r="G572" s="65" t="s">
        <v>2510</v>
      </c>
      <c r="H572" s="65" t="s">
        <v>2335</v>
      </c>
      <c r="I572" s="65" t="s">
        <v>2336</v>
      </c>
      <c r="J572" s="65" t="s">
        <v>2795</v>
      </c>
      <c r="K572" s="65" t="s">
        <v>209</v>
      </c>
      <c r="L572" s="65" t="s">
        <v>37</v>
      </c>
      <c r="M572" s="65" t="s">
        <v>2337</v>
      </c>
      <c r="N572" s="65" t="s">
        <v>608</v>
      </c>
      <c r="O572" s="65" t="s">
        <v>1251</v>
      </c>
      <c r="P572" s="65" t="s">
        <v>2511</v>
      </c>
      <c r="Q572" s="65" t="s">
        <v>290</v>
      </c>
      <c r="R572">
        <v>1</v>
      </c>
      <c r="S572" s="65" t="s">
        <v>42</v>
      </c>
      <c r="T572" s="65" t="s">
        <v>44</v>
      </c>
      <c r="U572" s="65" t="s">
        <v>44</v>
      </c>
      <c r="V572" s="65" t="s">
        <v>45</v>
      </c>
      <c r="W572" s="65" t="s">
        <v>46</v>
      </c>
      <c r="X572">
        <v>762.71</v>
      </c>
      <c r="Y572" s="65" t="s">
        <v>289</v>
      </c>
      <c r="Z572" s="65" t="s">
        <v>48</v>
      </c>
      <c r="AA572" s="65" t="s">
        <v>49</v>
      </c>
      <c r="AB572">
        <v>994872106</v>
      </c>
      <c r="AC572" s="65" t="s">
        <v>1253</v>
      </c>
    </row>
    <row r="573" spans="1:30" x14ac:dyDescent="0.3">
      <c r="A573" s="1">
        <v>46267</v>
      </c>
      <c r="B573" s="65" t="s">
        <v>4006</v>
      </c>
      <c r="C573" s="65" t="s">
        <v>2508</v>
      </c>
      <c r="D573" s="65" t="s">
        <v>268</v>
      </c>
      <c r="E573" s="65" t="s">
        <v>2509</v>
      </c>
      <c r="F573" s="65" t="s">
        <v>31</v>
      </c>
      <c r="G573" s="65" t="s">
        <v>2510</v>
      </c>
      <c r="H573" s="65" t="s">
        <v>2335</v>
      </c>
      <c r="I573" s="65" t="s">
        <v>2336</v>
      </c>
      <c r="J573" s="65" t="s">
        <v>2795</v>
      </c>
      <c r="K573" s="65" t="s">
        <v>209</v>
      </c>
      <c r="L573" s="65" t="s">
        <v>37</v>
      </c>
      <c r="M573" s="65" t="s">
        <v>2337</v>
      </c>
      <c r="N573" s="65" t="s">
        <v>608</v>
      </c>
      <c r="O573" s="65" t="s">
        <v>1251</v>
      </c>
      <c r="P573" s="65" t="s">
        <v>2511</v>
      </c>
      <c r="Q573" s="65" t="s">
        <v>288</v>
      </c>
      <c r="R573">
        <v>1</v>
      </c>
      <c r="S573" s="65" t="s">
        <v>42</v>
      </c>
      <c r="T573" s="65" t="s">
        <v>44</v>
      </c>
      <c r="U573" s="65" t="s">
        <v>44</v>
      </c>
      <c r="V573" s="65" t="s">
        <v>45</v>
      </c>
      <c r="W573" s="65" t="s">
        <v>46</v>
      </c>
      <c r="X573">
        <v>0</v>
      </c>
      <c r="Y573" s="65" t="s">
        <v>289</v>
      </c>
      <c r="Z573" s="65" t="s">
        <v>48</v>
      </c>
      <c r="AA573" s="65" t="s">
        <v>49</v>
      </c>
      <c r="AB573">
        <v>994872106</v>
      </c>
      <c r="AC573" s="65" t="s">
        <v>1253</v>
      </c>
    </row>
    <row r="574" spans="1:30" x14ac:dyDescent="0.3">
      <c r="A574" s="1">
        <v>46267</v>
      </c>
      <c r="B574" s="65" t="s">
        <v>4006</v>
      </c>
      <c r="C574" s="65" t="s">
        <v>2512</v>
      </c>
      <c r="D574" s="65" t="s">
        <v>29</v>
      </c>
      <c r="E574" s="65" t="s">
        <v>2513</v>
      </c>
      <c r="F574" s="65" t="s">
        <v>31</v>
      </c>
      <c r="G574" s="65" t="s">
        <v>2514</v>
      </c>
      <c r="H574" s="65" t="s">
        <v>2515</v>
      </c>
      <c r="I574" s="65" t="s">
        <v>2516</v>
      </c>
      <c r="J574" s="65" t="s">
        <v>1322</v>
      </c>
      <c r="K574" s="65" t="s">
        <v>36</v>
      </c>
      <c r="L574" s="65" t="s">
        <v>37</v>
      </c>
      <c r="M574" s="65" t="s">
        <v>2517</v>
      </c>
      <c r="N574" s="65" t="s">
        <v>2518</v>
      </c>
      <c r="O574" s="65" t="s">
        <v>2515</v>
      </c>
      <c r="P574" s="65" t="s">
        <v>2519</v>
      </c>
      <c r="Q574" s="65" t="s">
        <v>101</v>
      </c>
      <c r="R574">
        <v>1</v>
      </c>
      <c r="S574" s="65" t="s">
        <v>42</v>
      </c>
      <c r="T574" s="65" t="s">
        <v>44</v>
      </c>
      <c r="U574" s="65" t="s">
        <v>44</v>
      </c>
      <c r="V574" s="65" t="s">
        <v>45</v>
      </c>
      <c r="W574" s="65" t="s">
        <v>46</v>
      </c>
      <c r="X574">
        <v>186.44</v>
      </c>
      <c r="Y574" s="65" t="s">
        <v>47</v>
      </c>
      <c r="Z574" s="65" t="s">
        <v>48</v>
      </c>
      <c r="AA574" s="65" t="s">
        <v>49</v>
      </c>
      <c r="AB574">
        <v>999111362</v>
      </c>
      <c r="AC574" s="65" t="s">
        <v>1326</v>
      </c>
      <c r="AD574">
        <v>50</v>
      </c>
    </row>
    <row r="575" spans="1:30" x14ac:dyDescent="0.3">
      <c r="A575" s="1">
        <v>46267</v>
      </c>
      <c r="B575" s="65" t="s">
        <v>4006</v>
      </c>
      <c r="C575" s="65" t="s">
        <v>2520</v>
      </c>
      <c r="D575" s="65" t="s">
        <v>268</v>
      </c>
      <c r="E575" s="65" t="s">
        <v>2521</v>
      </c>
      <c r="F575" s="65" t="s">
        <v>31</v>
      </c>
      <c r="G575" s="65" t="s">
        <v>2522</v>
      </c>
      <c r="H575" s="65" t="s">
        <v>2477</v>
      </c>
      <c r="I575" s="65" t="s">
        <v>2478</v>
      </c>
      <c r="J575" s="65" t="s">
        <v>774</v>
      </c>
      <c r="K575" s="65" t="s">
        <v>775</v>
      </c>
      <c r="L575" s="65" t="s">
        <v>37</v>
      </c>
      <c r="M575" s="65" t="s">
        <v>2479</v>
      </c>
      <c r="N575" s="65" t="s">
        <v>2480</v>
      </c>
      <c r="O575" s="65" t="s">
        <v>798</v>
      </c>
      <c r="P575" s="65" t="s">
        <v>2523</v>
      </c>
      <c r="Q575" s="65" t="s">
        <v>290</v>
      </c>
      <c r="R575">
        <v>1</v>
      </c>
      <c r="S575" s="65" t="s">
        <v>42</v>
      </c>
      <c r="T575" s="65" t="s">
        <v>44</v>
      </c>
      <c r="U575" s="65" t="s">
        <v>44</v>
      </c>
      <c r="V575" s="65" t="s">
        <v>45</v>
      </c>
      <c r="W575" s="65" t="s">
        <v>46</v>
      </c>
      <c r="X575">
        <v>762.71</v>
      </c>
      <c r="Y575" s="65" t="s">
        <v>289</v>
      </c>
      <c r="Z575" s="65" t="s">
        <v>48</v>
      </c>
      <c r="AA575" s="65" t="s">
        <v>49</v>
      </c>
      <c r="AC575" s="65"/>
    </row>
    <row r="576" spans="1:30" x14ac:dyDescent="0.3">
      <c r="A576" s="1">
        <v>46267</v>
      </c>
      <c r="B576" s="65" t="s">
        <v>4006</v>
      </c>
      <c r="C576" s="65" t="s">
        <v>2520</v>
      </c>
      <c r="D576" s="65" t="s">
        <v>268</v>
      </c>
      <c r="E576" s="65" t="s">
        <v>2521</v>
      </c>
      <c r="F576" s="65" t="s">
        <v>31</v>
      </c>
      <c r="G576" s="65" t="s">
        <v>2522</v>
      </c>
      <c r="H576" s="65" t="s">
        <v>2477</v>
      </c>
      <c r="I576" s="65" t="s">
        <v>2478</v>
      </c>
      <c r="J576" s="65" t="s">
        <v>774</v>
      </c>
      <c r="K576" s="65" t="s">
        <v>775</v>
      </c>
      <c r="L576" s="65" t="s">
        <v>37</v>
      </c>
      <c r="M576" s="65" t="s">
        <v>2479</v>
      </c>
      <c r="N576" s="65" t="s">
        <v>2480</v>
      </c>
      <c r="O576" s="65" t="s">
        <v>798</v>
      </c>
      <c r="P576" s="65" t="s">
        <v>2523</v>
      </c>
      <c r="Q576" s="65" t="s">
        <v>288</v>
      </c>
      <c r="R576">
        <v>1</v>
      </c>
      <c r="S576" s="65" t="s">
        <v>42</v>
      </c>
      <c r="T576" s="65" t="s">
        <v>44</v>
      </c>
      <c r="U576" s="65" t="s">
        <v>44</v>
      </c>
      <c r="V576" s="65" t="s">
        <v>45</v>
      </c>
      <c r="W576" s="65" t="s">
        <v>46</v>
      </c>
      <c r="X576">
        <v>0</v>
      </c>
      <c r="Y576" s="65" t="s">
        <v>289</v>
      </c>
      <c r="Z576" s="65" t="s">
        <v>48</v>
      </c>
      <c r="AA576" s="65" t="s">
        <v>49</v>
      </c>
      <c r="AC576" s="65"/>
    </row>
    <row r="577" spans="1:30" x14ac:dyDescent="0.3">
      <c r="A577" s="1">
        <v>46267</v>
      </c>
      <c r="B577" s="65" t="s">
        <v>4006</v>
      </c>
      <c r="C577" s="65" t="s">
        <v>4017</v>
      </c>
      <c r="D577" s="65" t="s">
        <v>29</v>
      </c>
      <c r="E577" s="65" t="s">
        <v>4018</v>
      </c>
      <c r="F577" s="65" t="s">
        <v>31</v>
      </c>
      <c r="G577" s="65" t="s">
        <v>4019</v>
      </c>
      <c r="H577" s="65" t="s">
        <v>4020</v>
      </c>
      <c r="I577" s="65" t="s">
        <v>4021</v>
      </c>
      <c r="J577" s="65" t="s">
        <v>136</v>
      </c>
      <c r="K577" s="65" t="s">
        <v>137</v>
      </c>
      <c r="L577" s="65" t="s">
        <v>37</v>
      </c>
      <c r="M577" s="65" t="s">
        <v>4022</v>
      </c>
      <c r="N577" s="65" t="s">
        <v>4023</v>
      </c>
      <c r="O577" s="65" t="s">
        <v>4020</v>
      </c>
      <c r="P577" s="65" t="s">
        <v>4024</v>
      </c>
      <c r="Q577" s="65" t="s">
        <v>90</v>
      </c>
      <c r="R577">
        <v>1</v>
      </c>
      <c r="S577" s="65" t="s">
        <v>42</v>
      </c>
      <c r="T577" s="65" t="s">
        <v>44</v>
      </c>
      <c r="U577" s="65" t="s">
        <v>44</v>
      </c>
      <c r="V577" s="65" t="s">
        <v>71</v>
      </c>
      <c r="W577" s="65" t="s">
        <v>72</v>
      </c>
      <c r="X577">
        <v>135.59</v>
      </c>
      <c r="Y577" s="65" t="s">
        <v>47</v>
      </c>
      <c r="Z577" s="65" t="s">
        <v>48</v>
      </c>
      <c r="AA577" s="65" t="s">
        <v>73</v>
      </c>
      <c r="AB577">
        <v>987407712</v>
      </c>
      <c r="AC577" s="65" t="s">
        <v>141</v>
      </c>
      <c r="AD577">
        <v>30</v>
      </c>
    </row>
    <row r="578" spans="1:30" x14ac:dyDescent="0.3">
      <c r="A578" s="1">
        <v>46267</v>
      </c>
      <c r="B578" s="65" t="s">
        <v>4006</v>
      </c>
      <c r="C578" s="65" t="s">
        <v>4025</v>
      </c>
      <c r="D578" s="65" t="s">
        <v>29</v>
      </c>
      <c r="E578" s="65" t="s">
        <v>4026</v>
      </c>
      <c r="F578" s="65" t="s">
        <v>31</v>
      </c>
      <c r="G578" s="65" t="s">
        <v>4027</v>
      </c>
      <c r="H578" s="65" t="s">
        <v>4028</v>
      </c>
      <c r="I578" s="65" t="s">
        <v>4029</v>
      </c>
      <c r="J578" s="65" t="s">
        <v>1322</v>
      </c>
      <c r="K578" s="65" t="s">
        <v>36</v>
      </c>
      <c r="L578" s="65" t="s">
        <v>37</v>
      </c>
      <c r="M578" s="65" t="s">
        <v>4030</v>
      </c>
      <c r="N578" s="65" t="s">
        <v>4031</v>
      </c>
      <c r="O578" s="65" t="s">
        <v>4028</v>
      </c>
      <c r="P578" s="65" t="s">
        <v>4032</v>
      </c>
      <c r="Q578" s="65" t="s">
        <v>202</v>
      </c>
      <c r="R578">
        <v>1</v>
      </c>
      <c r="S578" s="65" t="s">
        <v>42</v>
      </c>
      <c r="T578" s="65" t="s">
        <v>44</v>
      </c>
      <c r="U578" s="65" t="s">
        <v>44</v>
      </c>
      <c r="V578" s="65" t="s">
        <v>71</v>
      </c>
      <c r="W578" s="65" t="s">
        <v>184</v>
      </c>
      <c r="X578">
        <v>135.59</v>
      </c>
      <c r="Y578" s="65" t="s">
        <v>47</v>
      </c>
      <c r="Z578" s="65" t="s">
        <v>48</v>
      </c>
      <c r="AA578" s="65" t="s">
        <v>73</v>
      </c>
      <c r="AB578">
        <v>999111362</v>
      </c>
      <c r="AC578" s="65" t="s">
        <v>1326</v>
      </c>
      <c r="AD578">
        <v>30</v>
      </c>
    </row>
    <row r="579" spans="1:30" x14ac:dyDescent="0.3">
      <c r="A579" s="1">
        <v>46268</v>
      </c>
      <c r="B579" s="65" t="s">
        <v>4006</v>
      </c>
      <c r="C579" s="65" t="s">
        <v>2524</v>
      </c>
      <c r="D579" s="65" t="s">
        <v>29</v>
      </c>
      <c r="E579" s="65" t="s">
        <v>2525</v>
      </c>
      <c r="F579" s="65" t="s">
        <v>31</v>
      </c>
      <c r="G579" s="65" t="s">
        <v>2526</v>
      </c>
      <c r="H579" s="65" t="s">
        <v>2527</v>
      </c>
      <c r="I579" s="65" t="s">
        <v>2528</v>
      </c>
      <c r="J579" s="65" t="s">
        <v>477</v>
      </c>
      <c r="K579" s="65" t="s">
        <v>209</v>
      </c>
      <c r="L579" s="65" t="s">
        <v>37</v>
      </c>
      <c r="M579" s="65" t="s">
        <v>2529</v>
      </c>
      <c r="N579" s="65" t="s">
        <v>2530</v>
      </c>
      <c r="O579" s="65" t="s">
        <v>2527</v>
      </c>
      <c r="P579" s="65" t="s">
        <v>2531</v>
      </c>
      <c r="Q579" s="65" t="s">
        <v>90</v>
      </c>
      <c r="R579">
        <v>1</v>
      </c>
      <c r="S579" s="65" t="s">
        <v>70</v>
      </c>
      <c r="T579" s="65" t="s">
        <v>43</v>
      </c>
      <c r="U579" s="65" t="s">
        <v>44</v>
      </c>
      <c r="V579" s="65" t="s">
        <v>71</v>
      </c>
      <c r="W579" s="65" t="s">
        <v>72</v>
      </c>
      <c r="X579">
        <v>135.59</v>
      </c>
      <c r="Y579" s="65" t="s">
        <v>47</v>
      </c>
      <c r="Z579" s="65" t="s">
        <v>48</v>
      </c>
      <c r="AA579" s="65" t="s">
        <v>73</v>
      </c>
      <c r="AB579">
        <v>982536223</v>
      </c>
      <c r="AC579" s="65" t="s">
        <v>482</v>
      </c>
      <c r="AD579">
        <v>30</v>
      </c>
    </row>
    <row r="580" spans="1:30" x14ac:dyDescent="0.3">
      <c r="A580" s="1">
        <v>46268</v>
      </c>
      <c r="B580" s="65" t="s">
        <v>4006</v>
      </c>
      <c r="C580" s="65" t="s">
        <v>2532</v>
      </c>
      <c r="D580" s="65" t="s">
        <v>29</v>
      </c>
      <c r="E580" s="65" t="s">
        <v>2533</v>
      </c>
      <c r="F580" s="65" t="s">
        <v>31</v>
      </c>
      <c r="G580" s="65" t="s">
        <v>2534</v>
      </c>
      <c r="H580" s="65" t="s">
        <v>2535</v>
      </c>
      <c r="I580" s="65" t="s">
        <v>2536</v>
      </c>
      <c r="J580" s="65" t="s">
        <v>762</v>
      </c>
      <c r="K580" s="65" t="s">
        <v>209</v>
      </c>
      <c r="L580" s="65" t="s">
        <v>37</v>
      </c>
      <c r="M580" s="65" t="s">
        <v>2537</v>
      </c>
      <c r="N580" s="65" t="s">
        <v>2538</v>
      </c>
      <c r="O580" s="65" t="s">
        <v>2535</v>
      </c>
      <c r="P580" s="65" t="s">
        <v>2539</v>
      </c>
      <c r="Q580" s="65" t="s">
        <v>41</v>
      </c>
      <c r="R580">
        <v>1</v>
      </c>
      <c r="S580" s="65" t="s">
        <v>42</v>
      </c>
      <c r="T580" s="65" t="s">
        <v>44</v>
      </c>
      <c r="U580" s="65" t="s">
        <v>44</v>
      </c>
      <c r="V580" s="65" t="s">
        <v>45</v>
      </c>
      <c r="W580" s="65" t="s">
        <v>60</v>
      </c>
      <c r="X580">
        <v>186.44</v>
      </c>
      <c r="Y580" s="65" t="s">
        <v>47</v>
      </c>
      <c r="Z580" s="65" t="s">
        <v>48</v>
      </c>
      <c r="AA580" s="65" t="s">
        <v>49</v>
      </c>
      <c r="AB580">
        <v>969791876</v>
      </c>
      <c r="AC580" s="65" t="s">
        <v>768</v>
      </c>
      <c r="AD580">
        <v>50</v>
      </c>
    </row>
    <row r="581" spans="1:30" x14ac:dyDescent="0.3">
      <c r="A581" s="1">
        <v>46268</v>
      </c>
      <c r="B581" s="65" t="s">
        <v>4006</v>
      </c>
      <c r="C581" s="65" t="s">
        <v>2532</v>
      </c>
      <c r="D581" s="65" t="s">
        <v>29</v>
      </c>
      <c r="E581" s="65" t="s">
        <v>2533</v>
      </c>
      <c r="F581" s="65" t="s">
        <v>31</v>
      </c>
      <c r="G581" s="65" t="s">
        <v>2534</v>
      </c>
      <c r="H581" s="65" t="s">
        <v>2535</v>
      </c>
      <c r="I581" s="65" t="s">
        <v>2536</v>
      </c>
      <c r="J581" s="65" t="s">
        <v>762</v>
      </c>
      <c r="K581" s="65" t="s">
        <v>209</v>
      </c>
      <c r="L581" s="65" t="s">
        <v>37</v>
      </c>
      <c r="M581" s="65" t="s">
        <v>2537</v>
      </c>
      <c r="N581" s="65" t="s">
        <v>2538</v>
      </c>
      <c r="O581" s="65" t="s">
        <v>2535</v>
      </c>
      <c r="P581" s="65" t="s">
        <v>2539</v>
      </c>
      <c r="Q581" s="65" t="s">
        <v>101</v>
      </c>
      <c r="R581">
        <v>1</v>
      </c>
      <c r="S581" s="65" t="s">
        <v>42</v>
      </c>
      <c r="T581" s="65" t="s">
        <v>44</v>
      </c>
      <c r="U581" s="65" t="s">
        <v>44</v>
      </c>
      <c r="V581" s="65" t="s">
        <v>45</v>
      </c>
      <c r="W581" s="65" t="s">
        <v>60</v>
      </c>
      <c r="X581">
        <v>186.44</v>
      </c>
      <c r="Y581" s="65" t="s">
        <v>47</v>
      </c>
      <c r="Z581" s="65" t="s">
        <v>48</v>
      </c>
      <c r="AA581" s="65" t="s">
        <v>49</v>
      </c>
      <c r="AB581">
        <v>969791876</v>
      </c>
      <c r="AC581" s="65" t="s">
        <v>768</v>
      </c>
      <c r="AD581">
        <v>50</v>
      </c>
    </row>
    <row r="582" spans="1:30" x14ac:dyDescent="0.3">
      <c r="A582" s="1">
        <v>46268</v>
      </c>
      <c r="B582" s="65" t="s">
        <v>4006</v>
      </c>
      <c r="C582" s="65" t="s">
        <v>2540</v>
      </c>
      <c r="D582" s="65" t="s">
        <v>268</v>
      </c>
      <c r="E582" s="65" t="s">
        <v>2541</v>
      </c>
      <c r="F582" s="65" t="s">
        <v>31</v>
      </c>
      <c r="G582" s="65" t="s">
        <v>2542</v>
      </c>
      <c r="H582" s="65" t="s">
        <v>2154</v>
      </c>
      <c r="I582" s="65" t="s">
        <v>2155</v>
      </c>
      <c r="J582" s="65" t="s">
        <v>774</v>
      </c>
      <c r="K582" s="65" t="s">
        <v>775</v>
      </c>
      <c r="L582" s="65" t="s">
        <v>37</v>
      </c>
      <c r="M582" s="65" t="s">
        <v>2156</v>
      </c>
      <c r="N582" s="65" t="s">
        <v>2157</v>
      </c>
      <c r="O582" s="65" t="s">
        <v>798</v>
      </c>
      <c r="P582" s="65" t="s">
        <v>2543</v>
      </c>
      <c r="Q582" s="65" t="s">
        <v>290</v>
      </c>
      <c r="R582">
        <v>1</v>
      </c>
      <c r="S582" s="65" t="s">
        <v>42</v>
      </c>
      <c r="T582" s="65" t="s">
        <v>44</v>
      </c>
      <c r="U582" s="65" t="s">
        <v>44</v>
      </c>
      <c r="V582" s="65" t="s">
        <v>45</v>
      </c>
      <c r="W582" s="65" t="s">
        <v>60</v>
      </c>
      <c r="X582">
        <v>1525.42</v>
      </c>
      <c r="Y582" s="65" t="s">
        <v>289</v>
      </c>
      <c r="Z582" s="65" t="s">
        <v>48</v>
      </c>
      <c r="AA582" s="65" t="s">
        <v>49</v>
      </c>
      <c r="AC582" s="65"/>
    </row>
    <row r="583" spans="1:30" x14ac:dyDescent="0.3">
      <c r="A583" s="1">
        <v>46268</v>
      </c>
      <c r="B583" s="65" t="s">
        <v>4006</v>
      </c>
      <c r="C583" s="65" t="s">
        <v>2540</v>
      </c>
      <c r="D583" s="65" t="s">
        <v>268</v>
      </c>
      <c r="E583" s="65" t="s">
        <v>2541</v>
      </c>
      <c r="F583" s="65" t="s">
        <v>31</v>
      </c>
      <c r="G583" s="65" t="s">
        <v>2542</v>
      </c>
      <c r="H583" s="65" t="s">
        <v>2154</v>
      </c>
      <c r="I583" s="65" t="s">
        <v>2155</v>
      </c>
      <c r="J583" s="65" t="s">
        <v>774</v>
      </c>
      <c r="K583" s="65" t="s">
        <v>775</v>
      </c>
      <c r="L583" s="65" t="s">
        <v>37</v>
      </c>
      <c r="M583" s="65" t="s">
        <v>2156</v>
      </c>
      <c r="N583" s="65" t="s">
        <v>2157</v>
      </c>
      <c r="O583" s="65" t="s">
        <v>798</v>
      </c>
      <c r="P583" s="65" t="s">
        <v>2543</v>
      </c>
      <c r="Q583" s="65" t="s">
        <v>288</v>
      </c>
      <c r="R583">
        <v>1</v>
      </c>
      <c r="S583" s="65" t="s">
        <v>42</v>
      </c>
      <c r="T583" s="65" t="s">
        <v>44</v>
      </c>
      <c r="U583" s="65" t="s">
        <v>44</v>
      </c>
      <c r="V583" s="65" t="s">
        <v>45</v>
      </c>
      <c r="W583" s="65" t="s">
        <v>60</v>
      </c>
      <c r="X583">
        <v>0</v>
      </c>
      <c r="Y583" s="65" t="s">
        <v>289</v>
      </c>
      <c r="Z583" s="65" t="s">
        <v>48</v>
      </c>
      <c r="AA583" s="65" t="s">
        <v>49</v>
      </c>
      <c r="AC583" s="65"/>
    </row>
    <row r="584" spans="1:30" x14ac:dyDescent="0.3">
      <c r="A584" s="1">
        <v>46268</v>
      </c>
      <c r="B584" s="65" t="s">
        <v>4006</v>
      </c>
      <c r="C584" s="65" t="s">
        <v>4033</v>
      </c>
      <c r="D584" s="65" t="s">
        <v>29</v>
      </c>
      <c r="E584" s="65" t="s">
        <v>4034</v>
      </c>
      <c r="F584" s="65" t="s">
        <v>31</v>
      </c>
      <c r="G584" s="65" t="s">
        <v>4035</v>
      </c>
      <c r="H584" s="65" t="s">
        <v>4036</v>
      </c>
      <c r="I584" s="65" t="s">
        <v>4037</v>
      </c>
      <c r="J584" s="65" t="s">
        <v>715</v>
      </c>
      <c r="K584" s="65" t="s">
        <v>716</v>
      </c>
      <c r="L584" s="65" t="s">
        <v>37</v>
      </c>
      <c r="M584" s="65" t="s">
        <v>4038</v>
      </c>
      <c r="N584" s="65" t="s">
        <v>4039</v>
      </c>
      <c r="O584" s="65" t="s">
        <v>4036</v>
      </c>
      <c r="P584" s="65" t="s">
        <v>4040</v>
      </c>
      <c r="Q584" s="65" t="s">
        <v>130</v>
      </c>
      <c r="R584">
        <v>1</v>
      </c>
      <c r="S584" s="65" t="s">
        <v>42</v>
      </c>
      <c r="T584" s="65" t="s">
        <v>44</v>
      </c>
      <c r="U584" s="65" t="s">
        <v>44</v>
      </c>
      <c r="V584" s="65" t="s">
        <v>71</v>
      </c>
      <c r="W584" s="65" t="s">
        <v>2054</v>
      </c>
      <c r="X584">
        <v>152.54</v>
      </c>
      <c r="Y584" s="65" t="s">
        <v>47</v>
      </c>
      <c r="Z584" s="65" t="s">
        <v>48</v>
      </c>
      <c r="AA584" s="65" t="s">
        <v>73</v>
      </c>
      <c r="AB584">
        <v>955356636</v>
      </c>
      <c r="AC584" s="65" t="s">
        <v>720</v>
      </c>
      <c r="AD584">
        <v>30</v>
      </c>
    </row>
    <row r="585" spans="1:30" x14ac:dyDescent="0.3">
      <c r="A585" s="1">
        <v>46269</v>
      </c>
      <c r="B585" s="65" t="s">
        <v>4006</v>
      </c>
      <c r="C585" s="65" t="s">
        <v>2544</v>
      </c>
      <c r="D585" s="65" t="s">
        <v>268</v>
      </c>
      <c r="E585" s="65" t="s">
        <v>2545</v>
      </c>
      <c r="F585" s="65" t="s">
        <v>31</v>
      </c>
      <c r="G585" s="65" t="s">
        <v>2546</v>
      </c>
      <c r="H585" s="65" t="s">
        <v>2547</v>
      </c>
      <c r="I585" s="65" t="s">
        <v>2548</v>
      </c>
      <c r="J585" s="65" t="s">
        <v>273</v>
      </c>
      <c r="K585" s="65" t="s">
        <v>274</v>
      </c>
      <c r="L585" s="65" t="s">
        <v>37</v>
      </c>
      <c r="M585" s="65" t="s">
        <v>2549</v>
      </c>
      <c r="N585" s="65" t="s">
        <v>2550</v>
      </c>
      <c r="O585" s="65" t="s">
        <v>277</v>
      </c>
      <c r="P585" s="65" t="s">
        <v>2551</v>
      </c>
      <c r="Q585" s="65" t="s">
        <v>290</v>
      </c>
      <c r="R585">
        <v>1</v>
      </c>
      <c r="S585" s="65" t="s">
        <v>42</v>
      </c>
      <c r="T585" s="65" t="s">
        <v>44</v>
      </c>
      <c r="U585" s="65" t="s">
        <v>44</v>
      </c>
      <c r="V585" s="65" t="s">
        <v>45</v>
      </c>
      <c r="W585" s="65" t="s">
        <v>46</v>
      </c>
      <c r="X585">
        <v>1050.8499999999999</v>
      </c>
      <c r="Y585" s="65" t="s">
        <v>289</v>
      </c>
      <c r="Z585" s="65" t="s">
        <v>48</v>
      </c>
      <c r="AA585" s="65" t="s">
        <v>49</v>
      </c>
      <c r="AB585">
        <v>950133748</v>
      </c>
      <c r="AC585" s="65" t="s">
        <v>279</v>
      </c>
    </row>
    <row r="586" spans="1:30" x14ac:dyDescent="0.3">
      <c r="A586" s="1">
        <v>46269</v>
      </c>
      <c r="B586" s="65" t="s">
        <v>4006</v>
      </c>
      <c r="C586" s="65" t="s">
        <v>2544</v>
      </c>
      <c r="D586" s="65" t="s">
        <v>268</v>
      </c>
      <c r="E586" s="65" t="s">
        <v>2545</v>
      </c>
      <c r="F586" s="65" t="s">
        <v>31</v>
      </c>
      <c r="G586" s="65" t="s">
        <v>2546</v>
      </c>
      <c r="H586" s="65" t="s">
        <v>2547</v>
      </c>
      <c r="I586" s="65" t="s">
        <v>2548</v>
      </c>
      <c r="J586" s="65" t="s">
        <v>273</v>
      </c>
      <c r="K586" s="65" t="s">
        <v>274</v>
      </c>
      <c r="L586" s="65" t="s">
        <v>37</v>
      </c>
      <c r="M586" s="65" t="s">
        <v>2549</v>
      </c>
      <c r="N586" s="65" t="s">
        <v>2550</v>
      </c>
      <c r="O586" s="65" t="s">
        <v>277</v>
      </c>
      <c r="P586" s="65" t="s">
        <v>2551</v>
      </c>
      <c r="Q586" s="65" t="s">
        <v>288</v>
      </c>
      <c r="R586">
        <v>1</v>
      </c>
      <c r="S586" s="65" t="s">
        <v>42</v>
      </c>
      <c r="T586" s="65" t="s">
        <v>44</v>
      </c>
      <c r="U586" s="65" t="s">
        <v>44</v>
      </c>
      <c r="V586" s="65" t="s">
        <v>45</v>
      </c>
      <c r="W586" s="65" t="s">
        <v>46</v>
      </c>
      <c r="X586">
        <v>0</v>
      </c>
      <c r="Y586" s="65" t="s">
        <v>289</v>
      </c>
      <c r="Z586" s="65" t="s">
        <v>48</v>
      </c>
      <c r="AA586" s="65" t="s">
        <v>49</v>
      </c>
      <c r="AB586">
        <v>950133748</v>
      </c>
      <c r="AC586" s="65" t="s">
        <v>279</v>
      </c>
    </row>
    <row r="587" spans="1:30" x14ac:dyDescent="0.3">
      <c r="A587" s="1">
        <v>46269</v>
      </c>
      <c r="B587" s="65" t="s">
        <v>4006</v>
      </c>
      <c r="C587" s="65" t="s">
        <v>2552</v>
      </c>
      <c r="D587" s="65" t="s">
        <v>29</v>
      </c>
      <c r="E587" s="65" t="s">
        <v>2553</v>
      </c>
      <c r="F587" s="65" t="s">
        <v>31</v>
      </c>
      <c r="G587" s="65" t="s">
        <v>2554</v>
      </c>
      <c r="H587" s="65" t="s">
        <v>2555</v>
      </c>
      <c r="I587" s="65" t="s">
        <v>2556</v>
      </c>
      <c r="J587" s="65" t="s">
        <v>2557</v>
      </c>
      <c r="K587" s="65" t="s">
        <v>2558</v>
      </c>
      <c r="L587" s="65" t="s">
        <v>37</v>
      </c>
      <c r="M587" s="65" t="s">
        <v>2559</v>
      </c>
      <c r="N587" s="65" t="s">
        <v>2560</v>
      </c>
      <c r="O587" s="65" t="s">
        <v>2555</v>
      </c>
      <c r="P587" s="65" t="s">
        <v>2561</v>
      </c>
      <c r="Q587" s="65" t="s">
        <v>1157</v>
      </c>
      <c r="R587">
        <v>1</v>
      </c>
      <c r="S587" s="65" t="s">
        <v>42</v>
      </c>
      <c r="T587" s="65" t="s">
        <v>44</v>
      </c>
      <c r="U587" s="65" t="s">
        <v>44</v>
      </c>
      <c r="V587" s="65" t="s">
        <v>45</v>
      </c>
      <c r="W587" s="65" t="s">
        <v>46</v>
      </c>
      <c r="X587">
        <v>338.98</v>
      </c>
      <c r="Y587" s="65" t="s">
        <v>47</v>
      </c>
      <c r="Z587" s="65" t="s">
        <v>48</v>
      </c>
      <c r="AA587" s="65" t="s">
        <v>49</v>
      </c>
      <c r="AB587">
        <v>949900695</v>
      </c>
      <c r="AC587" s="65" t="s">
        <v>2562</v>
      </c>
      <c r="AD587">
        <v>100</v>
      </c>
    </row>
    <row r="588" spans="1:30" x14ac:dyDescent="0.3">
      <c r="A588" s="1">
        <v>46269</v>
      </c>
      <c r="B588" s="65" t="s">
        <v>4006</v>
      </c>
      <c r="C588" s="65" t="s">
        <v>2563</v>
      </c>
      <c r="D588" s="65" t="s">
        <v>268</v>
      </c>
      <c r="E588" s="65" t="s">
        <v>2564</v>
      </c>
      <c r="F588" s="65" t="s">
        <v>31</v>
      </c>
      <c r="G588" s="65" t="s">
        <v>2565</v>
      </c>
      <c r="H588" s="65" t="s">
        <v>2185</v>
      </c>
      <c r="I588" s="65" t="s">
        <v>2186</v>
      </c>
      <c r="J588" s="65" t="s">
        <v>273</v>
      </c>
      <c r="K588" s="65" t="s">
        <v>274</v>
      </c>
      <c r="L588" s="65" t="s">
        <v>37</v>
      </c>
      <c r="M588" s="65" t="s">
        <v>2187</v>
      </c>
      <c r="N588" s="65" t="s">
        <v>2188</v>
      </c>
      <c r="O588" s="65" t="s">
        <v>277</v>
      </c>
      <c r="P588" s="65" t="s">
        <v>2566</v>
      </c>
      <c r="Q588" s="65" t="s">
        <v>290</v>
      </c>
      <c r="R588">
        <v>1</v>
      </c>
      <c r="S588" s="65" t="s">
        <v>42</v>
      </c>
      <c r="T588" s="65" t="s">
        <v>44</v>
      </c>
      <c r="U588" s="65" t="s">
        <v>44</v>
      </c>
      <c r="V588" s="65" t="s">
        <v>45</v>
      </c>
      <c r="W588" s="65" t="s">
        <v>46</v>
      </c>
      <c r="X588">
        <v>3211.86</v>
      </c>
      <c r="Y588" s="65" t="s">
        <v>289</v>
      </c>
      <c r="Z588" s="65" t="s">
        <v>48</v>
      </c>
      <c r="AA588" s="65" t="s">
        <v>49</v>
      </c>
      <c r="AB588">
        <v>950133748</v>
      </c>
      <c r="AC588" s="65" t="s">
        <v>279</v>
      </c>
    </row>
    <row r="589" spans="1:30" x14ac:dyDescent="0.3">
      <c r="A589" s="1">
        <v>46269</v>
      </c>
      <c r="B589" s="65" t="s">
        <v>4006</v>
      </c>
      <c r="C589" s="65" t="s">
        <v>2563</v>
      </c>
      <c r="D589" s="65" t="s">
        <v>268</v>
      </c>
      <c r="E589" s="65" t="s">
        <v>2564</v>
      </c>
      <c r="F589" s="65" t="s">
        <v>31</v>
      </c>
      <c r="G589" s="65" t="s">
        <v>2565</v>
      </c>
      <c r="H589" s="65" t="s">
        <v>2185</v>
      </c>
      <c r="I589" s="65" t="s">
        <v>2186</v>
      </c>
      <c r="J589" s="65" t="s">
        <v>273</v>
      </c>
      <c r="K589" s="65" t="s">
        <v>274</v>
      </c>
      <c r="L589" s="65" t="s">
        <v>37</v>
      </c>
      <c r="M589" s="65" t="s">
        <v>2187</v>
      </c>
      <c r="N589" s="65" t="s">
        <v>2188</v>
      </c>
      <c r="O589" s="65" t="s">
        <v>277</v>
      </c>
      <c r="P589" s="65" t="s">
        <v>2566</v>
      </c>
      <c r="Q589" s="65" t="s">
        <v>288</v>
      </c>
      <c r="R589">
        <v>1</v>
      </c>
      <c r="S589" s="65" t="s">
        <v>42</v>
      </c>
      <c r="T589" s="65" t="s">
        <v>44</v>
      </c>
      <c r="U589" s="65" t="s">
        <v>44</v>
      </c>
      <c r="V589" s="65" t="s">
        <v>45</v>
      </c>
      <c r="W589" s="65" t="s">
        <v>46</v>
      </c>
      <c r="X589">
        <v>0</v>
      </c>
      <c r="Y589" s="65" t="s">
        <v>289</v>
      </c>
      <c r="Z589" s="65" t="s">
        <v>48</v>
      </c>
      <c r="AA589" s="65" t="s">
        <v>49</v>
      </c>
      <c r="AB589">
        <v>950133748</v>
      </c>
      <c r="AC589" s="65" t="s">
        <v>279</v>
      </c>
    </row>
    <row r="590" spans="1:30" x14ac:dyDescent="0.3">
      <c r="A590" s="1">
        <v>46269</v>
      </c>
      <c r="B590" s="65" t="s">
        <v>4006</v>
      </c>
      <c r="C590" s="65" t="s">
        <v>2567</v>
      </c>
      <c r="D590" s="65" t="s">
        <v>268</v>
      </c>
      <c r="E590" s="65" t="s">
        <v>2568</v>
      </c>
      <c r="F590" s="65" t="s">
        <v>31</v>
      </c>
      <c r="G590" s="65" t="s">
        <v>2569</v>
      </c>
      <c r="H590" s="65" t="s">
        <v>2547</v>
      </c>
      <c r="I590" s="65" t="s">
        <v>2548</v>
      </c>
      <c r="J590" s="65" t="s">
        <v>273</v>
      </c>
      <c r="K590" s="65" t="s">
        <v>274</v>
      </c>
      <c r="L590" s="65" t="s">
        <v>37</v>
      </c>
      <c r="M590" s="65" t="s">
        <v>2549</v>
      </c>
      <c r="N590" s="65" t="s">
        <v>2550</v>
      </c>
      <c r="O590" s="65" t="s">
        <v>277</v>
      </c>
      <c r="P590" s="65" t="s">
        <v>2570</v>
      </c>
      <c r="Q590" s="65" t="s">
        <v>201</v>
      </c>
      <c r="R590">
        <v>1</v>
      </c>
      <c r="S590" s="65" t="s">
        <v>42</v>
      </c>
      <c r="T590" s="65" t="s">
        <v>44</v>
      </c>
      <c r="U590" s="65" t="s">
        <v>44</v>
      </c>
      <c r="V590" s="65" t="s">
        <v>45</v>
      </c>
      <c r="W590" s="65" t="s">
        <v>60</v>
      </c>
      <c r="X590">
        <v>152.54</v>
      </c>
      <c r="Y590" s="65" t="s">
        <v>47</v>
      </c>
      <c r="Z590" s="65" t="s">
        <v>48</v>
      </c>
      <c r="AA590" s="65" t="s">
        <v>49</v>
      </c>
      <c r="AB590">
        <v>950133748</v>
      </c>
      <c r="AC590" s="65" t="s">
        <v>279</v>
      </c>
      <c r="AD590">
        <v>30</v>
      </c>
    </row>
    <row r="591" spans="1:30" x14ac:dyDescent="0.3">
      <c r="A591" s="1">
        <v>46269</v>
      </c>
      <c r="B591" s="65" t="s">
        <v>4006</v>
      </c>
      <c r="C591" s="65" t="s">
        <v>2571</v>
      </c>
      <c r="D591" s="65" t="s">
        <v>29</v>
      </c>
      <c r="E591" s="65" t="s">
        <v>2572</v>
      </c>
      <c r="F591" s="65" t="s">
        <v>31</v>
      </c>
      <c r="G591" s="65" t="s">
        <v>2573</v>
      </c>
      <c r="H591" s="65" t="s">
        <v>2574</v>
      </c>
      <c r="I591" s="65" t="s">
        <v>2575</v>
      </c>
      <c r="J591" s="65"/>
      <c r="K591" s="65"/>
      <c r="L591" s="65" t="s">
        <v>37</v>
      </c>
      <c r="M591" s="65" t="s">
        <v>2576</v>
      </c>
      <c r="N591" s="65" t="s">
        <v>2577</v>
      </c>
      <c r="O591" s="65" t="s">
        <v>2574</v>
      </c>
      <c r="P591" s="65" t="s">
        <v>2578</v>
      </c>
      <c r="Q591" s="65" t="s">
        <v>159</v>
      </c>
      <c r="R591">
        <v>1</v>
      </c>
      <c r="S591" s="65" t="s">
        <v>42</v>
      </c>
      <c r="T591" s="65" t="s">
        <v>44</v>
      </c>
      <c r="U591" s="65" t="s">
        <v>44</v>
      </c>
      <c r="V591" s="65" t="s">
        <v>45</v>
      </c>
      <c r="W591" s="65" t="s">
        <v>60</v>
      </c>
      <c r="X591">
        <v>135.59</v>
      </c>
      <c r="Y591" s="65" t="s">
        <v>47</v>
      </c>
      <c r="Z591" s="65" t="s">
        <v>48</v>
      </c>
      <c r="AA591" s="65" t="s">
        <v>49</v>
      </c>
      <c r="AC591" s="65"/>
      <c r="AD591">
        <v>30</v>
      </c>
    </row>
    <row r="592" spans="1:30" x14ac:dyDescent="0.3">
      <c r="A592" s="1">
        <v>46269</v>
      </c>
      <c r="B592" s="65" t="s">
        <v>4006</v>
      </c>
      <c r="C592" s="65" t="s">
        <v>4041</v>
      </c>
      <c r="D592" s="65" t="s">
        <v>29</v>
      </c>
      <c r="E592" s="65" t="s">
        <v>4042</v>
      </c>
      <c r="F592" s="65" t="s">
        <v>31</v>
      </c>
      <c r="G592" s="65" t="s">
        <v>4043</v>
      </c>
      <c r="H592" s="65" t="s">
        <v>4044</v>
      </c>
      <c r="I592" s="65" t="s">
        <v>4045</v>
      </c>
      <c r="J592" s="65" t="s">
        <v>762</v>
      </c>
      <c r="K592" s="65" t="s">
        <v>209</v>
      </c>
      <c r="L592" s="65" t="s">
        <v>37</v>
      </c>
      <c r="M592" s="65" t="s">
        <v>4046</v>
      </c>
      <c r="N592" s="65" t="s">
        <v>4047</v>
      </c>
      <c r="O592" s="65" t="s">
        <v>4044</v>
      </c>
      <c r="P592" s="65" t="s">
        <v>4048</v>
      </c>
      <c r="Q592" s="65" t="s">
        <v>159</v>
      </c>
      <c r="R592">
        <v>1</v>
      </c>
      <c r="S592" s="65" t="s">
        <v>42</v>
      </c>
      <c r="T592" s="65" t="s">
        <v>44</v>
      </c>
      <c r="U592" s="65" t="s">
        <v>44</v>
      </c>
      <c r="V592" s="65" t="s">
        <v>531</v>
      </c>
      <c r="W592" s="65" t="s">
        <v>4049</v>
      </c>
      <c r="X592">
        <v>135.59</v>
      </c>
      <c r="Y592" s="65" t="s">
        <v>47</v>
      </c>
      <c r="Z592" s="65" t="s">
        <v>48</v>
      </c>
      <c r="AA592" s="65" t="s">
        <v>534</v>
      </c>
      <c r="AB592">
        <v>969791876</v>
      </c>
      <c r="AC592" s="65" t="s">
        <v>768</v>
      </c>
      <c r="AD592">
        <v>30</v>
      </c>
    </row>
    <row r="593" spans="1:30" x14ac:dyDescent="0.3">
      <c r="A593" s="1">
        <v>46270</v>
      </c>
      <c r="B593" s="65" t="s">
        <v>4006</v>
      </c>
      <c r="C593" s="65" t="s">
        <v>2579</v>
      </c>
      <c r="D593" s="65" t="s">
        <v>268</v>
      </c>
      <c r="E593" s="65" t="s">
        <v>2580</v>
      </c>
      <c r="F593" s="65" t="s">
        <v>31</v>
      </c>
      <c r="G593" s="65" t="s">
        <v>2581</v>
      </c>
      <c r="H593" s="65" t="s">
        <v>2582</v>
      </c>
      <c r="I593" s="65" t="s">
        <v>2583</v>
      </c>
      <c r="J593" s="65" t="s">
        <v>704</v>
      </c>
      <c r="K593" s="65" t="s">
        <v>705</v>
      </c>
      <c r="L593" s="65" t="s">
        <v>37</v>
      </c>
      <c r="M593" s="65" t="s">
        <v>2584</v>
      </c>
      <c r="N593" s="65" t="s">
        <v>2585</v>
      </c>
      <c r="O593" s="65" t="s">
        <v>2586</v>
      </c>
      <c r="P593" s="65" t="s">
        <v>2587</v>
      </c>
      <c r="Q593" s="65" t="s">
        <v>101</v>
      </c>
      <c r="R593">
        <v>1</v>
      </c>
      <c r="S593" s="65" t="s">
        <v>70</v>
      </c>
      <c r="T593" s="65" t="s">
        <v>43</v>
      </c>
      <c r="U593" s="65" t="s">
        <v>44</v>
      </c>
      <c r="V593" s="65" t="s">
        <v>71</v>
      </c>
      <c r="W593" s="65" t="s">
        <v>72</v>
      </c>
      <c r="X593">
        <v>169.49</v>
      </c>
      <c r="Y593" s="65" t="s">
        <v>47</v>
      </c>
      <c r="Z593" s="65" t="s">
        <v>48</v>
      </c>
      <c r="AA593" s="65" t="s">
        <v>73</v>
      </c>
      <c r="AB593">
        <v>998418895</v>
      </c>
      <c r="AC593" s="65" t="s">
        <v>709</v>
      </c>
      <c r="AD593">
        <v>50</v>
      </c>
    </row>
    <row r="594" spans="1:30" x14ac:dyDescent="0.3">
      <c r="A594" s="1">
        <v>46270</v>
      </c>
      <c r="B594" s="65" t="s">
        <v>4006</v>
      </c>
      <c r="C594" s="65" t="s">
        <v>2579</v>
      </c>
      <c r="D594" s="65" t="s">
        <v>268</v>
      </c>
      <c r="E594" s="65" t="s">
        <v>2580</v>
      </c>
      <c r="F594" s="65" t="s">
        <v>31</v>
      </c>
      <c r="G594" s="65" t="s">
        <v>2581</v>
      </c>
      <c r="H594" s="65" t="s">
        <v>2582</v>
      </c>
      <c r="I594" s="65" t="s">
        <v>2583</v>
      </c>
      <c r="J594" s="65" t="s">
        <v>704</v>
      </c>
      <c r="K594" s="65" t="s">
        <v>705</v>
      </c>
      <c r="L594" s="65" t="s">
        <v>37</v>
      </c>
      <c r="M594" s="65" t="s">
        <v>2584</v>
      </c>
      <c r="N594" s="65" t="s">
        <v>2585</v>
      </c>
      <c r="O594" s="65" t="s">
        <v>2586</v>
      </c>
      <c r="P594" s="65" t="s">
        <v>2587</v>
      </c>
      <c r="Q594" s="65" t="s">
        <v>41</v>
      </c>
      <c r="R594">
        <v>1</v>
      </c>
      <c r="S594" s="65" t="s">
        <v>70</v>
      </c>
      <c r="T594" s="65" t="s">
        <v>43</v>
      </c>
      <c r="U594" s="65" t="s">
        <v>44</v>
      </c>
      <c r="V594" s="65" t="s">
        <v>71</v>
      </c>
      <c r="W594" s="65" t="s">
        <v>72</v>
      </c>
      <c r="X594">
        <v>169.49</v>
      </c>
      <c r="Y594" s="65" t="s">
        <v>47</v>
      </c>
      <c r="Z594" s="65" t="s">
        <v>48</v>
      </c>
      <c r="AA594" s="65" t="s">
        <v>73</v>
      </c>
      <c r="AB594">
        <v>998418895</v>
      </c>
      <c r="AC594" s="65" t="s">
        <v>709</v>
      </c>
      <c r="AD594">
        <v>50</v>
      </c>
    </row>
    <row r="595" spans="1:30" x14ac:dyDescent="0.3">
      <c r="A595" s="1">
        <v>46270</v>
      </c>
      <c r="B595" s="65" t="s">
        <v>4006</v>
      </c>
      <c r="C595" s="65" t="s">
        <v>2588</v>
      </c>
      <c r="D595" s="65" t="s">
        <v>268</v>
      </c>
      <c r="E595" s="65" t="s">
        <v>2589</v>
      </c>
      <c r="F595" s="65" t="s">
        <v>31</v>
      </c>
      <c r="G595" s="65" t="s">
        <v>2590</v>
      </c>
      <c r="H595" s="65" t="s">
        <v>2591</v>
      </c>
      <c r="I595" s="65" t="s">
        <v>2592</v>
      </c>
      <c r="J595" s="65" t="s">
        <v>2591</v>
      </c>
      <c r="K595" s="65"/>
      <c r="L595" s="65" t="s">
        <v>37</v>
      </c>
      <c r="M595" s="65" t="s">
        <v>2593</v>
      </c>
      <c r="N595" s="65" t="s">
        <v>2594</v>
      </c>
      <c r="O595" s="65" t="s">
        <v>1111</v>
      </c>
      <c r="P595" s="65" t="s">
        <v>2595</v>
      </c>
      <c r="Q595" s="65" t="s">
        <v>213</v>
      </c>
      <c r="R595">
        <v>1</v>
      </c>
      <c r="S595" s="65" t="s">
        <v>42</v>
      </c>
      <c r="T595" s="65" t="s">
        <v>44</v>
      </c>
      <c r="U595" s="65" t="s">
        <v>44</v>
      </c>
      <c r="V595" s="65" t="s">
        <v>45</v>
      </c>
      <c r="W595" s="65" t="s">
        <v>60</v>
      </c>
      <c r="X595">
        <v>254.24</v>
      </c>
      <c r="Y595" s="65" t="s">
        <v>61</v>
      </c>
      <c r="Z595" s="65" t="s">
        <v>48</v>
      </c>
      <c r="AA595" s="65" t="s">
        <v>49</v>
      </c>
      <c r="AC595" s="65"/>
    </row>
    <row r="596" spans="1:30" x14ac:dyDescent="0.3">
      <c r="A596" s="1">
        <v>46270</v>
      </c>
      <c r="B596" s="65" t="s">
        <v>4006</v>
      </c>
      <c r="C596" s="65" t="s">
        <v>4050</v>
      </c>
      <c r="D596" s="65" t="s">
        <v>29</v>
      </c>
      <c r="E596" s="65" t="s">
        <v>4051</v>
      </c>
      <c r="F596" s="65" t="s">
        <v>31</v>
      </c>
      <c r="G596" s="65" t="s">
        <v>4052</v>
      </c>
      <c r="H596" s="65" t="s">
        <v>4053</v>
      </c>
      <c r="I596" s="65" t="s">
        <v>4054</v>
      </c>
      <c r="J596" s="65" t="s">
        <v>3154</v>
      </c>
      <c r="K596" s="65" t="s">
        <v>3158</v>
      </c>
      <c r="L596" s="65" t="s">
        <v>37</v>
      </c>
      <c r="M596" s="65" t="s">
        <v>4055</v>
      </c>
      <c r="N596" s="65" t="s">
        <v>4056</v>
      </c>
      <c r="O596" s="65" t="s">
        <v>4053</v>
      </c>
      <c r="P596" s="65" t="s">
        <v>4057</v>
      </c>
      <c r="Q596" s="65" t="s">
        <v>130</v>
      </c>
      <c r="R596">
        <v>1</v>
      </c>
      <c r="S596" s="65" t="s">
        <v>42</v>
      </c>
      <c r="T596" s="65" t="s">
        <v>44</v>
      </c>
      <c r="U596" s="65" t="s">
        <v>44</v>
      </c>
      <c r="V596" s="65" t="s">
        <v>531</v>
      </c>
      <c r="W596" s="65" t="s">
        <v>4049</v>
      </c>
      <c r="X596">
        <v>152.54</v>
      </c>
      <c r="Y596" s="65" t="s">
        <v>47</v>
      </c>
      <c r="Z596" s="65" t="s">
        <v>48</v>
      </c>
      <c r="AA596" s="65" t="s">
        <v>534</v>
      </c>
      <c r="AB596">
        <v>926323940</v>
      </c>
      <c r="AC596" s="65" t="s">
        <v>3156</v>
      </c>
      <c r="AD596">
        <v>30</v>
      </c>
    </row>
    <row r="597" spans="1:30" x14ac:dyDescent="0.3">
      <c r="A597" s="1">
        <v>46270</v>
      </c>
      <c r="B597" s="65" t="s">
        <v>4006</v>
      </c>
      <c r="C597" s="65" t="s">
        <v>4058</v>
      </c>
      <c r="D597" s="65" t="s">
        <v>29</v>
      </c>
      <c r="E597" s="65" t="s">
        <v>4059</v>
      </c>
      <c r="F597" s="65" t="s">
        <v>31</v>
      </c>
      <c r="G597" s="65" t="s">
        <v>4060</v>
      </c>
      <c r="H597" s="65" t="s">
        <v>4061</v>
      </c>
      <c r="I597" s="65" t="s">
        <v>4062</v>
      </c>
      <c r="J597" s="65" t="s">
        <v>774</v>
      </c>
      <c r="K597" s="65" t="s">
        <v>775</v>
      </c>
      <c r="L597" s="65" t="s">
        <v>37</v>
      </c>
      <c r="M597" s="65" t="s">
        <v>4063</v>
      </c>
      <c r="N597" s="65" t="s">
        <v>4064</v>
      </c>
      <c r="O597" s="65" t="s">
        <v>4061</v>
      </c>
      <c r="P597" s="65" t="s">
        <v>4065</v>
      </c>
      <c r="Q597" s="65" t="s">
        <v>90</v>
      </c>
      <c r="R597">
        <v>1</v>
      </c>
      <c r="S597" s="65" t="s">
        <v>42</v>
      </c>
      <c r="T597" s="65" t="s">
        <v>44</v>
      </c>
      <c r="U597" s="65" t="s">
        <v>44</v>
      </c>
      <c r="V597" s="65" t="s">
        <v>531</v>
      </c>
      <c r="W597" s="65" t="s">
        <v>1965</v>
      </c>
      <c r="X597">
        <v>135.59</v>
      </c>
      <c r="Y597" s="65" t="s">
        <v>47</v>
      </c>
      <c r="Z597" s="65" t="s">
        <v>48</v>
      </c>
      <c r="AA597" s="65" t="s">
        <v>534</v>
      </c>
      <c r="AC597" s="65"/>
      <c r="AD597">
        <v>30</v>
      </c>
    </row>
    <row r="598" spans="1:30" x14ac:dyDescent="0.3">
      <c r="A598" s="1">
        <v>46270</v>
      </c>
      <c r="B598" s="65" t="s">
        <v>4006</v>
      </c>
      <c r="C598" s="65" t="s">
        <v>4066</v>
      </c>
      <c r="D598" s="65" t="s">
        <v>29</v>
      </c>
      <c r="E598" s="65" t="s">
        <v>4067</v>
      </c>
      <c r="F598" s="65" t="s">
        <v>31</v>
      </c>
      <c r="G598" s="65" t="s">
        <v>4068</v>
      </c>
      <c r="H598" s="65" t="s">
        <v>4069</v>
      </c>
      <c r="I598" s="65" t="s">
        <v>4070</v>
      </c>
      <c r="J598" s="65" t="s">
        <v>1322</v>
      </c>
      <c r="K598" s="65" t="s">
        <v>36</v>
      </c>
      <c r="L598" s="65" t="s">
        <v>37</v>
      </c>
      <c r="M598" s="65" t="s">
        <v>4071</v>
      </c>
      <c r="N598" s="65" t="s">
        <v>4072</v>
      </c>
      <c r="O598" s="65" t="s">
        <v>4069</v>
      </c>
      <c r="P598" s="65" t="s">
        <v>4073</v>
      </c>
      <c r="Q598" s="65" t="s">
        <v>159</v>
      </c>
      <c r="R598">
        <v>1</v>
      </c>
      <c r="S598" s="65" t="s">
        <v>42</v>
      </c>
      <c r="T598" s="65" t="s">
        <v>44</v>
      </c>
      <c r="U598" s="65" t="s">
        <v>44</v>
      </c>
      <c r="V598" s="65" t="s">
        <v>71</v>
      </c>
      <c r="W598" s="65" t="s">
        <v>184</v>
      </c>
      <c r="X598">
        <v>135.59</v>
      </c>
      <c r="Y598" s="65" t="s">
        <v>47</v>
      </c>
      <c r="Z598" s="65" t="s">
        <v>48</v>
      </c>
      <c r="AA598" s="65" t="s">
        <v>73</v>
      </c>
      <c r="AB598">
        <v>999111362</v>
      </c>
      <c r="AC598" s="65" t="s">
        <v>1326</v>
      </c>
      <c r="AD598">
        <v>30</v>
      </c>
    </row>
    <row r="599" spans="1:30" x14ac:dyDescent="0.3">
      <c r="A599" s="1">
        <v>46270</v>
      </c>
      <c r="B599" s="65" t="s">
        <v>4006</v>
      </c>
      <c r="C599" s="65" t="s">
        <v>4074</v>
      </c>
      <c r="D599" s="65" t="s">
        <v>268</v>
      </c>
      <c r="E599" s="65" t="s">
        <v>4075</v>
      </c>
      <c r="F599" s="65" t="s">
        <v>31</v>
      </c>
      <c r="G599" s="65" t="s">
        <v>4076</v>
      </c>
      <c r="H599" s="65" t="s">
        <v>4077</v>
      </c>
      <c r="I599" s="65" t="s">
        <v>4078</v>
      </c>
      <c r="J599" s="65" t="s">
        <v>434</v>
      </c>
      <c r="K599" s="65" t="s">
        <v>435</v>
      </c>
      <c r="L599" s="65" t="s">
        <v>37</v>
      </c>
      <c r="M599" s="65" t="s">
        <v>4079</v>
      </c>
      <c r="N599" s="65" t="s">
        <v>4080</v>
      </c>
      <c r="O599" s="65" t="s">
        <v>4077</v>
      </c>
      <c r="P599" s="65" t="s">
        <v>4081</v>
      </c>
      <c r="Q599" s="65" t="s">
        <v>202</v>
      </c>
      <c r="R599">
        <v>1</v>
      </c>
      <c r="S599" s="65" t="s">
        <v>42</v>
      </c>
      <c r="T599" s="65" t="s">
        <v>44</v>
      </c>
      <c r="U599" s="65" t="s">
        <v>44</v>
      </c>
      <c r="V599" s="65" t="s">
        <v>531</v>
      </c>
      <c r="W599" s="65" t="s">
        <v>4049</v>
      </c>
      <c r="X599">
        <v>135.59</v>
      </c>
      <c r="Y599" s="65" t="s">
        <v>47</v>
      </c>
      <c r="Z599" s="65" t="s">
        <v>48</v>
      </c>
      <c r="AA599" s="65" t="s">
        <v>534</v>
      </c>
      <c r="AB599">
        <v>992903716</v>
      </c>
      <c r="AC599" s="65" t="s">
        <v>439</v>
      </c>
      <c r="AD599">
        <v>30</v>
      </c>
    </row>
    <row r="600" spans="1:30" x14ac:dyDescent="0.3">
      <c r="A600" s="1">
        <v>46270</v>
      </c>
      <c r="B600" s="65" t="s">
        <v>4006</v>
      </c>
      <c r="C600" s="65" t="s">
        <v>4074</v>
      </c>
      <c r="D600" s="65" t="s">
        <v>268</v>
      </c>
      <c r="E600" s="65" t="s">
        <v>4075</v>
      </c>
      <c r="F600" s="65" t="s">
        <v>31</v>
      </c>
      <c r="G600" s="65" t="s">
        <v>4076</v>
      </c>
      <c r="H600" s="65" t="s">
        <v>4077</v>
      </c>
      <c r="I600" s="65" t="s">
        <v>4078</v>
      </c>
      <c r="J600" s="65" t="s">
        <v>434</v>
      </c>
      <c r="K600" s="65" t="s">
        <v>435</v>
      </c>
      <c r="L600" s="65" t="s">
        <v>37</v>
      </c>
      <c r="M600" s="65" t="s">
        <v>4079</v>
      </c>
      <c r="N600" s="65" t="s">
        <v>4080</v>
      </c>
      <c r="O600" s="65" t="s">
        <v>4077</v>
      </c>
      <c r="P600" s="65" t="s">
        <v>4081</v>
      </c>
      <c r="Q600" s="65" t="s">
        <v>130</v>
      </c>
      <c r="R600">
        <v>1</v>
      </c>
      <c r="S600" s="65" t="s">
        <v>42</v>
      </c>
      <c r="T600" s="65" t="s">
        <v>44</v>
      </c>
      <c r="U600" s="65" t="s">
        <v>44</v>
      </c>
      <c r="V600" s="65" t="s">
        <v>531</v>
      </c>
      <c r="W600" s="65" t="s">
        <v>4049</v>
      </c>
      <c r="X600">
        <v>152.54</v>
      </c>
      <c r="Y600" s="65" t="s">
        <v>47</v>
      </c>
      <c r="Z600" s="65" t="s">
        <v>48</v>
      </c>
      <c r="AA600" s="65" t="s">
        <v>534</v>
      </c>
      <c r="AB600">
        <v>992903716</v>
      </c>
      <c r="AC600" s="65" t="s">
        <v>439</v>
      </c>
      <c r="AD600">
        <v>30</v>
      </c>
    </row>
    <row r="601" spans="1:30" x14ac:dyDescent="0.3">
      <c r="A601" s="1">
        <v>46272</v>
      </c>
      <c r="B601" s="65" t="s">
        <v>4006</v>
      </c>
      <c r="C601" s="65" t="s">
        <v>2596</v>
      </c>
      <c r="D601" s="65" t="s">
        <v>29</v>
      </c>
      <c r="E601" s="65" t="s">
        <v>2597</v>
      </c>
      <c r="F601" s="65" t="s">
        <v>31</v>
      </c>
      <c r="G601" s="65" t="s">
        <v>2598</v>
      </c>
      <c r="H601" s="65" t="s">
        <v>2599</v>
      </c>
      <c r="I601" s="65" t="s">
        <v>2600</v>
      </c>
      <c r="J601" s="65" t="s">
        <v>662</v>
      </c>
      <c r="K601" s="65" t="s">
        <v>36</v>
      </c>
      <c r="L601" s="65" t="s">
        <v>37</v>
      </c>
      <c r="M601" s="65" t="s">
        <v>2601</v>
      </c>
      <c r="N601" s="65" t="s">
        <v>2602</v>
      </c>
      <c r="O601" s="65" t="s">
        <v>2599</v>
      </c>
      <c r="P601" s="65" t="s">
        <v>2603</v>
      </c>
      <c r="Q601" s="65" t="s">
        <v>90</v>
      </c>
      <c r="R601">
        <v>1</v>
      </c>
      <c r="S601" s="65" t="s">
        <v>70</v>
      </c>
      <c r="T601" s="65" t="s">
        <v>43</v>
      </c>
      <c r="U601" s="65" t="s">
        <v>44</v>
      </c>
      <c r="V601" s="65" t="s">
        <v>71</v>
      </c>
      <c r="W601" s="65" t="s">
        <v>184</v>
      </c>
      <c r="X601">
        <v>135.59</v>
      </c>
      <c r="Y601" s="65" t="s">
        <v>47</v>
      </c>
      <c r="Z601" s="65" t="s">
        <v>48</v>
      </c>
      <c r="AA601" s="65" t="s">
        <v>73</v>
      </c>
      <c r="AB601">
        <v>997145685</v>
      </c>
      <c r="AC601" s="65" t="s">
        <v>666</v>
      </c>
      <c r="AD601">
        <v>30</v>
      </c>
    </row>
    <row r="602" spans="1:30" x14ac:dyDescent="0.3">
      <c r="A602" s="1">
        <v>46272</v>
      </c>
      <c r="B602" s="65" t="s">
        <v>4006</v>
      </c>
      <c r="C602" s="65" t="s">
        <v>2604</v>
      </c>
      <c r="D602" s="65" t="s">
        <v>29</v>
      </c>
      <c r="E602" s="65" t="s">
        <v>2605</v>
      </c>
      <c r="F602" s="65" t="s">
        <v>31</v>
      </c>
      <c r="G602" s="65" t="s">
        <v>2606</v>
      </c>
      <c r="H602" s="65" t="s">
        <v>2607</v>
      </c>
      <c r="I602" s="65" t="s">
        <v>2608</v>
      </c>
      <c r="J602" s="65" t="s">
        <v>2291</v>
      </c>
      <c r="K602" s="65" t="s">
        <v>1542</v>
      </c>
      <c r="L602" s="65" t="s">
        <v>37</v>
      </c>
      <c r="M602" s="65" t="s">
        <v>2609</v>
      </c>
      <c r="N602" s="65" t="s">
        <v>2610</v>
      </c>
      <c r="O602" s="65" t="s">
        <v>2607</v>
      </c>
      <c r="P602" s="65" t="s">
        <v>2611</v>
      </c>
      <c r="Q602" s="65" t="s">
        <v>101</v>
      </c>
      <c r="R602">
        <v>1</v>
      </c>
      <c r="S602" s="65" t="s">
        <v>70</v>
      </c>
      <c r="T602" s="65" t="s">
        <v>43</v>
      </c>
      <c r="U602" s="65" t="s">
        <v>44</v>
      </c>
      <c r="V602" s="65" t="s">
        <v>71</v>
      </c>
      <c r="W602" s="65" t="s">
        <v>184</v>
      </c>
      <c r="X602">
        <v>186.44</v>
      </c>
      <c r="Y602" s="65" t="s">
        <v>47</v>
      </c>
      <c r="Z602" s="65" t="s">
        <v>48</v>
      </c>
      <c r="AA602" s="65" t="s">
        <v>73</v>
      </c>
      <c r="AB602">
        <v>945093839</v>
      </c>
      <c r="AC602" s="65" t="s">
        <v>2295</v>
      </c>
      <c r="AD602">
        <v>50</v>
      </c>
    </row>
    <row r="603" spans="1:30" x14ac:dyDescent="0.3">
      <c r="A603" s="1">
        <v>46272</v>
      </c>
      <c r="B603" s="65" t="s">
        <v>4006</v>
      </c>
      <c r="C603" s="65" t="s">
        <v>2612</v>
      </c>
      <c r="D603" s="65" t="s">
        <v>29</v>
      </c>
      <c r="E603" s="65" t="s">
        <v>2613</v>
      </c>
      <c r="F603" s="65" t="s">
        <v>31</v>
      </c>
      <c r="G603" s="65" t="s">
        <v>2614</v>
      </c>
      <c r="H603" s="65" t="s">
        <v>2615</v>
      </c>
      <c r="I603" s="65" t="s">
        <v>2616</v>
      </c>
      <c r="J603" s="65" t="s">
        <v>715</v>
      </c>
      <c r="K603" s="65" t="s">
        <v>716</v>
      </c>
      <c r="L603" s="65" t="s">
        <v>37</v>
      </c>
      <c r="M603" s="65" t="s">
        <v>2617</v>
      </c>
      <c r="N603" s="65" t="s">
        <v>2618</v>
      </c>
      <c r="O603" s="65" t="s">
        <v>2615</v>
      </c>
      <c r="P603" s="65" t="s">
        <v>2619</v>
      </c>
      <c r="Q603" s="65" t="s">
        <v>101</v>
      </c>
      <c r="R603">
        <v>1</v>
      </c>
      <c r="S603" s="65" t="s">
        <v>42</v>
      </c>
      <c r="T603" s="65" t="s">
        <v>44</v>
      </c>
      <c r="U603" s="65" t="s">
        <v>44</v>
      </c>
      <c r="V603" s="65" t="s">
        <v>45</v>
      </c>
      <c r="W603" s="65" t="s">
        <v>60</v>
      </c>
      <c r="X603">
        <v>186.44</v>
      </c>
      <c r="Y603" s="65" t="s">
        <v>47</v>
      </c>
      <c r="Z603" s="65" t="s">
        <v>48</v>
      </c>
      <c r="AA603" s="65" t="s">
        <v>49</v>
      </c>
      <c r="AB603">
        <v>955356636</v>
      </c>
      <c r="AC603" s="65" t="s">
        <v>720</v>
      </c>
      <c r="AD603">
        <v>50</v>
      </c>
    </row>
    <row r="604" spans="1:30" x14ac:dyDescent="0.3">
      <c r="A604" s="1">
        <v>46272</v>
      </c>
      <c r="B604" s="65" t="s">
        <v>4006</v>
      </c>
      <c r="C604" s="65" t="s">
        <v>4082</v>
      </c>
      <c r="D604" s="65" t="s">
        <v>29</v>
      </c>
      <c r="E604" s="65" t="s">
        <v>4083</v>
      </c>
      <c r="F604" s="65" t="s">
        <v>31</v>
      </c>
      <c r="G604" s="65" t="s">
        <v>4084</v>
      </c>
      <c r="H604" s="65" t="s">
        <v>4085</v>
      </c>
      <c r="I604" s="65" t="s">
        <v>4086</v>
      </c>
      <c r="J604" s="65" t="s">
        <v>2795</v>
      </c>
      <c r="K604" s="65" t="s">
        <v>209</v>
      </c>
      <c r="L604" s="65" t="s">
        <v>37</v>
      </c>
      <c r="M604" s="65" t="s">
        <v>4087</v>
      </c>
      <c r="N604" s="65" t="s">
        <v>4088</v>
      </c>
      <c r="O604" s="65" t="s">
        <v>4085</v>
      </c>
      <c r="P604" s="65" t="s">
        <v>4089</v>
      </c>
      <c r="Q604" s="65" t="s">
        <v>90</v>
      </c>
      <c r="R604">
        <v>1</v>
      </c>
      <c r="S604" s="65" t="s">
        <v>42</v>
      </c>
      <c r="T604" s="65" t="s">
        <v>44</v>
      </c>
      <c r="U604" s="65" t="s">
        <v>44</v>
      </c>
      <c r="V604" s="65" t="s">
        <v>71</v>
      </c>
      <c r="W604" s="65" t="s">
        <v>72</v>
      </c>
      <c r="X604">
        <v>135.59</v>
      </c>
      <c r="Y604" s="65" t="s">
        <v>47</v>
      </c>
      <c r="Z604" s="65" t="s">
        <v>48</v>
      </c>
      <c r="AA604" s="65" t="s">
        <v>73</v>
      </c>
      <c r="AB604">
        <v>994872106</v>
      </c>
      <c r="AC604" s="65" t="s">
        <v>1253</v>
      </c>
      <c r="AD604">
        <v>30</v>
      </c>
    </row>
    <row r="605" spans="1:30" x14ac:dyDescent="0.3">
      <c r="A605" s="1">
        <v>46272</v>
      </c>
      <c r="B605" s="65" t="s">
        <v>4006</v>
      </c>
      <c r="C605" s="65" t="s">
        <v>4090</v>
      </c>
      <c r="D605" s="65" t="s">
        <v>29</v>
      </c>
      <c r="E605" s="65" t="s">
        <v>4091</v>
      </c>
      <c r="F605" s="65" t="s">
        <v>31</v>
      </c>
      <c r="G605" s="65" t="s">
        <v>4092</v>
      </c>
      <c r="H605" s="65" t="s">
        <v>4093</v>
      </c>
      <c r="I605" s="65" t="s">
        <v>4094</v>
      </c>
      <c r="J605" s="65" t="s">
        <v>3116</v>
      </c>
      <c r="K605" s="65" t="s">
        <v>2558</v>
      </c>
      <c r="L605" s="65" t="s">
        <v>37</v>
      </c>
      <c r="M605" s="65" t="s">
        <v>4095</v>
      </c>
      <c r="N605" s="65" t="s">
        <v>4096</v>
      </c>
      <c r="O605" s="65" t="s">
        <v>4093</v>
      </c>
      <c r="P605" s="65" t="s">
        <v>4097</v>
      </c>
      <c r="Q605" s="65" t="s">
        <v>130</v>
      </c>
      <c r="R605">
        <v>1</v>
      </c>
      <c r="S605" s="65" t="s">
        <v>42</v>
      </c>
      <c r="T605" s="65" t="s">
        <v>44</v>
      </c>
      <c r="U605" s="65" t="s">
        <v>44</v>
      </c>
      <c r="V605" s="65" t="s">
        <v>45</v>
      </c>
      <c r="W605" s="65" t="s">
        <v>60</v>
      </c>
      <c r="X605">
        <v>152.54</v>
      </c>
      <c r="Y605" s="65" t="s">
        <v>47</v>
      </c>
      <c r="Z605" s="65" t="s">
        <v>48</v>
      </c>
      <c r="AA605" s="65" t="s">
        <v>49</v>
      </c>
      <c r="AB605">
        <v>973914900</v>
      </c>
      <c r="AC605" s="65" t="s">
        <v>3117</v>
      </c>
      <c r="AD605">
        <v>30</v>
      </c>
    </row>
    <row r="606" spans="1:30" x14ac:dyDescent="0.3">
      <c r="A606" s="1">
        <v>46272</v>
      </c>
      <c r="B606" s="65" t="s">
        <v>4006</v>
      </c>
      <c r="C606" s="65" t="s">
        <v>4098</v>
      </c>
      <c r="D606" s="65" t="s">
        <v>29</v>
      </c>
      <c r="E606" s="65" t="s">
        <v>4099</v>
      </c>
      <c r="F606" s="65" t="s">
        <v>31</v>
      </c>
      <c r="G606" s="65" t="s">
        <v>4100</v>
      </c>
      <c r="H606" s="65" t="s">
        <v>4101</v>
      </c>
      <c r="I606" s="65" t="s">
        <v>4102</v>
      </c>
      <c r="J606" s="65" t="s">
        <v>774</v>
      </c>
      <c r="K606" s="65" t="s">
        <v>775</v>
      </c>
      <c r="L606" s="65" t="s">
        <v>37</v>
      </c>
      <c r="M606" s="65" t="s">
        <v>4103</v>
      </c>
      <c r="N606" s="65" t="s">
        <v>4104</v>
      </c>
      <c r="O606" s="65" t="s">
        <v>4101</v>
      </c>
      <c r="P606" s="65" t="s">
        <v>4105</v>
      </c>
      <c r="Q606" s="65" t="s">
        <v>159</v>
      </c>
      <c r="R606">
        <v>1</v>
      </c>
      <c r="S606" s="65" t="s">
        <v>42</v>
      </c>
      <c r="T606" s="65" t="s">
        <v>44</v>
      </c>
      <c r="U606" s="65" t="s">
        <v>44</v>
      </c>
      <c r="V606" s="65" t="s">
        <v>45</v>
      </c>
      <c r="W606" s="65" t="s">
        <v>60</v>
      </c>
      <c r="X606">
        <v>135.59</v>
      </c>
      <c r="Y606" s="65" t="s">
        <v>47</v>
      </c>
      <c r="Z606" s="65" t="s">
        <v>48</v>
      </c>
      <c r="AA606" s="65" t="s">
        <v>49</v>
      </c>
      <c r="AC606" s="65"/>
      <c r="AD606">
        <v>30</v>
      </c>
    </row>
    <row r="607" spans="1:30" x14ac:dyDescent="0.3">
      <c r="A607" s="1">
        <v>46272</v>
      </c>
      <c r="B607" s="65" t="s">
        <v>4006</v>
      </c>
      <c r="C607" s="65" t="s">
        <v>4106</v>
      </c>
      <c r="D607" s="65" t="s">
        <v>29</v>
      </c>
      <c r="E607" s="65" t="s">
        <v>4107</v>
      </c>
      <c r="F607" s="65" t="s">
        <v>31</v>
      </c>
      <c r="G607" s="65" t="s">
        <v>4108</v>
      </c>
      <c r="H607" s="65" t="s">
        <v>4109</v>
      </c>
      <c r="I607" s="65" t="s">
        <v>4110</v>
      </c>
      <c r="J607" s="65" t="s">
        <v>704</v>
      </c>
      <c r="K607" s="65" t="s">
        <v>705</v>
      </c>
      <c r="L607" s="65" t="s">
        <v>37</v>
      </c>
      <c r="M607" s="65" t="s">
        <v>4111</v>
      </c>
      <c r="N607" s="65" t="s">
        <v>4112</v>
      </c>
      <c r="O607" s="65" t="s">
        <v>4109</v>
      </c>
      <c r="P607" s="65" t="s">
        <v>4113</v>
      </c>
      <c r="Q607" s="65" t="s">
        <v>130</v>
      </c>
      <c r="R607">
        <v>1</v>
      </c>
      <c r="S607" s="65" t="s">
        <v>42</v>
      </c>
      <c r="T607" s="65" t="s">
        <v>44</v>
      </c>
      <c r="U607" s="65" t="s">
        <v>44</v>
      </c>
      <c r="V607" s="65" t="s">
        <v>45</v>
      </c>
      <c r="W607" s="65" t="s">
        <v>60</v>
      </c>
      <c r="X607">
        <v>152.54</v>
      </c>
      <c r="Y607" s="65" t="s">
        <v>47</v>
      </c>
      <c r="Z607" s="65" t="s">
        <v>48</v>
      </c>
      <c r="AA607" s="65" t="s">
        <v>49</v>
      </c>
      <c r="AB607">
        <v>998418895</v>
      </c>
      <c r="AC607" s="65" t="s">
        <v>709</v>
      </c>
      <c r="AD607">
        <v>30</v>
      </c>
    </row>
    <row r="608" spans="1:30" x14ac:dyDescent="0.3">
      <c r="A608" s="1">
        <v>46272</v>
      </c>
      <c r="B608" s="65" t="s">
        <v>4006</v>
      </c>
      <c r="C608" s="65" t="s">
        <v>4114</v>
      </c>
      <c r="D608" s="65" t="s">
        <v>29</v>
      </c>
      <c r="E608" s="65" t="s">
        <v>4115</v>
      </c>
      <c r="F608" s="65" t="s">
        <v>31</v>
      </c>
      <c r="G608" s="65" t="s">
        <v>4116</v>
      </c>
      <c r="H608" s="65" t="s">
        <v>4117</v>
      </c>
      <c r="I608" s="65" t="s">
        <v>4118</v>
      </c>
      <c r="J608" s="65" t="s">
        <v>662</v>
      </c>
      <c r="K608" s="65" t="s">
        <v>36</v>
      </c>
      <c r="L608" s="65" t="s">
        <v>37</v>
      </c>
      <c r="M608" s="65" t="s">
        <v>4119</v>
      </c>
      <c r="N608" s="65" t="s">
        <v>4120</v>
      </c>
      <c r="O608" s="65" t="s">
        <v>4117</v>
      </c>
      <c r="P608" s="65" t="s">
        <v>4121</v>
      </c>
      <c r="Q608" s="65" t="s">
        <v>159</v>
      </c>
      <c r="R608">
        <v>1</v>
      </c>
      <c r="S608" s="65" t="s">
        <v>42</v>
      </c>
      <c r="T608" s="65" t="s">
        <v>44</v>
      </c>
      <c r="U608" s="65" t="s">
        <v>44</v>
      </c>
      <c r="V608" s="65" t="s">
        <v>45</v>
      </c>
      <c r="W608" s="65" t="s">
        <v>60</v>
      </c>
      <c r="X608">
        <v>135.59</v>
      </c>
      <c r="Y608" s="65" t="s">
        <v>47</v>
      </c>
      <c r="Z608" s="65" t="s">
        <v>48</v>
      </c>
      <c r="AA608" s="65" t="s">
        <v>49</v>
      </c>
      <c r="AB608">
        <v>997145685</v>
      </c>
      <c r="AC608" s="65" t="s">
        <v>666</v>
      </c>
      <c r="AD608">
        <v>30</v>
      </c>
    </row>
    <row r="609" spans="1:30" x14ac:dyDescent="0.3">
      <c r="A609" s="1">
        <v>46273</v>
      </c>
      <c r="B609" s="65" t="s">
        <v>4006</v>
      </c>
      <c r="C609" s="65" t="s">
        <v>2620</v>
      </c>
      <c r="D609" s="65" t="s">
        <v>29</v>
      </c>
      <c r="E609" s="65" t="s">
        <v>2621</v>
      </c>
      <c r="F609" s="65" t="s">
        <v>31</v>
      </c>
      <c r="G609" s="65" t="s">
        <v>2622</v>
      </c>
      <c r="H609" s="65" t="s">
        <v>2623</v>
      </c>
      <c r="I609" s="65" t="s">
        <v>2624</v>
      </c>
      <c r="J609" s="65" t="s">
        <v>662</v>
      </c>
      <c r="K609" s="65" t="s">
        <v>36</v>
      </c>
      <c r="L609" s="65" t="s">
        <v>37</v>
      </c>
      <c r="M609" s="65" t="s">
        <v>2625</v>
      </c>
      <c r="N609" s="65" t="s">
        <v>2626</v>
      </c>
      <c r="O609" s="65" t="s">
        <v>2623</v>
      </c>
      <c r="P609" s="65" t="s">
        <v>2627</v>
      </c>
      <c r="Q609" s="65" t="s">
        <v>41</v>
      </c>
      <c r="R609">
        <v>1</v>
      </c>
      <c r="S609" s="65" t="s">
        <v>70</v>
      </c>
      <c r="T609" s="65" t="s">
        <v>43</v>
      </c>
      <c r="U609" s="65" t="s">
        <v>44</v>
      </c>
      <c r="V609" s="65" t="s">
        <v>71</v>
      </c>
      <c r="W609" s="65" t="s">
        <v>184</v>
      </c>
      <c r="X609">
        <v>186.44</v>
      </c>
      <c r="Y609" s="65" t="s">
        <v>47</v>
      </c>
      <c r="Z609" s="65" t="s">
        <v>48</v>
      </c>
      <c r="AA609" s="65" t="s">
        <v>73</v>
      </c>
      <c r="AB609">
        <v>997145685</v>
      </c>
      <c r="AC609" s="65" t="s">
        <v>666</v>
      </c>
      <c r="AD609">
        <v>50</v>
      </c>
    </row>
    <row r="610" spans="1:30" x14ac:dyDescent="0.3">
      <c r="A610" s="1">
        <v>46273</v>
      </c>
      <c r="B610" s="65" t="s">
        <v>4006</v>
      </c>
      <c r="C610" s="65" t="s">
        <v>4122</v>
      </c>
      <c r="D610" s="65" t="s">
        <v>29</v>
      </c>
      <c r="E610" s="65" t="s">
        <v>4123</v>
      </c>
      <c r="F610" s="65" t="s">
        <v>31</v>
      </c>
      <c r="G610" s="65" t="s">
        <v>4124</v>
      </c>
      <c r="H610" s="65" t="s">
        <v>4125</v>
      </c>
      <c r="I610" s="65" t="s">
        <v>4126</v>
      </c>
      <c r="J610" s="65" t="s">
        <v>715</v>
      </c>
      <c r="K610" s="65" t="s">
        <v>716</v>
      </c>
      <c r="L610" s="65" t="s">
        <v>37</v>
      </c>
      <c r="M610" s="65" t="s">
        <v>4127</v>
      </c>
      <c r="N610" s="65" t="s">
        <v>4128</v>
      </c>
      <c r="O610" s="65" t="s">
        <v>4125</v>
      </c>
      <c r="P610" s="65" t="s">
        <v>4129</v>
      </c>
      <c r="Q610" s="65" t="s">
        <v>90</v>
      </c>
      <c r="R610">
        <v>1</v>
      </c>
      <c r="S610" s="65" t="s">
        <v>42</v>
      </c>
      <c r="T610" s="65" t="s">
        <v>44</v>
      </c>
      <c r="U610" s="65" t="s">
        <v>44</v>
      </c>
      <c r="V610" s="65" t="s">
        <v>71</v>
      </c>
      <c r="W610" s="65" t="s">
        <v>184</v>
      </c>
      <c r="X610">
        <v>135.59</v>
      </c>
      <c r="Y610" s="65" t="s">
        <v>47</v>
      </c>
      <c r="Z610" s="65" t="s">
        <v>48</v>
      </c>
      <c r="AA610" s="65" t="s">
        <v>73</v>
      </c>
      <c r="AB610">
        <v>955356636</v>
      </c>
      <c r="AC610" s="65" t="s">
        <v>720</v>
      </c>
      <c r="AD610">
        <v>30</v>
      </c>
    </row>
    <row r="611" spans="1:30" x14ac:dyDescent="0.3">
      <c r="A611" s="1">
        <v>46273</v>
      </c>
      <c r="B611" s="65" t="s">
        <v>4006</v>
      </c>
      <c r="C611" s="65" t="s">
        <v>4130</v>
      </c>
      <c r="D611" s="65" t="s">
        <v>29</v>
      </c>
      <c r="E611" s="65" t="s">
        <v>4131</v>
      </c>
      <c r="F611" s="65" t="s">
        <v>31</v>
      </c>
      <c r="G611" s="65" t="s">
        <v>4132</v>
      </c>
      <c r="H611" s="65" t="s">
        <v>4133</v>
      </c>
      <c r="I611" s="65" t="s">
        <v>4134</v>
      </c>
      <c r="J611" s="65" t="s">
        <v>3219</v>
      </c>
      <c r="K611" s="65" t="s">
        <v>1542</v>
      </c>
      <c r="L611" s="65" t="s">
        <v>37</v>
      </c>
      <c r="M611" s="65" t="s">
        <v>4135</v>
      </c>
      <c r="N611" s="65" t="s">
        <v>4136</v>
      </c>
      <c r="O611" s="65" t="s">
        <v>4133</v>
      </c>
      <c r="P611" s="65" t="s">
        <v>4137</v>
      </c>
      <c r="Q611" s="65" t="s">
        <v>159</v>
      </c>
      <c r="R611">
        <v>1</v>
      </c>
      <c r="S611" s="65" t="s">
        <v>42</v>
      </c>
      <c r="T611" s="65" t="s">
        <v>44</v>
      </c>
      <c r="U611" s="65" t="s">
        <v>44</v>
      </c>
      <c r="V611" s="65" t="s">
        <v>45</v>
      </c>
      <c r="W611" s="65" t="s">
        <v>60</v>
      </c>
      <c r="X611">
        <v>135.59</v>
      </c>
      <c r="Y611" s="65" t="s">
        <v>47</v>
      </c>
      <c r="Z611" s="65" t="s">
        <v>48</v>
      </c>
      <c r="AA611" s="65" t="s">
        <v>49</v>
      </c>
      <c r="AB611">
        <v>995175656</v>
      </c>
      <c r="AC611" s="65" t="s">
        <v>3220</v>
      </c>
      <c r="AD611">
        <v>30</v>
      </c>
    </row>
    <row r="612" spans="1:30" x14ac:dyDescent="0.3">
      <c r="A612" s="1">
        <v>46273</v>
      </c>
      <c r="B612" s="65" t="s">
        <v>4006</v>
      </c>
      <c r="C612" s="65" t="s">
        <v>4138</v>
      </c>
      <c r="D612" s="65" t="s">
        <v>29</v>
      </c>
      <c r="E612" s="65" t="s">
        <v>4139</v>
      </c>
      <c r="F612" s="65" t="s">
        <v>31</v>
      </c>
      <c r="G612" s="65" t="s">
        <v>4140</v>
      </c>
      <c r="H612" s="65" t="s">
        <v>4141</v>
      </c>
      <c r="I612" s="65" t="s">
        <v>4142</v>
      </c>
      <c r="J612" s="65" t="s">
        <v>762</v>
      </c>
      <c r="K612" s="65" t="s">
        <v>209</v>
      </c>
      <c r="L612" s="65" t="s">
        <v>37</v>
      </c>
      <c r="M612" s="65" t="s">
        <v>4143</v>
      </c>
      <c r="N612" s="65" t="s">
        <v>4144</v>
      </c>
      <c r="O612" s="65" t="s">
        <v>4141</v>
      </c>
      <c r="P612" s="65" t="s">
        <v>4145</v>
      </c>
      <c r="Q612" s="65" t="s">
        <v>90</v>
      </c>
      <c r="R612">
        <v>1</v>
      </c>
      <c r="S612" s="65" t="s">
        <v>42</v>
      </c>
      <c r="T612" s="65" t="s">
        <v>44</v>
      </c>
      <c r="U612" s="65" t="s">
        <v>44</v>
      </c>
      <c r="V612" s="65" t="s">
        <v>531</v>
      </c>
      <c r="W612" s="65" t="s">
        <v>4049</v>
      </c>
      <c r="X612">
        <v>135.59</v>
      </c>
      <c r="Y612" s="65" t="s">
        <v>47</v>
      </c>
      <c r="Z612" s="65" t="s">
        <v>48</v>
      </c>
      <c r="AA612" s="65" t="s">
        <v>534</v>
      </c>
      <c r="AB612">
        <v>969791876</v>
      </c>
      <c r="AC612" s="65" t="s">
        <v>768</v>
      </c>
      <c r="AD612">
        <v>30</v>
      </c>
    </row>
    <row r="613" spans="1:30" x14ac:dyDescent="0.3">
      <c r="A613" s="1">
        <v>46273</v>
      </c>
      <c r="B613" s="65" t="s">
        <v>4006</v>
      </c>
      <c r="C613" s="65" t="s">
        <v>4146</v>
      </c>
      <c r="D613" s="65" t="s">
        <v>29</v>
      </c>
      <c r="E613" s="65" t="s">
        <v>4147</v>
      </c>
      <c r="F613" s="65" t="s">
        <v>31</v>
      </c>
      <c r="G613" s="65" t="s">
        <v>4148</v>
      </c>
      <c r="H613" s="65" t="s">
        <v>4149</v>
      </c>
      <c r="I613" s="65" t="s">
        <v>4150</v>
      </c>
      <c r="J613" s="65" t="s">
        <v>1595</v>
      </c>
      <c r="K613" s="65" t="s">
        <v>1596</v>
      </c>
      <c r="L613" s="65" t="s">
        <v>37</v>
      </c>
      <c r="M613" s="65" t="s">
        <v>4151</v>
      </c>
      <c r="N613" s="65" t="s">
        <v>4152</v>
      </c>
      <c r="O613" s="65" t="s">
        <v>4149</v>
      </c>
      <c r="P613" s="65" t="s">
        <v>4153</v>
      </c>
      <c r="Q613" s="65" t="s">
        <v>130</v>
      </c>
      <c r="R613">
        <v>1</v>
      </c>
      <c r="S613" s="65" t="s">
        <v>42</v>
      </c>
      <c r="T613" s="65" t="s">
        <v>44</v>
      </c>
      <c r="U613" s="65" t="s">
        <v>44</v>
      </c>
      <c r="V613" s="65" t="s">
        <v>71</v>
      </c>
      <c r="W613" s="65" t="s">
        <v>184</v>
      </c>
      <c r="X613">
        <v>152.54</v>
      </c>
      <c r="Y613" s="65" t="s">
        <v>47</v>
      </c>
      <c r="Z613" s="65" t="s">
        <v>48</v>
      </c>
      <c r="AA613" s="65" t="s">
        <v>73</v>
      </c>
      <c r="AB613">
        <v>980543337</v>
      </c>
      <c r="AC613" s="65" t="s">
        <v>1600</v>
      </c>
      <c r="AD613">
        <v>30</v>
      </c>
    </row>
    <row r="614" spans="1:30" x14ac:dyDescent="0.3">
      <c r="A614" s="1">
        <v>46273</v>
      </c>
      <c r="B614" s="65" t="s">
        <v>4006</v>
      </c>
      <c r="C614" s="65" t="s">
        <v>4154</v>
      </c>
      <c r="D614" s="65" t="s">
        <v>29</v>
      </c>
      <c r="E614" s="65" t="s">
        <v>4155</v>
      </c>
      <c r="F614" s="65" t="s">
        <v>31</v>
      </c>
      <c r="G614" s="65" t="s">
        <v>4156</v>
      </c>
      <c r="H614" s="65" t="s">
        <v>4141</v>
      </c>
      <c r="I614" s="65" t="s">
        <v>4142</v>
      </c>
      <c r="J614" s="65" t="s">
        <v>3537</v>
      </c>
      <c r="K614" s="65" t="s">
        <v>209</v>
      </c>
      <c r="L614" s="65" t="s">
        <v>37</v>
      </c>
      <c r="M614" s="65" t="s">
        <v>4143</v>
      </c>
      <c r="N614" s="65" t="s">
        <v>4144</v>
      </c>
      <c r="O614" s="65" t="s">
        <v>4141</v>
      </c>
      <c r="P614" s="65" t="s">
        <v>4145</v>
      </c>
      <c r="Q614" s="65" t="s">
        <v>1157</v>
      </c>
      <c r="R614">
        <v>1</v>
      </c>
      <c r="S614" s="65" t="s">
        <v>42</v>
      </c>
      <c r="T614" s="65" t="s">
        <v>44</v>
      </c>
      <c r="U614" s="65" t="s">
        <v>44</v>
      </c>
      <c r="V614" s="65" t="s">
        <v>531</v>
      </c>
      <c r="W614" s="65" t="s">
        <v>4049</v>
      </c>
      <c r="X614">
        <v>338.98</v>
      </c>
      <c r="Y614" s="65" t="s">
        <v>47</v>
      </c>
      <c r="Z614" s="65" t="s">
        <v>48</v>
      </c>
      <c r="AA614" s="65" t="s">
        <v>534</v>
      </c>
      <c r="AB614">
        <v>997061004</v>
      </c>
      <c r="AC614" s="65"/>
      <c r="AD614">
        <v>100</v>
      </c>
    </row>
    <row r="615" spans="1:30" x14ac:dyDescent="0.3">
      <c r="A615" s="1">
        <v>46274</v>
      </c>
      <c r="B615" s="65" t="s">
        <v>4006</v>
      </c>
      <c r="C615" s="65" t="s">
        <v>2628</v>
      </c>
      <c r="D615" s="65" t="s">
        <v>29</v>
      </c>
      <c r="E615" s="65" t="s">
        <v>2629</v>
      </c>
      <c r="F615" s="65" t="s">
        <v>31</v>
      </c>
      <c r="G615" s="65" t="s">
        <v>2630</v>
      </c>
      <c r="H615" s="65" t="s">
        <v>2631</v>
      </c>
      <c r="I615" s="65" t="s">
        <v>2632</v>
      </c>
      <c r="J615" s="65" t="s">
        <v>3030</v>
      </c>
      <c r="K615" s="65" t="s">
        <v>775</v>
      </c>
      <c r="L615" s="65" t="s">
        <v>37</v>
      </c>
      <c r="M615" s="65" t="s">
        <v>2633</v>
      </c>
      <c r="N615" s="65" t="s">
        <v>2634</v>
      </c>
      <c r="O615" s="65" t="s">
        <v>2631</v>
      </c>
      <c r="P615" s="65" t="s">
        <v>2635</v>
      </c>
      <c r="Q615" s="65" t="s">
        <v>41</v>
      </c>
      <c r="R615">
        <v>1</v>
      </c>
      <c r="S615" s="65" t="s">
        <v>42</v>
      </c>
      <c r="T615" s="65" t="s">
        <v>44</v>
      </c>
      <c r="U615" s="65" t="s">
        <v>44</v>
      </c>
      <c r="V615" s="65" t="s">
        <v>45</v>
      </c>
      <c r="W615" s="65" t="s">
        <v>60</v>
      </c>
      <c r="X615">
        <v>186.44</v>
      </c>
      <c r="Y615" s="65" t="s">
        <v>47</v>
      </c>
      <c r="Z615" s="65" t="s">
        <v>48</v>
      </c>
      <c r="AA615" s="65" t="s">
        <v>49</v>
      </c>
      <c r="AB615">
        <v>937242809</v>
      </c>
      <c r="AC615" s="65" t="s">
        <v>3031</v>
      </c>
      <c r="AD615">
        <v>50</v>
      </c>
    </row>
    <row r="616" spans="1:30" x14ac:dyDescent="0.3">
      <c r="A616" s="1">
        <v>46274</v>
      </c>
      <c r="B616" s="65" t="s">
        <v>4006</v>
      </c>
      <c r="C616" s="65" t="s">
        <v>2628</v>
      </c>
      <c r="D616" s="65" t="s">
        <v>29</v>
      </c>
      <c r="E616" s="65" t="s">
        <v>2629</v>
      </c>
      <c r="F616" s="65" t="s">
        <v>31</v>
      </c>
      <c r="G616" s="65" t="s">
        <v>2630</v>
      </c>
      <c r="H616" s="65" t="s">
        <v>2631</v>
      </c>
      <c r="I616" s="65" t="s">
        <v>2632</v>
      </c>
      <c r="J616" s="65" t="s">
        <v>3030</v>
      </c>
      <c r="K616" s="65" t="s">
        <v>775</v>
      </c>
      <c r="L616" s="65" t="s">
        <v>37</v>
      </c>
      <c r="M616" s="65" t="s">
        <v>2633</v>
      </c>
      <c r="N616" s="65" t="s">
        <v>2634</v>
      </c>
      <c r="O616" s="65" t="s">
        <v>2631</v>
      </c>
      <c r="P616" s="65" t="s">
        <v>2635</v>
      </c>
      <c r="Q616" s="65" t="s">
        <v>101</v>
      </c>
      <c r="R616">
        <v>1</v>
      </c>
      <c r="S616" s="65" t="s">
        <v>42</v>
      </c>
      <c r="T616" s="65" t="s">
        <v>44</v>
      </c>
      <c r="U616" s="65" t="s">
        <v>44</v>
      </c>
      <c r="V616" s="65" t="s">
        <v>45</v>
      </c>
      <c r="W616" s="65" t="s">
        <v>60</v>
      </c>
      <c r="X616">
        <v>186.44</v>
      </c>
      <c r="Y616" s="65" t="s">
        <v>47</v>
      </c>
      <c r="Z616" s="65" t="s">
        <v>48</v>
      </c>
      <c r="AA616" s="65" t="s">
        <v>49</v>
      </c>
      <c r="AB616">
        <v>937242809</v>
      </c>
      <c r="AC616" s="65" t="s">
        <v>3031</v>
      </c>
      <c r="AD616">
        <v>50</v>
      </c>
    </row>
    <row r="617" spans="1:30" x14ac:dyDescent="0.3">
      <c r="A617" s="1">
        <v>46274</v>
      </c>
      <c r="B617" s="65" t="s">
        <v>4006</v>
      </c>
      <c r="C617" s="65" t="s">
        <v>2636</v>
      </c>
      <c r="D617" s="65" t="s">
        <v>29</v>
      </c>
      <c r="E617" s="65" t="s">
        <v>2637</v>
      </c>
      <c r="F617" s="65" t="s">
        <v>31</v>
      </c>
      <c r="G617" s="65" t="s">
        <v>2638</v>
      </c>
      <c r="H617" s="65" t="s">
        <v>1615</v>
      </c>
      <c r="I617" s="65" t="s">
        <v>2494</v>
      </c>
      <c r="J617" s="65" t="s">
        <v>1615</v>
      </c>
      <c r="K617" s="65" t="s">
        <v>1616</v>
      </c>
      <c r="L617" s="65" t="s">
        <v>37</v>
      </c>
      <c r="M617" s="65" t="s">
        <v>1617</v>
      </c>
      <c r="N617" s="65" t="s">
        <v>1618</v>
      </c>
      <c r="O617" s="65" t="s">
        <v>1615</v>
      </c>
      <c r="P617" s="65" t="s">
        <v>2639</v>
      </c>
      <c r="Q617" s="65" t="s">
        <v>1215</v>
      </c>
      <c r="R617">
        <v>1</v>
      </c>
      <c r="S617" s="65" t="s">
        <v>70</v>
      </c>
      <c r="T617" s="65" t="s">
        <v>43</v>
      </c>
      <c r="U617" s="65" t="s">
        <v>44</v>
      </c>
      <c r="V617" s="65" t="s">
        <v>71</v>
      </c>
      <c r="W617" s="65" t="s">
        <v>184</v>
      </c>
      <c r="X617">
        <v>139.83000000000001</v>
      </c>
      <c r="Y617" s="65" t="s">
        <v>289</v>
      </c>
      <c r="Z617" s="65" t="s">
        <v>48</v>
      </c>
      <c r="AA617" s="65" t="s">
        <v>73</v>
      </c>
      <c r="AB617">
        <v>950418896</v>
      </c>
      <c r="AC617" s="65"/>
    </row>
    <row r="618" spans="1:30" x14ac:dyDescent="0.3">
      <c r="A618" s="1">
        <v>46274</v>
      </c>
      <c r="B618" s="65" t="s">
        <v>4006</v>
      </c>
      <c r="C618" s="65" t="s">
        <v>2636</v>
      </c>
      <c r="D618" s="65" t="s">
        <v>29</v>
      </c>
      <c r="E618" s="65" t="s">
        <v>2637</v>
      </c>
      <c r="F618" s="65" t="s">
        <v>31</v>
      </c>
      <c r="G618" s="65" t="s">
        <v>2638</v>
      </c>
      <c r="H618" s="65" t="s">
        <v>1615</v>
      </c>
      <c r="I618" s="65" t="s">
        <v>2494</v>
      </c>
      <c r="J618" s="65" t="s">
        <v>1615</v>
      </c>
      <c r="K618" s="65" t="s">
        <v>1616</v>
      </c>
      <c r="L618" s="65" t="s">
        <v>37</v>
      </c>
      <c r="M618" s="65" t="s">
        <v>1617</v>
      </c>
      <c r="N618" s="65" t="s">
        <v>1618</v>
      </c>
      <c r="O618" s="65" t="s">
        <v>1615</v>
      </c>
      <c r="P618" s="65" t="s">
        <v>2639</v>
      </c>
      <c r="Q618" s="65" t="s">
        <v>288</v>
      </c>
      <c r="R618">
        <v>1</v>
      </c>
      <c r="S618" s="65" t="s">
        <v>70</v>
      </c>
      <c r="T618" s="65" t="s">
        <v>43</v>
      </c>
      <c r="U618" s="65" t="s">
        <v>44</v>
      </c>
      <c r="V618" s="65" t="s">
        <v>71</v>
      </c>
      <c r="W618" s="65" t="s">
        <v>184</v>
      </c>
      <c r="X618">
        <v>0</v>
      </c>
      <c r="Y618" s="65" t="s">
        <v>289</v>
      </c>
      <c r="Z618" s="65" t="s">
        <v>48</v>
      </c>
      <c r="AA618" s="65" t="s">
        <v>73</v>
      </c>
      <c r="AB618">
        <v>950418896</v>
      </c>
      <c r="AC618" s="65"/>
    </row>
    <row r="619" spans="1:30" x14ac:dyDescent="0.3">
      <c r="A619" s="1">
        <v>46274</v>
      </c>
      <c r="B619" s="65" t="s">
        <v>4006</v>
      </c>
      <c r="C619" s="65" t="s">
        <v>2640</v>
      </c>
      <c r="D619" s="65" t="s">
        <v>29</v>
      </c>
      <c r="E619" s="65" t="s">
        <v>2641</v>
      </c>
      <c r="F619" s="65" t="s">
        <v>31</v>
      </c>
      <c r="G619" s="65" t="s">
        <v>2642</v>
      </c>
      <c r="H619" s="65" t="s">
        <v>1248</v>
      </c>
      <c r="I619" s="65" t="s">
        <v>1249</v>
      </c>
      <c r="J619" s="65" t="s">
        <v>2795</v>
      </c>
      <c r="K619" s="65" t="s">
        <v>209</v>
      </c>
      <c r="L619" s="65" t="s">
        <v>37</v>
      </c>
      <c r="M619" s="65" t="s">
        <v>1250</v>
      </c>
      <c r="N619" s="65" t="s">
        <v>608</v>
      </c>
      <c r="O619" s="65" t="s">
        <v>1251</v>
      </c>
      <c r="P619" s="65" t="s">
        <v>2643</v>
      </c>
      <c r="Q619" s="65" t="s">
        <v>288</v>
      </c>
      <c r="R619">
        <v>1</v>
      </c>
      <c r="S619" s="65" t="s">
        <v>42</v>
      </c>
      <c r="T619" s="65" t="s">
        <v>44</v>
      </c>
      <c r="U619" s="65" t="s">
        <v>44</v>
      </c>
      <c r="V619" s="65" t="s">
        <v>45</v>
      </c>
      <c r="W619" s="65" t="s">
        <v>46</v>
      </c>
      <c r="X619">
        <v>0</v>
      </c>
      <c r="Y619" s="65" t="s">
        <v>289</v>
      </c>
      <c r="Z619" s="65" t="s">
        <v>48</v>
      </c>
      <c r="AA619" s="65" t="s">
        <v>49</v>
      </c>
      <c r="AB619">
        <v>994872106</v>
      </c>
      <c r="AC619" s="65" t="s">
        <v>1253</v>
      </c>
    </row>
    <row r="620" spans="1:30" x14ac:dyDescent="0.3">
      <c r="A620" s="1">
        <v>46274</v>
      </c>
      <c r="B620" s="65" t="s">
        <v>4006</v>
      </c>
      <c r="C620" s="65" t="s">
        <v>2640</v>
      </c>
      <c r="D620" s="65" t="s">
        <v>29</v>
      </c>
      <c r="E620" s="65" t="s">
        <v>2641</v>
      </c>
      <c r="F620" s="65" t="s">
        <v>31</v>
      </c>
      <c r="G620" s="65" t="s">
        <v>2642</v>
      </c>
      <c r="H620" s="65" t="s">
        <v>1248</v>
      </c>
      <c r="I620" s="65" t="s">
        <v>1249</v>
      </c>
      <c r="J620" s="65" t="s">
        <v>2795</v>
      </c>
      <c r="K620" s="65" t="s">
        <v>209</v>
      </c>
      <c r="L620" s="65" t="s">
        <v>37</v>
      </c>
      <c r="M620" s="65" t="s">
        <v>1250</v>
      </c>
      <c r="N620" s="65" t="s">
        <v>608</v>
      </c>
      <c r="O620" s="65" t="s">
        <v>1251</v>
      </c>
      <c r="P620" s="65" t="s">
        <v>2643</v>
      </c>
      <c r="Q620" s="65" t="s">
        <v>290</v>
      </c>
      <c r="R620">
        <v>1</v>
      </c>
      <c r="S620" s="65" t="s">
        <v>42</v>
      </c>
      <c r="T620" s="65" t="s">
        <v>44</v>
      </c>
      <c r="U620" s="65" t="s">
        <v>44</v>
      </c>
      <c r="V620" s="65" t="s">
        <v>45</v>
      </c>
      <c r="W620" s="65" t="s">
        <v>46</v>
      </c>
      <c r="X620">
        <v>762.71</v>
      </c>
      <c r="Y620" s="65" t="s">
        <v>289</v>
      </c>
      <c r="Z620" s="65" t="s">
        <v>48</v>
      </c>
      <c r="AA620" s="65" t="s">
        <v>49</v>
      </c>
      <c r="AB620">
        <v>994872106</v>
      </c>
      <c r="AC620" s="65" t="s">
        <v>1253</v>
      </c>
    </row>
    <row r="621" spans="1:30" x14ac:dyDescent="0.3">
      <c r="A621" s="1">
        <v>46274</v>
      </c>
      <c r="B621" s="65" t="s">
        <v>4006</v>
      </c>
      <c r="C621" s="65" t="s">
        <v>2644</v>
      </c>
      <c r="D621" s="65" t="s">
        <v>268</v>
      </c>
      <c r="E621" s="65" t="s">
        <v>2645</v>
      </c>
      <c r="F621" s="65" t="s">
        <v>31</v>
      </c>
      <c r="G621" s="65" t="s">
        <v>2646</v>
      </c>
      <c r="H621" s="65" t="s">
        <v>2647</v>
      </c>
      <c r="I621" s="65" t="s">
        <v>2648</v>
      </c>
      <c r="J621" s="65" t="s">
        <v>2795</v>
      </c>
      <c r="K621" s="65" t="s">
        <v>209</v>
      </c>
      <c r="L621" s="65" t="s">
        <v>37</v>
      </c>
      <c r="M621" s="65" t="s">
        <v>2649</v>
      </c>
      <c r="N621" s="65" t="s">
        <v>608</v>
      </c>
      <c r="O621" s="65" t="s">
        <v>1251</v>
      </c>
      <c r="P621" s="65" t="s">
        <v>2650</v>
      </c>
      <c r="Q621" s="65" t="s">
        <v>290</v>
      </c>
      <c r="R621">
        <v>1</v>
      </c>
      <c r="S621" s="65" t="s">
        <v>42</v>
      </c>
      <c r="T621" s="65" t="s">
        <v>44</v>
      </c>
      <c r="U621" s="65" t="s">
        <v>44</v>
      </c>
      <c r="V621" s="65" t="s">
        <v>45</v>
      </c>
      <c r="W621" s="65" t="s">
        <v>46</v>
      </c>
      <c r="X621">
        <v>847.46</v>
      </c>
      <c r="Y621" s="65" t="s">
        <v>289</v>
      </c>
      <c r="Z621" s="65" t="s">
        <v>48</v>
      </c>
      <c r="AA621" s="65" t="s">
        <v>49</v>
      </c>
      <c r="AB621">
        <v>994872106</v>
      </c>
      <c r="AC621" s="65" t="s">
        <v>1253</v>
      </c>
    </row>
    <row r="622" spans="1:30" x14ac:dyDescent="0.3">
      <c r="A622" s="1">
        <v>46274</v>
      </c>
      <c r="B622" s="65" t="s">
        <v>4006</v>
      </c>
      <c r="C622" s="65" t="s">
        <v>2644</v>
      </c>
      <c r="D622" s="65" t="s">
        <v>268</v>
      </c>
      <c r="E622" s="65" t="s">
        <v>2645</v>
      </c>
      <c r="F622" s="65" t="s">
        <v>31</v>
      </c>
      <c r="G622" s="65" t="s">
        <v>2646</v>
      </c>
      <c r="H622" s="65" t="s">
        <v>2647</v>
      </c>
      <c r="I622" s="65" t="s">
        <v>2648</v>
      </c>
      <c r="J622" s="65" t="s">
        <v>2795</v>
      </c>
      <c r="K622" s="65" t="s">
        <v>209</v>
      </c>
      <c r="L622" s="65" t="s">
        <v>37</v>
      </c>
      <c r="M622" s="65" t="s">
        <v>2649</v>
      </c>
      <c r="N622" s="65" t="s">
        <v>608</v>
      </c>
      <c r="O622" s="65" t="s">
        <v>1251</v>
      </c>
      <c r="P622" s="65" t="s">
        <v>2650</v>
      </c>
      <c r="Q622" s="65" t="s">
        <v>288</v>
      </c>
      <c r="R622">
        <v>1</v>
      </c>
      <c r="S622" s="65" t="s">
        <v>42</v>
      </c>
      <c r="T622" s="65" t="s">
        <v>44</v>
      </c>
      <c r="U622" s="65" t="s">
        <v>44</v>
      </c>
      <c r="V622" s="65" t="s">
        <v>45</v>
      </c>
      <c r="W622" s="65" t="s">
        <v>46</v>
      </c>
      <c r="X622">
        <v>0</v>
      </c>
      <c r="Y622" s="65" t="s">
        <v>289</v>
      </c>
      <c r="Z622" s="65" t="s">
        <v>48</v>
      </c>
      <c r="AA622" s="65" t="s">
        <v>49</v>
      </c>
      <c r="AB622">
        <v>994872106</v>
      </c>
      <c r="AC622" s="65" t="s">
        <v>1253</v>
      </c>
    </row>
    <row r="623" spans="1:30" x14ac:dyDescent="0.3">
      <c r="A623" s="1">
        <v>46274</v>
      </c>
      <c r="B623" s="65" t="s">
        <v>4006</v>
      </c>
      <c r="C623" s="65" t="s">
        <v>4157</v>
      </c>
      <c r="D623" s="65" t="s">
        <v>29</v>
      </c>
      <c r="E623" s="65" t="s">
        <v>4158</v>
      </c>
      <c r="F623" s="65" t="s">
        <v>31</v>
      </c>
      <c r="G623" s="65" t="s">
        <v>4159</v>
      </c>
      <c r="H623" s="65" t="s">
        <v>4160</v>
      </c>
      <c r="I623" s="65" t="s">
        <v>4161</v>
      </c>
      <c r="J623" s="65" t="s">
        <v>1873</v>
      </c>
      <c r="K623" s="65"/>
      <c r="L623" s="65" t="s">
        <v>37</v>
      </c>
      <c r="M623" s="65" t="s">
        <v>4162</v>
      </c>
      <c r="N623" s="65" t="s">
        <v>4163</v>
      </c>
      <c r="O623" s="65" t="s">
        <v>4160</v>
      </c>
      <c r="P623" s="65" t="s">
        <v>4164</v>
      </c>
      <c r="Q623" s="65" t="s">
        <v>90</v>
      </c>
      <c r="R623">
        <v>1</v>
      </c>
      <c r="S623" s="65" t="s">
        <v>42</v>
      </c>
      <c r="T623" s="65" t="s">
        <v>44</v>
      </c>
      <c r="U623" s="65" t="s">
        <v>44</v>
      </c>
      <c r="V623" s="65" t="s">
        <v>71</v>
      </c>
      <c r="W623" s="65" t="s">
        <v>72</v>
      </c>
      <c r="X623">
        <v>135.59</v>
      </c>
      <c r="Y623" s="65" t="s">
        <v>47</v>
      </c>
      <c r="Z623" s="65" t="s">
        <v>48</v>
      </c>
      <c r="AA623" s="65" t="s">
        <v>73</v>
      </c>
      <c r="AC623" s="65"/>
      <c r="AD623">
        <v>30</v>
      </c>
    </row>
    <row r="624" spans="1:30" x14ac:dyDescent="0.3">
      <c r="A624" s="1">
        <v>46274</v>
      </c>
      <c r="B624" s="65" t="s">
        <v>4006</v>
      </c>
      <c r="C624" s="65" t="s">
        <v>4165</v>
      </c>
      <c r="D624" s="65" t="s">
        <v>29</v>
      </c>
      <c r="E624" s="65" t="s">
        <v>4166</v>
      </c>
      <c r="F624" s="65" t="s">
        <v>31</v>
      </c>
      <c r="G624" s="65" t="s">
        <v>4167</v>
      </c>
      <c r="H624" s="65" t="s">
        <v>4168</v>
      </c>
      <c r="I624" s="65" t="s">
        <v>4169</v>
      </c>
      <c r="J624" s="65" t="s">
        <v>1108</v>
      </c>
      <c r="K624" s="65" t="s">
        <v>209</v>
      </c>
      <c r="L624" s="65" t="s">
        <v>37</v>
      </c>
      <c r="M624" s="65" t="s">
        <v>4170</v>
      </c>
      <c r="N624" s="65" t="s">
        <v>4171</v>
      </c>
      <c r="O624" s="65" t="s">
        <v>4168</v>
      </c>
      <c r="P624" s="65" t="s">
        <v>4172</v>
      </c>
      <c r="Q624" s="65" t="s">
        <v>90</v>
      </c>
      <c r="R624">
        <v>1</v>
      </c>
      <c r="S624" s="65" t="s">
        <v>42</v>
      </c>
      <c r="T624" s="65" t="s">
        <v>44</v>
      </c>
      <c r="U624" s="65" t="s">
        <v>44</v>
      </c>
      <c r="V624" s="65" t="s">
        <v>531</v>
      </c>
      <c r="W624" s="65" t="s">
        <v>4049</v>
      </c>
      <c r="X624">
        <v>135.59</v>
      </c>
      <c r="Y624" s="65" t="s">
        <v>47</v>
      </c>
      <c r="Z624" s="65" t="s">
        <v>48</v>
      </c>
      <c r="AA624" s="65" t="s">
        <v>534</v>
      </c>
      <c r="AB624">
        <v>970582106</v>
      </c>
      <c r="AC624" s="65" t="s">
        <v>1113</v>
      </c>
      <c r="AD624">
        <v>30</v>
      </c>
    </row>
    <row r="625" spans="1:30" x14ac:dyDescent="0.3">
      <c r="A625" s="1">
        <v>46274</v>
      </c>
      <c r="B625" s="65" t="s">
        <v>4006</v>
      </c>
      <c r="C625" s="65" t="s">
        <v>4173</v>
      </c>
      <c r="D625" s="65" t="s">
        <v>29</v>
      </c>
      <c r="E625" s="65" t="s">
        <v>4174</v>
      </c>
      <c r="F625" s="65" t="s">
        <v>31</v>
      </c>
      <c r="G625" s="65" t="s">
        <v>4175</v>
      </c>
      <c r="H625" s="65" t="s">
        <v>4176</v>
      </c>
      <c r="I625" s="65" t="s">
        <v>4177</v>
      </c>
      <c r="J625" s="65" t="s">
        <v>1873</v>
      </c>
      <c r="K625" s="65"/>
      <c r="L625" s="65" t="s">
        <v>37</v>
      </c>
      <c r="M625" s="65" t="s">
        <v>4178</v>
      </c>
      <c r="N625" s="65" t="s">
        <v>4179</v>
      </c>
      <c r="O625" s="65" t="s">
        <v>4176</v>
      </c>
      <c r="P625" s="65" t="s">
        <v>4180</v>
      </c>
      <c r="Q625" s="65" t="s">
        <v>90</v>
      </c>
      <c r="R625">
        <v>1</v>
      </c>
      <c r="S625" s="65" t="s">
        <v>42</v>
      </c>
      <c r="T625" s="65" t="s">
        <v>44</v>
      </c>
      <c r="U625" s="65" t="s">
        <v>44</v>
      </c>
      <c r="V625" s="65" t="s">
        <v>71</v>
      </c>
      <c r="W625" s="65" t="s">
        <v>184</v>
      </c>
      <c r="X625">
        <v>135.59</v>
      </c>
      <c r="Y625" s="65" t="s">
        <v>47</v>
      </c>
      <c r="Z625" s="65" t="s">
        <v>48</v>
      </c>
      <c r="AA625" s="65" t="s">
        <v>73</v>
      </c>
      <c r="AC625" s="65"/>
      <c r="AD625">
        <v>30</v>
      </c>
    </row>
    <row r="626" spans="1:30" x14ac:dyDescent="0.3">
      <c r="A626" s="1">
        <v>46274</v>
      </c>
      <c r="B626" s="65" t="s">
        <v>4006</v>
      </c>
      <c r="C626" s="65" t="s">
        <v>4181</v>
      </c>
      <c r="D626" s="65" t="s">
        <v>268</v>
      </c>
      <c r="E626" s="65" t="s">
        <v>4182</v>
      </c>
      <c r="F626" s="65" t="s">
        <v>31</v>
      </c>
      <c r="G626" s="65" t="s">
        <v>4183</v>
      </c>
      <c r="H626" s="65" t="s">
        <v>4184</v>
      </c>
      <c r="I626" s="65" t="s">
        <v>4185</v>
      </c>
      <c r="J626" s="65" t="s">
        <v>116</v>
      </c>
      <c r="K626" s="65" t="s">
        <v>117</v>
      </c>
      <c r="L626" s="65" t="s">
        <v>37</v>
      </c>
      <c r="M626" s="65" t="s">
        <v>4186</v>
      </c>
      <c r="N626" s="65" t="s">
        <v>4187</v>
      </c>
      <c r="O626" s="65" t="s">
        <v>4188</v>
      </c>
      <c r="P626" s="65" t="s">
        <v>4189</v>
      </c>
      <c r="Q626" s="65" t="s">
        <v>202</v>
      </c>
      <c r="R626">
        <v>1</v>
      </c>
      <c r="S626" s="65" t="s">
        <v>42</v>
      </c>
      <c r="T626" s="65" t="s">
        <v>44</v>
      </c>
      <c r="U626" s="65" t="s">
        <v>44</v>
      </c>
      <c r="V626" s="65" t="s">
        <v>45</v>
      </c>
      <c r="W626" s="65" t="s">
        <v>60</v>
      </c>
      <c r="X626">
        <v>135.59</v>
      </c>
      <c r="Y626" s="65" t="s">
        <v>47</v>
      </c>
      <c r="Z626" s="65" t="s">
        <v>48</v>
      </c>
      <c r="AA626" s="65" t="s">
        <v>49</v>
      </c>
      <c r="AB626">
        <v>945319366</v>
      </c>
      <c r="AC626" s="65" t="s">
        <v>121</v>
      </c>
      <c r="AD626">
        <v>30</v>
      </c>
    </row>
    <row r="627" spans="1:30" x14ac:dyDescent="0.3">
      <c r="A627" s="1">
        <v>46274</v>
      </c>
      <c r="B627" s="65" t="s">
        <v>4006</v>
      </c>
      <c r="C627" s="65" t="s">
        <v>4190</v>
      </c>
      <c r="D627" s="65" t="s">
        <v>29</v>
      </c>
      <c r="E627" s="65" t="s">
        <v>4191</v>
      </c>
      <c r="F627" s="65" t="s">
        <v>31</v>
      </c>
      <c r="G627" s="65" t="s">
        <v>4192</v>
      </c>
      <c r="H627" s="65" t="s">
        <v>4193</v>
      </c>
      <c r="I627" s="65" t="s">
        <v>4194</v>
      </c>
      <c r="J627" s="65" t="s">
        <v>774</v>
      </c>
      <c r="K627" s="65" t="s">
        <v>775</v>
      </c>
      <c r="L627" s="65" t="s">
        <v>37</v>
      </c>
      <c r="M627" s="65" t="s">
        <v>4195</v>
      </c>
      <c r="N627" s="65" t="s">
        <v>4196</v>
      </c>
      <c r="O627" s="65" t="s">
        <v>4193</v>
      </c>
      <c r="P627" s="65" t="s">
        <v>4197</v>
      </c>
      <c r="Q627" s="65" t="s">
        <v>90</v>
      </c>
      <c r="R627">
        <v>1</v>
      </c>
      <c r="S627" s="65" t="s">
        <v>42</v>
      </c>
      <c r="T627" s="65" t="s">
        <v>44</v>
      </c>
      <c r="U627" s="65" t="s">
        <v>44</v>
      </c>
      <c r="V627" s="65" t="s">
        <v>45</v>
      </c>
      <c r="W627" s="65" t="s">
        <v>60</v>
      </c>
      <c r="X627">
        <v>135.59</v>
      </c>
      <c r="Y627" s="65" t="s">
        <v>47</v>
      </c>
      <c r="Z627" s="65" t="s">
        <v>48</v>
      </c>
      <c r="AA627" s="65" t="s">
        <v>49</v>
      </c>
      <c r="AC627" s="65"/>
      <c r="AD627">
        <v>30</v>
      </c>
    </row>
    <row r="628" spans="1:30" x14ac:dyDescent="0.3">
      <c r="A628" s="1">
        <v>46275</v>
      </c>
      <c r="B628" s="65" t="s">
        <v>4006</v>
      </c>
      <c r="C628" s="65" t="s">
        <v>2651</v>
      </c>
      <c r="D628" s="65" t="s">
        <v>29</v>
      </c>
      <c r="E628" s="65" t="s">
        <v>2652</v>
      </c>
      <c r="F628" s="65" t="s">
        <v>31</v>
      </c>
      <c r="G628" s="65" t="s">
        <v>2653</v>
      </c>
      <c r="H628" s="65" t="s">
        <v>2654</v>
      </c>
      <c r="I628" s="65" t="s">
        <v>2655</v>
      </c>
      <c r="J628" s="65" t="s">
        <v>434</v>
      </c>
      <c r="K628" s="65" t="s">
        <v>435</v>
      </c>
      <c r="L628" s="65" t="s">
        <v>37</v>
      </c>
      <c r="M628" s="65" t="s">
        <v>2656</v>
      </c>
      <c r="N628" s="65" t="s">
        <v>2657</v>
      </c>
      <c r="O628" s="65" t="s">
        <v>2654</v>
      </c>
      <c r="P628" s="65" t="s">
        <v>2658</v>
      </c>
      <c r="Q628" s="65" t="s">
        <v>201</v>
      </c>
      <c r="R628">
        <v>1</v>
      </c>
      <c r="S628" s="65" t="s">
        <v>42</v>
      </c>
      <c r="T628" s="65" t="s">
        <v>44</v>
      </c>
      <c r="U628" s="65" t="s">
        <v>44</v>
      </c>
      <c r="V628" s="65" t="s">
        <v>45</v>
      </c>
      <c r="W628" s="65" t="s">
        <v>46</v>
      </c>
      <c r="X628">
        <v>152.54</v>
      </c>
      <c r="Y628" s="65" t="s">
        <v>47</v>
      </c>
      <c r="Z628" s="65" t="s">
        <v>48</v>
      </c>
      <c r="AA628" s="65" t="s">
        <v>49</v>
      </c>
      <c r="AB628">
        <v>992903716</v>
      </c>
      <c r="AC628" s="65" t="s">
        <v>439</v>
      </c>
      <c r="AD628">
        <v>30</v>
      </c>
    </row>
    <row r="629" spans="1:30" x14ac:dyDescent="0.3">
      <c r="A629" s="1">
        <v>46275</v>
      </c>
      <c r="B629" s="65" t="s">
        <v>4006</v>
      </c>
      <c r="C629" s="65" t="s">
        <v>4198</v>
      </c>
      <c r="D629" s="65" t="s">
        <v>29</v>
      </c>
      <c r="E629" s="65" t="s">
        <v>4199</v>
      </c>
      <c r="F629" s="65" t="s">
        <v>31</v>
      </c>
      <c r="G629" s="65" t="s">
        <v>4200</v>
      </c>
      <c r="H629" s="65" t="s">
        <v>4201</v>
      </c>
      <c r="I629" s="65" t="s">
        <v>4202</v>
      </c>
      <c r="J629" s="65" t="s">
        <v>662</v>
      </c>
      <c r="K629" s="65" t="s">
        <v>36</v>
      </c>
      <c r="L629" s="65" t="s">
        <v>37</v>
      </c>
      <c r="M629" s="65" t="s">
        <v>4203</v>
      </c>
      <c r="N629" s="65" t="s">
        <v>608</v>
      </c>
      <c r="O629" s="65" t="s">
        <v>4201</v>
      </c>
      <c r="P629" s="65" t="s">
        <v>4204</v>
      </c>
      <c r="Q629" s="65" t="s">
        <v>130</v>
      </c>
      <c r="R629">
        <v>1</v>
      </c>
      <c r="S629" s="65" t="s">
        <v>42</v>
      </c>
      <c r="T629" s="65" t="s">
        <v>44</v>
      </c>
      <c r="U629" s="65" t="s">
        <v>44</v>
      </c>
      <c r="V629" s="65" t="s">
        <v>71</v>
      </c>
      <c r="W629" s="65" t="s">
        <v>72</v>
      </c>
      <c r="X629">
        <v>152.54</v>
      </c>
      <c r="Y629" s="65" t="s">
        <v>47</v>
      </c>
      <c r="Z629" s="65" t="s">
        <v>48</v>
      </c>
      <c r="AA629" s="65" t="s">
        <v>73</v>
      </c>
      <c r="AB629">
        <v>997145685</v>
      </c>
      <c r="AC629" s="65" t="s">
        <v>666</v>
      </c>
      <c r="AD629">
        <v>30</v>
      </c>
    </row>
    <row r="630" spans="1:30" x14ac:dyDescent="0.3">
      <c r="A630" s="1">
        <v>46275</v>
      </c>
      <c r="B630" s="65" t="s">
        <v>4006</v>
      </c>
      <c r="C630" s="65" t="s">
        <v>4205</v>
      </c>
      <c r="D630" s="65" t="s">
        <v>29</v>
      </c>
      <c r="E630" s="65" t="s">
        <v>4206</v>
      </c>
      <c r="F630" s="65" t="s">
        <v>31</v>
      </c>
      <c r="G630" s="65" t="s">
        <v>4207</v>
      </c>
      <c r="H630" s="65" t="s">
        <v>4208</v>
      </c>
      <c r="I630" s="65" t="s">
        <v>4209</v>
      </c>
      <c r="J630" s="65" t="s">
        <v>715</v>
      </c>
      <c r="K630" s="65" t="s">
        <v>716</v>
      </c>
      <c r="L630" s="65" t="s">
        <v>37</v>
      </c>
      <c r="M630" s="65" t="s">
        <v>4210</v>
      </c>
      <c r="N630" s="65" t="s">
        <v>4211</v>
      </c>
      <c r="O630" s="65" t="s">
        <v>4208</v>
      </c>
      <c r="P630" s="65" t="s">
        <v>4212</v>
      </c>
      <c r="Q630" s="65" t="s">
        <v>90</v>
      </c>
      <c r="R630">
        <v>1</v>
      </c>
      <c r="S630" s="65" t="s">
        <v>42</v>
      </c>
      <c r="T630" s="65" t="s">
        <v>44</v>
      </c>
      <c r="U630" s="65" t="s">
        <v>44</v>
      </c>
      <c r="V630" s="65" t="s">
        <v>71</v>
      </c>
      <c r="W630" s="65" t="s">
        <v>72</v>
      </c>
      <c r="X630">
        <v>135.59</v>
      </c>
      <c r="Y630" s="65" t="s">
        <v>47</v>
      </c>
      <c r="Z630" s="65" t="s">
        <v>48</v>
      </c>
      <c r="AA630" s="65" t="s">
        <v>73</v>
      </c>
      <c r="AB630">
        <v>955356636</v>
      </c>
      <c r="AC630" s="65" t="s">
        <v>720</v>
      </c>
      <c r="AD630">
        <v>30</v>
      </c>
    </row>
    <row r="631" spans="1:30" x14ac:dyDescent="0.3">
      <c r="A631" s="1">
        <v>46276</v>
      </c>
      <c r="B631" s="65" t="s">
        <v>4006</v>
      </c>
      <c r="C631" s="65" t="s">
        <v>2659</v>
      </c>
      <c r="D631" s="65" t="s">
        <v>29</v>
      </c>
      <c r="E631" s="65" t="s">
        <v>2660</v>
      </c>
      <c r="F631" s="65" t="s">
        <v>31</v>
      </c>
      <c r="G631" s="65" t="s">
        <v>2661</v>
      </c>
      <c r="H631" s="65" t="s">
        <v>2662</v>
      </c>
      <c r="I631" s="65" t="s">
        <v>2663</v>
      </c>
      <c r="J631" s="65" t="s">
        <v>1322</v>
      </c>
      <c r="K631" s="65" t="s">
        <v>36</v>
      </c>
      <c r="L631" s="65" t="s">
        <v>37</v>
      </c>
      <c r="M631" s="65" t="s">
        <v>2664</v>
      </c>
      <c r="N631" s="65" t="s">
        <v>2665</v>
      </c>
      <c r="O631" s="65" t="s">
        <v>2662</v>
      </c>
      <c r="P631" s="65" t="s">
        <v>2666</v>
      </c>
      <c r="Q631" s="65" t="s">
        <v>101</v>
      </c>
      <c r="R631">
        <v>1</v>
      </c>
      <c r="S631" s="65" t="s">
        <v>42</v>
      </c>
      <c r="T631" s="65" t="s">
        <v>44</v>
      </c>
      <c r="U631" s="65" t="s">
        <v>44</v>
      </c>
      <c r="V631" s="65" t="s">
        <v>45</v>
      </c>
      <c r="W631" s="65" t="s">
        <v>46</v>
      </c>
      <c r="X631">
        <v>186.44</v>
      </c>
      <c r="Y631" s="65" t="s">
        <v>47</v>
      </c>
      <c r="Z631" s="65" t="s">
        <v>48</v>
      </c>
      <c r="AA631" s="65" t="s">
        <v>49</v>
      </c>
      <c r="AB631">
        <v>999111362</v>
      </c>
      <c r="AC631" s="65" t="s">
        <v>1326</v>
      </c>
      <c r="AD631">
        <v>50</v>
      </c>
    </row>
    <row r="632" spans="1:30" x14ac:dyDescent="0.3">
      <c r="A632" s="1">
        <v>46276</v>
      </c>
      <c r="B632" s="65" t="s">
        <v>4006</v>
      </c>
      <c r="C632" s="65" t="s">
        <v>2667</v>
      </c>
      <c r="D632" s="65" t="s">
        <v>29</v>
      </c>
      <c r="E632" s="65" t="s">
        <v>2668</v>
      </c>
      <c r="F632" s="65" t="s">
        <v>31</v>
      </c>
      <c r="G632" s="65" t="s">
        <v>2669</v>
      </c>
      <c r="H632" s="65" t="s">
        <v>2670</v>
      </c>
      <c r="I632" s="65" t="s">
        <v>2671</v>
      </c>
      <c r="J632" s="65" t="s">
        <v>715</v>
      </c>
      <c r="K632" s="65" t="s">
        <v>716</v>
      </c>
      <c r="L632" s="65" t="s">
        <v>37</v>
      </c>
      <c r="M632" s="65" t="s">
        <v>2672</v>
      </c>
      <c r="N632" s="65" t="s">
        <v>2673</v>
      </c>
      <c r="O632" s="65" t="s">
        <v>2670</v>
      </c>
      <c r="P632" s="65" t="s">
        <v>2674</v>
      </c>
      <c r="Q632" s="65" t="s">
        <v>101</v>
      </c>
      <c r="R632">
        <v>1</v>
      </c>
      <c r="S632" s="65" t="s">
        <v>42</v>
      </c>
      <c r="T632" s="65" t="s">
        <v>44</v>
      </c>
      <c r="U632" s="65" t="s">
        <v>44</v>
      </c>
      <c r="V632" s="65" t="s">
        <v>45</v>
      </c>
      <c r="W632" s="65" t="s">
        <v>46</v>
      </c>
      <c r="X632">
        <v>186.44</v>
      </c>
      <c r="Y632" s="65" t="s">
        <v>47</v>
      </c>
      <c r="Z632" s="65" t="s">
        <v>48</v>
      </c>
      <c r="AA632" s="65" t="s">
        <v>49</v>
      </c>
      <c r="AB632">
        <v>955356636</v>
      </c>
      <c r="AC632" s="65" t="s">
        <v>720</v>
      </c>
      <c r="AD632">
        <v>50</v>
      </c>
    </row>
    <row r="633" spans="1:30" x14ac:dyDescent="0.3">
      <c r="A633" s="1">
        <v>46276</v>
      </c>
      <c r="B633" s="65" t="s">
        <v>4006</v>
      </c>
      <c r="C633" s="65" t="s">
        <v>4213</v>
      </c>
      <c r="D633" s="65" t="s">
        <v>29</v>
      </c>
      <c r="E633" s="65" t="s">
        <v>4214</v>
      </c>
      <c r="F633" s="65" t="s">
        <v>31</v>
      </c>
      <c r="G633" s="65" t="s">
        <v>4215</v>
      </c>
      <c r="H633" s="65" t="s">
        <v>4012</v>
      </c>
      <c r="I633" s="65" t="s">
        <v>4013</v>
      </c>
      <c r="J633" s="65" t="s">
        <v>1322</v>
      </c>
      <c r="K633" s="65" t="s">
        <v>36</v>
      </c>
      <c r="L633" s="65" t="s">
        <v>37</v>
      </c>
      <c r="M633" s="65" t="s">
        <v>4014</v>
      </c>
      <c r="N633" s="65" t="s">
        <v>4015</v>
      </c>
      <c r="O633" s="65" t="s">
        <v>4012</v>
      </c>
      <c r="P633" s="65" t="s">
        <v>4216</v>
      </c>
      <c r="Q633" s="65" t="s">
        <v>90</v>
      </c>
      <c r="R633">
        <v>1</v>
      </c>
      <c r="S633" s="65" t="s">
        <v>42</v>
      </c>
      <c r="T633" s="65" t="s">
        <v>44</v>
      </c>
      <c r="U633" s="65" t="s">
        <v>44</v>
      </c>
      <c r="V633" s="65" t="s">
        <v>71</v>
      </c>
      <c r="W633" s="65" t="s">
        <v>72</v>
      </c>
      <c r="X633">
        <v>135.59</v>
      </c>
      <c r="Y633" s="65" t="s">
        <v>47</v>
      </c>
      <c r="Z633" s="65" t="s">
        <v>48</v>
      </c>
      <c r="AA633" s="65" t="s">
        <v>73</v>
      </c>
      <c r="AB633">
        <v>999111362</v>
      </c>
      <c r="AC633" s="65" t="s">
        <v>1326</v>
      </c>
      <c r="AD633">
        <v>30</v>
      </c>
    </row>
    <row r="634" spans="1:30" x14ac:dyDescent="0.3">
      <c r="A634" s="1">
        <v>46276</v>
      </c>
      <c r="B634" s="65" t="s">
        <v>4006</v>
      </c>
      <c r="C634" s="65" t="s">
        <v>4217</v>
      </c>
      <c r="D634" s="65" t="s">
        <v>29</v>
      </c>
      <c r="E634" s="65" t="s">
        <v>4218</v>
      </c>
      <c r="F634" s="65" t="s">
        <v>31</v>
      </c>
      <c r="G634" s="65" t="s">
        <v>4219</v>
      </c>
      <c r="H634" s="65" t="s">
        <v>4220</v>
      </c>
      <c r="I634" s="65" t="s">
        <v>4221</v>
      </c>
      <c r="J634" s="65" t="s">
        <v>2739</v>
      </c>
      <c r="K634" s="65" t="s">
        <v>209</v>
      </c>
      <c r="L634" s="65" t="s">
        <v>37</v>
      </c>
      <c r="M634" s="65" t="s">
        <v>4222</v>
      </c>
      <c r="N634" s="65" t="s">
        <v>4223</v>
      </c>
      <c r="O634" s="65" t="s">
        <v>4220</v>
      </c>
      <c r="P634" s="65" t="s">
        <v>4224</v>
      </c>
      <c r="Q634" s="65" t="s">
        <v>90</v>
      </c>
      <c r="R634">
        <v>1</v>
      </c>
      <c r="S634" s="65" t="s">
        <v>42</v>
      </c>
      <c r="T634" s="65" t="s">
        <v>44</v>
      </c>
      <c r="U634" s="65" t="s">
        <v>44</v>
      </c>
      <c r="V634" s="65" t="s">
        <v>71</v>
      </c>
      <c r="W634" s="65" t="s">
        <v>72</v>
      </c>
      <c r="X634">
        <v>135.59</v>
      </c>
      <c r="Y634" s="65" t="s">
        <v>47</v>
      </c>
      <c r="Z634" s="65" t="s">
        <v>48</v>
      </c>
      <c r="AA634" s="65" t="s">
        <v>73</v>
      </c>
      <c r="AC634" s="65"/>
      <c r="AD634">
        <v>30</v>
      </c>
    </row>
    <row r="635" spans="1:30" x14ac:dyDescent="0.3">
      <c r="A635" s="1">
        <v>46276</v>
      </c>
      <c r="B635" s="65" t="s">
        <v>4006</v>
      </c>
      <c r="C635" s="65" t="s">
        <v>4225</v>
      </c>
      <c r="D635" s="65" t="s">
        <v>29</v>
      </c>
      <c r="E635" s="65" t="s">
        <v>4226</v>
      </c>
      <c r="F635" s="65" t="s">
        <v>31</v>
      </c>
      <c r="G635" s="65" t="s">
        <v>4227</v>
      </c>
      <c r="H635" s="65" t="s">
        <v>4228</v>
      </c>
      <c r="I635" s="65" t="s">
        <v>4229</v>
      </c>
      <c r="J635" s="65" t="s">
        <v>434</v>
      </c>
      <c r="K635" s="65" t="s">
        <v>435</v>
      </c>
      <c r="L635" s="65" t="s">
        <v>37</v>
      </c>
      <c r="M635" s="65" t="s">
        <v>4230</v>
      </c>
      <c r="N635" s="65" t="s">
        <v>4231</v>
      </c>
      <c r="O635" s="65" t="s">
        <v>4228</v>
      </c>
      <c r="P635" s="65" t="s">
        <v>4232</v>
      </c>
      <c r="Q635" s="65" t="s">
        <v>90</v>
      </c>
      <c r="R635">
        <v>1</v>
      </c>
      <c r="S635" s="65" t="s">
        <v>42</v>
      </c>
      <c r="T635" s="65" t="s">
        <v>44</v>
      </c>
      <c r="U635" s="65" t="s">
        <v>44</v>
      </c>
      <c r="V635" s="65" t="s">
        <v>45</v>
      </c>
      <c r="W635" s="65" t="s">
        <v>60</v>
      </c>
      <c r="X635">
        <v>135.59</v>
      </c>
      <c r="Y635" s="65" t="s">
        <v>47</v>
      </c>
      <c r="Z635" s="65" t="s">
        <v>48</v>
      </c>
      <c r="AA635" s="65" t="s">
        <v>49</v>
      </c>
      <c r="AB635">
        <v>992903716</v>
      </c>
      <c r="AC635" s="65" t="s">
        <v>439</v>
      </c>
      <c r="AD635">
        <v>30</v>
      </c>
    </row>
    <row r="636" spans="1:30" x14ac:dyDescent="0.3">
      <c r="A636" s="1">
        <v>46277</v>
      </c>
      <c r="B636" s="65" t="s">
        <v>4006</v>
      </c>
      <c r="C636" s="65" t="s">
        <v>2675</v>
      </c>
      <c r="D636" s="65" t="s">
        <v>29</v>
      </c>
      <c r="E636" s="65" t="s">
        <v>2676</v>
      </c>
      <c r="F636" s="65" t="s">
        <v>31</v>
      </c>
      <c r="G636" s="65" t="s">
        <v>2677</v>
      </c>
      <c r="H636" s="65" t="s">
        <v>2678</v>
      </c>
      <c r="I636" s="65" t="s">
        <v>2679</v>
      </c>
      <c r="J636" s="65" t="s">
        <v>1073</v>
      </c>
      <c r="K636" s="65" t="s">
        <v>97</v>
      </c>
      <c r="L636" s="65" t="s">
        <v>37</v>
      </c>
      <c r="M636" s="65" t="s">
        <v>2681</v>
      </c>
      <c r="N636" s="65" t="s">
        <v>2682</v>
      </c>
      <c r="O636" s="65" t="s">
        <v>2678</v>
      </c>
      <c r="P636" s="65" t="s">
        <v>2683</v>
      </c>
      <c r="Q636" s="65" t="s">
        <v>159</v>
      </c>
      <c r="R636">
        <v>1</v>
      </c>
      <c r="S636" s="65" t="s">
        <v>42</v>
      </c>
      <c r="T636" s="65" t="s">
        <v>44</v>
      </c>
      <c r="U636" s="65" t="s">
        <v>44</v>
      </c>
      <c r="V636" s="65" t="s">
        <v>45</v>
      </c>
      <c r="W636" s="65" t="s">
        <v>46</v>
      </c>
      <c r="X636">
        <v>135.59</v>
      </c>
      <c r="Y636" s="65" t="s">
        <v>47</v>
      </c>
      <c r="Z636" s="65" t="s">
        <v>48</v>
      </c>
      <c r="AA636" s="65" t="s">
        <v>49</v>
      </c>
      <c r="AB636">
        <v>999986041</v>
      </c>
      <c r="AC636" s="65" t="s">
        <v>1077</v>
      </c>
      <c r="AD636">
        <v>30</v>
      </c>
    </row>
    <row r="637" spans="1:30" x14ac:dyDescent="0.3">
      <c r="A637" s="1">
        <v>46277</v>
      </c>
      <c r="B637" s="65" t="s">
        <v>4006</v>
      </c>
      <c r="C637" s="65" t="s">
        <v>2685</v>
      </c>
      <c r="D637" s="65" t="s">
        <v>29</v>
      </c>
      <c r="E637" s="65" t="s">
        <v>2686</v>
      </c>
      <c r="F637" s="65" t="s">
        <v>31</v>
      </c>
      <c r="G637" s="65" t="s">
        <v>2687</v>
      </c>
      <c r="H637" s="65" t="s">
        <v>2688</v>
      </c>
      <c r="I637" s="65" t="s">
        <v>2689</v>
      </c>
      <c r="J637" s="65" t="s">
        <v>1322</v>
      </c>
      <c r="K637" s="65" t="s">
        <v>36</v>
      </c>
      <c r="L637" s="65" t="s">
        <v>37</v>
      </c>
      <c r="M637" s="65" t="s">
        <v>2692</v>
      </c>
      <c r="N637" s="65" t="s">
        <v>2693</v>
      </c>
      <c r="O637" s="65" t="s">
        <v>2688</v>
      </c>
      <c r="P637" s="65" t="s">
        <v>2694</v>
      </c>
      <c r="Q637" s="65" t="s">
        <v>201</v>
      </c>
      <c r="R637">
        <v>1</v>
      </c>
      <c r="S637" s="65" t="s">
        <v>42</v>
      </c>
      <c r="T637" s="65" t="s">
        <v>44</v>
      </c>
      <c r="U637" s="65" t="s">
        <v>44</v>
      </c>
      <c r="V637" s="65" t="s">
        <v>45</v>
      </c>
      <c r="W637" s="65" t="s">
        <v>46</v>
      </c>
      <c r="X637">
        <v>152.54</v>
      </c>
      <c r="Y637" s="65" t="s">
        <v>47</v>
      </c>
      <c r="Z637" s="65" t="s">
        <v>48</v>
      </c>
      <c r="AA637" s="65" t="s">
        <v>49</v>
      </c>
      <c r="AB637">
        <v>999111362</v>
      </c>
      <c r="AC637" s="65" t="s">
        <v>1326</v>
      </c>
      <c r="AD637">
        <v>30</v>
      </c>
    </row>
    <row r="638" spans="1:30" x14ac:dyDescent="0.3">
      <c r="A638" s="1">
        <v>46277</v>
      </c>
      <c r="B638" s="65" t="s">
        <v>4006</v>
      </c>
      <c r="C638" s="65" t="s">
        <v>2695</v>
      </c>
      <c r="D638" s="65" t="s">
        <v>29</v>
      </c>
      <c r="E638" s="65" t="s">
        <v>2696</v>
      </c>
      <c r="F638" s="65" t="s">
        <v>31</v>
      </c>
      <c r="G638" s="65" t="s">
        <v>2697</v>
      </c>
      <c r="H638" s="65" t="s">
        <v>2698</v>
      </c>
      <c r="I638" s="65" t="s">
        <v>2699</v>
      </c>
      <c r="J638" s="65" t="s">
        <v>704</v>
      </c>
      <c r="K638" s="65" t="s">
        <v>705</v>
      </c>
      <c r="L638" s="65" t="s">
        <v>37</v>
      </c>
      <c r="M638" s="65" t="s">
        <v>2700</v>
      </c>
      <c r="N638" s="65" t="s">
        <v>2701</v>
      </c>
      <c r="O638" s="65" t="s">
        <v>2698</v>
      </c>
      <c r="P638" s="65" t="s">
        <v>2702</v>
      </c>
      <c r="Q638" s="65" t="s">
        <v>90</v>
      </c>
      <c r="R638">
        <v>1</v>
      </c>
      <c r="S638" s="65" t="s">
        <v>42</v>
      </c>
      <c r="T638" s="65" t="s">
        <v>44</v>
      </c>
      <c r="U638" s="65" t="s">
        <v>44</v>
      </c>
      <c r="V638" s="65" t="s">
        <v>45</v>
      </c>
      <c r="W638" s="65" t="s">
        <v>60</v>
      </c>
      <c r="X638">
        <v>135.59</v>
      </c>
      <c r="Y638" s="65" t="s">
        <v>47</v>
      </c>
      <c r="Z638" s="65" t="s">
        <v>48</v>
      </c>
      <c r="AA638" s="65" t="s">
        <v>49</v>
      </c>
      <c r="AB638">
        <v>998418895</v>
      </c>
      <c r="AC638" s="65" t="s">
        <v>709</v>
      </c>
      <c r="AD638">
        <v>30</v>
      </c>
    </row>
    <row r="639" spans="1:30" x14ac:dyDescent="0.3">
      <c r="A639" s="1">
        <v>46277</v>
      </c>
      <c r="B639" s="65" t="s">
        <v>4006</v>
      </c>
      <c r="C639" s="65" t="s">
        <v>4233</v>
      </c>
      <c r="D639" s="65" t="s">
        <v>29</v>
      </c>
      <c r="E639" s="65" t="s">
        <v>4234</v>
      </c>
      <c r="F639" s="65" t="s">
        <v>31</v>
      </c>
      <c r="G639" s="65" t="s">
        <v>4235</v>
      </c>
      <c r="H639" s="65" t="s">
        <v>4236</v>
      </c>
      <c r="I639" s="65" t="s">
        <v>4237</v>
      </c>
      <c r="J639" s="65" t="s">
        <v>3322</v>
      </c>
      <c r="K639" s="65" t="s">
        <v>209</v>
      </c>
      <c r="L639" s="65" t="s">
        <v>37</v>
      </c>
      <c r="M639" s="65" t="s">
        <v>4238</v>
      </c>
      <c r="N639" s="65" t="s">
        <v>4239</v>
      </c>
      <c r="O639" s="65" t="s">
        <v>4236</v>
      </c>
      <c r="P639" s="65" t="s">
        <v>4240</v>
      </c>
      <c r="Q639" s="65" t="s">
        <v>159</v>
      </c>
      <c r="R639">
        <v>1</v>
      </c>
      <c r="S639" s="65" t="s">
        <v>42</v>
      </c>
      <c r="T639" s="65" t="s">
        <v>44</v>
      </c>
      <c r="U639" s="65" t="s">
        <v>44</v>
      </c>
      <c r="V639" s="65" t="s">
        <v>71</v>
      </c>
      <c r="W639" s="65" t="s">
        <v>72</v>
      </c>
      <c r="X639">
        <v>135.59</v>
      </c>
      <c r="Y639" s="65" t="s">
        <v>47</v>
      </c>
      <c r="Z639" s="65" t="s">
        <v>48</v>
      </c>
      <c r="AA639" s="65" t="s">
        <v>73</v>
      </c>
      <c r="AB639">
        <v>995560200</v>
      </c>
      <c r="AC639" s="65" t="s">
        <v>3323</v>
      </c>
      <c r="AD639">
        <v>30</v>
      </c>
    </row>
    <row r="640" spans="1:30" x14ac:dyDescent="0.3">
      <c r="A640" s="1">
        <v>46277</v>
      </c>
      <c r="B640" s="65" t="s">
        <v>4006</v>
      </c>
      <c r="C640" s="65" t="s">
        <v>4241</v>
      </c>
      <c r="D640" s="65" t="s">
        <v>29</v>
      </c>
      <c r="E640" s="65" t="s">
        <v>4242</v>
      </c>
      <c r="F640" s="65" t="s">
        <v>31</v>
      </c>
      <c r="G640" s="65" t="s">
        <v>4243</v>
      </c>
      <c r="H640" s="65" t="s">
        <v>4244</v>
      </c>
      <c r="I640" s="65" t="s">
        <v>4245</v>
      </c>
      <c r="J640" s="65" t="s">
        <v>1108</v>
      </c>
      <c r="K640" s="65" t="s">
        <v>209</v>
      </c>
      <c r="L640" s="65" t="s">
        <v>37</v>
      </c>
      <c r="M640" s="65" t="s">
        <v>4246</v>
      </c>
      <c r="N640" s="65" t="s">
        <v>4247</v>
      </c>
      <c r="O640" s="65" t="s">
        <v>4244</v>
      </c>
      <c r="P640" s="65" t="s">
        <v>4248</v>
      </c>
      <c r="Q640" s="65" t="s">
        <v>202</v>
      </c>
      <c r="R640">
        <v>1</v>
      </c>
      <c r="S640" s="65" t="s">
        <v>42</v>
      </c>
      <c r="T640" s="65" t="s">
        <v>44</v>
      </c>
      <c r="U640" s="65" t="s">
        <v>44</v>
      </c>
      <c r="V640" s="65" t="s">
        <v>45</v>
      </c>
      <c r="W640" s="65" t="s">
        <v>60</v>
      </c>
      <c r="X640">
        <v>135.59</v>
      </c>
      <c r="Y640" s="65" t="s">
        <v>47</v>
      </c>
      <c r="Z640" s="65" t="s">
        <v>48</v>
      </c>
      <c r="AA640" s="65" t="s">
        <v>49</v>
      </c>
      <c r="AB640">
        <v>970582106</v>
      </c>
      <c r="AC640" s="65" t="s">
        <v>1113</v>
      </c>
      <c r="AD640">
        <v>30</v>
      </c>
    </row>
    <row r="641" spans="1:30" x14ac:dyDescent="0.3">
      <c r="A641" s="1">
        <v>46277</v>
      </c>
      <c r="B641" s="65" t="s">
        <v>4006</v>
      </c>
      <c r="C641" s="65" t="s">
        <v>4241</v>
      </c>
      <c r="D641" s="65" t="s">
        <v>29</v>
      </c>
      <c r="E641" s="65" t="s">
        <v>4242</v>
      </c>
      <c r="F641" s="65" t="s">
        <v>31</v>
      </c>
      <c r="G641" s="65" t="s">
        <v>4243</v>
      </c>
      <c r="H641" s="65" t="s">
        <v>4244</v>
      </c>
      <c r="I641" s="65" t="s">
        <v>4245</v>
      </c>
      <c r="J641" s="65" t="s">
        <v>1108</v>
      </c>
      <c r="K641" s="65" t="s">
        <v>209</v>
      </c>
      <c r="L641" s="65" t="s">
        <v>37</v>
      </c>
      <c r="M641" s="65" t="s">
        <v>4246</v>
      </c>
      <c r="N641" s="65" t="s">
        <v>4247</v>
      </c>
      <c r="O641" s="65" t="s">
        <v>4244</v>
      </c>
      <c r="P641" s="65" t="s">
        <v>4248</v>
      </c>
      <c r="Q641" s="65" t="s">
        <v>201</v>
      </c>
      <c r="R641">
        <v>1</v>
      </c>
      <c r="S641" s="65" t="s">
        <v>42</v>
      </c>
      <c r="T641" s="65" t="s">
        <v>44</v>
      </c>
      <c r="U641" s="65" t="s">
        <v>44</v>
      </c>
      <c r="V641" s="65" t="s">
        <v>45</v>
      </c>
      <c r="W641" s="65" t="s">
        <v>60</v>
      </c>
      <c r="X641">
        <v>152.54</v>
      </c>
      <c r="Y641" s="65" t="s">
        <v>47</v>
      </c>
      <c r="Z641" s="65" t="s">
        <v>48</v>
      </c>
      <c r="AA641" s="65" t="s">
        <v>49</v>
      </c>
      <c r="AB641">
        <v>970582106</v>
      </c>
      <c r="AC641" s="65" t="s">
        <v>1113</v>
      </c>
      <c r="AD641">
        <v>30</v>
      </c>
    </row>
    <row r="642" spans="1:30" x14ac:dyDescent="0.3">
      <c r="A642" s="1">
        <v>46277</v>
      </c>
      <c r="B642" s="65" t="s">
        <v>4006</v>
      </c>
      <c r="C642" s="65" t="s">
        <v>4249</v>
      </c>
      <c r="D642" s="65" t="s">
        <v>29</v>
      </c>
      <c r="E642" s="65" t="s">
        <v>4250</v>
      </c>
      <c r="F642" s="65" t="s">
        <v>31</v>
      </c>
      <c r="G642" s="65" t="s">
        <v>4251</v>
      </c>
      <c r="H642" s="65" t="s">
        <v>4252</v>
      </c>
      <c r="I642" s="65" t="s">
        <v>4253</v>
      </c>
      <c r="J642" s="65" t="s">
        <v>774</v>
      </c>
      <c r="K642" s="65" t="s">
        <v>775</v>
      </c>
      <c r="L642" s="65" t="s">
        <v>37</v>
      </c>
      <c r="M642" s="65" t="s">
        <v>4254</v>
      </c>
      <c r="N642" s="65" t="s">
        <v>4255</v>
      </c>
      <c r="O642" s="65" t="s">
        <v>4252</v>
      </c>
      <c r="P642" s="65" t="s">
        <v>4256</v>
      </c>
      <c r="Q642" s="65" t="s">
        <v>130</v>
      </c>
      <c r="R642">
        <v>1</v>
      </c>
      <c r="S642" s="65" t="s">
        <v>42</v>
      </c>
      <c r="T642" s="65" t="s">
        <v>44</v>
      </c>
      <c r="U642" s="65" t="s">
        <v>44</v>
      </c>
      <c r="V642" s="65" t="s">
        <v>71</v>
      </c>
      <c r="W642" s="65" t="s">
        <v>184</v>
      </c>
      <c r="X642">
        <v>152.54</v>
      </c>
      <c r="Y642" s="65" t="s">
        <v>47</v>
      </c>
      <c r="Z642" s="65" t="s">
        <v>48</v>
      </c>
      <c r="AA642" s="65" t="s">
        <v>73</v>
      </c>
      <c r="AC642" s="65"/>
      <c r="AD642">
        <v>30</v>
      </c>
    </row>
    <row r="643" spans="1:30" x14ac:dyDescent="0.3">
      <c r="A643" s="1">
        <v>46279</v>
      </c>
      <c r="B643" s="65" t="s">
        <v>4006</v>
      </c>
      <c r="C643" s="65" t="s">
        <v>2703</v>
      </c>
      <c r="D643" s="65" t="s">
        <v>29</v>
      </c>
      <c r="E643" s="65" t="s">
        <v>2704</v>
      </c>
      <c r="F643" s="65" t="s">
        <v>31</v>
      </c>
      <c r="G643" s="65" t="s">
        <v>2705</v>
      </c>
      <c r="H643" s="65" t="s">
        <v>2706</v>
      </c>
      <c r="I643" s="65" t="s">
        <v>4257</v>
      </c>
      <c r="J643" s="65" t="s">
        <v>1595</v>
      </c>
      <c r="K643" s="65" t="s">
        <v>1596</v>
      </c>
      <c r="L643" s="65" t="s">
        <v>37</v>
      </c>
      <c r="M643" s="65" t="s">
        <v>2707</v>
      </c>
      <c r="N643" s="65" t="s">
        <v>2708</v>
      </c>
      <c r="O643" s="65" t="s">
        <v>2706</v>
      </c>
      <c r="P643" s="65" t="s">
        <v>2709</v>
      </c>
      <c r="Q643" s="65" t="s">
        <v>101</v>
      </c>
      <c r="R643">
        <v>1</v>
      </c>
      <c r="S643" s="65" t="s">
        <v>70</v>
      </c>
      <c r="T643" s="65" t="s">
        <v>43</v>
      </c>
      <c r="U643" s="65" t="s">
        <v>44</v>
      </c>
      <c r="V643" s="65" t="s">
        <v>71</v>
      </c>
      <c r="W643" s="65" t="s">
        <v>184</v>
      </c>
      <c r="X643">
        <v>186.44</v>
      </c>
      <c r="Y643" s="65" t="s">
        <v>47</v>
      </c>
      <c r="Z643" s="65" t="s">
        <v>48</v>
      </c>
      <c r="AA643" s="65" t="s">
        <v>73</v>
      </c>
      <c r="AB643">
        <v>980543337</v>
      </c>
      <c r="AC643" s="65" t="s">
        <v>1600</v>
      </c>
      <c r="AD643">
        <v>50</v>
      </c>
    </row>
    <row r="644" spans="1:30" x14ac:dyDescent="0.3">
      <c r="A644" s="1">
        <v>46279</v>
      </c>
      <c r="B644" s="65" t="s">
        <v>4006</v>
      </c>
      <c r="C644" s="65" t="s">
        <v>2710</v>
      </c>
      <c r="D644" s="65" t="s">
        <v>29</v>
      </c>
      <c r="E644" s="65" t="s">
        <v>2711</v>
      </c>
      <c r="F644" s="65" t="s">
        <v>31</v>
      </c>
      <c r="G644" s="65" t="s">
        <v>2712</v>
      </c>
      <c r="H644" s="65" t="s">
        <v>2713</v>
      </c>
      <c r="I644" s="65" t="s">
        <v>2714</v>
      </c>
      <c r="J644" s="65" t="s">
        <v>715</v>
      </c>
      <c r="K644" s="65" t="s">
        <v>716</v>
      </c>
      <c r="L644" s="65" t="s">
        <v>37</v>
      </c>
      <c r="M644" s="65" t="s">
        <v>2715</v>
      </c>
      <c r="N644" s="65" t="s">
        <v>2716</v>
      </c>
      <c r="O644" s="65" t="s">
        <v>2713</v>
      </c>
      <c r="P644" s="65" t="s">
        <v>2717</v>
      </c>
      <c r="Q644" s="65" t="s">
        <v>41</v>
      </c>
      <c r="R644">
        <v>1</v>
      </c>
      <c r="S644" s="65" t="s">
        <v>70</v>
      </c>
      <c r="T644" s="65" t="s">
        <v>43</v>
      </c>
      <c r="U644" s="65" t="s">
        <v>44</v>
      </c>
      <c r="V644" s="65" t="s">
        <v>71</v>
      </c>
      <c r="W644" s="65" t="s">
        <v>72</v>
      </c>
      <c r="X644">
        <v>186.44</v>
      </c>
      <c r="Y644" s="65" t="s">
        <v>47</v>
      </c>
      <c r="Z644" s="65" t="s">
        <v>48</v>
      </c>
      <c r="AA644" s="65" t="s">
        <v>73</v>
      </c>
      <c r="AB644">
        <v>955356636</v>
      </c>
      <c r="AC644" s="65" t="s">
        <v>720</v>
      </c>
      <c r="AD644">
        <v>50</v>
      </c>
    </row>
    <row r="645" spans="1:30" x14ac:dyDescent="0.3">
      <c r="A645" s="1">
        <v>46279</v>
      </c>
      <c r="B645" s="65" t="s">
        <v>4006</v>
      </c>
      <c r="C645" s="65" t="s">
        <v>2710</v>
      </c>
      <c r="D645" s="65" t="s">
        <v>29</v>
      </c>
      <c r="E645" s="65" t="s">
        <v>2711</v>
      </c>
      <c r="F645" s="65" t="s">
        <v>31</v>
      </c>
      <c r="G645" s="65" t="s">
        <v>2712</v>
      </c>
      <c r="H645" s="65" t="s">
        <v>2713</v>
      </c>
      <c r="I645" s="65" t="s">
        <v>2714</v>
      </c>
      <c r="J645" s="65" t="s">
        <v>715</v>
      </c>
      <c r="K645" s="65" t="s">
        <v>716</v>
      </c>
      <c r="L645" s="65" t="s">
        <v>37</v>
      </c>
      <c r="M645" s="65" t="s">
        <v>2715</v>
      </c>
      <c r="N645" s="65" t="s">
        <v>2716</v>
      </c>
      <c r="O645" s="65" t="s">
        <v>2713</v>
      </c>
      <c r="P645" s="65" t="s">
        <v>2717</v>
      </c>
      <c r="Q645" s="65" t="s">
        <v>159</v>
      </c>
      <c r="R645">
        <v>1</v>
      </c>
      <c r="S645" s="65" t="s">
        <v>70</v>
      </c>
      <c r="T645" s="65" t="s">
        <v>43</v>
      </c>
      <c r="U645" s="65" t="s">
        <v>44</v>
      </c>
      <c r="V645" s="65" t="s">
        <v>71</v>
      </c>
      <c r="W645" s="65" t="s">
        <v>72</v>
      </c>
      <c r="X645">
        <v>135.59</v>
      </c>
      <c r="Y645" s="65" t="s">
        <v>47</v>
      </c>
      <c r="Z645" s="65" t="s">
        <v>48</v>
      </c>
      <c r="AA645" s="65" t="s">
        <v>73</v>
      </c>
      <c r="AB645">
        <v>955356636</v>
      </c>
      <c r="AC645" s="65" t="s">
        <v>720</v>
      </c>
      <c r="AD645">
        <v>30</v>
      </c>
    </row>
    <row r="646" spans="1:30" x14ac:dyDescent="0.3">
      <c r="A646" s="1">
        <v>46279</v>
      </c>
      <c r="B646" s="65" t="s">
        <v>4006</v>
      </c>
      <c r="C646" s="65" t="s">
        <v>2718</v>
      </c>
      <c r="D646" s="65" t="s">
        <v>268</v>
      </c>
      <c r="E646" s="65" t="s">
        <v>2719</v>
      </c>
      <c r="F646" s="65" t="s">
        <v>31</v>
      </c>
      <c r="G646" s="65" t="s">
        <v>2720</v>
      </c>
      <c r="H646" s="65" t="s">
        <v>2721</v>
      </c>
      <c r="I646" s="65" t="s">
        <v>2722</v>
      </c>
      <c r="J646" s="65" t="s">
        <v>3537</v>
      </c>
      <c r="K646" s="65" t="s">
        <v>209</v>
      </c>
      <c r="L646" s="65" t="s">
        <v>37</v>
      </c>
      <c r="M646" s="65" t="s">
        <v>2723</v>
      </c>
      <c r="N646" s="65" t="s">
        <v>2724</v>
      </c>
      <c r="O646" s="65" t="s">
        <v>1840</v>
      </c>
      <c r="P646" s="65" t="s">
        <v>2725</v>
      </c>
      <c r="Q646" s="65" t="s">
        <v>288</v>
      </c>
      <c r="R646">
        <v>1</v>
      </c>
      <c r="S646" s="65" t="s">
        <v>42</v>
      </c>
      <c r="T646" s="65" t="s">
        <v>44</v>
      </c>
      <c r="U646" s="65" t="s">
        <v>44</v>
      </c>
      <c r="V646" s="65" t="s">
        <v>45</v>
      </c>
      <c r="W646" s="65" t="s">
        <v>46</v>
      </c>
      <c r="X646">
        <v>0</v>
      </c>
      <c r="Y646" s="65" t="s">
        <v>289</v>
      </c>
      <c r="Z646" s="65" t="s">
        <v>48</v>
      </c>
      <c r="AA646" s="65" t="s">
        <v>49</v>
      </c>
      <c r="AB646">
        <v>997061004</v>
      </c>
      <c r="AC646" s="65"/>
    </row>
    <row r="647" spans="1:30" x14ac:dyDescent="0.3">
      <c r="A647" s="1">
        <v>46279</v>
      </c>
      <c r="B647" s="65" t="s">
        <v>4006</v>
      </c>
      <c r="C647" s="65" t="s">
        <v>2718</v>
      </c>
      <c r="D647" s="65" t="s">
        <v>268</v>
      </c>
      <c r="E647" s="65" t="s">
        <v>2719</v>
      </c>
      <c r="F647" s="65" t="s">
        <v>31</v>
      </c>
      <c r="G647" s="65" t="s">
        <v>2720</v>
      </c>
      <c r="H647" s="65" t="s">
        <v>2721</v>
      </c>
      <c r="I647" s="65" t="s">
        <v>2722</v>
      </c>
      <c r="J647" s="65" t="s">
        <v>3537</v>
      </c>
      <c r="K647" s="65" t="s">
        <v>209</v>
      </c>
      <c r="L647" s="65" t="s">
        <v>37</v>
      </c>
      <c r="M647" s="65" t="s">
        <v>2723</v>
      </c>
      <c r="N647" s="65" t="s">
        <v>2724</v>
      </c>
      <c r="O647" s="65" t="s">
        <v>1840</v>
      </c>
      <c r="P647" s="65" t="s">
        <v>2725</v>
      </c>
      <c r="Q647" s="65" t="s">
        <v>973</v>
      </c>
      <c r="R647">
        <v>1</v>
      </c>
      <c r="S647" s="65" t="s">
        <v>42</v>
      </c>
      <c r="T647" s="65" t="s">
        <v>44</v>
      </c>
      <c r="U647" s="65" t="s">
        <v>44</v>
      </c>
      <c r="V647" s="65" t="s">
        <v>45</v>
      </c>
      <c r="W647" s="65" t="s">
        <v>46</v>
      </c>
      <c r="X647">
        <v>805.08</v>
      </c>
      <c r="Y647" s="65" t="s">
        <v>289</v>
      </c>
      <c r="Z647" s="65" t="s">
        <v>48</v>
      </c>
      <c r="AA647" s="65" t="s">
        <v>49</v>
      </c>
      <c r="AB647">
        <v>997061004</v>
      </c>
      <c r="AC647" s="65"/>
    </row>
    <row r="648" spans="1:30" x14ac:dyDescent="0.3">
      <c r="A648" s="1">
        <v>46279</v>
      </c>
      <c r="B648" s="65" t="s">
        <v>4006</v>
      </c>
      <c r="C648" s="65" t="s">
        <v>2726</v>
      </c>
      <c r="D648" s="65" t="s">
        <v>29</v>
      </c>
      <c r="E648" s="65" t="s">
        <v>2727</v>
      </c>
      <c r="F648" s="65" t="s">
        <v>31</v>
      </c>
      <c r="G648" s="65" t="s">
        <v>2728</v>
      </c>
      <c r="H648" s="65" t="s">
        <v>2729</v>
      </c>
      <c r="I648" s="65" t="s">
        <v>2730</v>
      </c>
      <c r="J648" s="65" t="s">
        <v>434</v>
      </c>
      <c r="K648" s="65" t="s">
        <v>435</v>
      </c>
      <c r="L648" s="65" t="s">
        <v>37</v>
      </c>
      <c r="M648" s="65" t="s">
        <v>2731</v>
      </c>
      <c r="N648" s="65" t="s">
        <v>2732</v>
      </c>
      <c r="O648" s="65" t="s">
        <v>2729</v>
      </c>
      <c r="P648" s="65" t="s">
        <v>2733</v>
      </c>
      <c r="Q648" s="65" t="s">
        <v>158</v>
      </c>
      <c r="R648">
        <v>1</v>
      </c>
      <c r="S648" s="65" t="s">
        <v>42</v>
      </c>
      <c r="T648" s="65" t="s">
        <v>44</v>
      </c>
      <c r="U648" s="65" t="s">
        <v>44</v>
      </c>
      <c r="V648" s="65" t="s">
        <v>45</v>
      </c>
      <c r="W648" s="65" t="s">
        <v>46</v>
      </c>
      <c r="X648">
        <v>152.54</v>
      </c>
      <c r="Y648" s="65" t="s">
        <v>47</v>
      </c>
      <c r="Z648" s="65" t="s">
        <v>48</v>
      </c>
      <c r="AA648" s="65" t="s">
        <v>49</v>
      </c>
      <c r="AB648">
        <v>992903716</v>
      </c>
      <c r="AC648" s="65" t="s">
        <v>439</v>
      </c>
      <c r="AD648">
        <v>30</v>
      </c>
    </row>
    <row r="649" spans="1:30" x14ac:dyDescent="0.3">
      <c r="A649" s="1">
        <v>46279</v>
      </c>
      <c r="B649" s="65" t="s">
        <v>4006</v>
      </c>
      <c r="C649" s="65" t="s">
        <v>2734</v>
      </c>
      <c r="D649" s="65" t="s">
        <v>268</v>
      </c>
      <c r="E649" s="65" t="s">
        <v>2735</v>
      </c>
      <c r="F649" s="65" t="s">
        <v>31</v>
      </c>
      <c r="G649" s="65" t="s">
        <v>2736</v>
      </c>
      <c r="H649" s="65" t="s">
        <v>2737</v>
      </c>
      <c r="I649" s="65" t="s">
        <v>2738</v>
      </c>
      <c r="J649" s="65" t="s">
        <v>2739</v>
      </c>
      <c r="K649" s="65" t="s">
        <v>209</v>
      </c>
      <c r="L649" s="65" t="s">
        <v>37</v>
      </c>
      <c r="M649" s="65" t="s">
        <v>2740</v>
      </c>
      <c r="N649" s="65" t="s">
        <v>608</v>
      </c>
      <c r="O649" s="65" t="s">
        <v>2739</v>
      </c>
      <c r="P649" s="65" t="s">
        <v>2741</v>
      </c>
      <c r="Q649" s="65" t="s">
        <v>371</v>
      </c>
      <c r="R649">
        <v>1</v>
      </c>
      <c r="S649" s="65" t="s">
        <v>42</v>
      </c>
      <c r="T649" s="65" t="s">
        <v>44</v>
      </c>
      <c r="U649" s="65" t="s">
        <v>44</v>
      </c>
      <c r="V649" s="65" t="s">
        <v>45</v>
      </c>
      <c r="W649" s="65" t="s">
        <v>60</v>
      </c>
      <c r="X649">
        <v>635.59</v>
      </c>
      <c r="Y649" s="65" t="s">
        <v>289</v>
      </c>
      <c r="Z649" s="65" t="s">
        <v>48</v>
      </c>
      <c r="AA649" s="65" t="s">
        <v>49</v>
      </c>
      <c r="AC649" s="65"/>
    </row>
    <row r="650" spans="1:30" x14ac:dyDescent="0.3">
      <c r="A650" s="1">
        <v>46279</v>
      </c>
      <c r="B650" s="65" t="s">
        <v>4006</v>
      </c>
      <c r="C650" s="65" t="s">
        <v>2734</v>
      </c>
      <c r="D650" s="65" t="s">
        <v>268</v>
      </c>
      <c r="E650" s="65" t="s">
        <v>2735</v>
      </c>
      <c r="F650" s="65" t="s">
        <v>31</v>
      </c>
      <c r="G650" s="65" t="s">
        <v>2736</v>
      </c>
      <c r="H650" s="65" t="s">
        <v>2737</v>
      </c>
      <c r="I650" s="65" t="s">
        <v>2738</v>
      </c>
      <c r="J650" s="65" t="s">
        <v>2739</v>
      </c>
      <c r="K650" s="65" t="s">
        <v>209</v>
      </c>
      <c r="L650" s="65" t="s">
        <v>37</v>
      </c>
      <c r="M650" s="65" t="s">
        <v>2740</v>
      </c>
      <c r="N650" s="65" t="s">
        <v>608</v>
      </c>
      <c r="O650" s="65" t="s">
        <v>2739</v>
      </c>
      <c r="P650" s="65" t="s">
        <v>2741</v>
      </c>
      <c r="Q650" s="65" t="s">
        <v>288</v>
      </c>
      <c r="R650">
        <v>1</v>
      </c>
      <c r="S650" s="65" t="s">
        <v>42</v>
      </c>
      <c r="T650" s="65" t="s">
        <v>44</v>
      </c>
      <c r="U650" s="65" t="s">
        <v>44</v>
      </c>
      <c r="V650" s="65" t="s">
        <v>45</v>
      </c>
      <c r="W650" s="65" t="s">
        <v>60</v>
      </c>
      <c r="X650">
        <v>0</v>
      </c>
      <c r="Y650" s="65" t="s">
        <v>289</v>
      </c>
      <c r="Z650" s="65" t="s">
        <v>48</v>
      </c>
      <c r="AA650" s="65" t="s">
        <v>49</v>
      </c>
      <c r="AC650" s="65"/>
    </row>
    <row r="651" spans="1:30" x14ac:dyDescent="0.3">
      <c r="A651" s="1">
        <v>46279</v>
      </c>
      <c r="B651" s="65" t="s">
        <v>4006</v>
      </c>
      <c r="C651" s="65" t="s">
        <v>4258</v>
      </c>
      <c r="D651" s="65" t="s">
        <v>29</v>
      </c>
      <c r="E651" s="65" t="s">
        <v>4259</v>
      </c>
      <c r="F651" s="65" t="s">
        <v>31</v>
      </c>
      <c r="G651" s="65" t="s">
        <v>4260</v>
      </c>
      <c r="H651" s="65" t="s">
        <v>4261</v>
      </c>
      <c r="I651" s="65" t="s">
        <v>4262</v>
      </c>
      <c r="J651" s="65" t="s">
        <v>136</v>
      </c>
      <c r="K651" s="65" t="s">
        <v>137</v>
      </c>
      <c r="L651" s="65" t="s">
        <v>37</v>
      </c>
      <c r="M651" s="65" t="s">
        <v>4263</v>
      </c>
      <c r="N651" s="65" t="s">
        <v>4264</v>
      </c>
      <c r="O651" s="65" t="s">
        <v>4261</v>
      </c>
      <c r="P651" s="65" t="s">
        <v>4265</v>
      </c>
      <c r="Q651" s="65" t="s">
        <v>201</v>
      </c>
      <c r="R651">
        <v>1</v>
      </c>
      <c r="S651" s="65" t="s">
        <v>42</v>
      </c>
      <c r="T651" s="65" t="s">
        <v>44</v>
      </c>
      <c r="U651" s="65" t="s">
        <v>44</v>
      </c>
      <c r="V651" s="65" t="s">
        <v>45</v>
      </c>
      <c r="W651" s="65" t="s">
        <v>60</v>
      </c>
      <c r="X651">
        <v>152.54</v>
      </c>
      <c r="Y651" s="65" t="s">
        <v>47</v>
      </c>
      <c r="Z651" s="65" t="s">
        <v>48</v>
      </c>
      <c r="AA651" s="65" t="s">
        <v>49</v>
      </c>
      <c r="AB651">
        <v>987407712</v>
      </c>
      <c r="AC651" s="65" t="s">
        <v>141</v>
      </c>
      <c r="AD651">
        <v>30</v>
      </c>
    </row>
    <row r="652" spans="1:30" x14ac:dyDescent="0.3">
      <c r="A652" s="1">
        <v>46279</v>
      </c>
      <c r="B652" s="65" t="s">
        <v>4006</v>
      </c>
      <c r="C652" s="65" t="s">
        <v>4258</v>
      </c>
      <c r="D652" s="65" t="s">
        <v>29</v>
      </c>
      <c r="E652" s="65" t="s">
        <v>4259</v>
      </c>
      <c r="F652" s="65" t="s">
        <v>31</v>
      </c>
      <c r="G652" s="65" t="s">
        <v>4260</v>
      </c>
      <c r="H652" s="65" t="s">
        <v>4261</v>
      </c>
      <c r="I652" s="65" t="s">
        <v>4262</v>
      </c>
      <c r="J652" s="65" t="s">
        <v>136</v>
      </c>
      <c r="K652" s="65" t="s">
        <v>137</v>
      </c>
      <c r="L652" s="65" t="s">
        <v>37</v>
      </c>
      <c r="M652" s="65" t="s">
        <v>4263</v>
      </c>
      <c r="N652" s="65" t="s">
        <v>4264</v>
      </c>
      <c r="O652" s="65" t="s">
        <v>4261</v>
      </c>
      <c r="P652" s="65" t="s">
        <v>4265</v>
      </c>
      <c r="Q652" s="65" t="s">
        <v>202</v>
      </c>
      <c r="R652">
        <v>1</v>
      </c>
      <c r="S652" s="65" t="s">
        <v>42</v>
      </c>
      <c r="T652" s="65" t="s">
        <v>44</v>
      </c>
      <c r="U652" s="65" t="s">
        <v>44</v>
      </c>
      <c r="V652" s="65" t="s">
        <v>45</v>
      </c>
      <c r="W652" s="65" t="s">
        <v>60</v>
      </c>
      <c r="X652">
        <v>135.59</v>
      </c>
      <c r="Y652" s="65" t="s">
        <v>47</v>
      </c>
      <c r="Z652" s="65" t="s">
        <v>48</v>
      </c>
      <c r="AA652" s="65" t="s">
        <v>49</v>
      </c>
      <c r="AB652">
        <v>987407712</v>
      </c>
      <c r="AC652" s="65" t="s">
        <v>141</v>
      </c>
      <c r="AD652">
        <v>30</v>
      </c>
    </row>
    <row r="653" spans="1:30" x14ac:dyDescent="0.3">
      <c r="A653" s="1">
        <v>46279</v>
      </c>
      <c r="B653" s="65" t="s">
        <v>4006</v>
      </c>
      <c r="C653" s="65" t="s">
        <v>4266</v>
      </c>
      <c r="D653" s="65" t="s">
        <v>29</v>
      </c>
      <c r="E653" s="65" t="s">
        <v>4267</v>
      </c>
      <c r="F653" s="65" t="s">
        <v>31</v>
      </c>
      <c r="G653" s="65" t="s">
        <v>4268</v>
      </c>
      <c r="H653" s="65" t="s">
        <v>4269</v>
      </c>
      <c r="I653" s="65" t="s">
        <v>4270</v>
      </c>
      <c r="J653" s="65" t="s">
        <v>2739</v>
      </c>
      <c r="K653" s="65" t="s">
        <v>209</v>
      </c>
      <c r="L653" s="65" t="s">
        <v>37</v>
      </c>
      <c r="M653" s="65" t="s">
        <v>4271</v>
      </c>
      <c r="N653" s="65" t="s">
        <v>4272</v>
      </c>
      <c r="O653" s="65" t="s">
        <v>4269</v>
      </c>
      <c r="P653" s="65" t="s">
        <v>4273</v>
      </c>
      <c r="Q653" s="65" t="s">
        <v>159</v>
      </c>
      <c r="R653">
        <v>1</v>
      </c>
      <c r="S653" s="65" t="s">
        <v>42</v>
      </c>
      <c r="T653" s="65" t="s">
        <v>44</v>
      </c>
      <c r="U653" s="65" t="s">
        <v>44</v>
      </c>
      <c r="V653" s="65" t="s">
        <v>531</v>
      </c>
      <c r="W653" s="65" t="s">
        <v>4049</v>
      </c>
      <c r="X653">
        <v>135.59</v>
      </c>
      <c r="Y653" s="65" t="s">
        <v>47</v>
      </c>
      <c r="Z653" s="65" t="s">
        <v>48</v>
      </c>
      <c r="AA653" s="65" t="s">
        <v>534</v>
      </c>
      <c r="AC653" s="65"/>
      <c r="AD653">
        <v>30</v>
      </c>
    </row>
    <row r="654" spans="1:30" x14ac:dyDescent="0.3">
      <c r="A654" s="1">
        <v>46280</v>
      </c>
      <c r="B654" s="65" t="s">
        <v>4006</v>
      </c>
      <c r="C654" s="65" t="s">
        <v>2742</v>
      </c>
      <c r="D654" s="65" t="s">
        <v>29</v>
      </c>
      <c r="E654" s="65" t="s">
        <v>2743</v>
      </c>
      <c r="F654" s="65" t="s">
        <v>31</v>
      </c>
      <c r="G654" s="65" t="s">
        <v>2744</v>
      </c>
      <c r="H654" s="65" t="s">
        <v>2745</v>
      </c>
      <c r="I654" s="65" t="s">
        <v>2746</v>
      </c>
      <c r="J654" s="65" t="s">
        <v>3116</v>
      </c>
      <c r="K654" s="65" t="s">
        <v>2558</v>
      </c>
      <c r="L654" s="65" t="s">
        <v>37</v>
      </c>
      <c r="M654" s="65" t="s">
        <v>2747</v>
      </c>
      <c r="N654" s="65" t="s">
        <v>2748</v>
      </c>
      <c r="O654" s="65" t="s">
        <v>2745</v>
      </c>
      <c r="P654" s="65" t="s">
        <v>2749</v>
      </c>
      <c r="Q654" s="65" t="s">
        <v>159</v>
      </c>
      <c r="R654">
        <v>1</v>
      </c>
      <c r="S654" s="65" t="s">
        <v>70</v>
      </c>
      <c r="T654" s="65" t="s">
        <v>43</v>
      </c>
      <c r="U654" s="65" t="s">
        <v>44</v>
      </c>
      <c r="V654" s="65" t="s">
        <v>71</v>
      </c>
      <c r="W654" s="65" t="s">
        <v>72</v>
      </c>
      <c r="X654">
        <v>135.59</v>
      </c>
      <c r="Y654" s="65" t="s">
        <v>47</v>
      </c>
      <c r="Z654" s="65" t="s">
        <v>48</v>
      </c>
      <c r="AA654" s="65" t="s">
        <v>73</v>
      </c>
      <c r="AB654">
        <v>973914900</v>
      </c>
      <c r="AC654" s="65" t="s">
        <v>3117</v>
      </c>
      <c r="AD654">
        <v>30</v>
      </c>
    </row>
    <row r="655" spans="1:30" x14ac:dyDescent="0.3">
      <c r="A655" s="1">
        <v>46280</v>
      </c>
      <c r="B655" s="65" t="s">
        <v>4006</v>
      </c>
      <c r="C655" s="65" t="s">
        <v>2750</v>
      </c>
      <c r="D655" s="65" t="s">
        <v>268</v>
      </c>
      <c r="E655" s="65" t="s">
        <v>2751</v>
      </c>
      <c r="F655" s="65" t="s">
        <v>31</v>
      </c>
      <c r="G655" s="65" t="s">
        <v>2752</v>
      </c>
      <c r="H655" s="65" t="s">
        <v>2753</v>
      </c>
      <c r="I655" s="65" t="s">
        <v>2754</v>
      </c>
      <c r="J655" s="65" t="s">
        <v>273</v>
      </c>
      <c r="K655" s="65" t="s">
        <v>274</v>
      </c>
      <c r="L655" s="65" t="s">
        <v>37</v>
      </c>
      <c r="M655" s="65" t="s">
        <v>2755</v>
      </c>
      <c r="N655" s="65" t="s">
        <v>2756</v>
      </c>
      <c r="O655" s="65" t="s">
        <v>277</v>
      </c>
      <c r="P655" s="65" t="s">
        <v>2757</v>
      </c>
      <c r="Q655" s="65" t="s">
        <v>290</v>
      </c>
      <c r="R655">
        <v>1</v>
      </c>
      <c r="S655" s="65" t="s">
        <v>42</v>
      </c>
      <c r="T655" s="65" t="s">
        <v>44</v>
      </c>
      <c r="U655" s="65" t="s">
        <v>44</v>
      </c>
      <c r="V655" s="65" t="s">
        <v>45</v>
      </c>
      <c r="W655" s="65" t="s">
        <v>46</v>
      </c>
      <c r="X655">
        <v>1050.8499999999999</v>
      </c>
      <c r="Y655" s="65" t="s">
        <v>289</v>
      </c>
      <c r="Z655" s="65" t="s">
        <v>48</v>
      </c>
      <c r="AA655" s="65" t="s">
        <v>49</v>
      </c>
      <c r="AB655">
        <v>950133748</v>
      </c>
      <c r="AC655" s="65" t="s">
        <v>279</v>
      </c>
    </row>
    <row r="656" spans="1:30" x14ac:dyDescent="0.3">
      <c r="A656" s="1">
        <v>46280</v>
      </c>
      <c r="B656" s="65" t="s">
        <v>4006</v>
      </c>
      <c r="C656" s="65" t="s">
        <v>2750</v>
      </c>
      <c r="D656" s="65" t="s">
        <v>268</v>
      </c>
      <c r="E656" s="65" t="s">
        <v>2751</v>
      </c>
      <c r="F656" s="65" t="s">
        <v>31</v>
      </c>
      <c r="G656" s="65" t="s">
        <v>2752</v>
      </c>
      <c r="H656" s="65" t="s">
        <v>2753</v>
      </c>
      <c r="I656" s="65" t="s">
        <v>2754</v>
      </c>
      <c r="J656" s="65" t="s">
        <v>273</v>
      </c>
      <c r="K656" s="65" t="s">
        <v>274</v>
      </c>
      <c r="L656" s="65" t="s">
        <v>37</v>
      </c>
      <c r="M656" s="65" t="s">
        <v>2755</v>
      </c>
      <c r="N656" s="65" t="s">
        <v>2756</v>
      </c>
      <c r="O656" s="65" t="s">
        <v>277</v>
      </c>
      <c r="P656" s="65" t="s">
        <v>2757</v>
      </c>
      <c r="Q656" s="65" t="s">
        <v>288</v>
      </c>
      <c r="R656">
        <v>1</v>
      </c>
      <c r="S656" s="65" t="s">
        <v>42</v>
      </c>
      <c r="T656" s="65" t="s">
        <v>44</v>
      </c>
      <c r="U656" s="65" t="s">
        <v>44</v>
      </c>
      <c r="V656" s="65" t="s">
        <v>45</v>
      </c>
      <c r="W656" s="65" t="s">
        <v>46</v>
      </c>
      <c r="X656">
        <v>0</v>
      </c>
      <c r="Y656" s="65" t="s">
        <v>289</v>
      </c>
      <c r="Z656" s="65" t="s">
        <v>48</v>
      </c>
      <c r="AA656" s="65" t="s">
        <v>49</v>
      </c>
      <c r="AB656">
        <v>950133748</v>
      </c>
      <c r="AC656" s="65" t="s">
        <v>279</v>
      </c>
    </row>
    <row r="657" spans="1:30" x14ac:dyDescent="0.3">
      <c r="A657" s="1">
        <v>46280</v>
      </c>
      <c r="B657" s="65" t="s">
        <v>4006</v>
      </c>
      <c r="C657" s="65" t="s">
        <v>2758</v>
      </c>
      <c r="D657" s="65" t="s">
        <v>268</v>
      </c>
      <c r="E657" s="65" t="s">
        <v>2759</v>
      </c>
      <c r="F657" s="65" t="s">
        <v>31</v>
      </c>
      <c r="G657" s="65" t="s">
        <v>2760</v>
      </c>
      <c r="H657" s="65" t="s">
        <v>2761</v>
      </c>
      <c r="I657" s="65" t="s">
        <v>2762</v>
      </c>
      <c r="J657" s="65" t="s">
        <v>273</v>
      </c>
      <c r="K657" s="65" t="s">
        <v>274</v>
      </c>
      <c r="L657" s="65" t="s">
        <v>37</v>
      </c>
      <c r="M657" s="65" t="s">
        <v>2763</v>
      </c>
      <c r="N657" s="65" t="s">
        <v>2764</v>
      </c>
      <c r="O657" s="65" t="s">
        <v>277</v>
      </c>
      <c r="P657" s="65" t="s">
        <v>2765</v>
      </c>
      <c r="Q657" s="65" t="s">
        <v>288</v>
      </c>
      <c r="R657">
        <v>1</v>
      </c>
      <c r="S657" s="65" t="s">
        <v>42</v>
      </c>
      <c r="T657" s="65" t="s">
        <v>44</v>
      </c>
      <c r="U657" s="65" t="s">
        <v>44</v>
      </c>
      <c r="V657" s="65" t="s">
        <v>45</v>
      </c>
      <c r="W657" s="65" t="s">
        <v>60</v>
      </c>
      <c r="X657">
        <v>0</v>
      </c>
      <c r="Y657" s="65" t="s">
        <v>289</v>
      </c>
      <c r="Z657" s="65" t="s">
        <v>48</v>
      </c>
      <c r="AA657" s="65" t="s">
        <v>49</v>
      </c>
      <c r="AB657">
        <v>950133748</v>
      </c>
      <c r="AC657" s="65" t="s">
        <v>279</v>
      </c>
    </row>
    <row r="658" spans="1:30" x14ac:dyDescent="0.3">
      <c r="A658" s="1">
        <v>46280</v>
      </c>
      <c r="B658" s="65" t="s">
        <v>4006</v>
      </c>
      <c r="C658" s="65" t="s">
        <v>2758</v>
      </c>
      <c r="D658" s="65" t="s">
        <v>268</v>
      </c>
      <c r="E658" s="65" t="s">
        <v>2759</v>
      </c>
      <c r="F658" s="65" t="s">
        <v>31</v>
      </c>
      <c r="G658" s="65" t="s">
        <v>2760</v>
      </c>
      <c r="H658" s="65" t="s">
        <v>2761</v>
      </c>
      <c r="I658" s="65" t="s">
        <v>2762</v>
      </c>
      <c r="J658" s="65" t="s">
        <v>273</v>
      </c>
      <c r="K658" s="65" t="s">
        <v>274</v>
      </c>
      <c r="L658" s="65" t="s">
        <v>37</v>
      </c>
      <c r="M658" s="65" t="s">
        <v>2763</v>
      </c>
      <c r="N658" s="65" t="s">
        <v>2764</v>
      </c>
      <c r="O658" s="65" t="s">
        <v>277</v>
      </c>
      <c r="P658" s="65" t="s">
        <v>2765</v>
      </c>
      <c r="Q658" s="65" t="s">
        <v>371</v>
      </c>
      <c r="R658">
        <v>1</v>
      </c>
      <c r="S658" s="65" t="s">
        <v>42</v>
      </c>
      <c r="T658" s="65" t="s">
        <v>44</v>
      </c>
      <c r="U658" s="65" t="s">
        <v>44</v>
      </c>
      <c r="V658" s="65" t="s">
        <v>45</v>
      </c>
      <c r="W658" s="65" t="s">
        <v>60</v>
      </c>
      <c r="X658">
        <v>805.08</v>
      </c>
      <c r="Y658" s="65" t="s">
        <v>289</v>
      </c>
      <c r="Z658" s="65" t="s">
        <v>48</v>
      </c>
      <c r="AA658" s="65" t="s">
        <v>49</v>
      </c>
      <c r="AB658">
        <v>950133748</v>
      </c>
      <c r="AC658" s="65" t="s">
        <v>279</v>
      </c>
    </row>
    <row r="659" spans="1:30" x14ac:dyDescent="0.3">
      <c r="A659" s="1">
        <v>46280</v>
      </c>
      <c r="B659" s="65" t="s">
        <v>4006</v>
      </c>
      <c r="C659" s="65" t="s">
        <v>2766</v>
      </c>
      <c r="D659" s="65" t="s">
        <v>268</v>
      </c>
      <c r="E659" s="65" t="s">
        <v>2767</v>
      </c>
      <c r="F659" s="65" t="s">
        <v>31</v>
      </c>
      <c r="G659" s="65" t="s">
        <v>2768</v>
      </c>
      <c r="H659" s="65" t="s">
        <v>2761</v>
      </c>
      <c r="I659" s="65" t="s">
        <v>2762</v>
      </c>
      <c r="J659" s="65" t="s">
        <v>273</v>
      </c>
      <c r="K659" s="65" t="s">
        <v>274</v>
      </c>
      <c r="L659" s="65" t="s">
        <v>37</v>
      </c>
      <c r="M659" s="65" t="s">
        <v>2763</v>
      </c>
      <c r="N659" s="65" t="s">
        <v>2764</v>
      </c>
      <c r="O659" s="65" t="s">
        <v>277</v>
      </c>
      <c r="P659" s="65" t="s">
        <v>2769</v>
      </c>
      <c r="Q659" s="65" t="s">
        <v>130</v>
      </c>
      <c r="R659">
        <v>1</v>
      </c>
      <c r="S659" s="65" t="s">
        <v>42</v>
      </c>
      <c r="T659" s="65" t="s">
        <v>44</v>
      </c>
      <c r="U659" s="65" t="s">
        <v>44</v>
      </c>
      <c r="V659" s="65" t="s">
        <v>45</v>
      </c>
      <c r="W659" s="65" t="s">
        <v>60</v>
      </c>
      <c r="X659">
        <v>152.54</v>
      </c>
      <c r="Y659" s="65" t="s">
        <v>47</v>
      </c>
      <c r="Z659" s="65" t="s">
        <v>48</v>
      </c>
      <c r="AA659" s="65" t="s">
        <v>49</v>
      </c>
      <c r="AB659">
        <v>950133748</v>
      </c>
      <c r="AC659" s="65" t="s">
        <v>279</v>
      </c>
      <c r="AD659">
        <v>30</v>
      </c>
    </row>
    <row r="660" spans="1:30" x14ac:dyDescent="0.3">
      <c r="A660" s="1">
        <v>46280</v>
      </c>
      <c r="B660" s="65" t="s">
        <v>4006</v>
      </c>
      <c r="C660" s="65" t="s">
        <v>2770</v>
      </c>
      <c r="D660" s="65" t="s">
        <v>268</v>
      </c>
      <c r="E660" s="65" t="s">
        <v>2771</v>
      </c>
      <c r="F660" s="65" t="s">
        <v>31</v>
      </c>
      <c r="G660" s="65" t="s">
        <v>2772</v>
      </c>
      <c r="H660" s="65" t="s">
        <v>2773</v>
      </c>
      <c r="I660" s="65" t="s">
        <v>2774</v>
      </c>
      <c r="J660" s="65" t="s">
        <v>273</v>
      </c>
      <c r="K660" s="65" t="s">
        <v>274</v>
      </c>
      <c r="L660" s="65" t="s">
        <v>37</v>
      </c>
      <c r="M660" s="65" t="s">
        <v>2775</v>
      </c>
      <c r="N660" s="65" t="s">
        <v>2776</v>
      </c>
      <c r="O660" s="65" t="s">
        <v>277</v>
      </c>
      <c r="P660" s="65" t="s">
        <v>2777</v>
      </c>
      <c r="Q660" s="65" t="s">
        <v>59</v>
      </c>
      <c r="R660">
        <v>2</v>
      </c>
      <c r="S660" s="65" t="s">
        <v>42</v>
      </c>
      <c r="T660" s="65" t="s">
        <v>44</v>
      </c>
      <c r="U660" s="65" t="s">
        <v>44</v>
      </c>
      <c r="V660" s="65" t="s">
        <v>45</v>
      </c>
      <c r="W660" s="65" t="s">
        <v>60</v>
      </c>
      <c r="X660">
        <v>203.39</v>
      </c>
      <c r="Y660" s="65" t="s">
        <v>61</v>
      </c>
      <c r="Z660" s="65" t="s">
        <v>48</v>
      </c>
      <c r="AA660" s="65" t="s">
        <v>49</v>
      </c>
      <c r="AB660">
        <v>950133748</v>
      </c>
      <c r="AC660" s="65" t="s">
        <v>279</v>
      </c>
    </row>
    <row r="661" spans="1:30" x14ac:dyDescent="0.3">
      <c r="A661" s="1">
        <v>46281</v>
      </c>
      <c r="B661" s="65" t="s">
        <v>4006</v>
      </c>
      <c r="C661" s="65" t="s">
        <v>2778</v>
      </c>
      <c r="D661" s="65" t="s">
        <v>268</v>
      </c>
      <c r="E661" s="65" t="s">
        <v>2779</v>
      </c>
      <c r="F661" s="65" t="s">
        <v>31</v>
      </c>
      <c r="G661" s="65" t="s">
        <v>2780</v>
      </c>
      <c r="H661" s="65" t="s">
        <v>605</v>
      </c>
      <c r="I661" s="65" t="s">
        <v>606</v>
      </c>
      <c r="J661" s="65" t="s">
        <v>2739</v>
      </c>
      <c r="K661" s="65" t="s">
        <v>209</v>
      </c>
      <c r="L661" s="65" t="s">
        <v>37</v>
      </c>
      <c r="M661" s="65" t="s">
        <v>607</v>
      </c>
      <c r="N661" s="65" t="s">
        <v>608</v>
      </c>
      <c r="O661" s="65" t="s">
        <v>2739</v>
      </c>
      <c r="P661" s="65" t="s">
        <v>2781</v>
      </c>
      <c r="Q661" s="65" t="s">
        <v>213</v>
      </c>
      <c r="R661">
        <v>1</v>
      </c>
      <c r="S661" s="65" t="s">
        <v>42</v>
      </c>
      <c r="T661" s="65" t="s">
        <v>44</v>
      </c>
      <c r="U661" s="65" t="s">
        <v>44</v>
      </c>
      <c r="V661" s="65" t="s">
        <v>45</v>
      </c>
      <c r="W661" s="65" t="s">
        <v>60</v>
      </c>
      <c r="X661">
        <v>254.24</v>
      </c>
      <c r="Y661" s="65" t="s">
        <v>61</v>
      </c>
      <c r="Z661" s="65" t="s">
        <v>48</v>
      </c>
      <c r="AA661" s="65" t="s">
        <v>49</v>
      </c>
      <c r="AC661" s="65"/>
    </row>
    <row r="662" spans="1:30" x14ac:dyDescent="0.3">
      <c r="A662" s="1">
        <v>46281</v>
      </c>
      <c r="B662" s="65" t="s">
        <v>4006</v>
      </c>
      <c r="C662" s="65" t="s">
        <v>2782</v>
      </c>
      <c r="D662" s="65" t="s">
        <v>29</v>
      </c>
      <c r="E662" s="65" t="s">
        <v>2783</v>
      </c>
      <c r="F662" s="65" t="s">
        <v>31</v>
      </c>
      <c r="G662" s="65" t="s">
        <v>2784</v>
      </c>
      <c r="H662" s="65" t="s">
        <v>2785</v>
      </c>
      <c r="I662" s="65" t="s">
        <v>2786</v>
      </c>
      <c r="J662" s="65" t="s">
        <v>662</v>
      </c>
      <c r="K662" s="65" t="s">
        <v>36</v>
      </c>
      <c r="L662" s="65" t="s">
        <v>37</v>
      </c>
      <c r="M662" s="65" t="s">
        <v>2787</v>
      </c>
      <c r="N662" s="65" t="s">
        <v>2788</v>
      </c>
      <c r="O662" s="65" t="s">
        <v>2785</v>
      </c>
      <c r="P662" s="65" t="s">
        <v>2789</v>
      </c>
      <c r="Q662" s="65" t="s">
        <v>159</v>
      </c>
      <c r="R662">
        <v>1</v>
      </c>
      <c r="S662" s="65" t="s">
        <v>42</v>
      </c>
      <c r="T662" s="65" t="s">
        <v>44</v>
      </c>
      <c r="U662" s="65" t="s">
        <v>44</v>
      </c>
      <c r="V662" s="65" t="s">
        <v>45</v>
      </c>
      <c r="W662" s="65" t="s">
        <v>46</v>
      </c>
      <c r="X662">
        <v>135.59</v>
      </c>
      <c r="Y662" s="65" t="s">
        <v>47</v>
      </c>
      <c r="Z662" s="65" t="s">
        <v>48</v>
      </c>
      <c r="AA662" s="65" t="s">
        <v>49</v>
      </c>
      <c r="AB662">
        <v>997145685</v>
      </c>
      <c r="AC662" s="65" t="s">
        <v>666</v>
      </c>
      <c r="AD662">
        <v>30</v>
      </c>
    </row>
    <row r="663" spans="1:30" x14ac:dyDescent="0.3">
      <c r="A663" s="1">
        <v>46281</v>
      </c>
      <c r="B663" s="65" t="s">
        <v>4006</v>
      </c>
      <c r="C663" s="65" t="s">
        <v>4274</v>
      </c>
      <c r="D663" s="65" t="s">
        <v>29</v>
      </c>
      <c r="E663" s="65" t="s">
        <v>4275</v>
      </c>
      <c r="F663" s="65" t="s">
        <v>31</v>
      </c>
      <c r="G663" s="65" t="s">
        <v>4276</v>
      </c>
      <c r="H663" s="65" t="s">
        <v>4277</v>
      </c>
      <c r="I663" s="65" t="s">
        <v>4278</v>
      </c>
      <c r="J663" s="65" t="s">
        <v>136</v>
      </c>
      <c r="K663" s="65" t="s">
        <v>137</v>
      </c>
      <c r="L663" s="65" t="s">
        <v>37</v>
      </c>
      <c r="M663" s="65" t="s">
        <v>4279</v>
      </c>
      <c r="N663" s="65" t="s">
        <v>4280</v>
      </c>
      <c r="O663" s="65" t="s">
        <v>4277</v>
      </c>
      <c r="P663" s="65" t="s">
        <v>4281</v>
      </c>
      <c r="Q663" s="65" t="s">
        <v>159</v>
      </c>
      <c r="R663">
        <v>1</v>
      </c>
      <c r="S663" s="65" t="s">
        <v>42</v>
      </c>
      <c r="T663" s="65" t="s">
        <v>44</v>
      </c>
      <c r="U663" s="65" t="s">
        <v>44</v>
      </c>
      <c r="V663" s="65" t="s">
        <v>45</v>
      </c>
      <c r="W663" s="65" t="s">
        <v>60</v>
      </c>
      <c r="X663">
        <v>135.59</v>
      </c>
      <c r="Y663" s="65" t="s">
        <v>47</v>
      </c>
      <c r="Z663" s="65" t="s">
        <v>48</v>
      </c>
      <c r="AA663" s="65" t="s">
        <v>49</v>
      </c>
      <c r="AB663">
        <v>987407712</v>
      </c>
      <c r="AC663" s="65" t="s">
        <v>141</v>
      </c>
      <c r="AD663">
        <v>30</v>
      </c>
    </row>
    <row r="664" spans="1:30" x14ac:dyDescent="0.3">
      <c r="A664" s="1">
        <v>46282</v>
      </c>
      <c r="B664" s="65" t="s">
        <v>4006</v>
      </c>
      <c r="C664" s="65" t="s">
        <v>2790</v>
      </c>
      <c r="D664" s="65" t="s">
        <v>29</v>
      </c>
      <c r="E664" s="65" t="s">
        <v>2791</v>
      </c>
      <c r="F664" s="65" t="s">
        <v>31</v>
      </c>
      <c r="G664" s="65" t="s">
        <v>2792</v>
      </c>
      <c r="H664" s="65" t="s">
        <v>2793</v>
      </c>
      <c r="I664" s="65" t="s">
        <v>2794</v>
      </c>
      <c r="J664" s="65" t="s">
        <v>715</v>
      </c>
      <c r="K664" s="65" t="s">
        <v>716</v>
      </c>
      <c r="L664" s="65" t="s">
        <v>37</v>
      </c>
      <c r="M664" s="65" t="s">
        <v>2796</v>
      </c>
      <c r="N664" s="65" t="s">
        <v>2797</v>
      </c>
      <c r="O664" s="65" t="s">
        <v>2793</v>
      </c>
      <c r="P664" s="65" t="s">
        <v>2798</v>
      </c>
      <c r="Q664" s="65" t="s">
        <v>130</v>
      </c>
      <c r="R664">
        <v>1</v>
      </c>
      <c r="S664" s="65" t="s">
        <v>42</v>
      </c>
      <c r="T664" s="65" t="s">
        <v>44</v>
      </c>
      <c r="U664" s="65" t="s">
        <v>44</v>
      </c>
      <c r="V664" s="65" t="s">
        <v>45</v>
      </c>
      <c r="W664" s="65" t="s">
        <v>46</v>
      </c>
      <c r="X664">
        <v>152.54</v>
      </c>
      <c r="Y664" s="65" t="s">
        <v>47</v>
      </c>
      <c r="Z664" s="65" t="s">
        <v>48</v>
      </c>
      <c r="AA664" s="65" t="s">
        <v>49</v>
      </c>
      <c r="AB664">
        <v>955356636</v>
      </c>
      <c r="AC664" s="65" t="s">
        <v>720</v>
      </c>
      <c r="AD664">
        <v>30</v>
      </c>
    </row>
    <row r="665" spans="1:30" x14ac:dyDescent="0.3">
      <c r="A665" s="1">
        <v>46282</v>
      </c>
      <c r="B665" s="65" t="s">
        <v>4006</v>
      </c>
      <c r="C665" s="65" t="s">
        <v>2799</v>
      </c>
      <c r="D665" s="65" t="s">
        <v>399</v>
      </c>
      <c r="E665" s="65" t="s">
        <v>2791</v>
      </c>
      <c r="F665" s="65" t="s">
        <v>400</v>
      </c>
      <c r="G665" s="65" t="s">
        <v>2800</v>
      </c>
      <c r="H665" s="65" t="s">
        <v>2793</v>
      </c>
      <c r="I665" s="65" t="s">
        <v>2794</v>
      </c>
      <c r="J665" s="65" t="s">
        <v>715</v>
      </c>
      <c r="K665" s="65" t="s">
        <v>716</v>
      </c>
      <c r="L665" s="65" t="s">
        <v>400</v>
      </c>
      <c r="M665" s="65" t="s">
        <v>2796</v>
      </c>
      <c r="N665" s="65" t="s">
        <v>2797</v>
      </c>
      <c r="O665" s="65" t="s">
        <v>2793</v>
      </c>
      <c r="P665" s="65" t="s">
        <v>2798</v>
      </c>
      <c r="Q665" s="65" t="s">
        <v>130</v>
      </c>
      <c r="R665">
        <v>1</v>
      </c>
      <c r="S665" s="65" t="s">
        <v>42</v>
      </c>
      <c r="T665" s="65" t="s">
        <v>44</v>
      </c>
      <c r="U665" s="65" t="s">
        <v>44</v>
      </c>
      <c r="V665" s="65" t="s">
        <v>45</v>
      </c>
      <c r="W665" s="65" t="s">
        <v>46</v>
      </c>
      <c r="X665">
        <v>-152.54</v>
      </c>
      <c r="Y665" s="65" t="s">
        <v>47</v>
      </c>
      <c r="Z665" s="65" t="s">
        <v>48</v>
      </c>
      <c r="AA665" s="65" t="s">
        <v>49</v>
      </c>
      <c r="AB665">
        <v>955356636</v>
      </c>
      <c r="AC665" s="65" t="s">
        <v>720</v>
      </c>
      <c r="AD665">
        <v>30</v>
      </c>
    </row>
    <row r="666" spans="1:30" x14ac:dyDescent="0.3">
      <c r="A666" s="1">
        <v>46282</v>
      </c>
      <c r="B666" s="65" t="s">
        <v>4006</v>
      </c>
      <c r="C666" s="65" t="s">
        <v>2801</v>
      </c>
      <c r="D666" s="65" t="s">
        <v>29</v>
      </c>
      <c r="E666" s="65" t="s">
        <v>2802</v>
      </c>
      <c r="F666" s="65" t="s">
        <v>31</v>
      </c>
      <c r="G666" s="65" t="s">
        <v>2803</v>
      </c>
      <c r="H666" s="65" t="s">
        <v>2804</v>
      </c>
      <c r="I666" s="65" t="s">
        <v>2805</v>
      </c>
      <c r="J666" s="65" t="s">
        <v>4282</v>
      </c>
      <c r="K666" s="65"/>
      <c r="L666" s="65" t="s">
        <v>37</v>
      </c>
      <c r="M666" s="65" t="s">
        <v>2806</v>
      </c>
      <c r="N666" s="65" t="s">
        <v>2807</v>
      </c>
      <c r="O666" s="65" t="s">
        <v>2804</v>
      </c>
      <c r="P666" s="65" t="s">
        <v>2808</v>
      </c>
      <c r="Q666" s="65" t="s">
        <v>1565</v>
      </c>
      <c r="R666">
        <v>1</v>
      </c>
      <c r="S666" s="65" t="s">
        <v>42</v>
      </c>
      <c r="T666" s="65" t="s">
        <v>44</v>
      </c>
      <c r="U666" s="65" t="s">
        <v>44</v>
      </c>
      <c r="V666" s="65" t="s">
        <v>45</v>
      </c>
      <c r="W666" s="65" t="s">
        <v>46</v>
      </c>
      <c r="X666">
        <v>152.54</v>
      </c>
      <c r="Y666" s="65" t="s">
        <v>61</v>
      </c>
      <c r="Z666" s="65" t="s">
        <v>48</v>
      </c>
      <c r="AA666" s="65" t="s">
        <v>49</v>
      </c>
      <c r="AC666" s="65"/>
    </row>
    <row r="667" spans="1:30" x14ac:dyDescent="0.3">
      <c r="A667" s="1">
        <v>46282</v>
      </c>
      <c r="B667" s="65" t="s">
        <v>4006</v>
      </c>
      <c r="C667" s="65" t="s">
        <v>2809</v>
      </c>
      <c r="D667" s="65" t="s">
        <v>29</v>
      </c>
      <c r="E667" s="65" t="s">
        <v>2810</v>
      </c>
      <c r="F667" s="65" t="s">
        <v>31</v>
      </c>
      <c r="G667" s="65" t="s">
        <v>2811</v>
      </c>
      <c r="H667" s="65" t="s">
        <v>2812</v>
      </c>
      <c r="I667" s="65" t="s">
        <v>2813</v>
      </c>
      <c r="J667" s="65" t="s">
        <v>1153</v>
      </c>
      <c r="K667" s="65" t="s">
        <v>1154</v>
      </c>
      <c r="L667" s="65" t="s">
        <v>37</v>
      </c>
      <c r="M667" s="65" t="s">
        <v>2814</v>
      </c>
      <c r="N667" s="65" t="s">
        <v>2815</v>
      </c>
      <c r="O667" s="65" t="s">
        <v>2812</v>
      </c>
      <c r="P667" s="65" t="s">
        <v>2816</v>
      </c>
      <c r="Q667" s="65" t="s">
        <v>202</v>
      </c>
      <c r="R667">
        <v>1</v>
      </c>
      <c r="S667" s="65" t="s">
        <v>42</v>
      </c>
      <c r="T667" s="65" t="s">
        <v>44</v>
      </c>
      <c r="U667" s="65" t="s">
        <v>44</v>
      </c>
      <c r="V667" s="65" t="s">
        <v>45</v>
      </c>
      <c r="W667" s="65" t="s">
        <v>60</v>
      </c>
      <c r="X667">
        <v>135.59</v>
      </c>
      <c r="Y667" s="65" t="s">
        <v>47</v>
      </c>
      <c r="Z667" s="65" t="s">
        <v>48</v>
      </c>
      <c r="AA667" s="65" t="s">
        <v>49</v>
      </c>
      <c r="AB667">
        <v>995868651</v>
      </c>
      <c r="AC667" s="65" t="s">
        <v>1158</v>
      </c>
      <c r="AD667">
        <v>30</v>
      </c>
    </row>
    <row r="668" spans="1:30" x14ac:dyDescent="0.3">
      <c r="A668" s="1">
        <v>46282</v>
      </c>
      <c r="B668" s="65" t="s">
        <v>4006</v>
      </c>
      <c r="C668" s="65" t="s">
        <v>2817</v>
      </c>
      <c r="D668" s="65" t="s">
        <v>29</v>
      </c>
      <c r="E668" s="65" t="s">
        <v>2818</v>
      </c>
      <c r="F668" s="65" t="s">
        <v>31</v>
      </c>
      <c r="G668" s="65" t="s">
        <v>2819</v>
      </c>
      <c r="H668" s="65" t="s">
        <v>2820</v>
      </c>
      <c r="I668" s="65" t="s">
        <v>2821</v>
      </c>
      <c r="J668" s="65" t="s">
        <v>477</v>
      </c>
      <c r="K668" s="65" t="s">
        <v>209</v>
      </c>
      <c r="L668" s="65" t="s">
        <v>37</v>
      </c>
      <c r="M668" s="65" t="s">
        <v>2822</v>
      </c>
      <c r="N668" s="65" t="s">
        <v>2823</v>
      </c>
      <c r="O668" s="65" t="s">
        <v>2820</v>
      </c>
      <c r="P668" s="65" t="s">
        <v>2824</v>
      </c>
      <c r="Q668" s="65" t="s">
        <v>101</v>
      </c>
      <c r="R668">
        <v>1</v>
      </c>
      <c r="S668" s="65" t="s">
        <v>70</v>
      </c>
      <c r="T668" s="65" t="s">
        <v>43</v>
      </c>
      <c r="U668" s="65" t="s">
        <v>44</v>
      </c>
      <c r="V668" s="65" t="s">
        <v>71</v>
      </c>
      <c r="W668" s="65" t="s">
        <v>72</v>
      </c>
      <c r="X668">
        <v>186.44</v>
      </c>
      <c r="Y668" s="65" t="s">
        <v>47</v>
      </c>
      <c r="Z668" s="65" t="s">
        <v>48</v>
      </c>
      <c r="AA668" s="65" t="s">
        <v>73</v>
      </c>
      <c r="AB668">
        <v>982536223</v>
      </c>
      <c r="AC668" s="65" t="s">
        <v>482</v>
      </c>
      <c r="AD668">
        <v>50</v>
      </c>
    </row>
    <row r="669" spans="1:30" x14ac:dyDescent="0.3">
      <c r="A669" s="1">
        <v>46282</v>
      </c>
      <c r="B669" s="65" t="s">
        <v>4006</v>
      </c>
      <c r="C669" s="65" t="s">
        <v>2825</v>
      </c>
      <c r="D669" s="65" t="s">
        <v>268</v>
      </c>
      <c r="E669" s="65" t="s">
        <v>2826</v>
      </c>
      <c r="F669" s="65" t="s">
        <v>31</v>
      </c>
      <c r="G669" s="65" t="s">
        <v>2827</v>
      </c>
      <c r="H669" s="65" t="s">
        <v>2828</v>
      </c>
      <c r="I669" s="65" t="s">
        <v>2829</v>
      </c>
      <c r="J669" s="65" t="s">
        <v>3030</v>
      </c>
      <c r="K669" s="65" t="s">
        <v>775</v>
      </c>
      <c r="L669" s="65" t="s">
        <v>37</v>
      </c>
      <c r="M669" s="65" t="s">
        <v>2830</v>
      </c>
      <c r="N669" s="65" t="s">
        <v>2831</v>
      </c>
      <c r="O669" s="65" t="s">
        <v>2832</v>
      </c>
      <c r="P669" s="65" t="s">
        <v>2833</v>
      </c>
      <c r="Q669" s="65" t="s">
        <v>41</v>
      </c>
      <c r="R669">
        <v>1</v>
      </c>
      <c r="S669" s="65" t="s">
        <v>42</v>
      </c>
      <c r="T669" s="65" t="s">
        <v>44</v>
      </c>
      <c r="U669" s="65" t="s">
        <v>44</v>
      </c>
      <c r="V669" s="65" t="s">
        <v>45</v>
      </c>
      <c r="W669" s="65" t="s">
        <v>60</v>
      </c>
      <c r="X669">
        <v>186.44</v>
      </c>
      <c r="Y669" s="65" t="s">
        <v>47</v>
      </c>
      <c r="Z669" s="65" t="s">
        <v>48</v>
      </c>
      <c r="AA669" s="65" t="s">
        <v>49</v>
      </c>
      <c r="AB669">
        <v>937242809</v>
      </c>
      <c r="AC669" s="65" t="s">
        <v>3031</v>
      </c>
      <c r="AD669">
        <v>50</v>
      </c>
    </row>
    <row r="670" spans="1:30" x14ac:dyDescent="0.3">
      <c r="A670" s="1">
        <v>46283</v>
      </c>
      <c r="B670" s="65" t="s">
        <v>4006</v>
      </c>
      <c r="C670" s="65" t="s">
        <v>4283</v>
      </c>
      <c r="D670" s="65" t="s">
        <v>29</v>
      </c>
      <c r="E670" s="65" t="s">
        <v>4284</v>
      </c>
      <c r="F670" s="65" t="s">
        <v>31</v>
      </c>
      <c r="G670" s="65" t="s">
        <v>4285</v>
      </c>
      <c r="H670" s="65" t="s">
        <v>4286</v>
      </c>
      <c r="I670" s="65" t="s">
        <v>4287</v>
      </c>
      <c r="J670" s="65" t="s">
        <v>136</v>
      </c>
      <c r="K670" s="65" t="s">
        <v>137</v>
      </c>
      <c r="L670" s="65" t="s">
        <v>37</v>
      </c>
      <c r="M670" s="65" t="s">
        <v>4288</v>
      </c>
      <c r="N670" s="65" t="s">
        <v>4289</v>
      </c>
      <c r="O670" s="65" t="s">
        <v>4286</v>
      </c>
      <c r="P670" s="65" t="s">
        <v>4290</v>
      </c>
      <c r="Q670" s="65" t="s">
        <v>130</v>
      </c>
      <c r="R670">
        <v>1</v>
      </c>
      <c r="S670" s="65" t="s">
        <v>42</v>
      </c>
      <c r="T670" s="65" t="s">
        <v>44</v>
      </c>
      <c r="U670" s="65" t="s">
        <v>44</v>
      </c>
      <c r="V670" s="65" t="s">
        <v>71</v>
      </c>
      <c r="W670" s="65" t="s">
        <v>72</v>
      </c>
      <c r="X670">
        <v>152.54</v>
      </c>
      <c r="Y670" s="65" t="s">
        <v>47</v>
      </c>
      <c r="Z670" s="65" t="s">
        <v>48</v>
      </c>
      <c r="AA670" s="65" t="s">
        <v>73</v>
      </c>
      <c r="AB670">
        <v>987407712</v>
      </c>
      <c r="AC670" s="65" t="s">
        <v>141</v>
      </c>
      <c r="AD670">
        <v>30</v>
      </c>
    </row>
    <row r="671" spans="1:30" x14ac:dyDescent="0.3">
      <c r="A671" s="1">
        <v>46283</v>
      </c>
      <c r="B671" s="65" t="s">
        <v>4006</v>
      </c>
      <c r="C671" s="65" t="s">
        <v>4291</v>
      </c>
      <c r="D671" s="65" t="s">
        <v>29</v>
      </c>
      <c r="E671" s="65" t="s">
        <v>4292</v>
      </c>
      <c r="F671" s="65" t="s">
        <v>31</v>
      </c>
      <c r="G671" s="65" t="s">
        <v>4293</v>
      </c>
      <c r="H671" s="65" t="s">
        <v>4294</v>
      </c>
      <c r="I671" s="65" t="s">
        <v>4295</v>
      </c>
      <c r="J671" s="65" t="s">
        <v>1440</v>
      </c>
      <c r="K671" s="65" t="s">
        <v>1098</v>
      </c>
      <c r="L671" s="65" t="s">
        <v>37</v>
      </c>
      <c r="M671" s="65" t="s">
        <v>4296</v>
      </c>
      <c r="N671" s="65" t="s">
        <v>4297</v>
      </c>
      <c r="O671" s="65" t="s">
        <v>4294</v>
      </c>
      <c r="P671" s="65" t="s">
        <v>4298</v>
      </c>
      <c r="Q671" s="65" t="s">
        <v>130</v>
      </c>
      <c r="R671">
        <v>1</v>
      </c>
      <c r="S671" s="65" t="s">
        <v>42</v>
      </c>
      <c r="T671" s="65" t="s">
        <v>44</v>
      </c>
      <c r="U671" s="65" t="s">
        <v>44</v>
      </c>
      <c r="V671" s="65" t="s">
        <v>71</v>
      </c>
      <c r="W671" s="65" t="s">
        <v>72</v>
      </c>
      <c r="X671">
        <v>152.54</v>
      </c>
      <c r="Y671" s="65" t="s">
        <v>47</v>
      </c>
      <c r="Z671" s="65" t="s">
        <v>48</v>
      </c>
      <c r="AA671" s="65" t="s">
        <v>73</v>
      </c>
      <c r="AB671">
        <v>999418834</v>
      </c>
      <c r="AC671" s="65" t="s">
        <v>1442</v>
      </c>
      <c r="AD671">
        <v>30</v>
      </c>
    </row>
    <row r="672" spans="1:30" x14ac:dyDescent="0.3">
      <c r="A672" s="1">
        <v>46284</v>
      </c>
      <c r="B672" s="65" t="s">
        <v>4006</v>
      </c>
      <c r="C672" s="65" t="s">
        <v>2834</v>
      </c>
      <c r="D672" s="65" t="s">
        <v>29</v>
      </c>
      <c r="E672" s="65" t="s">
        <v>2835</v>
      </c>
      <c r="F672" s="65" t="s">
        <v>31</v>
      </c>
      <c r="G672" s="65" t="s">
        <v>2836</v>
      </c>
      <c r="H672" s="65" t="s">
        <v>2837</v>
      </c>
      <c r="I672" s="65" t="s">
        <v>2838</v>
      </c>
      <c r="J672" s="65" t="s">
        <v>1108</v>
      </c>
      <c r="K672" s="65" t="s">
        <v>209</v>
      </c>
      <c r="L672" s="65" t="s">
        <v>37</v>
      </c>
      <c r="M672" s="65" t="s">
        <v>2839</v>
      </c>
      <c r="N672" s="65" t="s">
        <v>2840</v>
      </c>
      <c r="O672" s="65" t="s">
        <v>2837</v>
      </c>
      <c r="P672" s="65" t="s">
        <v>2841</v>
      </c>
      <c r="Q672" s="65" t="s">
        <v>130</v>
      </c>
      <c r="R672">
        <v>1</v>
      </c>
      <c r="S672" s="65" t="s">
        <v>70</v>
      </c>
      <c r="T672" s="65" t="s">
        <v>43</v>
      </c>
      <c r="U672" s="65" t="s">
        <v>44</v>
      </c>
      <c r="V672" s="65" t="s">
        <v>71</v>
      </c>
      <c r="W672" s="65" t="s">
        <v>72</v>
      </c>
      <c r="X672">
        <v>152.54</v>
      </c>
      <c r="Y672" s="65" t="s">
        <v>47</v>
      </c>
      <c r="Z672" s="65" t="s">
        <v>48</v>
      </c>
      <c r="AA672" s="65" t="s">
        <v>73</v>
      </c>
      <c r="AB672">
        <v>970582106</v>
      </c>
      <c r="AC672" s="65" t="s">
        <v>1113</v>
      </c>
      <c r="AD672">
        <v>30</v>
      </c>
    </row>
    <row r="673" spans="1:30" x14ac:dyDescent="0.3">
      <c r="A673" s="1">
        <v>46284</v>
      </c>
      <c r="B673" s="65" t="s">
        <v>4006</v>
      </c>
      <c r="C673" s="65" t="s">
        <v>2842</v>
      </c>
      <c r="D673" s="65" t="s">
        <v>29</v>
      </c>
      <c r="E673" s="65" t="s">
        <v>2843</v>
      </c>
      <c r="F673" s="65" t="s">
        <v>31</v>
      </c>
      <c r="G673" s="65" t="s">
        <v>2844</v>
      </c>
      <c r="H673" s="65" t="s">
        <v>2845</v>
      </c>
      <c r="I673" s="65" t="s">
        <v>2846</v>
      </c>
      <c r="J673" s="65" t="s">
        <v>774</v>
      </c>
      <c r="K673" s="65" t="s">
        <v>775</v>
      </c>
      <c r="L673" s="65" t="s">
        <v>37</v>
      </c>
      <c r="M673" s="65" t="s">
        <v>2847</v>
      </c>
      <c r="N673" s="65" t="s">
        <v>2848</v>
      </c>
      <c r="O673" s="65" t="s">
        <v>2845</v>
      </c>
      <c r="P673" s="65" t="s">
        <v>2849</v>
      </c>
      <c r="Q673" s="65" t="s">
        <v>90</v>
      </c>
      <c r="R673">
        <v>1</v>
      </c>
      <c r="S673" s="65" t="s">
        <v>42</v>
      </c>
      <c r="T673" s="65" t="s">
        <v>44</v>
      </c>
      <c r="U673" s="65" t="s">
        <v>44</v>
      </c>
      <c r="V673" s="65" t="s">
        <v>45</v>
      </c>
      <c r="W673" s="65" t="s">
        <v>60</v>
      </c>
      <c r="X673">
        <v>135.59</v>
      </c>
      <c r="Y673" s="65" t="s">
        <v>47</v>
      </c>
      <c r="Z673" s="65" t="s">
        <v>48</v>
      </c>
      <c r="AA673" s="65" t="s">
        <v>49</v>
      </c>
      <c r="AC673" s="65"/>
      <c r="AD673">
        <v>30</v>
      </c>
    </row>
    <row r="674" spans="1:30" x14ac:dyDescent="0.3">
      <c r="A674" s="1">
        <v>46284</v>
      </c>
      <c r="B674" s="65" t="s">
        <v>4006</v>
      </c>
      <c r="C674" s="65" t="s">
        <v>2850</v>
      </c>
      <c r="D674" s="65" t="s">
        <v>29</v>
      </c>
      <c r="E674" s="65" t="s">
        <v>2851</v>
      </c>
      <c r="F674" s="65" t="s">
        <v>31</v>
      </c>
      <c r="G674" s="65" t="s">
        <v>2852</v>
      </c>
      <c r="H674" s="65" t="s">
        <v>2853</v>
      </c>
      <c r="I674" s="65" t="s">
        <v>2854</v>
      </c>
      <c r="J674" s="65" t="s">
        <v>136</v>
      </c>
      <c r="K674" s="65" t="s">
        <v>137</v>
      </c>
      <c r="L674" s="65" t="s">
        <v>37</v>
      </c>
      <c r="M674" s="65" t="s">
        <v>2855</v>
      </c>
      <c r="N674" s="65" t="s">
        <v>2856</v>
      </c>
      <c r="O674" s="65" t="s">
        <v>2853</v>
      </c>
      <c r="P674" s="65" t="s">
        <v>2857</v>
      </c>
      <c r="Q674" s="65" t="s">
        <v>201</v>
      </c>
      <c r="R674">
        <v>1</v>
      </c>
      <c r="S674" s="65" t="s">
        <v>42</v>
      </c>
      <c r="T674" s="65" t="s">
        <v>44</v>
      </c>
      <c r="U674" s="65" t="s">
        <v>44</v>
      </c>
      <c r="V674" s="65" t="s">
        <v>45</v>
      </c>
      <c r="W674" s="65" t="s">
        <v>60</v>
      </c>
      <c r="X674">
        <v>152.54</v>
      </c>
      <c r="Y674" s="65" t="s">
        <v>47</v>
      </c>
      <c r="Z674" s="65" t="s">
        <v>48</v>
      </c>
      <c r="AA674" s="65" t="s">
        <v>49</v>
      </c>
      <c r="AB674">
        <v>987407712</v>
      </c>
      <c r="AC674" s="65" t="s">
        <v>141</v>
      </c>
      <c r="AD674">
        <v>30</v>
      </c>
    </row>
    <row r="675" spans="1:30" x14ac:dyDescent="0.3">
      <c r="A675" s="1">
        <v>46284</v>
      </c>
      <c r="B675" s="65" t="s">
        <v>4006</v>
      </c>
      <c r="C675" s="65" t="s">
        <v>4299</v>
      </c>
      <c r="D675" s="65" t="s">
        <v>268</v>
      </c>
      <c r="E675" s="65" t="s">
        <v>4300</v>
      </c>
      <c r="F675" s="65" t="s">
        <v>31</v>
      </c>
      <c r="G675" s="65" t="s">
        <v>4301</v>
      </c>
      <c r="H675" s="65" t="s">
        <v>4302</v>
      </c>
      <c r="I675" s="65" t="s">
        <v>4303</v>
      </c>
      <c r="J675" s="65" t="s">
        <v>273</v>
      </c>
      <c r="K675" s="65" t="s">
        <v>274</v>
      </c>
      <c r="L675" s="65" t="s">
        <v>37</v>
      </c>
      <c r="M675" s="65" t="s">
        <v>4304</v>
      </c>
      <c r="N675" s="65" t="s">
        <v>4305</v>
      </c>
      <c r="O675" s="65" t="s">
        <v>4306</v>
      </c>
      <c r="P675" s="65" t="s">
        <v>4307</v>
      </c>
      <c r="Q675" s="65" t="s">
        <v>159</v>
      </c>
      <c r="R675">
        <v>1</v>
      </c>
      <c r="S675" s="65" t="s">
        <v>42</v>
      </c>
      <c r="T675" s="65" t="s">
        <v>44</v>
      </c>
      <c r="U675" s="65" t="s">
        <v>44</v>
      </c>
      <c r="V675" s="65" t="s">
        <v>71</v>
      </c>
      <c r="W675" s="65" t="s">
        <v>184</v>
      </c>
      <c r="X675">
        <v>135.59</v>
      </c>
      <c r="Y675" s="65" t="s">
        <v>47</v>
      </c>
      <c r="Z675" s="65" t="s">
        <v>48</v>
      </c>
      <c r="AA675" s="65" t="s">
        <v>73</v>
      </c>
      <c r="AB675">
        <v>950133748</v>
      </c>
      <c r="AC675" s="65" t="s">
        <v>279</v>
      </c>
      <c r="AD675">
        <v>30</v>
      </c>
    </row>
    <row r="676" spans="1:30" x14ac:dyDescent="0.3">
      <c r="A676" s="1">
        <v>46284</v>
      </c>
      <c r="B676" s="65" t="s">
        <v>4006</v>
      </c>
      <c r="C676" s="65" t="s">
        <v>4308</v>
      </c>
      <c r="D676" s="65" t="s">
        <v>29</v>
      </c>
      <c r="E676" s="65" t="s">
        <v>4309</v>
      </c>
      <c r="F676" s="65" t="s">
        <v>31</v>
      </c>
      <c r="G676" s="65" t="s">
        <v>4310</v>
      </c>
      <c r="H676" s="65" t="s">
        <v>4311</v>
      </c>
      <c r="I676" s="65" t="s">
        <v>4312</v>
      </c>
      <c r="J676" s="65"/>
      <c r="K676" s="65"/>
      <c r="L676" s="65" t="s">
        <v>37</v>
      </c>
      <c r="M676" s="65" t="s">
        <v>4313</v>
      </c>
      <c r="N676" s="65" t="s">
        <v>4314</v>
      </c>
      <c r="O676" s="65" t="s">
        <v>4311</v>
      </c>
      <c r="P676" s="65" t="s">
        <v>4315</v>
      </c>
      <c r="Q676" s="65" t="s">
        <v>90</v>
      </c>
      <c r="R676">
        <v>1</v>
      </c>
      <c r="S676" s="65" t="s">
        <v>42</v>
      </c>
      <c r="T676" s="65" t="s">
        <v>44</v>
      </c>
      <c r="U676" s="65" t="s">
        <v>44</v>
      </c>
      <c r="V676" s="65" t="s">
        <v>531</v>
      </c>
      <c r="W676" s="65" t="s">
        <v>1965</v>
      </c>
      <c r="X676">
        <v>135.59</v>
      </c>
      <c r="Y676" s="65" t="s">
        <v>47</v>
      </c>
      <c r="Z676" s="65" t="s">
        <v>48</v>
      </c>
      <c r="AA676" s="65" t="s">
        <v>534</v>
      </c>
      <c r="AC676" s="65"/>
      <c r="AD676">
        <v>30</v>
      </c>
    </row>
    <row r="677" spans="1:30" x14ac:dyDescent="0.3">
      <c r="A677" s="1">
        <v>46284</v>
      </c>
      <c r="B677" s="65" t="s">
        <v>4006</v>
      </c>
      <c r="C677" s="65" t="s">
        <v>4316</v>
      </c>
      <c r="D677" s="65" t="s">
        <v>29</v>
      </c>
      <c r="E677" s="65" t="s">
        <v>4317</v>
      </c>
      <c r="F677" s="65" t="s">
        <v>31</v>
      </c>
      <c r="G677" s="65" t="s">
        <v>4318</v>
      </c>
      <c r="H677" s="65" t="s">
        <v>4319</v>
      </c>
      <c r="I677" s="65" t="s">
        <v>4320</v>
      </c>
      <c r="J677" s="65" t="s">
        <v>774</v>
      </c>
      <c r="K677" s="65" t="s">
        <v>775</v>
      </c>
      <c r="L677" s="65" t="s">
        <v>37</v>
      </c>
      <c r="M677" s="65" t="s">
        <v>4321</v>
      </c>
      <c r="N677" s="65" t="s">
        <v>4322</v>
      </c>
      <c r="O677" s="65" t="s">
        <v>4319</v>
      </c>
      <c r="P677" s="65" t="s">
        <v>4323</v>
      </c>
      <c r="Q677" s="65" t="s">
        <v>201</v>
      </c>
      <c r="R677">
        <v>1</v>
      </c>
      <c r="S677" s="65" t="s">
        <v>42</v>
      </c>
      <c r="T677" s="65" t="s">
        <v>44</v>
      </c>
      <c r="U677" s="65" t="s">
        <v>44</v>
      </c>
      <c r="V677" s="65" t="s">
        <v>45</v>
      </c>
      <c r="W677" s="65" t="s">
        <v>60</v>
      </c>
      <c r="X677">
        <v>152.54</v>
      </c>
      <c r="Y677" s="65" t="s">
        <v>47</v>
      </c>
      <c r="Z677" s="65" t="s">
        <v>48</v>
      </c>
      <c r="AA677" s="65" t="s">
        <v>49</v>
      </c>
      <c r="AC677" s="65"/>
      <c r="AD677">
        <v>30</v>
      </c>
    </row>
    <row r="678" spans="1:30" x14ac:dyDescent="0.3">
      <c r="A678" s="1">
        <v>46284</v>
      </c>
      <c r="B678" s="65" t="s">
        <v>4006</v>
      </c>
      <c r="C678" s="65" t="s">
        <v>4324</v>
      </c>
      <c r="D678" s="65" t="s">
        <v>29</v>
      </c>
      <c r="E678" s="65" t="s">
        <v>4325</v>
      </c>
      <c r="F678" s="65" t="s">
        <v>31</v>
      </c>
      <c r="G678" s="65" t="s">
        <v>4326</v>
      </c>
      <c r="H678" s="65" t="s">
        <v>4327</v>
      </c>
      <c r="I678" s="65" t="s">
        <v>4328</v>
      </c>
      <c r="J678" s="65"/>
      <c r="K678" s="65"/>
      <c r="L678" s="65" t="s">
        <v>37</v>
      </c>
      <c r="M678" s="65" t="s">
        <v>4329</v>
      </c>
      <c r="N678" s="65" t="s">
        <v>4330</v>
      </c>
      <c r="O678" s="65" t="s">
        <v>4327</v>
      </c>
      <c r="P678" s="65" t="s">
        <v>4331</v>
      </c>
      <c r="Q678" s="65" t="s">
        <v>202</v>
      </c>
      <c r="R678">
        <v>1</v>
      </c>
      <c r="S678" s="65" t="s">
        <v>42</v>
      </c>
      <c r="T678" s="65" t="s">
        <v>44</v>
      </c>
      <c r="U678" s="65" t="s">
        <v>44</v>
      </c>
      <c r="V678" s="65" t="s">
        <v>45</v>
      </c>
      <c r="W678" s="65" t="s">
        <v>60</v>
      </c>
      <c r="X678">
        <v>135.59</v>
      </c>
      <c r="Y678" s="65" t="s">
        <v>47</v>
      </c>
      <c r="Z678" s="65" t="s">
        <v>48</v>
      </c>
      <c r="AA678" s="65" t="s">
        <v>49</v>
      </c>
      <c r="AC678" s="65"/>
      <c r="AD678">
        <v>30</v>
      </c>
    </row>
    <row r="679" spans="1:30" x14ac:dyDescent="0.3">
      <c r="A679" s="1">
        <v>46284</v>
      </c>
      <c r="B679" s="65" t="s">
        <v>4006</v>
      </c>
      <c r="C679" s="65" t="s">
        <v>4324</v>
      </c>
      <c r="D679" s="65" t="s">
        <v>29</v>
      </c>
      <c r="E679" s="65" t="s">
        <v>4325</v>
      </c>
      <c r="F679" s="65" t="s">
        <v>31</v>
      </c>
      <c r="G679" s="65" t="s">
        <v>4326</v>
      </c>
      <c r="H679" s="65" t="s">
        <v>4327</v>
      </c>
      <c r="I679" s="65" t="s">
        <v>4328</v>
      </c>
      <c r="J679" s="65"/>
      <c r="K679" s="65"/>
      <c r="L679" s="65" t="s">
        <v>37</v>
      </c>
      <c r="M679" s="65" t="s">
        <v>4329</v>
      </c>
      <c r="N679" s="65" t="s">
        <v>4330</v>
      </c>
      <c r="O679" s="65" t="s">
        <v>4327</v>
      </c>
      <c r="P679" s="65" t="s">
        <v>4331</v>
      </c>
      <c r="Q679" s="65" t="s">
        <v>201</v>
      </c>
      <c r="R679">
        <v>1</v>
      </c>
      <c r="S679" s="65" t="s">
        <v>42</v>
      </c>
      <c r="T679" s="65" t="s">
        <v>44</v>
      </c>
      <c r="U679" s="65" t="s">
        <v>44</v>
      </c>
      <c r="V679" s="65" t="s">
        <v>45</v>
      </c>
      <c r="W679" s="65" t="s">
        <v>60</v>
      </c>
      <c r="X679">
        <v>152.54</v>
      </c>
      <c r="Y679" s="65" t="s">
        <v>47</v>
      </c>
      <c r="Z679" s="65" t="s">
        <v>48</v>
      </c>
      <c r="AA679" s="65" t="s">
        <v>49</v>
      </c>
      <c r="AC679" s="65"/>
      <c r="AD679">
        <v>30</v>
      </c>
    </row>
    <row r="680" spans="1:30" x14ac:dyDescent="0.3">
      <c r="A680" s="1">
        <v>46284</v>
      </c>
      <c r="B680" s="65" t="s">
        <v>4006</v>
      </c>
      <c r="C680" s="65" t="s">
        <v>4332</v>
      </c>
      <c r="D680" s="65" t="s">
        <v>29</v>
      </c>
      <c r="E680" s="65" t="s">
        <v>4333</v>
      </c>
      <c r="F680" s="65" t="s">
        <v>31</v>
      </c>
      <c r="G680" s="65" t="s">
        <v>4334</v>
      </c>
      <c r="H680" s="65" t="s">
        <v>4335</v>
      </c>
      <c r="I680" s="65" t="s">
        <v>4336</v>
      </c>
      <c r="J680" s="65" t="s">
        <v>715</v>
      </c>
      <c r="K680" s="65" t="s">
        <v>716</v>
      </c>
      <c r="L680" s="65" t="s">
        <v>37</v>
      </c>
      <c r="M680" s="65" t="s">
        <v>4337</v>
      </c>
      <c r="N680" s="65" t="s">
        <v>4338</v>
      </c>
      <c r="O680" s="65" t="s">
        <v>4335</v>
      </c>
      <c r="P680" s="65" t="s">
        <v>4339</v>
      </c>
      <c r="Q680" s="65" t="s">
        <v>90</v>
      </c>
      <c r="R680">
        <v>1</v>
      </c>
      <c r="S680" s="65" t="s">
        <v>42</v>
      </c>
      <c r="T680" s="65" t="s">
        <v>44</v>
      </c>
      <c r="U680" s="65" t="s">
        <v>44</v>
      </c>
      <c r="V680" s="65" t="s">
        <v>531</v>
      </c>
      <c r="W680" s="65" t="s">
        <v>1965</v>
      </c>
      <c r="X680">
        <v>135.59</v>
      </c>
      <c r="Y680" s="65" t="s">
        <v>47</v>
      </c>
      <c r="Z680" s="65" t="s">
        <v>48</v>
      </c>
      <c r="AA680" s="65" t="s">
        <v>534</v>
      </c>
      <c r="AB680">
        <v>955356636</v>
      </c>
      <c r="AC680" s="65" t="s">
        <v>720</v>
      </c>
      <c r="AD680">
        <v>30</v>
      </c>
    </row>
    <row r="681" spans="1:30" x14ac:dyDescent="0.3">
      <c r="A681" s="1">
        <v>46286</v>
      </c>
      <c r="B681" s="65" t="s">
        <v>4006</v>
      </c>
      <c r="C681" s="65" t="s">
        <v>2858</v>
      </c>
      <c r="D681" s="65" t="s">
        <v>29</v>
      </c>
      <c r="E681" s="65" t="s">
        <v>2859</v>
      </c>
      <c r="F681" s="65" t="s">
        <v>31</v>
      </c>
      <c r="G681" s="65" t="s">
        <v>2860</v>
      </c>
      <c r="H681" s="65" t="s">
        <v>2861</v>
      </c>
      <c r="I681" s="65" t="s">
        <v>2862</v>
      </c>
      <c r="J681" s="65" t="s">
        <v>136</v>
      </c>
      <c r="K681" s="65" t="s">
        <v>137</v>
      </c>
      <c r="L681" s="65" t="s">
        <v>37</v>
      </c>
      <c r="M681" s="65" t="s">
        <v>2863</v>
      </c>
      <c r="N681" s="65" t="s">
        <v>2864</v>
      </c>
      <c r="O681" s="65" t="s">
        <v>2861</v>
      </c>
      <c r="P681" s="65" t="s">
        <v>2865</v>
      </c>
      <c r="Q681" s="65" t="s">
        <v>90</v>
      </c>
      <c r="R681">
        <v>1</v>
      </c>
      <c r="S681" s="65" t="s">
        <v>42</v>
      </c>
      <c r="T681" s="65" t="s">
        <v>44</v>
      </c>
      <c r="U681" s="65" t="s">
        <v>44</v>
      </c>
      <c r="V681" s="65" t="s">
        <v>45</v>
      </c>
      <c r="W681" s="65" t="s">
        <v>60</v>
      </c>
      <c r="X681">
        <v>135.59</v>
      </c>
      <c r="Y681" s="65" t="s">
        <v>47</v>
      </c>
      <c r="Z681" s="65" t="s">
        <v>48</v>
      </c>
      <c r="AA681" s="65" t="s">
        <v>49</v>
      </c>
      <c r="AB681">
        <v>987407712</v>
      </c>
      <c r="AC681" s="65" t="s">
        <v>141</v>
      </c>
      <c r="AD681">
        <v>30</v>
      </c>
    </row>
    <row r="682" spans="1:30" x14ac:dyDescent="0.3">
      <c r="A682" s="1">
        <v>46286</v>
      </c>
      <c r="B682" s="65" t="s">
        <v>4006</v>
      </c>
      <c r="C682" s="65" t="s">
        <v>2858</v>
      </c>
      <c r="D682" s="65" t="s">
        <v>29</v>
      </c>
      <c r="E682" s="65" t="s">
        <v>2859</v>
      </c>
      <c r="F682" s="65" t="s">
        <v>31</v>
      </c>
      <c r="G682" s="65" t="s">
        <v>2860</v>
      </c>
      <c r="H682" s="65" t="s">
        <v>2861</v>
      </c>
      <c r="I682" s="65" t="s">
        <v>2862</v>
      </c>
      <c r="J682" s="65" t="s">
        <v>136</v>
      </c>
      <c r="K682" s="65" t="s">
        <v>137</v>
      </c>
      <c r="L682" s="65" t="s">
        <v>37</v>
      </c>
      <c r="M682" s="65" t="s">
        <v>2863</v>
      </c>
      <c r="N682" s="65" t="s">
        <v>2864</v>
      </c>
      <c r="O682" s="65" t="s">
        <v>2861</v>
      </c>
      <c r="P682" s="65" t="s">
        <v>2865</v>
      </c>
      <c r="Q682" s="65" t="s">
        <v>202</v>
      </c>
      <c r="R682">
        <v>1</v>
      </c>
      <c r="S682" s="65" t="s">
        <v>42</v>
      </c>
      <c r="T682" s="65" t="s">
        <v>44</v>
      </c>
      <c r="U682" s="65" t="s">
        <v>44</v>
      </c>
      <c r="V682" s="65" t="s">
        <v>45</v>
      </c>
      <c r="W682" s="65" t="s">
        <v>60</v>
      </c>
      <c r="X682">
        <v>152.54</v>
      </c>
      <c r="Y682" s="65" t="s">
        <v>47</v>
      </c>
      <c r="Z682" s="65" t="s">
        <v>48</v>
      </c>
      <c r="AA682" s="65" t="s">
        <v>49</v>
      </c>
      <c r="AB682">
        <v>987407712</v>
      </c>
      <c r="AC682" s="65" t="s">
        <v>141</v>
      </c>
      <c r="AD682">
        <v>30</v>
      </c>
    </row>
    <row r="683" spans="1:30" x14ac:dyDescent="0.3">
      <c r="A683" s="1">
        <v>46286</v>
      </c>
      <c r="B683" s="65" t="s">
        <v>4006</v>
      </c>
      <c r="C683" s="65" t="s">
        <v>2866</v>
      </c>
      <c r="D683" s="65" t="s">
        <v>268</v>
      </c>
      <c r="E683" s="65" t="s">
        <v>2867</v>
      </c>
      <c r="F683" s="65" t="s">
        <v>31</v>
      </c>
      <c r="G683" s="65" t="s">
        <v>2868</v>
      </c>
      <c r="H683" s="65" t="s">
        <v>2869</v>
      </c>
      <c r="I683" s="65" t="s">
        <v>2870</v>
      </c>
      <c r="J683" s="65" t="s">
        <v>774</v>
      </c>
      <c r="K683" s="65" t="s">
        <v>775</v>
      </c>
      <c r="L683" s="65" t="s">
        <v>37</v>
      </c>
      <c r="M683" s="65" t="s">
        <v>2871</v>
      </c>
      <c r="N683" s="65" t="s">
        <v>2872</v>
      </c>
      <c r="O683" s="65" t="s">
        <v>2873</v>
      </c>
      <c r="P683" s="65" t="s">
        <v>2874</v>
      </c>
      <c r="Q683" s="65" t="s">
        <v>158</v>
      </c>
      <c r="R683">
        <v>1</v>
      </c>
      <c r="S683" s="65" t="s">
        <v>70</v>
      </c>
      <c r="T683" s="65" t="s">
        <v>43</v>
      </c>
      <c r="U683" s="65" t="s">
        <v>44</v>
      </c>
      <c r="V683" s="65" t="s">
        <v>71</v>
      </c>
      <c r="W683" s="65" t="s">
        <v>72</v>
      </c>
      <c r="X683">
        <v>152.54</v>
      </c>
      <c r="Y683" s="65" t="s">
        <v>47</v>
      </c>
      <c r="Z683" s="65" t="s">
        <v>48</v>
      </c>
      <c r="AA683" s="65" t="s">
        <v>73</v>
      </c>
      <c r="AC683" s="65"/>
      <c r="AD683">
        <v>30</v>
      </c>
    </row>
    <row r="684" spans="1:30" x14ac:dyDescent="0.3">
      <c r="A684" s="1">
        <v>46286</v>
      </c>
      <c r="B684" s="65" t="s">
        <v>4006</v>
      </c>
      <c r="C684" s="65" t="s">
        <v>2866</v>
      </c>
      <c r="D684" s="65" t="s">
        <v>268</v>
      </c>
      <c r="E684" s="65" t="s">
        <v>2867</v>
      </c>
      <c r="F684" s="65" t="s">
        <v>31</v>
      </c>
      <c r="G684" s="65" t="s">
        <v>2868</v>
      </c>
      <c r="H684" s="65" t="s">
        <v>2869</v>
      </c>
      <c r="I684" s="65" t="s">
        <v>2870</v>
      </c>
      <c r="J684" s="65" t="s">
        <v>774</v>
      </c>
      <c r="K684" s="65" t="s">
        <v>775</v>
      </c>
      <c r="L684" s="65" t="s">
        <v>37</v>
      </c>
      <c r="M684" s="65" t="s">
        <v>2871</v>
      </c>
      <c r="N684" s="65" t="s">
        <v>2872</v>
      </c>
      <c r="O684" s="65" t="s">
        <v>2873</v>
      </c>
      <c r="P684" s="65" t="s">
        <v>2874</v>
      </c>
      <c r="Q684" s="65" t="s">
        <v>2875</v>
      </c>
      <c r="R684">
        <v>1</v>
      </c>
      <c r="S684" s="65" t="s">
        <v>70</v>
      </c>
      <c r="T684" s="65" t="s">
        <v>43</v>
      </c>
      <c r="U684" s="65" t="s">
        <v>44</v>
      </c>
      <c r="V684" s="65" t="s">
        <v>71</v>
      </c>
      <c r="W684" s="65" t="s">
        <v>72</v>
      </c>
      <c r="X684">
        <v>186.44</v>
      </c>
      <c r="Y684" s="65" t="s">
        <v>47</v>
      </c>
      <c r="Z684" s="65" t="s">
        <v>48</v>
      </c>
      <c r="AA684" s="65" t="s">
        <v>73</v>
      </c>
      <c r="AC684" s="65"/>
      <c r="AD684">
        <v>50</v>
      </c>
    </row>
    <row r="685" spans="1:30" x14ac:dyDescent="0.3">
      <c r="A685" s="1">
        <v>46286</v>
      </c>
      <c r="B685" s="65" t="s">
        <v>4006</v>
      </c>
      <c r="C685" s="65" t="s">
        <v>2866</v>
      </c>
      <c r="D685" s="65" t="s">
        <v>268</v>
      </c>
      <c r="E685" s="65" t="s">
        <v>2867</v>
      </c>
      <c r="F685" s="65" t="s">
        <v>31</v>
      </c>
      <c r="G685" s="65" t="s">
        <v>2868</v>
      </c>
      <c r="H685" s="65" t="s">
        <v>2869</v>
      </c>
      <c r="I685" s="65" t="s">
        <v>2870</v>
      </c>
      <c r="J685" s="65" t="s">
        <v>774</v>
      </c>
      <c r="K685" s="65" t="s">
        <v>775</v>
      </c>
      <c r="L685" s="65" t="s">
        <v>37</v>
      </c>
      <c r="M685" s="65" t="s">
        <v>2871</v>
      </c>
      <c r="N685" s="65" t="s">
        <v>2872</v>
      </c>
      <c r="O685" s="65" t="s">
        <v>2873</v>
      </c>
      <c r="P685" s="65" t="s">
        <v>2874</v>
      </c>
      <c r="Q685" s="65" t="s">
        <v>101</v>
      </c>
      <c r="R685">
        <v>1</v>
      </c>
      <c r="S685" s="65" t="s">
        <v>70</v>
      </c>
      <c r="T685" s="65" t="s">
        <v>43</v>
      </c>
      <c r="U685" s="65" t="s">
        <v>44</v>
      </c>
      <c r="V685" s="65" t="s">
        <v>71</v>
      </c>
      <c r="W685" s="65" t="s">
        <v>72</v>
      </c>
      <c r="X685">
        <v>186.44</v>
      </c>
      <c r="Y685" s="65" t="s">
        <v>47</v>
      </c>
      <c r="Z685" s="65" t="s">
        <v>48</v>
      </c>
      <c r="AA685" s="65" t="s">
        <v>73</v>
      </c>
      <c r="AC685" s="65"/>
      <c r="AD685">
        <v>50</v>
      </c>
    </row>
    <row r="686" spans="1:30" x14ac:dyDescent="0.3">
      <c r="A686" s="1">
        <v>46286</v>
      </c>
      <c r="B686" s="65" t="s">
        <v>4006</v>
      </c>
      <c r="C686" s="65" t="s">
        <v>2866</v>
      </c>
      <c r="D686" s="65" t="s">
        <v>268</v>
      </c>
      <c r="E686" s="65" t="s">
        <v>2867</v>
      </c>
      <c r="F686" s="65" t="s">
        <v>31</v>
      </c>
      <c r="G686" s="65" t="s">
        <v>2868</v>
      </c>
      <c r="H686" s="65" t="s">
        <v>2869</v>
      </c>
      <c r="I686" s="65" t="s">
        <v>2870</v>
      </c>
      <c r="J686" s="65" t="s">
        <v>774</v>
      </c>
      <c r="K686" s="65" t="s">
        <v>775</v>
      </c>
      <c r="L686" s="65" t="s">
        <v>37</v>
      </c>
      <c r="M686" s="65" t="s">
        <v>2871</v>
      </c>
      <c r="N686" s="65" t="s">
        <v>2872</v>
      </c>
      <c r="O686" s="65" t="s">
        <v>2873</v>
      </c>
      <c r="P686" s="65" t="s">
        <v>2874</v>
      </c>
      <c r="Q686" s="65" t="s">
        <v>159</v>
      </c>
      <c r="R686">
        <v>1</v>
      </c>
      <c r="S686" s="65" t="s">
        <v>70</v>
      </c>
      <c r="T686" s="65" t="s">
        <v>43</v>
      </c>
      <c r="U686" s="65" t="s">
        <v>44</v>
      </c>
      <c r="V686" s="65" t="s">
        <v>71</v>
      </c>
      <c r="W686" s="65" t="s">
        <v>72</v>
      </c>
      <c r="X686">
        <v>135.59</v>
      </c>
      <c r="Y686" s="65" t="s">
        <v>47</v>
      </c>
      <c r="Z686" s="65" t="s">
        <v>48</v>
      </c>
      <c r="AA686" s="65" t="s">
        <v>73</v>
      </c>
      <c r="AC686" s="65"/>
      <c r="AD686">
        <v>30</v>
      </c>
    </row>
    <row r="687" spans="1:30" x14ac:dyDescent="0.3">
      <c r="A687" s="1">
        <v>46286</v>
      </c>
      <c r="B687" s="65" t="s">
        <v>4006</v>
      </c>
      <c r="C687" s="65" t="s">
        <v>2876</v>
      </c>
      <c r="D687" s="65" t="s">
        <v>268</v>
      </c>
      <c r="E687" s="65" t="s">
        <v>2877</v>
      </c>
      <c r="F687" s="65" t="s">
        <v>31</v>
      </c>
      <c r="G687" s="65" t="s">
        <v>2878</v>
      </c>
      <c r="H687" s="65" t="s">
        <v>2879</v>
      </c>
      <c r="I687" s="65" t="s">
        <v>2880</v>
      </c>
      <c r="J687" s="65" t="s">
        <v>762</v>
      </c>
      <c r="K687" s="65" t="s">
        <v>209</v>
      </c>
      <c r="L687" s="65" t="s">
        <v>37</v>
      </c>
      <c r="M687" s="65" t="s">
        <v>2881</v>
      </c>
      <c r="N687" s="65" t="s">
        <v>2882</v>
      </c>
      <c r="O687" s="65" t="s">
        <v>765</v>
      </c>
      <c r="P687" s="65" t="s">
        <v>2883</v>
      </c>
      <c r="Q687" s="65" t="s">
        <v>59</v>
      </c>
      <c r="R687">
        <v>1</v>
      </c>
      <c r="S687" s="65" t="s">
        <v>42</v>
      </c>
      <c r="T687" s="65" t="s">
        <v>44</v>
      </c>
      <c r="U687" s="65" t="s">
        <v>44</v>
      </c>
      <c r="V687" s="65" t="s">
        <v>45</v>
      </c>
      <c r="W687" s="65" t="s">
        <v>60</v>
      </c>
      <c r="X687">
        <v>101.69</v>
      </c>
      <c r="Y687" s="65" t="s">
        <v>61</v>
      </c>
      <c r="Z687" s="65" t="s">
        <v>48</v>
      </c>
      <c r="AA687" s="65" t="s">
        <v>49</v>
      </c>
      <c r="AB687">
        <v>969791876</v>
      </c>
      <c r="AC687" s="65" t="s">
        <v>768</v>
      </c>
    </row>
    <row r="688" spans="1:30" x14ac:dyDescent="0.3">
      <c r="A688" s="1">
        <v>46286</v>
      </c>
      <c r="B688" s="65" t="s">
        <v>4006</v>
      </c>
      <c r="C688" s="65" t="s">
        <v>2884</v>
      </c>
      <c r="D688" s="65" t="s">
        <v>29</v>
      </c>
      <c r="E688" s="65" t="s">
        <v>2885</v>
      </c>
      <c r="F688" s="65" t="s">
        <v>31</v>
      </c>
      <c r="G688" s="65" t="s">
        <v>2886</v>
      </c>
      <c r="H688" s="65" t="s">
        <v>2887</v>
      </c>
      <c r="I688" s="65" t="s">
        <v>2888</v>
      </c>
      <c r="J688" s="65" t="s">
        <v>2739</v>
      </c>
      <c r="K688" s="65" t="s">
        <v>209</v>
      </c>
      <c r="L688" s="65" t="s">
        <v>37</v>
      </c>
      <c r="M688" s="65" t="s">
        <v>2889</v>
      </c>
      <c r="N688" s="65" t="s">
        <v>2890</v>
      </c>
      <c r="O688" s="65" t="s">
        <v>2887</v>
      </c>
      <c r="P688" s="65" t="s">
        <v>2891</v>
      </c>
      <c r="Q688" s="65" t="s">
        <v>130</v>
      </c>
      <c r="R688">
        <v>1</v>
      </c>
      <c r="S688" s="65" t="s">
        <v>70</v>
      </c>
      <c r="T688" s="65" t="s">
        <v>43</v>
      </c>
      <c r="U688" s="65" t="s">
        <v>44</v>
      </c>
      <c r="V688" s="65" t="s">
        <v>71</v>
      </c>
      <c r="W688" s="65" t="s">
        <v>72</v>
      </c>
      <c r="X688">
        <v>152.54</v>
      </c>
      <c r="Y688" s="65" t="s">
        <v>47</v>
      </c>
      <c r="Z688" s="65" t="s">
        <v>48</v>
      </c>
      <c r="AA688" s="65" t="s">
        <v>73</v>
      </c>
      <c r="AC688" s="65"/>
      <c r="AD688">
        <v>30</v>
      </c>
    </row>
    <row r="689" spans="1:30" x14ac:dyDescent="0.3">
      <c r="A689" s="1">
        <v>46286</v>
      </c>
      <c r="B689" s="65" t="s">
        <v>4006</v>
      </c>
      <c r="C689" s="65" t="s">
        <v>2892</v>
      </c>
      <c r="D689" s="65" t="s">
        <v>268</v>
      </c>
      <c r="E689" s="65" t="s">
        <v>2893</v>
      </c>
      <c r="F689" s="65" t="s">
        <v>31</v>
      </c>
      <c r="G689" s="65" t="s">
        <v>2894</v>
      </c>
      <c r="H689" s="65" t="s">
        <v>2895</v>
      </c>
      <c r="I689" s="65" t="s">
        <v>2896</v>
      </c>
      <c r="J689" s="65" t="s">
        <v>1108</v>
      </c>
      <c r="K689" s="65" t="s">
        <v>209</v>
      </c>
      <c r="L689" s="65" t="s">
        <v>37</v>
      </c>
      <c r="M689" s="65" t="s">
        <v>2897</v>
      </c>
      <c r="N689" s="65" t="s">
        <v>2898</v>
      </c>
      <c r="O689" s="65" t="s">
        <v>1111</v>
      </c>
      <c r="P689" s="65" t="s">
        <v>2899</v>
      </c>
      <c r="Q689" s="65" t="s">
        <v>59</v>
      </c>
      <c r="R689">
        <v>1</v>
      </c>
      <c r="S689" s="65" t="s">
        <v>42</v>
      </c>
      <c r="T689" s="65" t="s">
        <v>44</v>
      </c>
      <c r="U689" s="65" t="s">
        <v>44</v>
      </c>
      <c r="V689" s="65" t="s">
        <v>45</v>
      </c>
      <c r="W689" s="65" t="s">
        <v>60</v>
      </c>
      <c r="X689">
        <v>101.69</v>
      </c>
      <c r="Y689" s="65" t="s">
        <v>61</v>
      </c>
      <c r="Z689" s="65" t="s">
        <v>48</v>
      </c>
      <c r="AA689" s="65" t="s">
        <v>49</v>
      </c>
      <c r="AB689">
        <v>970582106</v>
      </c>
      <c r="AC689" s="65" t="s">
        <v>1113</v>
      </c>
    </row>
    <row r="690" spans="1:30" x14ac:dyDescent="0.3">
      <c r="A690" s="1">
        <v>46286</v>
      </c>
      <c r="B690" s="65" t="s">
        <v>4006</v>
      </c>
      <c r="C690" s="65" t="s">
        <v>2900</v>
      </c>
      <c r="D690" s="65" t="s">
        <v>29</v>
      </c>
      <c r="E690" s="65" t="s">
        <v>2901</v>
      </c>
      <c r="F690" s="65" t="s">
        <v>31</v>
      </c>
      <c r="G690" s="65" t="s">
        <v>2902</v>
      </c>
      <c r="H690" s="65" t="s">
        <v>2903</v>
      </c>
      <c r="I690" s="65" t="s">
        <v>2904</v>
      </c>
      <c r="J690" s="65" t="s">
        <v>1516</v>
      </c>
      <c r="K690" s="65" t="s">
        <v>629</v>
      </c>
      <c r="L690" s="65" t="s">
        <v>37</v>
      </c>
      <c r="M690" s="65" t="s">
        <v>2905</v>
      </c>
      <c r="N690" s="65" t="s">
        <v>2906</v>
      </c>
      <c r="O690" s="65" t="s">
        <v>2903</v>
      </c>
      <c r="P690" s="65" t="s">
        <v>2907</v>
      </c>
      <c r="Q690" s="65" t="s">
        <v>101</v>
      </c>
      <c r="R690">
        <v>1</v>
      </c>
      <c r="S690" s="65" t="s">
        <v>70</v>
      </c>
      <c r="T690" s="65" t="s">
        <v>43</v>
      </c>
      <c r="U690" s="65" t="s">
        <v>44</v>
      </c>
      <c r="V690" s="65" t="s">
        <v>71</v>
      </c>
      <c r="W690" s="65" t="s">
        <v>72</v>
      </c>
      <c r="X690">
        <v>186.44</v>
      </c>
      <c r="Y690" s="65" t="s">
        <v>47</v>
      </c>
      <c r="Z690" s="65" t="s">
        <v>48</v>
      </c>
      <c r="AA690" s="65" t="s">
        <v>73</v>
      </c>
      <c r="AB690">
        <v>947422476</v>
      </c>
      <c r="AC690" s="65"/>
      <c r="AD690">
        <v>50</v>
      </c>
    </row>
    <row r="691" spans="1:30" x14ac:dyDescent="0.3">
      <c r="A691" s="1">
        <v>46286</v>
      </c>
      <c r="B691" s="65" t="s">
        <v>4006</v>
      </c>
      <c r="C691" s="65" t="s">
        <v>4340</v>
      </c>
      <c r="D691" s="65" t="s">
        <v>29</v>
      </c>
      <c r="E691" s="65" t="s">
        <v>4341</v>
      </c>
      <c r="F691" s="65" t="s">
        <v>31</v>
      </c>
      <c r="G691" s="65" t="s">
        <v>4342</v>
      </c>
      <c r="H691" s="65" t="s">
        <v>4343</v>
      </c>
      <c r="I691" s="65" t="s">
        <v>4344</v>
      </c>
      <c r="J691" s="65" t="s">
        <v>2795</v>
      </c>
      <c r="K691" s="65" t="s">
        <v>209</v>
      </c>
      <c r="L691" s="65" t="s">
        <v>37</v>
      </c>
      <c r="M691" s="65" t="s">
        <v>4345</v>
      </c>
      <c r="N691" s="65" t="s">
        <v>4346</v>
      </c>
      <c r="O691" s="65" t="s">
        <v>4343</v>
      </c>
      <c r="P691" s="65" t="s">
        <v>4347</v>
      </c>
      <c r="Q691" s="65" t="s">
        <v>130</v>
      </c>
      <c r="R691">
        <v>1</v>
      </c>
      <c r="S691" s="65" t="s">
        <v>42</v>
      </c>
      <c r="T691" s="65" t="s">
        <v>44</v>
      </c>
      <c r="U691" s="65" t="s">
        <v>44</v>
      </c>
      <c r="V691" s="65" t="s">
        <v>71</v>
      </c>
      <c r="W691" s="65" t="s">
        <v>184</v>
      </c>
      <c r="X691">
        <v>152.54</v>
      </c>
      <c r="Y691" s="65" t="s">
        <v>47</v>
      </c>
      <c r="Z691" s="65" t="s">
        <v>48</v>
      </c>
      <c r="AA691" s="65" t="s">
        <v>73</v>
      </c>
      <c r="AB691">
        <v>994872106</v>
      </c>
      <c r="AC691" s="65" t="s">
        <v>1253</v>
      </c>
      <c r="AD691">
        <v>30</v>
      </c>
    </row>
    <row r="692" spans="1:30" x14ac:dyDescent="0.3">
      <c r="A692" s="1">
        <v>46286</v>
      </c>
      <c r="B692" s="65" t="s">
        <v>4006</v>
      </c>
      <c r="C692" s="65" t="s">
        <v>4348</v>
      </c>
      <c r="D692" s="65" t="s">
        <v>29</v>
      </c>
      <c r="E692" s="65" t="s">
        <v>4349</v>
      </c>
      <c r="F692" s="65" t="s">
        <v>31</v>
      </c>
      <c r="G692" s="65" t="s">
        <v>4350</v>
      </c>
      <c r="H692" s="65" t="s">
        <v>4351</v>
      </c>
      <c r="I692" s="65" t="s">
        <v>4352</v>
      </c>
      <c r="J692" s="65" t="s">
        <v>2291</v>
      </c>
      <c r="K692" s="65" t="s">
        <v>1542</v>
      </c>
      <c r="L692" s="65" t="s">
        <v>37</v>
      </c>
      <c r="M692" s="65" t="s">
        <v>4353</v>
      </c>
      <c r="N692" s="65" t="s">
        <v>4354</v>
      </c>
      <c r="O692" s="65" t="s">
        <v>4351</v>
      </c>
      <c r="P692" s="65" t="s">
        <v>4355</v>
      </c>
      <c r="Q692" s="65" t="s">
        <v>90</v>
      </c>
      <c r="R692">
        <v>1</v>
      </c>
      <c r="S692" s="65" t="s">
        <v>42</v>
      </c>
      <c r="T692" s="65" t="s">
        <v>44</v>
      </c>
      <c r="U692" s="65" t="s">
        <v>44</v>
      </c>
      <c r="V692" s="65" t="s">
        <v>45</v>
      </c>
      <c r="W692" s="65" t="s">
        <v>60</v>
      </c>
      <c r="X692">
        <v>135.59</v>
      </c>
      <c r="Y692" s="65" t="s">
        <v>47</v>
      </c>
      <c r="Z692" s="65" t="s">
        <v>48</v>
      </c>
      <c r="AA692" s="65" t="s">
        <v>49</v>
      </c>
      <c r="AB692">
        <v>945093839</v>
      </c>
      <c r="AC692" s="65" t="s">
        <v>2295</v>
      </c>
      <c r="AD692">
        <v>30</v>
      </c>
    </row>
    <row r="693" spans="1:30" x14ac:dyDescent="0.3">
      <c r="A693" s="1">
        <v>46286</v>
      </c>
      <c r="B693" s="65" t="s">
        <v>4006</v>
      </c>
      <c r="C693" s="65" t="s">
        <v>4356</v>
      </c>
      <c r="D693" s="65" t="s">
        <v>29</v>
      </c>
      <c r="E693" s="65" t="s">
        <v>4357</v>
      </c>
      <c r="F693" s="65" t="s">
        <v>31</v>
      </c>
      <c r="G693" s="65" t="s">
        <v>4358</v>
      </c>
      <c r="H693" s="65" t="s">
        <v>4359</v>
      </c>
      <c r="I693" s="65" t="s">
        <v>4360</v>
      </c>
      <c r="J693" s="65" t="s">
        <v>774</v>
      </c>
      <c r="K693" s="65" t="s">
        <v>775</v>
      </c>
      <c r="L693" s="65" t="s">
        <v>37</v>
      </c>
      <c r="M693" s="65" t="s">
        <v>4361</v>
      </c>
      <c r="N693" s="65" t="s">
        <v>4362</v>
      </c>
      <c r="O693" s="65" t="s">
        <v>4359</v>
      </c>
      <c r="P693" s="65" t="s">
        <v>4363</v>
      </c>
      <c r="Q693" s="65" t="s">
        <v>90</v>
      </c>
      <c r="R693">
        <v>1</v>
      </c>
      <c r="S693" s="65" t="s">
        <v>42</v>
      </c>
      <c r="T693" s="65" t="s">
        <v>44</v>
      </c>
      <c r="U693" s="65" t="s">
        <v>44</v>
      </c>
      <c r="V693" s="65" t="s">
        <v>45</v>
      </c>
      <c r="W693" s="65" t="s">
        <v>60</v>
      </c>
      <c r="X693">
        <v>135.59</v>
      </c>
      <c r="Y693" s="65" t="s">
        <v>47</v>
      </c>
      <c r="Z693" s="65" t="s">
        <v>48</v>
      </c>
      <c r="AA693" s="65" t="s">
        <v>49</v>
      </c>
      <c r="AC693" s="65"/>
      <c r="AD693">
        <v>30</v>
      </c>
    </row>
    <row r="694" spans="1:30" x14ac:dyDescent="0.3">
      <c r="A694" s="1">
        <v>46287</v>
      </c>
      <c r="B694" s="65" t="s">
        <v>4006</v>
      </c>
      <c r="C694" s="65" t="s">
        <v>2908</v>
      </c>
      <c r="D694" s="65" t="s">
        <v>29</v>
      </c>
      <c r="E694" s="65" t="s">
        <v>2909</v>
      </c>
      <c r="F694" s="65" t="s">
        <v>31</v>
      </c>
      <c r="G694" s="65" t="s">
        <v>2910</v>
      </c>
      <c r="H694" s="65" t="s">
        <v>2911</v>
      </c>
      <c r="I694" s="65" t="s">
        <v>2912</v>
      </c>
      <c r="J694" s="65" t="s">
        <v>774</v>
      </c>
      <c r="K694" s="65" t="s">
        <v>775</v>
      </c>
      <c r="L694" s="65" t="s">
        <v>37</v>
      </c>
      <c r="M694" s="65" t="s">
        <v>2913</v>
      </c>
      <c r="N694" s="65" t="s">
        <v>2914</v>
      </c>
      <c r="O694" s="65" t="s">
        <v>2911</v>
      </c>
      <c r="P694" s="65" t="s">
        <v>2915</v>
      </c>
      <c r="Q694" s="65" t="s">
        <v>828</v>
      </c>
      <c r="R694">
        <v>1</v>
      </c>
      <c r="S694" s="65" t="s">
        <v>42</v>
      </c>
      <c r="T694" s="65" t="s">
        <v>44</v>
      </c>
      <c r="U694" s="65" t="s">
        <v>44</v>
      </c>
      <c r="V694" s="65" t="s">
        <v>45</v>
      </c>
      <c r="W694" s="65" t="s">
        <v>46</v>
      </c>
      <c r="X694">
        <v>127.12</v>
      </c>
      <c r="Y694" s="65" t="s">
        <v>47</v>
      </c>
      <c r="Z694" s="65" t="s">
        <v>48</v>
      </c>
      <c r="AA694" s="65" t="s">
        <v>49</v>
      </c>
      <c r="AC694" s="65"/>
    </row>
    <row r="695" spans="1:30" x14ac:dyDescent="0.3">
      <c r="A695" s="1">
        <v>46287</v>
      </c>
      <c r="B695" s="65" t="s">
        <v>4006</v>
      </c>
      <c r="C695" s="65" t="s">
        <v>2916</v>
      </c>
      <c r="D695" s="65" t="s">
        <v>29</v>
      </c>
      <c r="E695" s="65" t="s">
        <v>2917</v>
      </c>
      <c r="F695" s="65" t="s">
        <v>31</v>
      </c>
      <c r="G695" s="65" t="s">
        <v>2918</v>
      </c>
      <c r="H695" s="65" t="s">
        <v>2911</v>
      </c>
      <c r="I695" s="65" t="s">
        <v>2912</v>
      </c>
      <c r="J695" s="65" t="s">
        <v>774</v>
      </c>
      <c r="K695" s="65" t="s">
        <v>775</v>
      </c>
      <c r="L695" s="65" t="s">
        <v>37</v>
      </c>
      <c r="M695" s="65" t="s">
        <v>2913</v>
      </c>
      <c r="N695" s="65" t="s">
        <v>2914</v>
      </c>
      <c r="O695" s="65" t="s">
        <v>2911</v>
      </c>
      <c r="P695" s="65" t="s">
        <v>2919</v>
      </c>
      <c r="Q695" s="65" t="s">
        <v>622</v>
      </c>
      <c r="R695">
        <v>1</v>
      </c>
      <c r="S695" s="65" t="s">
        <v>42</v>
      </c>
      <c r="T695" s="65" t="s">
        <v>44</v>
      </c>
      <c r="U695" s="65" t="s">
        <v>44</v>
      </c>
      <c r="V695" s="65" t="s">
        <v>45</v>
      </c>
      <c r="W695" s="65" t="s">
        <v>46</v>
      </c>
      <c r="X695">
        <v>12.71</v>
      </c>
      <c r="Y695" s="65" t="s">
        <v>619</v>
      </c>
      <c r="Z695" s="65" t="s">
        <v>48</v>
      </c>
      <c r="AA695" s="65" t="s">
        <v>49</v>
      </c>
      <c r="AC695" s="65"/>
    </row>
    <row r="696" spans="1:30" x14ac:dyDescent="0.3">
      <c r="A696" s="1">
        <v>46287</v>
      </c>
      <c r="B696" s="65" t="s">
        <v>4006</v>
      </c>
      <c r="C696" s="65" t="s">
        <v>2916</v>
      </c>
      <c r="D696" s="65" t="s">
        <v>29</v>
      </c>
      <c r="E696" s="65" t="s">
        <v>2917</v>
      </c>
      <c r="F696" s="65" t="s">
        <v>31</v>
      </c>
      <c r="G696" s="65" t="s">
        <v>2918</v>
      </c>
      <c r="H696" s="65" t="s">
        <v>2911</v>
      </c>
      <c r="I696" s="65" t="s">
        <v>2912</v>
      </c>
      <c r="J696" s="65" t="s">
        <v>774</v>
      </c>
      <c r="K696" s="65" t="s">
        <v>775</v>
      </c>
      <c r="L696" s="65" t="s">
        <v>37</v>
      </c>
      <c r="M696" s="65" t="s">
        <v>2913</v>
      </c>
      <c r="N696" s="65" t="s">
        <v>2914</v>
      </c>
      <c r="O696" s="65" t="s">
        <v>2911</v>
      </c>
      <c r="P696" s="65" t="s">
        <v>2919</v>
      </c>
      <c r="Q696" s="65" t="s">
        <v>621</v>
      </c>
      <c r="R696">
        <v>1</v>
      </c>
      <c r="S696" s="65" t="s">
        <v>42</v>
      </c>
      <c r="T696" s="65" t="s">
        <v>44</v>
      </c>
      <c r="U696" s="65" t="s">
        <v>44</v>
      </c>
      <c r="V696" s="65" t="s">
        <v>45</v>
      </c>
      <c r="W696" s="65" t="s">
        <v>46</v>
      </c>
      <c r="X696">
        <v>12.71</v>
      </c>
      <c r="Y696" s="65" t="s">
        <v>619</v>
      </c>
      <c r="Z696" s="65" t="s">
        <v>48</v>
      </c>
      <c r="AA696" s="65" t="s">
        <v>49</v>
      </c>
      <c r="AC696" s="65"/>
    </row>
    <row r="697" spans="1:30" x14ac:dyDescent="0.3">
      <c r="A697" s="1">
        <v>46287</v>
      </c>
      <c r="B697" s="65" t="s">
        <v>4006</v>
      </c>
      <c r="C697" s="65" t="s">
        <v>2916</v>
      </c>
      <c r="D697" s="65" t="s">
        <v>29</v>
      </c>
      <c r="E697" s="65" t="s">
        <v>2917</v>
      </c>
      <c r="F697" s="65" t="s">
        <v>31</v>
      </c>
      <c r="G697" s="65" t="s">
        <v>2918</v>
      </c>
      <c r="H697" s="65" t="s">
        <v>2911</v>
      </c>
      <c r="I697" s="65" t="s">
        <v>2912</v>
      </c>
      <c r="J697" s="65" t="s">
        <v>774</v>
      </c>
      <c r="K697" s="65" t="s">
        <v>775</v>
      </c>
      <c r="L697" s="65" t="s">
        <v>37</v>
      </c>
      <c r="M697" s="65" t="s">
        <v>2913</v>
      </c>
      <c r="N697" s="65" t="s">
        <v>2914</v>
      </c>
      <c r="O697" s="65" t="s">
        <v>2911</v>
      </c>
      <c r="P697" s="65" t="s">
        <v>2919</v>
      </c>
      <c r="Q697" s="65" t="s">
        <v>618</v>
      </c>
      <c r="R697">
        <v>1</v>
      </c>
      <c r="S697" s="65" t="s">
        <v>42</v>
      </c>
      <c r="T697" s="65" t="s">
        <v>44</v>
      </c>
      <c r="U697" s="65" t="s">
        <v>44</v>
      </c>
      <c r="V697" s="65" t="s">
        <v>45</v>
      </c>
      <c r="W697" s="65" t="s">
        <v>46</v>
      </c>
      <c r="X697">
        <v>12.71</v>
      </c>
      <c r="Y697" s="65" t="s">
        <v>619</v>
      </c>
      <c r="Z697" s="65" t="s">
        <v>48</v>
      </c>
      <c r="AA697" s="65" t="s">
        <v>49</v>
      </c>
      <c r="AC697" s="65"/>
    </row>
    <row r="698" spans="1:30" x14ac:dyDescent="0.3">
      <c r="A698" s="1">
        <v>46287</v>
      </c>
      <c r="B698" s="65" t="s">
        <v>4006</v>
      </c>
      <c r="C698" s="65" t="s">
        <v>2916</v>
      </c>
      <c r="D698" s="65" t="s">
        <v>29</v>
      </c>
      <c r="E698" s="65" t="s">
        <v>2917</v>
      </c>
      <c r="F698" s="65" t="s">
        <v>31</v>
      </c>
      <c r="G698" s="65" t="s">
        <v>2918</v>
      </c>
      <c r="H698" s="65" t="s">
        <v>2911</v>
      </c>
      <c r="I698" s="65" t="s">
        <v>2912</v>
      </c>
      <c r="J698" s="65" t="s">
        <v>774</v>
      </c>
      <c r="K698" s="65" t="s">
        <v>775</v>
      </c>
      <c r="L698" s="65" t="s">
        <v>37</v>
      </c>
      <c r="M698" s="65" t="s">
        <v>2913</v>
      </c>
      <c r="N698" s="65" t="s">
        <v>2914</v>
      </c>
      <c r="O698" s="65" t="s">
        <v>2911</v>
      </c>
      <c r="P698" s="65" t="s">
        <v>2919</v>
      </c>
      <c r="Q698" s="65" t="s">
        <v>833</v>
      </c>
      <c r="R698">
        <v>1</v>
      </c>
      <c r="S698" s="65" t="s">
        <v>42</v>
      </c>
      <c r="T698" s="65" t="s">
        <v>44</v>
      </c>
      <c r="U698" s="65" t="s">
        <v>44</v>
      </c>
      <c r="V698" s="65" t="s">
        <v>45</v>
      </c>
      <c r="W698" s="65" t="s">
        <v>46</v>
      </c>
      <c r="X698">
        <v>50.85</v>
      </c>
      <c r="Y698" s="65" t="s">
        <v>619</v>
      </c>
      <c r="Z698" s="65" t="s">
        <v>48</v>
      </c>
      <c r="AA698" s="65" t="s">
        <v>49</v>
      </c>
      <c r="AC698" s="65"/>
    </row>
    <row r="699" spans="1:30" x14ac:dyDescent="0.3">
      <c r="A699" s="1">
        <v>46287</v>
      </c>
      <c r="B699" s="65" t="s">
        <v>4006</v>
      </c>
      <c r="C699" s="65" t="s">
        <v>2916</v>
      </c>
      <c r="D699" s="65" t="s">
        <v>29</v>
      </c>
      <c r="E699" s="65" t="s">
        <v>2917</v>
      </c>
      <c r="F699" s="65" t="s">
        <v>31</v>
      </c>
      <c r="G699" s="65" t="s">
        <v>2918</v>
      </c>
      <c r="H699" s="65" t="s">
        <v>2911</v>
      </c>
      <c r="I699" s="65" t="s">
        <v>2912</v>
      </c>
      <c r="J699" s="65" t="s">
        <v>774</v>
      </c>
      <c r="K699" s="65" t="s">
        <v>775</v>
      </c>
      <c r="L699" s="65" t="s">
        <v>37</v>
      </c>
      <c r="M699" s="65" t="s">
        <v>2913</v>
      </c>
      <c r="N699" s="65" t="s">
        <v>2914</v>
      </c>
      <c r="O699" s="65" t="s">
        <v>2911</v>
      </c>
      <c r="P699" s="65" t="s">
        <v>2919</v>
      </c>
      <c r="Q699" s="65" t="s">
        <v>620</v>
      </c>
      <c r="R699">
        <v>1</v>
      </c>
      <c r="S699" s="65" t="s">
        <v>42</v>
      </c>
      <c r="T699" s="65" t="s">
        <v>44</v>
      </c>
      <c r="U699" s="65" t="s">
        <v>44</v>
      </c>
      <c r="V699" s="65" t="s">
        <v>45</v>
      </c>
      <c r="W699" s="65" t="s">
        <v>46</v>
      </c>
      <c r="X699">
        <v>21.19</v>
      </c>
      <c r="Y699" s="65" t="s">
        <v>619</v>
      </c>
      <c r="Z699" s="65" t="s">
        <v>48</v>
      </c>
      <c r="AA699" s="65" t="s">
        <v>49</v>
      </c>
      <c r="AC699" s="65"/>
    </row>
    <row r="700" spans="1:30" x14ac:dyDescent="0.3">
      <c r="A700" s="1">
        <v>46287</v>
      </c>
      <c r="B700" s="65" t="s">
        <v>4006</v>
      </c>
      <c r="C700" s="65" t="s">
        <v>2920</v>
      </c>
      <c r="D700" s="65" t="s">
        <v>29</v>
      </c>
      <c r="E700" s="65" t="s">
        <v>2921</v>
      </c>
      <c r="F700" s="65" t="s">
        <v>31</v>
      </c>
      <c r="G700" s="65" t="s">
        <v>2922</v>
      </c>
      <c r="H700" s="65" t="s">
        <v>2911</v>
      </c>
      <c r="I700" s="65" t="s">
        <v>2912</v>
      </c>
      <c r="J700" s="65" t="s">
        <v>774</v>
      </c>
      <c r="K700" s="65" t="s">
        <v>775</v>
      </c>
      <c r="L700" s="65" t="s">
        <v>37</v>
      </c>
      <c r="M700" s="65" t="s">
        <v>2913</v>
      </c>
      <c r="N700" s="65" t="s">
        <v>2914</v>
      </c>
      <c r="O700" s="65" t="s">
        <v>2911</v>
      </c>
      <c r="P700" s="65" t="s">
        <v>2923</v>
      </c>
      <c r="Q700" s="65" t="s">
        <v>641</v>
      </c>
      <c r="R700">
        <v>1</v>
      </c>
      <c r="S700" s="65" t="s">
        <v>42</v>
      </c>
      <c r="T700" s="65" t="s">
        <v>44</v>
      </c>
      <c r="U700" s="65" t="s">
        <v>44</v>
      </c>
      <c r="V700" s="65" t="s">
        <v>45</v>
      </c>
      <c r="W700" s="65" t="s">
        <v>46</v>
      </c>
      <c r="X700">
        <v>84.75</v>
      </c>
      <c r="Y700" s="65" t="s">
        <v>47</v>
      </c>
      <c r="Z700" s="65" t="s">
        <v>48</v>
      </c>
      <c r="AA700" s="65" t="s">
        <v>49</v>
      </c>
      <c r="AC700" s="65"/>
    </row>
    <row r="701" spans="1:30" x14ac:dyDescent="0.3">
      <c r="A701" s="1">
        <v>46287</v>
      </c>
      <c r="B701" s="65" t="s">
        <v>4006</v>
      </c>
      <c r="C701" s="65" t="s">
        <v>2924</v>
      </c>
      <c r="D701" s="65" t="s">
        <v>29</v>
      </c>
      <c r="E701" s="65" t="s">
        <v>2925</v>
      </c>
      <c r="F701" s="65" t="s">
        <v>31</v>
      </c>
      <c r="G701" s="65" t="s">
        <v>2926</v>
      </c>
      <c r="H701" s="65" t="s">
        <v>2927</v>
      </c>
      <c r="I701" s="65" t="s">
        <v>2928</v>
      </c>
      <c r="J701" s="65" t="s">
        <v>774</v>
      </c>
      <c r="K701" s="65" t="s">
        <v>775</v>
      </c>
      <c r="L701" s="65" t="s">
        <v>37</v>
      </c>
      <c r="M701" s="65" t="s">
        <v>2929</v>
      </c>
      <c r="N701" s="65" t="s">
        <v>2930</v>
      </c>
      <c r="O701" s="65" t="s">
        <v>2927</v>
      </c>
      <c r="P701" s="65" t="s">
        <v>2931</v>
      </c>
      <c r="Q701" s="65" t="s">
        <v>620</v>
      </c>
      <c r="R701">
        <v>1</v>
      </c>
      <c r="S701" s="65" t="s">
        <v>42</v>
      </c>
      <c r="T701" s="65" t="s">
        <v>44</v>
      </c>
      <c r="U701" s="65" t="s">
        <v>44</v>
      </c>
      <c r="V701" s="65" t="s">
        <v>45</v>
      </c>
      <c r="W701" s="65" t="s">
        <v>46</v>
      </c>
      <c r="X701">
        <v>21.19</v>
      </c>
      <c r="Y701" s="65" t="s">
        <v>619</v>
      </c>
      <c r="Z701" s="65" t="s">
        <v>48</v>
      </c>
      <c r="AA701" s="65" t="s">
        <v>49</v>
      </c>
      <c r="AC701" s="65"/>
    </row>
    <row r="702" spans="1:30" x14ac:dyDescent="0.3">
      <c r="A702" s="1">
        <v>46287</v>
      </c>
      <c r="B702" s="65" t="s">
        <v>4006</v>
      </c>
      <c r="C702" s="65" t="s">
        <v>2924</v>
      </c>
      <c r="D702" s="65" t="s">
        <v>29</v>
      </c>
      <c r="E702" s="65" t="s">
        <v>2925</v>
      </c>
      <c r="F702" s="65" t="s">
        <v>31</v>
      </c>
      <c r="G702" s="65" t="s">
        <v>2926</v>
      </c>
      <c r="H702" s="65" t="s">
        <v>2927</v>
      </c>
      <c r="I702" s="65" t="s">
        <v>2928</v>
      </c>
      <c r="J702" s="65" t="s">
        <v>774</v>
      </c>
      <c r="K702" s="65" t="s">
        <v>775</v>
      </c>
      <c r="L702" s="65" t="s">
        <v>37</v>
      </c>
      <c r="M702" s="65" t="s">
        <v>2929</v>
      </c>
      <c r="N702" s="65" t="s">
        <v>2930</v>
      </c>
      <c r="O702" s="65" t="s">
        <v>2927</v>
      </c>
      <c r="P702" s="65" t="s">
        <v>2931</v>
      </c>
      <c r="Q702" s="65" t="s">
        <v>833</v>
      </c>
      <c r="R702">
        <v>1</v>
      </c>
      <c r="S702" s="65" t="s">
        <v>42</v>
      </c>
      <c r="T702" s="65" t="s">
        <v>44</v>
      </c>
      <c r="U702" s="65" t="s">
        <v>44</v>
      </c>
      <c r="V702" s="65" t="s">
        <v>45</v>
      </c>
      <c r="W702" s="65" t="s">
        <v>46</v>
      </c>
      <c r="X702">
        <v>50.85</v>
      </c>
      <c r="Y702" s="65" t="s">
        <v>619</v>
      </c>
      <c r="Z702" s="65" t="s">
        <v>48</v>
      </c>
      <c r="AA702" s="65" t="s">
        <v>49</v>
      </c>
      <c r="AC702" s="65"/>
    </row>
    <row r="703" spans="1:30" x14ac:dyDescent="0.3">
      <c r="A703" s="1">
        <v>46287</v>
      </c>
      <c r="B703" s="65" t="s">
        <v>4006</v>
      </c>
      <c r="C703" s="65" t="s">
        <v>2924</v>
      </c>
      <c r="D703" s="65" t="s">
        <v>29</v>
      </c>
      <c r="E703" s="65" t="s">
        <v>2925</v>
      </c>
      <c r="F703" s="65" t="s">
        <v>31</v>
      </c>
      <c r="G703" s="65" t="s">
        <v>2926</v>
      </c>
      <c r="H703" s="65" t="s">
        <v>2927</v>
      </c>
      <c r="I703" s="65" t="s">
        <v>2928</v>
      </c>
      <c r="J703" s="65" t="s">
        <v>774</v>
      </c>
      <c r="K703" s="65" t="s">
        <v>775</v>
      </c>
      <c r="L703" s="65" t="s">
        <v>37</v>
      </c>
      <c r="M703" s="65" t="s">
        <v>2929</v>
      </c>
      <c r="N703" s="65" t="s">
        <v>2930</v>
      </c>
      <c r="O703" s="65" t="s">
        <v>2927</v>
      </c>
      <c r="P703" s="65" t="s">
        <v>2931</v>
      </c>
      <c r="Q703" s="65" t="s">
        <v>618</v>
      </c>
      <c r="R703">
        <v>1</v>
      </c>
      <c r="S703" s="65" t="s">
        <v>42</v>
      </c>
      <c r="T703" s="65" t="s">
        <v>44</v>
      </c>
      <c r="U703" s="65" t="s">
        <v>44</v>
      </c>
      <c r="V703" s="65" t="s">
        <v>45</v>
      </c>
      <c r="W703" s="65" t="s">
        <v>46</v>
      </c>
      <c r="X703">
        <v>12.71</v>
      </c>
      <c r="Y703" s="65" t="s">
        <v>619</v>
      </c>
      <c r="Z703" s="65" t="s">
        <v>48</v>
      </c>
      <c r="AA703" s="65" t="s">
        <v>49</v>
      </c>
      <c r="AC703" s="65"/>
    </row>
    <row r="704" spans="1:30" x14ac:dyDescent="0.3">
      <c r="A704" s="1">
        <v>46287</v>
      </c>
      <c r="B704" s="65" t="s">
        <v>4006</v>
      </c>
      <c r="C704" s="65" t="s">
        <v>2924</v>
      </c>
      <c r="D704" s="65" t="s">
        <v>29</v>
      </c>
      <c r="E704" s="65" t="s">
        <v>2925</v>
      </c>
      <c r="F704" s="65" t="s">
        <v>31</v>
      </c>
      <c r="G704" s="65" t="s">
        <v>2926</v>
      </c>
      <c r="H704" s="65" t="s">
        <v>2927</v>
      </c>
      <c r="I704" s="65" t="s">
        <v>2928</v>
      </c>
      <c r="J704" s="65" t="s">
        <v>774</v>
      </c>
      <c r="K704" s="65" t="s">
        <v>775</v>
      </c>
      <c r="L704" s="65" t="s">
        <v>37</v>
      </c>
      <c r="M704" s="65" t="s">
        <v>2929</v>
      </c>
      <c r="N704" s="65" t="s">
        <v>2930</v>
      </c>
      <c r="O704" s="65" t="s">
        <v>2927</v>
      </c>
      <c r="P704" s="65" t="s">
        <v>2931</v>
      </c>
      <c r="Q704" s="65" t="s">
        <v>621</v>
      </c>
      <c r="R704">
        <v>1</v>
      </c>
      <c r="S704" s="65" t="s">
        <v>42</v>
      </c>
      <c r="T704" s="65" t="s">
        <v>44</v>
      </c>
      <c r="U704" s="65" t="s">
        <v>44</v>
      </c>
      <c r="V704" s="65" t="s">
        <v>45</v>
      </c>
      <c r="W704" s="65" t="s">
        <v>46</v>
      </c>
      <c r="X704">
        <v>12.71</v>
      </c>
      <c r="Y704" s="65" t="s">
        <v>619</v>
      </c>
      <c r="Z704" s="65" t="s">
        <v>48</v>
      </c>
      <c r="AA704" s="65" t="s">
        <v>49</v>
      </c>
      <c r="AC704" s="65"/>
    </row>
    <row r="705" spans="1:30" x14ac:dyDescent="0.3">
      <c r="A705" s="1">
        <v>46287</v>
      </c>
      <c r="B705" s="65" t="s">
        <v>4006</v>
      </c>
      <c r="C705" s="65" t="s">
        <v>2924</v>
      </c>
      <c r="D705" s="65" t="s">
        <v>29</v>
      </c>
      <c r="E705" s="65" t="s">
        <v>2925</v>
      </c>
      <c r="F705" s="65" t="s">
        <v>31</v>
      </c>
      <c r="G705" s="65" t="s">
        <v>2926</v>
      </c>
      <c r="H705" s="65" t="s">
        <v>2927</v>
      </c>
      <c r="I705" s="65" t="s">
        <v>2928</v>
      </c>
      <c r="J705" s="65" t="s">
        <v>774</v>
      </c>
      <c r="K705" s="65" t="s">
        <v>775</v>
      </c>
      <c r="L705" s="65" t="s">
        <v>37</v>
      </c>
      <c r="M705" s="65" t="s">
        <v>2929</v>
      </c>
      <c r="N705" s="65" t="s">
        <v>2930</v>
      </c>
      <c r="O705" s="65" t="s">
        <v>2927</v>
      </c>
      <c r="P705" s="65" t="s">
        <v>2931</v>
      </c>
      <c r="Q705" s="65" t="s">
        <v>622</v>
      </c>
      <c r="R705">
        <v>1</v>
      </c>
      <c r="S705" s="65" t="s">
        <v>42</v>
      </c>
      <c r="T705" s="65" t="s">
        <v>44</v>
      </c>
      <c r="U705" s="65" t="s">
        <v>44</v>
      </c>
      <c r="V705" s="65" t="s">
        <v>45</v>
      </c>
      <c r="W705" s="65" t="s">
        <v>46</v>
      </c>
      <c r="X705">
        <v>12.71</v>
      </c>
      <c r="Y705" s="65" t="s">
        <v>619</v>
      </c>
      <c r="Z705" s="65" t="s">
        <v>48</v>
      </c>
      <c r="AA705" s="65" t="s">
        <v>49</v>
      </c>
      <c r="AC705" s="65"/>
    </row>
    <row r="706" spans="1:30" x14ac:dyDescent="0.3">
      <c r="A706" s="1">
        <v>46287</v>
      </c>
      <c r="B706" s="65" t="s">
        <v>4006</v>
      </c>
      <c r="C706" s="65" t="s">
        <v>2932</v>
      </c>
      <c r="D706" s="65" t="s">
        <v>29</v>
      </c>
      <c r="E706" s="65" t="s">
        <v>2933</v>
      </c>
      <c r="F706" s="65" t="s">
        <v>31</v>
      </c>
      <c r="G706" s="65" t="s">
        <v>2934</v>
      </c>
      <c r="H706" s="65" t="s">
        <v>2927</v>
      </c>
      <c r="I706" s="65" t="s">
        <v>2928</v>
      </c>
      <c r="J706" s="65" t="s">
        <v>774</v>
      </c>
      <c r="K706" s="65" t="s">
        <v>775</v>
      </c>
      <c r="L706" s="65" t="s">
        <v>37</v>
      </c>
      <c r="M706" s="65" t="s">
        <v>2929</v>
      </c>
      <c r="N706" s="65" t="s">
        <v>2930</v>
      </c>
      <c r="O706" s="65" t="s">
        <v>2927</v>
      </c>
      <c r="P706" s="65" t="s">
        <v>2935</v>
      </c>
      <c r="Q706" s="65" t="s">
        <v>828</v>
      </c>
      <c r="R706">
        <v>1</v>
      </c>
      <c r="S706" s="65" t="s">
        <v>42</v>
      </c>
      <c r="T706" s="65" t="s">
        <v>44</v>
      </c>
      <c r="U706" s="65" t="s">
        <v>44</v>
      </c>
      <c r="V706" s="65" t="s">
        <v>45</v>
      </c>
      <c r="W706" s="65" t="s">
        <v>46</v>
      </c>
      <c r="X706">
        <v>127.12</v>
      </c>
      <c r="Y706" s="65" t="s">
        <v>47</v>
      </c>
      <c r="Z706" s="65" t="s">
        <v>48</v>
      </c>
      <c r="AA706" s="65" t="s">
        <v>49</v>
      </c>
      <c r="AC706" s="65"/>
    </row>
    <row r="707" spans="1:30" x14ac:dyDescent="0.3">
      <c r="A707" s="1">
        <v>46287</v>
      </c>
      <c r="B707" s="65" t="s">
        <v>4006</v>
      </c>
      <c r="C707" s="65" t="s">
        <v>2936</v>
      </c>
      <c r="D707" s="65" t="s">
        <v>29</v>
      </c>
      <c r="E707" s="65" t="s">
        <v>2937</v>
      </c>
      <c r="F707" s="65" t="s">
        <v>31</v>
      </c>
      <c r="G707" s="65" t="s">
        <v>2938</v>
      </c>
      <c r="H707" s="65" t="s">
        <v>2927</v>
      </c>
      <c r="I707" s="65" t="s">
        <v>2928</v>
      </c>
      <c r="J707" s="65" t="s">
        <v>774</v>
      </c>
      <c r="K707" s="65" t="s">
        <v>775</v>
      </c>
      <c r="L707" s="65" t="s">
        <v>37</v>
      </c>
      <c r="M707" s="65" t="s">
        <v>2929</v>
      </c>
      <c r="N707" s="65" t="s">
        <v>2930</v>
      </c>
      <c r="O707" s="65" t="s">
        <v>2927</v>
      </c>
      <c r="P707" s="65" t="s">
        <v>2939</v>
      </c>
      <c r="Q707" s="65" t="s">
        <v>641</v>
      </c>
      <c r="R707">
        <v>1</v>
      </c>
      <c r="S707" s="65" t="s">
        <v>42</v>
      </c>
      <c r="T707" s="65" t="s">
        <v>44</v>
      </c>
      <c r="U707" s="65" t="s">
        <v>44</v>
      </c>
      <c r="V707" s="65" t="s">
        <v>45</v>
      </c>
      <c r="W707" s="65" t="s">
        <v>46</v>
      </c>
      <c r="X707">
        <v>84.75</v>
      </c>
      <c r="Y707" s="65" t="s">
        <v>47</v>
      </c>
      <c r="Z707" s="65" t="s">
        <v>48</v>
      </c>
      <c r="AA707" s="65" t="s">
        <v>49</v>
      </c>
      <c r="AC707" s="65"/>
    </row>
    <row r="708" spans="1:30" x14ac:dyDescent="0.3">
      <c r="A708" s="1">
        <v>46287</v>
      </c>
      <c r="B708" s="65" t="s">
        <v>4006</v>
      </c>
      <c r="C708" s="65" t="s">
        <v>2940</v>
      </c>
      <c r="D708" s="65" t="s">
        <v>29</v>
      </c>
      <c r="E708" s="65" t="s">
        <v>2941</v>
      </c>
      <c r="F708" s="65" t="s">
        <v>31</v>
      </c>
      <c r="G708" s="65" t="s">
        <v>2942</v>
      </c>
      <c r="H708" s="65" t="s">
        <v>2943</v>
      </c>
      <c r="I708" s="65" t="s">
        <v>2944</v>
      </c>
      <c r="J708" s="65" t="s">
        <v>715</v>
      </c>
      <c r="K708" s="65" t="s">
        <v>716</v>
      </c>
      <c r="L708" s="65" t="s">
        <v>37</v>
      </c>
      <c r="M708" s="65" t="s">
        <v>2947</v>
      </c>
      <c r="N708" s="65" t="s">
        <v>2948</v>
      </c>
      <c r="O708" s="65" t="s">
        <v>2943</v>
      </c>
      <c r="P708" s="65" t="s">
        <v>2949</v>
      </c>
      <c r="Q708" s="65" t="s">
        <v>41</v>
      </c>
      <c r="R708">
        <v>1</v>
      </c>
      <c r="S708" s="65" t="s">
        <v>42</v>
      </c>
      <c r="T708" s="65" t="s">
        <v>44</v>
      </c>
      <c r="U708" s="65" t="s">
        <v>44</v>
      </c>
      <c r="V708" s="65" t="s">
        <v>45</v>
      </c>
      <c r="W708" s="65" t="s">
        <v>60</v>
      </c>
      <c r="X708">
        <v>186.44</v>
      </c>
      <c r="Y708" s="65" t="s">
        <v>47</v>
      </c>
      <c r="Z708" s="65" t="s">
        <v>48</v>
      </c>
      <c r="AA708" s="65" t="s">
        <v>49</v>
      </c>
      <c r="AB708">
        <v>955356636</v>
      </c>
      <c r="AC708" s="65" t="s">
        <v>720</v>
      </c>
      <c r="AD708">
        <v>50</v>
      </c>
    </row>
    <row r="709" spans="1:30" x14ac:dyDescent="0.3">
      <c r="A709" s="1">
        <v>46287</v>
      </c>
      <c r="B709" s="65" t="s">
        <v>4006</v>
      </c>
      <c r="C709" s="65" t="s">
        <v>2951</v>
      </c>
      <c r="D709" s="65" t="s">
        <v>29</v>
      </c>
      <c r="E709" s="65" t="s">
        <v>2952</v>
      </c>
      <c r="F709" s="65" t="s">
        <v>31</v>
      </c>
      <c r="G709" s="65" t="s">
        <v>2953</v>
      </c>
      <c r="H709" s="65" t="s">
        <v>2954</v>
      </c>
      <c r="I709" s="65" t="s">
        <v>2955</v>
      </c>
      <c r="J709" s="65" t="s">
        <v>774</v>
      </c>
      <c r="K709" s="65" t="s">
        <v>775</v>
      </c>
      <c r="L709" s="65" t="s">
        <v>37</v>
      </c>
      <c r="M709" s="65" t="s">
        <v>2956</v>
      </c>
      <c r="N709" s="65" t="s">
        <v>2957</v>
      </c>
      <c r="O709" s="65" t="s">
        <v>2954</v>
      </c>
      <c r="P709" s="65" t="s">
        <v>2958</v>
      </c>
      <c r="Q709" s="65" t="s">
        <v>641</v>
      </c>
      <c r="R709">
        <v>1</v>
      </c>
      <c r="S709" s="65" t="s">
        <v>42</v>
      </c>
      <c r="T709" s="65" t="s">
        <v>44</v>
      </c>
      <c r="U709" s="65" t="s">
        <v>44</v>
      </c>
      <c r="V709" s="65" t="s">
        <v>45</v>
      </c>
      <c r="W709" s="65" t="s">
        <v>46</v>
      </c>
      <c r="X709">
        <v>84.75</v>
      </c>
      <c r="Y709" s="65" t="s">
        <v>47</v>
      </c>
      <c r="Z709" s="65" t="s">
        <v>48</v>
      </c>
      <c r="AA709" s="65" t="s">
        <v>49</v>
      </c>
      <c r="AC709" s="65"/>
    </row>
    <row r="710" spans="1:30" x14ac:dyDescent="0.3">
      <c r="A710" s="1">
        <v>46287</v>
      </c>
      <c r="B710" s="65" t="s">
        <v>4006</v>
      </c>
      <c r="C710" s="65" t="s">
        <v>2959</v>
      </c>
      <c r="D710" s="65" t="s">
        <v>29</v>
      </c>
      <c r="E710" s="65" t="s">
        <v>2960</v>
      </c>
      <c r="F710" s="65" t="s">
        <v>31</v>
      </c>
      <c r="G710" s="65" t="s">
        <v>2961</v>
      </c>
      <c r="H710" s="65" t="s">
        <v>2962</v>
      </c>
      <c r="I710" s="65" t="s">
        <v>2963</v>
      </c>
      <c r="J710" s="65" t="s">
        <v>774</v>
      </c>
      <c r="K710" s="65" t="s">
        <v>775</v>
      </c>
      <c r="L710" s="65" t="s">
        <v>37</v>
      </c>
      <c r="M710" s="65" t="s">
        <v>2964</v>
      </c>
      <c r="N710" s="65" t="s">
        <v>2965</v>
      </c>
      <c r="O710" s="65" t="s">
        <v>2962</v>
      </c>
      <c r="P710" s="65" t="s">
        <v>2966</v>
      </c>
      <c r="Q710" s="65" t="s">
        <v>641</v>
      </c>
      <c r="R710">
        <v>1</v>
      </c>
      <c r="S710" s="65" t="s">
        <v>42</v>
      </c>
      <c r="T710" s="65" t="s">
        <v>44</v>
      </c>
      <c r="U710" s="65" t="s">
        <v>44</v>
      </c>
      <c r="V710" s="65" t="s">
        <v>45</v>
      </c>
      <c r="W710" s="65" t="s">
        <v>46</v>
      </c>
      <c r="X710">
        <v>84.75</v>
      </c>
      <c r="Y710" s="65" t="s">
        <v>47</v>
      </c>
      <c r="Z710" s="65" t="s">
        <v>48</v>
      </c>
      <c r="AA710" s="65" t="s">
        <v>49</v>
      </c>
      <c r="AC710" s="65"/>
    </row>
    <row r="711" spans="1:30" x14ac:dyDescent="0.3">
      <c r="A711" s="1">
        <v>46287</v>
      </c>
      <c r="B711" s="65" t="s">
        <v>4006</v>
      </c>
      <c r="C711" s="65" t="s">
        <v>2967</v>
      </c>
      <c r="D711" s="65" t="s">
        <v>29</v>
      </c>
      <c r="E711" s="65" t="s">
        <v>2968</v>
      </c>
      <c r="F711" s="65" t="s">
        <v>31</v>
      </c>
      <c r="G711" s="65" t="s">
        <v>2969</v>
      </c>
      <c r="H711" s="65" t="s">
        <v>2970</v>
      </c>
      <c r="I711" s="65" t="s">
        <v>2971</v>
      </c>
      <c r="J711" s="65" t="s">
        <v>704</v>
      </c>
      <c r="K711" s="65" t="s">
        <v>705</v>
      </c>
      <c r="L711" s="65" t="s">
        <v>37</v>
      </c>
      <c r="M711" s="65" t="s">
        <v>2972</v>
      </c>
      <c r="N711" s="65" t="s">
        <v>2973</v>
      </c>
      <c r="O711" s="65" t="s">
        <v>2970</v>
      </c>
      <c r="P711" s="65" t="s">
        <v>2974</v>
      </c>
      <c r="Q711" s="65" t="s">
        <v>159</v>
      </c>
      <c r="R711">
        <v>1</v>
      </c>
      <c r="S711" s="65" t="s">
        <v>42</v>
      </c>
      <c r="T711" s="65" t="s">
        <v>44</v>
      </c>
      <c r="U711" s="65" t="s">
        <v>44</v>
      </c>
      <c r="V711" s="65" t="s">
        <v>45</v>
      </c>
      <c r="W711" s="65" t="s">
        <v>60</v>
      </c>
      <c r="X711">
        <v>135.59</v>
      </c>
      <c r="Y711" s="65" t="s">
        <v>47</v>
      </c>
      <c r="Z711" s="65" t="s">
        <v>48</v>
      </c>
      <c r="AA711" s="65" t="s">
        <v>49</v>
      </c>
      <c r="AB711">
        <v>998418895</v>
      </c>
      <c r="AC711" s="65" t="s">
        <v>709</v>
      </c>
      <c r="AD711">
        <v>30</v>
      </c>
    </row>
    <row r="712" spans="1:30" x14ac:dyDescent="0.3">
      <c r="A712" s="1">
        <v>46287</v>
      </c>
      <c r="B712" s="65" t="s">
        <v>4006</v>
      </c>
      <c r="C712" s="65" t="s">
        <v>2967</v>
      </c>
      <c r="D712" s="65" t="s">
        <v>29</v>
      </c>
      <c r="E712" s="65" t="s">
        <v>2968</v>
      </c>
      <c r="F712" s="65" t="s">
        <v>31</v>
      </c>
      <c r="G712" s="65" t="s">
        <v>2969</v>
      </c>
      <c r="H712" s="65" t="s">
        <v>2970</v>
      </c>
      <c r="I712" s="65" t="s">
        <v>2971</v>
      </c>
      <c r="J712" s="65" t="s">
        <v>704</v>
      </c>
      <c r="K712" s="65" t="s">
        <v>705</v>
      </c>
      <c r="L712" s="65" t="s">
        <v>37</v>
      </c>
      <c r="M712" s="65" t="s">
        <v>2972</v>
      </c>
      <c r="N712" s="65" t="s">
        <v>2973</v>
      </c>
      <c r="O712" s="65" t="s">
        <v>2970</v>
      </c>
      <c r="P712" s="65" t="s">
        <v>2974</v>
      </c>
      <c r="Q712" s="65" t="s">
        <v>101</v>
      </c>
      <c r="R712">
        <v>1</v>
      </c>
      <c r="S712" s="65" t="s">
        <v>42</v>
      </c>
      <c r="T712" s="65" t="s">
        <v>44</v>
      </c>
      <c r="U712" s="65" t="s">
        <v>44</v>
      </c>
      <c r="V712" s="65" t="s">
        <v>45</v>
      </c>
      <c r="W712" s="65" t="s">
        <v>60</v>
      </c>
      <c r="X712">
        <v>186.44</v>
      </c>
      <c r="Y712" s="65" t="s">
        <v>47</v>
      </c>
      <c r="Z712" s="65" t="s">
        <v>48</v>
      </c>
      <c r="AA712" s="65" t="s">
        <v>49</v>
      </c>
      <c r="AB712">
        <v>998418895</v>
      </c>
      <c r="AC712" s="65" t="s">
        <v>709</v>
      </c>
      <c r="AD712">
        <v>50</v>
      </c>
    </row>
    <row r="713" spans="1:30" x14ac:dyDescent="0.3">
      <c r="A713" s="1">
        <v>46287</v>
      </c>
      <c r="B713" s="65" t="s">
        <v>4006</v>
      </c>
      <c r="C713" s="65" t="s">
        <v>2975</v>
      </c>
      <c r="D713" s="65" t="s">
        <v>268</v>
      </c>
      <c r="E713" s="65" t="s">
        <v>2976</v>
      </c>
      <c r="F713" s="65" t="s">
        <v>31</v>
      </c>
      <c r="G713" s="65" t="s">
        <v>2977</v>
      </c>
      <c r="H713" s="65" t="s">
        <v>2911</v>
      </c>
      <c r="I713" s="65" t="s">
        <v>2912</v>
      </c>
      <c r="J713" s="65" t="s">
        <v>774</v>
      </c>
      <c r="K713" s="65" t="s">
        <v>775</v>
      </c>
      <c r="L713" s="65" t="s">
        <v>37</v>
      </c>
      <c r="M713" s="65" t="s">
        <v>2913</v>
      </c>
      <c r="N713" s="65" t="s">
        <v>2914</v>
      </c>
      <c r="O713" s="65" t="s">
        <v>798</v>
      </c>
      <c r="P713" s="65" t="s">
        <v>2978</v>
      </c>
      <c r="Q713" s="65" t="s">
        <v>290</v>
      </c>
      <c r="R713">
        <v>1</v>
      </c>
      <c r="S713" s="65" t="s">
        <v>42</v>
      </c>
      <c r="T713" s="65" t="s">
        <v>44</v>
      </c>
      <c r="U713" s="65" t="s">
        <v>44</v>
      </c>
      <c r="V713" s="65" t="s">
        <v>45</v>
      </c>
      <c r="W713" s="65" t="s">
        <v>46</v>
      </c>
      <c r="X713">
        <v>762.71</v>
      </c>
      <c r="Y713" s="65" t="s">
        <v>289</v>
      </c>
      <c r="Z713" s="65" t="s">
        <v>48</v>
      </c>
      <c r="AA713" s="65" t="s">
        <v>49</v>
      </c>
      <c r="AC713" s="65"/>
    </row>
    <row r="714" spans="1:30" x14ac:dyDescent="0.3">
      <c r="A714" s="1">
        <v>46287</v>
      </c>
      <c r="B714" s="65" t="s">
        <v>4006</v>
      </c>
      <c r="C714" s="65" t="s">
        <v>2975</v>
      </c>
      <c r="D714" s="65" t="s">
        <v>268</v>
      </c>
      <c r="E714" s="65" t="s">
        <v>2976</v>
      </c>
      <c r="F714" s="65" t="s">
        <v>31</v>
      </c>
      <c r="G714" s="65" t="s">
        <v>2977</v>
      </c>
      <c r="H714" s="65" t="s">
        <v>2911</v>
      </c>
      <c r="I714" s="65" t="s">
        <v>2912</v>
      </c>
      <c r="J714" s="65" t="s">
        <v>774</v>
      </c>
      <c r="K714" s="65" t="s">
        <v>775</v>
      </c>
      <c r="L714" s="65" t="s">
        <v>37</v>
      </c>
      <c r="M714" s="65" t="s">
        <v>2913</v>
      </c>
      <c r="N714" s="65" t="s">
        <v>2914</v>
      </c>
      <c r="O714" s="65" t="s">
        <v>798</v>
      </c>
      <c r="P714" s="65" t="s">
        <v>2978</v>
      </c>
      <c r="Q714" s="65" t="s">
        <v>288</v>
      </c>
      <c r="R714">
        <v>1</v>
      </c>
      <c r="S714" s="65" t="s">
        <v>42</v>
      </c>
      <c r="T714" s="65" t="s">
        <v>44</v>
      </c>
      <c r="U714" s="65" t="s">
        <v>44</v>
      </c>
      <c r="V714" s="65" t="s">
        <v>45</v>
      </c>
      <c r="W714" s="65" t="s">
        <v>46</v>
      </c>
      <c r="X714">
        <v>0</v>
      </c>
      <c r="Y714" s="65" t="s">
        <v>289</v>
      </c>
      <c r="Z714" s="65" t="s">
        <v>48</v>
      </c>
      <c r="AA714" s="65" t="s">
        <v>49</v>
      </c>
      <c r="AC714" s="65"/>
    </row>
    <row r="715" spans="1:30" x14ac:dyDescent="0.3">
      <c r="A715" s="1">
        <v>46287</v>
      </c>
      <c r="B715" s="65" t="s">
        <v>4006</v>
      </c>
      <c r="C715" s="65" t="s">
        <v>2979</v>
      </c>
      <c r="D715" s="65" t="s">
        <v>268</v>
      </c>
      <c r="E715" s="65" t="s">
        <v>2980</v>
      </c>
      <c r="F715" s="65" t="s">
        <v>31</v>
      </c>
      <c r="G715" s="65" t="s">
        <v>2981</v>
      </c>
      <c r="H715" s="65" t="s">
        <v>2954</v>
      </c>
      <c r="I715" s="65" t="s">
        <v>2955</v>
      </c>
      <c r="J715" s="65" t="s">
        <v>774</v>
      </c>
      <c r="K715" s="65" t="s">
        <v>775</v>
      </c>
      <c r="L715" s="65" t="s">
        <v>37</v>
      </c>
      <c r="M715" s="65" t="s">
        <v>2956</v>
      </c>
      <c r="N715" s="65" t="s">
        <v>2957</v>
      </c>
      <c r="O715" s="65" t="s">
        <v>798</v>
      </c>
      <c r="P715" s="65" t="s">
        <v>2982</v>
      </c>
      <c r="Q715" s="65" t="s">
        <v>288</v>
      </c>
      <c r="R715">
        <v>1</v>
      </c>
      <c r="S715" s="65" t="s">
        <v>42</v>
      </c>
      <c r="T715" s="65" t="s">
        <v>44</v>
      </c>
      <c r="U715" s="65" t="s">
        <v>44</v>
      </c>
      <c r="V715" s="65" t="s">
        <v>45</v>
      </c>
      <c r="W715" s="65" t="s">
        <v>46</v>
      </c>
      <c r="X715">
        <v>0</v>
      </c>
      <c r="Y715" s="65" t="s">
        <v>289</v>
      </c>
      <c r="Z715" s="65" t="s">
        <v>48</v>
      </c>
      <c r="AA715" s="65" t="s">
        <v>49</v>
      </c>
      <c r="AC715" s="65"/>
    </row>
    <row r="716" spans="1:30" x14ac:dyDescent="0.3">
      <c r="A716" s="1">
        <v>46287</v>
      </c>
      <c r="B716" s="65" t="s">
        <v>4006</v>
      </c>
      <c r="C716" s="65" t="s">
        <v>2979</v>
      </c>
      <c r="D716" s="65" t="s">
        <v>268</v>
      </c>
      <c r="E716" s="65" t="s">
        <v>2980</v>
      </c>
      <c r="F716" s="65" t="s">
        <v>31</v>
      </c>
      <c r="G716" s="65" t="s">
        <v>2981</v>
      </c>
      <c r="H716" s="65" t="s">
        <v>2954</v>
      </c>
      <c r="I716" s="65" t="s">
        <v>2955</v>
      </c>
      <c r="J716" s="65" t="s">
        <v>774</v>
      </c>
      <c r="K716" s="65" t="s">
        <v>775</v>
      </c>
      <c r="L716" s="65" t="s">
        <v>37</v>
      </c>
      <c r="M716" s="65" t="s">
        <v>2956</v>
      </c>
      <c r="N716" s="65" t="s">
        <v>2957</v>
      </c>
      <c r="O716" s="65" t="s">
        <v>798</v>
      </c>
      <c r="P716" s="65" t="s">
        <v>2982</v>
      </c>
      <c r="Q716" s="65" t="s">
        <v>290</v>
      </c>
      <c r="R716">
        <v>1</v>
      </c>
      <c r="S716" s="65" t="s">
        <v>42</v>
      </c>
      <c r="T716" s="65" t="s">
        <v>44</v>
      </c>
      <c r="U716" s="65" t="s">
        <v>44</v>
      </c>
      <c r="V716" s="65" t="s">
        <v>45</v>
      </c>
      <c r="W716" s="65" t="s">
        <v>46</v>
      </c>
      <c r="X716">
        <v>762.71</v>
      </c>
      <c r="Y716" s="65" t="s">
        <v>289</v>
      </c>
      <c r="Z716" s="65" t="s">
        <v>48</v>
      </c>
      <c r="AA716" s="65" t="s">
        <v>49</v>
      </c>
      <c r="AC716" s="65"/>
    </row>
    <row r="717" spans="1:30" x14ac:dyDescent="0.3">
      <c r="A717" s="1">
        <v>46287</v>
      </c>
      <c r="B717" s="65" t="s">
        <v>4006</v>
      </c>
      <c r="C717" s="65" t="s">
        <v>2983</v>
      </c>
      <c r="D717" s="65" t="s">
        <v>268</v>
      </c>
      <c r="E717" s="65" t="s">
        <v>2984</v>
      </c>
      <c r="F717" s="65" t="s">
        <v>31</v>
      </c>
      <c r="G717" s="65" t="s">
        <v>2985</v>
      </c>
      <c r="H717" s="65" t="s">
        <v>2927</v>
      </c>
      <c r="I717" s="65" t="s">
        <v>2928</v>
      </c>
      <c r="J717" s="65" t="s">
        <v>774</v>
      </c>
      <c r="K717" s="65" t="s">
        <v>775</v>
      </c>
      <c r="L717" s="65" t="s">
        <v>37</v>
      </c>
      <c r="M717" s="65" t="s">
        <v>2929</v>
      </c>
      <c r="N717" s="65" t="s">
        <v>2930</v>
      </c>
      <c r="O717" s="65" t="s">
        <v>798</v>
      </c>
      <c r="P717" s="65" t="s">
        <v>2986</v>
      </c>
      <c r="Q717" s="65" t="s">
        <v>288</v>
      </c>
      <c r="R717">
        <v>1</v>
      </c>
      <c r="S717" s="65" t="s">
        <v>42</v>
      </c>
      <c r="T717" s="65" t="s">
        <v>44</v>
      </c>
      <c r="U717" s="65" t="s">
        <v>44</v>
      </c>
      <c r="V717" s="65" t="s">
        <v>45</v>
      </c>
      <c r="W717" s="65" t="s">
        <v>60</v>
      </c>
      <c r="X717">
        <v>0</v>
      </c>
      <c r="Y717" s="65" t="s">
        <v>289</v>
      </c>
      <c r="Z717" s="65" t="s">
        <v>48</v>
      </c>
      <c r="AA717" s="65" t="s">
        <v>49</v>
      </c>
      <c r="AC717" s="65"/>
    </row>
    <row r="718" spans="1:30" x14ac:dyDescent="0.3">
      <c r="A718" s="1">
        <v>46287</v>
      </c>
      <c r="B718" s="65" t="s">
        <v>4006</v>
      </c>
      <c r="C718" s="65" t="s">
        <v>2983</v>
      </c>
      <c r="D718" s="65" t="s">
        <v>268</v>
      </c>
      <c r="E718" s="65" t="s">
        <v>2984</v>
      </c>
      <c r="F718" s="65" t="s">
        <v>31</v>
      </c>
      <c r="G718" s="65" t="s">
        <v>2985</v>
      </c>
      <c r="H718" s="65" t="s">
        <v>2927</v>
      </c>
      <c r="I718" s="65" t="s">
        <v>2928</v>
      </c>
      <c r="J718" s="65" t="s">
        <v>774</v>
      </c>
      <c r="K718" s="65" t="s">
        <v>775</v>
      </c>
      <c r="L718" s="65" t="s">
        <v>37</v>
      </c>
      <c r="M718" s="65" t="s">
        <v>2929</v>
      </c>
      <c r="N718" s="65" t="s">
        <v>2930</v>
      </c>
      <c r="O718" s="65" t="s">
        <v>798</v>
      </c>
      <c r="P718" s="65" t="s">
        <v>2986</v>
      </c>
      <c r="Q718" s="65" t="s">
        <v>290</v>
      </c>
      <c r="R718">
        <v>1</v>
      </c>
      <c r="S718" s="65" t="s">
        <v>42</v>
      </c>
      <c r="T718" s="65" t="s">
        <v>44</v>
      </c>
      <c r="U718" s="65" t="s">
        <v>44</v>
      </c>
      <c r="V718" s="65" t="s">
        <v>45</v>
      </c>
      <c r="W718" s="65" t="s">
        <v>60</v>
      </c>
      <c r="X718">
        <v>762.71</v>
      </c>
      <c r="Y718" s="65" t="s">
        <v>289</v>
      </c>
      <c r="Z718" s="65" t="s">
        <v>48</v>
      </c>
      <c r="AA718" s="65" t="s">
        <v>49</v>
      </c>
      <c r="AC718" s="65"/>
    </row>
    <row r="719" spans="1:30" x14ac:dyDescent="0.3">
      <c r="A719" s="1">
        <v>46287</v>
      </c>
      <c r="B719" s="65" t="s">
        <v>4006</v>
      </c>
      <c r="C719" s="65" t="s">
        <v>4364</v>
      </c>
      <c r="D719" s="65" t="s">
        <v>29</v>
      </c>
      <c r="E719" s="65" t="s">
        <v>4365</v>
      </c>
      <c r="F719" s="65" t="s">
        <v>31</v>
      </c>
      <c r="G719" s="65" t="s">
        <v>4366</v>
      </c>
      <c r="H719" s="65" t="s">
        <v>4367</v>
      </c>
      <c r="I719" s="65" t="s">
        <v>4368</v>
      </c>
      <c r="J719" s="65"/>
      <c r="K719" s="65"/>
      <c r="L719" s="65" t="s">
        <v>37</v>
      </c>
      <c r="M719" s="65" t="s">
        <v>4369</v>
      </c>
      <c r="N719" s="65" t="s">
        <v>4370</v>
      </c>
      <c r="O719" s="65" t="s">
        <v>4367</v>
      </c>
      <c r="P719" s="65" t="s">
        <v>4371</v>
      </c>
      <c r="Q719" s="65" t="s">
        <v>90</v>
      </c>
      <c r="R719">
        <v>1</v>
      </c>
      <c r="S719" s="65" t="s">
        <v>42</v>
      </c>
      <c r="T719" s="65" t="s">
        <v>44</v>
      </c>
      <c r="U719" s="65" t="s">
        <v>44</v>
      </c>
      <c r="V719" s="65" t="s">
        <v>45</v>
      </c>
      <c r="W719" s="65" t="s">
        <v>46</v>
      </c>
      <c r="X719">
        <v>135.59</v>
      </c>
      <c r="Y719" s="65" t="s">
        <v>47</v>
      </c>
      <c r="Z719" s="65" t="s">
        <v>48</v>
      </c>
      <c r="AA719" s="65" t="s">
        <v>49</v>
      </c>
      <c r="AC719" s="65"/>
      <c r="AD719">
        <v>30</v>
      </c>
    </row>
    <row r="720" spans="1:30" x14ac:dyDescent="0.3">
      <c r="A720" s="1">
        <v>46287</v>
      </c>
      <c r="B720" s="65" t="s">
        <v>4006</v>
      </c>
      <c r="C720" s="65" t="s">
        <v>4364</v>
      </c>
      <c r="D720" s="65" t="s">
        <v>29</v>
      </c>
      <c r="E720" s="65" t="s">
        <v>4365</v>
      </c>
      <c r="F720" s="65" t="s">
        <v>31</v>
      </c>
      <c r="G720" s="65" t="s">
        <v>4366</v>
      </c>
      <c r="H720" s="65" t="s">
        <v>4367</v>
      </c>
      <c r="I720" s="65" t="s">
        <v>4368</v>
      </c>
      <c r="J720" s="65"/>
      <c r="K720" s="65"/>
      <c r="L720" s="65" t="s">
        <v>37</v>
      </c>
      <c r="M720" s="65" t="s">
        <v>4369</v>
      </c>
      <c r="N720" s="65" t="s">
        <v>4370</v>
      </c>
      <c r="O720" s="65" t="s">
        <v>4367</v>
      </c>
      <c r="P720" s="65" t="s">
        <v>4371</v>
      </c>
      <c r="Q720" s="65" t="s">
        <v>201</v>
      </c>
      <c r="R720">
        <v>1</v>
      </c>
      <c r="S720" s="65" t="s">
        <v>42</v>
      </c>
      <c r="T720" s="65" t="s">
        <v>44</v>
      </c>
      <c r="U720" s="65" t="s">
        <v>44</v>
      </c>
      <c r="V720" s="65" t="s">
        <v>45</v>
      </c>
      <c r="W720" s="65" t="s">
        <v>46</v>
      </c>
      <c r="X720">
        <v>152.54</v>
      </c>
      <c r="Y720" s="65" t="s">
        <v>47</v>
      </c>
      <c r="Z720" s="65" t="s">
        <v>48</v>
      </c>
      <c r="AA720" s="65" t="s">
        <v>49</v>
      </c>
      <c r="AC720" s="65"/>
      <c r="AD720">
        <v>30</v>
      </c>
    </row>
    <row r="721" spans="1:30" x14ac:dyDescent="0.3">
      <c r="A721" s="1">
        <v>46287</v>
      </c>
      <c r="B721" s="65" t="s">
        <v>4006</v>
      </c>
      <c r="C721" s="65" t="s">
        <v>4364</v>
      </c>
      <c r="D721" s="65" t="s">
        <v>29</v>
      </c>
      <c r="E721" s="65" t="s">
        <v>4365</v>
      </c>
      <c r="F721" s="65" t="s">
        <v>31</v>
      </c>
      <c r="G721" s="65" t="s">
        <v>4366</v>
      </c>
      <c r="H721" s="65" t="s">
        <v>4367</v>
      </c>
      <c r="I721" s="65" t="s">
        <v>4368</v>
      </c>
      <c r="J721" s="65"/>
      <c r="K721" s="65"/>
      <c r="L721" s="65" t="s">
        <v>37</v>
      </c>
      <c r="M721" s="65" t="s">
        <v>4369</v>
      </c>
      <c r="N721" s="65" t="s">
        <v>4370</v>
      </c>
      <c r="O721" s="65" t="s">
        <v>4367</v>
      </c>
      <c r="P721" s="65" t="s">
        <v>4371</v>
      </c>
      <c r="Q721" s="65" t="s">
        <v>202</v>
      </c>
      <c r="R721">
        <v>1</v>
      </c>
      <c r="S721" s="65" t="s">
        <v>42</v>
      </c>
      <c r="T721" s="65" t="s">
        <v>44</v>
      </c>
      <c r="U721" s="65" t="s">
        <v>44</v>
      </c>
      <c r="V721" s="65" t="s">
        <v>45</v>
      </c>
      <c r="W721" s="65" t="s">
        <v>46</v>
      </c>
      <c r="X721">
        <v>135.59</v>
      </c>
      <c r="Y721" s="65" t="s">
        <v>47</v>
      </c>
      <c r="Z721" s="65" t="s">
        <v>48</v>
      </c>
      <c r="AA721" s="65" t="s">
        <v>49</v>
      </c>
      <c r="AC721" s="65"/>
      <c r="AD721">
        <v>30</v>
      </c>
    </row>
    <row r="722" spans="1:30" x14ac:dyDescent="0.3">
      <c r="A722" s="1">
        <v>46287</v>
      </c>
      <c r="B722" s="65" t="s">
        <v>4006</v>
      </c>
      <c r="C722" s="65" t="s">
        <v>4372</v>
      </c>
      <c r="D722" s="65" t="s">
        <v>29</v>
      </c>
      <c r="E722" s="65" t="s">
        <v>4373</v>
      </c>
      <c r="F722" s="65" t="s">
        <v>31</v>
      </c>
      <c r="G722" s="65" t="s">
        <v>4374</v>
      </c>
      <c r="H722" s="65" t="s">
        <v>4375</v>
      </c>
      <c r="I722" s="65" t="s">
        <v>4376</v>
      </c>
      <c r="J722" s="65" t="s">
        <v>1108</v>
      </c>
      <c r="K722" s="65" t="s">
        <v>209</v>
      </c>
      <c r="L722" s="65" t="s">
        <v>37</v>
      </c>
      <c r="M722" s="65" t="s">
        <v>4377</v>
      </c>
      <c r="N722" s="65" t="s">
        <v>4378</v>
      </c>
      <c r="O722" s="65" t="s">
        <v>4375</v>
      </c>
      <c r="P722" s="65" t="s">
        <v>4379</v>
      </c>
      <c r="Q722" s="65" t="s">
        <v>159</v>
      </c>
      <c r="R722">
        <v>1</v>
      </c>
      <c r="S722" s="65" t="s">
        <v>42</v>
      </c>
      <c r="T722" s="65" t="s">
        <v>44</v>
      </c>
      <c r="U722" s="65" t="s">
        <v>44</v>
      </c>
      <c r="V722" s="65" t="s">
        <v>45</v>
      </c>
      <c r="W722" s="65" t="s">
        <v>46</v>
      </c>
      <c r="X722">
        <v>135.59</v>
      </c>
      <c r="Y722" s="65" t="s">
        <v>47</v>
      </c>
      <c r="Z722" s="65" t="s">
        <v>48</v>
      </c>
      <c r="AA722" s="65" t="s">
        <v>49</v>
      </c>
      <c r="AB722">
        <v>970582106</v>
      </c>
      <c r="AC722" s="65" t="s">
        <v>1113</v>
      </c>
      <c r="AD722">
        <v>30</v>
      </c>
    </row>
    <row r="723" spans="1:30" x14ac:dyDescent="0.3">
      <c r="A723" s="1">
        <v>46287</v>
      </c>
      <c r="B723" s="65" t="s">
        <v>4006</v>
      </c>
      <c r="C723" s="65" t="s">
        <v>4380</v>
      </c>
      <c r="D723" s="65" t="s">
        <v>29</v>
      </c>
      <c r="E723" s="65" t="s">
        <v>4381</v>
      </c>
      <c r="F723" s="65" t="s">
        <v>31</v>
      </c>
      <c r="G723" s="65" t="s">
        <v>4382</v>
      </c>
      <c r="H723" s="65" t="s">
        <v>4383</v>
      </c>
      <c r="I723" s="65" t="s">
        <v>4384</v>
      </c>
      <c r="J723" s="65" t="s">
        <v>774</v>
      </c>
      <c r="K723" s="65" t="s">
        <v>775</v>
      </c>
      <c r="L723" s="65" t="s">
        <v>37</v>
      </c>
      <c r="M723" s="65" t="s">
        <v>4385</v>
      </c>
      <c r="N723" s="65" t="s">
        <v>4386</v>
      </c>
      <c r="O723" s="65" t="s">
        <v>4383</v>
      </c>
      <c r="P723" s="65" t="s">
        <v>4387</v>
      </c>
      <c r="Q723" s="65" t="s">
        <v>201</v>
      </c>
      <c r="R723">
        <v>1</v>
      </c>
      <c r="S723" s="65" t="s">
        <v>42</v>
      </c>
      <c r="T723" s="65" t="s">
        <v>44</v>
      </c>
      <c r="U723" s="65" t="s">
        <v>44</v>
      </c>
      <c r="V723" s="65" t="s">
        <v>45</v>
      </c>
      <c r="W723" s="65" t="s">
        <v>60</v>
      </c>
      <c r="X723">
        <v>152.54</v>
      </c>
      <c r="Y723" s="65" t="s">
        <v>47</v>
      </c>
      <c r="Z723" s="65" t="s">
        <v>48</v>
      </c>
      <c r="AA723" s="65" t="s">
        <v>49</v>
      </c>
      <c r="AC723" s="65"/>
      <c r="AD723">
        <v>30</v>
      </c>
    </row>
    <row r="724" spans="1:30" x14ac:dyDescent="0.3">
      <c r="A724" s="1">
        <v>46287</v>
      </c>
      <c r="B724" s="65" t="s">
        <v>4006</v>
      </c>
      <c r="C724" s="65" t="s">
        <v>4380</v>
      </c>
      <c r="D724" s="65" t="s">
        <v>29</v>
      </c>
      <c r="E724" s="65" t="s">
        <v>4381</v>
      </c>
      <c r="F724" s="65" t="s">
        <v>31</v>
      </c>
      <c r="G724" s="65" t="s">
        <v>4382</v>
      </c>
      <c r="H724" s="65" t="s">
        <v>4383</v>
      </c>
      <c r="I724" s="65" t="s">
        <v>4384</v>
      </c>
      <c r="J724" s="65" t="s">
        <v>774</v>
      </c>
      <c r="K724" s="65" t="s">
        <v>775</v>
      </c>
      <c r="L724" s="65" t="s">
        <v>37</v>
      </c>
      <c r="M724" s="65" t="s">
        <v>4385</v>
      </c>
      <c r="N724" s="65" t="s">
        <v>4386</v>
      </c>
      <c r="O724" s="65" t="s">
        <v>4383</v>
      </c>
      <c r="P724" s="65" t="s">
        <v>4387</v>
      </c>
      <c r="Q724" s="65" t="s">
        <v>202</v>
      </c>
      <c r="R724">
        <v>1</v>
      </c>
      <c r="S724" s="65" t="s">
        <v>42</v>
      </c>
      <c r="T724" s="65" t="s">
        <v>44</v>
      </c>
      <c r="U724" s="65" t="s">
        <v>44</v>
      </c>
      <c r="V724" s="65" t="s">
        <v>45</v>
      </c>
      <c r="W724" s="65" t="s">
        <v>60</v>
      </c>
      <c r="X724">
        <v>135.59</v>
      </c>
      <c r="Y724" s="65" t="s">
        <v>47</v>
      </c>
      <c r="Z724" s="65" t="s">
        <v>48</v>
      </c>
      <c r="AA724" s="65" t="s">
        <v>49</v>
      </c>
      <c r="AC724" s="65"/>
      <c r="AD724">
        <v>30</v>
      </c>
    </row>
    <row r="725" spans="1:30" x14ac:dyDescent="0.3">
      <c r="A725" s="1">
        <v>46287</v>
      </c>
      <c r="B725" s="65" t="s">
        <v>4006</v>
      </c>
      <c r="C725" s="65" t="s">
        <v>4388</v>
      </c>
      <c r="D725" s="65" t="s">
        <v>29</v>
      </c>
      <c r="E725" s="65" t="s">
        <v>4389</v>
      </c>
      <c r="F725" s="65" t="s">
        <v>31</v>
      </c>
      <c r="G725" s="65" t="s">
        <v>4390</v>
      </c>
      <c r="H725" s="65" t="s">
        <v>4391</v>
      </c>
      <c r="I725" s="65" t="s">
        <v>4392</v>
      </c>
      <c r="J725" s="65" t="s">
        <v>1108</v>
      </c>
      <c r="K725" s="65" t="s">
        <v>209</v>
      </c>
      <c r="L725" s="65" t="s">
        <v>37</v>
      </c>
      <c r="M725" s="65" t="s">
        <v>4393</v>
      </c>
      <c r="N725" s="65" t="s">
        <v>4394</v>
      </c>
      <c r="O725" s="65" t="s">
        <v>4391</v>
      </c>
      <c r="P725" s="65" t="s">
        <v>4395</v>
      </c>
      <c r="Q725" s="65" t="s">
        <v>90</v>
      </c>
      <c r="R725">
        <v>1</v>
      </c>
      <c r="S725" s="65" t="s">
        <v>42</v>
      </c>
      <c r="T725" s="65" t="s">
        <v>44</v>
      </c>
      <c r="U725" s="65" t="s">
        <v>44</v>
      </c>
      <c r="V725" s="65" t="s">
        <v>71</v>
      </c>
      <c r="W725" s="65" t="s">
        <v>72</v>
      </c>
      <c r="X725">
        <v>135.59</v>
      </c>
      <c r="Y725" s="65" t="s">
        <v>47</v>
      </c>
      <c r="Z725" s="65" t="s">
        <v>48</v>
      </c>
      <c r="AA725" s="65" t="s">
        <v>73</v>
      </c>
      <c r="AB725">
        <v>970582106</v>
      </c>
      <c r="AC725" s="65" t="s">
        <v>1113</v>
      </c>
      <c r="AD725">
        <v>30</v>
      </c>
    </row>
    <row r="726" spans="1:30" x14ac:dyDescent="0.3">
      <c r="A726" s="1">
        <v>46287</v>
      </c>
      <c r="B726" s="65" t="s">
        <v>4006</v>
      </c>
      <c r="C726" s="65" t="s">
        <v>4396</v>
      </c>
      <c r="D726" s="65" t="s">
        <v>29</v>
      </c>
      <c r="E726" s="65" t="s">
        <v>4397</v>
      </c>
      <c r="F726" s="65" t="s">
        <v>31</v>
      </c>
      <c r="G726" s="65" t="s">
        <v>4398</v>
      </c>
      <c r="H726" s="65" t="s">
        <v>4399</v>
      </c>
      <c r="I726" s="65" t="s">
        <v>4400</v>
      </c>
      <c r="J726" s="65" t="s">
        <v>2795</v>
      </c>
      <c r="K726" s="65" t="s">
        <v>209</v>
      </c>
      <c r="L726" s="65" t="s">
        <v>37</v>
      </c>
      <c r="M726" s="65" t="s">
        <v>4401</v>
      </c>
      <c r="N726" s="65" t="s">
        <v>4402</v>
      </c>
      <c r="O726" s="65" t="s">
        <v>4399</v>
      </c>
      <c r="P726" s="65" t="s">
        <v>4403</v>
      </c>
      <c r="Q726" s="65" t="s">
        <v>90</v>
      </c>
      <c r="R726">
        <v>1</v>
      </c>
      <c r="S726" s="65" t="s">
        <v>42</v>
      </c>
      <c r="T726" s="65" t="s">
        <v>44</v>
      </c>
      <c r="U726" s="65" t="s">
        <v>44</v>
      </c>
      <c r="V726" s="65" t="s">
        <v>45</v>
      </c>
      <c r="W726" s="65" t="s">
        <v>60</v>
      </c>
      <c r="X726">
        <v>135.59</v>
      </c>
      <c r="Y726" s="65" t="s">
        <v>47</v>
      </c>
      <c r="Z726" s="65" t="s">
        <v>48</v>
      </c>
      <c r="AA726" s="65" t="s">
        <v>49</v>
      </c>
      <c r="AB726">
        <v>994872106</v>
      </c>
      <c r="AC726" s="65" t="s">
        <v>1253</v>
      </c>
      <c r="AD726">
        <v>30</v>
      </c>
    </row>
    <row r="727" spans="1:30" x14ac:dyDescent="0.3">
      <c r="A727" s="1">
        <v>46288</v>
      </c>
      <c r="B727" s="65" t="s">
        <v>4006</v>
      </c>
      <c r="C727" s="65" t="s">
        <v>2987</v>
      </c>
      <c r="D727" s="65" t="s">
        <v>29</v>
      </c>
      <c r="E727" s="65" t="s">
        <v>2988</v>
      </c>
      <c r="F727" s="65" t="s">
        <v>31</v>
      </c>
      <c r="G727" s="65" t="s">
        <v>2989</v>
      </c>
      <c r="H727" s="65" t="s">
        <v>2990</v>
      </c>
      <c r="I727" s="65" t="s">
        <v>2991</v>
      </c>
      <c r="J727" s="65" t="s">
        <v>434</v>
      </c>
      <c r="K727" s="65" t="s">
        <v>435</v>
      </c>
      <c r="L727" s="65" t="s">
        <v>37</v>
      </c>
      <c r="M727" s="65" t="s">
        <v>2992</v>
      </c>
      <c r="N727" s="65" t="s">
        <v>2993</v>
      </c>
      <c r="O727" s="65" t="s">
        <v>2990</v>
      </c>
      <c r="P727" s="65" t="s">
        <v>2994</v>
      </c>
      <c r="Q727" s="65" t="s">
        <v>349</v>
      </c>
      <c r="R727">
        <v>1</v>
      </c>
      <c r="S727" s="65" t="s">
        <v>70</v>
      </c>
      <c r="T727" s="65" t="s">
        <v>43</v>
      </c>
      <c r="U727" s="65" t="s">
        <v>44</v>
      </c>
      <c r="V727" s="65" t="s">
        <v>71</v>
      </c>
      <c r="W727" s="65" t="s">
        <v>184</v>
      </c>
      <c r="X727">
        <v>169.49</v>
      </c>
      <c r="Y727" s="65" t="s">
        <v>47</v>
      </c>
      <c r="Z727" s="65" t="s">
        <v>48</v>
      </c>
      <c r="AA727" s="65" t="s">
        <v>73</v>
      </c>
      <c r="AB727">
        <v>992903716</v>
      </c>
      <c r="AC727" s="65" t="s">
        <v>439</v>
      </c>
      <c r="AD727">
        <v>50</v>
      </c>
    </row>
    <row r="728" spans="1:30" x14ac:dyDescent="0.3">
      <c r="A728" s="1">
        <v>46288</v>
      </c>
      <c r="B728" s="65" t="s">
        <v>4006</v>
      </c>
      <c r="C728" s="65" t="s">
        <v>2995</v>
      </c>
      <c r="D728" s="65" t="s">
        <v>29</v>
      </c>
      <c r="E728" s="65" t="s">
        <v>2996</v>
      </c>
      <c r="F728" s="65" t="s">
        <v>31</v>
      </c>
      <c r="G728" s="65" t="s">
        <v>2997</v>
      </c>
      <c r="H728" s="65" t="s">
        <v>2998</v>
      </c>
      <c r="I728" s="65" t="s">
        <v>2999</v>
      </c>
      <c r="J728" s="65" t="s">
        <v>4404</v>
      </c>
      <c r="K728" s="65" t="s">
        <v>629</v>
      </c>
      <c r="L728" s="65" t="s">
        <v>37</v>
      </c>
      <c r="M728" s="65" t="s">
        <v>3000</v>
      </c>
      <c r="N728" s="65" t="s">
        <v>2993</v>
      </c>
      <c r="O728" s="65" t="s">
        <v>2998</v>
      </c>
      <c r="P728" s="65" t="s">
        <v>3001</v>
      </c>
      <c r="Q728" s="65" t="s">
        <v>349</v>
      </c>
      <c r="R728">
        <v>1</v>
      </c>
      <c r="S728" s="65" t="s">
        <v>70</v>
      </c>
      <c r="T728" s="65" t="s">
        <v>43</v>
      </c>
      <c r="U728" s="65" t="s">
        <v>44</v>
      </c>
      <c r="V728" s="65" t="s">
        <v>71</v>
      </c>
      <c r="W728" s="65" t="s">
        <v>184</v>
      </c>
      <c r="X728">
        <v>169.49</v>
      </c>
      <c r="Y728" s="65" t="s">
        <v>47</v>
      </c>
      <c r="Z728" s="65" t="s">
        <v>48</v>
      </c>
      <c r="AA728" s="65" t="s">
        <v>73</v>
      </c>
      <c r="AB728">
        <v>942116231</v>
      </c>
      <c r="AC728" s="65"/>
      <c r="AD728">
        <v>50</v>
      </c>
    </row>
    <row r="729" spans="1:30" x14ac:dyDescent="0.3">
      <c r="A729" s="1">
        <v>46288</v>
      </c>
      <c r="B729" s="65" t="s">
        <v>4006</v>
      </c>
      <c r="C729" s="65" t="s">
        <v>3002</v>
      </c>
      <c r="D729" s="65" t="s">
        <v>399</v>
      </c>
      <c r="E729" s="65" t="s">
        <v>2988</v>
      </c>
      <c r="F729" s="65" t="s">
        <v>400</v>
      </c>
      <c r="G729" s="65" t="s">
        <v>3003</v>
      </c>
      <c r="H729" s="65" t="s">
        <v>2990</v>
      </c>
      <c r="I729" s="65" t="s">
        <v>2991</v>
      </c>
      <c r="J729" s="65" t="s">
        <v>434</v>
      </c>
      <c r="K729" s="65" t="s">
        <v>435</v>
      </c>
      <c r="L729" s="65" t="s">
        <v>400</v>
      </c>
      <c r="M729" s="65" t="s">
        <v>2992</v>
      </c>
      <c r="N729" s="65" t="s">
        <v>2993</v>
      </c>
      <c r="O729" s="65" t="s">
        <v>2990</v>
      </c>
      <c r="P729" s="65" t="s">
        <v>2994</v>
      </c>
      <c r="Q729" s="65" t="s">
        <v>349</v>
      </c>
      <c r="R729">
        <v>1</v>
      </c>
      <c r="S729" s="65" t="s">
        <v>70</v>
      </c>
      <c r="T729" s="65" t="s">
        <v>43</v>
      </c>
      <c r="U729" s="65" t="s">
        <v>44</v>
      </c>
      <c r="V729" s="65" t="s">
        <v>71</v>
      </c>
      <c r="W729" s="65" t="s">
        <v>184</v>
      </c>
      <c r="X729">
        <v>-169.49</v>
      </c>
      <c r="Y729" s="65" t="s">
        <v>47</v>
      </c>
      <c r="Z729" s="65" t="s">
        <v>48</v>
      </c>
      <c r="AA729" s="65" t="s">
        <v>73</v>
      </c>
      <c r="AB729">
        <v>992903716</v>
      </c>
      <c r="AC729" s="65" t="s">
        <v>439</v>
      </c>
      <c r="AD729">
        <v>50</v>
      </c>
    </row>
    <row r="730" spans="1:30" x14ac:dyDescent="0.3">
      <c r="A730" s="1">
        <v>46288</v>
      </c>
      <c r="B730" s="65" t="s">
        <v>4006</v>
      </c>
      <c r="C730" s="65" t="s">
        <v>4405</v>
      </c>
      <c r="D730" s="65" t="s">
        <v>29</v>
      </c>
      <c r="E730" s="65" t="s">
        <v>4406</v>
      </c>
      <c r="F730" s="65" t="s">
        <v>31</v>
      </c>
      <c r="G730" s="65" t="s">
        <v>4407</v>
      </c>
      <c r="H730" s="65" t="s">
        <v>4408</v>
      </c>
      <c r="I730" s="65" t="s">
        <v>4409</v>
      </c>
      <c r="J730" s="65" t="s">
        <v>2795</v>
      </c>
      <c r="K730" s="65" t="s">
        <v>209</v>
      </c>
      <c r="L730" s="65" t="s">
        <v>37</v>
      </c>
      <c r="M730" s="65" t="s">
        <v>4410</v>
      </c>
      <c r="N730" s="65" t="s">
        <v>4411</v>
      </c>
      <c r="O730" s="65" t="s">
        <v>4408</v>
      </c>
      <c r="P730" s="65" t="s">
        <v>4412</v>
      </c>
      <c r="Q730" s="65" t="s">
        <v>202</v>
      </c>
      <c r="R730">
        <v>1</v>
      </c>
      <c r="S730" s="65" t="s">
        <v>42</v>
      </c>
      <c r="T730" s="65" t="s">
        <v>44</v>
      </c>
      <c r="U730" s="65" t="s">
        <v>44</v>
      </c>
      <c r="V730" s="65" t="s">
        <v>45</v>
      </c>
      <c r="W730" s="65" t="s">
        <v>60</v>
      </c>
      <c r="X730">
        <v>135.59</v>
      </c>
      <c r="Y730" s="65" t="s">
        <v>47</v>
      </c>
      <c r="Z730" s="65" t="s">
        <v>48</v>
      </c>
      <c r="AA730" s="65" t="s">
        <v>49</v>
      </c>
      <c r="AB730">
        <v>994872106</v>
      </c>
      <c r="AC730" s="65" t="s">
        <v>1253</v>
      </c>
      <c r="AD730">
        <v>30</v>
      </c>
    </row>
    <row r="731" spans="1:30" x14ac:dyDescent="0.3">
      <c r="A731" s="1">
        <v>46288</v>
      </c>
      <c r="B731" s="65" t="s">
        <v>4006</v>
      </c>
      <c r="C731" s="65" t="s">
        <v>4405</v>
      </c>
      <c r="D731" s="65" t="s">
        <v>29</v>
      </c>
      <c r="E731" s="65" t="s">
        <v>4406</v>
      </c>
      <c r="F731" s="65" t="s">
        <v>31</v>
      </c>
      <c r="G731" s="65" t="s">
        <v>4407</v>
      </c>
      <c r="H731" s="65" t="s">
        <v>4408</v>
      </c>
      <c r="I731" s="65" t="s">
        <v>4409</v>
      </c>
      <c r="J731" s="65" t="s">
        <v>2795</v>
      </c>
      <c r="K731" s="65" t="s">
        <v>209</v>
      </c>
      <c r="L731" s="65" t="s">
        <v>37</v>
      </c>
      <c r="M731" s="65" t="s">
        <v>4410</v>
      </c>
      <c r="N731" s="65" t="s">
        <v>4411</v>
      </c>
      <c r="O731" s="65" t="s">
        <v>4408</v>
      </c>
      <c r="P731" s="65" t="s">
        <v>4412</v>
      </c>
      <c r="Q731" s="65" t="s">
        <v>201</v>
      </c>
      <c r="R731">
        <v>1</v>
      </c>
      <c r="S731" s="65" t="s">
        <v>42</v>
      </c>
      <c r="T731" s="65" t="s">
        <v>44</v>
      </c>
      <c r="U731" s="65" t="s">
        <v>44</v>
      </c>
      <c r="V731" s="65" t="s">
        <v>45</v>
      </c>
      <c r="W731" s="65" t="s">
        <v>60</v>
      </c>
      <c r="X731">
        <v>152.54</v>
      </c>
      <c r="Y731" s="65" t="s">
        <v>47</v>
      </c>
      <c r="Z731" s="65" t="s">
        <v>48</v>
      </c>
      <c r="AA731" s="65" t="s">
        <v>49</v>
      </c>
      <c r="AB731">
        <v>994872106</v>
      </c>
      <c r="AC731" s="65" t="s">
        <v>1253</v>
      </c>
      <c r="AD731">
        <v>30</v>
      </c>
    </row>
    <row r="732" spans="1:30" x14ac:dyDescent="0.3">
      <c r="A732" s="1">
        <v>46288</v>
      </c>
      <c r="B732" s="65" t="s">
        <v>4006</v>
      </c>
      <c r="C732" s="65" t="s">
        <v>4413</v>
      </c>
      <c r="D732" s="65" t="s">
        <v>29</v>
      </c>
      <c r="E732" s="65" t="s">
        <v>4414</v>
      </c>
      <c r="F732" s="65" t="s">
        <v>31</v>
      </c>
      <c r="G732" s="65" t="s">
        <v>4415</v>
      </c>
      <c r="H732" s="65" t="s">
        <v>4416</v>
      </c>
      <c r="I732" s="65" t="s">
        <v>4417</v>
      </c>
      <c r="J732" s="65"/>
      <c r="K732" s="65"/>
      <c r="L732" s="65" t="s">
        <v>37</v>
      </c>
      <c r="M732" s="65" t="s">
        <v>4418</v>
      </c>
      <c r="N732" s="65" t="s">
        <v>4419</v>
      </c>
      <c r="O732" s="65" t="s">
        <v>4416</v>
      </c>
      <c r="P732" s="65" t="s">
        <v>4420</v>
      </c>
      <c r="Q732" s="65" t="s">
        <v>90</v>
      </c>
      <c r="R732">
        <v>1</v>
      </c>
      <c r="S732" s="65" t="s">
        <v>42</v>
      </c>
      <c r="T732" s="65" t="s">
        <v>44</v>
      </c>
      <c r="U732" s="65" t="s">
        <v>44</v>
      </c>
      <c r="V732" s="65" t="s">
        <v>531</v>
      </c>
      <c r="W732" s="65" t="s">
        <v>4049</v>
      </c>
      <c r="X732">
        <v>135.59</v>
      </c>
      <c r="Y732" s="65" t="s">
        <v>47</v>
      </c>
      <c r="Z732" s="65" t="s">
        <v>48</v>
      </c>
      <c r="AA732" s="65" t="s">
        <v>534</v>
      </c>
      <c r="AC732" s="65"/>
      <c r="AD732">
        <v>30</v>
      </c>
    </row>
    <row r="733" spans="1:30" x14ac:dyDescent="0.3">
      <c r="A733" s="1">
        <v>46289</v>
      </c>
      <c r="B733" s="65" t="s">
        <v>4006</v>
      </c>
      <c r="C733" s="65" t="s">
        <v>4421</v>
      </c>
      <c r="D733" s="65" t="s">
        <v>268</v>
      </c>
      <c r="E733" s="65" t="s">
        <v>4422</v>
      </c>
      <c r="F733" s="65" t="s">
        <v>31</v>
      </c>
      <c r="G733" s="65" t="s">
        <v>4423</v>
      </c>
      <c r="H733" s="65" t="s">
        <v>2547</v>
      </c>
      <c r="I733" s="65" t="s">
        <v>2548</v>
      </c>
      <c r="J733" s="65" t="s">
        <v>273</v>
      </c>
      <c r="K733" s="65" t="s">
        <v>274</v>
      </c>
      <c r="L733" s="65" t="s">
        <v>37</v>
      </c>
      <c r="M733" s="65" t="s">
        <v>2549</v>
      </c>
      <c r="N733" s="65" t="s">
        <v>2550</v>
      </c>
      <c r="O733" s="65" t="s">
        <v>277</v>
      </c>
      <c r="P733" s="65" t="s">
        <v>4424</v>
      </c>
      <c r="Q733" s="65" t="s">
        <v>290</v>
      </c>
      <c r="R733">
        <v>1</v>
      </c>
      <c r="S733" s="65" t="s">
        <v>42</v>
      </c>
      <c r="T733" s="65" t="s">
        <v>44</v>
      </c>
      <c r="U733" s="65" t="s">
        <v>44</v>
      </c>
      <c r="V733" s="65" t="s">
        <v>45</v>
      </c>
      <c r="W733" s="65" t="s">
        <v>46</v>
      </c>
      <c r="X733">
        <v>1050.8499999999999</v>
      </c>
      <c r="Y733" s="65" t="s">
        <v>289</v>
      </c>
      <c r="Z733" s="65" t="s">
        <v>48</v>
      </c>
      <c r="AA733" s="65" t="s">
        <v>49</v>
      </c>
      <c r="AB733">
        <v>950133748</v>
      </c>
      <c r="AC733" s="65" t="s">
        <v>279</v>
      </c>
    </row>
    <row r="734" spans="1:30" x14ac:dyDescent="0.3">
      <c r="A734" s="1">
        <v>46289</v>
      </c>
      <c r="B734" s="65" t="s">
        <v>4006</v>
      </c>
      <c r="C734" s="65" t="s">
        <v>4421</v>
      </c>
      <c r="D734" s="65" t="s">
        <v>268</v>
      </c>
      <c r="E734" s="65" t="s">
        <v>4422</v>
      </c>
      <c r="F734" s="65" t="s">
        <v>31</v>
      </c>
      <c r="G734" s="65" t="s">
        <v>4423</v>
      </c>
      <c r="H734" s="65" t="s">
        <v>2547</v>
      </c>
      <c r="I734" s="65" t="s">
        <v>2548</v>
      </c>
      <c r="J734" s="65" t="s">
        <v>273</v>
      </c>
      <c r="K734" s="65" t="s">
        <v>274</v>
      </c>
      <c r="L734" s="65" t="s">
        <v>37</v>
      </c>
      <c r="M734" s="65" t="s">
        <v>2549</v>
      </c>
      <c r="N734" s="65" t="s">
        <v>2550</v>
      </c>
      <c r="O734" s="65" t="s">
        <v>277</v>
      </c>
      <c r="P734" s="65" t="s">
        <v>4424</v>
      </c>
      <c r="Q734" s="65" t="s">
        <v>288</v>
      </c>
      <c r="R734">
        <v>1</v>
      </c>
      <c r="S734" s="65" t="s">
        <v>42</v>
      </c>
      <c r="T734" s="65" t="s">
        <v>44</v>
      </c>
      <c r="U734" s="65" t="s">
        <v>44</v>
      </c>
      <c r="V734" s="65" t="s">
        <v>45</v>
      </c>
      <c r="W734" s="65" t="s">
        <v>46</v>
      </c>
      <c r="X734">
        <v>0</v>
      </c>
      <c r="Y734" s="65" t="s">
        <v>289</v>
      </c>
      <c r="Z734" s="65" t="s">
        <v>48</v>
      </c>
      <c r="AA734" s="65" t="s">
        <v>49</v>
      </c>
      <c r="AB734">
        <v>950133748</v>
      </c>
      <c r="AC734" s="65" t="s">
        <v>279</v>
      </c>
    </row>
    <row r="735" spans="1:30" x14ac:dyDescent="0.3">
      <c r="A735" s="1">
        <v>46289</v>
      </c>
      <c r="B735" s="65" t="s">
        <v>4006</v>
      </c>
      <c r="C735" s="65" t="s">
        <v>4425</v>
      </c>
      <c r="D735" s="65" t="s">
        <v>268</v>
      </c>
      <c r="E735" s="65" t="s">
        <v>4426</v>
      </c>
      <c r="F735" s="65" t="s">
        <v>31</v>
      </c>
      <c r="G735" s="65" t="s">
        <v>4427</v>
      </c>
      <c r="H735" s="65" t="s">
        <v>4428</v>
      </c>
      <c r="I735" s="65" t="s">
        <v>4429</v>
      </c>
      <c r="J735" s="65" t="s">
        <v>136</v>
      </c>
      <c r="K735" s="65" t="s">
        <v>137</v>
      </c>
      <c r="L735" s="65" t="s">
        <v>37</v>
      </c>
      <c r="M735" s="65" t="s">
        <v>4430</v>
      </c>
      <c r="N735" s="65" t="s">
        <v>4431</v>
      </c>
      <c r="O735" s="65" t="s">
        <v>4428</v>
      </c>
      <c r="P735" s="65" t="s">
        <v>4432</v>
      </c>
      <c r="Q735" s="65" t="s">
        <v>159</v>
      </c>
      <c r="R735">
        <v>1</v>
      </c>
      <c r="S735" s="65" t="s">
        <v>42</v>
      </c>
      <c r="T735" s="65" t="s">
        <v>44</v>
      </c>
      <c r="U735" s="65" t="s">
        <v>44</v>
      </c>
      <c r="V735" s="65" t="s">
        <v>45</v>
      </c>
      <c r="W735" s="65" t="s">
        <v>60</v>
      </c>
      <c r="X735">
        <v>135.59</v>
      </c>
      <c r="Y735" s="65" t="s">
        <v>47</v>
      </c>
      <c r="Z735" s="65" t="s">
        <v>48</v>
      </c>
      <c r="AA735" s="65" t="s">
        <v>49</v>
      </c>
      <c r="AB735">
        <v>987407712</v>
      </c>
      <c r="AC735" s="65" t="s">
        <v>141</v>
      </c>
      <c r="AD735">
        <v>30</v>
      </c>
    </row>
    <row r="736" spans="1:30" x14ac:dyDescent="0.3">
      <c r="A736" s="1">
        <v>46289</v>
      </c>
      <c r="B736" s="65" t="s">
        <v>4006</v>
      </c>
      <c r="C736" s="65" t="s">
        <v>4425</v>
      </c>
      <c r="D736" s="65" t="s">
        <v>268</v>
      </c>
      <c r="E736" s="65" t="s">
        <v>4426</v>
      </c>
      <c r="F736" s="65" t="s">
        <v>31</v>
      </c>
      <c r="G736" s="65" t="s">
        <v>4427</v>
      </c>
      <c r="H736" s="65" t="s">
        <v>4428</v>
      </c>
      <c r="I736" s="65" t="s">
        <v>4429</v>
      </c>
      <c r="J736" s="65" t="s">
        <v>136</v>
      </c>
      <c r="K736" s="65" t="s">
        <v>137</v>
      </c>
      <c r="L736" s="65" t="s">
        <v>37</v>
      </c>
      <c r="M736" s="65" t="s">
        <v>4430</v>
      </c>
      <c r="N736" s="65" t="s">
        <v>4431</v>
      </c>
      <c r="O736" s="65" t="s">
        <v>4428</v>
      </c>
      <c r="P736" s="65" t="s">
        <v>4432</v>
      </c>
      <c r="Q736" s="65" t="s">
        <v>101</v>
      </c>
      <c r="R736">
        <v>1</v>
      </c>
      <c r="S736" s="65" t="s">
        <v>42</v>
      </c>
      <c r="T736" s="65" t="s">
        <v>44</v>
      </c>
      <c r="U736" s="65" t="s">
        <v>44</v>
      </c>
      <c r="V736" s="65" t="s">
        <v>45</v>
      </c>
      <c r="W736" s="65" t="s">
        <v>60</v>
      </c>
      <c r="X736">
        <v>186.44</v>
      </c>
      <c r="Y736" s="65" t="s">
        <v>47</v>
      </c>
      <c r="Z736" s="65" t="s">
        <v>48</v>
      </c>
      <c r="AA736" s="65" t="s">
        <v>49</v>
      </c>
      <c r="AB736">
        <v>987407712</v>
      </c>
      <c r="AC736" s="65" t="s">
        <v>141</v>
      </c>
      <c r="AD736">
        <v>50</v>
      </c>
    </row>
    <row r="737" spans="1:30" x14ac:dyDescent="0.3">
      <c r="A737" s="1">
        <v>46289</v>
      </c>
      <c r="B737" s="65" t="s">
        <v>4006</v>
      </c>
      <c r="C737" s="65" t="s">
        <v>4433</v>
      </c>
      <c r="D737" s="65" t="s">
        <v>268</v>
      </c>
      <c r="E737" s="65" t="s">
        <v>2389</v>
      </c>
      <c r="F737" s="65" t="s">
        <v>31</v>
      </c>
      <c r="G737" s="65" t="s">
        <v>4434</v>
      </c>
      <c r="H737" s="65" t="s">
        <v>4435</v>
      </c>
      <c r="I737" s="65" t="s">
        <v>4436</v>
      </c>
      <c r="J737" s="65" t="s">
        <v>1541</v>
      </c>
      <c r="K737" s="65" t="s">
        <v>1542</v>
      </c>
      <c r="L737" s="65" t="s">
        <v>37</v>
      </c>
      <c r="M737" s="65" t="s">
        <v>4437</v>
      </c>
      <c r="N737" s="65" t="s">
        <v>4438</v>
      </c>
      <c r="O737" s="65" t="s">
        <v>1251</v>
      </c>
      <c r="P737" s="65" t="s">
        <v>4439</v>
      </c>
      <c r="Q737" s="65" t="s">
        <v>1137</v>
      </c>
      <c r="R737">
        <v>1</v>
      </c>
      <c r="S737" s="65" t="s">
        <v>42</v>
      </c>
      <c r="T737" s="65" t="s">
        <v>44</v>
      </c>
      <c r="U737" s="65" t="s">
        <v>44</v>
      </c>
      <c r="V737" s="65" t="s">
        <v>45</v>
      </c>
      <c r="W737" s="65" t="s">
        <v>46</v>
      </c>
      <c r="X737">
        <v>847.46</v>
      </c>
      <c r="Y737" s="65" t="s">
        <v>289</v>
      </c>
      <c r="Z737" s="65" t="s">
        <v>48</v>
      </c>
      <c r="AA737" s="65" t="s">
        <v>49</v>
      </c>
      <c r="AB737">
        <v>990080724</v>
      </c>
      <c r="AC737" s="65" t="s">
        <v>1546</v>
      </c>
    </row>
    <row r="738" spans="1:30" x14ac:dyDescent="0.3">
      <c r="A738" s="1">
        <v>46289</v>
      </c>
      <c r="B738" s="65" t="s">
        <v>4006</v>
      </c>
      <c r="C738" s="65" t="s">
        <v>4433</v>
      </c>
      <c r="D738" s="65" t="s">
        <v>268</v>
      </c>
      <c r="E738" s="65" t="s">
        <v>2389</v>
      </c>
      <c r="F738" s="65" t="s">
        <v>31</v>
      </c>
      <c r="G738" s="65" t="s">
        <v>4434</v>
      </c>
      <c r="H738" s="65" t="s">
        <v>4435</v>
      </c>
      <c r="I738" s="65" t="s">
        <v>4436</v>
      </c>
      <c r="J738" s="65" t="s">
        <v>1541</v>
      </c>
      <c r="K738" s="65" t="s">
        <v>1542</v>
      </c>
      <c r="L738" s="65" t="s">
        <v>37</v>
      </c>
      <c r="M738" s="65" t="s">
        <v>4437</v>
      </c>
      <c r="N738" s="65" t="s">
        <v>4438</v>
      </c>
      <c r="O738" s="65" t="s">
        <v>1251</v>
      </c>
      <c r="P738" s="65" t="s">
        <v>4439</v>
      </c>
      <c r="Q738" s="65" t="s">
        <v>288</v>
      </c>
      <c r="R738">
        <v>1</v>
      </c>
      <c r="S738" s="65" t="s">
        <v>42</v>
      </c>
      <c r="T738" s="65" t="s">
        <v>44</v>
      </c>
      <c r="U738" s="65" t="s">
        <v>44</v>
      </c>
      <c r="V738" s="65" t="s">
        <v>45</v>
      </c>
      <c r="W738" s="65" t="s">
        <v>46</v>
      </c>
      <c r="X738">
        <v>0</v>
      </c>
      <c r="Y738" s="65" t="s">
        <v>289</v>
      </c>
      <c r="Z738" s="65" t="s">
        <v>48</v>
      </c>
      <c r="AA738" s="65" t="s">
        <v>49</v>
      </c>
      <c r="AB738">
        <v>990080724</v>
      </c>
      <c r="AC738" s="65" t="s">
        <v>1546</v>
      </c>
    </row>
    <row r="739" spans="1:30" x14ac:dyDescent="0.3">
      <c r="A739" s="1">
        <v>46289</v>
      </c>
      <c r="B739" s="65" t="s">
        <v>4006</v>
      </c>
      <c r="C739" s="65" t="s">
        <v>4440</v>
      </c>
      <c r="D739" s="65" t="s">
        <v>29</v>
      </c>
      <c r="E739" s="65" t="s">
        <v>4441</v>
      </c>
      <c r="F739" s="65" t="s">
        <v>31</v>
      </c>
      <c r="G739" s="65" t="s">
        <v>4442</v>
      </c>
      <c r="H739" s="65" t="s">
        <v>4443</v>
      </c>
      <c r="I739" s="65" t="s">
        <v>4444</v>
      </c>
      <c r="J739" s="65" t="s">
        <v>774</v>
      </c>
      <c r="K739" s="65" t="s">
        <v>775</v>
      </c>
      <c r="L739" s="65" t="s">
        <v>37</v>
      </c>
      <c r="M739" s="65" t="s">
        <v>4445</v>
      </c>
      <c r="N739" s="65" t="s">
        <v>4446</v>
      </c>
      <c r="O739" s="65" t="s">
        <v>4443</v>
      </c>
      <c r="P739" s="65" t="s">
        <v>4447</v>
      </c>
      <c r="Q739" s="65" t="s">
        <v>41</v>
      </c>
      <c r="R739">
        <v>1</v>
      </c>
      <c r="S739" s="65" t="s">
        <v>42</v>
      </c>
      <c r="T739" s="65" t="s">
        <v>44</v>
      </c>
      <c r="U739" s="65" t="s">
        <v>44</v>
      </c>
      <c r="V739" s="65" t="s">
        <v>71</v>
      </c>
      <c r="W739" s="65" t="s">
        <v>184</v>
      </c>
      <c r="X739">
        <v>186.44</v>
      </c>
      <c r="Y739" s="65" t="s">
        <v>47</v>
      </c>
      <c r="Z739" s="65" t="s">
        <v>48</v>
      </c>
      <c r="AA739" s="65" t="s">
        <v>73</v>
      </c>
      <c r="AC739" s="65"/>
      <c r="AD739">
        <v>50</v>
      </c>
    </row>
    <row r="740" spans="1:30" x14ac:dyDescent="0.3">
      <c r="A740" s="1">
        <v>46289</v>
      </c>
      <c r="B740" s="65" t="s">
        <v>4006</v>
      </c>
      <c r="C740" s="65" t="s">
        <v>4448</v>
      </c>
      <c r="D740" s="65" t="s">
        <v>268</v>
      </c>
      <c r="E740" s="65" t="s">
        <v>4449</v>
      </c>
      <c r="F740" s="65" t="s">
        <v>31</v>
      </c>
      <c r="G740" s="65" t="s">
        <v>4450</v>
      </c>
      <c r="H740" s="65" t="s">
        <v>4451</v>
      </c>
      <c r="I740" s="65" t="s">
        <v>4452</v>
      </c>
      <c r="J740" s="65" t="s">
        <v>1322</v>
      </c>
      <c r="K740" s="65" t="s">
        <v>36</v>
      </c>
      <c r="L740" s="65" t="s">
        <v>37</v>
      </c>
      <c r="M740" s="65" t="s">
        <v>4453</v>
      </c>
      <c r="N740" s="65" t="s">
        <v>4454</v>
      </c>
      <c r="O740" s="65" t="s">
        <v>4455</v>
      </c>
      <c r="P740" s="65" t="s">
        <v>4456</v>
      </c>
      <c r="Q740" s="65" t="s">
        <v>90</v>
      </c>
      <c r="R740">
        <v>1</v>
      </c>
      <c r="S740" s="65" t="s">
        <v>42</v>
      </c>
      <c r="T740" s="65" t="s">
        <v>44</v>
      </c>
      <c r="U740" s="65" t="s">
        <v>44</v>
      </c>
      <c r="V740" s="65" t="s">
        <v>45</v>
      </c>
      <c r="W740" s="65" t="s">
        <v>60</v>
      </c>
      <c r="X740">
        <v>135.59</v>
      </c>
      <c r="Y740" s="65" t="s">
        <v>47</v>
      </c>
      <c r="Z740" s="65" t="s">
        <v>48</v>
      </c>
      <c r="AA740" s="65" t="s">
        <v>49</v>
      </c>
      <c r="AB740">
        <v>999111362</v>
      </c>
      <c r="AC740" s="65" t="s">
        <v>1326</v>
      </c>
      <c r="AD740">
        <v>30</v>
      </c>
    </row>
    <row r="741" spans="1:30" x14ac:dyDescent="0.3">
      <c r="A741" s="1">
        <v>46289</v>
      </c>
      <c r="B741" s="65" t="s">
        <v>4006</v>
      </c>
      <c r="C741" s="65" t="s">
        <v>4457</v>
      </c>
      <c r="D741" s="65" t="s">
        <v>29</v>
      </c>
      <c r="E741" s="65" t="s">
        <v>4458</v>
      </c>
      <c r="F741" s="65" t="s">
        <v>31</v>
      </c>
      <c r="G741" s="65" t="s">
        <v>4459</v>
      </c>
      <c r="H741" s="65" t="s">
        <v>4460</v>
      </c>
      <c r="I741" s="65" t="s">
        <v>4461</v>
      </c>
      <c r="J741" s="65" t="s">
        <v>4680</v>
      </c>
      <c r="K741" s="65" t="s">
        <v>1864</v>
      </c>
      <c r="L741" s="65" t="s">
        <v>37</v>
      </c>
      <c r="M741" s="65" t="s">
        <v>4462</v>
      </c>
      <c r="N741" s="65" t="s">
        <v>4463</v>
      </c>
      <c r="O741" s="65" t="s">
        <v>4460</v>
      </c>
      <c r="P741" s="65" t="s">
        <v>4464</v>
      </c>
      <c r="Q741" s="65" t="s">
        <v>159</v>
      </c>
      <c r="R741">
        <v>1</v>
      </c>
      <c r="S741" s="65" t="s">
        <v>42</v>
      </c>
      <c r="T741" s="65" t="s">
        <v>44</v>
      </c>
      <c r="U741" s="65" t="s">
        <v>44</v>
      </c>
      <c r="V741" s="65" t="s">
        <v>45</v>
      </c>
      <c r="W741" s="65" t="s">
        <v>60</v>
      </c>
      <c r="X741">
        <v>135.59</v>
      </c>
      <c r="Y741" s="65" t="s">
        <v>47</v>
      </c>
      <c r="Z741" s="65" t="s">
        <v>48</v>
      </c>
      <c r="AA741" s="65" t="s">
        <v>49</v>
      </c>
      <c r="AB741">
        <v>901918745</v>
      </c>
      <c r="AC741" s="65"/>
      <c r="AD741">
        <v>30</v>
      </c>
    </row>
    <row r="742" spans="1:30" x14ac:dyDescent="0.3">
      <c r="A742" s="1">
        <v>46289</v>
      </c>
      <c r="B742" s="65" t="s">
        <v>4006</v>
      </c>
      <c r="C742" s="65" t="s">
        <v>4465</v>
      </c>
      <c r="D742" s="65" t="s">
        <v>29</v>
      </c>
      <c r="E742" s="65" t="s">
        <v>2501</v>
      </c>
      <c r="F742" s="65" t="s">
        <v>31</v>
      </c>
      <c r="G742" s="65" t="s">
        <v>4466</v>
      </c>
      <c r="H742" s="65" t="s">
        <v>4467</v>
      </c>
      <c r="I742" s="65" t="s">
        <v>4468</v>
      </c>
      <c r="J742" s="65" t="s">
        <v>1322</v>
      </c>
      <c r="K742" s="65" t="s">
        <v>36</v>
      </c>
      <c r="L742" s="65" t="s">
        <v>37</v>
      </c>
      <c r="M742" s="65" t="s">
        <v>4469</v>
      </c>
      <c r="N742" s="65" t="s">
        <v>4470</v>
      </c>
      <c r="O742" s="65" t="s">
        <v>4467</v>
      </c>
      <c r="P742" s="65" t="s">
        <v>4471</v>
      </c>
      <c r="Q742" s="65" t="s">
        <v>159</v>
      </c>
      <c r="R742">
        <v>1</v>
      </c>
      <c r="S742" s="65" t="s">
        <v>42</v>
      </c>
      <c r="T742" s="65" t="s">
        <v>44</v>
      </c>
      <c r="U742" s="65" t="s">
        <v>44</v>
      </c>
      <c r="V742" s="65" t="s">
        <v>531</v>
      </c>
      <c r="W742" s="65" t="s">
        <v>4049</v>
      </c>
      <c r="X742">
        <v>135.59</v>
      </c>
      <c r="Y742" s="65" t="s">
        <v>47</v>
      </c>
      <c r="Z742" s="65" t="s">
        <v>48</v>
      </c>
      <c r="AA742" s="65" t="s">
        <v>534</v>
      </c>
      <c r="AB742">
        <v>999111362</v>
      </c>
      <c r="AC742" s="65" t="s">
        <v>1326</v>
      </c>
      <c r="AD742">
        <v>30</v>
      </c>
    </row>
    <row r="743" spans="1:30" x14ac:dyDescent="0.3">
      <c r="A743" s="1">
        <v>46290</v>
      </c>
      <c r="B743" s="65" t="s">
        <v>4006</v>
      </c>
      <c r="C743" s="65" t="s">
        <v>4472</v>
      </c>
      <c r="D743" s="65" t="s">
        <v>29</v>
      </c>
      <c r="E743" s="65" t="s">
        <v>4473</v>
      </c>
      <c r="F743" s="65" t="s">
        <v>31</v>
      </c>
      <c r="G743" s="65" t="s">
        <v>4474</v>
      </c>
      <c r="H743" s="65" t="s">
        <v>4475</v>
      </c>
      <c r="I743" s="65" t="s">
        <v>4476</v>
      </c>
      <c r="J743" s="65" t="s">
        <v>4477</v>
      </c>
      <c r="K743" s="65"/>
      <c r="L743" s="65" t="s">
        <v>37</v>
      </c>
      <c r="M743" s="65" t="s">
        <v>4478</v>
      </c>
      <c r="N743" s="65" t="s">
        <v>4479</v>
      </c>
      <c r="O743" s="65" t="s">
        <v>4475</v>
      </c>
      <c r="P743" s="65" t="s">
        <v>4480</v>
      </c>
      <c r="Q743" s="65" t="s">
        <v>130</v>
      </c>
      <c r="R743">
        <v>1</v>
      </c>
      <c r="S743" s="65" t="s">
        <v>42</v>
      </c>
      <c r="T743" s="65" t="s">
        <v>44</v>
      </c>
      <c r="U743" s="65" t="s">
        <v>44</v>
      </c>
      <c r="V743" s="65" t="s">
        <v>71</v>
      </c>
      <c r="W743" s="65" t="s">
        <v>72</v>
      </c>
      <c r="X743">
        <v>152.54</v>
      </c>
      <c r="Y743" s="65" t="s">
        <v>47</v>
      </c>
      <c r="Z743" s="65" t="s">
        <v>48</v>
      </c>
      <c r="AA743" s="65" t="s">
        <v>73</v>
      </c>
      <c r="AC743" s="65"/>
      <c r="AD743">
        <v>30</v>
      </c>
    </row>
    <row r="744" spans="1:30" x14ac:dyDescent="0.3">
      <c r="A744" s="1">
        <v>46290</v>
      </c>
      <c r="B744" s="65" t="s">
        <v>4006</v>
      </c>
      <c r="C744" s="65" t="s">
        <v>4481</v>
      </c>
      <c r="D744" s="65" t="s">
        <v>29</v>
      </c>
      <c r="E744" s="65" t="s">
        <v>4482</v>
      </c>
      <c r="F744" s="65" t="s">
        <v>31</v>
      </c>
      <c r="G744" s="65" t="s">
        <v>4483</v>
      </c>
      <c r="H744" s="65" t="s">
        <v>4484</v>
      </c>
      <c r="I744" s="65" t="s">
        <v>4485</v>
      </c>
      <c r="J744" s="65" t="s">
        <v>662</v>
      </c>
      <c r="K744" s="65" t="s">
        <v>36</v>
      </c>
      <c r="L744" s="65" t="s">
        <v>37</v>
      </c>
      <c r="M744" s="65" t="s">
        <v>4486</v>
      </c>
      <c r="N744" s="65" t="s">
        <v>4487</v>
      </c>
      <c r="O744" s="65" t="s">
        <v>4484</v>
      </c>
      <c r="P744" s="65" t="s">
        <v>4488</v>
      </c>
      <c r="Q744" s="65" t="s">
        <v>201</v>
      </c>
      <c r="R744">
        <v>1</v>
      </c>
      <c r="S744" s="65" t="s">
        <v>42</v>
      </c>
      <c r="T744" s="65" t="s">
        <v>44</v>
      </c>
      <c r="U744" s="65" t="s">
        <v>44</v>
      </c>
      <c r="V744" s="65" t="s">
        <v>531</v>
      </c>
      <c r="W744" s="65" t="s">
        <v>4049</v>
      </c>
      <c r="X744">
        <v>152.54</v>
      </c>
      <c r="Y744" s="65" t="s">
        <v>47</v>
      </c>
      <c r="Z744" s="65" t="s">
        <v>48</v>
      </c>
      <c r="AA744" s="65" t="s">
        <v>534</v>
      </c>
      <c r="AB744">
        <v>997145685</v>
      </c>
      <c r="AC744" s="65" t="s">
        <v>666</v>
      </c>
      <c r="AD744">
        <v>30</v>
      </c>
    </row>
    <row r="745" spans="1:30" x14ac:dyDescent="0.3">
      <c r="A745" s="1">
        <v>46290</v>
      </c>
      <c r="B745" s="65" t="s">
        <v>4006</v>
      </c>
      <c r="C745" s="65" t="s">
        <v>4481</v>
      </c>
      <c r="D745" s="65" t="s">
        <v>29</v>
      </c>
      <c r="E745" s="65" t="s">
        <v>4482</v>
      </c>
      <c r="F745" s="65" t="s">
        <v>31</v>
      </c>
      <c r="G745" s="65" t="s">
        <v>4483</v>
      </c>
      <c r="H745" s="65" t="s">
        <v>4484</v>
      </c>
      <c r="I745" s="65" t="s">
        <v>4485</v>
      </c>
      <c r="J745" s="65" t="s">
        <v>662</v>
      </c>
      <c r="K745" s="65" t="s">
        <v>36</v>
      </c>
      <c r="L745" s="65" t="s">
        <v>37</v>
      </c>
      <c r="M745" s="65" t="s">
        <v>4486</v>
      </c>
      <c r="N745" s="65" t="s">
        <v>4487</v>
      </c>
      <c r="O745" s="65" t="s">
        <v>4484</v>
      </c>
      <c r="P745" s="65" t="s">
        <v>4488</v>
      </c>
      <c r="Q745" s="65" t="s">
        <v>202</v>
      </c>
      <c r="R745">
        <v>1</v>
      </c>
      <c r="S745" s="65" t="s">
        <v>42</v>
      </c>
      <c r="T745" s="65" t="s">
        <v>44</v>
      </c>
      <c r="U745" s="65" t="s">
        <v>44</v>
      </c>
      <c r="V745" s="65" t="s">
        <v>531</v>
      </c>
      <c r="W745" s="65" t="s">
        <v>4049</v>
      </c>
      <c r="X745">
        <v>135.59</v>
      </c>
      <c r="Y745" s="65" t="s">
        <v>47</v>
      </c>
      <c r="Z745" s="65" t="s">
        <v>48</v>
      </c>
      <c r="AA745" s="65" t="s">
        <v>534</v>
      </c>
      <c r="AB745">
        <v>997145685</v>
      </c>
      <c r="AC745" s="65" t="s">
        <v>666</v>
      </c>
      <c r="AD745">
        <v>30</v>
      </c>
    </row>
    <row r="746" spans="1:30" x14ac:dyDescent="0.3">
      <c r="A746" s="1">
        <v>46290</v>
      </c>
      <c r="B746" s="65" t="s">
        <v>4006</v>
      </c>
      <c r="C746" s="65" t="s">
        <v>4489</v>
      </c>
      <c r="D746" s="65" t="s">
        <v>29</v>
      </c>
      <c r="E746" s="65" t="s">
        <v>4490</v>
      </c>
      <c r="F746" s="65" t="s">
        <v>31</v>
      </c>
      <c r="G746" s="65" t="s">
        <v>4491</v>
      </c>
      <c r="H746" s="65" t="s">
        <v>4484</v>
      </c>
      <c r="I746" s="65" t="s">
        <v>4485</v>
      </c>
      <c r="J746" s="65" t="s">
        <v>662</v>
      </c>
      <c r="K746" s="65" t="s">
        <v>36</v>
      </c>
      <c r="L746" s="65" t="s">
        <v>37</v>
      </c>
      <c r="M746" s="65" t="s">
        <v>4486</v>
      </c>
      <c r="N746" s="65" t="s">
        <v>4487</v>
      </c>
      <c r="O746" s="65" t="s">
        <v>4484</v>
      </c>
      <c r="P746" s="65" t="s">
        <v>4492</v>
      </c>
      <c r="Q746" s="65" t="s">
        <v>202</v>
      </c>
      <c r="R746">
        <v>1</v>
      </c>
      <c r="S746" s="65" t="s">
        <v>42</v>
      </c>
      <c r="T746" s="65" t="s">
        <v>44</v>
      </c>
      <c r="U746" s="65" t="s">
        <v>44</v>
      </c>
      <c r="V746" s="65" t="s">
        <v>531</v>
      </c>
      <c r="W746" s="65" t="s">
        <v>4049</v>
      </c>
      <c r="X746">
        <v>135.59</v>
      </c>
      <c r="Y746" s="65" t="s">
        <v>47</v>
      </c>
      <c r="Z746" s="65" t="s">
        <v>48</v>
      </c>
      <c r="AA746" s="65" t="s">
        <v>534</v>
      </c>
      <c r="AB746">
        <v>997145685</v>
      </c>
      <c r="AC746" s="65" t="s">
        <v>666</v>
      </c>
      <c r="AD746">
        <v>30</v>
      </c>
    </row>
    <row r="747" spans="1:30" x14ac:dyDescent="0.3">
      <c r="A747" s="1">
        <v>46290</v>
      </c>
      <c r="B747" s="65" t="s">
        <v>4006</v>
      </c>
      <c r="C747" s="65" t="s">
        <v>4489</v>
      </c>
      <c r="D747" s="65" t="s">
        <v>29</v>
      </c>
      <c r="E747" s="65" t="s">
        <v>4490</v>
      </c>
      <c r="F747" s="65" t="s">
        <v>31</v>
      </c>
      <c r="G747" s="65" t="s">
        <v>4491</v>
      </c>
      <c r="H747" s="65" t="s">
        <v>4484</v>
      </c>
      <c r="I747" s="65" t="s">
        <v>4485</v>
      </c>
      <c r="J747" s="65" t="s">
        <v>662</v>
      </c>
      <c r="K747" s="65" t="s">
        <v>36</v>
      </c>
      <c r="L747" s="65" t="s">
        <v>37</v>
      </c>
      <c r="M747" s="65" t="s">
        <v>4486</v>
      </c>
      <c r="N747" s="65" t="s">
        <v>4487</v>
      </c>
      <c r="O747" s="65" t="s">
        <v>4484</v>
      </c>
      <c r="P747" s="65" t="s">
        <v>4492</v>
      </c>
      <c r="Q747" s="65" t="s">
        <v>201</v>
      </c>
      <c r="R747">
        <v>1</v>
      </c>
      <c r="S747" s="65" t="s">
        <v>42</v>
      </c>
      <c r="T747" s="65" t="s">
        <v>44</v>
      </c>
      <c r="U747" s="65" t="s">
        <v>44</v>
      </c>
      <c r="V747" s="65" t="s">
        <v>531</v>
      </c>
      <c r="W747" s="65" t="s">
        <v>4049</v>
      </c>
      <c r="X747">
        <v>152.54</v>
      </c>
      <c r="Y747" s="65" t="s">
        <v>47</v>
      </c>
      <c r="Z747" s="65" t="s">
        <v>48</v>
      </c>
      <c r="AA747" s="65" t="s">
        <v>534</v>
      </c>
      <c r="AB747">
        <v>997145685</v>
      </c>
      <c r="AC747" s="65" t="s">
        <v>666</v>
      </c>
      <c r="AD747">
        <v>30</v>
      </c>
    </row>
    <row r="748" spans="1:30" x14ac:dyDescent="0.3">
      <c r="A748" s="1">
        <v>46290</v>
      </c>
      <c r="B748" s="65" t="s">
        <v>4006</v>
      </c>
      <c r="C748" s="65" t="s">
        <v>4493</v>
      </c>
      <c r="D748" s="65" t="s">
        <v>29</v>
      </c>
      <c r="E748" s="65" t="s">
        <v>4494</v>
      </c>
      <c r="F748" s="65" t="s">
        <v>31</v>
      </c>
      <c r="G748" s="65" t="s">
        <v>4495</v>
      </c>
      <c r="H748" s="65" t="s">
        <v>4496</v>
      </c>
      <c r="I748" s="65" t="s">
        <v>4497</v>
      </c>
      <c r="J748" s="65" t="s">
        <v>2795</v>
      </c>
      <c r="K748" s="65" t="s">
        <v>209</v>
      </c>
      <c r="L748" s="65" t="s">
        <v>37</v>
      </c>
      <c r="M748" s="65" t="s">
        <v>4498</v>
      </c>
      <c r="N748" s="65" t="s">
        <v>4499</v>
      </c>
      <c r="O748" s="65" t="s">
        <v>4496</v>
      </c>
      <c r="P748" s="65" t="s">
        <v>4500</v>
      </c>
      <c r="Q748" s="65" t="s">
        <v>159</v>
      </c>
      <c r="R748">
        <v>1</v>
      </c>
      <c r="S748" s="65" t="s">
        <v>42</v>
      </c>
      <c r="T748" s="65" t="s">
        <v>44</v>
      </c>
      <c r="U748" s="65" t="s">
        <v>44</v>
      </c>
      <c r="V748" s="65" t="s">
        <v>71</v>
      </c>
      <c r="W748" s="65" t="s">
        <v>72</v>
      </c>
      <c r="X748">
        <v>135.59</v>
      </c>
      <c r="Y748" s="65" t="s">
        <v>47</v>
      </c>
      <c r="Z748" s="65" t="s">
        <v>48</v>
      </c>
      <c r="AA748" s="65" t="s">
        <v>73</v>
      </c>
      <c r="AB748">
        <v>994872106</v>
      </c>
      <c r="AC748" s="65" t="s">
        <v>1253</v>
      </c>
      <c r="AD748">
        <v>30</v>
      </c>
    </row>
    <row r="749" spans="1:30" x14ac:dyDescent="0.3">
      <c r="A749" s="1">
        <v>46291</v>
      </c>
      <c r="B749" s="65" t="s">
        <v>4006</v>
      </c>
      <c r="C749" s="65" t="s">
        <v>4501</v>
      </c>
      <c r="D749" s="65" t="s">
        <v>29</v>
      </c>
      <c r="E749" s="65" t="s">
        <v>4502</v>
      </c>
      <c r="F749" s="65" t="s">
        <v>31</v>
      </c>
      <c r="G749" s="65" t="s">
        <v>4503</v>
      </c>
      <c r="H749" s="65" t="s">
        <v>4220</v>
      </c>
      <c r="I749" s="65" t="s">
        <v>4221</v>
      </c>
      <c r="J749" s="65" t="s">
        <v>2739</v>
      </c>
      <c r="K749" s="65" t="s">
        <v>209</v>
      </c>
      <c r="L749" s="65" t="s">
        <v>37</v>
      </c>
      <c r="M749" s="65" t="s">
        <v>4222</v>
      </c>
      <c r="N749" s="65" t="s">
        <v>4504</v>
      </c>
      <c r="O749" s="65" t="s">
        <v>4220</v>
      </c>
      <c r="P749" s="65" t="s">
        <v>4505</v>
      </c>
      <c r="Q749" s="65" t="s">
        <v>288</v>
      </c>
      <c r="R749">
        <v>1</v>
      </c>
      <c r="S749" s="65" t="s">
        <v>42</v>
      </c>
      <c r="T749" s="65" t="s">
        <v>44</v>
      </c>
      <c r="U749" s="65" t="s">
        <v>44</v>
      </c>
      <c r="V749" s="65" t="s">
        <v>45</v>
      </c>
      <c r="W749" s="65" t="s">
        <v>46</v>
      </c>
      <c r="X749">
        <v>0</v>
      </c>
      <c r="Y749" s="65" t="s">
        <v>289</v>
      </c>
      <c r="Z749" s="65" t="s">
        <v>48</v>
      </c>
      <c r="AA749" s="65" t="s">
        <v>49</v>
      </c>
      <c r="AC749" s="65"/>
    </row>
    <row r="750" spans="1:30" x14ac:dyDescent="0.3">
      <c r="A750" s="1">
        <v>46291</v>
      </c>
      <c r="B750" s="65" t="s">
        <v>4006</v>
      </c>
      <c r="C750" s="65" t="s">
        <v>4501</v>
      </c>
      <c r="D750" s="65" t="s">
        <v>29</v>
      </c>
      <c r="E750" s="65" t="s">
        <v>4502</v>
      </c>
      <c r="F750" s="65" t="s">
        <v>31</v>
      </c>
      <c r="G750" s="65" t="s">
        <v>4503</v>
      </c>
      <c r="H750" s="65" t="s">
        <v>4220</v>
      </c>
      <c r="I750" s="65" t="s">
        <v>4221</v>
      </c>
      <c r="J750" s="65" t="s">
        <v>2739</v>
      </c>
      <c r="K750" s="65" t="s">
        <v>209</v>
      </c>
      <c r="L750" s="65" t="s">
        <v>37</v>
      </c>
      <c r="M750" s="65" t="s">
        <v>4222</v>
      </c>
      <c r="N750" s="65" t="s">
        <v>4504</v>
      </c>
      <c r="O750" s="65" t="s">
        <v>4220</v>
      </c>
      <c r="P750" s="65" t="s">
        <v>4505</v>
      </c>
      <c r="Q750" s="65" t="s">
        <v>1137</v>
      </c>
      <c r="R750">
        <v>1</v>
      </c>
      <c r="S750" s="65" t="s">
        <v>42</v>
      </c>
      <c r="T750" s="65" t="s">
        <v>44</v>
      </c>
      <c r="U750" s="65" t="s">
        <v>44</v>
      </c>
      <c r="V750" s="65" t="s">
        <v>45</v>
      </c>
      <c r="W750" s="65" t="s">
        <v>46</v>
      </c>
      <c r="X750">
        <v>957.63</v>
      </c>
      <c r="Y750" s="65" t="s">
        <v>289</v>
      </c>
      <c r="Z750" s="65" t="s">
        <v>48</v>
      </c>
      <c r="AA750" s="65" t="s">
        <v>49</v>
      </c>
      <c r="AC750" s="65"/>
    </row>
    <row r="751" spans="1:30" x14ac:dyDescent="0.3">
      <c r="A751" s="1">
        <v>46291</v>
      </c>
      <c r="B751" s="65" t="s">
        <v>4006</v>
      </c>
      <c r="C751" s="65" t="s">
        <v>4506</v>
      </c>
      <c r="D751" s="65" t="s">
        <v>29</v>
      </c>
      <c r="E751" s="65" t="s">
        <v>4507</v>
      </c>
      <c r="F751" s="65" t="s">
        <v>31</v>
      </c>
      <c r="G751" s="65" t="s">
        <v>4508</v>
      </c>
      <c r="H751" s="65" t="s">
        <v>4509</v>
      </c>
      <c r="I751" s="65" t="s">
        <v>4510</v>
      </c>
      <c r="J751" s="65" t="s">
        <v>715</v>
      </c>
      <c r="K751" s="65" t="s">
        <v>716</v>
      </c>
      <c r="L751" s="65" t="s">
        <v>37</v>
      </c>
      <c r="M751" s="65" t="s">
        <v>4511</v>
      </c>
      <c r="N751" s="65" t="s">
        <v>4512</v>
      </c>
      <c r="O751" s="65" t="s">
        <v>4509</v>
      </c>
      <c r="P751" s="65" t="s">
        <v>4513</v>
      </c>
      <c r="Q751" s="65" t="s">
        <v>90</v>
      </c>
      <c r="R751">
        <v>1</v>
      </c>
      <c r="S751" s="65" t="s">
        <v>42</v>
      </c>
      <c r="T751" s="65" t="s">
        <v>44</v>
      </c>
      <c r="U751" s="65" t="s">
        <v>44</v>
      </c>
      <c r="V751" s="65" t="s">
        <v>531</v>
      </c>
      <c r="W751" s="65" t="s">
        <v>4049</v>
      </c>
      <c r="X751">
        <v>135.59</v>
      </c>
      <c r="Y751" s="65" t="s">
        <v>47</v>
      </c>
      <c r="Z751" s="65" t="s">
        <v>48</v>
      </c>
      <c r="AA751" s="65" t="s">
        <v>534</v>
      </c>
      <c r="AB751">
        <v>955356636</v>
      </c>
      <c r="AC751" s="65" t="s">
        <v>720</v>
      </c>
      <c r="AD751">
        <v>30</v>
      </c>
    </row>
    <row r="752" spans="1:30" x14ac:dyDescent="0.3">
      <c r="A752" s="1">
        <v>46291</v>
      </c>
      <c r="B752" s="65" t="s">
        <v>4006</v>
      </c>
      <c r="C752" s="65" t="s">
        <v>4514</v>
      </c>
      <c r="D752" s="65" t="s">
        <v>29</v>
      </c>
      <c r="E752" s="65" t="s">
        <v>4515</v>
      </c>
      <c r="F752" s="65" t="s">
        <v>31</v>
      </c>
      <c r="G752" s="65" t="s">
        <v>4516</v>
      </c>
      <c r="H752" s="65" t="s">
        <v>4517</v>
      </c>
      <c r="I752" s="65" t="s">
        <v>4518</v>
      </c>
      <c r="J752" s="65" t="s">
        <v>35</v>
      </c>
      <c r="K752" s="65" t="s">
        <v>36</v>
      </c>
      <c r="L752" s="65" t="s">
        <v>37</v>
      </c>
      <c r="M752" s="65" t="s">
        <v>4519</v>
      </c>
      <c r="N752" s="65" t="s">
        <v>4520</v>
      </c>
      <c r="O752" s="65" t="s">
        <v>4517</v>
      </c>
      <c r="P752" s="65" t="s">
        <v>4521</v>
      </c>
      <c r="Q752" s="65" t="s">
        <v>90</v>
      </c>
      <c r="R752">
        <v>1</v>
      </c>
      <c r="S752" s="65" t="s">
        <v>42</v>
      </c>
      <c r="T752" s="65" t="s">
        <v>44</v>
      </c>
      <c r="U752" s="65" t="s">
        <v>44</v>
      </c>
      <c r="V752" s="65" t="s">
        <v>531</v>
      </c>
      <c r="W752" s="65" t="s">
        <v>4049</v>
      </c>
      <c r="X752">
        <v>135.59</v>
      </c>
      <c r="Y752" s="65" t="s">
        <v>47</v>
      </c>
      <c r="Z752" s="65" t="s">
        <v>48</v>
      </c>
      <c r="AA752" s="65" t="s">
        <v>534</v>
      </c>
      <c r="AB752">
        <v>999996347</v>
      </c>
      <c r="AC752" s="65" t="s">
        <v>50</v>
      </c>
      <c r="AD752">
        <v>30</v>
      </c>
    </row>
    <row r="753" spans="1:30" x14ac:dyDescent="0.3">
      <c r="A753" s="1">
        <v>46291</v>
      </c>
      <c r="B753" s="65" t="s">
        <v>4006</v>
      </c>
      <c r="C753" s="65" t="s">
        <v>4522</v>
      </c>
      <c r="D753" s="65" t="s">
        <v>268</v>
      </c>
      <c r="E753" s="65" t="s">
        <v>4523</v>
      </c>
      <c r="F753" s="65" t="s">
        <v>31</v>
      </c>
      <c r="G753" s="65" t="s">
        <v>4524</v>
      </c>
      <c r="H753" s="65" t="s">
        <v>4525</v>
      </c>
      <c r="I753" s="65" t="s">
        <v>4526</v>
      </c>
      <c r="J753" s="65" t="s">
        <v>774</v>
      </c>
      <c r="K753" s="65" t="s">
        <v>775</v>
      </c>
      <c r="L753" s="65" t="s">
        <v>37</v>
      </c>
      <c r="M753" s="65" t="s">
        <v>4527</v>
      </c>
      <c r="N753" s="65" t="s">
        <v>4528</v>
      </c>
      <c r="O753" s="65" t="s">
        <v>4529</v>
      </c>
      <c r="P753" s="65" t="s">
        <v>4530</v>
      </c>
      <c r="Q753" s="65" t="s">
        <v>130</v>
      </c>
      <c r="R753">
        <v>1</v>
      </c>
      <c r="S753" s="65" t="s">
        <v>42</v>
      </c>
      <c r="T753" s="65" t="s">
        <v>44</v>
      </c>
      <c r="U753" s="65" t="s">
        <v>44</v>
      </c>
      <c r="V753" s="65" t="s">
        <v>45</v>
      </c>
      <c r="W753" s="65" t="s">
        <v>60</v>
      </c>
      <c r="X753">
        <v>152.54</v>
      </c>
      <c r="Y753" s="65" t="s">
        <v>47</v>
      </c>
      <c r="Z753" s="65" t="s">
        <v>48</v>
      </c>
      <c r="AA753" s="65" t="s">
        <v>49</v>
      </c>
      <c r="AC753" s="65"/>
      <c r="AD753">
        <v>30</v>
      </c>
    </row>
    <row r="754" spans="1:30" x14ac:dyDescent="0.3">
      <c r="A754" s="1">
        <v>46291</v>
      </c>
      <c r="B754" s="65" t="s">
        <v>4006</v>
      </c>
      <c r="C754" s="65" t="s">
        <v>4522</v>
      </c>
      <c r="D754" s="65" t="s">
        <v>268</v>
      </c>
      <c r="E754" s="65" t="s">
        <v>4523</v>
      </c>
      <c r="F754" s="65" t="s">
        <v>31</v>
      </c>
      <c r="G754" s="65" t="s">
        <v>4524</v>
      </c>
      <c r="H754" s="65" t="s">
        <v>4525</v>
      </c>
      <c r="I754" s="65" t="s">
        <v>4526</v>
      </c>
      <c r="J754" s="65" t="s">
        <v>774</v>
      </c>
      <c r="K754" s="65" t="s">
        <v>775</v>
      </c>
      <c r="L754" s="65" t="s">
        <v>37</v>
      </c>
      <c r="M754" s="65" t="s">
        <v>4527</v>
      </c>
      <c r="N754" s="65" t="s">
        <v>4528</v>
      </c>
      <c r="O754" s="65" t="s">
        <v>4529</v>
      </c>
      <c r="P754" s="65" t="s">
        <v>4530</v>
      </c>
      <c r="Q754" s="65" t="s">
        <v>202</v>
      </c>
      <c r="R754">
        <v>1</v>
      </c>
      <c r="S754" s="65" t="s">
        <v>42</v>
      </c>
      <c r="T754" s="65" t="s">
        <v>44</v>
      </c>
      <c r="U754" s="65" t="s">
        <v>44</v>
      </c>
      <c r="V754" s="65" t="s">
        <v>45</v>
      </c>
      <c r="W754" s="65" t="s">
        <v>60</v>
      </c>
      <c r="X754">
        <v>135.59</v>
      </c>
      <c r="Y754" s="65" t="s">
        <v>47</v>
      </c>
      <c r="Z754" s="65" t="s">
        <v>48</v>
      </c>
      <c r="AA754" s="65" t="s">
        <v>49</v>
      </c>
      <c r="AC754" s="65"/>
      <c r="AD754">
        <v>30</v>
      </c>
    </row>
    <row r="755" spans="1:30" x14ac:dyDescent="0.3">
      <c r="A755" s="1">
        <v>46293</v>
      </c>
      <c r="B755" s="65" t="s">
        <v>4006</v>
      </c>
      <c r="C755" s="65" t="s">
        <v>4531</v>
      </c>
      <c r="D755" s="65" t="s">
        <v>29</v>
      </c>
      <c r="E755" s="65" t="s">
        <v>4532</v>
      </c>
      <c r="F755" s="65" t="s">
        <v>31</v>
      </c>
      <c r="G755" s="65" t="s">
        <v>4533</v>
      </c>
      <c r="H755" s="65" t="s">
        <v>4534</v>
      </c>
      <c r="I755" s="65" t="s">
        <v>4535</v>
      </c>
      <c r="J755" s="65" t="s">
        <v>1516</v>
      </c>
      <c r="K755" s="65" t="s">
        <v>629</v>
      </c>
      <c r="L755" s="65" t="s">
        <v>37</v>
      </c>
      <c r="M755" s="65" t="s">
        <v>4536</v>
      </c>
      <c r="N755" s="65" t="s">
        <v>4537</v>
      </c>
      <c r="O755" s="65" t="s">
        <v>4534</v>
      </c>
      <c r="P755" s="65" t="s">
        <v>4538</v>
      </c>
      <c r="Q755" s="65" t="s">
        <v>101</v>
      </c>
      <c r="R755">
        <v>1</v>
      </c>
      <c r="S755" s="65" t="s">
        <v>70</v>
      </c>
      <c r="T755" s="65" t="s">
        <v>43</v>
      </c>
      <c r="U755" s="65" t="s">
        <v>44</v>
      </c>
      <c r="V755" s="65" t="s">
        <v>71</v>
      </c>
      <c r="W755" s="65" t="s">
        <v>184</v>
      </c>
      <c r="X755">
        <v>186.44</v>
      </c>
      <c r="Y755" s="65" t="s">
        <v>47</v>
      </c>
      <c r="Z755" s="65" t="s">
        <v>48</v>
      </c>
      <c r="AA755" s="65" t="s">
        <v>73</v>
      </c>
      <c r="AB755">
        <v>947422476</v>
      </c>
      <c r="AC755" s="65"/>
      <c r="AD755">
        <v>50</v>
      </c>
    </row>
    <row r="756" spans="1:30" x14ac:dyDescent="0.3">
      <c r="A756" s="1">
        <v>46293</v>
      </c>
      <c r="B756" s="65" t="s">
        <v>4006</v>
      </c>
      <c r="C756" s="65" t="s">
        <v>4539</v>
      </c>
      <c r="D756" s="65" t="s">
        <v>29</v>
      </c>
      <c r="E756" s="65" t="s">
        <v>4540</v>
      </c>
      <c r="F756" s="65" t="s">
        <v>31</v>
      </c>
      <c r="G756" s="65" t="s">
        <v>4541</v>
      </c>
      <c r="H756" s="65" t="s">
        <v>4542</v>
      </c>
      <c r="I756" s="65" t="s">
        <v>4543</v>
      </c>
      <c r="J756" s="65" t="s">
        <v>715</v>
      </c>
      <c r="K756" s="65" t="s">
        <v>716</v>
      </c>
      <c r="L756" s="65" t="s">
        <v>37</v>
      </c>
      <c r="M756" s="65" t="s">
        <v>4544</v>
      </c>
      <c r="N756" s="65" t="s">
        <v>4545</v>
      </c>
      <c r="O756" s="65" t="s">
        <v>4542</v>
      </c>
      <c r="P756" s="65" t="s">
        <v>4546</v>
      </c>
      <c r="Q756" s="65" t="s">
        <v>101</v>
      </c>
      <c r="R756">
        <v>1</v>
      </c>
      <c r="S756" s="65" t="s">
        <v>70</v>
      </c>
      <c r="T756" s="65" t="s">
        <v>43</v>
      </c>
      <c r="U756" s="65" t="s">
        <v>44</v>
      </c>
      <c r="V756" s="65" t="s">
        <v>71</v>
      </c>
      <c r="W756" s="65" t="s">
        <v>184</v>
      </c>
      <c r="X756">
        <v>186.44</v>
      </c>
      <c r="Y756" s="65" t="s">
        <v>47</v>
      </c>
      <c r="Z756" s="65" t="s">
        <v>48</v>
      </c>
      <c r="AA756" s="65" t="s">
        <v>73</v>
      </c>
      <c r="AB756">
        <v>955356636</v>
      </c>
      <c r="AC756" s="65" t="s">
        <v>720</v>
      </c>
      <c r="AD756">
        <v>50</v>
      </c>
    </row>
    <row r="757" spans="1:30" x14ac:dyDescent="0.3">
      <c r="A757" s="1">
        <v>46293</v>
      </c>
      <c r="B757" s="65" t="s">
        <v>4006</v>
      </c>
      <c r="C757" s="65" t="s">
        <v>4547</v>
      </c>
      <c r="D757" s="65" t="s">
        <v>29</v>
      </c>
      <c r="E757" s="65" t="s">
        <v>4548</v>
      </c>
      <c r="F757" s="65" t="s">
        <v>31</v>
      </c>
      <c r="G757" s="65" t="s">
        <v>4549</v>
      </c>
      <c r="H757" s="65" t="s">
        <v>4550</v>
      </c>
      <c r="I757" s="65" t="s">
        <v>4551</v>
      </c>
      <c r="J757" s="65" t="s">
        <v>1108</v>
      </c>
      <c r="K757" s="65" t="s">
        <v>209</v>
      </c>
      <c r="L757" s="65" t="s">
        <v>37</v>
      </c>
      <c r="M757" s="65" t="s">
        <v>4552</v>
      </c>
      <c r="N757" s="65" t="s">
        <v>4553</v>
      </c>
      <c r="O757" s="65" t="s">
        <v>4550</v>
      </c>
      <c r="P757" s="65" t="s">
        <v>4554</v>
      </c>
      <c r="Q757" s="65" t="s">
        <v>101</v>
      </c>
      <c r="R757">
        <v>1</v>
      </c>
      <c r="S757" s="65" t="s">
        <v>70</v>
      </c>
      <c r="T757" s="65" t="s">
        <v>43</v>
      </c>
      <c r="U757" s="65" t="s">
        <v>44</v>
      </c>
      <c r="V757" s="65" t="s">
        <v>71</v>
      </c>
      <c r="W757" s="65" t="s">
        <v>72</v>
      </c>
      <c r="X757">
        <v>186.44</v>
      </c>
      <c r="Y757" s="65" t="s">
        <v>47</v>
      </c>
      <c r="Z757" s="65" t="s">
        <v>48</v>
      </c>
      <c r="AA757" s="65" t="s">
        <v>73</v>
      </c>
      <c r="AB757">
        <v>970582106</v>
      </c>
      <c r="AC757" s="65" t="s">
        <v>1113</v>
      </c>
      <c r="AD757">
        <v>50</v>
      </c>
    </row>
    <row r="758" spans="1:30" x14ac:dyDescent="0.3">
      <c r="A758" s="1">
        <v>46293</v>
      </c>
      <c r="B758" s="65" t="s">
        <v>4006</v>
      </c>
      <c r="C758" s="65" t="s">
        <v>4555</v>
      </c>
      <c r="D758" s="65" t="s">
        <v>29</v>
      </c>
      <c r="E758" s="65" t="s">
        <v>4556</v>
      </c>
      <c r="F758" s="65" t="s">
        <v>31</v>
      </c>
      <c r="G758" s="65" t="s">
        <v>4557</v>
      </c>
      <c r="H758" s="65" t="s">
        <v>4558</v>
      </c>
      <c r="I758" s="65" t="s">
        <v>4559</v>
      </c>
      <c r="J758" s="65" t="s">
        <v>116</v>
      </c>
      <c r="K758" s="65" t="s">
        <v>117</v>
      </c>
      <c r="L758" s="65" t="s">
        <v>37</v>
      </c>
      <c r="M758" s="65" t="s">
        <v>4560</v>
      </c>
      <c r="N758" s="65" t="s">
        <v>4561</v>
      </c>
      <c r="O758" s="65" t="s">
        <v>4558</v>
      </c>
      <c r="P758" s="65" t="s">
        <v>4562</v>
      </c>
      <c r="Q758" s="65" t="s">
        <v>158</v>
      </c>
      <c r="R758">
        <v>1</v>
      </c>
      <c r="S758" s="65" t="s">
        <v>42</v>
      </c>
      <c r="T758" s="65" t="s">
        <v>44</v>
      </c>
      <c r="U758" s="65" t="s">
        <v>44</v>
      </c>
      <c r="V758" s="65" t="s">
        <v>45</v>
      </c>
      <c r="W758" s="65" t="s">
        <v>60</v>
      </c>
      <c r="X758">
        <v>152.54</v>
      </c>
      <c r="Y758" s="65" t="s">
        <v>47</v>
      </c>
      <c r="Z758" s="65" t="s">
        <v>48</v>
      </c>
      <c r="AA758" s="65" t="s">
        <v>49</v>
      </c>
      <c r="AB758">
        <v>945319366</v>
      </c>
      <c r="AC758" s="65" t="s">
        <v>121</v>
      </c>
      <c r="AD758">
        <v>30</v>
      </c>
    </row>
    <row r="759" spans="1:30" x14ac:dyDescent="0.3">
      <c r="A759" s="1">
        <v>46293</v>
      </c>
      <c r="B759" s="65" t="s">
        <v>4006</v>
      </c>
      <c r="C759" s="65" t="s">
        <v>4555</v>
      </c>
      <c r="D759" s="65" t="s">
        <v>29</v>
      </c>
      <c r="E759" s="65" t="s">
        <v>4556</v>
      </c>
      <c r="F759" s="65" t="s">
        <v>31</v>
      </c>
      <c r="G759" s="65" t="s">
        <v>4557</v>
      </c>
      <c r="H759" s="65" t="s">
        <v>4558</v>
      </c>
      <c r="I759" s="65" t="s">
        <v>4559</v>
      </c>
      <c r="J759" s="65" t="s">
        <v>116</v>
      </c>
      <c r="K759" s="65" t="s">
        <v>117</v>
      </c>
      <c r="L759" s="65" t="s">
        <v>37</v>
      </c>
      <c r="M759" s="65" t="s">
        <v>4560</v>
      </c>
      <c r="N759" s="65" t="s">
        <v>4561</v>
      </c>
      <c r="O759" s="65" t="s">
        <v>4558</v>
      </c>
      <c r="P759" s="65" t="s">
        <v>4562</v>
      </c>
      <c r="Q759" s="65" t="s">
        <v>101</v>
      </c>
      <c r="R759">
        <v>1</v>
      </c>
      <c r="S759" s="65" t="s">
        <v>42</v>
      </c>
      <c r="T759" s="65" t="s">
        <v>44</v>
      </c>
      <c r="U759" s="65" t="s">
        <v>44</v>
      </c>
      <c r="V759" s="65" t="s">
        <v>45</v>
      </c>
      <c r="W759" s="65" t="s">
        <v>60</v>
      </c>
      <c r="X759">
        <v>186.44</v>
      </c>
      <c r="Y759" s="65" t="s">
        <v>47</v>
      </c>
      <c r="Z759" s="65" t="s">
        <v>48</v>
      </c>
      <c r="AA759" s="65" t="s">
        <v>49</v>
      </c>
      <c r="AB759">
        <v>945319366</v>
      </c>
      <c r="AC759" s="65" t="s">
        <v>121</v>
      </c>
      <c r="AD759">
        <v>50</v>
      </c>
    </row>
    <row r="760" spans="1:30" x14ac:dyDescent="0.3">
      <c r="A760" s="1">
        <v>46293</v>
      </c>
      <c r="B760" s="65" t="s">
        <v>4006</v>
      </c>
      <c r="C760" s="65" t="s">
        <v>4563</v>
      </c>
      <c r="D760" s="65" t="s">
        <v>29</v>
      </c>
      <c r="E760" s="65" t="s">
        <v>4564</v>
      </c>
      <c r="F760" s="65" t="s">
        <v>31</v>
      </c>
      <c r="G760" s="65" t="s">
        <v>4565</v>
      </c>
      <c r="H760" s="65" t="s">
        <v>4566</v>
      </c>
      <c r="I760" s="65" t="s">
        <v>4567</v>
      </c>
      <c r="J760" s="65" t="s">
        <v>136</v>
      </c>
      <c r="K760" s="65" t="s">
        <v>137</v>
      </c>
      <c r="L760" s="65" t="s">
        <v>37</v>
      </c>
      <c r="M760" s="65" t="s">
        <v>4568</v>
      </c>
      <c r="N760" s="65" t="s">
        <v>4569</v>
      </c>
      <c r="O760" s="65" t="s">
        <v>4566</v>
      </c>
      <c r="P760" s="65" t="s">
        <v>4570</v>
      </c>
      <c r="Q760" s="65" t="s">
        <v>41</v>
      </c>
      <c r="R760">
        <v>1</v>
      </c>
      <c r="S760" s="65" t="s">
        <v>70</v>
      </c>
      <c r="T760" s="65" t="s">
        <v>43</v>
      </c>
      <c r="U760" s="65" t="s">
        <v>44</v>
      </c>
      <c r="V760" s="65" t="s">
        <v>71</v>
      </c>
      <c r="W760" s="65" t="s">
        <v>72</v>
      </c>
      <c r="X760">
        <v>186.44</v>
      </c>
      <c r="Y760" s="65" t="s">
        <v>47</v>
      </c>
      <c r="Z760" s="65" t="s">
        <v>48</v>
      </c>
      <c r="AA760" s="65" t="s">
        <v>73</v>
      </c>
      <c r="AB760">
        <v>987407712</v>
      </c>
      <c r="AC760" s="65" t="s">
        <v>141</v>
      </c>
      <c r="AD760">
        <v>50</v>
      </c>
    </row>
    <row r="761" spans="1:30" x14ac:dyDescent="0.3">
      <c r="A761" s="1">
        <v>46293</v>
      </c>
      <c r="B761" s="65" t="s">
        <v>4006</v>
      </c>
      <c r="C761" s="65" t="s">
        <v>4571</v>
      </c>
      <c r="D761" s="65" t="s">
        <v>29</v>
      </c>
      <c r="E761" s="65" t="s">
        <v>4572</v>
      </c>
      <c r="F761" s="65" t="s">
        <v>31</v>
      </c>
      <c r="G761" s="65" t="s">
        <v>4573</v>
      </c>
      <c r="H761" s="65" t="s">
        <v>4574</v>
      </c>
      <c r="I761" s="65" t="s">
        <v>4575</v>
      </c>
      <c r="J761" s="65" t="s">
        <v>1322</v>
      </c>
      <c r="K761" s="65" t="s">
        <v>36</v>
      </c>
      <c r="L761" s="65" t="s">
        <v>37</v>
      </c>
      <c r="M761" s="65" t="s">
        <v>4576</v>
      </c>
      <c r="N761" s="65" t="s">
        <v>4577</v>
      </c>
      <c r="O761" s="65" t="s">
        <v>4574</v>
      </c>
      <c r="P761" s="65" t="s">
        <v>4578</v>
      </c>
      <c r="Q761" s="65" t="s">
        <v>130</v>
      </c>
      <c r="R761">
        <v>1</v>
      </c>
      <c r="S761" s="65" t="s">
        <v>42</v>
      </c>
      <c r="T761" s="65" t="s">
        <v>44</v>
      </c>
      <c r="U761" s="65" t="s">
        <v>44</v>
      </c>
      <c r="V761" s="65" t="s">
        <v>531</v>
      </c>
      <c r="W761" s="65" t="s">
        <v>1965</v>
      </c>
      <c r="X761">
        <v>152.54</v>
      </c>
      <c r="Y761" s="65" t="s">
        <v>47</v>
      </c>
      <c r="Z761" s="65" t="s">
        <v>48</v>
      </c>
      <c r="AA761" s="65" t="s">
        <v>534</v>
      </c>
      <c r="AB761">
        <v>999111362</v>
      </c>
      <c r="AC761" s="65" t="s">
        <v>1326</v>
      </c>
      <c r="AD761">
        <v>30</v>
      </c>
    </row>
    <row r="762" spans="1:30" x14ac:dyDescent="0.3">
      <c r="A762" s="1">
        <v>46293</v>
      </c>
      <c r="B762" s="65" t="s">
        <v>4006</v>
      </c>
      <c r="C762" s="65" t="s">
        <v>4571</v>
      </c>
      <c r="D762" s="65" t="s">
        <v>29</v>
      </c>
      <c r="E762" s="65" t="s">
        <v>4572</v>
      </c>
      <c r="F762" s="65" t="s">
        <v>31</v>
      </c>
      <c r="G762" s="65" t="s">
        <v>4573</v>
      </c>
      <c r="H762" s="65" t="s">
        <v>4574</v>
      </c>
      <c r="I762" s="65" t="s">
        <v>4575</v>
      </c>
      <c r="J762" s="65" t="s">
        <v>1322</v>
      </c>
      <c r="K762" s="65" t="s">
        <v>36</v>
      </c>
      <c r="L762" s="65" t="s">
        <v>37</v>
      </c>
      <c r="M762" s="65" t="s">
        <v>4576</v>
      </c>
      <c r="N762" s="65" t="s">
        <v>4577</v>
      </c>
      <c r="O762" s="65" t="s">
        <v>4574</v>
      </c>
      <c r="P762" s="65" t="s">
        <v>4578</v>
      </c>
      <c r="Q762" s="65" t="s">
        <v>3541</v>
      </c>
      <c r="R762">
        <v>1</v>
      </c>
      <c r="S762" s="65" t="s">
        <v>42</v>
      </c>
      <c r="T762" s="65" t="s">
        <v>44</v>
      </c>
      <c r="U762" s="65" t="s">
        <v>44</v>
      </c>
      <c r="V762" s="65" t="s">
        <v>531</v>
      </c>
      <c r="W762" s="65" t="s">
        <v>1965</v>
      </c>
      <c r="X762">
        <v>211.86</v>
      </c>
      <c r="Y762" s="65" t="s">
        <v>47</v>
      </c>
      <c r="Z762" s="65" t="s">
        <v>48</v>
      </c>
      <c r="AA762" s="65" t="s">
        <v>534</v>
      </c>
      <c r="AB762">
        <v>999111362</v>
      </c>
      <c r="AC762" s="65" t="s">
        <v>1326</v>
      </c>
      <c r="AD762">
        <v>50</v>
      </c>
    </row>
    <row r="763" spans="1:30" x14ac:dyDescent="0.3">
      <c r="A763" s="1">
        <v>46293</v>
      </c>
      <c r="B763" s="65" t="s">
        <v>4006</v>
      </c>
      <c r="C763" s="65" t="s">
        <v>4579</v>
      </c>
      <c r="D763" s="65" t="s">
        <v>29</v>
      </c>
      <c r="E763" s="65" t="s">
        <v>4580</v>
      </c>
      <c r="F763" s="65" t="s">
        <v>31</v>
      </c>
      <c r="G763" s="65" t="s">
        <v>4581</v>
      </c>
      <c r="H763" s="65" t="s">
        <v>4582</v>
      </c>
      <c r="I763" s="65" t="s">
        <v>4583</v>
      </c>
      <c r="J763" s="65" t="s">
        <v>3072</v>
      </c>
      <c r="K763" s="65" t="s">
        <v>3037</v>
      </c>
      <c r="L763" s="65" t="s">
        <v>37</v>
      </c>
      <c r="M763" s="65" t="s">
        <v>4584</v>
      </c>
      <c r="N763" s="65" t="s">
        <v>4585</v>
      </c>
      <c r="O763" s="65" t="s">
        <v>4582</v>
      </c>
      <c r="P763" s="65" t="s">
        <v>4586</v>
      </c>
      <c r="Q763" s="65" t="s">
        <v>90</v>
      </c>
      <c r="R763">
        <v>1</v>
      </c>
      <c r="S763" s="65" t="s">
        <v>42</v>
      </c>
      <c r="T763" s="65" t="s">
        <v>44</v>
      </c>
      <c r="U763" s="65" t="s">
        <v>44</v>
      </c>
      <c r="V763" s="65" t="s">
        <v>71</v>
      </c>
      <c r="W763" s="65" t="s">
        <v>2054</v>
      </c>
      <c r="X763">
        <v>135.59</v>
      </c>
      <c r="Y763" s="65" t="s">
        <v>47</v>
      </c>
      <c r="Z763" s="65" t="s">
        <v>48</v>
      </c>
      <c r="AA763" s="65" t="s">
        <v>73</v>
      </c>
      <c r="AB763">
        <v>985558886</v>
      </c>
      <c r="AC763" s="65" t="s">
        <v>3073</v>
      </c>
      <c r="AD763">
        <v>30</v>
      </c>
    </row>
    <row r="764" spans="1:30" x14ac:dyDescent="0.3">
      <c r="A764" s="1">
        <v>46293</v>
      </c>
      <c r="B764" s="65" t="s">
        <v>4006</v>
      </c>
      <c r="C764" s="65" t="s">
        <v>4587</v>
      </c>
      <c r="D764" s="65" t="s">
        <v>29</v>
      </c>
      <c r="E764" s="65" t="s">
        <v>4588</v>
      </c>
      <c r="F764" s="65" t="s">
        <v>31</v>
      </c>
      <c r="G764" s="65" t="s">
        <v>4589</v>
      </c>
      <c r="H764" s="65" t="s">
        <v>4590</v>
      </c>
      <c r="I764" s="65" t="s">
        <v>4591</v>
      </c>
      <c r="J764" s="65" t="s">
        <v>774</v>
      </c>
      <c r="K764" s="65" t="s">
        <v>775</v>
      </c>
      <c r="L764" s="65" t="s">
        <v>37</v>
      </c>
      <c r="M764" s="65" t="s">
        <v>4592</v>
      </c>
      <c r="N764" s="65" t="s">
        <v>4593</v>
      </c>
      <c r="O764" s="65" t="s">
        <v>4590</v>
      </c>
      <c r="P764" s="65" t="s">
        <v>4594</v>
      </c>
      <c r="Q764" s="65" t="s">
        <v>1157</v>
      </c>
      <c r="R764">
        <v>1</v>
      </c>
      <c r="S764" s="65" t="s">
        <v>42</v>
      </c>
      <c r="T764" s="65" t="s">
        <v>44</v>
      </c>
      <c r="U764" s="65" t="s">
        <v>44</v>
      </c>
      <c r="V764" s="65" t="s">
        <v>45</v>
      </c>
      <c r="W764" s="65" t="s">
        <v>60</v>
      </c>
      <c r="X764">
        <v>338.98</v>
      </c>
      <c r="Y764" s="65" t="s">
        <v>47</v>
      </c>
      <c r="Z764" s="65" t="s">
        <v>48</v>
      </c>
      <c r="AA764" s="65" t="s">
        <v>49</v>
      </c>
      <c r="AC764" s="65"/>
      <c r="AD764">
        <v>100</v>
      </c>
    </row>
    <row r="765" spans="1:30" x14ac:dyDescent="0.3">
      <c r="A765" s="1">
        <v>46293</v>
      </c>
      <c r="B765" s="65" t="s">
        <v>4006</v>
      </c>
      <c r="C765" s="65" t="s">
        <v>4571</v>
      </c>
      <c r="D765" s="65" t="s">
        <v>29</v>
      </c>
      <c r="E765" s="65" t="s">
        <v>4572</v>
      </c>
      <c r="F765" s="65" t="s">
        <v>31</v>
      </c>
      <c r="G765" s="65" t="s">
        <v>4573</v>
      </c>
      <c r="H765" s="65" t="s">
        <v>4574</v>
      </c>
      <c r="I765" s="65" t="s">
        <v>4575</v>
      </c>
      <c r="J765" s="65" t="s">
        <v>1322</v>
      </c>
      <c r="K765" s="65" t="s">
        <v>36</v>
      </c>
      <c r="L765" s="65" t="s">
        <v>37</v>
      </c>
      <c r="M765" s="65" t="s">
        <v>4576</v>
      </c>
      <c r="N765" s="65" t="s">
        <v>4577</v>
      </c>
      <c r="O765" s="65" t="s">
        <v>4574</v>
      </c>
      <c r="P765" s="65" t="s">
        <v>4578</v>
      </c>
      <c r="Q765" s="65" t="s">
        <v>130</v>
      </c>
      <c r="R765">
        <v>1</v>
      </c>
      <c r="S765" s="65" t="s">
        <v>42</v>
      </c>
      <c r="T765" s="65" t="s">
        <v>44</v>
      </c>
      <c r="U765" s="65" t="s">
        <v>44</v>
      </c>
      <c r="V765" s="65" t="s">
        <v>531</v>
      </c>
      <c r="W765" s="65" t="s">
        <v>1965</v>
      </c>
      <c r="X765">
        <v>152.54</v>
      </c>
      <c r="Y765" s="65" t="s">
        <v>47</v>
      </c>
      <c r="Z765" s="65" t="s">
        <v>48</v>
      </c>
      <c r="AA765" s="65" t="s">
        <v>534</v>
      </c>
      <c r="AB765">
        <v>999111362</v>
      </c>
      <c r="AC765" s="65" t="s">
        <v>1326</v>
      </c>
      <c r="AD765">
        <v>30</v>
      </c>
    </row>
    <row r="766" spans="1:30" x14ac:dyDescent="0.3">
      <c r="A766" s="1">
        <v>46294</v>
      </c>
      <c r="B766" s="65" t="s">
        <v>4006</v>
      </c>
      <c r="C766" s="65" t="s">
        <v>4595</v>
      </c>
      <c r="D766" s="65" t="s">
        <v>29</v>
      </c>
      <c r="E766" s="65" t="s">
        <v>4596</v>
      </c>
      <c r="F766" s="65" t="s">
        <v>31</v>
      </c>
      <c r="G766" s="65" t="s">
        <v>4597</v>
      </c>
      <c r="H766" s="65" t="s">
        <v>4598</v>
      </c>
      <c r="I766" s="65" t="s">
        <v>4599</v>
      </c>
      <c r="J766" s="65" t="s">
        <v>774</v>
      </c>
      <c r="K766" s="65" t="s">
        <v>775</v>
      </c>
      <c r="L766" s="65" t="s">
        <v>37</v>
      </c>
      <c r="M766" s="65" t="s">
        <v>4600</v>
      </c>
      <c r="N766" s="65" t="s">
        <v>4601</v>
      </c>
      <c r="O766" s="65" t="s">
        <v>4598</v>
      </c>
      <c r="P766" s="65" t="s">
        <v>4602</v>
      </c>
      <c r="Q766" s="65" t="s">
        <v>641</v>
      </c>
      <c r="R766">
        <v>1</v>
      </c>
      <c r="S766" s="65" t="s">
        <v>42</v>
      </c>
      <c r="T766" s="65" t="s">
        <v>44</v>
      </c>
      <c r="U766" s="65" t="s">
        <v>44</v>
      </c>
      <c r="V766" s="65" t="s">
        <v>45</v>
      </c>
      <c r="W766" s="65" t="s">
        <v>46</v>
      </c>
      <c r="X766">
        <v>84.75</v>
      </c>
      <c r="Y766" s="65" t="s">
        <v>47</v>
      </c>
      <c r="Z766" s="65" t="s">
        <v>48</v>
      </c>
      <c r="AA766" s="65" t="s">
        <v>49</v>
      </c>
      <c r="AC766" s="65"/>
    </row>
    <row r="767" spans="1:30" x14ac:dyDescent="0.3">
      <c r="A767" s="1">
        <v>46294</v>
      </c>
      <c r="B767" s="65" t="s">
        <v>4006</v>
      </c>
      <c r="C767" s="65" t="s">
        <v>4603</v>
      </c>
      <c r="D767" s="65" t="s">
        <v>29</v>
      </c>
      <c r="E767" s="65" t="s">
        <v>4604</v>
      </c>
      <c r="F767" s="65" t="s">
        <v>31</v>
      </c>
      <c r="G767" s="65" t="s">
        <v>4605</v>
      </c>
      <c r="H767" s="65" t="s">
        <v>4606</v>
      </c>
      <c r="I767" s="65" t="s">
        <v>4607</v>
      </c>
      <c r="J767" s="65" t="s">
        <v>774</v>
      </c>
      <c r="K767" s="65" t="s">
        <v>775</v>
      </c>
      <c r="L767" s="65" t="s">
        <v>37</v>
      </c>
      <c r="M767" s="65" t="s">
        <v>4608</v>
      </c>
      <c r="N767" s="65" t="s">
        <v>4609</v>
      </c>
      <c r="O767" s="65" t="s">
        <v>4606</v>
      </c>
      <c r="P767" s="65" t="s">
        <v>4610</v>
      </c>
      <c r="Q767" s="65" t="s">
        <v>202</v>
      </c>
      <c r="R767">
        <v>1</v>
      </c>
      <c r="S767" s="65" t="s">
        <v>42</v>
      </c>
      <c r="T767" s="65" t="s">
        <v>44</v>
      </c>
      <c r="U767" s="65" t="s">
        <v>44</v>
      </c>
      <c r="V767" s="65" t="s">
        <v>45</v>
      </c>
      <c r="W767" s="65" t="s">
        <v>60</v>
      </c>
      <c r="X767">
        <v>42.37</v>
      </c>
      <c r="Y767" s="65" t="s">
        <v>47</v>
      </c>
      <c r="Z767" s="65" t="s">
        <v>48</v>
      </c>
      <c r="AA767" s="65" t="s">
        <v>49</v>
      </c>
      <c r="AC767" s="65"/>
      <c r="AD767">
        <v>30</v>
      </c>
    </row>
    <row r="768" spans="1:30" x14ac:dyDescent="0.3">
      <c r="A768" s="1">
        <v>46294</v>
      </c>
      <c r="B768" s="65" t="s">
        <v>4006</v>
      </c>
      <c r="C768" s="65" t="s">
        <v>4603</v>
      </c>
      <c r="D768" s="65" t="s">
        <v>29</v>
      </c>
      <c r="E768" s="65" t="s">
        <v>4604</v>
      </c>
      <c r="F768" s="65" t="s">
        <v>31</v>
      </c>
      <c r="G768" s="65" t="s">
        <v>4605</v>
      </c>
      <c r="H768" s="65" t="s">
        <v>4606</v>
      </c>
      <c r="I768" s="65" t="s">
        <v>4607</v>
      </c>
      <c r="J768" s="65" t="s">
        <v>774</v>
      </c>
      <c r="K768" s="65" t="s">
        <v>775</v>
      </c>
      <c r="L768" s="65" t="s">
        <v>37</v>
      </c>
      <c r="M768" s="65" t="s">
        <v>4608</v>
      </c>
      <c r="N768" s="65" t="s">
        <v>4609</v>
      </c>
      <c r="O768" s="65" t="s">
        <v>4606</v>
      </c>
      <c r="P768" s="65" t="s">
        <v>4610</v>
      </c>
      <c r="Q768" s="65" t="s">
        <v>201</v>
      </c>
      <c r="R768">
        <v>1</v>
      </c>
      <c r="S768" s="65" t="s">
        <v>42</v>
      </c>
      <c r="T768" s="65" t="s">
        <v>44</v>
      </c>
      <c r="U768" s="65" t="s">
        <v>44</v>
      </c>
      <c r="V768" s="65" t="s">
        <v>45</v>
      </c>
      <c r="W768" s="65" t="s">
        <v>60</v>
      </c>
      <c r="X768">
        <v>42.37</v>
      </c>
      <c r="Y768" s="65" t="s">
        <v>47</v>
      </c>
      <c r="Z768" s="65" t="s">
        <v>48</v>
      </c>
      <c r="AA768" s="65" t="s">
        <v>49</v>
      </c>
      <c r="AC768" s="65"/>
      <c r="AD768">
        <v>30</v>
      </c>
    </row>
    <row r="769" spans="1:30" x14ac:dyDescent="0.3">
      <c r="A769" s="1">
        <v>46294</v>
      </c>
      <c r="B769" s="65" t="s">
        <v>4006</v>
      </c>
      <c r="C769" s="65" t="s">
        <v>4611</v>
      </c>
      <c r="D769" s="65" t="s">
        <v>29</v>
      </c>
      <c r="E769" s="65" t="s">
        <v>4612</v>
      </c>
      <c r="F769" s="65" t="s">
        <v>31</v>
      </c>
      <c r="G769" s="65" t="s">
        <v>4613</v>
      </c>
      <c r="H769" s="65" t="s">
        <v>4614</v>
      </c>
      <c r="I769" s="65" t="s">
        <v>4615</v>
      </c>
      <c r="J769" s="65" t="s">
        <v>1322</v>
      </c>
      <c r="K769" s="65" t="s">
        <v>36</v>
      </c>
      <c r="L769" s="65" t="s">
        <v>37</v>
      </c>
      <c r="M769" s="65" t="s">
        <v>4616</v>
      </c>
      <c r="N769" s="65" t="s">
        <v>4617</v>
      </c>
      <c r="O769" s="65" t="s">
        <v>4614</v>
      </c>
      <c r="P769" s="65" t="s">
        <v>4618</v>
      </c>
      <c r="Q769" s="65" t="s">
        <v>101</v>
      </c>
      <c r="R769">
        <v>1</v>
      </c>
      <c r="S769" s="65" t="s">
        <v>42</v>
      </c>
      <c r="T769" s="65" t="s">
        <v>44</v>
      </c>
      <c r="U769" s="65" t="s">
        <v>44</v>
      </c>
      <c r="V769" s="65" t="s">
        <v>45</v>
      </c>
      <c r="W769" s="65" t="s">
        <v>60</v>
      </c>
      <c r="X769">
        <v>186.44</v>
      </c>
      <c r="Y769" s="65" t="s">
        <v>47</v>
      </c>
      <c r="Z769" s="65" t="s">
        <v>48</v>
      </c>
      <c r="AA769" s="65" t="s">
        <v>49</v>
      </c>
      <c r="AB769">
        <v>999111362</v>
      </c>
      <c r="AC769" s="65" t="s">
        <v>1326</v>
      </c>
      <c r="AD769">
        <v>50</v>
      </c>
    </row>
    <row r="770" spans="1:30" x14ac:dyDescent="0.3">
      <c r="A770" s="1">
        <v>46294</v>
      </c>
      <c r="B770" s="65" t="s">
        <v>4006</v>
      </c>
      <c r="C770" s="65" t="s">
        <v>4611</v>
      </c>
      <c r="D770" s="65" t="s">
        <v>29</v>
      </c>
      <c r="E770" s="65" t="s">
        <v>4612</v>
      </c>
      <c r="F770" s="65" t="s">
        <v>31</v>
      </c>
      <c r="G770" s="65" t="s">
        <v>4613</v>
      </c>
      <c r="H770" s="65" t="s">
        <v>4614</v>
      </c>
      <c r="I770" s="65" t="s">
        <v>4615</v>
      </c>
      <c r="J770" s="65" t="s">
        <v>1322</v>
      </c>
      <c r="K770" s="65" t="s">
        <v>36</v>
      </c>
      <c r="L770" s="65" t="s">
        <v>37</v>
      </c>
      <c r="M770" s="65" t="s">
        <v>4616</v>
      </c>
      <c r="N770" s="65" t="s">
        <v>4617</v>
      </c>
      <c r="O770" s="65" t="s">
        <v>4614</v>
      </c>
      <c r="P770" s="65" t="s">
        <v>4618</v>
      </c>
      <c r="Q770" s="65" t="s">
        <v>41</v>
      </c>
      <c r="R770">
        <v>1</v>
      </c>
      <c r="S770" s="65" t="s">
        <v>42</v>
      </c>
      <c r="T770" s="65" t="s">
        <v>44</v>
      </c>
      <c r="U770" s="65" t="s">
        <v>44</v>
      </c>
      <c r="V770" s="65" t="s">
        <v>45</v>
      </c>
      <c r="W770" s="65" t="s">
        <v>60</v>
      </c>
      <c r="X770">
        <v>186.44</v>
      </c>
      <c r="Y770" s="65" t="s">
        <v>47</v>
      </c>
      <c r="Z770" s="65" t="s">
        <v>48</v>
      </c>
      <c r="AA770" s="65" t="s">
        <v>49</v>
      </c>
      <c r="AB770">
        <v>999111362</v>
      </c>
      <c r="AC770" s="65" t="s">
        <v>1326</v>
      </c>
      <c r="AD770">
        <v>50</v>
      </c>
    </row>
    <row r="771" spans="1:30" x14ac:dyDescent="0.3">
      <c r="A771" s="1">
        <v>46294</v>
      </c>
      <c r="B771" s="65" t="s">
        <v>4006</v>
      </c>
      <c r="C771" s="65" t="s">
        <v>4611</v>
      </c>
      <c r="D771" s="65" t="s">
        <v>29</v>
      </c>
      <c r="E771" s="65" t="s">
        <v>4612</v>
      </c>
      <c r="F771" s="65" t="s">
        <v>31</v>
      </c>
      <c r="G771" s="65" t="s">
        <v>4613</v>
      </c>
      <c r="H771" s="65" t="s">
        <v>4614</v>
      </c>
      <c r="I771" s="65" t="s">
        <v>4615</v>
      </c>
      <c r="J771" s="65" t="s">
        <v>1322</v>
      </c>
      <c r="K771" s="65" t="s">
        <v>36</v>
      </c>
      <c r="L771" s="65" t="s">
        <v>37</v>
      </c>
      <c r="M771" s="65" t="s">
        <v>4616</v>
      </c>
      <c r="N771" s="65" t="s">
        <v>4617</v>
      </c>
      <c r="O771" s="65" t="s">
        <v>4614</v>
      </c>
      <c r="P771" s="65" t="s">
        <v>4618</v>
      </c>
      <c r="Q771" s="65" t="s">
        <v>159</v>
      </c>
      <c r="R771">
        <v>1</v>
      </c>
      <c r="S771" s="65" t="s">
        <v>42</v>
      </c>
      <c r="T771" s="65" t="s">
        <v>44</v>
      </c>
      <c r="U771" s="65" t="s">
        <v>44</v>
      </c>
      <c r="V771" s="65" t="s">
        <v>45</v>
      </c>
      <c r="W771" s="65" t="s">
        <v>60</v>
      </c>
      <c r="X771">
        <v>135.59</v>
      </c>
      <c r="Y771" s="65" t="s">
        <v>47</v>
      </c>
      <c r="Z771" s="65" t="s">
        <v>48</v>
      </c>
      <c r="AA771" s="65" t="s">
        <v>49</v>
      </c>
      <c r="AB771">
        <v>999111362</v>
      </c>
      <c r="AC771" s="65" t="s">
        <v>1326</v>
      </c>
      <c r="AD771">
        <v>30</v>
      </c>
    </row>
    <row r="772" spans="1:30" x14ac:dyDescent="0.3">
      <c r="A772" s="1">
        <v>46294</v>
      </c>
      <c r="B772" s="65" t="s">
        <v>4006</v>
      </c>
      <c r="C772" s="65" t="s">
        <v>4619</v>
      </c>
      <c r="D772" s="65" t="s">
        <v>268</v>
      </c>
      <c r="E772" s="65" t="s">
        <v>4620</v>
      </c>
      <c r="F772" s="65" t="s">
        <v>31</v>
      </c>
      <c r="G772" s="65" t="s">
        <v>4621</v>
      </c>
      <c r="H772" s="65" t="s">
        <v>4622</v>
      </c>
      <c r="I772" s="65" t="s">
        <v>4623</v>
      </c>
      <c r="J772" s="65" t="s">
        <v>273</v>
      </c>
      <c r="K772" s="65" t="s">
        <v>274</v>
      </c>
      <c r="L772" s="65" t="s">
        <v>37</v>
      </c>
      <c r="M772" s="65" t="s">
        <v>4624</v>
      </c>
      <c r="N772" s="65" t="s">
        <v>608</v>
      </c>
      <c r="O772" s="65" t="s">
        <v>277</v>
      </c>
      <c r="P772" s="65" t="s">
        <v>4625</v>
      </c>
      <c r="Q772" s="65" t="s">
        <v>288</v>
      </c>
      <c r="R772">
        <v>1</v>
      </c>
      <c r="S772" s="65" t="s">
        <v>42</v>
      </c>
      <c r="T772" s="65" t="s">
        <v>44</v>
      </c>
      <c r="U772" s="65" t="s">
        <v>44</v>
      </c>
      <c r="V772" s="65" t="s">
        <v>45</v>
      </c>
      <c r="W772" s="65" t="s">
        <v>46</v>
      </c>
      <c r="X772">
        <v>0</v>
      </c>
      <c r="Y772" s="65" t="s">
        <v>289</v>
      </c>
      <c r="Z772" s="65" t="s">
        <v>48</v>
      </c>
      <c r="AA772" s="65" t="s">
        <v>49</v>
      </c>
      <c r="AB772">
        <v>950133748</v>
      </c>
      <c r="AC772" s="65" t="s">
        <v>279</v>
      </c>
    </row>
    <row r="773" spans="1:30" x14ac:dyDescent="0.3">
      <c r="A773" s="1">
        <v>46294</v>
      </c>
      <c r="B773" s="65" t="s">
        <v>4006</v>
      </c>
      <c r="C773" s="65" t="s">
        <v>4619</v>
      </c>
      <c r="D773" s="65" t="s">
        <v>268</v>
      </c>
      <c r="E773" s="65" t="s">
        <v>4620</v>
      </c>
      <c r="F773" s="65" t="s">
        <v>31</v>
      </c>
      <c r="G773" s="65" t="s">
        <v>4621</v>
      </c>
      <c r="H773" s="65" t="s">
        <v>4622</v>
      </c>
      <c r="I773" s="65" t="s">
        <v>4623</v>
      </c>
      <c r="J773" s="65" t="s">
        <v>273</v>
      </c>
      <c r="K773" s="65" t="s">
        <v>274</v>
      </c>
      <c r="L773" s="65" t="s">
        <v>37</v>
      </c>
      <c r="M773" s="65" t="s">
        <v>4624</v>
      </c>
      <c r="N773" s="65" t="s">
        <v>608</v>
      </c>
      <c r="O773" s="65" t="s">
        <v>277</v>
      </c>
      <c r="P773" s="65" t="s">
        <v>4625</v>
      </c>
      <c r="Q773" s="65" t="s">
        <v>290</v>
      </c>
      <c r="R773">
        <v>1</v>
      </c>
      <c r="S773" s="65" t="s">
        <v>42</v>
      </c>
      <c r="T773" s="65" t="s">
        <v>44</v>
      </c>
      <c r="U773" s="65" t="s">
        <v>44</v>
      </c>
      <c r="V773" s="65" t="s">
        <v>45</v>
      </c>
      <c r="W773" s="65" t="s">
        <v>46</v>
      </c>
      <c r="X773">
        <v>1050.8499999999999</v>
      </c>
      <c r="Y773" s="65" t="s">
        <v>289</v>
      </c>
      <c r="Z773" s="65" t="s">
        <v>48</v>
      </c>
      <c r="AA773" s="65" t="s">
        <v>49</v>
      </c>
      <c r="AB773">
        <v>950133748</v>
      </c>
      <c r="AC773" s="65" t="s">
        <v>279</v>
      </c>
    </row>
    <row r="774" spans="1:30" x14ac:dyDescent="0.3">
      <c r="A774" s="1">
        <v>46294</v>
      </c>
      <c r="B774" s="65" t="s">
        <v>4006</v>
      </c>
      <c r="C774" s="65" t="s">
        <v>4626</v>
      </c>
      <c r="D774" s="65" t="s">
        <v>268</v>
      </c>
      <c r="E774" s="65" t="s">
        <v>4627</v>
      </c>
      <c r="F774" s="65" t="s">
        <v>31</v>
      </c>
      <c r="G774" s="65" t="s">
        <v>4628</v>
      </c>
      <c r="H774" s="65" t="s">
        <v>4606</v>
      </c>
      <c r="I774" s="65" t="s">
        <v>4607</v>
      </c>
      <c r="J774" s="65" t="s">
        <v>774</v>
      </c>
      <c r="K774" s="65" t="s">
        <v>775</v>
      </c>
      <c r="L774" s="65" t="s">
        <v>37</v>
      </c>
      <c r="M774" s="65" t="s">
        <v>4608</v>
      </c>
      <c r="N774" s="65" t="s">
        <v>4609</v>
      </c>
      <c r="O774" s="65" t="s">
        <v>798</v>
      </c>
      <c r="P774" s="65" t="s">
        <v>4629</v>
      </c>
      <c r="Q774" s="65" t="s">
        <v>290</v>
      </c>
      <c r="R774">
        <v>1</v>
      </c>
      <c r="S774" s="65" t="s">
        <v>42</v>
      </c>
      <c r="T774" s="65" t="s">
        <v>44</v>
      </c>
      <c r="U774" s="65" t="s">
        <v>44</v>
      </c>
      <c r="V774" s="65" t="s">
        <v>45</v>
      </c>
      <c r="W774" s="65" t="s">
        <v>46</v>
      </c>
      <c r="X774">
        <v>762.71</v>
      </c>
      <c r="Y774" s="65" t="s">
        <v>289</v>
      </c>
      <c r="Z774" s="65" t="s">
        <v>48</v>
      </c>
      <c r="AA774" s="65" t="s">
        <v>49</v>
      </c>
      <c r="AC774" s="65"/>
    </row>
    <row r="775" spans="1:30" x14ac:dyDescent="0.3">
      <c r="A775" s="1">
        <v>46294</v>
      </c>
      <c r="B775" s="65" t="s">
        <v>4006</v>
      </c>
      <c r="C775" s="65" t="s">
        <v>4626</v>
      </c>
      <c r="D775" s="65" t="s">
        <v>268</v>
      </c>
      <c r="E775" s="65" t="s">
        <v>4627</v>
      </c>
      <c r="F775" s="65" t="s">
        <v>31</v>
      </c>
      <c r="G775" s="65" t="s">
        <v>4628</v>
      </c>
      <c r="H775" s="65" t="s">
        <v>4606</v>
      </c>
      <c r="I775" s="65" t="s">
        <v>4607</v>
      </c>
      <c r="J775" s="65" t="s">
        <v>774</v>
      </c>
      <c r="K775" s="65" t="s">
        <v>775</v>
      </c>
      <c r="L775" s="65" t="s">
        <v>37</v>
      </c>
      <c r="M775" s="65" t="s">
        <v>4608</v>
      </c>
      <c r="N775" s="65" t="s">
        <v>4609</v>
      </c>
      <c r="O775" s="65" t="s">
        <v>798</v>
      </c>
      <c r="P775" s="65" t="s">
        <v>4629</v>
      </c>
      <c r="Q775" s="65" t="s">
        <v>288</v>
      </c>
      <c r="R775">
        <v>1</v>
      </c>
      <c r="S775" s="65" t="s">
        <v>42</v>
      </c>
      <c r="T775" s="65" t="s">
        <v>44</v>
      </c>
      <c r="U775" s="65" t="s">
        <v>44</v>
      </c>
      <c r="V775" s="65" t="s">
        <v>45</v>
      </c>
      <c r="W775" s="65" t="s">
        <v>46</v>
      </c>
      <c r="X775">
        <v>0</v>
      </c>
      <c r="Y775" s="65" t="s">
        <v>289</v>
      </c>
      <c r="Z775" s="65" t="s">
        <v>48</v>
      </c>
      <c r="AA775" s="65" t="s">
        <v>49</v>
      </c>
      <c r="AC775" s="65"/>
    </row>
    <row r="776" spans="1:30" x14ac:dyDescent="0.3">
      <c r="A776" s="1">
        <v>46294</v>
      </c>
      <c r="B776" s="65" t="s">
        <v>4006</v>
      </c>
      <c r="C776" s="65" t="s">
        <v>4630</v>
      </c>
      <c r="D776" s="65" t="s">
        <v>268</v>
      </c>
      <c r="E776" s="65" t="s">
        <v>4631</v>
      </c>
      <c r="F776" s="65" t="s">
        <v>31</v>
      </c>
      <c r="G776" s="65" t="s">
        <v>4632</v>
      </c>
      <c r="H776" s="65" t="s">
        <v>4633</v>
      </c>
      <c r="I776" s="65" t="s">
        <v>4634</v>
      </c>
      <c r="J776" s="65" t="s">
        <v>1143</v>
      </c>
      <c r="K776" s="65" t="s">
        <v>365</v>
      </c>
      <c r="L776" s="65" t="s">
        <v>37</v>
      </c>
      <c r="M776" s="65" t="s">
        <v>4635</v>
      </c>
      <c r="N776" s="65" t="s">
        <v>4636</v>
      </c>
      <c r="O776" s="65" t="s">
        <v>4637</v>
      </c>
      <c r="P776" s="65" t="s">
        <v>4638</v>
      </c>
      <c r="Q776" s="65" t="s">
        <v>90</v>
      </c>
      <c r="R776">
        <v>1</v>
      </c>
      <c r="S776" s="65" t="s">
        <v>42</v>
      </c>
      <c r="T776" s="65" t="s">
        <v>44</v>
      </c>
      <c r="U776" s="65" t="s">
        <v>44</v>
      </c>
      <c r="V776" s="65" t="s">
        <v>45</v>
      </c>
      <c r="W776" s="65" t="s">
        <v>46</v>
      </c>
      <c r="X776">
        <v>135.59</v>
      </c>
      <c r="Y776" s="65" t="s">
        <v>47</v>
      </c>
      <c r="Z776" s="65" t="s">
        <v>48</v>
      </c>
      <c r="AA776" s="65" t="s">
        <v>49</v>
      </c>
      <c r="AB776">
        <v>995833213</v>
      </c>
      <c r="AC776" s="65" t="s">
        <v>1147</v>
      </c>
      <c r="AD776">
        <v>30</v>
      </c>
    </row>
    <row r="777" spans="1:30" x14ac:dyDescent="0.3">
      <c r="A777" s="1">
        <v>46294</v>
      </c>
      <c r="B777" s="65" t="s">
        <v>4006</v>
      </c>
      <c r="C777" s="65" t="s">
        <v>4639</v>
      </c>
      <c r="D777" s="65" t="s">
        <v>399</v>
      </c>
      <c r="E777" s="65" t="s">
        <v>4631</v>
      </c>
      <c r="F777" s="65" t="s">
        <v>400</v>
      </c>
      <c r="G777" s="65" t="s">
        <v>4640</v>
      </c>
      <c r="H777" s="65" t="s">
        <v>4633</v>
      </c>
      <c r="I777" s="65" t="s">
        <v>4634</v>
      </c>
      <c r="J777" s="65" t="s">
        <v>1143</v>
      </c>
      <c r="K777" s="65" t="s">
        <v>365</v>
      </c>
      <c r="L777" s="65" t="s">
        <v>400</v>
      </c>
      <c r="M777" s="65" t="s">
        <v>4635</v>
      </c>
      <c r="N777" s="65" t="s">
        <v>4636</v>
      </c>
      <c r="O777" s="65" t="s">
        <v>4637</v>
      </c>
      <c r="P777" s="65" t="s">
        <v>4638</v>
      </c>
      <c r="Q777" s="65" t="s">
        <v>90</v>
      </c>
      <c r="R777">
        <v>1</v>
      </c>
      <c r="S777" s="65" t="s">
        <v>42</v>
      </c>
      <c r="T777" s="65" t="s">
        <v>44</v>
      </c>
      <c r="U777" s="65" t="s">
        <v>44</v>
      </c>
      <c r="V777" s="65" t="s">
        <v>45</v>
      </c>
      <c r="W777" s="65" t="s">
        <v>46</v>
      </c>
      <c r="X777">
        <v>-135.59</v>
      </c>
      <c r="Y777" s="65" t="s">
        <v>47</v>
      </c>
      <c r="Z777" s="65" t="s">
        <v>48</v>
      </c>
      <c r="AA777" s="65" t="s">
        <v>49</v>
      </c>
      <c r="AB777">
        <v>995833213</v>
      </c>
      <c r="AC777" s="65" t="s">
        <v>1147</v>
      </c>
      <c r="AD777">
        <v>30</v>
      </c>
    </row>
    <row r="778" spans="1:30" x14ac:dyDescent="0.3">
      <c r="A778" s="1">
        <v>46294</v>
      </c>
      <c r="B778" s="65" t="s">
        <v>4006</v>
      </c>
      <c r="C778" s="65" t="s">
        <v>4641</v>
      </c>
      <c r="D778" s="65" t="s">
        <v>29</v>
      </c>
      <c r="E778" s="65" t="s">
        <v>4642</v>
      </c>
      <c r="F778" s="65" t="s">
        <v>31</v>
      </c>
      <c r="G778" s="65" t="s">
        <v>4643</v>
      </c>
      <c r="H778" s="65" t="s">
        <v>4644</v>
      </c>
      <c r="I778" s="65" t="s">
        <v>4645</v>
      </c>
      <c r="J778" s="65" t="s">
        <v>4680</v>
      </c>
      <c r="K778" s="65" t="s">
        <v>1864</v>
      </c>
      <c r="L778" s="65" t="s">
        <v>37</v>
      </c>
      <c r="M778" s="65" t="s">
        <v>4646</v>
      </c>
      <c r="N778" s="65" t="s">
        <v>4647</v>
      </c>
      <c r="O778" s="65" t="s">
        <v>4644</v>
      </c>
      <c r="P778" s="65" t="s">
        <v>4648</v>
      </c>
      <c r="Q778" s="65" t="s">
        <v>130</v>
      </c>
      <c r="R778">
        <v>1</v>
      </c>
      <c r="S778" s="65" t="s">
        <v>42</v>
      </c>
      <c r="T778" s="65" t="s">
        <v>44</v>
      </c>
      <c r="U778" s="65" t="s">
        <v>44</v>
      </c>
      <c r="V778" s="65" t="s">
        <v>45</v>
      </c>
      <c r="W778" s="65" t="s">
        <v>46</v>
      </c>
      <c r="X778">
        <v>152.54</v>
      </c>
      <c r="Y778" s="65" t="s">
        <v>47</v>
      </c>
      <c r="Z778" s="65" t="s">
        <v>48</v>
      </c>
      <c r="AA778" s="65" t="s">
        <v>49</v>
      </c>
      <c r="AB778">
        <v>901918745</v>
      </c>
      <c r="AC778" s="65"/>
      <c r="AD778">
        <v>30</v>
      </c>
    </row>
    <row r="779" spans="1:30" x14ac:dyDescent="0.3">
      <c r="A779" s="1">
        <v>46295</v>
      </c>
      <c r="B779" s="65" t="s">
        <v>4006</v>
      </c>
      <c r="C779" s="65" t="s">
        <v>4649</v>
      </c>
      <c r="D779" s="65" t="s">
        <v>268</v>
      </c>
      <c r="E779" s="65" t="s">
        <v>4650</v>
      </c>
      <c r="F779" s="65" t="s">
        <v>31</v>
      </c>
      <c r="G779" s="65" t="s">
        <v>4651</v>
      </c>
      <c r="H779" s="65" t="s">
        <v>4652</v>
      </c>
      <c r="I779" s="65" t="s">
        <v>4653</v>
      </c>
      <c r="J779" s="65" t="s">
        <v>3116</v>
      </c>
      <c r="K779" s="65" t="s">
        <v>2558</v>
      </c>
      <c r="L779" s="65" t="s">
        <v>37</v>
      </c>
      <c r="M779" s="65" t="s">
        <v>4654</v>
      </c>
      <c r="N779" s="65" t="s">
        <v>4655</v>
      </c>
      <c r="O779" s="65" t="s">
        <v>4656</v>
      </c>
      <c r="P779" s="65" t="s">
        <v>4657</v>
      </c>
      <c r="Q779" s="65" t="s">
        <v>101</v>
      </c>
      <c r="R779">
        <v>1</v>
      </c>
      <c r="S779" s="65" t="s">
        <v>42</v>
      </c>
      <c r="T779" s="65" t="s">
        <v>44</v>
      </c>
      <c r="U779" s="65" t="s">
        <v>44</v>
      </c>
      <c r="V779" s="65" t="s">
        <v>45</v>
      </c>
      <c r="W779" s="65" t="s">
        <v>46</v>
      </c>
      <c r="X779">
        <v>186.44</v>
      </c>
      <c r="Y779" s="65" t="s">
        <v>47</v>
      </c>
      <c r="Z779" s="65" t="s">
        <v>48</v>
      </c>
      <c r="AA779" s="65" t="s">
        <v>49</v>
      </c>
      <c r="AB779">
        <v>973914900</v>
      </c>
      <c r="AC779" s="65" t="s">
        <v>3117</v>
      </c>
      <c r="AD779">
        <v>50</v>
      </c>
    </row>
    <row r="780" spans="1:30" x14ac:dyDescent="0.3">
      <c r="A780" s="1">
        <v>46295</v>
      </c>
      <c r="B780" s="65" t="s">
        <v>4006</v>
      </c>
      <c r="C780" s="65" t="s">
        <v>4658</v>
      </c>
      <c r="D780" s="65" t="s">
        <v>29</v>
      </c>
      <c r="E780" s="65" t="s">
        <v>4659</v>
      </c>
      <c r="F780" s="65" t="s">
        <v>31</v>
      </c>
      <c r="G780" s="65" t="s">
        <v>4660</v>
      </c>
      <c r="H780" s="65" t="s">
        <v>4661</v>
      </c>
      <c r="I780" s="65" t="s">
        <v>4662</v>
      </c>
      <c r="J780" s="65" t="s">
        <v>1322</v>
      </c>
      <c r="K780" s="65" t="s">
        <v>36</v>
      </c>
      <c r="L780" s="65" t="s">
        <v>37</v>
      </c>
      <c r="M780" s="65" t="s">
        <v>4663</v>
      </c>
      <c r="N780" s="65" t="s">
        <v>4664</v>
      </c>
      <c r="O780" s="65" t="s">
        <v>4661</v>
      </c>
      <c r="P780" s="65" t="s">
        <v>4665</v>
      </c>
      <c r="Q780" s="65" t="s">
        <v>159</v>
      </c>
      <c r="R780">
        <v>1</v>
      </c>
      <c r="S780" s="65" t="s">
        <v>42</v>
      </c>
      <c r="T780" s="65" t="s">
        <v>44</v>
      </c>
      <c r="U780" s="65" t="s">
        <v>44</v>
      </c>
      <c r="V780" s="65" t="s">
        <v>71</v>
      </c>
      <c r="W780" s="65" t="s">
        <v>184</v>
      </c>
      <c r="X780">
        <v>135.59</v>
      </c>
      <c r="Y780" s="65" t="s">
        <v>47</v>
      </c>
      <c r="Z780" s="65" t="s">
        <v>48</v>
      </c>
      <c r="AA780" s="65" t="s">
        <v>73</v>
      </c>
      <c r="AB780">
        <v>999111362</v>
      </c>
      <c r="AC780" s="65" t="s">
        <v>1326</v>
      </c>
      <c r="AD780">
        <v>30</v>
      </c>
    </row>
    <row r="781" spans="1:30" x14ac:dyDescent="0.3">
      <c r="A781" s="1">
        <v>46296</v>
      </c>
      <c r="B781" s="65" t="s">
        <v>4666</v>
      </c>
      <c r="C781" s="65" t="s">
        <v>4667</v>
      </c>
      <c r="D781" s="65" t="s">
        <v>29</v>
      </c>
      <c r="E781" s="65" t="s">
        <v>4668</v>
      </c>
      <c r="F781" s="65" t="s">
        <v>31</v>
      </c>
      <c r="G781" s="65" t="s">
        <v>4669</v>
      </c>
      <c r="H781" s="65" t="s">
        <v>4670</v>
      </c>
      <c r="I781" s="65" t="s">
        <v>4671</v>
      </c>
      <c r="J781" s="65" t="s">
        <v>715</v>
      </c>
      <c r="K781" s="65" t="s">
        <v>716</v>
      </c>
      <c r="L781" s="65" t="s">
        <v>37</v>
      </c>
      <c r="M781" s="65" t="s">
        <v>4672</v>
      </c>
      <c r="N781" s="65" t="s">
        <v>4673</v>
      </c>
      <c r="O781" s="65" t="s">
        <v>4670</v>
      </c>
      <c r="P781" s="65" t="s">
        <v>4674</v>
      </c>
      <c r="Q781" s="65" t="s">
        <v>90</v>
      </c>
      <c r="R781">
        <v>1</v>
      </c>
      <c r="S781" s="65" t="s">
        <v>70</v>
      </c>
      <c r="T781" s="65" t="s">
        <v>43</v>
      </c>
      <c r="U781" s="65" t="s">
        <v>44</v>
      </c>
      <c r="V781" s="65" t="s">
        <v>71</v>
      </c>
      <c r="W781" s="65" t="s">
        <v>184</v>
      </c>
      <c r="X781">
        <v>135.59</v>
      </c>
      <c r="Y781" s="65" t="s">
        <v>47</v>
      </c>
      <c r="Z781" s="65" t="s">
        <v>48</v>
      </c>
      <c r="AA781" s="65" t="s">
        <v>73</v>
      </c>
      <c r="AB781">
        <v>955356636</v>
      </c>
      <c r="AC781" s="65" t="s">
        <v>720</v>
      </c>
      <c r="AD781">
        <v>30</v>
      </c>
    </row>
    <row r="782" spans="1:30" x14ac:dyDescent="0.3">
      <c r="A782" s="1">
        <v>46296</v>
      </c>
      <c r="B782" s="65" t="s">
        <v>4666</v>
      </c>
      <c r="C782" s="65" t="s">
        <v>4675</v>
      </c>
      <c r="D782" s="65" t="s">
        <v>29</v>
      </c>
      <c r="E782" s="65" t="s">
        <v>4676</v>
      </c>
      <c r="F782" s="65" t="s">
        <v>31</v>
      </c>
      <c r="G782" s="65" t="s">
        <v>4677</v>
      </c>
      <c r="H782" s="65" t="s">
        <v>4678</v>
      </c>
      <c r="I782" s="65" t="s">
        <v>4679</v>
      </c>
      <c r="J782" s="65" t="s">
        <v>4680</v>
      </c>
      <c r="K782" s="65" t="s">
        <v>1864</v>
      </c>
      <c r="L782" s="65" t="s">
        <v>37</v>
      </c>
      <c r="M782" s="65" t="s">
        <v>4681</v>
      </c>
      <c r="N782" s="65" t="s">
        <v>4682</v>
      </c>
      <c r="O782" s="65" t="s">
        <v>4678</v>
      </c>
      <c r="P782" s="65" t="s">
        <v>4683</v>
      </c>
      <c r="Q782" s="65" t="s">
        <v>213</v>
      </c>
      <c r="R782">
        <v>1</v>
      </c>
      <c r="S782" s="65" t="s">
        <v>42</v>
      </c>
      <c r="T782" s="65" t="s">
        <v>44</v>
      </c>
      <c r="U782" s="65" t="s">
        <v>44</v>
      </c>
      <c r="V782" s="65" t="s">
        <v>45</v>
      </c>
      <c r="W782" s="65" t="s">
        <v>46</v>
      </c>
      <c r="X782">
        <v>254.24</v>
      </c>
      <c r="Y782" s="65" t="s">
        <v>61</v>
      </c>
      <c r="Z782" s="65" t="s">
        <v>48</v>
      </c>
      <c r="AA782" s="65" t="s">
        <v>49</v>
      </c>
      <c r="AB782">
        <v>901918745</v>
      </c>
      <c r="AC782" s="65"/>
    </row>
    <row r="783" spans="1:30" x14ac:dyDescent="0.3">
      <c r="A783" s="1">
        <v>46297</v>
      </c>
      <c r="B783" s="65" t="s">
        <v>4666</v>
      </c>
      <c r="C783" s="65" t="s">
        <v>4993</v>
      </c>
      <c r="D783" s="65" t="s">
        <v>29</v>
      </c>
      <c r="E783" s="65" t="s">
        <v>4994</v>
      </c>
      <c r="F783" s="65" t="s">
        <v>31</v>
      </c>
      <c r="G783" s="65" t="s">
        <v>4995</v>
      </c>
      <c r="H783" s="65" t="s">
        <v>4996</v>
      </c>
      <c r="I783" s="65" t="s">
        <v>4997</v>
      </c>
      <c r="J783" s="65" t="s">
        <v>774</v>
      </c>
      <c r="K783" s="65" t="s">
        <v>775</v>
      </c>
      <c r="L783" s="65" t="s">
        <v>37</v>
      </c>
      <c r="M783" s="65" t="s">
        <v>4998</v>
      </c>
      <c r="N783" s="65" t="s">
        <v>1500</v>
      </c>
      <c r="O783" s="65" t="s">
        <v>4996</v>
      </c>
      <c r="P783" s="65" t="s">
        <v>4999</v>
      </c>
      <c r="Q783" s="65" t="s">
        <v>159</v>
      </c>
      <c r="R783">
        <v>1</v>
      </c>
      <c r="S783" s="65" t="s">
        <v>42</v>
      </c>
      <c r="T783" s="65" t="s">
        <v>44</v>
      </c>
      <c r="U783" s="65" t="s">
        <v>44</v>
      </c>
      <c r="V783" s="65" t="s">
        <v>71</v>
      </c>
      <c r="W783" s="65" t="s">
        <v>184</v>
      </c>
      <c r="X783">
        <v>135.59</v>
      </c>
      <c r="Y783" s="65" t="s">
        <v>47</v>
      </c>
      <c r="Z783" s="65" t="s">
        <v>48</v>
      </c>
      <c r="AA783" s="65" t="s">
        <v>73</v>
      </c>
      <c r="AC783" s="65"/>
      <c r="AD783">
        <v>30</v>
      </c>
    </row>
    <row r="784" spans="1:30" x14ac:dyDescent="0.3">
      <c r="A784" s="1">
        <v>46297</v>
      </c>
      <c r="B784" s="65" t="s">
        <v>4666</v>
      </c>
      <c r="C784" s="65" t="s">
        <v>4684</v>
      </c>
      <c r="D784" s="65" t="s">
        <v>29</v>
      </c>
      <c r="E784" s="65" t="s">
        <v>4685</v>
      </c>
      <c r="F784" s="65" t="s">
        <v>31</v>
      </c>
      <c r="G784" s="65" t="s">
        <v>4686</v>
      </c>
      <c r="H784" s="65" t="s">
        <v>4687</v>
      </c>
      <c r="I784" s="65" t="s">
        <v>4688</v>
      </c>
      <c r="J784" s="65" t="s">
        <v>4689</v>
      </c>
      <c r="K784" s="65" t="s">
        <v>4690</v>
      </c>
      <c r="L784" s="65" t="s">
        <v>37</v>
      </c>
      <c r="M784" s="65" t="s">
        <v>4691</v>
      </c>
      <c r="N784" s="65" t="s">
        <v>4692</v>
      </c>
      <c r="O784" s="65" t="s">
        <v>4687</v>
      </c>
      <c r="P784" s="65" t="s">
        <v>4693</v>
      </c>
      <c r="Q784" s="65" t="s">
        <v>202</v>
      </c>
      <c r="R784">
        <v>1</v>
      </c>
      <c r="S784" s="65" t="s">
        <v>42</v>
      </c>
      <c r="T784" s="65" t="s">
        <v>44</v>
      </c>
      <c r="U784" s="65" t="s">
        <v>44</v>
      </c>
      <c r="V784" s="65" t="s">
        <v>45</v>
      </c>
      <c r="W784" s="65" t="s">
        <v>46</v>
      </c>
      <c r="X784">
        <v>135.59</v>
      </c>
      <c r="Y784" s="65" t="s">
        <v>47</v>
      </c>
      <c r="Z784" s="65" t="s">
        <v>48</v>
      </c>
      <c r="AA784" s="65" t="s">
        <v>49</v>
      </c>
      <c r="AC784" s="65"/>
      <c r="AD784">
        <v>30</v>
      </c>
    </row>
    <row r="785" spans="1:30" x14ac:dyDescent="0.3">
      <c r="A785" s="1">
        <v>46297</v>
      </c>
      <c r="B785" s="65" t="s">
        <v>4666</v>
      </c>
      <c r="C785" s="65" t="s">
        <v>4694</v>
      </c>
      <c r="D785" s="65" t="s">
        <v>268</v>
      </c>
      <c r="E785" s="65" t="s">
        <v>4695</v>
      </c>
      <c r="F785" s="65" t="s">
        <v>31</v>
      </c>
      <c r="G785" s="65" t="s">
        <v>4696</v>
      </c>
      <c r="H785" s="65" t="s">
        <v>2753</v>
      </c>
      <c r="I785" s="65" t="s">
        <v>5000</v>
      </c>
      <c r="J785" s="65" t="s">
        <v>273</v>
      </c>
      <c r="K785" s="65" t="s">
        <v>274</v>
      </c>
      <c r="L785" s="65" t="s">
        <v>37</v>
      </c>
      <c r="M785" s="65" t="s">
        <v>2755</v>
      </c>
      <c r="N785" s="65" t="s">
        <v>2756</v>
      </c>
      <c r="O785" s="65" t="s">
        <v>277</v>
      </c>
      <c r="P785" s="65" t="s">
        <v>4697</v>
      </c>
      <c r="Q785" s="65" t="s">
        <v>288</v>
      </c>
      <c r="R785">
        <v>1</v>
      </c>
      <c r="S785" s="65" t="s">
        <v>42</v>
      </c>
      <c r="T785" s="65" t="s">
        <v>44</v>
      </c>
      <c r="U785" s="65" t="s">
        <v>44</v>
      </c>
      <c r="V785" s="65" t="s">
        <v>45</v>
      </c>
      <c r="W785" s="65" t="s">
        <v>46</v>
      </c>
      <c r="X785">
        <v>0</v>
      </c>
      <c r="Y785" s="65" t="s">
        <v>289</v>
      </c>
      <c r="Z785" s="65" t="s">
        <v>48</v>
      </c>
      <c r="AA785" s="65" t="s">
        <v>49</v>
      </c>
      <c r="AB785">
        <v>950133748</v>
      </c>
      <c r="AC785" s="65" t="s">
        <v>279</v>
      </c>
    </row>
    <row r="786" spans="1:30" x14ac:dyDescent="0.3">
      <c r="A786" s="1">
        <v>46297</v>
      </c>
      <c r="B786" s="65" t="s">
        <v>4666</v>
      </c>
      <c r="C786" s="65" t="s">
        <v>4694</v>
      </c>
      <c r="D786" s="65" t="s">
        <v>268</v>
      </c>
      <c r="E786" s="65" t="s">
        <v>4695</v>
      </c>
      <c r="F786" s="65" t="s">
        <v>31</v>
      </c>
      <c r="G786" s="65" t="s">
        <v>4696</v>
      </c>
      <c r="H786" s="65" t="s">
        <v>2753</v>
      </c>
      <c r="I786" s="65" t="s">
        <v>5000</v>
      </c>
      <c r="J786" s="65" t="s">
        <v>273</v>
      </c>
      <c r="K786" s="65" t="s">
        <v>274</v>
      </c>
      <c r="L786" s="65" t="s">
        <v>37</v>
      </c>
      <c r="M786" s="65" t="s">
        <v>2755</v>
      </c>
      <c r="N786" s="65" t="s">
        <v>2756</v>
      </c>
      <c r="O786" s="65" t="s">
        <v>277</v>
      </c>
      <c r="P786" s="65" t="s">
        <v>4697</v>
      </c>
      <c r="Q786" s="65" t="s">
        <v>213</v>
      </c>
      <c r="R786">
        <v>1</v>
      </c>
      <c r="S786" s="65" t="s">
        <v>42</v>
      </c>
      <c r="T786" s="65" t="s">
        <v>44</v>
      </c>
      <c r="U786" s="65" t="s">
        <v>44</v>
      </c>
      <c r="V786" s="65" t="s">
        <v>45</v>
      </c>
      <c r="W786" s="65" t="s">
        <v>46</v>
      </c>
      <c r="X786">
        <v>254.24</v>
      </c>
      <c r="Y786" s="65" t="s">
        <v>289</v>
      </c>
      <c r="Z786" s="65" t="s">
        <v>48</v>
      </c>
      <c r="AA786" s="65" t="s">
        <v>49</v>
      </c>
      <c r="AB786">
        <v>950133748</v>
      </c>
      <c r="AC786" s="65" t="s">
        <v>279</v>
      </c>
    </row>
    <row r="787" spans="1:30" x14ac:dyDescent="0.3">
      <c r="A787" s="1">
        <v>46297</v>
      </c>
      <c r="B787" s="65" t="s">
        <v>4666</v>
      </c>
      <c r="C787" s="65" t="s">
        <v>4698</v>
      </c>
      <c r="D787" s="65" t="s">
        <v>268</v>
      </c>
      <c r="E787" s="65" t="s">
        <v>4699</v>
      </c>
      <c r="F787" s="65" t="s">
        <v>31</v>
      </c>
      <c r="G787" s="65" t="s">
        <v>4700</v>
      </c>
      <c r="H787" s="65" t="s">
        <v>4701</v>
      </c>
      <c r="I787" s="65" t="s">
        <v>5001</v>
      </c>
      <c r="J787" s="65" t="s">
        <v>477</v>
      </c>
      <c r="K787" s="65" t="s">
        <v>209</v>
      </c>
      <c r="L787" s="65" t="s">
        <v>37</v>
      </c>
      <c r="M787" s="65" t="s">
        <v>4702</v>
      </c>
      <c r="N787" s="65" t="s">
        <v>4703</v>
      </c>
      <c r="O787" s="65" t="s">
        <v>486</v>
      </c>
      <c r="P787" s="65" t="s">
        <v>4704</v>
      </c>
      <c r="Q787" s="65" t="s">
        <v>59</v>
      </c>
      <c r="R787">
        <v>2</v>
      </c>
      <c r="S787" s="65" t="s">
        <v>42</v>
      </c>
      <c r="T787" s="65" t="s">
        <v>44</v>
      </c>
      <c r="U787" s="65" t="s">
        <v>44</v>
      </c>
      <c r="V787" s="65" t="s">
        <v>45</v>
      </c>
      <c r="W787" s="65" t="s">
        <v>46</v>
      </c>
      <c r="X787">
        <v>203.39</v>
      </c>
      <c r="Y787" s="65" t="s">
        <v>61</v>
      </c>
      <c r="Z787" s="65" t="s">
        <v>48</v>
      </c>
      <c r="AA787" s="65" t="s">
        <v>49</v>
      </c>
      <c r="AB787">
        <v>982536223</v>
      </c>
      <c r="AC787" s="65" t="s">
        <v>482</v>
      </c>
    </row>
    <row r="788" spans="1:30" x14ac:dyDescent="0.3">
      <c r="A788" s="1">
        <v>46297</v>
      </c>
      <c r="B788" s="65" t="s">
        <v>4666</v>
      </c>
      <c r="C788" s="65" t="s">
        <v>4705</v>
      </c>
      <c r="D788" s="65" t="s">
        <v>268</v>
      </c>
      <c r="E788" s="65" t="s">
        <v>4706</v>
      </c>
      <c r="F788" s="65" t="s">
        <v>31</v>
      </c>
      <c r="G788" s="65" t="s">
        <v>4707</v>
      </c>
      <c r="H788" s="65" t="s">
        <v>4708</v>
      </c>
      <c r="I788" s="65" t="s">
        <v>5001</v>
      </c>
      <c r="J788" s="65" t="s">
        <v>477</v>
      </c>
      <c r="K788" s="65" t="s">
        <v>209</v>
      </c>
      <c r="L788" s="65" t="s">
        <v>37</v>
      </c>
      <c r="M788" s="65" t="s">
        <v>4709</v>
      </c>
      <c r="N788" s="65" t="s">
        <v>4710</v>
      </c>
      <c r="O788" s="65" t="s">
        <v>486</v>
      </c>
      <c r="P788" s="65" t="s">
        <v>4711</v>
      </c>
      <c r="Q788" s="65" t="s">
        <v>59</v>
      </c>
      <c r="R788">
        <v>1</v>
      </c>
      <c r="S788" s="65" t="s">
        <v>42</v>
      </c>
      <c r="T788" s="65" t="s">
        <v>44</v>
      </c>
      <c r="U788" s="65" t="s">
        <v>44</v>
      </c>
      <c r="V788" s="65" t="s">
        <v>45</v>
      </c>
      <c r="W788" s="65" t="s">
        <v>46</v>
      </c>
      <c r="X788">
        <v>101.69</v>
      </c>
      <c r="Y788" s="65" t="s">
        <v>61</v>
      </c>
      <c r="Z788" s="65" t="s">
        <v>48</v>
      </c>
      <c r="AA788" s="65" t="s">
        <v>49</v>
      </c>
      <c r="AB788">
        <v>982536223</v>
      </c>
      <c r="AC788" s="65" t="s">
        <v>482</v>
      </c>
    </row>
    <row r="789" spans="1:30" x14ac:dyDescent="0.3">
      <c r="A789" s="1">
        <v>46298</v>
      </c>
      <c r="B789" s="65" t="s">
        <v>4666</v>
      </c>
      <c r="C789" s="65" t="s">
        <v>4712</v>
      </c>
      <c r="D789" s="65" t="s">
        <v>29</v>
      </c>
      <c r="E789" s="65" t="s">
        <v>4713</v>
      </c>
      <c r="F789" s="65" t="s">
        <v>31</v>
      </c>
      <c r="G789" s="65" t="s">
        <v>4714</v>
      </c>
      <c r="H789" s="65" t="s">
        <v>4715</v>
      </c>
      <c r="I789" s="65" t="s">
        <v>4716</v>
      </c>
      <c r="J789" s="65" t="s">
        <v>344</v>
      </c>
      <c r="K789" s="65" t="s">
        <v>345</v>
      </c>
      <c r="L789" s="65" t="s">
        <v>37</v>
      </c>
      <c r="M789" s="65" t="s">
        <v>4717</v>
      </c>
      <c r="N789" s="65" t="s">
        <v>4718</v>
      </c>
      <c r="O789" s="65" t="s">
        <v>4715</v>
      </c>
      <c r="P789" s="65" t="s">
        <v>4719</v>
      </c>
      <c r="Q789" s="65" t="s">
        <v>130</v>
      </c>
      <c r="R789">
        <v>1</v>
      </c>
      <c r="S789" s="65" t="s">
        <v>70</v>
      </c>
      <c r="T789" s="65" t="s">
        <v>43</v>
      </c>
      <c r="U789" s="65" t="s">
        <v>44</v>
      </c>
      <c r="V789" s="65" t="s">
        <v>71</v>
      </c>
      <c r="W789" s="65" t="s">
        <v>72</v>
      </c>
      <c r="X789">
        <v>152.54</v>
      </c>
      <c r="Y789" s="65" t="s">
        <v>47</v>
      </c>
      <c r="Z789" s="65" t="s">
        <v>48</v>
      </c>
      <c r="AA789" s="65" t="s">
        <v>73</v>
      </c>
      <c r="AB789">
        <v>966697811</v>
      </c>
      <c r="AC789" s="65" t="s">
        <v>350</v>
      </c>
      <c r="AD789">
        <v>30</v>
      </c>
    </row>
    <row r="790" spans="1:30" x14ac:dyDescent="0.3">
      <c r="A790" s="1">
        <v>46298</v>
      </c>
      <c r="B790" s="65" t="s">
        <v>4666</v>
      </c>
      <c r="C790" s="65" t="s">
        <v>4720</v>
      </c>
      <c r="D790" s="65" t="s">
        <v>29</v>
      </c>
      <c r="E790" s="65" t="s">
        <v>4721</v>
      </c>
      <c r="F790" s="65" t="s">
        <v>31</v>
      </c>
      <c r="G790" s="65" t="s">
        <v>4722</v>
      </c>
      <c r="H790" s="65" t="s">
        <v>4723</v>
      </c>
      <c r="I790" s="65" t="s">
        <v>4724</v>
      </c>
      <c r="J790" s="65" t="s">
        <v>5002</v>
      </c>
      <c r="K790" s="65" t="s">
        <v>1098</v>
      </c>
      <c r="L790" s="65" t="s">
        <v>37</v>
      </c>
      <c r="M790" s="65" t="s">
        <v>4725</v>
      </c>
      <c r="N790" s="65" t="s">
        <v>4726</v>
      </c>
      <c r="O790" s="65" t="s">
        <v>4723</v>
      </c>
      <c r="P790" s="65" t="s">
        <v>4727</v>
      </c>
      <c r="Q790" s="65" t="s">
        <v>101</v>
      </c>
      <c r="R790">
        <v>1</v>
      </c>
      <c r="S790" s="65" t="s">
        <v>70</v>
      </c>
      <c r="T790" s="65" t="s">
        <v>43</v>
      </c>
      <c r="U790" s="65" t="s">
        <v>44</v>
      </c>
      <c r="V790" s="65" t="s">
        <v>71</v>
      </c>
      <c r="W790" s="65" t="s">
        <v>184</v>
      </c>
      <c r="X790">
        <v>186.44</v>
      </c>
      <c r="Y790" s="65" t="s">
        <v>47</v>
      </c>
      <c r="Z790" s="65" t="s">
        <v>48</v>
      </c>
      <c r="AA790" s="65" t="s">
        <v>73</v>
      </c>
      <c r="AB790">
        <v>933876179</v>
      </c>
      <c r="AC790" s="65"/>
      <c r="AD790">
        <v>50</v>
      </c>
    </row>
    <row r="791" spans="1:30" x14ac:dyDescent="0.3">
      <c r="A791" s="1">
        <v>46298</v>
      </c>
      <c r="B791" s="65" t="s">
        <v>4666</v>
      </c>
      <c r="C791" s="65" t="s">
        <v>4728</v>
      </c>
      <c r="D791" s="65" t="s">
        <v>29</v>
      </c>
      <c r="E791" s="65" t="s">
        <v>4729</v>
      </c>
      <c r="F791" s="65" t="s">
        <v>31</v>
      </c>
      <c r="G791" s="65" t="s">
        <v>4730</v>
      </c>
      <c r="H791" s="65" t="s">
        <v>4731</v>
      </c>
      <c r="I791" s="65" t="s">
        <v>4732</v>
      </c>
      <c r="J791" s="65" t="s">
        <v>2291</v>
      </c>
      <c r="K791" s="65" t="s">
        <v>1542</v>
      </c>
      <c r="L791" s="65" t="s">
        <v>37</v>
      </c>
      <c r="M791" s="65" t="s">
        <v>4733</v>
      </c>
      <c r="N791" s="65" t="s">
        <v>4734</v>
      </c>
      <c r="O791" s="65" t="s">
        <v>4731</v>
      </c>
      <c r="P791" s="65" t="s">
        <v>4735</v>
      </c>
      <c r="Q791" s="65" t="s">
        <v>202</v>
      </c>
      <c r="R791">
        <v>1</v>
      </c>
      <c r="S791" s="65" t="s">
        <v>42</v>
      </c>
      <c r="T791" s="65" t="s">
        <v>44</v>
      </c>
      <c r="U791" s="65" t="s">
        <v>44</v>
      </c>
      <c r="V791" s="65" t="s">
        <v>45</v>
      </c>
      <c r="W791" s="65" t="s">
        <v>46</v>
      </c>
      <c r="X791">
        <v>135.59</v>
      </c>
      <c r="Y791" s="65" t="s">
        <v>47</v>
      </c>
      <c r="Z791" s="65" t="s">
        <v>48</v>
      </c>
      <c r="AA791" s="65" t="s">
        <v>49</v>
      </c>
      <c r="AB791">
        <v>945093839</v>
      </c>
      <c r="AC791" s="65" t="s">
        <v>2295</v>
      </c>
      <c r="AD791">
        <v>30</v>
      </c>
    </row>
    <row r="792" spans="1:30" x14ac:dyDescent="0.3">
      <c r="A792" s="1">
        <v>46298</v>
      </c>
      <c r="B792" s="65" t="s">
        <v>4666</v>
      </c>
      <c r="C792" s="65" t="s">
        <v>4728</v>
      </c>
      <c r="D792" s="65" t="s">
        <v>29</v>
      </c>
      <c r="E792" s="65" t="s">
        <v>4729</v>
      </c>
      <c r="F792" s="65" t="s">
        <v>31</v>
      </c>
      <c r="G792" s="65" t="s">
        <v>4730</v>
      </c>
      <c r="H792" s="65" t="s">
        <v>4731</v>
      </c>
      <c r="I792" s="65" t="s">
        <v>4732</v>
      </c>
      <c r="J792" s="65" t="s">
        <v>2291</v>
      </c>
      <c r="K792" s="65" t="s">
        <v>1542</v>
      </c>
      <c r="L792" s="65" t="s">
        <v>37</v>
      </c>
      <c r="M792" s="65" t="s">
        <v>4733</v>
      </c>
      <c r="N792" s="65" t="s">
        <v>4734</v>
      </c>
      <c r="O792" s="65" t="s">
        <v>4731</v>
      </c>
      <c r="P792" s="65" t="s">
        <v>4735</v>
      </c>
      <c r="Q792" s="65" t="s">
        <v>202</v>
      </c>
      <c r="R792">
        <v>1</v>
      </c>
      <c r="S792" s="65" t="s">
        <v>42</v>
      </c>
      <c r="T792" s="65" t="s">
        <v>44</v>
      </c>
      <c r="U792" s="65" t="s">
        <v>44</v>
      </c>
      <c r="V792" s="65" t="s">
        <v>45</v>
      </c>
      <c r="W792" s="65" t="s">
        <v>46</v>
      </c>
      <c r="X792">
        <v>152.54</v>
      </c>
      <c r="Y792" s="65" t="s">
        <v>47</v>
      </c>
      <c r="Z792" s="65" t="s">
        <v>48</v>
      </c>
      <c r="AA792" s="65" t="s">
        <v>49</v>
      </c>
      <c r="AB792">
        <v>945093839</v>
      </c>
      <c r="AC792" s="65" t="s">
        <v>2295</v>
      </c>
      <c r="AD792">
        <v>30</v>
      </c>
    </row>
    <row r="793" spans="1:30" x14ac:dyDescent="0.3">
      <c r="A793" s="1">
        <v>46298</v>
      </c>
      <c r="B793" s="65" t="s">
        <v>4666</v>
      </c>
      <c r="C793" s="65" t="s">
        <v>4736</v>
      </c>
      <c r="D793" s="65" t="s">
        <v>29</v>
      </c>
      <c r="E793" s="65" t="s">
        <v>4737</v>
      </c>
      <c r="F793" s="65" t="s">
        <v>31</v>
      </c>
      <c r="G793" s="65" t="s">
        <v>4738</v>
      </c>
      <c r="H793" s="65" t="s">
        <v>4739</v>
      </c>
      <c r="I793" s="65" t="s">
        <v>4740</v>
      </c>
      <c r="J793" s="65" t="s">
        <v>434</v>
      </c>
      <c r="K793" s="65" t="s">
        <v>435</v>
      </c>
      <c r="L793" s="65" t="s">
        <v>37</v>
      </c>
      <c r="M793" s="65" t="s">
        <v>4741</v>
      </c>
      <c r="N793" s="65" t="s">
        <v>4742</v>
      </c>
      <c r="O793" s="65" t="s">
        <v>4739</v>
      </c>
      <c r="P793" s="65" t="s">
        <v>4743</v>
      </c>
      <c r="Q793" s="65" t="s">
        <v>202</v>
      </c>
      <c r="R793">
        <v>1</v>
      </c>
      <c r="S793" s="65" t="s">
        <v>42</v>
      </c>
      <c r="T793" s="65" t="s">
        <v>44</v>
      </c>
      <c r="U793" s="65" t="s">
        <v>44</v>
      </c>
      <c r="V793" s="65" t="s">
        <v>45</v>
      </c>
      <c r="W793" s="65" t="s">
        <v>46</v>
      </c>
      <c r="X793">
        <v>135.59</v>
      </c>
      <c r="Y793" s="65" t="s">
        <v>47</v>
      </c>
      <c r="Z793" s="65" t="s">
        <v>48</v>
      </c>
      <c r="AA793" s="65" t="s">
        <v>49</v>
      </c>
      <c r="AB793">
        <v>992903716</v>
      </c>
      <c r="AC793" s="65" t="s">
        <v>439</v>
      </c>
      <c r="AD793">
        <v>30</v>
      </c>
    </row>
    <row r="794" spans="1:30" x14ac:dyDescent="0.3">
      <c r="A794" s="1">
        <v>46298</v>
      </c>
      <c r="B794" s="65" t="s">
        <v>4666</v>
      </c>
      <c r="C794" s="65" t="s">
        <v>4744</v>
      </c>
      <c r="D794" s="65" t="s">
        <v>29</v>
      </c>
      <c r="E794" s="65" t="s">
        <v>4745</v>
      </c>
      <c r="F794" s="65" t="s">
        <v>31</v>
      </c>
      <c r="G794" s="65" t="s">
        <v>4746</v>
      </c>
      <c r="H794" s="65" t="s">
        <v>4747</v>
      </c>
      <c r="I794" s="65" t="s">
        <v>4748</v>
      </c>
      <c r="J794" s="65" t="s">
        <v>477</v>
      </c>
      <c r="K794" s="65" t="s">
        <v>209</v>
      </c>
      <c r="L794" s="65" t="s">
        <v>37</v>
      </c>
      <c r="M794" s="65" t="s">
        <v>4749</v>
      </c>
      <c r="N794" s="65" t="s">
        <v>4750</v>
      </c>
      <c r="O794" s="65" t="s">
        <v>4747</v>
      </c>
      <c r="P794" s="65" t="s">
        <v>4751</v>
      </c>
      <c r="Q794" s="65" t="s">
        <v>41</v>
      </c>
      <c r="R794">
        <v>1</v>
      </c>
      <c r="S794" s="65" t="s">
        <v>42</v>
      </c>
      <c r="T794" s="65" t="s">
        <v>44</v>
      </c>
      <c r="U794" s="65" t="s">
        <v>44</v>
      </c>
      <c r="V794" s="65" t="s">
        <v>45</v>
      </c>
      <c r="W794" s="65" t="s">
        <v>46</v>
      </c>
      <c r="X794">
        <v>186.44</v>
      </c>
      <c r="Y794" s="65" t="s">
        <v>47</v>
      </c>
      <c r="Z794" s="65" t="s">
        <v>48</v>
      </c>
      <c r="AA794" s="65" t="s">
        <v>49</v>
      </c>
      <c r="AB794">
        <v>982536223</v>
      </c>
      <c r="AC794" s="65" t="s">
        <v>482</v>
      </c>
      <c r="AD794">
        <v>50</v>
      </c>
    </row>
    <row r="795" spans="1:30" x14ac:dyDescent="0.3">
      <c r="A795" s="1">
        <v>46298</v>
      </c>
      <c r="B795" s="65" t="s">
        <v>4666</v>
      </c>
      <c r="C795" s="65" t="s">
        <v>4752</v>
      </c>
      <c r="D795" s="65" t="s">
        <v>29</v>
      </c>
      <c r="E795" s="65" t="s">
        <v>4753</v>
      </c>
      <c r="F795" s="65" t="s">
        <v>31</v>
      </c>
      <c r="G795" s="65" t="s">
        <v>4754</v>
      </c>
      <c r="H795" s="65" t="s">
        <v>4755</v>
      </c>
      <c r="I795" s="65" t="s">
        <v>4756</v>
      </c>
      <c r="J795" s="65" t="s">
        <v>715</v>
      </c>
      <c r="K795" s="65" t="s">
        <v>716</v>
      </c>
      <c r="L795" s="65" t="s">
        <v>37</v>
      </c>
      <c r="M795" s="65" t="s">
        <v>4757</v>
      </c>
      <c r="N795" s="65" t="s">
        <v>4758</v>
      </c>
      <c r="O795" s="65" t="s">
        <v>4755</v>
      </c>
      <c r="P795" s="65" t="s">
        <v>4759</v>
      </c>
      <c r="Q795" s="65" t="s">
        <v>2017</v>
      </c>
      <c r="R795">
        <v>1</v>
      </c>
      <c r="S795" s="65" t="s">
        <v>42</v>
      </c>
      <c r="T795" s="65" t="s">
        <v>44</v>
      </c>
      <c r="U795" s="65" t="s">
        <v>44</v>
      </c>
      <c r="V795" s="65" t="s">
        <v>531</v>
      </c>
      <c r="W795" s="65" t="s">
        <v>4049</v>
      </c>
      <c r="X795">
        <v>135.59</v>
      </c>
      <c r="Y795" s="65" t="s">
        <v>2018</v>
      </c>
      <c r="Z795" s="65" t="s">
        <v>48</v>
      </c>
      <c r="AA795" s="65" t="s">
        <v>534</v>
      </c>
      <c r="AB795">
        <v>955356636</v>
      </c>
      <c r="AC795" s="65" t="s">
        <v>720</v>
      </c>
    </row>
    <row r="796" spans="1:30" x14ac:dyDescent="0.3">
      <c r="A796" s="1">
        <v>46298</v>
      </c>
      <c r="B796" s="65" t="s">
        <v>4666</v>
      </c>
      <c r="C796" s="65" t="s">
        <v>4760</v>
      </c>
      <c r="D796" s="65" t="s">
        <v>29</v>
      </c>
      <c r="E796" s="65" t="s">
        <v>4761</v>
      </c>
      <c r="F796" s="65" t="s">
        <v>31</v>
      </c>
      <c r="G796" s="65" t="s">
        <v>4762</v>
      </c>
      <c r="H796" s="65" t="s">
        <v>4763</v>
      </c>
      <c r="I796" s="65" t="s">
        <v>4764</v>
      </c>
      <c r="J796" s="65" t="s">
        <v>1322</v>
      </c>
      <c r="K796" s="65" t="s">
        <v>36</v>
      </c>
      <c r="L796" s="65" t="s">
        <v>37</v>
      </c>
      <c r="M796" s="65" t="s">
        <v>4765</v>
      </c>
      <c r="N796" s="65" t="s">
        <v>4766</v>
      </c>
      <c r="O796" s="65" t="s">
        <v>4763</v>
      </c>
      <c r="P796" s="65" t="s">
        <v>4767</v>
      </c>
      <c r="Q796" s="65" t="s">
        <v>90</v>
      </c>
      <c r="R796">
        <v>1</v>
      </c>
      <c r="S796" s="65" t="s">
        <v>70</v>
      </c>
      <c r="T796" s="65" t="s">
        <v>43</v>
      </c>
      <c r="U796" s="65" t="s">
        <v>44</v>
      </c>
      <c r="V796" s="65" t="s">
        <v>71</v>
      </c>
      <c r="W796" s="65" t="s">
        <v>72</v>
      </c>
      <c r="X796">
        <v>135.59</v>
      </c>
      <c r="Y796" s="65" t="s">
        <v>47</v>
      </c>
      <c r="Z796" s="65" t="s">
        <v>48</v>
      </c>
      <c r="AA796" s="65" t="s">
        <v>73</v>
      </c>
      <c r="AB796">
        <v>999111362</v>
      </c>
      <c r="AC796" s="65" t="s">
        <v>1326</v>
      </c>
      <c r="AD796">
        <v>30</v>
      </c>
    </row>
    <row r="797" spans="1:30" x14ac:dyDescent="0.3">
      <c r="A797" s="1">
        <v>46298</v>
      </c>
      <c r="B797" s="65" t="s">
        <v>4666</v>
      </c>
      <c r="C797" s="65" t="s">
        <v>4768</v>
      </c>
      <c r="D797" s="65" t="s">
        <v>29</v>
      </c>
      <c r="E797" s="65" t="s">
        <v>4769</v>
      </c>
      <c r="F797" s="65" t="s">
        <v>31</v>
      </c>
      <c r="G797" s="65" t="s">
        <v>4770</v>
      </c>
      <c r="H797" s="65" t="s">
        <v>4771</v>
      </c>
      <c r="I797" s="65" t="s">
        <v>4772</v>
      </c>
      <c r="J797" s="65" t="s">
        <v>4680</v>
      </c>
      <c r="K797" s="65" t="s">
        <v>1864</v>
      </c>
      <c r="L797" s="65" t="s">
        <v>37</v>
      </c>
      <c r="M797" s="65" t="s">
        <v>4773</v>
      </c>
      <c r="N797" s="65" t="s">
        <v>4774</v>
      </c>
      <c r="O797" s="65" t="s">
        <v>4771</v>
      </c>
      <c r="P797" s="65" t="s">
        <v>4775</v>
      </c>
      <c r="Q797" s="65" t="s">
        <v>59</v>
      </c>
      <c r="R797">
        <v>1</v>
      </c>
      <c r="S797" s="65" t="s">
        <v>42</v>
      </c>
      <c r="T797" s="65" t="s">
        <v>44</v>
      </c>
      <c r="U797" s="65" t="s">
        <v>44</v>
      </c>
      <c r="V797" s="65" t="s">
        <v>45</v>
      </c>
      <c r="W797" s="65" t="s">
        <v>46</v>
      </c>
      <c r="X797">
        <v>101.69</v>
      </c>
      <c r="Y797" s="65" t="s">
        <v>61</v>
      </c>
      <c r="Z797" s="65" t="s">
        <v>48</v>
      </c>
      <c r="AA797" s="65" t="s">
        <v>49</v>
      </c>
      <c r="AB797">
        <v>901918745</v>
      </c>
      <c r="AC797" s="65"/>
    </row>
    <row r="798" spans="1:30" x14ac:dyDescent="0.3">
      <c r="A798" s="1">
        <v>46300</v>
      </c>
      <c r="B798" s="65" t="s">
        <v>4666</v>
      </c>
      <c r="C798" s="65" t="s">
        <v>4776</v>
      </c>
      <c r="D798" s="65" t="s">
        <v>29</v>
      </c>
      <c r="E798" s="65" t="s">
        <v>4777</v>
      </c>
      <c r="F798" s="65" t="s">
        <v>31</v>
      </c>
      <c r="G798" s="65" t="s">
        <v>4778</v>
      </c>
      <c r="H798" s="65" t="s">
        <v>4779</v>
      </c>
      <c r="I798" s="65" t="s">
        <v>4780</v>
      </c>
      <c r="J798" s="65" t="s">
        <v>662</v>
      </c>
      <c r="K798" s="65" t="s">
        <v>36</v>
      </c>
      <c r="L798" s="65" t="s">
        <v>37</v>
      </c>
      <c r="M798" s="65" t="s">
        <v>4781</v>
      </c>
      <c r="N798" s="65" t="s">
        <v>4782</v>
      </c>
      <c r="O798" s="65" t="s">
        <v>4779</v>
      </c>
      <c r="P798" s="65" t="s">
        <v>4783</v>
      </c>
      <c r="Q798" s="65" t="s">
        <v>159</v>
      </c>
      <c r="R798">
        <v>1</v>
      </c>
      <c r="S798" s="65" t="s">
        <v>42</v>
      </c>
      <c r="T798" s="65" t="s">
        <v>44</v>
      </c>
      <c r="U798" s="65" t="s">
        <v>44</v>
      </c>
      <c r="V798" s="65" t="s">
        <v>45</v>
      </c>
      <c r="W798" s="65" t="s">
        <v>46</v>
      </c>
      <c r="X798">
        <v>135.59</v>
      </c>
      <c r="Y798" s="65" t="s">
        <v>47</v>
      </c>
      <c r="Z798" s="65" t="s">
        <v>48</v>
      </c>
      <c r="AA798" s="65" t="s">
        <v>49</v>
      </c>
      <c r="AB798">
        <v>997145685</v>
      </c>
      <c r="AC798" s="65" t="s">
        <v>666</v>
      </c>
      <c r="AD798">
        <v>30</v>
      </c>
    </row>
    <row r="799" spans="1:30" x14ac:dyDescent="0.3">
      <c r="A799" s="1">
        <v>46300</v>
      </c>
      <c r="B799" s="65" t="s">
        <v>4666</v>
      </c>
      <c r="C799" s="65" t="s">
        <v>4784</v>
      </c>
      <c r="D799" s="65" t="s">
        <v>29</v>
      </c>
      <c r="E799" s="65" t="s">
        <v>4785</v>
      </c>
      <c r="F799" s="65" t="s">
        <v>31</v>
      </c>
      <c r="G799" s="65" t="s">
        <v>4786</v>
      </c>
      <c r="H799" s="65" t="s">
        <v>4787</v>
      </c>
      <c r="I799" s="65" t="s">
        <v>4788</v>
      </c>
      <c r="J799" s="65" t="s">
        <v>3165</v>
      </c>
      <c r="K799" s="65" t="s">
        <v>2558</v>
      </c>
      <c r="L799" s="65" t="s">
        <v>37</v>
      </c>
      <c r="M799" s="65" t="s">
        <v>4789</v>
      </c>
      <c r="N799" s="65" t="s">
        <v>4790</v>
      </c>
      <c r="O799" s="65" t="s">
        <v>4787</v>
      </c>
      <c r="P799" s="65" t="s">
        <v>4791</v>
      </c>
      <c r="Q799" s="65" t="s">
        <v>201</v>
      </c>
      <c r="R799">
        <v>1</v>
      </c>
      <c r="S799" s="65" t="s">
        <v>42</v>
      </c>
      <c r="T799" s="65" t="s">
        <v>44</v>
      </c>
      <c r="U799" s="65" t="s">
        <v>44</v>
      </c>
      <c r="V799" s="65" t="s">
        <v>45</v>
      </c>
      <c r="W799" s="65" t="s">
        <v>46</v>
      </c>
      <c r="X799">
        <v>152.54</v>
      </c>
      <c r="Y799" s="65" t="s">
        <v>47</v>
      </c>
      <c r="Z799" s="65" t="s">
        <v>48</v>
      </c>
      <c r="AA799" s="65" t="s">
        <v>49</v>
      </c>
      <c r="AB799">
        <v>941411075</v>
      </c>
      <c r="AC799" s="65" t="s">
        <v>3166</v>
      </c>
      <c r="AD799">
        <v>30</v>
      </c>
    </row>
    <row r="800" spans="1:30" x14ac:dyDescent="0.3">
      <c r="A800" s="1">
        <v>46300</v>
      </c>
      <c r="B800" s="65" t="s">
        <v>4666</v>
      </c>
      <c r="C800" s="65" t="s">
        <v>4792</v>
      </c>
      <c r="D800" s="65" t="s">
        <v>29</v>
      </c>
      <c r="E800" s="65" t="s">
        <v>4793</v>
      </c>
      <c r="F800" s="65" t="s">
        <v>31</v>
      </c>
      <c r="G800" s="65" t="s">
        <v>4794</v>
      </c>
      <c r="H800" s="65" t="s">
        <v>4795</v>
      </c>
      <c r="I800" s="65" t="s">
        <v>4796</v>
      </c>
      <c r="J800" s="65" t="s">
        <v>662</v>
      </c>
      <c r="K800" s="65" t="s">
        <v>36</v>
      </c>
      <c r="L800" s="65" t="s">
        <v>37</v>
      </c>
      <c r="M800" s="65" t="s">
        <v>4797</v>
      </c>
      <c r="N800" s="65" t="s">
        <v>4798</v>
      </c>
      <c r="O800" s="65" t="s">
        <v>4795</v>
      </c>
      <c r="P800" s="65" t="s">
        <v>4799</v>
      </c>
      <c r="Q800" s="65" t="s">
        <v>159</v>
      </c>
      <c r="R800">
        <v>1</v>
      </c>
      <c r="S800" s="65" t="s">
        <v>42</v>
      </c>
      <c r="T800" s="65" t="s">
        <v>44</v>
      </c>
      <c r="U800" s="65" t="s">
        <v>44</v>
      </c>
      <c r="V800" s="65" t="s">
        <v>45</v>
      </c>
      <c r="W800" s="65" t="s">
        <v>46</v>
      </c>
      <c r="X800">
        <v>135.59</v>
      </c>
      <c r="Y800" s="65" t="s">
        <v>47</v>
      </c>
      <c r="Z800" s="65" t="s">
        <v>48</v>
      </c>
      <c r="AA800" s="65" t="s">
        <v>49</v>
      </c>
      <c r="AB800">
        <v>997145685</v>
      </c>
      <c r="AC800" s="65" t="s">
        <v>666</v>
      </c>
      <c r="AD800">
        <v>30</v>
      </c>
    </row>
    <row r="801" spans="1:30" x14ac:dyDescent="0.3">
      <c r="A801" s="1">
        <v>46300</v>
      </c>
      <c r="B801" s="65" t="s">
        <v>4666</v>
      </c>
      <c r="C801" s="65" t="s">
        <v>4800</v>
      </c>
      <c r="D801" s="65" t="s">
        <v>29</v>
      </c>
      <c r="E801" s="65" t="s">
        <v>4801</v>
      </c>
      <c r="F801" s="65" t="s">
        <v>31</v>
      </c>
      <c r="G801" s="65" t="s">
        <v>4802</v>
      </c>
      <c r="H801" s="65" t="s">
        <v>4803</v>
      </c>
      <c r="I801" s="65" t="s">
        <v>4804</v>
      </c>
      <c r="J801" s="65" t="s">
        <v>3322</v>
      </c>
      <c r="K801" s="65" t="s">
        <v>209</v>
      </c>
      <c r="L801" s="65" t="s">
        <v>37</v>
      </c>
      <c r="M801" s="65" t="s">
        <v>4805</v>
      </c>
      <c r="N801" s="65" t="s">
        <v>4806</v>
      </c>
      <c r="O801" s="65" t="s">
        <v>4803</v>
      </c>
      <c r="P801" s="65" t="s">
        <v>4807</v>
      </c>
      <c r="Q801" s="65" t="s">
        <v>202</v>
      </c>
      <c r="R801">
        <v>1</v>
      </c>
      <c r="S801" s="65" t="s">
        <v>42</v>
      </c>
      <c r="T801" s="65" t="s">
        <v>44</v>
      </c>
      <c r="U801" s="65" t="s">
        <v>44</v>
      </c>
      <c r="V801" s="65" t="s">
        <v>45</v>
      </c>
      <c r="W801" s="65" t="s">
        <v>46</v>
      </c>
      <c r="X801">
        <v>135.59</v>
      </c>
      <c r="Y801" s="65" t="s">
        <v>47</v>
      </c>
      <c r="Z801" s="65" t="s">
        <v>48</v>
      </c>
      <c r="AA801" s="65" t="s">
        <v>49</v>
      </c>
      <c r="AB801">
        <v>995560200</v>
      </c>
      <c r="AC801" s="65" t="s">
        <v>3323</v>
      </c>
      <c r="AD801">
        <v>30</v>
      </c>
    </row>
    <row r="802" spans="1:30" x14ac:dyDescent="0.3">
      <c r="A802" s="1">
        <v>46300</v>
      </c>
      <c r="B802" s="65" t="s">
        <v>4666</v>
      </c>
      <c r="C802" s="65" t="s">
        <v>5003</v>
      </c>
      <c r="D802" s="65" t="s">
        <v>29</v>
      </c>
      <c r="E802" s="65" t="s">
        <v>5004</v>
      </c>
      <c r="F802" s="65" t="s">
        <v>31</v>
      </c>
      <c r="G802" s="65" t="s">
        <v>5005</v>
      </c>
      <c r="H802" s="65" t="s">
        <v>5006</v>
      </c>
      <c r="I802" s="65" t="s">
        <v>5007</v>
      </c>
      <c r="J802" s="65" t="s">
        <v>774</v>
      </c>
      <c r="K802" s="65" t="s">
        <v>775</v>
      </c>
      <c r="L802" s="65" t="s">
        <v>37</v>
      </c>
      <c r="M802" s="65" t="s">
        <v>5008</v>
      </c>
      <c r="N802" s="65" t="s">
        <v>5009</v>
      </c>
      <c r="O802" s="65" t="s">
        <v>5006</v>
      </c>
      <c r="P802" s="65" t="s">
        <v>5010</v>
      </c>
      <c r="Q802" s="65" t="s">
        <v>159</v>
      </c>
      <c r="R802">
        <v>1</v>
      </c>
      <c r="S802" s="65" t="s">
        <v>42</v>
      </c>
      <c r="T802" s="65" t="s">
        <v>44</v>
      </c>
      <c r="U802" s="65" t="s">
        <v>44</v>
      </c>
      <c r="V802" s="65" t="s">
        <v>71</v>
      </c>
      <c r="W802" s="65" t="s">
        <v>184</v>
      </c>
      <c r="X802">
        <v>135.59</v>
      </c>
      <c r="Y802" s="65" t="s">
        <v>47</v>
      </c>
      <c r="Z802" s="65" t="s">
        <v>48</v>
      </c>
      <c r="AA802" s="65" t="s">
        <v>73</v>
      </c>
      <c r="AC802" s="65"/>
      <c r="AD802">
        <v>30</v>
      </c>
    </row>
    <row r="803" spans="1:30" x14ac:dyDescent="0.3">
      <c r="A803" s="1">
        <v>46300</v>
      </c>
      <c r="B803" s="65" t="s">
        <v>4666</v>
      </c>
      <c r="C803" s="65" t="s">
        <v>4808</v>
      </c>
      <c r="D803" s="65" t="s">
        <v>29</v>
      </c>
      <c r="E803" s="65" t="s">
        <v>4809</v>
      </c>
      <c r="F803" s="65" t="s">
        <v>31</v>
      </c>
      <c r="G803" s="65" t="s">
        <v>4810</v>
      </c>
      <c r="H803" s="65" t="s">
        <v>4811</v>
      </c>
      <c r="I803" s="65" t="s">
        <v>4812</v>
      </c>
      <c r="J803" s="65" t="s">
        <v>136</v>
      </c>
      <c r="K803" s="65" t="s">
        <v>137</v>
      </c>
      <c r="L803" s="65" t="s">
        <v>37</v>
      </c>
      <c r="M803" s="65" t="s">
        <v>4813</v>
      </c>
      <c r="N803" s="65" t="s">
        <v>4814</v>
      </c>
      <c r="O803" s="65" t="s">
        <v>4811</v>
      </c>
      <c r="P803" s="65" t="s">
        <v>4815</v>
      </c>
      <c r="Q803" s="65" t="s">
        <v>41</v>
      </c>
      <c r="R803">
        <v>1</v>
      </c>
      <c r="S803" s="65" t="s">
        <v>70</v>
      </c>
      <c r="T803" s="65" t="s">
        <v>43</v>
      </c>
      <c r="U803" s="65" t="s">
        <v>44</v>
      </c>
      <c r="V803" s="65" t="s">
        <v>71</v>
      </c>
      <c r="W803" s="65" t="s">
        <v>72</v>
      </c>
      <c r="X803">
        <v>186.44</v>
      </c>
      <c r="Y803" s="65" t="s">
        <v>47</v>
      </c>
      <c r="Z803" s="65" t="s">
        <v>48</v>
      </c>
      <c r="AA803" s="65" t="s">
        <v>73</v>
      </c>
      <c r="AB803">
        <v>987407712</v>
      </c>
      <c r="AC803" s="65" t="s">
        <v>141</v>
      </c>
      <c r="AD803">
        <v>50</v>
      </c>
    </row>
    <row r="804" spans="1:30" x14ac:dyDescent="0.3">
      <c r="A804" s="1">
        <v>46300</v>
      </c>
      <c r="B804" s="65" t="s">
        <v>4666</v>
      </c>
      <c r="C804" s="65" t="s">
        <v>4816</v>
      </c>
      <c r="D804" s="65" t="s">
        <v>399</v>
      </c>
      <c r="E804" s="65" t="s">
        <v>4809</v>
      </c>
      <c r="F804" s="65" t="s">
        <v>400</v>
      </c>
      <c r="G804" s="65" t="s">
        <v>4817</v>
      </c>
      <c r="H804" s="65" t="s">
        <v>4811</v>
      </c>
      <c r="I804" s="65" t="s">
        <v>4812</v>
      </c>
      <c r="J804" s="65" t="s">
        <v>136</v>
      </c>
      <c r="K804" s="65" t="s">
        <v>137</v>
      </c>
      <c r="L804" s="65" t="s">
        <v>400</v>
      </c>
      <c r="M804" s="65" t="s">
        <v>4813</v>
      </c>
      <c r="N804" s="65" t="s">
        <v>4814</v>
      </c>
      <c r="O804" s="65" t="s">
        <v>4811</v>
      </c>
      <c r="P804" s="65" t="s">
        <v>4815</v>
      </c>
      <c r="Q804" s="65" t="s">
        <v>41</v>
      </c>
      <c r="R804">
        <v>1</v>
      </c>
      <c r="S804" s="65" t="s">
        <v>70</v>
      </c>
      <c r="T804" s="65" t="s">
        <v>43</v>
      </c>
      <c r="U804" s="65" t="s">
        <v>44</v>
      </c>
      <c r="V804" s="65" t="s">
        <v>71</v>
      </c>
      <c r="W804" s="65" t="s">
        <v>72</v>
      </c>
      <c r="X804">
        <v>-186.44</v>
      </c>
      <c r="Y804" s="65" t="s">
        <v>47</v>
      </c>
      <c r="Z804" s="65" t="s">
        <v>48</v>
      </c>
      <c r="AA804" s="65" t="s">
        <v>73</v>
      </c>
      <c r="AB804">
        <v>987407712</v>
      </c>
      <c r="AC804" s="65" t="s">
        <v>141</v>
      </c>
      <c r="AD804">
        <v>50</v>
      </c>
    </row>
    <row r="805" spans="1:30" x14ac:dyDescent="0.3">
      <c r="A805" s="1">
        <v>46301</v>
      </c>
      <c r="B805" s="65" t="s">
        <v>4666</v>
      </c>
      <c r="C805" s="65" t="s">
        <v>5011</v>
      </c>
      <c r="D805" s="65" t="s">
        <v>29</v>
      </c>
      <c r="E805" s="65" t="s">
        <v>5012</v>
      </c>
      <c r="F805" s="65" t="s">
        <v>31</v>
      </c>
      <c r="G805" s="65" t="s">
        <v>5013</v>
      </c>
      <c r="H805" s="65" t="s">
        <v>5014</v>
      </c>
      <c r="I805" s="65" t="s">
        <v>5015</v>
      </c>
      <c r="J805" s="65" t="s">
        <v>774</v>
      </c>
      <c r="K805" s="65" t="s">
        <v>775</v>
      </c>
      <c r="L805" s="65" t="s">
        <v>37</v>
      </c>
      <c r="M805" s="65" t="s">
        <v>5016</v>
      </c>
      <c r="N805" s="65" t="s">
        <v>5017</v>
      </c>
      <c r="O805" s="65" t="s">
        <v>5014</v>
      </c>
      <c r="P805" s="65" t="s">
        <v>5018</v>
      </c>
      <c r="Q805" s="65" t="s">
        <v>159</v>
      </c>
      <c r="R805">
        <v>1</v>
      </c>
      <c r="S805" s="65" t="s">
        <v>42</v>
      </c>
      <c r="T805" s="65" t="s">
        <v>44</v>
      </c>
      <c r="U805" s="65" t="s">
        <v>44</v>
      </c>
      <c r="V805" s="65" t="s">
        <v>45</v>
      </c>
      <c r="W805" s="65" t="s">
        <v>60</v>
      </c>
      <c r="X805">
        <v>135.59</v>
      </c>
      <c r="Y805" s="65" t="s">
        <v>47</v>
      </c>
      <c r="Z805" s="65" t="s">
        <v>48</v>
      </c>
      <c r="AA805" s="65" t="s">
        <v>49</v>
      </c>
      <c r="AC805" s="65"/>
      <c r="AD805">
        <v>30</v>
      </c>
    </row>
    <row r="806" spans="1:30" x14ac:dyDescent="0.3">
      <c r="A806" s="1">
        <v>46302</v>
      </c>
      <c r="B806" s="65" t="s">
        <v>4666</v>
      </c>
      <c r="C806" s="65" t="s">
        <v>5019</v>
      </c>
      <c r="D806" s="65" t="s">
        <v>29</v>
      </c>
      <c r="E806" s="65" t="s">
        <v>5020</v>
      </c>
      <c r="F806" s="65" t="s">
        <v>31</v>
      </c>
      <c r="G806" s="65" t="s">
        <v>5021</v>
      </c>
      <c r="H806" s="65" t="s">
        <v>5022</v>
      </c>
      <c r="I806" s="65" t="s">
        <v>5023</v>
      </c>
      <c r="J806" s="65" t="s">
        <v>774</v>
      </c>
      <c r="K806" s="65" t="s">
        <v>775</v>
      </c>
      <c r="L806" s="65" t="s">
        <v>37</v>
      </c>
      <c r="M806" s="65" t="s">
        <v>5024</v>
      </c>
      <c r="N806" s="65" t="s">
        <v>5025</v>
      </c>
      <c r="O806" s="65" t="s">
        <v>5022</v>
      </c>
      <c r="P806" s="65" t="s">
        <v>5026</v>
      </c>
      <c r="Q806" s="65" t="s">
        <v>159</v>
      </c>
      <c r="R806">
        <v>1</v>
      </c>
      <c r="S806" s="65" t="s">
        <v>42</v>
      </c>
      <c r="T806" s="65" t="s">
        <v>44</v>
      </c>
      <c r="U806" s="65" t="s">
        <v>44</v>
      </c>
      <c r="V806" s="65" t="s">
        <v>71</v>
      </c>
      <c r="W806" s="65" t="s">
        <v>72</v>
      </c>
      <c r="X806">
        <v>135.59</v>
      </c>
      <c r="Y806" s="65" t="s">
        <v>47</v>
      </c>
      <c r="Z806" s="65" t="s">
        <v>48</v>
      </c>
      <c r="AA806" s="65" t="s">
        <v>73</v>
      </c>
      <c r="AC806" s="65"/>
      <c r="AD806">
        <v>30</v>
      </c>
    </row>
    <row r="807" spans="1:30" x14ac:dyDescent="0.3">
      <c r="A807" s="1">
        <v>46302</v>
      </c>
      <c r="B807" s="65" t="s">
        <v>4666</v>
      </c>
      <c r="C807" s="65" t="s">
        <v>5027</v>
      </c>
      <c r="D807" s="65" t="s">
        <v>268</v>
      </c>
      <c r="E807" s="65" t="s">
        <v>5028</v>
      </c>
      <c r="F807" s="65" t="s">
        <v>31</v>
      </c>
      <c r="G807" s="65" t="s">
        <v>5029</v>
      </c>
      <c r="H807" s="65" t="s">
        <v>5030</v>
      </c>
      <c r="I807" s="65" t="s">
        <v>5031</v>
      </c>
      <c r="J807" s="65" t="s">
        <v>774</v>
      </c>
      <c r="K807" s="65" t="s">
        <v>775</v>
      </c>
      <c r="L807" s="65" t="s">
        <v>37</v>
      </c>
      <c r="M807" s="65" t="s">
        <v>5032</v>
      </c>
      <c r="N807" s="65" t="s">
        <v>5033</v>
      </c>
      <c r="O807" s="65" t="s">
        <v>5034</v>
      </c>
      <c r="P807" s="65" t="s">
        <v>5035</v>
      </c>
      <c r="Q807" s="65" t="s">
        <v>202</v>
      </c>
      <c r="R807">
        <v>1</v>
      </c>
      <c r="S807" s="65" t="s">
        <v>42</v>
      </c>
      <c r="T807" s="65" t="s">
        <v>44</v>
      </c>
      <c r="U807" s="65" t="s">
        <v>44</v>
      </c>
      <c r="V807" s="65" t="s">
        <v>531</v>
      </c>
      <c r="W807" s="65" t="s">
        <v>4049</v>
      </c>
      <c r="X807">
        <v>135.59</v>
      </c>
      <c r="Y807" s="65" t="s">
        <v>47</v>
      </c>
      <c r="Z807" s="65" t="s">
        <v>48</v>
      </c>
      <c r="AA807" s="65" t="s">
        <v>534</v>
      </c>
      <c r="AC807" s="65"/>
      <c r="AD807">
        <v>30</v>
      </c>
    </row>
    <row r="808" spans="1:30" x14ac:dyDescent="0.3">
      <c r="A808" s="1">
        <v>46302</v>
      </c>
      <c r="B808" s="65" t="s">
        <v>4666</v>
      </c>
      <c r="C808" s="65" t="s">
        <v>5036</v>
      </c>
      <c r="D808" s="65" t="s">
        <v>29</v>
      </c>
      <c r="E808" s="65" t="s">
        <v>5037</v>
      </c>
      <c r="F808" s="65" t="s">
        <v>31</v>
      </c>
      <c r="G808" s="65" t="s">
        <v>5038</v>
      </c>
      <c r="H808" s="65" t="s">
        <v>5039</v>
      </c>
      <c r="I808" s="65" t="s">
        <v>5040</v>
      </c>
      <c r="J808" s="65" t="s">
        <v>774</v>
      </c>
      <c r="K808" s="65" t="s">
        <v>775</v>
      </c>
      <c r="L808" s="65" t="s">
        <v>37</v>
      </c>
      <c r="M808" s="65" t="s">
        <v>5041</v>
      </c>
      <c r="N808" s="65" t="s">
        <v>5042</v>
      </c>
      <c r="O808" s="65" t="s">
        <v>5039</v>
      </c>
      <c r="P808" s="65" t="s">
        <v>5043</v>
      </c>
      <c r="Q808" s="65" t="s">
        <v>202</v>
      </c>
      <c r="R808">
        <v>1</v>
      </c>
      <c r="S808" s="65" t="s">
        <v>42</v>
      </c>
      <c r="T808" s="65" t="s">
        <v>44</v>
      </c>
      <c r="U808" s="65" t="s">
        <v>44</v>
      </c>
      <c r="V808" s="65" t="s">
        <v>45</v>
      </c>
      <c r="W808" s="65" t="s">
        <v>46</v>
      </c>
      <c r="X808">
        <v>135.59</v>
      </c>
      <c r="Y808" s="65" t="s">
        <v>47</v>
      </c>
      <c r="Z808" s="65" t="s">
        <v>48</v>
      </c>
      <c r="AA808" s="65" t="s">
        <v>49</v>
      </c>
      <c r="AC808" s="65"/>
      <c r="AD808">
        <v>30</v>
      </c>
    </row>
    <row r="809" spans="1:30" x14ac:dyDescent="0.3">
      <c r="A809" s="1">
        <v>46302</v>
      </c>
      <c r="B809" s="65" t="s">
        <v>4666</v>
      </c>
      <c r="C809" s="65" t="s">
        <v>4818</v>
      </c>
      <c r="D809" s="65" t="s">
        <v>29</v>
      </c>
      <c r="E809" s="65" t="s">
        <v>4819</v>
      </c>
      <c r="F809" s="65" t="s">
        <v>31</v>
      </c>
      <c r="G809" s="65" t="s">
        <v>4820</v>
      </c>
      <c r="H809" s="65" t="s">
        <v>4821</v>
      </c>
      <c r="I809" s="65" t="s">
        <v>4822</v>
      </c>
      <c r="J809" s="65" t="s">
        <v>2461</v>
      </c>
      <c r="K809" s="65" t="s">
        <v>1120</v>
      </c>
      <c r="L809" s="65" t="s">
        <v>37</v>
      </c>
      <c r="M809" s="65" t="s">
        <v>4823</v>
      </c>
      <c r="N809" s="65" t="s">
        <v>4824</v>
      </c>
      <c r="O809" s="65" t="s">
        <v>4821</v>
      </c>
      <c r="P809" s="65" t="s">
        <v>4825</v>
      </c>
      <c r="Q809" s="65" t="s">
        <v>158</v>
      </c>
      <c r="R809">
        <v>1</v>
      </c>
      <c r="S809" s="65" t="s">
        <v>42</v>
      </c>
      <c r="T809" s="65" t="s">
        <v>44</v>
      </c>
      <c r="U809" s="65" t="s">
        <v>44</v>
      </c>
      <c r="V809" s="65" t="s">
        <v>45</v>
      </c>
      <c r="W809" s="65" t="s">
        <v>60</v>
      </c>
      <c r="X809">
        <v>152.54</v>
      </c>
      <c r="Y809" s="65" t="s">
        <v>47</v>
      </c>
      <c r="Z809" s="65" t="s">
        <v>48</v>
      </c>
      <c r="AA809" s="65" t="s">
        <v>49</v>
      </c>
      <c r="AB809">
        <v>992789956</v>
      </c>
      <c r="AC809" s="65" t="s">
        <v>2465</v>
      </c>
      <c r="AD809">
        <v>30</v>
      </c>
    </row>
    <row r="810" spans="1:30" x14ac:dyDescent="0.3">
      <c r="A810" s="1">
        <v>46302</v>
      </c>
      <c r="B810" s="65" t="s">
        <v>4666</v>
      </c>
      <c r="C810" s="65" t="s">
        <v>4818</v>
      </c>
      <c r="D810" s="65" t="s">
        <v>29</v>
      </c>
      <c r="E810" s="65" t="s">
        <v>4819</v>
      </c>
      <c r="F810" s="65" t="s">
        <v>31</v>
      </c>
      <c r="G810" s="65" t="s">
        <v>4820</v>
      </c>
      <c r="H810" s="65" t="s">
        <v>4821</v>
      </c>
      <c r="I810" s="65" t="s">
        <v>4822</v>
      </c>
      <c r="J810" s="65" t="s">
        <v>2461</v>
      </c>
      <c r="K810" s="65" t="s">
        <v>1120</v>
      </c>
      <c r="L810" s="65" t="s">
        <v>37</v>
      </c>
      <c r="M810" s="65" t="s">
        <v>4823</v>
      </c>
      <c r="N810" s="65" t="s">
        <v>4824</v>
      </c>
      <c r="O810" s="65" t="s">
        <v>4821</v>
      </c>
      <c r="P810" s="65" t="s">
        <v>4825</v>
      </c>
      <c r="Q810" s="65" t="s">
        <v>158</v>
      </c>
      <c r="R810">
        <v>1</v>
      </c>
      <c r="S810" s="65" t="s">
        <v>42</v>
      </c>
      <c r="T810" s="65" t="s">
        <v>44</v>
      </c>
      <c r="U810" s="65" t="s">
        <v>44</v>
      </c>
      <c r="V810" s="65" t="s">
        <v>45</v>
      </c>
      <c r="W810" s="65" t="s">
        <v>60</v>
      </c>
      <c r="X810">
        <v>186.44</v>
      </c>
      <c r="Y810" s="65" t="s">
        <v>47</v>
      </c>
      <c r="Z810" s="65" t="s">
        <v>48</v>
      </c>
      <c r="AA810" s="65" t="s">
        <v>49</v>
      </c>
      <c r="AB810">
        <v>992789956</v>
      </c>
      <c r="AC810" s="65" t="s">
        <v>2465</v>
      </c>
      <c r="AD810">
        <v>30</v>
      </c>
    </row>
    <row r="811" spans="1:30" x14ac:dyDescent="0.3">
      <c r="A811" s="1">
        <v>46302</v>
      </c>
      <c r="B811" s="65" t="s">
        <v>4666</v>
      </c>
      <c r="C811" s="65" t="s">
        <v>4826</v>
      </c>
      <c r="D811" s="65" t="s">
        <v>29</v>
      </c>
      <c r="E811" s="65" t="s">
        <v>4827</v>
      </c>
      <c r="F811" s="65" t="s">
        <v>31</v>
      </c>
      <c r="G811" s="65" t="s">
        <v>4828</v>
      </c>
      <c r="H811" s="65" t="s">
        <v>4795</v>
      </c>
      <c r="I811" s="65" t="s">
        <v>4796</v>
      </c>
      <c r="J811" s="65" t="s">
        <v>662</v>
      </c>
      <c r="K811" s="65" t="s">
        <v>36</v>
      </c>
      <c r="L811" s="65" t="s">
        <v>37</v>
      </c>
      <c r="M811" s="65" t="s">
        <v>4797</v>
      </c>
      <c r="N811" s="65" t="s">
        <v>4798</v>
      </c>
      <c r="O811" s="65" t="s">
        <v>4795</v>
      </c>
      <c r="P811" s="65" t="s">
        <v>4829</v>
      </c>
      <c r="Q811" s="65" t="s">
        <v>288</v>
      </c>
      <c r="R811">
        <v>1</v>
      </c>
      <c r="S811" s="65" t="s">
        <v>42</v>
      </c>
      <c r="T811" s="65" t="s">
        <v>44</v>
      </c>
      <c r="U811" s="65" t="s">
        <v>44</v>
      </c>
      <c r="V811" s="65" t="s">
        <v>45</v>
      </c>
      <c r="W811" s="65" t="s">
        <v>46</v>
      </c>
      <c r="X811">
        <v>0</v>
      </c>
      <c r="Y811" s="65" t="s">
        <v>289</v>
      </c>
      <c r="Z811" s="65" t="s">
        <v>48</v>
      </c>
      <c r="AA811" s="65" t="s">
        <v>49</v>
      </c>
      <c r="AB811">
        <v>997145685</v>
      </c>
      <c r="AC811" s="65" t="s">
        <v>666</v>
      </c>
    </row>
    <row r="812" spans="1:30" x14ac:dyDescent="0.3">
      <c r="A812" s="1">
        <v>46302</v>
      </c>
      <c r="B812" s="65" t="s">
        <v>4666</v>
      </c>
      <c r="C812" s="65" t="s">
        <v>4826</v>
      </c>
      <c r="D812" s="65" t="s">
        <v>29</v>
      </c>
      <c r="E812" s="65" t="s">
        <v>4827</v>
      </c>
      <c r="F812" s="65" t="s">
        <v>31</v>
      </c>
      <c r="G812" s="65" t="s">
        <v>4828</v>
      </c>
      <c r="H812" s="65" t="s">
        <v>4795</v>
      </c>
      <c r="I812" s="65" t="s">
        <v>4796</v>
      </c>
      <c r="J812" s="65" t="s">
        <v>662</v>
      </c>
      <c r="K812" s="65" t="s">
        <v>36</v>
      </c>
      <c r="L812" s="65" t="s">
        <v>37</v>
      </c>
      <c r="M812" s="65" t="s">
        <v>4797</v>
      </c>
      <c r="N812" s="65" t="s">
        <v>4798</v>
      </c>
      <c r="O812" s="65" t="s">
        <v>4795</v>
      </c>
      <c r="P812" s="65" t="s">
        <v>4829</v>
      </c>
      <c r="Q812" s="65" t="s">
        <v>4830</v>
      </c>
      <c r="R812">
        <v>1</v>
      </c>
      <c r="S812" s="65" t="s">
        <v>42</v>
      </c>
      <c r="T812" s="65" t="s">
        <v>44</v>
      </c>
      <c r="U812" s="65" t="s">
        <v>44</v>
      </c>
      <c r="V812" s="65" t="s">
        <v>45</v>
      </c>
      <c r="W812" s="65" t="s">
        <v>46</v>
      </c>
      <c r="X812">
        <v>800.85</v>
      </c>
      <c r="Y812" s="65" t="s">
        <v>289</v>
      </c>
      <c r="Z812" s="65" t="s">
        <v>48</v>
      </c>
      <c r="AA812" s="65" t="s">
        <v>49</v>
      </c>
      <c r="AB812">
        <v>997145685</v>
      </c>
      <c r="AC812" s="65" t="s">
        <v>666</v>
      </c>
    </row>
    <row r="813" spans="1:30" x14ac:dyDescent="0.3">
      <c r="A813" s="1">
        <v>46302</v>
      </c>
      <c r="B813" s="65" t="s">
        <v>4666</v>
      </c>
      <c r="C813" s="65" t="s">
        <v>4831</v>
      </c>
      <c r="D813" s="65" t="s">
        <v>268</v>
      </c>
      <c r="E813" s="65" t="s">
        <v>4832</v>
      </c>
      <c r="F813" s="65" t="s">
        <v>31</v>
      </c>
      <c r="G813" s="65" t="s">
        <v>4833</v>
      </c>
      <c r="H813" s="65" t="s">
        <v>2591</v>
      </c>
      <c r="I813" s="65" t="s">
        <v>5044</v>
      </c>
      <c r="J813" s="65" t="s">
        <v>1108</v>
      </c>
      <c r="K813" s="65" t="s">
        <v>209</v>
      </c>
      <c r="L813" s="65" t="s">
        <v>37</v>
      </c>
      <c r="M813" s="65" t="s">
        <v>2593</v>
      </c>
      <c r="N813" s="65" t="s">
        <v>2594</v>
      </c>
      <c r="O813" s="65" t="s">
        <v>1111</v>
      </c>
      <c r="P813" s="65" t="s">
        <v>4834</v>
      </c>
      <c r="Q813" s="65" t="s">
        <v>213</v>
      </c>
      <c r="R813">
        <v>1</v>
      </c>
      <c r="S813" s="65" t="s">
        <v>42</v>
      </c>
      <c r="T813" s="65" t="s">
        <v>44</v>
      </c>
      <c r="U813" s="65" t="s">
        <v>44</v>
      </c>
      <c r="V813" s="65" t="s">
        <v>45</v>
      </c>
      <c r="W813" s="65" t="s">
        <v>46</v>
      </c>
      <c r="X813">
        <v>254.24</v>
      </c>
      <c r="Y813" s="65" t="s">
        <v>61</v>
      </c>
      <c r="Z813" s="65" t="s">
        <v>48</v>
      </c>
      <c r="AA813" s="65" t="s">
        <v>49</v>
      </c>
      <c r="AB813">
        <v>970582106</v>
      </c>
      <c r="AC813" s="65" t="s">
        <v>1113</v>
      </c>
    </row>
    <row r="814" spans="1:30" x14ac:dyDescent="0.3">
      <c r="A814" s="1">
        <v>46302</v>
      </c>
      <c r="B814" s="65" t="s">
        <v>4666</v>
      </c>
      <c r="C814" s="65" t="s">
        <v>4835</v>
      </c>
      <c r="D814" s="65" t="s">
        <v>29</v>
      </c>
      <c r="E814" s="65" t="s">
        <v>4836</v>
      </c>
      <c r="F814" s="65" t="s">
        <v>31</v>
      </c>
      <c r="G814" s="65" t="s">
        <v>4837</v>
      </c>
      <c r="H814" s="65" t="s">
        <v>4838</v>
      </c>
      <c r="I814" s="65" t="s">
        <v>4839</v>
      </c>
      <c r="J814" s="65" t="s">
        <v>3030</v>
      </c>
      <c r="K814" s="65" t="s">
        <v>775</v>
      </c>
      <c r="L814" s="65" t="s">
        <v>37</v>
      </c>
      <c r="M814" s="65" t="s">
        <v>4840</v>
      </c>
      <c r="N814" s="65" t="s">
        <v>4841</v>
      </c>
      <c r="O814" s="65" t="s">
        <v>4838</v>
      </c>
      <c r="P814" s="65" t="s">
        <v>4842</v>
      </c>
      <c r="Q814" s="65" t="s">
        <v>159</v>
      </c>
      <c r="R814">
        <v>1</v>
      </c>
      <c r="S814" s="65" t="s">
        <v>42</v>
      </c>
      <c r="T814" s="65" t="s">
        <v>44</v>
      </c>
      <c r="U814" s="65" t="s">
        <v>44</v>
      </c>
      <c r="V814" s="65" t="s">
        <v>45</v>
      </c>
      <c r="W814" s="65" t="s">
        <v>60</v>
      </c>
      <c r="X814">
        <v>135.59</v>
      </c>
      <c r="Y814" s="65" t="s">
        <v>47</v>
      </c>
      <c r="Z814" s="65" t="s">
        <v>48</v>
      </c>
      <c r="AA814" s="65" t="s">
        <v>49</v>
      </c>
      <c r="AB814">
        <v>937242809</v>
      </c>
      <c r="AC814" s="65" t="s">
        <v>3031</v>
      </c>
      <c r="AD814">
        <v>30</v>
      </c>
    </row>
    <row r="815" spans="1:30" x14ac:dyDescent="0.3">
      <c r="A815" s="1">
        <v>46302</v>
      </c>
      <c r="B815" s="65" t="s">
        <v>4666</v>
      </c>
      <c r="C815" s="65" t="s">
        <v>4835</v>
      </c>
      <c r="D815" s="65" t="s">
        <v>29</v>
      </c>
      <c r="E815" s="65" t="s">
        <v>4836</v>
      </c>
      <c r="F815" s="65" t="s">
        <v>31</v>
      </c>
      <c r="G815" s="65" t="s">
        <v>4837</v>
      </c>
      <c r="H815" s="65" t="s">
        <v>4838</v>
      </c>
      <c r="I815" s="65" t="s">
        <v>4839</v>
      </c>
      <c r="J815" s="65" t="s">
        <v>3030</v>
      </c>
      <c r="K815" s="65" t="s">
        <v>775</v>
      </c>
      <c r="L815" s="65" t="s">
        <v>37</v>
      </c>
      <c r="M815" s="65" t="s">
        <v>4840</v>
      </c>
      <c r="N815" s="65" t="s">
        <v>4841</v>
      </c>
      <c r="O815" s="65" t="s">
        <v>4838</v>
      </c>
      <c r="P815" s="65" t="s">
        <v>4842</v>
      </c>
      <c r="Q815" s="65" t="s">
        <v>159</v>
      </c>
      <c r="R815">
        <v>1</v>
      </c>
      <c r="S815" s="65" t="s">
        <v>42</v>
      </c>
      <c r="T815" s="65" t="s">
        <v>44</v>
      </c>
      <c r="U815" s="65" t="s">
        <v>44</v>
      </c>
      <c r="V815" s="65" t="s">
        <v>45</v>
      </c>
      <c r="W815" s="65" t="s">
        <v>60</v>
      </c>
      <c r="X815">
        <v>186.44</v>
      </c>
      <c r="Y815" s="65" t="s">
        <v>47</v>
      </c>
      <c r="Z815" s="65" t="s">
        <v>48</v>
      </c>
      <c r="AA815" s="65" t="s">
        <v>49</v>
      </c>
      <c r="AB815">
        <v>937242809</v>
      </c>
      <c r="AC815" s="65" t="s">
        <v>3031</v>
      </c>
      <c r="AD815">
        <v>30</v>
      </c>
    </row>
    <row r="816" spans="1:30" x14ac:dyDescent="0.3">
      <c r="A816" s="1">
        <v>46302</v>
      </c>
      <c r="B816" s="65" t="s">
        <v>4666</v>
      </c>
      <c r="C816" s="65" t="s">
        <v>4843</v>
      </c>
      <c r="D816" s="65" t="s">
        <v>29</v>
      </c>
      <c r="E816" s="65" t="s">
        <v>4844</v>
      </c>
      <c r="F816" s="65" t="s">
        <v>31</v>
      </c>
      <c r="G816" s="65" t="s">
        <v>4845</v>
      </c>
      <c r="H816" s="65" t="s">
        <v>4846</v>
      </c>
      <c r="I816" s="65" t="s">
        <v>5044</v>
      </c>
      <c r="J816" s="65" t="s">
        <v>1108</v>
      </c>
      <c r="K816" s="65" t="s">
        <v>209</v>
      </c>
      <c r="L816" s="65" t="s">
        <v>37</v>
      </c>
      <c r="M816" s="65" t="s">
        <v>4847</v>
      </c>
      <c r="N816" s="65" t="s">
        <v>4848</v>
      </c>
      <c r="O816" s="65" t="s">
        <v>1111</v>
      </c>
      <c r="P816" s="65" t="s">
        <v>4849</v>
      </c>
      <c r="Q816" s="65" t="s">
        <v>59</v>
      </c>
      <c r="R816">
        <v>1</v>
      </c>
      <c r="S816" s="65" t="s">
        <v>42</v>
      </c>
      <c r="T816" s="65" t="s">
        <v>44</v>
      </c>
      <c r="U816" s="65" t="s">
        <v>44</v>
      </c>
      <c r="V816" s="65" t="s">
        <v>45</v>
      </c>
      <c r="W816" s="65" t="s">
        <v>46</v>
      </c>
      <c r="X816">
        <v>101.69</v>
      </c>
      <c r="Y816" s="65" t="s">
        <v>61</v>
      </c>
      <c r="Z816" s="65" t="s">
        <v>48</v>
      </c>
      <c r="AA816" s="65" t="s">
        <v>49</v>
      </c>
      <c r="AB816">
        <v>970582106</v>
      </c>
      <c r="AC816" s="65" t="s">
        <v>1113</v>
      </c>
    </row>
    <row r="817" spans="1:30" x14ac:dyDescent="0.3">
      <c r="A817" s="1">
        <v>46302</v>
      </c>
      <c r="B817" s="65" t="s">
        <v>4666</v>
      </c>
      <c r="C817" s="65" t="s">
        <v>4850</v>
      </c>
      <c r="D817" s="65" t="s">
        <v>29</v>
      </c>
      <c r="E817" s="65" t="s">
        <v>4851</v>
      </c>
      <c r="F817" s="65" t="s">
        <v>31</v>
      </c>
      <c r="G817" s="65" t="s">
        <v>4852</v>
      </c>
      <c r="H817" s="65" t="s">
        <v>4853</v>
      </c>
      <c r="I817" s="65" t="s">
        <v>4854</v>
      </c>
      <c r="J817" s="65" t="s">
        <v>4855</v>
      </c>
      <c r="K817" s="65"/>
      <c r="L817" s="65" t="s">
        <v>37</v>
      </c>
      <c r="M817" s="65" t="s">
        <v>4856</v>
      </c>
      <c r="N817" s="65" t="s">
        <v>4857</v>
      </c>
      <c r="O817" s="65" t="s">
        <v>4853</v>
      </c>
      <c r="P817" s="65" t="s">
        <v>4858</v>
      </c>
      <c r="Q817" s="65" t="s">
        <v>41</v>
      </c>
      <c r="R817">
        <v>1</v>
      </c>
      <c r="S817" s="65" t="s">
        <v>42</v>
      </c>
      <c r="T817" s="65" t="s">
        <v>44</v>
      </c>
      <c r="U817" s="65" t="s">
        <v>44</v>
      </c>
      <c r="V817" s="65" t="s">
        <v>45</v>
      </c>
      <c r="W817" s="65" t="s">
        <v>60</v>
      </c>
      <c r="X817">
        <v>186.44</v>
      </c>
      <c r="Y817" s="65" t="s">
        <v>47</v>
      </c>
      <c r="Z817" s="65" t="s">
        <v>48</v>
      </c>
      <c r="AA817" s="65" t="s">
        <v>49</v>
      </c>
      <c r="AC817" s="65"/>
      <c r="AD817">
        <v>50</v>
      </c>
    </row>
    <row r="818" spans="1:30" x14ac:dyDescent="0.3">
      <c r="A818" s="1">
        <v>46302</v>
      </c>
      <c r="B818" s="65" t="s">
        <v>4666</v>
      </c>
      <c r="C818" s="65" t="s">
        <v>4850</v>
      </c>
      <c r="D818" s="65" t="s">
        <v>29</v>
      </c>
      <c r="E818" s="65" t="s">
        <v>4851</v>
      </c>
      <c r="F818" s="65" t="s">
        <v>31</v>
      </c>
      <c r="G818" s="65" t="s">
        <v>4852</v>
      </c>
      <c r="H818" s="65" t="s">
        <v>4853</v>
      </c>
      <c r="I818" s="65" t="s">
        <v>4854</v>
      </c>
      <c r="J818" s="65" t="s">
        <v>4855</v>
      </c>
      <c r="K818" s="65"/>
      <c r="L818" s="65" t="s">
        <v>37</v>
      </c>
      <c r="M818" s="65" t="s">
        <v>4856</v>
      </c>
      <c r="N818" s="65" t="s">
        <v>4857</v>
      </c>
      <c r="O818" s="65" t="s">
        <v>4853</v>
      </c>
      <c r="P818" s="65" t="s">
        <v>4858</v>
      </c>
      <c r="Q818" s="65" t="s">
        <v>41</v>
      </c>
      <c r="R818">
        <v>1</v>
      </c>
      <c r="S818" s="65" t="s">
        <v>42</v>
      </c>
      <c r="T818" s="65" t="s">
        <v>44</v>
      </c>
      <c r="U818" s="65" t="s">
        <v>44</v>
      </c>
      <c r="V818" s="65" t="s">
        <v>45</v>
      </c>
      <c r="W818" s="65" t="s">
        <v>60</v>
      </c>
      <c r="X818">
        <v>186.44</v>
      </c>
      <c r="Y818" s="65" t="s">
        <v>47</v>
      </c>
      <c r="Z818" s="65" t="s">
        <v>48</v>
      </c>
      <c r="AA818" s="65" t="s">
        <v>49</v>
      </c>
      <c r="AC818" s="65"/>
      <c r="AD818">
        <v>50</v>
      </c>
    </row>
    <row r="819" spans="1:30" x14ac:dyDescent="0.3">
      <c r="A819" s="1">
        <v>46302</v>
      </c>
      <c r="B819" s="65" t="s">
        <v>4666</v>
      </c>
      <c r="C819" s="65" t="s">
        <v>5045</v>
      </c>
      <c r="D819" s="65" t="s">
        <v>29</v>
      </c>
      <c r="E819" s="65" t="s">
        <v>5046</v>
      </c>
      <c r="F819" s="65" t="s">
        <v>31</v>
      </c>
      <c r="G819" s="65" t="s">
        <v>5047</v>
      </c>
      <c r="H819" s="65" t="s">
        <v>5048</v>
      </c>
      <c r="I819" s="65" t="s">
        <v>5049</v>
      </c>
      <c r="J819" s="65" t="s">
        <v>774</v>
      </c>
      <c r="K819" s="65" t="s">
        <v>775</v>
      </c>
      <c r="L819" s="65" t="s">
        <v>37</v>
      </c>
      <c r="M819" s="65" t="s">
        <v>5050</v>
      </c>
      <c r="N819" s="65" t="s">
        <v>5051</v>
      </c>
      <c r="O819" s="65" t="s">
        <v>5048</v>
      </c>
      <c r="P819" s="65" t="s">
        <v>5052</v>
      </c>
      <c r="Q819" s="65" t="s">
        <v>202</v>
      </c>
      <c r="R819">
        <v>1</v>
      </c>
      <c r="S819" s="65" t="s">
        <v>42</v>
      </c>
      <c r="T819" s="65" t="s">
        <v>44</v>
      </c>
      <c r="U819" s="65" t="s">
        <v>44</v>
      </c>
      <c r="V819" s="65" t="s">
        <v>45</v>
      </c>
      <c r="W819" s="65" t="s">
        <v>60</v>
      </c>
      <c r="X819">
        <v>135.59</v>
      </c>
      <c r="Y819" s="65" t="s">
        <v>47</v>
      </c>
      <c r="Z819" s="65" t="s">
        <v>48</v>
      </c>
      <c r="AA819" s="65" t="s">
        <v>49</v>
      </c>
      <c r="AC819" s="65"/>
      <c r="AD819">
        <v>30</v>
      </c>
    </row>
    <row r="820" spans="1:30" x14ac:dyDescent="0.3">
      <c r="A820" s="1">
        <v>46302</v>
      </c>
      <c r="B820" s="65" t="s">
        <v>4666</v>
      </c>
      <c r="C820" s="65" t="s">
        <v>5053</v>
      </c>
      <c r="D820" s="65" t="s">
        <v>29</v>
      </c>
      <c r="E820" s="65" t="s">
        <v>5054</v>
      </c>
      <c r="F820" s="65" t="s">
        <v>31</v>
      </c>
      <c r="G820" s="65" t="s">
        <v>5055</v>
      </c>
      <c r="H820" s="65" t="s">
        <v>5056</v>
      </c>
      <c r="I820" s="65" t="s">
        <v>5057</v>
      </c>
      <c r="J820" s="65" t="s">
        <v>774</v>
      </c>
      <c r="K820" s="65" t="s">
        <v>775</v>
      </c>
      <c r="L820" s="65" t="s">
        <v>37</v>
      </c>
      <c r="M820" s="65" t="s">
        <v>5058</v>
      </c>
      <c r="N820" s="65" t="s">
        <v>5059</v>
      </c>
      <c r="O820" s="65" t="s">
        <v>5056</v>
      </c>
      <c r="P820" s="65" t="s">
        <v>5060</v>
      </c>
      <c r="Q820" s="65" t="s">
        <v>158</v>
      </c>
      <c r="R820">
        <v>1</v>
      </c>
      <c r="S820" s="65" t="s">
        <v>42</v>
      </c>
      <c r="T820" s="65" t="s">
        <v>44</v>
      </c>
      <c r="U820" s="65" t="s">
        <v>44</v>
      </c>
      <c r="V820" s="65" t="s">
        <v>71</v>
      </c>
      <c r="W820" s="65" t="s">
        <v>72</v>
      </c>
      <c r="X820">
        <v>135.59</v>
      </c>
      <c r="Y820" s="65" t="s">
        <v>47</v>
      </c>
      <c r="Z820" s="65" t="s">
        <v>48</v>
      </c>
      <c r="AA820" s="65" t="s">
        <v>73</v>
      </c>
      <c r="AC820" s="65"/>
      <c r="AD820">
        <v>30</v>
      </c>
    </row>
    <row r="821" spans="1:30" x14ac:dyDescent="0.3">
      <c r="A821" s="1">
        <v>46302</v>
      </c>
      <c r="B821" s="65" t="s">
        <v>4666</v>
      </c>
      <c r="C821" s="65" t="s">
        <v>4859</v>
      </c>
      <c r="D821" s="65" t="s">
        <v>268</v>
      </c>
      <c r="E821" s="65" t="s">
        <v>4860</v>
      </c>
      <c r="F821" s="65" t="s">
        <v>31</v>
      </c>
      <c r="G821" s="65" t="s">
        <v>4861</v>
      </c>
      <c r="H821" s="65" t="s">
        <v>2647</v>
      </c>
      <c r="I821" s="65" t="s">
        <v>5061</v>
      </c>
      <c r="J821" s="65" t="s">
        <v>2795</v>
      </c>
      <c r="K821" s="65" t="s">
        <v>209</v>
      </c>
      <c r="L821" s="65" t="s">
        <v>37</v>
      </c>
      <c r="M821" s="65" t="s">
        <v>2649</v>
      </c>
      <c r="N821" s="65" t="s">
        <v>608</v>
      </c>
      <c r="O821" s="65" t="s">
        <v>1251</v>
      </c>
      <c r="P821" s="65" t="s">
        <v>4862</v>
      </c>
      <c r="Q821" s="65" t="s">
        <v>288</v>
      </c>
      <c r="R821">
        <v>1</v>
      </c>
      <c r="S821" s="65" t="s">
        <v>42</v>
      </c>
      <c r="T821" s="65" t="s">
        <v>44</v>
      </c>
      <c r="U821" s="65" t="s">
        <v>44</v>
      </c>
      <c r="V821" s="65" t="s">
        <v>45</v>
      </c>
      <c r="W821" s="65" t="s">
        <v>46</v>
      </c>
      <c r="X821">
        <v>0</v>
      </c>
      <c r="Y821" s="65" t="s">
        <v>289</v>
      </c>
      <c r="Z821" s="65" t="s">
        <v>48</v>
      </c>
      <c r="AA821" s="65" t="s">
        <v>49</v>
      </c>
      <c r="AB821">
        <v>994872106</v>
      </c>
      <c r="AC821" s="65" t="s">
        <v>1253</v>
      </c>
    </row>
    <row r="822" spans="1:30" x14ac:dyDescent="0.3">
      <c r="A822" s="1">
        <v>46302</v>
      </c>
      <c r="B822" s="65" t="s">
        <v>4666</v>
      </c>
      <c r="C822" s="65" t="s">
        <v>4859</v>
      </c>
      <c r="D822" s="65" t="s">
        <v>268</v>
      </c>
      <c r="E822" s="65" t="s">
        <v>4860</v>
      </c>
      <c r="F822" s="65" t="s">
        <v>31</v>
      </c>
      <c r="G822" s="65" t="s">
        <v>4861</v>
      </c>
      <c r="H822" s="65" t="s">
        <v>2647</v>
      </c>
      <c r="I822" s="65" t="s">
        <v>5061</v>
      </c>
      <c r="J822" s="65" t="s">
        <v>2795</v>
      </c>
      <c r="K822" s="65" t="s">
        <v>209</v>
      </c>
      <c r="L822" s="65" t="s">
        <v>37</v>
      </c>
      <c r="M822" s="65" t="s">
        <v>2649</v>
      </c>
      <c r="N822" s="65" t="s">
        <v>608</v>
      </c>
      <c r="O822" s="65" t="s">
        <v>1251</v>
      </c>
      <c r="P822" s="65" t="s">
        <v>4862</v>
      </c>
      <c r="Q822" s="65" t="s">
        <v>290</v>
      </c>
      <c r="R822">
        <v>1</v>
      </c>
      <c r="S822" s="65" t="s">
        <v>42</v>
      </c>
      <c r="T822" s="65" t="s">
        <v>44</v>
      </c>
      <c r="U822" s="65" t="s">
        <v>44</v>
      </c>
      <c r="V822" s="65" t="s">
        <v>45</v>
      </c>
      <c r="W822" s="65" t="s">
        <v>46</v>
      </c>
      <c r="X822">
        <v>762.71</v>
      </c>
      <c r="Y822" s="65" t="s">
        <v>289</v>
      </c>
      <c r="Z822" s="65" t="s">
        <v>48</v>
      </c>
      <c r="AA822" s="65" t="s">
        <v>49</v>
      </c>
      <c r="AB822">
        <v>994872106</v>
      </c>
      <c r="AC822" s="65" t="s">
        <v>1253</v>
      </c>
    </row>
    <row r="823" spans="1:30" x14ac:dyDescent="0.3">
      <c r="A823" s="1">
        <v>46302</v>
      </c>
      <c r="B823" s="65" t="s">
        <v>4666</v>
      </c>
      <c r="C823" s="65" t="s">
        <v>4863</v>
      </c>
      <c r="D823" s="65" t="s">
        <v>268</v>
      </c>
      <c r="E823" s="65" t="s">
        <v>4864</v>
      </c>
      <c r="F823" s="65" t="s">
        <v>31</v>
      </c>
      <c r="G823" s="65" t="s">
        <v>4865</v>
      </c>
      <c r="H823" s="65" t="s">
        <v>4866</v>
      </c>
      <c r="I823" s="65" t="s">
        <v>5061</v>
      </c>
      <c r="J823" s="65" t="s">
        <v>2795</v>
      </c>
      <c r="K823" s="65" t="s">
        <v>209</v>
      </c>
      <c r="L823" s="65" t="s">
        <v>37</v>
      </c>
      <c r="M823" s="65" t="s">
        <v>4867</v>
      </c>
      <c r="N823" s="65" t="s">
        <v>4002</v>
      </c>
      <c r="O823" s="65" t="s">
        <v>1251</v>
      </c>
      <c r="P823" s="65" t="s">
        <v>4868</v>
      </c>
      <c r="Q823" s="65" t="s">
        <v>288</v>
      </c>
      <c r="R823">
        <v>1</v>
      </c>
      <c r="S823" s="65" t="s">
        <v>42</v>
      </c>
      <c r="T823" s="65" t="s">
        <v>44</v>
      </c>
      <c r="U823" s="65" t="s">
        <v>44</v>
      </c>
      <c r="V823" s="65" t="s">
        <v>45</v>
      </c>
      <c r="W823" s="65" t="s">
        <v>46</v>
      </c>
      <c r="X823">
        <v>0</v>
      </c>
      <c r="Y823" s="65" t="s">
        <v>289</v>
      </c>
      <c r="Z823" s="65" t="s">
        <v>48</v>
      </c>
      <c r="AA823" s="65" t="s">
        <v>49</v>
      </c>
      <c r="AB823">
        <v>994872106</v>
      </c>
      <c r="AC823" s="65" t="s">
        <v>1253</v>
      </c>
    </row>
    <row r="824" spans="1:30" x14ac:dyDescent="0.3">
      <c r="A824" s="1">
        <v>46302</v>
      </c>
      <c r="B824" s="65" t="s">
        <v>4666</v>
      </c>
      <c r="C824" s="65" t="s">
        <v>4863</v>
      </c>
      <c r="D824" s="65" t="s">
        <v>268</v>
      </c>
      <c r="E824" s="65" t="s">
        <v>4864</v>
      </c>
      <c r="F824" s="65" t="s">
        <v>31</v>
      </c>
      <c r="G824" s="65" t="s">
        <v>4865</v>
      </c>
      <c r="H824" s="65" t="s">
        <v>4866</v>
      </c>
      <c r="I824" s="65" t="s">
        <v>5061</v>
      </c>
      <c r="J824" s="65" t="s">
        <v>2795</v>
      </c>
      <c r="K824" s="65" t="s">
        <v>209</v>
      </c>
      <c r="L824" s="65" t="s">
        <v>37</v>
      </c>
      <c r="M824" s="65" t="s">
        <v>4867</v>
      </c>
      <c r="N824" s="65" t="s">
        <v>4002</v>
      </c>
      <c r="O824" s="65" t="s">
        <v>1251</v>
      </c>
      <c r="P824" s="65" t="s">
        <v>4868</v>
      </c>
      <c r="Q824" s="65" t="s">
        <v>290</v>
      </c>
      <c r="R824">
        <v>1</v>
      </c>
      <c r="S824" s="65" t="s">
        <v>42</v>
      </c>
      <c r="T824" s="65" t="s">
        <v>44</v>
      </c>
      <c r="U824" s="65" t="s">
        <v>44</v>
      </c>
      <c r="V824" s="65" t="s">
        <v>45</v>
      </c>
      <c r="W824" s="65" t="s">
        <v>46</v>
      </c>
      <c r="X824">
        <v>762.71</v>
      </c>
      <c r="Y824" s="65" t="s">
        <v>289</v>
      </c>
      <c r="Z824" s="65" t="s">
        <v>48</v>
      </c>
      <c r="AA824" s="65" t="s">
        <v>49</v>
      </c>
      <c r="AB824">
        <v>994872106</v>
      </c>
      <c r="AC824" s="65" t="s">
        <v>1253</v>
      </c>
    </row>
    <row r="825" spans="1:30" x14ac:dyDescent="0.3">
      <c r="A825" s="1">
        <v>46302</v>
      </c>
      <c r="B825" s="65" t="s">
        <v>4666</v>
      </c>
      <c r="C825" s="65" t="s">
        <v>4869</v>
      </c>
      <c r="D825" s="65" t="s">
        <v>268</v>
      </c>
      <c r="E825" s="65" t="s">
        <v>4870</v>
      </c>
      <c r="F825" s="65" t="s">
        <v>31</v>
      </c>
      <c r="G825" s="65" t="s">
        <v>4871</v>
      </c>
      <c r="H825" s="65" t="s">
        <v>4872</v>
      </c>
      <c r="I825" s="65" t="s">
        <v>5061</v>
      </c>
      <c r="J825" s="65" t="s">
        <v>2795</v>
      </c>
      <c r="K825" s="65" t="s">
        <v>209</v>
      </c>
      <c r="L825" s="65" t="s">
        <v>37</v>
      </c>
      <c r="M825" s="65" t="s">
        <v>4873</v>
      </c>
      <c r="N825" s="65" t="s">
        <v>608</v>
      </c>
      <c r="O825" s="65" t="s">
        <v>1251</v>
      </c>
      <c r="P825" s="65" t="s">
        <v>4874</v>
      </c>
      <c r="Q825" s="65" t="s">
        <v>288</v>
      </c>
      <c r="R825">
        <v>1</v>
      </c>
      <c r="S825" s="65" t="s">
        <v>42</v>
      </c>
      <c r="T825" s="65" t="s">
        <v>44</v>
      </c>
      <c r="U825" s="65" t="s">
        <v>44</v>
      </c>
      <c r="V825" s="65" t="s">
        <v>45</v>
      </c>
      <c r="W825" s="65" t="s">
        <v>46</v>
      </c>
      <c r="X825">
        <v>0</v>
      </c>
      <c r="Y825" s="65" t="s">
        <v>289</v>
      </c>
      <c r="Z825" s="65" t="s">
        <v>48</v>
      </c>
      <c r="AA825" s="65" t="s">
        <v>49</v>
      </c>
      <c r="AB825">
        <v>994872106</v>
      </c>
      <c r="AC825" s="65" t="s">
        <v>1253</v>
      </c>
    </row>
    <row r="826" spans="1:30" x14ac:dyDescent="0.3">
      <c r="A826" s="1">
        <v>46302</v>
      </c>
      <c r="B826" s="65" t="s">
        <v>4666</v>
      </c>
      <c r="C826" s="65" t="s">
        <v>4869</v>
      </c>
      <c r="D826" s="65" t="s">
        <v>268</v>
      </c>
      <c r="E826" s="65" t="s">
        <v>4870</v>
      </c>
      <c r="F826" s="65" t="s">
        <v>31</v>
      </c>
      <c r="G826" s="65" t="s">
        <v>4871</v>
      </c>
      <c r="H826" s="65" t="s">
        <v>4872</v>
      </c>
      <c r="I826" s="65" t="s">
        <v>5061</v>
      </c>
      <c r="J826" s="65" t="s">
        <v>2795</v>
      </c>
      <c r="K826" s="65" t="s">
        <v>209</v>
      </c>
      <c r="L826" s="65" t="s">
        <v>37</v>
      </c>
      <c r="M826" s="65" t="s">
        <v>4873</v>
      </c>
      <c r="N826" s="65" t="s">
        <v>608</v>
      </c>
      <c r="O826" s="65" t="s">
        <v>1251</v>
      </c>
      <c r="P826" s="65" t="s">
        <v>4874</v>
      </c>
      <c r="Q826" s="65" t="s">
        <v>1215</v>
      </c>
      <c r="R826">
        <v>1</v>
      </c>
      <c r="S826" s="65" t="s">
        <v>42</v>
      </c>
      <c r="T826" s="65" t="s">
        <v>44</v>
      </c>
      <c r="U826" s="65" t="s">
        <v>44</v>
      </c>
      <c r="V826" s="65" t="s">
        <v>45</v>
      </c>
      <c r="W826" s="65" t="s">
        <v>46</v>
      </c>
      <c r="X826">
        <v>139.83000000000001</v>
      </c>
      <c r="Y826" s="65" t="s">
        <v>289</v>
      </c>
      <c r="Z826" s="65" t="s">
        <v>48</v>
      </c>
      <c r="AA826" s="65" t="s">
        <v>49</v>
      </c>
      <c r="AB826">
        <v>994872106</v>
      </c>
      <c r="AC826" s="65" t="s">
        <v>1253</v>
      </c>
    </row>
    <row r="827" spans="1:30" x14ac:dyDescent="0.3">
      <c r="A827" s="1">
        <v>46302</v>
      </c>
      <c r="B827" s="65" t="s">
        <v>4666</v>
      </c>
      <c r="C827" s="65" t="s">
        <v>4875</v>
      </c>
      <c r="D827" s="65" t="s">
        <v>268</v>
      </c>
      <c r="E827" s="65" t="s">
        <v>4876</v>
      </c>
      <c r="F827" s="65" t="s">
        <v>31</v>
      </c>
      <c r="G827" s="65" t="s">
        <v>4877</v>
      </c>
      <c r="H827" s="65" t="s">
        <v>4866</v>
      </c>
      <c r="I827" s="65" t="s">
        <v>5061</v>
      </c>
      <c r="J827" s="65" t="s">
        <v>2795</v>
      </c>
      <c r="K827" s="65" t="s">
        <v>209</v>
      </c>
      <c r="L827" s="65" t="s">
        <v>37</v>
      </c>
      <c r="M827" s="65" t="s">
        <v>4867</v>
      </c>
      <c r="N827" s="65" t="s">
        <v>4002</v>
      </c>
      <c r="O827" s="65" t="s">
        <v>1251</v>
      </c>
      <c r="P827" s="65" t="s">
        <v>4878</v>
      </c>
      <c r="Q827" s="65" t="s">
        <v>641</v>
      </c>
      <c r="R827">
        <v>1</v>
      </c>
      <c r="S827" s="65" t="s">
        <v>42</v>
      </c>
      <c r="T827" s="65" t="s">
        <v>44</v>
      </c>
      <c r="U827" s="65" t="s">
        <v>44</v>
      </c>
      <c r="V827" s="65" t="s">
        <v>45</v>
      </c>
      <c r="W827" s="65" t="s">
        <v>46</v>
      </c>
      <c r="X827">
        <v>84.75</v>
      </c>
      <c r="Y827" s="65" t="s">
        <v>47</v>
      </c>
      <c r="Z827" s="65" t="s">
        <v>48</v>
      </c>
      <c r="AA827" s="65" t="s">
        <v>49</v>
      </c>
      <c r="AB827">
        <v>994872106</v>
      </c>
      <c r="AC827" s="65" t="s">
        <v>1253</v>
      </c>
    </row>
    <row r="828" spans="1:30" x14ac:dyDescent="0.3">
      <c r="A828" s="1">
        <v>46302</v>
      </c>
      <c r="B828" s="65" t="s">
        <v>4666</v>
      </c>
      <c r="C828" s="65" t="s">
        <v>4879</v>
      </c>
      <c r="D828" s="65" t="s">
        <v>268</v>
      </c>
      <c r="E828" s="65" t="s">
        <v>4880</v>
      </c>
      <c r="F828" s="65" t="s">
        <v>31</v>
      </c>
      <c r="G828" s="65" t="s">
        <v>4881</v>
      </c>
      <c r="H828" s="65" t="s">
        <v>4882</v>
      </c>
      <c r="I828" s="65" t="s">
        <v>5001</v>
      </c>
      <c r="J828" s="65" t="s">
        <v>477</v>
      </c>
      <c r="K828" s="65" t="s">
        <v>209</v>
      </c>
      <c r="L828" s="65" t="s">
        <v>37</v>
      </c>
      <c r="M828" s="65" t="s">
        <v>4883</v>
      </c>
      <c r="N828" s="65" t="s">
        <v>608</v>
      </c>
      <c r="O828" s="65" t="s">
        <v>486</v>
      </c>
      <c r="P828" s="65" t="s">
        <v>4884</v>
      </c>
      <c r="Q828" s="65" t="s">
        <v>288</v>
      </c>
      <c r="R828">
        <v>1</v>
      </c>
      <c r="S828" s="65" t="s">
        <v>42</v>
      </c>
      <c r="T828" s="65" t="s">
        <v>44</v>
      </c>
      <c r="U828" s="65" t="s">
        <v>44</v>
      </c>
      <c r="V828" s="65" t="s">
        <v>45</v>
      </c>
      <c r="W828" s="65" t="s">
        <v>60</v>
      </c>
      <c r="X828">
        <v>0</v>
      </c>
      <c r="Y828" s="65" t="s">
        <v>289</v>
      </c>
      <c r="Z828" s="65" t="s">
        <v>48</v>
      </c>
      <c r="AA828" s="65" t="s">
        <v>49</v>
      </c>
      <c r="AB828">
        <v>982536223</v>
      </c>
      <c r="AC828" s="65" t="s">
        <v>482</v>
      </c>
    </row>
    <row r="829" spans="1:30" x14ac:dyDescent="0.3">
      <c r="A829" s="1">
        <v>46302</v>
      </c>
      <c r="B829" s="65" t="s">
        <v>4666</v>
      </c>
      <c r="C829" s="65" t="s">
        <v>4879</v>
      </c>
      <c r="D829" s="65" t="s">
        <v>268</v>
      </c>
      <c r="E829" s="65" t="s">
        <v>4880</v>
      </c>
      <c r="F829" s="65" t="s">
        <v>31</v>
      </c>
      <c r="G829" s="65" t="s">
        <v>4881</v>
      </c>
      <c r="H829" s="65" t="s">
        <v>4882</v>
      </c>
      <c r="I829" s="65" t="s">
        <v>5001</v>
      </c>
      <c r="J829" s="65" t="s">
        <v>477</v>
      </c>
      <c r="K829" s="65" t="s">
        <v>209</v>
      </c>
      <c r="L829" s="65" t="s">
        <v>37</v>
      </c>
      <c r="M829" s="65" t="s">
        <v>4883</v>
      </c>
      <c r="N829" s="65" t="s">
        <v>608</v>
      </c>
      <c r="O829" s="65" t="s">
        <v>486</v>
      </c>
      <c r="P829" s="65" t="s">
        <v>4884</v>
      </c>
      <c r="Q829" s="65" t="s">
        <v>1215</v>
      </c>
      <c r="R829">
        <v>1</v>
      </c>
      <c r="S829" s="65" t="s">
        <v>42</v>
      </c>
      <c r="T829" s="65" t="s">
        <v>44</v>
      </c>
      <c r="U829" s="65" t="s">
        <v>44</v>
      </c>
      <c r="V829" s="65" t="s">
        <v>45</v>
      </c>
      <c r="W829" s="65" t="s">
        <v>60</v>
      </c>
      <c r="X829">
        <v>139.83000000000001</v>
      </c>
      <c r="Y829" s="65" t="s">
        <v>289</v>
      </c>
      <c r="Z829" s="65" t="s">
        <v>48</v>
      </c>
      <c r="AA829" s="65" t="s">
        <v>49</v>
      </c>
      <c r="AB829">
        <v>982536223</v>
      </c>
      <c r="AC829" s="65" t="s">
        <v>482</v>
      </c>
    </row>
    <row r="830" spans="1:30" x14ac:dyDescent="0.3">
      <c r="A830" s="1">
        <v>46304</v>
      </c>
      <c r="B830" s="65" t="s">
        <v>4666</v>
      </c>
      <c r="C830" s="65" t="s">
        <v>4885</v>
      </c>
      <c r="D830" s="65" t="s">
        <v>268</v>
      </c>
      <c r="E830" s="65" t="s">
        <v>4886</v>
      </c>
      <c r="F830" s="65" t="s">
        <v>31</v>
      </c>
      <c r="G830" s="65" t="s">
        <v>4887</v>
      </c>
      <c r="H830" s="65" t="s">
        <v>4846</v>
      </c>
      <c r="I830" s="65" t="s">
        <v>5044</v>
      </c>
      <c r="J830" s="65" t="s">
        <v>1108</v>
      </c>
      <c r="K830" s="65" t="s">
        <v>209</v>
      </c>
      <c r="L830" s="65" t="s">
        <v>37</v>
      </c>
      <c r="M830" s="65" t="s">
        <v>4847</v>
      </c>
      <c r="N830" s="65" t="s">
        <v>4848</v>
      </c>
      <c r="O830" s="65" t="s">
        <v>1111</v>
      </c>
      <c r="P830" s="65" t="s">
        <v>4888</v>
      </c>
      <c r="Q830" s="65" t="s">
        <v>59</v>
      </c>
      <c r="R830">
        <v>1</v>
      </c>
      <c r="S830" s="65" t="s">
        <v>42</v>
      </c>
      <c r="T830" s="65" t="s">
        <v>44</v>
      </c>
      <c r="U830" s="65" t="s">
        <v>44</v>
      </c>
      <c r="V830" s="65" t="s">
        <v>45</v>
      </c>
      <c r="W830" s="65" t="s">
        <v>46</v>
      </c>
      <c r="X830">
        <v>101.69</v>
      </c>
      <c r="Y830" s="65" t="s">
        <v>61</v>
      </c>
      <c r="Z830" s="65" t="s">
        <v>48</v>
      </c>
      <c r="AA830" s="65" t="s">
        <v>49</v>
      </c>
      <c r="AB830">
        <v>970582106</v>
      </c>
      <c r="AC830" s="65" t="s">
        <v>1113</v>
      </c>
    </row>
    <row r="831" spans="1:30" x14ac:dyDescent="0.3">
      <c r="A831" s="1">
        <v>46304</v>
      </c>
      <c r="B831" s="65" t="s">
        <v>4666</v>
      </c>
      <c r="C831" s="65" t="s">
        <v>4889</v>
      </c>
      <c r="D831" s="65" t="s">
        <v>268</v>
      </c>
      <c r="E831" s="65" t="s">
        <v>4890</v>
      </c>
      <c r="F831" s="65" t="s">
        <v>31</v>
      </c>
      <c r="G831" s="65" t="s">
        <v>4891</v>
      </c>
      <c r="H831" s="65" t="s">
        <v>4622</v>
      </c>
      <c r="I831" s="65" t="s">
        <v>5000</v>
      </c>
      <c r="J831" s="65" t="s">
        <v>273</v>
      </c>
      <c r="K831" s="65" t="s">
        <v>274</v>
      </c>
      <c r="L831" s="65" t="s">
        <v>37</v>
      </c>
      <c r="M831" s="65" t="s">
        <v>4624</v>
      </c>
      <c r="N831" s="65" t="s">
        <v>608</v>
      </c>
      <c r="O831" s="65" t="s">
        <v>277</v>
      </c>
      <c r="P831" s="65" t="s">
        <v>4892</v>
      </c>
      <c r="Q831" s="65" t="s">
        <v>288</v>
      </c>
      <c r="R831">
        <v>1</v>
      </c>
      <c r="S831" s="65" t="s">
        <v>42</v>
      </c>
      <c r="T831" s="65" t="s">
        <v>44</v>
      </c>
      <c r="U831" s="65" t="s">
        <v>44</v>
      </c>
      <c r="V831" s="65" t="s">
        <v>45</v>
      </c>
      <c r="W831" s="65" t="s">
        <v>46</v>
      </c>
      <c r="X831">
        <v>0</v>
      </c>
      <c r="Y831" s="65" t="s">
        <v>289</v>
      </c>
      <c r="Z831" s="65" t="s">
        <v>48</v>
      </c>
      <c r="AA831" s="65" t="s">
        <v>49</v>
      </c>
      <c r="AB831">
        <v>950133748</v>
      </c>
      <c r="AC831" s="65" t="s">
        <v>279</v>
      </c>
    </row>
    <row r="832" spans="1:30" x14ac:dyDescent="0.3">
      <c r="A832" s="1">
        <v>46304</v>
      </c>
      <c r="B832" s="65" t="s">
        <v>4666</v>
      </c>
      <c r="C832" s="65" t="s">
        <v>4889</v>
      </c>
      <c r="D832" s="65" t="s">
        <v>268</v>
      </c>
      <c r="E832" s="65" t="s">
        <v>4890</v>
      </c>
      <c r="F832" s="65" t="s">
        <v>31</v>
      </c>
      <c r="G832" s="65" t="s">
        <v>4891</v>
      </c>
      <c r="H832" s="65" t="s">
        <v>4622</v>
      </c>
      <c r="I832" s="65" t="s">
        <v>5000</v>
      </c>
      <c r="J832" s="65" t="s">
        <v>273</v>
      </c>
      <c r="K832" s="65" t="s">
        <v>274</v>
      </c>
      <c r="L832" s="65" t="s">
        <v>37</v>
      </c>
      <c r="M832" s="65" t="s">
        <v>4624</v>
      </c>
      <c r="N832" s="65" t="s">
        <v>608</v>
      </c>
      <c r="O832" s="65" t="s">
        <v>277</v>
      </c>
      <c r="P832" s="65" t="s">
        <v>4892</v>
      </c>
      <c r="Q832" s="65" t="s">
        <v>290</v>
      </c>
      <c r="R832">
        <v>1</v>
      </c>
      <c r="S832" s="65" t="s">
        <v>42</v>
      </c>
      <c r="T832" s="65" t="s">
        <v>44</v>
      </c>
      <c r="U832" s="65" t="s">
        <v>44</v>
      </c>
      <c r="V832" s="65" t="s">
        <v>45</v>
      </c>
      <c r="W832" s="65" t="s">
        <v>46</v>
      </c>
      <c r="X832">
        <v>1050.8499999999999</v>
      </c>
      <c r="Y832" s="65" t="s">
        <v>289</v>
      </c>
      <c r="Z832" s="65" t="s">
        <v>48</v>
      </c>
      <c r="AA832" s="65" t="s">
        <v>49</v>
      </c>
      <c r="AB832">
        <v>950133748</v>
      </c>
      <c r="AC832" s="65" t="s">
        <v>279</v>
      </c>
    </row>
    <row r="833" spans="1:30" x14ac:dyDescent="0.3">
      <c r="A833" s="1">
        <v>46304</v>
      </c>
      <c r="B833" s="65" t="s">
        <v>4666</v>
      </c>
      <c r="C833" s="65" t="s">
        <v>4893</v>
      </c>
      <c r="D833" s="65" t="s">
        <v>29</v>
      </c>
      <c r="E833" s="65" t="s">
        <v>4894</v>
      </c>
      <c r="F833" s="65" t="s">
        <v>31</v>
      </c>
      <c r="G833" s="65" t="s">
        <v>4895</v>
      </c>
      <c r="H833" s="65" t="s">
        <v>4896</v>
      </c>
      <c r="I833" s="65" t="s">
        <v>4897</v>
      </c>
      <c r="J833" s="65" t="s">
        <v>3224</v>
      </c>
      <c r="K833" s="65" t="s">
        <v>2558</v>
      </c>
      <c r="L833" s="65" t="s">
        <v>37</v>
      </c>
      <c r="M833" s="65" t="s">
        <v>4898</v>
      </c>
      <c r="N833" s="65" t="s">
        <v>4899</v>
      </c>
      <c r="O833" s="65" t="s">
        <v>4896</v>
      </c>
      <c r="P833" s="65" t="s">
        <v>4900</v>
      </c>
      <c r="Q833" s="65" t="s">
        <v>101</v>
      </c>
      <c r="R833">
        <v>1</v>
      </c>
      <c r="S833" s="65" t="s">
        <v>42</v>
      </c>
      <c r="T833" s="65" t="s">
        <v>44</v>
      </c>
      <c r="U833" s="65" t="s">
        <v>44</v>
      </c>
      <c r="V833" s="65" t="s">
        <v>45</v>
      </c>
      <c r="W833" s="65" t="s">
        <v>46</v>
      </c>
      <c r="X833">
        <v>186.44</v>
      </c>
      <c r="Y833" s="65" t="s">
        <v>47</v>
      </c>
      <c r="Z833" s="65" t="s">
        <v>48</v>
      </c>
      <c r="AA833" s="65" t="s">
        <v>49</v>
      </c>
      <c r="AB833">
        <v>997581972</v>
      </c>
      <c r="AC833" s="65" t="s">
        <v>3225</v>
      </c>
      <c r="AD833">
        <v>50</v>
      </c>
    </row>
    <row r="834" spans="1:30" x14ac:dyDescent="0.3">
      <c r="A834" s="1">
        <v>46304</v>
      </c>
      <c r="B834" s="65" t="s">
        <v>4666</v>
      </c>
      <c r="C834" s="65" t="s">
        <v>5062</v>
      </c>
      <c r="D834" s="65" t="s">
        <v>29</v>
      </c>
      <c r="E834" s="65" t="s">
        <v>5063</v>
      </c>
      <c r="F834" s="65" t="s">
        <v>31</v>
      </c>
      <c r="G834" s="65" t="s">
        <v>5064</v>
      </c>
      <c r="H834" s="65" t="s">
        <v>2688</v>
      </c>
      <c r="I834" s="65" t="s">
        <v>2689</v>
      </c>
      <c r="J834" s="65" t="s">
        <v>774</v>
      </c>
      <c r="K834" s="65" t="s">
        <v>775</v>
      </c>
      <c r="L834" s="65" t="s">
        <v>37</v>
      </c>
      <c r="M834" s="65" t="s">
        <v>2692</v>
      </c>
      <c r="N834" s="65" t="s">
        <v>2693</v>
      </c>
      <c r="O834" s="65" t="s">
        <v>2688</v>
      </c>
      <c r="P834" s="65" t="s">
        <v>5065</v>
      </c>
      <c r="Q834" s="65" t="s">
        <v>202</v>
      </c>
      <c r="R834">
        <v>1</v>
      </c>
      <c r="S834" s="65" t="s">
        <v>42</v>
      </c>
      <c r="T834" s="65" t="s">
        <v>44</v>
      </c>
      <c r="U834" s="65" t="s">
        <v>44</v>
      </c>
      <c r="V834" s="65" t="s">
        <v>531</v>
      </c>
      <c r="W834" s="65" t="s">
        <v>4049</v>
      </c>
      <c r="X834">
        <v>135.59</v>
      </c>
      <c r="Y834" s="65" t="s">
        <v>47</v>
      </c>
      <c r="Z834" s="65" t="s">
        <v>48</v>
      </c>
      <c r="AA834" s="65" t="s">
        <v>534</v>
      </c>
      <c r="AC834" s="65"/>
      <c r="AD834">
        <v>30</v>
      </c>
    </row>
    <row r="835" spans="1:30" x14ac:dyDescent="0.3">
      <c r="A835" s="1">
        <v>46305</v>
      </c>
      <c r="B835" s="65" t="s">
        <v>4666</v>
      </c>
      <c r="C835" s="65" t="s">
        <v>4901</v>
      </c>
      <c r="D835" s="65" t="s">
        <v>29</v>
      </c>
      <c r="E835" s="65" t="s">
        <v>4902</v>
      </c>
      <c r="F835" s="65" t="s">
        <v>31</v>
      </c>
      <c r="G835" s="65" t="s">
        <v>4903</v>
      </c>
      <c r="H835" s="65" t="s">
        <v>4904</v>
      </c>
      <c r="I835" s="65" t="s">
        <v>4905</v>
      </c>
      <c r="J835" s="65" t="s">
        <v>434</v>
      </c>
      <c r="K835" s="65" t="s">
        <v>435</v>
      </c>
      <c r="L835" s="65" t="s">
        <v>37</v>
      </c>
      <c r="M835" s="65" t="s">
        <v>4906</v>
      </c>
      <c r="N835" s="65" t="s">
        <v>4907</v>
      </c>
      <c r="O835" s="65" t="s">
        <v>4904</v>
      </c>
      <c r="P835" s="65" t="s">
        <v>4908</v>
      </c>
      <c r="Q835" s="65" t="s">
        <v>41</v>
      </c>
      <c r="R835">
        <v>1</v>
      </c>
      <c r="S835" s="65" t="s">
        <v>70</v>
      </c>
      <c r="T835" s="65" t="s">
        <v>43</v>
      </c>
      <c r="U835" s="65" t="s">
        <v>44</v>
      </c>
      <c r="V835" s="65" t="s">
        <v>71</v>
      </c>
      <c r="W835" s="65" t="s">
        <v>72</v>
      </c>
      <c r="X835">
        <v>186.44</v>
      </c>
      <c r="Y835" s="65" t="s">
        <v>47</v>
      </c>
      <c r="Z835" s="65" t="s">
        <v>48</v>
      </c>
      <c r="AA835" s="65" t="s">
        <v>73</v>
      </c>
      <c r="AB835">
        <v>992903716</v>
      </c>
      <c r="AC835" s="65" t="s">
        <v>439</v>
      </c>
      <c r="AD835">
        <v>50</v>
      </c>
    </row>
    <row r="836" spans="1:30" x14ac:dyDescent="0.3">
      <c r="A836" s="1">
        <v>46305</v>
      </c>
      <c r="B836" s="65" t="s">
        <v>4666</v>
      </c>
      <c r="C836" s="65" t="s">
        <v>4909</v>
      </c>
      <c r="D836" s="65" t="s">
        <v>29</v>
      </c>
      <c r="E836" s="65" t="s">
        <v>4910</v>
      </c>
      <c r="F836" s="65" t="s">
        <v>31</v>
      </c>
      <c r="G836" s="65" t="s">
        <v>4911</v>
      </c>
      <c r="H836" s="65" t="s">
        <v>4912</v>
      </c>
      <c r="I836" s="65" t="s">
        <v>4913</v>
      </c>
      <c r="J836" s="65" t="s">
        <v>662</v>
      </c>
      <c r="K836" s="65" t="s">
        <v>36</v>
      </c>
      <c r="L836" s="65" t="s">
        <v>37</v>
      </c>
      <c r="M836" s="65" t="s">
        <v>4914</v>
      </c>
      <c r="N836" s="65" t="s">
        <v>4915</v>
      </c>
      <c r="O836" s="65" t="s">
        <v>4912</v>
      </c>
      <c r="P836" s="65" t="s">
        <v>4916</v>
      </c>
      <c r="Q836" s="65" t="s">
        <v>101</v>
      </c>
      <c r="R836">
        <v>1</v>
      </c>
      <c r="S836" s="65" t="s">
        <v>42</v>
      </c>
      <c r="T836" s="65" t="s">
        <v>44</v>
      </c>
      <c r="U836" s="65" t="s">
        <v>44</v>
      </c>
      <c r="V836" s="65" t="s">
        <v>45</v>
      </c>
      <c r="W836" s="65" t="s">
        <v>60</v>
      </c>
      <c r="X836">
        <v>186.44</v>
      </c>
      <c r="Y836" s="65" t="s">
        <v>47</v>
      </c>
      <c r="Z836" s="65" t="s">
        <v>48</v>
      </c>
      <c r="AA836" s="65" t="s">
        <v>49</v>
      </c>
      <c r="AB836">
        <v>997145685</v>
      </c>
      <c r="AC836" s="65" t="s">
        <v>666</v>
      </c>
      <c r="AD836">
        <v>50</v>
      </c>
    </row>
    <row r="837" spans="1:30" x14ac:dyDescent="0.3">
      <c r="A837" s="1">
        <v>46307</v>
      </c>
      <c r="B837" s="65" t="s">
        <v>4666</v>
      </c>
      <c r="C837" s="65" t="s">
        <v>4917</v>
      </c>
      <c r="D837" s="65" t="s">
        <v>29</v>
      </c>
      <c r="E837" s="65" t="s">
        <v>4918</v>
      </c>
      <c r="F837" s="65" t="s">
        <v>31</v>
      </c>
      <c r="G837" s="65" t="s">
        <v>4919</v>
      </c>
      <c r="H837" s="65" t="s">
        <v>4920</v>
      </c>
      <c r="I837" s="65" t="s">
        <v>4921</v>
      </c>
      <c r="J837" s="65" t="s">
        <v>434</v>
      </c>
      <c r="K837" s="65" t="s">
        <v>435</v>
      </c>
      <c r="L837" s="65" t="s">
        <v>37</v>
      </c>
      <c r="M837" s="65" t="s">
        <v>4922</v>
      </c>
      <c r="N837" s="65" t="s">
        <v>4923</v>
      </c>
      <c r="O837" s="65" t="s">
        <v>4920</v>
      </c>
      <c r="P837" s="65" t="s">
        <v>4924</v>
      </c>
      <c r="Q837" s="65" t="s">
        <v>101</v>
      </c>
      <c r="R837">
        <v>1</v>
      </c>
      <c r="S837" s="65" t="s">
        <v>70</v>
      </c>
      <c r="T837" s="65" t="s">
        <v>43</v>
      </c>
      <c r="U837" s="65" t="s">
        <v>44</v>
      </c>
      <c r="V837" s="65" t="s">
        <v>71</v>
      </c>
      <c r="W837" s="65" t="s">
        <v>72</v>
      </c>
      <c r="X837">
        <v>186.44</v>
      </c>
      <c r="Y837" s="65" t="s">
        <v>47</v>
      </c>
      <c r="Z837" s="65" t="s">
        <v>48</v>
      </c>
      <c r="AA837" s="65" t="s">
        <v>73</v>
      </c>
      <c r="AB837">
        <v>992903716</v>
      </c>
      <c r="AC837" s="65" t="s">
        <v>439</v>
      </c>
      <c r="AD837">
        <v>50</v>
      </c>
    </row>
    <row r="838" spans="1:30" x14ac:dyDescent="0.3">
      <c r="A838" s="1">
        <v>46307</v>
      </c>
      <c r="B838" s="65" t="s">
        <v>4666</v>
      </c>
      <c r="C838" s="65" t="s">
        <v>4925</v>
      </c>
      <c r="D838" s="65" t="s">
        <v>268</v>
      </c>
      <c r="E838" s="65" t="s">
        <v>4926</v>
      </c>
      <c r="F838" s="65" t="s">
        <v>31</v>
      </c>
      <c r="G838" s="65" t="s">
        <v>4927</v>
      </c>
      <c r="H838" s="65" t="s">
        <v>4928</v>
      </c>
      <c r="I838" s="65" t="s">
        <v>5066</v>
      </c>
      <c r="J838" s="65" t="s">
        <v>4929</v>
      </c>
      <c r="K838" s="65" t="s">
        <v>3043</v>
      </c>
      <c r="L838" s="65" t="s">
        <v>37</v>
      </c>
      <c r="M838" s="65" t="s">
        <v>4930</v>
      </c>
      <c r="N838" s="65" t="s">
        <v>4931</v>
      </c>
      <c r="O838" s="65" t="s">
        <v>4932</v>
      </c>
      <c r="P838" s="65" t="s">
        <v>4933</v>
      </c>
      <c r="Q838" s="65" t="s">
        <v>288</v>
      </c>
      <c r="R838">
        <v>1</v>
      </c>
      <c r="S838" s="65" t="s">
        <v>42</v>
      </c>
      <c r="T838" s="65" t="s">
        <v>44</v>
      </c>
      <c r="U838" s="65" t="s">
        <v>44</v>
      </c>
      <c r="V838" s="65" t="s">
        <v>45</v>
      </c>
      <c r="W838" s="65" t="s">
        <v>60</v>
      </c>
      <c r="X838">
        <v>0</v>
      </c>
      <c r="Y838" s="65" t="s">
        <v>289</v>
      </c>
      <c r="Z838" s="65" t="s">
        <v>48</v>
      </c>
      <c r="AA838" s="65" t="s">
        <v>49</v>
      </c>
      <c r="AC838" s="65"/>
    </row>
    <row r="839" spans="1:30" x14ac:dyDescent="0.3">
      <c r="A839" s="1">
        <v>46307</v>
      </c>
      <c r="B839" s="65" t="s">
        <v>4666</v>
      </c>
      <c r="C839" s="65" t="s">
        <v>4925</v>
      </c>
      <c r="D839" s="65" t="s">
        <v>268</v>
      </c>
      <c r="E839" s="65" t="s">
        <v>4926</v>
      </c>
      <c r="F839" s="65" t="s">
        <v>31</v>
      </c>
      <c r="G839" s="65" t="s">
        <v>4927</v>
      </c>
      <c r="H839" s="65" t="s">
        <v>4928</v>
      </c>
      <c r="I839" s="65" t="s">
        <v>5066</v>
      </c>
      <c r="J839" s="65" t="s">
        <v>4929</v>
      </c>
      <c r="K839" s="65" t="s">
        <v>3043</v>
      </c>
      <c r="L839" s="65" t="s">
        <v>37</v>
      </c>
      <c r="M839" s="65" t="s">
        <v>4930</v>
      </c>
      <c r="N839" s="65" t="s">
        <v>4931</v>
      </c>
      <c r="O839" s="65" t="s">
        <v>4932</v>
      </c>
      <c r="P839" s="65" t="s">
        <v>4933</v>
      </c>
      <c r="Q839" s="65" t="s">
        <v>389</v>
      </c>
      <c r="R839">
        <v>1</v>
      </c>
      <c r="S839" s="65" t="s">
        <v>42</v>
      </c>
      <c r="T839" s="65" t="s">
        <v>44</v>
      </c>
      <c r="U839" s="65" t="s">
        <v>44</v>
      </c>
      <c r="V839" s="65" t="s">
        <v>45</v>
      </c>
      <c r="W839" s="65" t="s">
        <v>60</v>
      </c>
      <c r="X839">
        <v>805.08</v>
      </c>
      <c r="Y839" s="65" t="s">
        <v>289</v>
      </c>
      <c r="Z839" s="65" t="s">
        <v>48</v>
      </c>
      <c r="AA839" s="65" t="s">
        <v>49</v>
      </c>
      <c r="AC839" s="65"/>
    </row>
    <row r="840" spans="1:30" x14ac:dyDescent="0.3">
      <c r="A840" s="1">
        <v>46308</v>
      </c>
      <c r="B840" s="65" t="s">
        <v>4666</v>
      </c>
      <c r="C840" s="65" t="s">
        <v>5067</v>
      </c>
      <c r="D840" s="65" t="s">
        <v>29</v>
      </c>
      <c r="E840" s="65" t="s">
        <v>5068</v>
      </c>
      <c r="F840" s="65" t="s">
        <v>31</v>
      </c>
      <c r="G840" s="65" t="s">
        <v>5069</v>
      </c>
      <c r="H840" s="65" t="s">
        <v>5070</v>
      </c>
      <c r="I840" s="65" t="s">
        <v>5071</v>
      </c>
      <c r="J840" s="65" t="s">
        <v>774</v>
      </c>
      <c r="K840" s="65" t="s">
        <v>775</v>
      </c>
      <c r="L840" s="65" t="s">
        <v>37</v>
      </c>
      <c r="M840" s="65" t="s">
        <v>5072</v>
      </c>
      <c r="N840" s="65" t="s">
        <v>5073</v>
      </c>
      <c r="O840" s="65" t="s">
        <v>5070</v>
      </c>
      <c r="P840" s="65" t="s">
        <v>5074</v>
      </c>
      <c r="Q840" s="65" t="s">
        <v>202</v>
      </c>
      <c r="R840">
        <v>1</v>
      </c>
      <c r="S840" s="65" t="s">
        <v>42</v>
      </c>
      <c r="T840" s="65" t="s">
        <v>44</v>
      </c>
      <c r="U840" s="65" t="s">
        <v>44</v>
      </c>
      <c r="V840" s="65" t="s">
        <v>71</v>
      </c>
      <c r="W840" s="65" t="s">
        <v>72</v>
      </c>
      <c r="X840">
        <v>135.59</v>
      </c>
      <c r="Y840" s="65" t="s">
        <v>47</v>
      </c>
      <c r="Z840" s="65" t="s">
        <v>48</v>
      </c>
      <c r="AA840" s="65" t="s">
        <v>73</v>
      </c>
      <c r="AC840" s="65"/>
      <c r="AD840">
        <v>30</v>
      </c>
    </row>
    <row r="841" spans="1:30" x14ac:dyDescent="0.3">
      <c r="A841" s="1">
        <v>46308</v>
      </c>
      <c r="B841" s="65" t="s">
        <v>4666</v>
      </c>
      <c r="C841" s="65" t="s">
        <v>5075</v>
      </c>
      <c r="D841" s="65" t="s">
        <v>29</v>
      </c>
      <c r="E841" s="65" t="s">
        <v>5076</v>
      </c>
      <c r="F841" s="65" t="s">
        <v>31</v>
      </c>
      <c r="G841" s="65" t="s">
        <v>5077</v>
      </c>
      <c r="H841" s="65" t="s">
        <v>5078</v>
      </c>
      <c r="I841" s="65" t="s">
        <v>5079</v>
      </c>
      <c r="J841" s="65" t="s">
        <v>774</v>
      </c>
      <c r="K841" s="65" t="s">
        <v>775</v>
      </c>
      <c r="L841" s="65" t="s">
        <v>37</v>
      </c>
      <c r="M841" s="65" t="s">
        <v>5080</v>
      </c>
      <c r="N841" s="65" t="s">
        <v>5081</v>
      </c>
      <c r="O841" s="65" t="s">
        <v>5078</v>
      </c>
      <c r="P841" s="65" t="s">
        <v>5082</v>
      </c>
      <c r="Q841" s="65" t="s">
        <v>201</v>
      </c>
      <c r="R841">
        <v>1</v>
      </c>
      <c r="S841" s="65" t="s">
        <v>42</v>
      </c>
      <c r="T841" s="65" t="s">
        <v>44</v>
      </c>
      <c r="U841" s="65" t="s">
        <v>44</v>
      </c>
      <c r="V841" s="65" t="s">
        <v>45</v>
      </c>
      <c r="W841" s="65" t="s">
        <v>60</v>
      </c>
      <c r="X841">
        <v>42.37</v>
      </c>
      <c r="Y841" s="65" t="s">
        <v>47</v>
      </c>
      <c r="Z841" s="65" t="s">
        <v>48</v>
      </c>
      <c r="AA841" s="65" t="s">
        <v>49</v>
      </c>
      <c r="AC841" s="65"/>
      <c r="AD841">
        <v>30</v>
      </c>
    </row>
    <row r="842" spans="1:30" x14ac:dyDescent="0.3">
      <c r="A842" s="1">
        <v>46308</v>
      </c>
      <c r="B842" s="65" t="s">
        <v>4666</v>
      </c>
      <c r="C842" s="65" t="s">
        <v>5075</v>
      </c>
      <c r="D842" s="65" t="s">
        <v>29</v>
      </c>
      <c r="E842" s="65" t="s">
        <v>5076</v>
      </c>
      <c r="F842" s="65" t="s">
        <v>31</v>
      </c>
      <c r="G842" s="65" t="s">
        <v>5077</v>
      </c>
      <c r="H842" s="65" t="s">
        <v>5078</v>
      </c>
      <c r="I842" s="65" t="s">
        <v>5079</v>
      </c>
      <c r="J842" s="65" t="s">
        <v>774</v>
      </c>
      <c r="K842" s="65" t="s">
        <v>775</v>
      </c>
      <c r="L842" s="65" t="s">
        <v>37</v>
      </c>
      <c r="M842" s="65" t="s">
        <v>5080</v>
      </c>
      <c r="N842" s="65" t="s">
        <v>5081</v>
      </c>
      <c r="O842" s="65" t="s">
        <v>5078</v>
      </c>
      <c r="P842" s="65" t="s">
        <v>5082</v>
      </c>
      <c r="Q842" s="65" t="s">
        <v>201</v>
      </c>
      <c r="R842">
        <v>1</v>
      </c>
      <c r="S842" s="65" t="s">
        <v>42</v>
      </c>
      <c r="T842" s="65" t="s">
        <v>44</v>
      </c>
      <c r="U842" s="65" t="s">
        <v>44</v>
      </c>
      <c r="V842" s="65" t="s">
        <v>45</v>
      </c>
      <c r="W842" s="65" t="s">
        <v>60</v>
      </c>
      <c r="X842">
        <v>42.37</v>
      </c>
      <c r="Y842" s="65" t="s">
        <v>47</v>
      </c>
      <c r="Z842" s="65" t="s">
        <v>48</v>
      </c>
      <c r="AA842" s="65" t="s">
        <v>49</v>
      </c>
      <c r="AC842" s="65"/>
      <c r="AD842">
        <v>30</v>
      </c>
    </row>
    <row r="843" spans="1:30" x14ac:dyDescent="0.3">
      <c r="A843" s="1">
        <v>46308</v>
      </c>
      <c r="B843" s="65" t="s">
        <v>4666</v>
      </c>
      <c r="C843" s="65" t="s">
        <v>5083</v>
      </c>
      <c r="D843" s="65" t="s">
        <v>29</v>
      </c>
      <c r="E843" s="65" t="s">
        <v>5084</v>
      </c>
      <c r="F843" s="65" t="s">
        <v>31</v>
      </c>
      <c r="G843" s="65" t="s">
        <v>5085</v>
      </c>
      <c r="H843" s="65" t="s">
        <v>5086</v>
      </c>
      <c r="I843" s="65" t="s">
        <v>5087</v>
      </c>
      <c r="J843" s="65" t="s">
        <v>774</v>
      </c>
      <c r="K843" s="65" t="s">
        <v>775</v>
      </c>
      <c r="L843" s="65" t="s">
        <v>37</v>
      </c>
      <c r="M843" s="65" t="s">
        <v>5088</v>
      </c>
      <c r="N843" s="65" t="s">
        <v>5089</v>
      </c>
      <c r="O843" s="65" t="s">
        <v>5086</v>
      </c>
      <c r="P843" s="65" t="s">
        <v>5090</v>
      </c>
      <c r="Q843" s="65" t="s">
        <v>201</v>
      </c>
      <c r="R843">
        <v>1</v>
      </c>
      <c r="S843" s="65" t="s">
        <v>42</v>
      </c>
      <c r="T843" s="65" t="s">
        <v>44</v>
      </c>
      <c r="U843" s="65" t="s">
        <v>44</v>
      </c>
      <c r="V843" s="65" t="s">
        <v>45</v>
      </c>
      <c r="W843" s="65" t="s">
        <v>60</v>
      </c>
      <c r="X843">
        <v>42.37</v>
      </c>
      <c r="Y843" s="65" t="s">
        <v>47</v>
      </c>
      <c r="Z843" s="65" t="s">
        <v>48</v>
      </c>
      <c r="AA843" s="65" t="s">
        <v>49</v>
      </c>
      <c r="AC843" s="65"/>
      <c r="AD843">
        <v>30</v>
      </c>
    </row>
    <row r="844" spans="1:30" x14ac:dyDescent="0.3">
      <c r="A844" s="1">
        <v>46308</v>
      </c>
      <c r="B844" s="65" t="s">
        <v>4666</v>
      </c>
      <c r="C844" s="65" t="s">
        <v>5083</v>
      </c>
      <c r="D844" s="65" t="s">
        <v>29</v>
      </c>
      <c r="E844" s="65" t="s">
        <v>5084</v>
      </c>
      <c r="F844" s="65" t="s">
        <v>31</v>
      </c>
      <c r="G844" s="65" t="s">
        <v>5085</v>
      </c>
      <c r="H844" s="65" t="s">
        <v>5086</v>
      </c>
      <c r="I844" s="65" t="s">
        <v>5087</v>
      </c>
      <c r="J844" s="65" t="s">
        <v>774</v>
      </c>
      <c r="K844" s="65" t="s">
        <v>775</v>
      </c>
      <c r="L844" s="65" t="s">
        <v>37</v>
      </c>
      <c r="M844" s="65" t="s">
        <v>5088</v>
      </c>
      <c r="N844" s="65" t="s">
        <v>5089</v>
      </c>
      <c r="O844" s="65" t="s">
        <v>5086</v>
      </c>
      <c r="P844" s="65" t="s">
        <v>5090</v>
      </c>
      <c r="Q844" s="65" t="s">
        <v>201</v>
      </c>
      <c r="R844">
        <v>1</v>
      </c>
      <c r="S844" s="65" t="s">
        <v>42</v>
      </c>
      <c r="T844" s="65" t="s">
        <v>44</v>
      </c>
      <c r="U844" s="65" t="s">
        <v>44</v>
      </c>
      <c r="V844" s="65" t="s">
        <v>45</v>
      </c>
      <c r="W844" s="65" t="s">
        <v>60</v>
      </c>
      <c r="X844">
        <v>42.37</v>
      </c>
      <c r="Y844" s="65" t="s">
        <v>47</v>
      </c>
      <c r="Z844" s="65" t="s">
        <v>48</v>
      </c>
      <c r="AA844" s="65" t="s">
        <v>49</v>
      </c>
      <c r="AC844" s="65"/>
      <c r="AD844">
        <v>30</v>
      </c>
    </row>
    <row r="845" spans="1:30" x14ac:dyDescent="0.3">
      <c r="A845" s="1">
        <v>46308</v>
      </c>
      <c r="B845" s="65" t="s">
        <v>4666</v>
      </c>
      <c r="C845" s="65" t="s">
        <v>5091</v>
      </c>
      <c r="D845" s="65" t="s">
        <v>29</v>
      </c>
      <c r="E845" s="65" t="s">
        <v>5092</v>
      </c>
      <c r="F845" s="65" t="s">
        <v>31</v>
      </c>
      <c r="G845" s="65" t="s">
        <v>5093</v>
      </c>
      <c r="H845" s="65" t="s">
        <v>5094</v>
      </c>
      <c r="I845" s="65" t="s">
        <v>5095</v>
      </c>
      <c r="J845" s="65" t="s">
        <v>774</v>
      </c>
      <c r="K845" s="65" t="s">
        <v>775</v>
      </c>
      <c r="L845" s="65" t="s">
        <v>37</v>
      </c>
      <c r="M845" s="65" t="s">
        <v>5096</v>
      </c>
      <c r="N845" s="65" t="s">
        <v>5097</v>
      </c>
      <c r="O845" s="65" t="s">
        <v>5094</v>
      </c>
      <c r="P845" s="65" t="s">
        <v>5098</v>
      </c>
      <c r="Q845" s="65" t="s">
        <v>159</v>
      </c>
      <c r="R845">
        <v>1</v>
      </c>
      <c r="S845" s="65" t="s">
        <v>42</v>
      </c>
      <c r="T845" s="65" t="s">
        <v>44</v>
      </c>
      <c r="U845" s="65" t="s">
        <v>44</v>
      </c>
      <c r="V845" s="65" t="s">
        <v>45</v>
      </c>
      <c r="W845" s="65" t="s">
        <v>60</v>
      </c>
      <c r="X845">
        <v>135.59</v>
      </c>
      <c r="Y845" s="65" t="s">
        <v>47</v>
      </c>
      <c r="Z845" s="65" t="s">
        <v>48</v>
      </c>
      <c r="AA845" s="65" t="s">
        <v>49</v>
      </c>
      <c r="AC845" s="65"/>
      <c r="AD845">
        <v>30</v>
      </c>
    </row>
    <row r="846" spans="1:30" x14ac:dyDescent="0.3">
      <c r="A846" s="1">
        <v>46308</v>
      </c>
      <c r="B846" s="65" t="s">
        <v>4666</v>
      </c>
      <c r="C846" s="65" t="s">
        <v>5099</v>
      </c>
      <c r="D846" s="65" t="s">
        <v>29</v>
      </c>
      <c r="E846" s="65" t="s">
        <v>5100</v>
      </c>
      <c r="F846" s="65" t="s">
        <v>31</v>
      </c>
      <c r="G846" s="65" t="s">
        <v>5101</v>
      </c>
      <c r="H846" s="65" t="s">
        <v>5102</v>
      </c>
      <c r="I846" s="65" t="s">
        <v>5103</v>
      </c>
      <c r="J846" s="65" t="s">
        <v>662</v>
      </c>
      <c r="K846" s="65" t="s">
        <v>36</v>
      </c>
      <c r="L846" s="65" t="s">
        <v>37</v>
      </c>
      <c r="M846" s="65" t="s">
        <v>5104</v>
      </c>
      <c r="N846" s="65" t="s">
        <v>5105</v>
      </c>
      <c r="O846" s="65" t="s">
        <v>5102</v>
      </c>
      <c r="P846" s="65" t="s">
        <v>5106</v>
      </c>
      <c r="Q846" s="65" t="s">
        <v>101</v>
      </c>
      <c r="R846">
        <v>1</v>
      </c>
      <c r="S846" s="65" t="s">
        <v>42</v>
      </c>
      <c r="T846" s="65" t="s">
        <v>44</v>
      </c>
      <c r="U846" s="65" t="s">
        <v>44</v>
      </c>
      <c r="V846" s="65" t="s">
        <v>45</v>
      </c>
      <c r="W846" s="65" t="s">
        <v>60</v>
      </c>
      <c r="X846">
        <v>186.44</v>
      </c>
      <c r="Y846" s="65" t="s">
        <v>47</v>
      </c>
      <c r="Z846" s="65" t="s">
        <v>48</v>
      </c>
      <c r="AA846" s="65" t="s">
        <v>49</v>
      </c>
      <c r="AB846">
        <v>997145685</v>
      </c>
      <c r="AC846" s="65" t="s">
        <v>666</v>
      </c>
      <c r="AD846">
        <v>50</v>
      </c>
    </row>
    <row r="847" spans="1:30" x14ac:dyDescent="0.3">
      <c r="A847" s="1">
        <v>46308</v>
      </c>
      <c r="B847" s="65" t="s">
        <v>4666</v>
      </c>
      <c r="C847" s="65" t="s">
        <v>5099</v>
      </c>
      <c r="D847" s="65" t="s">
        <v>29</v>
      </c>
      <c r="E847" s="65" t="s">
        <v>5100</v>
      </c>
      <c r="F847" s="65" t="s">
        <v>31</v>
      </c>
      <c r="G847" s="65" t="s">
        <v>5101</v>
      </c>
      <c r="H847" s="65" t="s">
        <v>5102</v>
      </c>
      <c r="I847" s="65" t="s">
        <v>5103</v>
      </c>
      <c r="J847" s="65" t="s">
        <v>662</v>
      </c>
      <c r="K847" s="65" t="s">
        <v>36</v>
      </c>
      <c r="L847" s="65" t="s">
        <v>37</v>
      </c>
      <c r="M847" s="65" t="s">
        <v>5104</v>
      </c>
      <c r="N847" s="65" t="s">
        <v>5105</v>
      </c>
      <c r="O847" s="65" t="s">
        <v>5102</v>
      </c>
      <c r="P847" s="65" t="s">
        <v>5106</v>
      </c>
      <c r="Q847" s="65" t="s">
        <v>101</v>
      </c>
      <c r="R847">
        <v>1</v>
      </c>
      <c r="S847" s="65" t="s">
        <v>42</v>
      </c>
      <c r="T847" s="65" t="s">
        <v>44</v>
      </c>
      <c r="U847" s="65" t="s">
        <v>44</v>
      </c>
      <c r="V847" s="65" t="s">
        <v>45</v>
      </c>
      <c r="W847" s="65" t="s">
        <v>60</v>
      </c>
      <c r="X847">
        <v>135.59</v>
      </c>
      <c r="Y847" s="65" t="s">
        <v>47</v>
      </c>
      <c r="Z847" s="65" t="s">
        <v>48</v>
      </c>
      <c r="AA847" s="65" t="s">
        <v>49</v>
      </c>
      <c r="AB847">
        <v>997145685</v>
      </c>
      <c r="AC847" s="65" t="s">
        <v>666</v>
      </c>
      <c r="AD847">
        <v>50</v>
      </c>
    </row>
    <row r="848" spans="1:30" x14ac:dyDescent="0.3">
      <c r="A848" s="1">
        <v>46308</v>
      </c>
      <c r="B848" s="65" t="s">
        <v>4666</v>
      </c>
      <c r="C848" s="65" t="s">
        <v>5107</v>
      </c>
      <c r="D848" s="65" t="s">
        <v>29</v>
      </c>
      <c r="E848" s="65" t="s">
        <v>5108</v>
      </c>
      <c r="F848" s="65" t="s">
        <v>31</v>
      </c>
      <c r="G848" s="65" t="s">
        <v>5109</v>
      </c>
      <c r="H848" s="65" t="s">
        <v>5110</v>
      </c>
      <c r="I848" s="65" t="s">
        <v>5111</v>
      </c>
      <c r="J848" s="65" t="s">
        <v>662</v>
      </c>
      <c r="K848" s="65" t="s">
        <v>36</v>
      </c>
      <c r="L848" s="65" t="s">
        <v>37</v>
      </c>
      <c r="M848" s="65" t="s">
        <v>5112</v>
      </c>
      <c r="N848" s="65" t="s">
        <v>5113</v>
      </c>
      <c r="O848" s="65" t="s">
        <v>5110</v>
      </c>
      <c r="P848" s="65" t="s">
        <v>5114</v>
      </c>
      <c r="Q848" s="65" t="s">
        <v>159</v>
      </c>
      <c r="R848">
        <v>1</v>
      </c>
      <c r="S848" s="65" t="s">
        <v>70</v>
      </c>
      <c r="T848" s="65" t="s">
        <v>43</v>
      </c>
      <c r="U848" s="65" t="s">
        <v>44</v>
      </c>
      <c r="V848" s="65" t="s">
        <v>71</v>
      </c>
      <c r="W848" s="65" t="s">
        <v>72</v>
      </c>
      <c r="X848">
        <v>135.59</v>
      </c>
      <c r="Y848" s="65" t="s">
        <v>47</v>
      </c>
      <c r="Z848" s="65" t="s">
        <v>48</v>
      </c>
      <c r="AA848" s="65" t="s">
        <v>73</v>
      </c>
      <c r="AB848">
        <v>997145685</v>
      </c>
      <c r="AC848" s="65" t="s">
        <v>666</v>
      </c>
      <c r="AD848">
        <v>30</v>
      </c>
    </row>
    <row r="849" spans="1:30" x14ac:dyDescent="0.3">
      <c r="A849" s="1">
        <v>46308</v>
      </c>
      <c r="B849" s="65" t="s">
        <v>4666</v>
      </c>
      <c r="C849" s="65" t="s">
        <v>5115</v>
      </c>
      <c r="D849" s="65" t="s">
        <v>268</v>
      </c>
      <c r="E849" s="65" t="s">
        <v>5116</v>
      </c>
      <c r="F849" s="65" t="s">
        <v>31</v>
      </c>
      <c r="G849" s="65" t="s">
        <v>5117</v>
      </c>
      <c r="H849" s="65" t="s">
        <v>5086</v>
      </c>
      <c r="I849" s="65" t="s">
        <v>5118</v>
      </c>
      <c r="J849" s="65" t="s">
        <v>774</v>
      </c>
      <c r="K849" s="65" t="s">
        <v>775</v>
      </c>
      <c r="L849" s="65" t="s">
        <v>37</v>
      </c>
      <c r="M849" s="65" t="s">
        <v>5088</v>
      </c>
      <c r="N849" s="65" t="s">
        <v>5089</v>
      </c>
      <c r="O849" s="65" t="s">
        <v>798</v>
      </c>
      <c r="P849" s="65" t="s">
        <v>5119</v>
      </c>
      <c r="Q849" s="65" t="s">
        <v>288</v>
      </c>
      <c r="R849">
        <v>1</v>
      </c>
      <c r="S849" s="65" t="s">
        <v>42</v>
      </c>
      <c r="T849" s="65" t="s">
        <v>44</v>
      </c>
      <c r="U849" s="65" t="s">
        <v>44</v>
      </c>
      <c r="V849" s="65" t="s">
        <v>45</v>
      </c>
      <c r="W849" s="65" t="s">
        <v>60</v>
      </c>
      <c r="X849">
        <v>0</v>
      </c>
      <c r="Y849" s="65" t="s">
        <v>289</v>
      </c>
      <c r="Z849" s="65" t="s">
        <v>48</v>
      </c>
      <c r="AA849" s="65" t="s">
        <v>49</v>
      </c>
      <c r="AC849" s="65"/>
    </row>
    <row r="850" spans="1:30" x14ac:dyDescent="0.3">
      <c r="A850" s="1">
        <v>46308</v>
      </c>
      <c r="B850" s="65" t="s">
        <v>4666</v>
      </c>
      <c r="C850" s="65" t="s">
        <v>5115</v>
      </c>
      <c r="D850" s="65" t="s">
        <v>268</v>
      </c>
      <c r="E850" s="65" t="s">
        <v>5116</v>
      </c>
      <c r="F850" s="65" t="s">
        <v>31</v>
      </c>
      <c r="G850" s="65" t="s">
        <v>5117</v>
      </c>
      <c r="H850" s="65" t="s">
        <v>5086</v>
      </c>
      <c r="I850" s="65" t="s">
        <v>5118</v>
      </c>
      <c r="J850" s="65" t="s">
        <v>774</v>
      </c>
      <c r="K850" s="65" t="s">
        <v>775</v>
      </c>
      <c r="L850" s="65" t="s">
        <v>37</v>
      </c>
      <c r="M850" s="65" t="s">
        <v>5088</v>
      </c>
      <c r="N850" s="65" t="s">
        <v>5089</v>
      </c>
      <c r="O850" s="65" t="s">
        <v>798</v>
      </c>
      <c r="P850" s="65" t="s">
        <v>5119</v>
      </c>
      <c r="Q850" s="65" t="s">
        <v>290</v>
      </c>
      <c r="R850">
        <v>1</v>
      </c>
      <c r="S850" s="65" t="s">
        <v>42</v>
      </c>
      <c r="T850" s="65" t="s">
        <v>44</v>
      </c>
      <c r="U850" s="65" t="s">
        <v>44</v>
      </c>
      <c r="V850" s="65" t="s">
        <v>45</v>
      </c>
      <c r="W850" s="65" t="s">
        <v>60</v>
      </c>
      <c r="X850">
        <v>1525.42</v>
      </c>
      <c r="Y850" s="65" t="s">
        <v>289</v>
      </c>
      <c r="Z850" s="65" t="s">
        <v>48</v>
      </c>
      <c r="AA850" s="65" t="s">
        <v>49</v>
      </c>
      <c r="AC850" s="65"/>
    </row>
    <row r="851" spans="1:30" x14ac:dyDescent="0.3">
      <c r="A851" s="1">
        <v>46308</v>
      </c>
      <c r="B851" s="65" t="s">
        <v>4666</v>
      </c>
      <c r="C851" s="65" t="s">
        <v>5120</v>
      </c>
      <c r="D851" s="65" t="s">
        <v>268</v>
      </c>
      <c r="E851" s="65" t="s">
        <v>5121</v>
      </c>
      <c r="F851" s="65" t="s">
        <v>31</v>
      </c>
      <c r="G851" s="65" t="s">
        <v>5122</v>
      </c>
      <c r="H851" s="65" t="s">
        <v>4606</v>
      </c>
      <c r="I851" s="65" t="s">
        <v>5118</v>
      </c>
      <c r="J851" s="65" t="s">
        <v>774</v>
      </c>
      <c r="K851" s="65" t="s">
        <v>775</v>
      </c>
      <c r="L851" s="65" t="s">
        <v>37</v>
      </c>
      <c r="M851" s="65" t="s">
        <v>4608</v>
      </c>
      <c r="N851" s="65" t="s">
        <v>4609</v>
      </c>
      <c r="O851" s="65" t="s">
        <v>798</v>
      </c>
      <c r="P851" s="65" t="s">
        <v>5123</v>
      </c>
      <c r="Q851" s="65" t="s">
        <v>288</v>
      </c>
      <c r="R851">
        <v>1</v>
      </c>
      <c r="S851" s="65" t="s">
        <v>42</v>
      </c>
      <c r="T851" s="65" t="s">
        <v>44</v>
      </c>
      <c r="U851" s="65" t="s">
        <v>44</v>
      </c>
      <c r="V851" s="65" t="s">
        <v>45</v>
      </c>
      <c r="W851" s="65" t="s">
        <v>60</v>
      </c>
      <c r="X851">
        <v>0</v>
      </c>
      <c r="Y851" s="65" t="s">
        <v>289</v>
      </c>
      <c r="Z851" s="65" t="s">
        <v>48</v>
      </c>
      <c r="AA851" s="65" t="s">
        <v>49</v>
      </c>
      <c r="AC851" s="65"/>
    </row>
    <row r="852" spans="1:30" x14ac:dyDescent="0.3">
      <c r="A852" s="1">
        <v>46308</v>
      </c>
      <c r="B852" s="65" t="s">
        <v>4666</v>
      </c>
      <c r="C852" s="65" t="s">
        <v>5120</v>
      </c>
      <c r="D852" s="65" t="s">
        <v>268</v>
      </c>
      <c r="E852" s="65" t="s">
        <v>5121</v>
      </c>
      <c r="F852" s="65" t="s">
        <v>31</v>
      </c>
      <c r="G852" s="65" t="s">
        <v>5122</v>
      </c>
      <c r="H852" s="65" t="s">
        <v>4606</v>
      </c>
      <c r="I852" s="65" t="s">
        <v>5118</v>
      </c>
      <c r="J852" s="65" t="s">
        <v>774</v>
      </c>
      <c r="K852" s="65" t="s">
        <v>775</v>
      </c>
      <c r="L852" s="65" t="s">
        <v>37</v>
      </c>
      <c r="M852" s="65" t="s">
        <v>4608</v>
      </c>
      <c r="N852" s="65" t="s">
        <v>4609</v>
      </c>
      <c r="O852" s="65" t="s">
        <v>798</v>
      </c>
      <c r="P852" s="65" t="s">
        <v>5123</v>
      </c>
      <c r="Q852" s="65" t="s">
        <v>290</v>
      </c>
      <c r="R852">
        <v>1</v>
      </c>
      <c r="S852" s="65" t="s">
        <v>42</v>
      </c>
      <c r="T852" s="65" t="s">
        <v>44</v>
      </c>
      <c r="U852" s="65" t="s">
        <v>44</v>
      </c>
      <c r="V852" s="65" t="s">
        <v>45</v>
      </c>
      <c r="W852" s="65" t="s">
        <v>60</v>
      </c>
      <c r="X852">
        <v>762.71</v>
      </c>
      <c r="Y852" s="65" t="s">
        <v>289</v>
      </c>
      <c r="Z852" s="65" t="s">
        <v>48</v>
      </c>
      <c r="AA852" s="65" t="s">
        <v>49</v>
      </c>
      <c r="AC852" s="65"/>
    </row>
    <row r="853" spans="1:30" x14ac:dyDescent="0.3">
      <c r="A853" s="1">
        <v>46308</v>
      </c>
      <c r="B853" s="65" t="s">
        <v>4666</v>
      </c>
      <c r="C853" s="65" t="s">
        <v>5124</v>
      </c>
      <c r="D853" s="65" t="s">
        <v>268</v>
      </c>
      <c r="E853" s="65" t="s">
        <v>5125</v>
      </c>
      <c r="F853" s="65" t="s">
        <v>31</v>
      </c>
      <c r="G853" s="65" t="s">
        <v>5126</v>
      </c>
      <c r="H853" s="65" t="s">
        <v>5078</v>
      </c>
      <c r="I853" s="65" t="s">
        <v>5118</v>
      </c>
      <c r="J853" s="65" t="s">
        <v>774</v>
      </c>
      <c r="K853" s="65" t="s">
        <v>775</v>
      </c>
      <c r="L853" s="65" t="s">
        <v>37</v>
      </c>
      <c r="M853" s="65" t="s">
        <v>5080</v>
      </c>
      <c r="N853" s="65" t="s">
        <v>5081</v>
      </c>
      <c r="O853" s="65" t="s">
        <v>798</v>
      </c>
      <c r="P853" s="65" t="s">
        <v>5127</v>
      </c>
      <c r="Q853" s="65" t="s">
        <v>288</v>
      </c>
      <c r="R853">
        <v>1</v>
      </c>
      <c r="S853" s="65" t="s">
        <v>42</v>
      </c>
      <c r="T853" s="65" t="s">
        <v>44</v>
      </c>
      <c r="U853" s="65" t="s">
        <v>44</v>
      </c>
      <c r="V853" s="65" t="s">
        <v>45</v>
      </c>
      <c r="W853" s="65" t="s">
        <v>60</v>
      </c>
      <c r="X853">
        <v>0</v>
      </c>
      <c r="Y853" s="65" t="s">
        <v>289</v>
      </c>
      <c r="Z853" s="65" t="s">
        <v>48</v>
      </c>
      <c r="AA853" s="65" t="s">
        <v>49</v>
      </c>
      <c r="AC853" s="65"/>
    </row>
    <row r="854" spans="1:30" x14ac:dyDescent="0.3">
      <c r="A854" s="1">
        <v>46308</v>
      </c>
      <c r="B854" s="65" t="s">
        <v>4666</v>
      </c>
      <c r="C854" s="65" t="s">
        <v>5124</v>
      </c>
      <c r="D854" s="65" t="s">
        <v>268</v>
      </c>
      <c r="E854" s="65" t="s">
        <v>5125</v>
      </c>
      <c r="F854" s="65" t="s">
        <v>31</v>
      </c>
      <c r="G854" s="65" t="s">
        <v>5126</v>
      </c>
      <c r="H854" s="65" t="s">
        <v>5078</v>
      </c>
      <c r="I854" s="65" t="s">
        <v>5118</v>
      </c>
      <c r="J854" s="65" t="s">
        <v>774</v>
      </c>
      <c r="K854" s="65" t="s">
        <v>775</v>
      </c>
      <c r="L854" s="65" t="s">
        <v>37</v>
      </c>
      <c r="M854" s="65" t="s">
        <v>5080</v>
      </c>
      <c r="N854" s="65" t="s">
        <v>5081</v>
      </c>
      <c r="O854" s="65" t="s">
        <v>798</v>
      </c>
      <c r="P854" s="65" t="s">
        <v>5127</v>
      </c>
      <c r="Q854" s="65" t="s">
        <v>290</v>
      </c>
      <c r="R854">
        <v>1</v>
      </c>
      <c r="S854" s="65" t="s">
        <v>42</v>
      </c>
      <c r="T854" s="65" t="s">
        <v>44</v>
      </c>
      <c r="U854" s="65" t="s">
        <v>44</v>
      </c>
      <c r="V854" s="65" t="s">
        <v>45</v>
      </c>
      <c r="W854" s="65" t="s">
        <v>60</v>
      </c>
      <c r="X854">
        <v>1525.42</v>
      </c>
      <c r="Y854" s="65" t="s">
        <v>289</v>
      </c>
      <c r="Z854" s="65" t="s">
        <v>48</v>
      </c>
      <c r="AA854" s="65" t="s">
        <v>49</v>
      </c>
      <c r="AC854" s="65"/>
    </row>
    <row r="855" spans="1:30" x14ac:dyDescent="0.3">
      <c r="A855" s="1">
        <v>46308</v>
      </c>
      <c r="B855" s="65" t="s">
        <v>4666</v>
      </c>
      <c r="C855" s="65" t="s">
        <v>5128</v>
      </c>
      <c r="D855" s="65" t="s">
        <v>268</v>
      </c>
      <c r="E855" s="65" t="s">
        <v>5129</v>
      </c>
      <c r="F855" s="65" t="s">
        <v>31</v>
      </c>
      <c r="G855" s="65" t="s">
        <v>5130</v>
      </c>
      <c r="H855" s="65" t="s">
        <v>5131</v>
      </c>
      <c r="I855" s="65" t="s">
        <v>5000</v>
      </c>
      <c r="J855" s="65" t="s">
        <v>273</v>
      </c>
      <c r="K855" s="65" t="s">
        <v>274</v>
      </c>
      <c r="L855" s="65" t="s">
        <v>37</v>
      </c>
      <c r="M855" s="65" t="s">
        <v>5132</v>
      </c>
      <c r="N855" s="65" t="s">
        <v>608</v>
      </c>
      <c r="O855" s="65" t="s">
        <v>277</v>
      </c>
      <c r="P855" s="65" t="s">
        <v>5133</v>
      </c>
      <c r="Q855" s="65" t="s">
        <v>288</v>
      </c>
      <c r="R855">
        <v>1</v>
      </c>
      <c r="S855" s="65" t="s">
        <v>42</v>
      </c>
      <c r="T855" s="65" t="s">
        <v>44</v>
      </c>
      <c r="U855" s="65" t="s">
        <v>44</v>
      </c>
      <c r="V855" s="65" t="s">
        <v>45</v>
      </c>
      <c r="W855" s="65" t="s">
        <v>60</v>
      </c>
      <c r="X855">
        <v>0</v>
      </c>
      <c r="Y855" s="65" t="s">
        <v>289</v>
      </c>
      <c r="Z855" s="65" t="s">
        <v>48</v>
      </c>
      <c r="AA855" s="65" t="s">
        <v>49</v>
      </c>
      <c r="AB855">
        <v>950133748</v>
      </c>
      <c r="AC855" s="65" t="s">
        <v>279</v>
      </c>
    </row>
    <row r="856" spans="1:30" x14ac:dyDescent="0.3">
      <c r="A856" s="1">
        <v>46308</v>
      </c>
      <c r="B856" s="65" t="s">
        <v>4666</v>
      </c>
      <c r="C856" s="65" t="s">
        <v>5128</v>
      </c>
      <c r="D856" s="65" t="s">
        <v>268</v>
      </c>
      <c r="E856" s="65" t="s">
        <v>5129</v>
      </c>
      <c r="F856" s="65" t="s">
        <v>31</v>
      </c>
      <c r="G856" s="65" t="s">
        <v>5130</v>
      </c>
      <c r="H856" s="65" t="s">
        <v>5131</v>
      </c>
      <c r="I856" s="65" t="s">
        <v>5000</v>
      </c>
      <c r="J856" s="65" t="s">
        <v>273</v>
      </c>
      <c r="K856" s="65" t="s">
        <v>274</v>
      </c>
      <c r="L856" s="65" t="s">
        <v>37</v>
      </c>
      <c r="M856" s="65" t="s">
        <v>5132</v>
      </c>
      <c r="N856" s="65" t="s">
        <v>608</v>
      </c>
      <c r="O856" s="65" t="s">
        <v>277</v>
      </c>
      <c r="P856" s="65" t="s">
        <v>5133</v>
      </c>
      <c r="Q856" s="65" t="s">
        <v>290</v>
      </c>
      <c r="R856">
        <v>1</v>
      </c>
      <c r="S856" s="65" t="s">
        <v>42</v>
      </c>
      <c r="T856" s="65" t="s">
        <v>44</v>
      </c>
      <c r="U856" s="65" t="s">
        <v>44</v>
      </c>
      <c r="V856" s="65" t="s">
        <v>45</v>
      </c>
      <c r="W856" s="65" t="s">
        <v>60</v>
      </c>
      <c r="X856">
        <v>1050.8499999999999</v>
      </c>
      <c r="Y856" s="65" t="s">
        <v>289</v>
      </c>
      <c r="Z856" s="65" t="s">
        <v>48</v>
      </c>
      <c r="AA856" s="65" t="s">
        <v>49</v>
      </c>
      <c r="AB856">
        <v>950133748</v>
      </c>
      <c r="AC856" s="65" t="s">
        <v>279</v>
      </c>
    </row>
    <row r="857" spans="1:30" x14ac:dyDescent="0.3">
      <c r="A857" s="1">
        <v>46308</v>
      </c>
      <c r="B857" s="65" t="s">
        <v>4666</v>
      </c>
      <c r="C857" s="65" t="s">
        <v>5134</v>
      </c>
      <c r="D857" s="65" t="s">
        <v>268</v>
      </c>
      <c r="E857" s="65" t="s">
        <v>5135</v>
      </c>
      <c r="F857" s="65" t="s">
        <v>31</v>
      </c>
      <c r="G857" s="65" t="s">
        <v>5136</v>
      </c>
      <c r="H857" s="65" t="s">
        <v>5137</v>
      </c>
      <c r="I857" s="65" t="s">
        <v>5000</v>
      </c>
      <c r="J857" s="65" t="s">
        <v>273</v>
      </c>
      <c r="K857" s="65" t="s">
        <v>274</v>
      </c>
      <c r="L857" s="65" t="s">
        <v>37</v>
      </c>
      <c r="M857" s="65" t="s">
        <v>5138</v>
      </c>
      <c r="N857" s="65" t="s">
        <v>5139</v>
      </c>
      <c r="O857" s="65" t="s">
        <v>277</v>
      </c>
      <c r="P857" s="65" t="s">
        <v>5140</v>
      </c>
      <c r="Q857" s="65" t="s">
        <v>130</v>
      </c>
      <c r="R857">
        <v>1</v>
      </c>
      <c r="S857" s="65" t="s">
        <v>42</v>
      </c>
      <c r="T857" s="65" t="s">
        <v>44</v>
      </c>
      <c r="U857" s="65" t="s">
        <v>44</v>
      </c>
      <c r="V857" s="65" t="s">
        <v>45</v>
      </c>
      <c r="W857" s="65" t="s">
        <v>60</v>
      </c>
      <c r="X857">
        <v>152.54</v>
      </c>
      <c r="Y857" s="65" t="s">
        <v>47</v>
      </c>
      <c r="Z857" s="65" t="s">
        <v>48</v>
      </c>
      <c r="AA857" s="65" t="s">
        <v>49</v>
      </c>
      <c r="AB857">
        <v>950133748</v>
      </c>
      <c r="AC857" s="65" t="s">
        <v>279</v>
      </c>
      <c r="AD857">
        <v>30</v>
      </c>
    </row>
    <row r="858" spans="1:30" x14ac:dyDescent="0.3">
      <c r="A858" s="1">
        <v>46308</v>
      </c>
      <c r="B858" s="65" t="s">
        <v>4666</v>
      </c>
      <c r="C858" s="65" t="s">
        <v>5141</v>
      </c>
      <c r="D858" s="65" t="s">
        <v>29</v>
      </c>
      <c r="E858" s="65" t="s">
        <v>5142</v>
      </c>
      <c r="F858" s="65" t="s">
        <v>31</v>
      </c>
      <c r="G858" s="65" t="s">
        <v>5143</v>
      </c>
      <c r="H858" s="65" t="s">
        <v>4566</v>
      </c>
      <c r="I858" s="65" t="s">
        <v>4567</v>
      </c>
      <c r="J858" s="65" t="s">
        <v>434</v>
      </c>
      <c r="K858" s="65" t="s">
        <v>435</v>
      </c>
      <c r="L858" s="65" t="s">
        <v>37</v>
      </c>
      <c r="M858" s="65" t="s">
        <v>4568</v>
      </c>
      <c r="N858" s="65" t="s">
        <v>4569</v>
      </c>
      <c r="O858" s="65" t="s">
        <v>4566</v>
      </c>
      <c r="P858" s="65" t="s">
        <v>5144</v>
      </c>
      <c r="Q858" s="65" t="s">
        <v>2875</v>
      </c>
      <c r="R858">
        <v>1</v>
      </c>
      <c r="S858" s="65" t="s">
        <v>70</v>
      </c>
      <c r="T858" s="65" t="s">
        <v>43</v>
      </c>
      <c r="U858" s="65" t="s">
        <v>44</v>
      </c>
      <c r="V858" s="65" t="s">
        <v>71</v>
      </c>
      <c r="W858" s="65" t="s">
        <v>184</v>
      </c>
      <c r="X858">
        <v>186.44</v>
      </c>
      <c r="Y858" s="65" t="s">
        <v>47</v>
      </c>
      <c r="Z858" s="65" t="s">
        <v>48</v>
      </c>
      <c r="AA858" s="65" t="s">
        <v>73</v>
      </c>
      <c r="AB858">
        <v>992903716</v>
      </c>
      <c r="AC858" s="65" t="s">
        <v>439</v>
      </c>
      <c r="AD858">
        <v>50</v>
      </c>
    </row>
    <row r="859" spans="1:30" x14ac:dyDescent="0.3">
      <c r="A859" s="1">
        <v>46308</v>
      </c>
      <c r="B859" s="65" t="s">
        <v>4666</v>
      </c>
      <c r="C859" s="65" t="s">
        <v>5141</v>
      </c>
      <c r="D859" s="65" t="s">
        <v>29</v>
      </c>
      <c r="E859" s="65" t="s">
        <v>5142</v>
      </c>
      <c r="F859" s="65" t="s">
        <v>31</v>
      </c>
      <c r="G859" s="65" t="s">
        <v>5143</v>
      </c>
      <c r="H859" s="65" t="s">
        <v>4566</v>
      </c>
      <c r="I859" s="65" t="s">
        <v>4567</v>
      </c>
      <c r="J859" s="65" t="s">
        <v>434</v>
      </c>
      <c r="K859" s="65" t="s">
        <v>435</v>
      </c>
      <c r="L859" s="65" t="s">
        <v>37</v>
      </c>
      <c r="M859" s="65" t="s">
        <v>4568</v>
      </c>
      <c r="N859" s="65" t="s">
        <v>4569</v>
      </c>
      <c r="O859" s="65" t="s">
        <v>4566</v>
      </c>
      <c r="P859" s="65" t="s">
        <v>5144</v>
      </c>
      <c r="Q859" s="65" t="s">
        <v>2875</v>
      </c>
      <c r="R859">
        <v>1</v>
      </c>
      <c r="S859" s="65" t="s">
        <v>70</v>
      </c>
      <c r="T859" s="65" t="s">
        <v>43</v>
      </c>
      <c r="U859" s="65" t="s">
        <v>44</v>
      </c>
      <c r="V859" s="65" t="s">
        <v>71</v>
      </c>
      <c r="W859" s="65" t="s">
        <v>184</v>
      </c>
      <c r="X859">
        <v>135.59</v>
      </c>
      <c r="Y859" s="65" t="s">
        <v>47</v>
      </c>
      <c r="Z859" s="65" t="s">
        <v>48</v>
      </c>
      <c r="AA859" s="65" t="s">
        <v>73</v>
      </c>
      <c r="AB859">
        <v>992903716</v>
      </c>
      <c r="AC859" s="65" t="s">
        <v>439</v>
      </c>
      <c r="AD859">
        <v>50</v>
      </c>
    </row>
    <row r="860" spans="1:30" x14ac:dyDescent="0.3">
      <c r="A860" s="1">
        <v>46309</v>
      </c>
      <c r="B860" s="65" t="s">
        <v>4666</v>
      </c>
      <c r="C860" s="65" t="s">
        <v>5145</v>
      </c>
      <c r="D860" s="65" t="s">
        <v>29</v>
      </c>
      <c r="E860" s="65" t="s">
        <v>5146</v>
      </c>
      <c r="F860" s="65" t="s">
        <v>31</v>
      </c>
      <c r="G860" s="65" t="s">
        <v>5147</v>
      </c>
      <c r="H860" s="65" t="s">
        <v>5148</v>
      </c>
      <c r="I860" s="65" t="s">
        <v>5149</v>
      </c>
      <c r="J860" s="65" t="s">
        <v>715</v>
      </c>
      <c r="K860" s="65" t="s">
        <v>716</v>
      </c>
      <c r="L860" s="65" t="s">
        <v>37</v>
      </c>
      <c r="M860" s="65" t="s">
        <v>5150</v>
      </c>
      <c r="N860" s="65" t="s">
        <v>5151</v>
      </c>
      <c r="O860" s="65" t="s">
        <v>5148</v>
      </c>
      <c r="P860" s="65" t="s">
        <v>5152</v>
      </c>
      <c r="Q860" s="65" t="s">
        <v>101</v>
      </c>
      <c r="R860">
        <v>1</v>
      </c>
      <c r="S860" s="65" t="s">
        <v>70</v>
      </c>
      <c r="T860" s="65" t="s">
        <v>43</v>
      </c>
      <c r="U860" s="65" t="s">
        <v>44</v>
      </c>
      <c r="V860" s="65" t="s">
        <v>71</v>
      </c>
      <c r="W860" s="65" t="s">
        <v>72</v>
      </c>
      <c r="X860">
        <v>186.44</v>
      </c>
      <c r="Y860" s="65" t="s">
        <v>47</v>
      </c>
      <c r="Z860" s="65" t="s">
        <v>48</v>
      </c>
      <c r="AA860" s="65" t="s">
        <v>73</v>
      </c>
      <c r="AB860">
        <v>955356636</v>
      </c>
      <c r="AC860" s="65" t="s">
        <v>720</v>
      </c>
      <c r="AD860">
        <v>50</v>
      </c>
    </row>
    <row r="861" spans="1:30" x14ac:dyDescent="0.3">
      <c r="A861" s="1">
        <v>46309</v>
      </c>
      <c r="B861" s="65" t="s">
        <v>4666</v>
      </c>
      <c r="C861" s="65" t="s">
        <v>5153</v>
      </c>
      <c r="D861" s="65" t="s">
        <v>29</v>
      </c>
      <c r="E861" s="65" t="s">
        <v>5154</v>
      </c>
      <c r="F861" s="65" t="s">
        <v>31</v>
      </c>
      <c r="G861" s="65" t="s">
        <v>5155</v>
      </c>
      <c r="H861" s="65" t="s">
        <v>5156</v>
      </c>
      <c r="I861" s="65" t="s">
        <v>5157</v>
      </c>
      <c r="J861" s="65" t="s">
        <v>1322</v>
      </c>
      <c r="K861" s="65" t="s">
        <v>36</v>
      </c>
      <c r="L861" s="65" t="s">
        <v>37</v>
      </c>
      <c r="M861" s="65" t="s">
        <v>5158</v>
      </c>
      <c r="N861" s="65" t="s">
        <v>5159</v>
      </c>
      <c r="O861" s="65" t="s">
        <v>5156</v>
      </c>
      <c r="P861" s="65" t="s">
        <v>5160</v>
      </c>
      <c r="Q861" s="65" t="s">
        <v>130</v>
      </c>
      <c r="R861">
        <v>1</v>
      </c>
      <c r="S861" s="65" t="s">
        <v>70</v>
      </c>
      <c r="T861" s="65" t="s">
        <v>43</v>
      </c>
      <c r="U861" s="65" t="s">
        <v>44</v>
      </c>
      <c r="V861" s="65" t="s">
        <v>71</v>
      </c>
      <c r="W861" s="65" t="s">
        <v>184</v>
      </c>
      <c r="X861">
        <v>152.54</v>
      </c>
      <c r="Y861" s="65" t="s">
        <v>47</v>
      </c>
      <c r="Z861" s="65" t="s">
        <v>48</v>
      </c>
      <c r="AA861" s="65" t="s">
        <v>73</v>
      </c>
      <c r="AB861">
        <v>999111362</v>
      </c>
      <c r="AC861" s="65" t="s">
        <v>1326</v>
      </c>
      <c r="AD861">
        <v>30</v>
      </c>
    </row>
    <row r="862" spans="1:30" x14ac:dyDescent="0.3">
      <c r="A862" s="1">
        <v>46309</v>
      </c>
      <c r="B862" s="65" t="s">
        <v>4666</v>
      </c>
      <c r="C862" s="65" t="s">
        <v>5161</v>
      </c>
      <c r="D862" s="65" t="s">
        <v>29</v>
      </c>
      <c r="E862" s="65" t="s">
        <v>5162</v>
      </c>
      <c r="F862" s="65" t="s">
        <v>31</v>
      </c>
      <c r="G862" s="65" t="s">
        <v>5163</v>
      </c>
      <c r="H862" s="65" t="s">
        <v>5164</v>
      </c>
      <c r="I862" s="65" t="s">
        <v>5165</v>
      </c>
      <c r="J862" s="65" t="s">
        <v>35</v>
      </c>
      <c r="K862" s="65" t="s">
        <v>36</v>
      </c>
      <c r="L862" s="65" t="s">
        <v>37</v>
      </c>
      <c r="M862" s="65" t="s">
        <v>5166</v>
      </c>
      <c r="N862" s="65" t="s">
        <v>5167</v>
      </c>
      <c r="O862" s="65" t="s">
        <v>5164</v>
      </c>
      <c r="P862" s="65" t="s">
        <v>5168</v>
      </c>
      <c r="Q862" s="65" t="s">
        <v>41</v>
      </c>
      <c r="R862">
        <v>1</v>
      </c>
      <c r="S862" s="65" t="s">
        <v>42</v>
      </c>
      <c r="T862" s="65" t="s">
        <v>44</v>
      </c>
      <c r="U862" s="65" t="s">
        <v>44</v>
      </c>
      <c r="V862" s="65" t="s">
        <v>45</v>
      </c>
      <c r="W862" s="65" t="s">
        <v>60</v>
      </c>
      <c r="X862">
        <v>186.44</v>
      </c>
      <c r="Y862" s="65" t="s">
        <v>47</v>
      </c>
      <c r="Z862" s="65" t="s">
        <v>48</v>
      </c>
      <c r="AA862" s="65" t="s">
        <v>49</v>
      </c>
      <c r="AB862">
        <v>999996347</v>
      </c>
      <c r="AC862" s="65" t="s">
        <v>50</v>
      </c>
      <c r="AD862">
        <v>50</v>
      </c>
    </row>
    <row r="863" spans="1:30" x14ac:dyDescent="0.3">
      <c r="A863" s="1">
        <v>46309</v>
      </c>
      <c r="B863" s="65" t="s">
        <v>4666</v>
      </c>
      <c r="C863" s="65" t="s">
        <v>5161</v>
      </c>
      <c r="D863" s="65" t="s">
        <v>29</v>
      </c>
      <c r="E863" s="65" t="s">
        <v>5162</v>
      </c>
      <c r="F863" s="65" t="s">
        <v>31</v>
      </c>
      <c r="G863" s="65" t="s">
        <v>5163</v>
      </c>
      <c r="H863" s="65" t="s">
        <v>5164</v>
      </c>
      <c r="I863" s="65" t="s">
        <v>5165</v>
      </c>
      <c r="J863" s="65" t="s">
        <v>35</v>
      </c>
      <c r="K863" s="65" t="s">
        <v>36</v>
      </c>
      <c r="L863" s="65" t="s">
        <v>37</v>
      </c>
      <c r="M863" s="65" t="s">
        <v>5166</v>
      </c>
      <c r="N863" s="65" t="s">
        <v>5167</v>
      </c>
      <c r="O863" s="65" t="s">
        <v>5164</v>
      </c>
      <c r="P863" s="65" t="s">
        <v>5168</v>
      </c>
      <c r="Q863" s="65" t="s">
        <v>41</v>
      </c>
      <c r="R863">
        <v>1</v>
      </c>
      <c r="S863" s="65" t="s">
        <v>42</v>
      </c>
      <c r="T863" s="65" t="s">
        <v>44</v>
      </c>
      <c r="U863" s="65" t="s">
        <v>44</v>
      </c>
      <c r="V863" s="65" t="s">
        <v>45</v>
      </c>
      <c r="W863" s="65" t="s">
        <v>60</v>
      </c>
      <c r="X863">
        <v>186.44</v>
      </c>
      <c r="Y863" s="65" t="s">
        <v>47</v>
      </c>
      <c r="Z863" s="65" t="s">
        <v>48</v>
      </c>
      <c r="AA863" s="65" t="s">
        <v>49</v>
      </c>
      <c r="AB863">
        <v>999996347</v>
      </c>
      <c r="AC863" s="65" t="s">
        <v>50</v>
      </c>
      <c r="AD863">
        <v>50</v>
      </c>
    </row>
    <row r="864" spans="1:30" x14ac:dyDescent="0.3">
      <c r="A864" s="1">
        <v>46309</v>
      </c>
      <c r="B864" s="65" t="s">
        <v>4666</v>
      </c>
      <c r="C864" s="65" t="s">
        <v>5169</v>
      </c>
      <c r="D864" s="65" t="s">
        <v>29</v>
      </c>
      <c r="E864" s="65" t="s">
        <v>5170</v>
      </c>
      <c r="F864" s="65" t="s">
        <v>31</v>
      </c>
      <c r="G864" s="65" t="s">
        <v>5171</v>
      </c>
      <c r="H864" s="65" t="s">
        <v>5102</v>
      </c>
      <c r="I864" s="65" t="s">
        <v>5103</v>
      </c>
      <c r="J864" s="65" t="s">
        <v>662</v>
      </c>
      <c r="K864" s="65" t="s">
        <v>36</v>
      </c>
      <c r="L864" s="65" t="s">
        <v>37</v>
      </c>
      <c r="M864" s="65" t="s">
        <v>5104</v>
      </c>
      <c r="N864" s="65" t="s">
        <v>5105</v>
      </c>
      <c r="O864" s="65" t="s">
        <v>5102</v>
      </c>
      <c r="P864" s="65" t="s">
        <v>5172</v>
      </c>
      <c r="Q864" s="65" t="s">
        <v>90</v>
      </c>
      <c r="R864">
        <v>1</v>
      </c>
      <c r="S864" s="65" t="s">
        <v>42</v>
      </c>
      <c r="T864" s="65" t="s">
        <v>44</v>
      </c>
      <c r="U864" s="65" t="s">
        <v>44</v>
      </c>
      <c r="V864" s="65" t="s">
        <v>45</v>
      </c>
      <c r="W864" s="65" t="s">
        <v>60</v>
      </c>
      <c r="X864">
        <v>135.59</v>
      </c>
      <c r="Y864" s="65" t="s">
        <v>47</v>
      </c>
      <c r="Z864" s="65" t="s">
        <v>48</v>
      </c>
      <c r="AA864" s="65" t="s">
        <v>49</v>
      </c>
      <c r="AB864">
        <v>997145685</v>
      </c>
      <c r="AC864" s="65" t="s">
        <v>666</v>
      </c>
      <c r="AD864">
        <v>30</v>
      </c>
    </row>
    <row r="865" spans="1:30" x14ac:dyDescent="0.3">
      <c r="A865" s="1">
        <v>46309</v>
      </c>
      <c r="B865" s="65" t="s">
        <v>4666</v>
      </c>
      <c r="C865" s="65" t="s">
        <v>5173</v>
      </c>
      <c r="D865" s="65" t="s">
        <v>268</v>
      </c>
      <c r="E865" s="65" t="s">
        <v>5174</v>
      </c>
      <c r="F865" s="65" t="s">
        <v>31</v>
      </c>
      <c r="G865" s="65" t="s">
        <v>5175</v>
      </c>
      <c r="H865" s="65" t="s">
        <v>4435</v>
      </c>
      <c r="I865" s="65" t="s">
        <v>5061</v>
      </c>
      <c r="J865" s="65" t="s">
        <v>2795</v>
      </c>
      <c r="K865" s="65" t="s">
        <v>209</v>
      </c>
      <c r="L865" s="65" t="s">
        <v>37</v>
      </c>
      <c r="M865" s="65" t="s">
        <v>4437</v>
      </c>
      <c r="N865" s="65" t="s">
        <v>4438</v>
      </c>
      <c r="O865" s="65" t="s">
        <v>1251</v>
      </c>
      <c r="P865" s="65" t="s">
        <v>5176</v>
      </c>
      <c r="Q865" s="65" t="s">
        <v>288</v>
      </c>
      <c r="R865">
        <v>1</v>
      </c>
      <c r="S865" s="65" t="s">
        <v>42</v>
      </c>
      <c r="T865" s="65" t="s">
        <v>44</v>
      </c>
      <c r="U865" s="65" t="s">
        <v>44</v>
      </c>
      <c r="V865" s="65" t="s">
        <v>45</v>
      </c>
      <c r="W865" s="65" t="s">
        <v>60</v>
      </c>
      <c r="X865">
        <v>0</v>
      </c>
      <c r="Y865" s="65" t="s">
        <v>289</v>
      </c>
      <c r="Z865" s="65" t="s">
        <v>48</v>
      </c>
      <c r="AA865" s="65" t="s">
        <v>49</v>
      </c>
      <c r="AB865">
        <v>994872106</v>
      </c>
      <c r="AC865" s="65" t="s">
        <v>1253</v>
      </c>
    </row>
    <row r="866" spans="1:30" x14ac:dyDescent="0.3">
      <c r="A866" s="1">
        <v>46309</v>
      </c>
      <c r="B866" s="65" t="s">
        <v>4666</v>
      </c>
      <c r="C866" s="65" t="s">
        <v>5173</v>
      </c>
      <c r="D866" s="65" t="s">
        <v>268</v>
      </c>
      <c r="E866" s="65" t="s">
        <v>5174</v>
      </c>
      <c r="F866" s="65" t="s">
        <v>31</v>
      </c>
      <c r="G866" s="65" t="s">
        <v>5175</v>
      </c>
      <c r="H866" s="65" t="s">
        <v>4435</v>
      </c>
      <c r="I866" s="65" t="s">
        <v>5061</v>
      </c>
      <c r="J866" s="65" t="s">
        <v>2795</v>
      </c>
      <c r="K866" s="65" t="s">
        <v>209</v>
      </c>
      <c r="L866" s="65" t="s">
        <v>37</v>
      </c>
      <c r="M866" s="65" t="s">
        <v>4437</v>
      </c>
      <c r="N866" s="65" t="s">
        <v>4438</v>
      </c>
      <c r="O866" s="65" t="s">
        <v>1251</v>
      </c>
      <c r="P866" s="65" t="s">
        <v>5176</v>
      </c>
      <c r="Q866" s="65" t="s">
        <v>290</v>
      </c>
      <c r="R866">
        <v>1</v>
      </c>
      <c r="S866" s="65" t="s">
        <v>42</v>
      </c>
      <c r="T866" s="65" t="s">
        <v>44</v>
      </c>
      <c r="U866" s="65" t="s">
        <v>44</v>
      </c>
      <c r="V866" s="65" t="s">
        <v>45</v>
      </c>
      <c r="W866" s="65" t="s">
        <v>60</v>
      </c>
      <c r="X866">
        <v>762.71</v>
      </c>
      <c r="Y866" s="65" t="s">
        <v>289</v>
      </c>
      <c r="Z866" s="65" t="s">
        <v>48</v>
      </c>
      <c r="AA866" s="65" t="s">
        <v>49</v>
      </c>
      <c r="AB866">
        <v>994872106</v>
      </c>
      <c r="AC866" s="65" t="s">
        <v>1253</v>
      </c>
    </row>
    <row r="867" spans="1:30" x14ac:dyDescent="0.3">
      <c r="A867" s="1">
        <v>46309</v>
      </c>
      <c r="B867" s="65" t="s">
        <v>4666</v>
      </c>
      <c r="C867" s="65" t="s">
        <v>5177</v>
      </c>
      <c r="D867" s="65" t="s">
        <v>268</v>
      </c>
      <c r="E867" s="65" t="s">
        <v>5178</v>
      </c>
      <c r="F867" s="65" t="s">
        <v>31</v>
      </c>
      <c r="G867" s="65" t="s">
        <v>5179</v>
      </c>
      <c r="H867" s="65" t="s">
        <v>4866</v>
      </c>
      <c r="I867" s="65" t="s">
        <v>5061</v>
      </c>
      <c r="J867" s="65" t="s">
        <v>2795</v>
      </c>
      <c r="K867" s="65" t="s">
        <v>209</v>
      </c>
      <c r="L867" s="65" t="s">
        <v>37</v>
      </c>
      <c r="M867" s="65" t="s">
        <v>4867</v>
      </c>
      <c r="N867" s="65" t="s">
        <v>4002</v>
      </c>
      <c r="O867" s="65" t="s">
        <v>1251</v>
      </c>
      <c r="P867" s="65" t="s">
        <v>5180</v>
      </c>
      <c r="Q867" s="65" t="s">
        <v>288</v>
      </c>
      <c r="R867">
        <v>1</v>
      </c>
      <c r="S867" s="65" t="s">
        <v>42</v>
      </c>
      <c r="T867" s="65" t="s">
        <v>44</v>
      </c>
      <c r="U867" s="65" t="s">
        <v>44</v>
      </c>
      <c r="V867" s="65" t="s">
        <v>45</v>
      </c>
      <c r="W867" s="65" t="s">
        <v>60</v>
      </c>
      <c r="X867">
        <v>0</v>
      </c>
      <c r="Y867" s="65" t="s">
        <v>289</v>
      </c>
      <c r="Z867" s="65" t="s">
        <v>48</v>
      </c>
      <c r="AA867" s="65" t="s">
        <v>49</v>
      </c>
      <c r="AB867">
        <v>994872106</v>
      </c>
      <c r="AC867" s="65" t="s">
        <v>1253</v>
      </c>
    </row>
    <row r="868" spans="1:30" x14ac:dyDescent="0.3">
      <c r="A868" s="1">
        <v>46309</v>
      </c>
      <c r="B868" s="65" t="s">
        <v>4666</v>
      </c>
      <c r="C868" s="65" t="s">
        <v>5177</v>
      </c>
      <c r="D868" s="65" t="s">
        <v>268</v>
      </c>
      <c r="E868" s="65" t="s">
        <v>5178</v>
      </c>
      <c r="F868" s="65" t="s">
        <v>31</v>
      </c>
      <c r="G868" s="65" t="s">
        <v>5179</v>
      </c>
      <c r="H868" s="65" t="s">
        <v>4866</v>
      </c>
      <c r="I868" s="65" t="s">
        <v>5061</v>
      </c>
      <c r="J868" s="65" t="s">
        <v>2795</v>
      </c>
      <c r="K868" s="65" t="s">
        <v>209</v>
      </c>
      <c r="L868" s="65" t="s">
        <v>37</v>
      </c>
      <c r="M868" s="65" t="s">
        <v>4867</v>
      </c>
      <c r="N868" s="65" t="s">
        <v>4002</v>
      </c>
      <c r="O868" s="65" t="s">
        <v>1251</v>
      </c>
      <c r="P868" s="65" t="s">
        <v>5180</v>
      </c>
      <c r="Q868" s="65" t="s">
        <v>290</v>
      </c>
      <c r="R868">
        <v>1</v>
      </c>
      <c r="S868" s="65" t="s">
        <v>42</v>
      </c>
      <c r="T868" s="65" t="s">
        <v>44</v>
      </c>
      <c r="U868" s="65" t="s">
        <v>44</v>
      </c>
      <c r="V868" s="65" t="s">
        <v>45</v>
      </c>
      <c r="W868" s="65" t="s">
        <v>60</v>
      </c>
      <c r="X868">
        <v>762.71</v>
      </c>
      <c r="Y868" s="65" t="s">
        <v>289</v>
      </c>
      <c r="Z868" s="65" t="s">
        <v>48</v>
      </c>
      <c r="AA868" s="65" t="s">
        <v>49</v>
      </c>
      <c r="AB868">
        <v>994872106</v>
      </c>
      <c r="AC868" s="65" t="s">
        <v>1253</v>
      </c>
    </row>
    <row r="869" spans="1:30" x14ac:dyDescent="0.3">
      <c r="A869" s="1">
        <v>46310</v>
      </c>
      <c r="B869" s="65" t="s">
        <v>4666</v>
      </c>
      <c r="C869" s="65" t="s">
        <v>5181</v>
      </c>
      <c r="D869" s="65" t="s">
        <v>29</v>
      </c>
      <c r="E869" s="65" t="s">
        <v>5182</v>
      </c>
      <c r="F869" s="65" t="s">
        <v>31</v>
      </c>
      <c r="G869" s="65" t="s">
        <v>5183</v>
      </c>
      <c r="H869" s="65" t="s">
        <v>5184</v>
      </c>
      <c r="I869" s="65" t="s">
        <v>5185</v>
      </c>
      <c r="J869" s="65" t="s">
        <v>3072</v>
      </c>
      <c r="K869" s="65" t="s">
        <v>3037</v>
      </c>
      <c r="L869" s="65" t="s">
        <v>37</v>
      </c>
      <c r="M869" s="65" t="s">
        <v>5186</v>
      </c>
      <c r="N869" s="65" t="s">
        <v>5187</v>
      </c>
      <c r="O869" s="65" t="s">
        <v>5184</v>
      </c>
      <c r="P869" s="65" t="s">
        <v>5188</v>
      </c>
      <c r="Q869" s="65" t="s">
        <v>41</v>
      </c>
      <c r="R869">
        <v>1</v>
      </c>
      <c r="S869" s="65" t="s">
        <v>42</v>
      </c>
      <c r="T869" s="65" t="s">
        <v>44</v>
      </c>
      <c r="U869" s="65" t="s">
        <v>44</v>
      </c>
      <c r="V869" s="65" t="s">
        <v>45</v>
      </c>
      <c r="W869" s="65" t="s">
        <v>60</v>
      </c>
      <c r="X869">
        <v>186.44</v>
      </c>
      <c r="Y869" s="65" t="s">
        <v>47</v>
      </c>
      <c r="Z869" s="65" t="s">
        <v>48</v>
      </c>
      <c r="AA869" s="65" t="s">
        <v>49</v>
      </c>
      <c r="AB869">
        <v>985558886</v>
      </c>
      <c r="AC869" s="65" t="s">
        <v>3073</v>
      </c>
      <c r="AD869">
        <v>50</v>
      </c>
    </row>
    <row r="870" spans="1:30" x14ac:dyDescent="0.3">
      <c r="A870" s="1">
        <v>46310</v>
      </c>
      <c r="B870" s="65" t="s">
        <v>4666</v>
      </c>
      <c r="C870" s="65" t="s">
        <v>5181</v>
      </c>
      <c r="D870" s="65" t="s">
        <v>29</v>
      </c>
      <c r="E870" s="65" t="s">
        <v>5182</v>
      </c>
      <c r="F870" s="65" t="s">
        <v>31</v>
      </c>
      <c r="G870" s="65" t="s">
        <v>5183</v>
      </c>
      <c r="H870" s="65" t="s">
        <v>5184</v>
      </c>
      <c r="I870" s="65" t="s">
        <v>5185</v>
      </c>
      <c r="J870" s="65" t="s">
        <v>3072</v>
      </c>
      <c r="K870" s="65" t="s">
        <v>3037</v>
      </c>
      <c r="L870" s="65" t="s">
        <v>37</v>
      </c>
      <c r="M870" s="65" t="s">
        <v>5186</v>
      </c>
      <c r="N870" s="65" t="s">
        <v>5187</v>
      </c>
      <c r="O870" s="65" t="s">
        <v>5184</v>
      </c>
      <c r="P870" s="65" t="s">
        <v>5188</v>
      </c>
      <c r="Q870" s="65" t="s">
        <v>41</v>
      </c>
      <c r="R870">
        <v>1</v>
      </c>
      <c r="S870" s="65" t="s">
        <v>42</v>
      </c>
      <c r="T870" s="65" t="s">
        <v>44</v>
      </c>
      <c r="U870" s="65" t="s">
        <v>44</v>
      </c>
      <c r="V870" s="65" t="s">
        <v>45</v>
      </c>
      <c r="W870" s="65" t="s">
        <v>60</v>
      </c>
      <c r="X870">
        <v>186.44</v>
      </c>
      <c r="Y870" s="65" t="s">
        <v>47</v>
      </c>
      <c r="Z870" s="65" t="s">
        <v>48</v>
      </c>
      <c r="AA870" s="65" t="s">
        <v>49</v>
      </c>
      <c r="AB870">
        <v>985558886</v>
      </c>
      <c r="AC870" s="65" t="s">
        <v>3073</v>
      </c>
      <c r="AD870">
        <v>50</v>
      </c>
    </row>
    <row r="871" spans="1:30" x14ac:dyDescent="0.3">
      <c r="A871" s="1">
        <v>46310</v>
      </c>
      <c r="B871" s="65" t="s">
        <v>4666</v>
      </c>
      <c r="C871" s="65" t="s">
        <v>5181</v>
      </c>
      <c r="D871" s="65" t="s">
        <v>29</v>
      </c>
      <c r="E871" s="65" t="s">
        <v>5182</v>
      </c>
      <c r="F871" s="65" t="s">
        <v>31</v>
      </c>
      <c r="G871" s="65" t="s">
        <v>5183</v>
      </c>
      <c r="H871" s="65" t="s">
        <v>5184</v>
      </c>
      <c r="I871" s="65" t="s">
        <v>5185</v>
      </c>
      <c r="J871" s="65" t="s">
        <v>3072</v>
      </c>
      <c r="K871" s="65" t="s">
        <v>3037</v>
      </c>
      <c r="L871" s="65" t="s">
        <v>37</v>
      </c>
      <c r="M871" s="65" t="s">
        <v>5186</v>
      </c>
      <c r="N871" s="65" t="s">
        <v>5187</v>
      </c>
      <c r="O871" s="65" t="s">
        <v>5184</v>
      </c>
      <c r="P871" s="65" t="s">
        <v>5188</v>
      </c>
      <c r="Q871" s="65" t="s">
        <v>41</v>
      </c>
      <c r="R871">
        <v>1</v>
      </c>
      <c r="S871" s="65" t="s">
        <v>42</v>
      </c>
      <c r="T871" s="65" t="s">
        <v>44</v>
      </c>
      <c r="U871" s="65" t="s">
        <v>44</v>
      </c>
      <c r="V871" s="65" t="s">
        <v>45</v>
      </c>
      <c r="W871" s="65" t="s">
        <v>60</v>
      </c>
      <c r="X871">
        <v>135.59</v>
      </c>
      <c r="Y871" s="65" t="s">
        <v>47</v>
      </c>
      <c r="Z871" s="65" t="s">
        <v>48</v>
      </c>
      <c r="AA871" s="65" t="s">
        <v>49</v>
      </c>
      <c r="AB871">
        <v>985558886</v>
      </c>
      <c r="AC871" s="65" t="s">
        <v>3073</v>
      </c>
      <c r="AD871">
        <v>50</v>
      </c>
    </row>
    <row r="872" spans="1:30" x14ac:dyDescent="0.3">
      <c r="A872" s="1">
        <v>46310</v>
      </c>
      <c r="B872" s="65" t="s">
        <v>4666</v>
      </c>
      <c r="C872" s="65" t="s">
        <v>5189</v>
      </c>
      <c r="D872" s="65" t="s">
        <v>29</v>
      </c>
      <c r="E872" s="65" t="s">
        <v>5190</v>
      </c>
      <c r="F872" s="65" t="s">
        <v>31</v>
      </c>
      <c r="G872" s="65" t="s">
        <v>5191</v>
      </c>
      <c r="H872" s="65" t="s">
        <v>5192</v>
      </c>
      <c r="I872" s="65" t="s">
        <v>5193</v>
      </c>
      <c r="J872" s="65" t="s">
        <v>3011</v>
      </c>
      <c r="K872" s="65" t="s">
        <v>36</v>
      </c>
      <c r="L872" s="65" t="s">
        <v>37</v>
      </c>
      <c r="M872" s="65" t="s">
        <v>5194</v>
      </c>
      <c r="N872" s="65" t="s">
        <v>608</v>
      </c>
      <c r="O872" s="65" t="s">
        <v>5192</v>
      </c>
      <c r="P872" s="65" t="s">
        <v>5195</v>
      </c>
      <c r="Q872" s="65" t="s">
        <v>288</v>
      </c>
      <c r="R872">
        <v>1</v>
      </c>
      <c r="S872" s="65" t="s">
        <v>42</v>
      </c>
      <c r="T872" s="65" t="s">
        <v>44</v>
      </c>
      <c r="U872" s="65" t="s">
        <v>44</v>
      </c>
      <c r="V872" s="65" t="s">
        <v>45</v>
      </c>
      <c r="W872" s="65" t="s">
        <v>60</v>
      </c>
      <c r="X872">
        <v>0</v>
      </c>
      <c r="Y872" s="65" t="s">
        <v>289</v>
      </c>
      <c r="Z872" s="65" t="s">
        <v>48</v>
      </c>
      <c r="AA872" s="65" t="s">
        <v>49</v>
      </c>
      <c r="AB872">
        <v>900734202</v>
      </c>
      <c r="AC872" s="65" t="s">
        <v>3013</v>
      </c>
    </row>
    <row r="873" spans="1:30" x14ac:dyDescent="0.3">
      <c r="A873" s="1">
        <v>46310</v>
      </c>
      <c r="B873" s="65" t="s">
        <v>4666</v>
      </c>
      <c r="C873" s="65" t="s">
        <v>5189</v>
      </c>
      <c r="D873" s="65" t="s">
        <v>29</v>
      </c>
      <c r="E873" s="65" t="s">
        <v>5190</v>
      </c>
      <c r="F873" s="65" t="s">
        <v>31</v>
      </c>
      <c r="G873" s="65" t="s">
        <v>5191</v>
      </c>
      <c r="H873" s="65" t="s">
        <v>5192</v>
      </c>
      <c r="I873" s="65" t="s">
        <v>5193</v>
      </c>
      <c r="J873" s="65" t="s">
        <v>3011</v>
      </c>
      <c r="K873" s="65" t="s">
        <v>36</v>
      </c>
      <c r="L873" s="65" t="s">
        <v>37</v>
      </c>
      <c r="M873" s="65" t="s">
        <v>5194</v>
      </c>
      <c r="N873" s="65" t="s">
        <v>608</v>
      </c>
      <c r="O873" s="65" t="s">
        <v>5192</v>
      </c>
      <c r="P873" s="65" t="s">
        <v>5195</v>
      </c>
      <c r="Q873" s="65" t="s">
        <v>1215</v>
      </c>
      <c r="R873">
        <v>1</v>
      </c>
      <c r="S873" s="65" t="s">
        <v>42</v>
      </c>
      <c r="T873" s="65" t="s">
        <v>44</v>
      </c>
      <c r="U873" s="65" t="s">
        <v>44</v>
      </c>
      <c r="V873" s="65" t="s">
        <v>45</v>
      </c>
      <c r="W873" s="65" t="s">
        <v>60</v>
      </c>
      <c r="X873">
        <v>139.83000000000001</v>
      </c>
      <c r="Y873" s="65" t="s">
        <v>289</v>
      </c>
      <c r="Z873" s="65" t="s">
        <v>48</v>
      </c>
      <c r="AA873" s="65" t="s">
        <v>49</v>
      </c>
      <c r="AB873">
        <v>900734202</v>
      </c>
      <c r="AC873" s="65" t="s">
        <v>3013</v>
      </c>
    </row>
    <row r="874" spans="1:30" x14ac:dyDescent="0.3">
      <c r="A874" s="1">
        <v>46310</v>
      </c>
      <c r="B874" s="65" t="s">
        <v>4666</v>
      </c>
      <c r="C874" s="65" t="s">
        <v>5196</v>
      </c>
      <c r="D874" s="65" t="s">
        <v>29</v>
      </c>
      <c r="E874" s="65" t="s">
        <v>5197</v>
      </c>
      <c r="F874" s="65" t="s">
        <v>31</v>
      </c>
      <c r="G874" s="65" t="s">
        <v>5198</v>
      </c>
      <c r="H874" s="65" t="s">
        <v>5199</v>
      </c>
      <c r="I874" s="65" t="s">
        <v>5200</v>
      </c>
      <c r="J874" s="65" t="s">
        <v>662</v>
      </c>
      <c r="K874" s="65" t="s">
        <v>36</v>
      </c>
      <c r="L874" s="65" t="s">
        <v>37</v>
      </c>
      <c r="M874" s="65" t="s">
        <v>5201</v>
      </c>
      <c r="N874" s="65" t="s">
        <v>5202</v>
      </c>
      <c r="O874" s="65" t="s">
        <v>5199</v>
      </c>
      <c r="P874" s="65" t="s">
        <v>5203</v>
      </c>
      <c r="Q874" s="65" t="s">
        <v>101</v>
      </c>
      <c r="R874">
        <v>1</v>
      </c>
      <c r="S874" s="65" t="s">
        <v>42</v>
      </c>
      <c r="T874" s="65" t="s">
        <v>44</v>
      </c>
      <c r="U874" s="65" t="s">
        <v>44</v>
      </c>
      <c r="V874" s="65" t="s">
        <v>45</v>
      </c>
      <c r="W874" s="65" t="s">
        <v>60</v>
      </c>
      <c r="X874">
        <v>186.44</v>
      </c>
      <c r="Y874" s="65" t="s">
        <v>47</v>
      </c>
      <c r="Z874" s="65" t="s">
        <v>48</v>
      </c>
      <c r="AA874" s="65" t="s">
        <v>49</v>
      </c>
      <c r="AB874">
        <v>997145685</v>
      </c>
      <c r="AC874" s="65" t="s">
        <v>666</v>
      </c>
      <c r="AD874">
        <v>50</v>
      </c>
    </row>
    <row r="875" spans="1:30" x14ac:dyDescent="0.3">
      <c r="A875" s="1">
        <v>46310</v>
      </c>
      <c r="B875" s="65" t="s">
        <v>4666</v>
      </c>
      <c r="C875" s="65" t="s">
        <v>5204</v>
      </c>
      <c r="D875" s="65" t="s">
        <v>29</v>
      </c>
      <c r="E875" s="65" t="s">
        <v>5205</v>
      </c>
      <c r="F875" s="65" t="s">
        <v>31</v>
      </c>
      <c r="G875" s="65" t="s">
        <v>5206</v>
      </c>
      <c r="H875" s="65" t="s">
        <v>5207</v>
      </c>
      <c r="I875" s="65" t="s">
        <v>5208</v>
      </c>
      <c r="J875" s="65" t="s">
        <v>774</v>
      </c>
      <c r="K875" s="65" t="s">
        <v>775</v>
      </c>
      <c r="L875" s="65" t="s">
        <v>37</v>
      </c>
      <c r="M875" s="65" t="s">
        <v>5209</v>
      </c>
      <c r="N875" s="65" t="s">
        <v>5210</v>
      </c>
      <c r="O875" s="65" t="s">
        <v>5207</v>
      </c>
      <c r="P875" s="65" t="s">
        <v>5211</v>
      </c>
      <c r="Q875" s="65" t="s">
        <v>159</v>
      </c>
      <c r="R875">
        <v>1</v>
      </c>
      <c r="S875" s="65" t="s">
        <v>42</v>
      </c>
      <c r="T875" s="65" t="s">
        <v>44</v>
      </c>
      <c r="U875" s="65" t="s">
        <v>44</v>
      </c>
      <c r="V875" s="65" t="s">
        <v>71</v>
      </c>
      <c r="W875" s="65" t="s">
        <v>72</v>
      </c>
      <c r="X875">
        <v>135.59</v>
      </c>
      <c r="Y875" s="65" t="s">
        <v>47</v>
      </c>
      <c r="Z875" s="65" t="s">
        <v>48</v>
      </c>
      <c r="AA875" s="65" t="s">
        <v>73</v>
      </c>
      <c r="AC875" s="65"/>
      <c r="AD875">
        <v>30</v>
      </c>
    </row>
    <row r="876" spans="1:30" x14ac:dyDescent="0.3">
      <c r="A876" s="1">
        <v>46311</v>
      </c>
      <c r="B876" s="65" t="s">
        <v>4666</v>
      </c>
      <c r="C876" s="65" t="s">
        <v>5212</v>
      </c>
      <c r="D876" s="65" t="s">
        <v>29</v>
      </c>
      <c r="E876" s="65" t="s">
        <v>5213</v>
      </c>
      <c r="F876" s="65" t="s">
        <v>31</v>
      </c>
      <c r="G876" s="65" t="s">
        <v>5214</v>
      </c>
      <c r="H876" s="65" t="s">
        <v>5215</v>
      </c>
      <c r="I876" s="65" t="s">
        <v>5216</v>
      </c>
      <c r="J876" s="65" t="s">
        <v>411</v>
      </c>
      <c r="K876" s="65" t="s">
        <v>412</v>
      </c>
      <c r="L876" s="65" t="s">
        <v>37</v>
      </c>
      <c r="M876" s="65" t="s">
        <v>5217</v>
      </c>
      <c r="N876" s="65" t="s">
        <v>5218</v>
      </c>
      <c r="O876" s="65" t="s">
        <v>5215</v>
      </c>
      <c r="P876" s="65" t="s">
        <v>5219</v>
      </c>
      <c r="Q876" s="65" t="s">
        <v>90</v>
      </c>
      <c r="R876">
        <v>1</v>
      </c>
      <c r="S876" s="65" t="s">
        <v>70</v>
      </c>
      <c r="T876" s="65" t="s">
        <v>43</v>
      </c>
      <c r="U876" s="65" t="s">
        <v>44</v>
      </c>
      <c r="V876" s="65" t="s">
        <v>71</v>
      </c>
      <c r="W876" s="65" t="s">
        <v>184</v>
      </c>
      <c r="X876">
        <v>135.59</v>
      </c>
      <c r="Y876" s="65" t="s">
        <v>47</v>
      </c>
      <c r="Z876" s="65" t="s">
        <v>48</v>
      </c>
      <c r="AA876" s="65" t="s">
        <v>73</v>
      </c>
      <c r="AB876">
        <v>982673362</v>
      </c>
      <c r="AC876" s="65" t="s">
        <v>416</v>
      </c>
      <c r="AD876">
        <v>30</v>
      </c>
    </row>
    <row r="877" spans="1:30" x14ac:dyDescent="0.3">
      <c r="A877" s="1">
        <v>46311</v>
      </c>
      <c r="B877" s="65" t="s">
        <v>4666</v>
      </c>
      <c r="C877" s="65" t="s">
        <v>5220</v>
      </c>
      <c r="D877" s="65" t="s">
        <v>29</v>
      </c>
      <c r="E877" s="65" t="s">
        <v>83</v>
      </c>
      <c r="F877" s="65" t="s">
        <v>31</v>
      </c>
      <c r="G877" s="65" t="s">
        <v>84</v>
      </c>
      <c r="H877" s="65" t="s">
        <v>5221</v>
      </c>
      <c r="I877" s="65" t="s">
        <v>5222</v>
      </c>
      <c r="J877" s="65" t="s">
        <v>704</v>
      </c>
      <c r="K877" s="65" t="s">
        <v>705</v>
      </c>
      <c r="L877" s="65" t="s">
        <v>37</v>
      </c>
      <c r="M877" s="65" t="s">
        <v>5223</v>
      </c>
      <c r="N877" s="65" t="s">
        <v>5224</v>
      </c>
      <c r="O877" s="65" t="s">
        <v>5221</v>
      </c>
      <c r="P877" s="65" t="s">
        <v>5225</v>
      </c>
      <c r="Q877" s="65" t="s">
        <v>41</v>
      </c>
      <c r="R877">
        <v>1</v>
      </c>
      <c r="S877" s="65" t="s">
        <v>70</v>
      </c>
      <c r="T877" s="65" t="s">
        <v>43</v>
      </c>
      <c r="U877" s="65" t="s">
        <v>44</v>
      </c>
      <c r="V877" s="65" t="s">
        <v>71</v>
      </c>
      <c r="W877" s="65" t="s">
        <v>184</v>
      </c>
      <c r="X877">
        <v>169.49</v>
      </c>
      <c r="Y877" s="65" t="s">
        <v>47</v>
      </c>
      <c r="Z877" s="65" t="s">
        <v>48</v>
      </c>
      <c r="AA877" s="65" t="s">
        <v>73</v>
      </c>
      <c r="AB877">
        <v>998418895</v>
      </c>
      <c r="AC877" s="65" t="s">
        <v>709</v>
      </c>
      <c r="AD877">
        <v>50</v>
      </c>
    </row>
    <row r="878" spans="1:30" x14ac:dyDescent="0.3">
      <c r="A878" s="1">
        <v>46311</v>
      </c>
      <c r="B878" s="65" t="s">
        <v>4666</v>
      </c>
      <c r="C878" s="65" t="s">
        <v>5226</v>
      </c>
      <c r="D878" s="65" t="s">
        <v>29</v>
      </c>
      <c r="E878" s="65" t="s">
        <v>5227</v>
      </c>
      <c r="F878" s="65" t="s">
        <v>31</v>
      </c>
      <c r="G878" s="65" t="s">
        <v>5228</v>
      </c>
      <c r="H878" s="65" t="s">
        <v>5229</v>
      </c>
      <c r="I878" s="65" t="s">
        <v>5230</v>
      </c>
      <c r="J878" s="65" t="s">
        <v>774</v>
      </c>
      <c r="K878" s="65" t="s">
        <v>775</v>
      </c>
      <c r="L878" s="65" t="s">
        <v>37</v>
      </c>
      <c r="M878" s="65" t="s">
        <v>5231</v>
      </c>
      <c r="N878" s="65" t="s">
        <v>5232</v>
      </c>
      <c r="O878" s="65" t="s">
        <v>5229</v>
      </c>
      <c r="P878" s="65" t="s">
        <v>5233</v>
      </c>
      <c r="Q878" s="65" t="s">
        <v>90</v>
      </c>
      <c r="R878">
        <v>1</v>
      </c>
      <c r="S878" s="65" t="s">
        <v>42</v>
      </c>
      <c r="T878" s="65" t="s">
        <v>44</v>
      </c>
      <c r="U878" s="65" t="s">
        <v>44</v>
      </c>
      <c r="V878" s="65" t="s">
        <v>45</v>
      </c>
      <c r="W878" s="65" t="s">
        <v>60</v>
      </c>
      <c r="X878">
        <v>135.59</v>
      </c>
      <c r="Y878" s="65" t="s">
        <v>47</v>
      </c>
      <c r="Z878" s="65" t="s">
        <v>48</v>
      </c>
      <c r="AA878" s="65" t="s">
        <v>49</v>
      </c>
      <c r="AC878" s="65"/>
      <c r="AD878">
        <v>30</v>
      </c>
    </row>
    <row r="879" spans="1:30" x14ac:dyDescent="0.3">
      <c r="A879" s="1">
        <v>46311</v>
      </c>
      <c r="B879" s="65" t="s">
        <v>4666</v>
      </c>
      <c r="C879" s="65" t="s">
        <v>5234</v>
      </c>
      <c r="D879" s="65" t="s">
        <v>29</v>
      </c>
      <c r="E879" s="65" t="s">
        <v>5235</v>
      </c>
      <c r="F879" s="65" t="s">
        <v>31</v>
      </c>
      <c r="G879" s="65" t="s">
        <v>5236</v>
      </c>
      <c r="H879" s="65" t="s">
        <v>5237</v>
      </c>
      <c r="I879" s="65" t="s">
        <v>5238</v>
      </c>
      <c r="J879" s="65" t="s">
        <v>774</v>
      </c>
      <c r="K879" s="65" t="s">
        <v>775</v>
      </c>
      <c r="L879" s="65" t="s">
        <v>37</v>
      </c>
      <c r="M879" s="65" t="s">
        <v>5239</v>
      </c>
      <c r="N879" s="65" t="s">
        <v>5240</v>
      </c>
      <c r="O879" s="65" t="s">
        <v>5237</v>
      </c>
      <c r="P879" s="65" t="s">
        <v>5241</v>
      </c>
      <c r="Q879" s="65" t="s">
        <v>159</v>
      </c>
      <c r="R879">
        <v>1</v>
      </c>
      <c r="S879" s="65" t="s">
        <v>42</v>
      </c>
      <c r="T879" s="65" t="s">
        <v>44</v>
      </c>
      <c r="U879" s="65" t="s">
        <v>44</v>
      </c>
      <c r="V879" s="65" t="s">
        <v>45</v>
      </c>
      <c r="W879" s="65" t="s">
        <v>60</v>
      </c>
      <c r="X879">
        <v>135.59</v>
      </c>
      <c r="Y879" s="65" t="s">
        <v>47</v>
      </c>
      <c r="Z879" s="65" t="s">
        <v>48</v>
      </c>
      <c r="AA879" s="65" t="s">
        <v>49</v>
      </c>
      <c r="AC879" s="65"/>
      <c r="AD879">
        <v>30</v>
      </c>
    </row>
    <row r="880" spans="1:30" x14ac:dyDescent="0.3">
      <c r="A880" s="1">
        <v>46311</v>
      </c>
      <c r="B880" s="65" t="s">
        <v>4666</v>
      </c>
      <c r="C880" s="65" t="s">
        <v>5242</v>
      </c>
      <c r="D880" s="65" t="s">
        <v>29</v>
      </c>
      <c r="E880" s="65" t="s">
        <v>5243</v>
      </c>
      <c r="F880" s="65" t="s">
        <v>31</v>
      </c>
      <c r="G880" s="65" t="s">
        <v>5244</v>
      </c>
      <c r="H880" s="65" t="s">
        <v>5245</v>
      </c>
      <c r="I880" s="65" t="s">
        <v>5246</v>
      </c>
      <c r="J880" s="65" t="s">
        <v>5247</v>
      </c>
      <c r="K880" s="65" t="s">
        <v>209</v>
      </c>
      <c r="L880" s="65" t="s">
        <v>37</v>
      </c>
      <c r="M880" s="65" t="s">
        <v>5248</v>
      </c>
      <c r="N880" s="65" t="s">
        <v>5249</v>
      </c>
      <c r="O880" s="65" t="s">
        <v>5245</v>
      </c>
      <c r="P880" s="65" t="s">
        <v>5250</v>
      </c>
      <c r="Q880" s="65" t="s">
        <v>59</v>
      </c>
      <c r="R880">
        <v>2</v>
      </c>
      <c r="S880" s="65" t="s">
        <v>42</v>
      </c>
      <c r="T880" s="65" t="s">
        <v>44</v>
      </c>
      <c r="U880" s="65" t="s">
        <v>44</v>
      </c>
      <c r="V880" s="65" t="s">
        <v>45</v>
      </c>
      <c r="W880" s="65" t="s">
        <v>60</v>
      </c>
      <c r="X880">
        <v>203.39</v>
      </c>
      <c r="Y880" s="65" t="s">
        <v>61</v>
      </c>
      <c r="Z880" s="65" t="s">
        <v>48</v>
      </c>
      <c r="AA880" s="65" t="s">
        <v>49</v>
      </c>
      <c r="AB880">
        <v>931335121</v>
      </c>
      <c r="AC880" s="65"/>
    </row>
    <row r="881" spans="1:30" x14ac:dyDescent="0.3">
      <c r="A881" s="1">
        <v>46312</v>
      </c>
      <c r="B881" s="65" t="s">
        <v>4666</v>
      </c>
      <c r="C881" s="65" t="s">
        <v>5251</v>
      </c>
      <c r="D881" s="65" t="s">
        <v>29</v>
      </c>
      <c r="E881" s="65" t="s">
        <v>5252</v>
      </c>
      <c r="F881" s="65" t="s">
        <v>31</v>
      </c>
      <c r="G881" s="65" t="s">
        <v>5253</v>
      </c>
      <c r="H881" s="65" t="s">
        <v>5254</v>
      </c>
      <c r="I881" s="65" t="s">
        <v>5255</v>
      </c>
      <c r="J881" s="65" t="s">
        <v>3241</v>
      </c>
      <c r="K881" s="65" t="s">
        <v>97</v>
      </c>
      <c r="L881" s="65" t="s">
        <v>37</v>
      </c>
      <c r="M881" s="65" t="s">
        <v>5256</v>
      </c>
      <c r="N881" s="65" t="s">
        <v>5257</v>
      </c>
      <c r="O881" s="65" t="s">
        <v>5254</v>
      </c>
      <c r="P881" s="65" t="s">
        <v>5258</v>
      </c>
      <c r="Q881" s="65" t="s">
        <v>41</v>
      </c>
      <c r="R881">
        <v>1</v>
      </c>
      <c r="S881" s="65" t="s">
        <v>42</v>
      </c>
      <c r="T881" s="65" t="s">
        <v>44</v>
      </c>
      <c r="U881" s="65" t="s">
        <v>44</v>
      </c>
      <c r="V881" s="65" t="s">
        <v>45</v>
      </c>
      <c r="W881" s="65" t="s">
        <v>60</v>
      </c>
      <c r="X881">
        <v>186.44</v>
      </c>
      <c r="Y881" s="65" t="s">
        <v>47</v>
      </c>
      <c r="Z881" s="65" t="s">
        <v>48</v>
      </c>
      <c r="AA881" s="65" t="s">
        <v>49</v>
      </c>
      <c r="AB881">
        <v>942851351</v>
      </c>
      <c r="AC881" s="65" t="s">
        <v>3242</v>
      </c>
      <c r="AD881">
        <v>50</v>
      </c>
    </row>
    <row r="882" spans="1:30" x14ac:dyDescent="0.3">
      <c r="A882" s="1">
        <v>46312</v>
      </c>
      <c r="B882" s="65" t="s">
        <v>4666</v>
      </c>
      <c r="C882" s="65" t="s">
        <v>5259</v>
      </c>
      <c r="D882" s="65" t="s">
        <v>29</v>
      </c>
      <c r="E882" s="65" t="s">
        <v>5260</v>
      </c>
      <c r="F882" s="65" t="s">
        <v>31</v>
      </c>
      <c r="G882" s="65" t="s">
        <v>5261</v>
      </c>
      <c r="H882" s="65" t="s">
        <v>5262</v>
      </c>
      <c r="I882" s="65" t="s">
        <v>5263</v>
      </c>
      <c r="J882" s="65" t="s">
        <v>5264</v>
      </c>
      <c r="K882" s="65" t="s">
        <v>3363</v>
      </c>
      <c r="L882" s="65" t="s">
        <v>37</v>
      </c>
      <c r="M882" s="65" t="s">
        <v>5265</v>
      </c>
      <c r="N882" s="65" t="s">
        <v>5266</v>
      </c>
      <c r="O882" s="65" t="s">
        <v>5262</v>
      </c>
      <c r="P882" s="65" t="s">
        <v>5267</v>
      </c>
      <c r="Q882" s="65" t="s">
        <v>2875</v>
      </c>
      <c r="R882">
        <v>1</v>
      </c>
      <c r="S882" s="65" t="s">
        <v>42</v>
      </c>
      <c r="T882" s="65" t="s">
        <v>44</v>
      </c>
      <c r="U882" s="65" t="s">
        <v>44</v>
      </c>
      <c r="V882" s="65" t="s">
        <v>45</v>
      </c>
      <c r="W882" s="65" t="s">
        <v>60</v>
      </c>
      <c r="X882">
        <v>186.44</v>
      </c>
      <c r="Y882" s="65" t="s">
        <v>47</v>
      </c>
      <c r="Z882" s="65" t="s">
        <v>48</v>
      </c>
      <c r="AA882" s="65" t="s">
        <v>49</v>
      </c>
      <c r="AB882">
        <v>995828446</v>
      </c>
      <c r="AC882" s="65"/>
      <c r="AD882">
        <v>50</v>
      </c>
    </row>
    <row r="883" spans="1:30" x14ac:dyDescent="0.3">
      <c r="A883" s="1">
        <v>46312</v>
      </c>
      <c r="B883" s="65" t="s">
        <v>4666</v>
      </c>
      <c r="C883" s="65" t="s">
        <v>5268</v>
      </c>
      <c r="D883" s="65" t="s">
        <v>399</v>
      </c>
      <c r="E883" s="65" t="s">
        <v>5260</v>
      </c>
      <c r="F883" s="65" t="s">
        <v>400</v>
      </c>
      <c r="G883" s="65" t="s">
        <v>5269</v>
      </c>
      <c r="H883" s="65" t="s">
        <v>5262</v>
      </c>
      <c r="I883" s="65" t="s">
        <v>5263</v>
      </c>
      <c r="J883" s="65" t="s">
        <v>5264</v>
      </c>
      <c r="K883" s="65" t="s">
        <v>3363</v>
      </c>
      <c r="L883" s="65" t="s">
        <v>400</v>
      </c>
      <c r="M883" s="65" t="s">
        <v>5265</v>
      </c>
      <c r="N883" s="65" t="s">
        <v>5266</v>
      </c>
      <c r="O883" s="65" t="s">
        <v>5262</v>
      </c>
      <c r="P883" s="65" t="s">
        <v>5267</v>
      </c>
      <c r="Q883" s="65" t="s">
        <v>2875</v>
      </c>
      <c r="R883">
        <v>1</v>
      </c>
      <c r="S883" s="65" t="s">
        <v>42</v>
      </c>
      <c r="T883" s="65" t="s">
        <v>44</v>
      </c>
      <c r="U883" s="65" t="s">
        <v>44</v>
      </c>
      <c r="V883" s="65" t="s">
        <v>45</v>
      </c>
      <c r="W883" s="65" t="s">
        <v>60</v>
      </c>
      <c r="X883">
        <v>-186.44</v>
      </c>
      <c r="Y883" s="65" t="s">
        <v>47</v>
      </c>
      <c r="Z883" s="65" t="s">
        <v>48</v>
      </c>
      <c r="AA883" s="65" t="s">
        <v>49</v>
      </c>
      <c r="AB883">
        <v>995828446</v>
      </c>
      <c r="AC883" s="65"/>
      <c r="AD883">
        <v>50</v>
      </c>
    </row>
    <row r="884" spans="1:30" x14ac:dyDescent="0.3">
      <c r="A884" s="1">
        <v>46312</v>
      </c>
      <c r="B884" s="65" t="s">
        <v>4666</v>
      </c>
      <c r="C884" s="65" t="s">
        <v>5270</v>
      </c>
      <c r="D884" s="65" t="s">
        <v>29</v>
      </c>
      <c r="E884" s="65" t="s">
        <v>5271</v>
      </c>
      <c r="F884" s="65" t="s">
        <v>31</v>
      </c>
      <c r="G884" s="65" t="s">
        <v>5272</v>
      </c>
      <c r="H884" s="65" t="s">
        <v>5262</v>
      </c>
      <c r="I884" s="65" t="s">
        <v>5263</v>
      </c>
      <c r="J884" s="65" t="s">
        <v>5264</v>
      </c>
      <c r="K884" s="65" t="s">
        <v>3363</v>
      </c>
      <c r="L884" s="65" t="s">
        <v>37</v>
      </c>
      <c r="M884" s="65" t="s">
        <v>5265</v>
      </c>
      <c r="N884" s="65" t="s">
        <v>5266</v>
      </c>
      <c r="O884" s="65" t="s">
        <v>5262</v>
      </c>
      <c r="P884" s="65" t="s">
        <v>5273</v>
      </c>
      <c r="Q884" s="65" t="s">
        <v>158</v>
      </c>
      <c r="R884">
        <v>1</v>
      </c>
      <c r="S884" s="65" t="s">
        <v>42</v>
      </c>
      <c r="T884" s="65" t="s">
        <v>44</v>
      </c>
      <c r="U884" s="65" t="s">
        <v>44</v>
      </c>
      <c r="V884" s="65" t="s">
        <v>45</v>
      </c>
      <c r="W884" s="65" t="s">
        <v>60</v>
      </c>
      <c r="X884">
        <v>152.54</v>
      </c>
      <c r="Y884" s="65" t="s">
        <v>47</v>
      </c>
      <c r="Z884" s="65" t="s">
        <v>48</v>
      </c>
      <c r="AA884" s="65" t="s">
        <v>49</v>
      </c>
      <c r="AB884">
        <v>995828446</v>
      </c>
      <c r="AC884" s="65"/>
      <c r="AD884">
        <v>30</v>
      </c>
    </row>
    <row r="885" spans="1:30" x14ac:dyDescent="0.3">
      <c r="A885" s="1">
        <v>46312</v>
      </c>
      <c r="B885" s="65" t="s">
        <v>4666</v>
      </c>
      <c r="C885" s="65" t="s">
        <v>5274</v>
      </c>
      <c r="D885" s="65" t="s">
        <v>29</v>
      </c>
      <c r="E885" s="65" t="s">
        <v>5275</v>
      </c>
      <c r="F885" s="65" t="s">
        <v>31</v>
      </c>
      <c r="G885" s="65" t="s">
        <v>5276</v>
      </c>
      <c r="H885" s="65" t="s">
        <v>5277</v>
      </c>
      <c r="I885" s="65" t="s">
        <v>5278</v>
      </c>
      <c r="J885" s="65" t="s">
        <v>1300</v>
      </c>
      <c r="K885" s="65" t="s">
        <v>365</v>
      </c>
      <c r="L885" s="65" t="s">
        <v>37</v>
      </c>
      <c r="M885" s="65" t="s">
        <v>5279</v>
      </c>
      <c r="N885" s="65" t="s">
        <v>5280</v>
      </c>
      <c r="O885" s="65" t="s">
        <v>5277</v>
      </c>
      <c r="P885" s="65" t="s">
        <v>5281</v>
      </c>
      <c r="Q885" s="65" t="s">
        <v>130</v>
      </c>
      <c r="R885">
        <v>1</v>
      </c>
      <c r="S885" s="65" t="s">
        <v>42</v>
      </c>
      <c r="T885" s="65" t="s">
        <v>44</v>
      </c>
      <c r="U885" s="65" t="s">
        <v>44</v>
      </c>
      <c r="V885" s="65" t="s">
        <v>45</v>
      </c>
      <c r="W885" s="65" t="s">
        <v>60</v>
      </c>
      <c r="X885">
        <v>152.54</v>
      </c>
      <c r="Y885" s="65" t="s">
        <v>47</v>
      </c>
      <c r="Z885" s="65" t="s">
        <v>48</v>
      </c>
      <c r="AA885" s="65" t="s">
        <v>49</v>
      </c>
      <c r="AB885">
        <v>980702810</v>
      </c>
      <c r="AC885" s="65" t="s">
        <v>1305</v>
      </c>
      <c r="AD885">
        <v>30</v>
      </c>
    </row>
    <row r="886" spans="1:30" x14ac:dyDescent="0.3">
      <c r="A886" s="1">
        <v>46314</v>
      </c>
      <c r="B886" s="65" t="s">
        <v>4666</v>
      </c>
      <c r="C886" s="65" t="s">
        <v>5282</v>
      </c>
      <c r="D886" s="65" t="s">
        <v>29</v>
      </c>
      <c r="E886" s="65" t="s">
        <v>5283</v>
      </c>
      <c r="F886" s="65" t="s">
        <v>31</v>
      </c>
      <c r="G886" s="65" t="s">
        <v>5284</v>
      </c>
      <c r="H886" s="65" t="s">
        <v>5285</v>
      </c>
      <c r="I886" s="65" t="s">
        <v>5286</v>
      </c>
      <c r="J886" s="65" t="s">
        <v>774</v>
      </c>
      <c r="K886" s="65" t="s">
        <v>775</v>
      </c>
      <c r="L886" s="65" t="s">
        <v>37</v>
      </c>
      <c r="M886" s="65" t="s">
        <v>5287</v>
      </c>
      <c r="N886" s="65" t="s">
        <v>5288</v>
      </c>
      <c r="O886" s="65" t="s">
        <v>5285</v>
      </c>
      <c r="P886" s="65" t="s">
        <v>5289</v>
      </c>
      <c r="Q886" s="65" t="s">
        <v>202</v>
      </c>
      <c r="R886">
        <v>1</v>
      </c>
      <c r="S886" s="65" t="s">
        <v>42</v>
      </c>
      <c r="T886" s="65" t="s">
        <v>44</v>
      </c>
      <c r="U886" s="65" t="s">
        <v>44</v>
      </c>
      <c r="V886" s="65" t="s">
        <v>45</v>
      </c>
      <c r="W886" s="65" t="s">
        <v>46</v>
      </c>
      <c r="X886">
        <v>135.59</v>
      </c>
      <c r="Y886" s="65" t="s">
        <v>47</v>
      </c>
      <c r="Z886" s="65" t="s">
        <v>48</v>
      </c>
      <c r="AA886" s="65" t="s">
        <v>49</v>
      </c>
      <c r="AC886" s="65"/>
      <c r="AD886">
        <v>30</v>
      </c>
    </row>
    <row r="887" spans="1:30" x14ac:dyDescent="0.3">
      <c r="A887" s="1">
        <v>46314</v>
      </c>
      <c r="B887" s="65" t="s">
        <v>4666</v>
      </c>
      <c r="C887" s="65" t="s">
        <v>5290</v>
      </c>
      <c r="D887" s="65" t="s">
        <v>29</v>
      </c>
      <c r="E887" s="65" t="s">
        <v>5291</v>
      </c>
      <c r="F887" s="65" t="s">
        <v>31</v>
      </c>
      <c r="G887" s="65" t="s">
        <v>5292</v>
      </c>
      <c r="H887" s="65" t="s">
        <v>5293</v>
      </c>
      <c r="I887" s="65" t="s">
        <v>5294</v>
      </c>
      <c r="J887" s="65" t="s">
        <v>774</v>
      </c>
      <c r="K887" s="65" t="s">
        <v>775</v>
      </c>
      <c r="L887" s="65" t="s">
        <v>37</v>
      </c>
      <c r="M887" s="65" t="s">
        <v>5295</v>
      </c>
      <c r="N887" s="65" t="s">
        <v>5296</v>
      </c>
      <c r="O887" s="65" t="s">
        <v>5293</v>
      </c>
      <c r="P887" s="65" t="s">
        <v>5297</v>
      </c>
      <c r="Q887" s="65" t="s">
        <v>159</v>
      </c>
      <c r="R887">
        <v>1</v>
      </c>
      <c r="S887" s="65" t="s">
        <v>42</v>
      </c>
      <c r="T887" s="65" t="s">
        <v>44</v>
      </c>
      <c r="U887" s="65" t="s">
        <v>44</v>
      </c>
      <c r="V887" s="65" t="s">
        <v>531</v>
      </c>
      <c r="W887" s="65" t="s">
        <v>60</v>
      </c>
      <c r="X887">
        <v>135.59</v>
      </c>
      <c r="Y887" s="65" t="s">
        <v>47</v>
      </c>
      <c r="Z887" s="65" t="s">
        <v>48</v>
      </c>
      <c r="AA887" s="65" t="s">
        <v>534</v>
      </c>
      <c r="AC887" s="65"/>
      <c r="AD887">
        <v>30</v>
      </c>
    </row>
    <row r="888" spans="1:30" x14ac:dyDescent="0.3">
      <c r="A888" s="1">
        <v>46315</v>
      </c>
      <c r="B888" s="65" t="s">
        <v>4666</v>
      </c>
      <c r="C888" s="65" t="s">
        <v>5298</v>
      </c>
      <c r="D888" s="65" t="s">
        <v>29</v>
      </c>
      <c r="E888" s="65" t="s">
        <v>5299</v>
      </c>
      <c r="F888" s="65" t="s">
        <v>31</v>
      </c>
      <c r="G888" s="65" t="s">
        <v>5300</v>
      </c>
      <c r="H888" s="65" t="s">
        <v>5301</v>
      </c>
      <c r="I888" s="65" t="s">
        <v>5302</v>
      </c>
      <c r="J888" s="65" t="s">
        <v>774</v>
      </c>
      <c r="K888" s="65" t="s">
        <v>775</v>
      </c>
      <c r="L888" s="65" t="s">
        <v>37</v>
      </c>
      <c r="M888" s="65" t="s">
        <v>5303</v>
      </c>
      <c r="N888" s="65" t="s">
        <v>5304</v>
      </c>
      <c r="O888" s="65" t="s">
        <v>5301</v>
      </c>
      <c r="P888" s="65" t="s">
        <v>5305</v>
      </c>
      <c r="Q888" s="65" t="s">
        <v>159</v>
      </c>
      <c r="R888">
        <v>1</v>
      </c>
      <c r="S888" s="65" t="s">
        <v>42</v>
      </c>
      <c r="T888" s="65" t="s">
        <v>44</v>
      </c>
      <c r="U888" s="65" t="s">
        <v>44</v>
      </c>
      <c r="V888" s="65" t="s">
        <v>45</v>
      </c>
      <c r="W888" s="65" t="s">
        <v>46</v>
      </c>
      <c r="X888">
        <v>135.59</v>
      </c>
      <c r="Y888" s="65" t="s">
        <v>47</v>
      </c>
      <c r="Z888" s="65" t="s">
        <v>48</v>
      </c>
      <c r="AA888" s="65" t="s">
        <v>49</v>
      </c>
      <c r="AC888" s="65"/>
      <c r="AD888">
        <v>30</v>
      </c>
    </row>
    <row r="889" spans="1:30" x14ac:dyDescent="0.3">
      <c r="A889" s="1">
        <v>46315</v>
      </c>
      <c r="B889" s="65" t="s">
        <v>4666</v>
      </c>
      <c r="C889" s="65" t="s">
        <v>5306</v>
      </c>
      <c r="D889" s="65" t="s">
        <v>29</v>
      </c>
      <c r="E889" s="65" t="s">
        <v>5307</v>
      </c>
      <c r="F889" s="65" t="s">
        <v>31</v>
      </c>
      <c r="G889" s="65" t="s">
        <v>5308</v>
      </c>
      <c r="H889" s="65" t="s">
        <v>5309</v>
      </c>
      <c r="I889" s="65" t="s">
        <v>5310</v>
      </c>
      <c r="J889" s="65" t="s">
        <v>774</v>
      </c>
      <c r="K889" s="65" t="s">
        <v>775</v>
      </c>
      <c r="L889" s="65" t="s">
        <v>37</v>
      </c>
      <c r="M889" s="65" t="s">
        <v>5311</v>
      </c>
      <c r="N889" s="65" t="s">
        <v>5312</v>
      </c>
      <c r="O889" s="65" t="s">
        <v>5309</v>
      </c>
      <c r="P889" s="65" t="s">
        <v>5313</v>
      </c>
      <c r="Q889" s="65" t="s">
        <v>618</v>
      </c>
      <c r="R889">
        <v>1</v>
      </c>
      <c r="S889" s="65" t="s">
        <v>42</v>
      </c>
      <c r="T889" s="65" t="s">
        <v>44</v>
      </c>
      <c r="U889" s="65" t="s">
        <v>44</v>
      </c>
      <c r="V889" s="65" t="s">
        <v>45</v>
      </c>
      <c r="W889" s="65" t="s">
        <v>46</v>
      </c>
      <c r="X889">
        <v>12.71</v>
      </c>
      <c r="Y889" s="65" t="s">
        <v>619</v>
      </c>
      <c r="Z889" s="65" t="s">
        <v>48</v>
      </c>
      <c r="AA889" s="65" t="s">
        <v>49</v>
      </c>
      <c r="AC889" s="65"/>
    </row>
    <row r="890" spans="1:30" x14ac:dyDescent="0.3">
      <c r="A890" s="1">
        <v>46315</v>
      </c>
      <c r="B890" s="65" t="s">
        <v>4666</v>
      </c>
      <c r="C890" s="65" t="s">
        <v>5306</v>
      </c>
      <c r="D890" s="65" t="s">
        <v>29</v>
      </c>
      <c r="E890" s="65" t="s">
        <v>5307</v>
      </c>
      <c r="F890" s="65" t="s">
        <v>31</v>
      </c>
      <c r="G890" s="65" t="s">
        <v>5308</v>
      </c>
      <c r="H890" s="65" t="s">
        <v>5309</v>
      </c>
      <c r="I890" s="65" t="s">
        <v>5310</v>
      </c>
      <c r="J890" s="65" t="s">
        <v>774</v>
      </c>
      <c r="K890" s="65" t="s">
        <v>775</v>
      </c>
      <c r="L890" s="65" t="s">
        <v>37</v>
      </c>
      <c r="M890" s="65" t="s">
        <v>5311</v>
      </c>
      <c r="N890" s="65" t="s">
        <v>5312</v>
      </c>
      <c r="O890" s="65" t="s">
        <v>5309</v>
      </c>
      <c r="P890" s="65" t="s">
        <v>5313</v>
      </c>
      <c r="Q890" s="65" t="s">
        <v>618</v>
      </c>
      <c r="R890">
        <v>1</v>
      </c>
      <c r="S890" s="65" t="s">
        <v>42</v>
      </c>
      <c r="T890" s="65" t="s">
        <v>44</v>
      </c>
      <c r="U890" s="65" t="s">
        <v>44</v>
      </c>
      <c r="V890" s="65" t="s">
        <v>45</v>
      </c>
      <c r="W890" s="65" t="s">
        <v>46</v>
      </c>
      <c r="X890">
        <v>21.19</v>
      </c>
      <c r="Y890" s="65" t="s">
        <v>619</v>
      </c>
      <c r="Z890" s="65" t="s">
        <v>48</v>
      </c>
      <c r="AA890" s="65" t="s">
        <v>49</v>
      </c>
      <c r="AC890" s="65"/>
    </row>
    <row r="891" spans="1:30" x14ac:dyDescent="0.3">
      <c r="A891" s="1">
        <v>46315</v>
      </c>
      <c r="B891" s="65" t="s">
        <v>4666</v>
      </c>
      <c r="C891" s="65" t="s">
        <v>5306</v>
      </c>
      <c r="D891" s="65" t="s">
        <v>29</v>
      </c>
      <c r="E891" s="65" t="s">
        <v>5307</v>
      </c>
      <c r="F891" s="65" t="s">
        <v>31</v>
      </c>
      <c r="G891" s="65" t="s">
        <v>5308</v>
      </c>
      <c r="H891" s="65" t="s">
        <v>5309</v>
      </c>
      <c r="I891" s="65" t="s">
        <v>5310</v>
      </c>
      <c r="J891" s="65" t="s">
        <v>774</v>
      </c>
      <c r="K891" s="65" t="s">
        <v>775</v>
      </c>
      <c r="L891" s="65" t="s">
        <v>37</v>
      </c>
      <c r="M891" s="65" t="s">
        <v>5311</v>
      </c>
      <c r="N891" s="65" t="s">
        <v>5312</v>
      </c>
      <c r="O891" s="65" t="s">
        <v>5309</v>
      </c>
      <c r="P891" s="65" t="s">
        <v>5313</v>
      </c>
      <c r="Q891" s="65" t="s">
        <v>618</v>
      </c>
      <c r="R891">
        <v>1</v>
      </c>
      <c r="S891" s="65" t="s">
        <v>42</v>
      </c>
      <c r="T891" s="65" t="s">
        <v>44</v>
      </c>
      <c r="U891" s="65" t="s">
        <v>44</v>
      </c>
      <c r="V891" s="65" t="s">
        <v>45</v>
      </c>
      <c r="W891" s="65" t="s">
        <v>46</v>
      </c>
      <c r="X891">
        <v>12.71</v>
      </c>
      <c r="Y891" s="65" t="s">
        <v>619</v>
      </c>
      <c r="Z891" s="65" t="s">
        <v>48</v>
      </c>
      <c r="AA891" s="65" t="s">
        <v>49</v>
      </c>
      <c r="AC891" s="65"/>
    </row>
    <row r="892" spans="1:30" x14ac:dyDescent="0.3">
      <c r="A892" s="1">
        <v>46315</v>
      </c>
      <c r="B892" s="65" t="s">
        <v>4666</v>
      </c>
      <c r="C892" s="65" t="s">
        <v>5306</v>
      </c>
      <c r="D892" s="65" t="s">
        <v>29</v>
      </c>
      <c r="E892" s="65" t="s">
        <v>5307</v>
      </c>
      <c r="F892" s="65" t="s">
        <v>31</v>
      </c>
      <c r="G892" s="65" t="s">
        <v>5308</v>
      </c>
      <c r="H892" s="65" t="s">
        <v>5309</v>
      </c>
      <c r="I892" s="65" t="s">
        <v>5310</v>
      </c>
      <c r="J892" s="65" t="s">
        <v>774</v>
      </c>
      <c r="K892" s="65" t="s">
        <v>775</v>
      </c>
      <c r="L892" s="65" t="s">
        <v>37</v>
      </c>
      <c r="M892" s="65" t="s">
        <v>5311</v>
      </c>
      <c r="N892" s="65" t="s">
        <v>5312</v>
      </c>
      <c r="O892" s="65" t="s">
        <v>5309</v>
      </c>
      <c r="P892" s="65" t="s">
        <v>5313</v>
      </c>
      <c r="Q892" s="65" t="s">
        <v>618</v>
      </c>
      <c r="R892">
        <v>1</v>
      </c>
      <c r="S892" s="65" t="s">
        <v>42</v>
      </c>
      <c r="T892" s="65" t="s">
        <v>44</v>
      </c>
      <c r="U892" s="65" t="s">
        <v>44</v>
      </c>
      <c r="V892" s="65" t="s">
        <v>45</v>
      </c>
      <c r="W892" s="65" t="s">
        <v>46</v>
      </c>
      <c r="X892">
        <v>12.71</v>
      </c>
      <c r="Y892" s="65" t="s">
        <v>619</v>
      </c>
      <c r="Z892" s="65" t="s">
        <v>48</v>
      </c>
      <c r="AA892" s="65" t="s">
        <v>49</v>
      </c>
      <c r="AC892" s="65"/>
    </row>
    <row r="893" spans="1:30" x14ac:dyDescent="0.3">
      <c r="A893" s="1">
        <v>46315</v>
      </c>
      <c r="B893" s="65" t="s">
        <v>4666</v>
      </c>
      <c r="C893" s="65" t="s">
        <v>5306</v>
      </c>
      <c r="D893" s="65" t="s">
        <v>29</v>
      </c>
      <c r="E893" s="65" t="s">
        <v>5307</v>
      </c>
      <c r="F893" s="65" t="s">
        <v>31</v>
      </c>
      <c r="G893" s="65" t="s">
        <v>5308</v>
      </c>
      <c r="H893" s="65" t="s">
        <v>5309</v>
      </c>
      <c r="I893" s="65" t="s">
        <v>5310</v>
      </c>
      <c r="J893" s="65" t="s">
        <v>774</v>
      </c>
      <c r="K893" s="65" t="s">
        <v>775</v>
      </c>
      <c r="L893" s="65" t="s">
        <v>37</v>
      </c>
      <c r="M893" s="65" t="s">
        <v>5311</v>
      </c>
      <c r="N893" s="65" t="s">
        <v>5312</v>
      </c>
      <c r="O893" s="65" t="s">
        <v>5309</v>
      </c>
      <c r="P893" s="65" t="s">
        <v>5313</v>
      </c>
      <c r="Q893" s="65" t="s">
        <v>618</v>
      </c>
      <c r="R893">
        <v>1</v>
      </c>
      <c r="S893" s="65" t="s">
        <v>42</v>
      </c>
      <c r="T893" s="65" t="s">
        <v>44</v>
      </c>
      <c r="U893" s="65" t="s">
        <v>44</v>
      </c>
      <c r="V893" s="65" t="s">
        <v>45</v>
      </c>
      <c r="W893" s="65" t="s">
        <v>46</v>
      </c>
      <c r="X893">
        <v>50.85</v>
      </c>
      <c r="Y893" s="65" t="s">
        <v>619</v>
      </c>
      <c r="Z893" s="65" t="s">
        <v>48</v>
      </c>
      <c r="AA893" s="65" t="s">
        <v>49</v>
      </c>
      <c r="AC893" s="65"/>
    </row>
    <row r="894" spans="1:30" x14ac:dyDescent="0.3">
      <c r="A894" s="1">
        <v>46315</v>
      </c>
      <c r="B894" s="65" t="s">
        <v>4666</v>
      </c>
      <c r="C894" s="65" t="s">
        <v>5314</v>
      </c>
      <c r="D894" s="65" t="s">
        <v>29</v>
      </c>
      <c r="E894" s="65" t="s">
        <v>5315</v>
      </c>
      <c r="F894" s="65" t="s">
        <v>31</v>
      </c>
      <c r="G894" s="65" t="s">
        <v>5316</v>
      </c>
      <c r="H894" s="65" t="s">
        <v>5309</v>
      </c>
      <c r="I894" s="65" t="s">
        <v>5310</v>
      </c>
      <c r="J894" s="65" t="s">
        <v>774</v>
      </c>
      <c r="K894" s="65" t="s">
        <v>775</v>
      </c>
      <c r="L894" s="65" t="s">
        <v>37</v>
      </c>
      <c r="M894" s="65" t="s">
        <v>5311</v>
      </c>
      <c r="N894" s="65" t="s">
        <v>5312</v>
      </c>
      <c r="O894" s="65" t="s">
        <v>5309</v>
      </c>
      <c r="P894" s="65" t="s">
        <v>5317</v>
      </c>
      <c r="Q894" s="65" t="s">
        <v>828</v>
      </c>
      <c r="R894">
        <v>1</v>
      </c>
      <c r="S894" s="65" t="s">
        <v>42</v>
      </c>
      <c r="T894" s="65" t="s">
        <v>44</v>
      </c>
      <c r="U894" s="65" t="s">
        <v>44</v>
      </c>
      <c r="V894" s="65" t="s">
        <v>45</v>
      </c>
      <c r="W894" s="65" t="s">
        <v>46</v>
      </c>
      <c r="X894">
        <v>127.12</v>
      </c>
      <c r="Y894" s="65" t="s">
        <v>47</v>
      </c>
      <c r="Z894" s="65" t="s">
        <v>48</v>
      </c>
      <c r="AA894" s="65" t="s">
        <v>49</v>
      </c>
      <c r="AC894" s="65"/>
    </row>
    <row r="895" spans="1:30" x14ac:dyDescent="0.3">
      <c r="A895" s="1">
        <v>46315</v>
      </c>
      <c r="B895" s="65" t="s">
        <v>4666</v>
      </c>
      <c r="C895" s="65" t="s">
        <v>5318</v>
      </c>
      <c r="D895" s="65" t="s">
        <v>29</v>
      </c>
      <c r="E895" s="65" t="s">
        <v>5319</v>
      </c>
      <c r="F895" s="65" t="s">
        <v>31</v>
      </c>
      <c r="G895" s="65" t="s">
        <v>5320</v>
      </c>
      <c r="H895" s="65" t="s">
        <v>5309</v>
      </c>
      <c r="I895" s="65" t="s">
        <v>5310</v>
      </c>
      <c r="J895" s="65" t="s">
        <v>774</v>
      </c>
      <c r="K895" s="65" t="s">
        <v>775</v>
      </c>
      <c r="L895" s="65" t="s">
        <v>37</v>
      </c>
      <c r="M895" s="65" t="s">
        <v>5311</v>
      </c>
      <c r="N895" s="65" t="s">
        <v>5312</v>
      </c>
      <c r="O895" s="65" t="s">
        <v>5309</v>
      </c>
      <c r="P895" s="65" t="s">
        <v>5321</v>
      </c>
      <c r="Q895" s="65" t="s">
        <v>641</v>
      </c>
      <c r="R895">
        <v>1</v>
      </c>
      <c r="S895" s="65" t="s">
        <v>42</v>
      </c>
      <c r="T895" s="65" t="s">
        <v>44</v>
      </c>
      <c r="U895" s="65" t="s">
        <v>44</v>
      </c>
      <c r="V895" s="65" t="s">
        <v>45</v>
      </c>
      <c r="W895" s="65" t="s">
        <v>46</v>
      </c>
      <c r="X895">
        <v>84.75</v>
      </c>
      <c r="Y895" s="65" t="s">
        <v>47</v>
      </c>
      <c r="Z895" s="65" t="s">
        <v>48</v>
      </c>
      <c r="AA895" s="65" t="s">
        <v>49</v>
      </c>
      <c r="AC895" s="65"/>
    </row>
    <row r="896" spans="1:30" x14ac:dyDescent="0.3">
      <c r="A896" s="1">
        <v>46315</v>
      </c>
      <c r="B896" s="65" t="s">
        <v>4666</v>
      </c>
      <c r="C896" s="65" t="s">
        <v>5322</v>
      </c>
      <c r="D896" s="65" t="s">
        <v>29</v>
      </c>
      <c r="E896" s="65" t="s">
        <v>5323</v>
      </c>
      <c r="F896" s="65" t="s">
        <v>31</v>
      </c>
      <c r="G896" s="65" t="s">
        <v>5324</v>
      </c>
      <c r="H896" s="65" t="s">
        <v>5325</v>
      </c>
      <c r="I896" s="65" t="s">
        <v>5326</v>
      </c>
      <c r="J896" s="65" t="s">
        <v>774</v>
      </c>
      <c r="K896" s="65" t="s">
        <v>775</v>
      </c>
      <c r="L896" s="65" t="s">
        <v>37</v>
      </c>
      <c r="M896" s="65" t="s">
        <v>5327</v>
      </c>
      <c r="N896" s="65" t="s">
        <v>5328</v>
      </c>
      <c r="O896" s="65" t="s">
        <v>5325</v>
      </c>
      <c r="P896" s="65" t="s">
        <v>5329</v>
      </c>
      <c r="Q896" s="65" t="s">
        <v>201</v>
      </c>
      <c r="R896">
        <v>1</v>
      </c>
      <c r="S896" s="65" t="s">
        <v>42</v>
      </c>
      <c r="T896" s="65" t="s">
        <v>44</v>
      </c>
      <c r="U896" s="65" t="s">
        <v>44</v>
      </c>
      <c r="V896" s="65" t="s">
        <v>45</v>
      </c>
      <c r="W896" s="65" t="s">
        <v>46</v>
      </c>
      <c r="X896">
        <v>152.54</v>
      </c>
      <c r="Y896" s="65" t="s">
        <v>47</v>
      </c>
      <c r="Z896" s="65" t="s">
        <v>48</v>
      </c>
      <c r="AA896" s="65" t="s">
        <v>49</v>
      </c>
      <c r="AC896" s="65"/>
      <c r="AD896">
        <v>30</v>
      </c>
    </row>
    <row r="897" spans="1:30" x14ac:dyDescent="0.3">
      <c r="A897" s="1">
        <v>46315</v>
      </c>
      <c r="B897" s="65" t="s">
        <v>4666</v>
      </c>
      <c r="C897" s="65" t="s">
        <v>5330</v>
      </c>
      <c r="D897" s="65" t="s">
        <v>29</v>
      </c>
      <c r="E897" s="65" t="s">
        <v>5331</v>
      </c>
      <c r="F897" s="65" t="s">
        <v>31</v>
      </c>
      <c r="G897" s="65" t="s">
        <v>5332</v>
      </c>
      <c r="H897" s="65" t="s">
        <v>5333</v>
      </c>
      <c r="I897" s="65" t="s">
        <v>5334</v>
      </c>
      <c r="J897" s="65" t="s">
        <v>774</v>
      </c>
      <c r="K897" s="65" t="s">
        <v>775</v>
      </c>
      <c r="L897" s="65" t="s">
        <v>37</v>
      </c>
      <c r="M897" s="65" t="s">
        <v>5335</v>
      </c>
      <c r="N897" s="65" t="s">
        <v>5312</v>
      </c>
      <c r="O897" s="65" t="s">
        <v>5333</v>
      </c>
      <c r="P897" s="65" t="s">
        <v>5336</v>
      </c>
      <c r="Q897" s="65" t="s">
        <v>641</v>
      </c>
      <c r="R897">
        <v>1</v>
      </c>
      <c r="S897" s="65" t="s">
        <v>42</v>
      </c>
      <c r="T897" s="65" t="s">
        <v>44</v>
      </c>
      <c r="U897" s="65" t="s">
        <v>44</v>
      </c>
      <c r="V897" s="65" t="s">
        <v>45</v>
      </c>
      <c r="W897" s="65" t="s">
        <v>46</v>
      </c>
      <c r="X897">
        <v>84.75</v>
      </c>
      <c r="Y897" s="65" t="s">
        <v>47</v>
      </c>
      <c r="Z897" s="65" t="s">
        <v>48</v>
      </c>
      <c r="AA897" s="65" t="s">
        <v>49</v>
      </c>
      <c r="AC897" s="65"/>
    </row>
    <row r="898" spans="1:30" x14ac:dyDescent="0.3">
      <c r="A898" s="1">
        <v>46315</v>
      </c>
      <c r="B898" s="65" t="s">
        <v>4666</v>
      </c>
      <c r="C898" s="65" t="s">
        <v>5337</v>
      </c>
      <c r="D898" s="65" t="s">
        <v>268</v>
      </c>
      <c r="E898" s="65" t="s">
        <v>5338</v>
      </c>
      <c r="F898" s="65" t="s">
        <v>31</v>
      </c>
      <c r="G898" s="65" t="s">
        <v>5339</v>
      </c>
      <c r="H898" s="65" t="s">
        <v>5309</v>
      </c>
      <c r="I898" s="65" t="s">
        <v>5118</v>
      </c>
      <c r="J898" s="65" t="s">
        <v>774</v>
      </c>
      <c r="K898" s="65" t="s">
        <v>775</v>
      </c>
      <c r="L898" s="65" t="s">
        <v>37</v>
      </c>
      <c r="M898" s="65" t="s">
        <v>5311</v>
      </c>
      <c r="N898" s="65" t="s">
        <v>5312</v>
      </c>
      <c r="O898" s="65" t="s">
        <v>798</v>
      </c>
      <c r="P898" s="65" t="s">
        <v>5340</v>
      </c>
      <c r="Q898" s="65" t="s">
        <v>288</v>
      </c>
      <c r="R898">
        <v>1</v>
      </c>
      <c r="S898" s="65" t="s">
        <v>42</v>
      </c>
      <c r="T898" s="65" t="s">
        <v>44</v>
      </c>
      <c r="U898" s="65" t="s">
        <v>44</v>
      </c>
      <c r="V898" s="65" t="s">
        <v>45</v>
      </c>
      <c r="W898" s="65" t="s">
        <v>46</v>
      </c>
      <c r="X898">
        <v>0</v>
      </c>
      <c r="Y898" s="65" t="s">
        <v>289</v>
      </c>
      <c r="Z898" s="65" t="s">
        <v>48</v>
      </c>
      <c r="AA898" s="65" t="s">
        <v>49</v>
      </c>
      <c r="AC898" s="65"/>
    </row>
    <row r="899" spans="1:30" x14ac:dyDescent="0.3">
      <c r="A899" s="1">
        <v>46315</v>
      </c>
      <c r="B899" s="65" t="s">
        <v>4666</v>
      </c>
      <c r="C899" s="65" t="s">
        <v>5337</v>
      </c>
      <c r="D899" s="65" t="s">
        <v>268</v>
      </c>
      <c r="E899" s="65" t="s">
        <v>5338</v>
      </c>
      <c r="F899" s="65" t="s">
        <v>31</v>
      </c>
      <c r="G899" s="65" t="s">
        <v>5339</v>
      </c>
      <c r="H899" s="65" t="s">
        <v>5309</v>
      </c>
      <c r="I899" s="65" t="s">
        <v>5118</v>
      </c>
      <c r="J899" s="65" t="s">
        <v>774</v>
      </c>
      <c r="K899" s="65" t="s">
        <v>775</v>
      </c>
      <c r="L899" s="65" t="s">
        <v>37</v>
      </c>
      <c r="M899" s="65" t="s">
        <v>5311</v>
      </c>
      <c r="N899" s="65" t="s">
        <v>5312</v>
      </c>
      <c r="O899" s="65" t="s">
        <v>798</v>
      </c>
      <c r="P899" s="65" t="s">
        <v>5340</v>
      </c>
      <c r="Q899" s="65" t="s">
        <v>290</v>
      </c>
      <c r="R899">
        <v>1</v>
      </c>
      <c r="S899" s="65" t="s">
        <v>42</v>
      </c>
      <c r="T899" s="65" t="s">
        <v>44</v>
      </c>
      <c r="U899" s="65" t="s">
        <v>44</v>
      </c>
      <c r="V899" s="65" t="s">
        <v>45</v>
      </c>
      <c r="W899" s="65" t="s">
        <v>46</v>
      </c>
      <c r="X899">
        <v>1525.42</v>
      </c>
      <c r="Y899" s="65" t="s">
        <v>289</v>
      </c>
      <c r="Z899" s="65" t="s">
        <v>48</v>
      </c>
      <c r="AA899" s="65" t="s">
        <v>49</v>
      </c>
      <c r="AC899" s="65"/>
    </row>
    <row r="900" spans="1:30" x14ac:dyDescent="0.3">
      <c r="A900" s="1">
        <v>46316</v>
      </c>
      <c r="B900" s="65" t="s">
        <v>4666</v>
      </c>
      <c r="C900" s="65" t="s">
        <v>5341</v>
      </c>
      <c r="D900" s="65" t="s">
        <v>268</v>
      </c>
      <c r="E900" s="65" t="s">
        <v>5342</v>
      </c>
      <c r="F900" s="65" t="s">
        <v>31</v>
      </c>
      <c r="G900" s="65" t="s">
        <v>5343</v>
      </c>
      <c r="H900" s="65" t="s">
        <v>4882</v>
      </c>
      <c r="I900" s="65" t="s">
        <v>5001</v>
      </c>
      <c r="J900" s="65" t="s">
        <v>477</v>
      </c>
      <c r="K900" s="65" t="s">
        <v>209</v>
      </c>
      <c r="L900" s="65" t="s">
        <v>37</v>
      </c>
      <c r="M900" s="65" t="s">
        <v>4883</v>
      </c>
      <c r="N900" s="65" t="s">
        <v>608</v>
      </c>
      <c r="O900" s="65" t="s">
        <v>486</v>
      </c>
      <c r="P900" s="65" t="s">
        <v>5344</v>
      </c>
      <c r="Q900" s="65" t="s">
        <v>288</v>
      </c>
      <c r="R900">
        <v>1</v>
      </c>
      <c r="S900" s="65" t="s">
        <v>42</v>
      </c>
      <c r="T900" s="65" t="s">
        <v>44</v>
      </c>
      <c r="U900" s="65" t="s">
        <v>44</v>
      </c>
      <c r="V900" s="65" t="s">
        <v>45</v>
      </c>
      <c r="W900" s="65" t="s">
        <v>46</v>
      </c>
      <c r="X900">
        <v>0</v>
      </c>
      <c r="Y900" s="65" t="s">
        <v>289</v>
      </c>
      <c r="Z900" s="65" t="s">
        <v>48</v>
      </c>
      <c r="AA900" s="65" t="s">
        <v>49</v>
      </c>
      <c r="AB900">
        <v>982536223</v>
      </c>
      <c r="AC900" s="65" t="s">
        <v>482</v>
      </c>
    </row>
    <row r="901" spans="1:30" x14ac:dyDescent="0.3">
      <c r="A901" s="1">
        <v>46316</v>
      </c>
      <c r="B901" s="65" t="s">
        <v>4666</v>
      </c>
      <c r="C901" s="65" t="s">
        <v>5341</v>
      </c>
      <c r="D901" s="65" t="s">
        <v>268</v>
      </c>
      <c r="E901" s="65" t="s">
        <v>5342</v>
      </c>
      <c r="F901" s="65" t="s">
        <v>31</v>
      </c>
      <c r="G901" s="65" t="s">
        <v>5343</v>
      </c>
      <c r="H901" s="65" t="s">
        <v>4882</v>
      </c>
      <c r="I901" s="65" t="s">
        <v>5001</v>
      </c>
      <c r="J901" s="65" t="s">
        <v>477</v>
      </c>
      <c r="K901" s="65" t="s">
        <v>209</v>
      </c>
      <c r="L901" s="65" t="s">
        <v>37</v>
      </c>
      <c r="M901" s="65" t="s">
        <v>4883</v>
      </c>
      <c r="N901" s="65" t="s">
        <v>608</v>
      </c>
      <c r="O901" s="65" t="s">
        <v>486</v>
      </c>
      <c r="P901" s="65" t="s">
        <v>5344</v>
      </c>
      <c r="Q901" s="65" t="s">
        <v>1215</v>
      </c>
      <c r="R901">
        <v>1</v>
      </c>
      <c r="S901" s="65" t="s">
        <v>42</v>
      </c>
      <c r="T901" s="65" t="s">
        <v>44</v>
      </c>
      <c r="U901" s="65" t="s">
        <v>44</v>
      </c>
      <c r="V901" s="65" t="s">
        <v>45</v>
      </c>
      <c r="W901" s="65" t="s">
        <v>46</v>
      </c>
      <c r="X901">
        <v>139.83000000000001</v>
      </c>
      <c r="Y901" s="65" t="s">
        <v>289</v>
      </c>
      <c r="Z901" s="65" t="s">
        <v>48</v>
      </c>
      <c r="AA901" s="65" t="s">
        <v>49</v>
      </c>
      <c r="AB901">
        <v>982536223</v>
      </c>
      <c r="AC901" s="65" t="s">
        <v>482</v>
      </c>
    </row>
    <row r="902" spans="1:30" x14ac:dyDescent="0.3">
      <c r="A902" s="1">
        <v>46316</v>
      </c>
      <c r="B902" s="65" t="s">
        <v>4666</v>
      </c>
      <c r="C902" s="65" t="s">
        <v>5345</v>
      </c>
      <c r="D902" s="65" t="s">
        <v>29</v>
      </c>
      <c r="E902" s="65" t="s">
        <v>5346</v>
      </c>
      <c r="F902" s="65" t="s">
        <v>31</v>
      </c>
      <c r="G902" s="65" t="s">
        <v>5347</v>
      </c>
      <c r="H902" s="65" t="s">
        <v>5348</v>
      </c>
      <c r="I902" s="65" t="s">
        <v>5349</v>
      </c>
      <c r="J902" s="65" t="s">
        <v>5350</v>
      </c>
      <c r="K902" s="65" t="s">
        <v>345</v>
      </c>
      <c r="L902" s="65" t="s">
        <v>37</v>
      </c>
      <c r="M902" s="65" t="s">
        <v>5351</v>
      </c>
      <c r="N902" s="65" t="s">
        <v>5352</v>
      </c>
      <c r="O902" s="65" t="s">
        <v>5348</v>
      </c>
      <c r="P902" s="65" t="s">
        <v>5353</v>
      </c>
      <c r="Q902" s="65" t="s">
        <v>159</v>
      </c>
      <c r="R902">
        <v>1</v>
      </c>
      <c r="S902" s="65" t="s">
        <v>42</v>
      </c>
      <c r="T902" s="65" t="s">
        <v>44</v>
      </c>
      <c r="U902" s="65" t="s">
        <v>44</v>
      </c>
      <c r="V902" s="65" t="s">
        <v>45</v>
      </c>
      <c r="W902" s="65" t="s">
        <v>46</v>
      </c>
      <c r="X902">
        <v>135.59</v>
      </c>
      <c r="Y902" s="65" t="s">
        <v>47</v>
      </c>
      <c r="Z902" s="65" t="s">
        <v>48</v>
      </c>
      <c r="AA902" s="65" t="s">
        <v>49</v>
      </c>
      <c r="AB902">
        <v>986663575</v>
      </c>
      <c r="AC902" s="65"/>
      <c r="AD902">
        <v>30</v>
      </c>
    </row>
    <row r="903" spans="1:30" x14ac:dyDescent="0.3">
      <c r="A903" s="1">
        <v>46316</v>
      </c>
      <c r="B903" s="65" t="s">
        <v>4666</v>
      </c>
      <c r="C903" s="65" t="s">
        <v>5354</v>
      </c>
      <c r="D903" s="65" t="s">
        <v>29</v>
      </c>
      <c r="E903" s="65" t="s">
        <v>5355</v>
      </c>
      <c r="F903" s="65" t="s">
        <v>31</v>
      </c>
      <c r="G903" s="65" t="s">
        <v>5356</v>
      </c>
      <c r="H903" s="65" t="s">
        <v>4771</v>
      </c>
      <c r="I903" s="65" t="s">
        <v>4772</v>
      </c>
      <c r="J903" s="65" t="s">
        <v>4680</v>
      </c>
      <c r="K903" s="65" t="s">
        <v>1864</v>
      </c>
      <c r="L903" s="65" t="s">
        <v>37</v>
      </c>
      <c r="M903" s="65" t="s">
        <v>4773</v>
      </c>
      <c r="N903" s="65" t="s">
        <v>4774</v>
      </c>
      <c r="O903" s="65" t="s">
        <v>4771</v>
      </c>
      <c r="P903" s="65" t="s">
        <v>5357</v>
      </c>
      <c r="Q903" s="65" t="s">
        <v>59</v>
      </c>
      <c r="R903">
        <v>1</v>
      </c>
      <c r="S903" s="65" t="s">
        <v>42</v>
      </c>
      <c r="T903" s="65" t="s">
        <v>44</v>
      </c>
      <c r="U903" s="65" t="s">
        <v>44</v>
      </c>
      <c r="V903" s="65" t="s">
        <v>45</v>
      </c>
      <c r="W903" s="65" t="s">
        <v>46</v>
      </c>
      <c r="X903">
        <v>101.69</v>
      </c>
      <c r="Y903" s="65" t="s">
        <v>61</v>
      </c>
      <c r="Z903" s="65" t="s">
        <v>48</v>
      </c>
      <c r="AA903" s="65" t="s">
        <v>49</v>
      </c>
      <c r="AB903">
        <v>901918745</v>
      </c>
      <c r="AC903" s="65"/>
    </row>
    <row r="904" spans="1:30" x14ac:dyDescent="0.3">
      <c r="A904" s="1">
        <v>46317</v>
      </c>
      <c r="B904" s="65" t="s">
        <v>4666</v>
      </c>
      <c r="C904" s="65" t="s">
        <v>5358</v>
      </c>
      <c r="D904" s="65" t="s">
        <v>29</v>
      </c>
      <c r="E904" s="65" t="s">
        <v>5359</v>
      </c>
      <c r="F904" s="65" t="s">
        <v>31</v>
      </c>
      <c r="G904" s="65" t="s">
        <v>5360</v>
      </c>
      <c r="H904" s="65" t="s">
        <v>5361</v>
      </c>
      <c r="I904" s="65" t="s">
        <v>5362</v>
      </c>
      <c r="J904" s="65"/>
      <c r="K904" s="65"/>
      <c r="L904" s="65" t="s">
        <v>37</v>
      </c>
      <c r="M904" s="65" t="s">
        <v>5363</v>
      </c>
      <c r="N904" s="65" t="s">
        <v>4002</v>
      </c>
      <c r="O904" s="65" t="s">
        <v>5361</v>
      </c>
      <c r="P904" s="65" t="s">
        <v>5364</v>
      </c>
      <c r="Q904" s="65" t="s">
        <v>641</v>
      </c>
      <c r="R904">
        <v>1</v>
      </c>
      <c r="S904" s="65" t="s">
        <v>42</v>
      </c>
      <c r="T904" s="65" t="s">
        <v>44</v>
      </c>
      <c r="U904" s="65" t="s">
        <v>44</v>
      </c>
      <c r="V904" s="65" t="s">
        <v>45</v>
      </c>
      <c r="W904" s="65" t="s">
        <v>46</v>
      </c>
      <c r="X904">
        <v>84.75</v>
      </c>
      <c r="Y904" s="65" t="s">
        <v>47</v>
      </c>
      <c r="Z904" s="65" t="s">
        <v>48</v>
      </c>
      <c r="AA904" s="65" t="s">
        <v>49</v>
      </c>
      <c r="AC904" s="65"/>
    </row>
    <row r="905" spans="1:30" x14ac:dyDescent="0.3">
      <c r="A905" s="1">
        <v>46317</v>
      </c>
      <c r="B905" s="65" t="s">
        <v>4666</v>
      </c>
      <c r="C905" s="65" t="s">
        <v>5365</v>
      </c>
      <c r="D905" s="65" t="s">
        <v>29</v>
      </c>
      <c r="E905" s="65" t="s">
        <v>5366</v>
      </c>
      <c r="F905" s="65" t="s">
        <v>31</v>
      </c>
      <c r="G905" s="65" t="s">
        <v>5367</v>
      </c>
      <c r="H905" s="65" t="s">
        <v>5368</v>
      </c>
      <c r="I905" s="65" t="s">
        <v>5369</v>
      </c>
      <c r="J905" s="65"/>
      <c r="K905" s="65"/>
      <c r="L905" s="65" t="s">
        <v>37</v>
      </c>
      <c r="M905" s="65" t="s">
        <v>5370</v>
      </c>
      <c r="N905" s="65" t="s">
        <v>5371</v>
      </c>
      <c r="O905" s="65" t="s">
        <v>5368</v>
      </c>
      <c r="P905" s="65" t="s">
        <v>5372</v>
      </c>
      <c r="Q905" s="65" t="s">
        <v>201</v>
      </c>
      <c r="R905">
        <v>1</v>
      </c>
      <c r="S905" s="65" t="s">
        <v>42</v>
      </c>
      <c r="T905" s="65" t="s">
        <v>44</v>
      </c>
      <c r="U905" s="65" t="s">
        <v>44</v>
      </c>
      <c r="V905" s="65" t="s">
        <v>45</v>
      </c>
      <c r="W905" s="65" t="s">
        <v>46</v>
      </c>
      <c r="X905">
        <v>152.54</v>
      </c>
      <c r="Y905" s="65" t="s">
        <v>47</v>
      </c>
      <c r="Z905" s="65" t="s">
        <v>48</v>
      </c>
      <c r="AA905" s="65" t="s">
        <v>49</v>
      </c>
      <c r="AC905" s="65"/>
      <c r="AD905">
        <v>30</v>
      </c>
    </row>
    <row r="906" spans="1:30" x14ac:dyDescent="0.3">
      <c r="A906" s="1">
        <v>46317</v>
      </c>
      <c r="B906" s="65" t="s">
        <v>4666</v>
      </c>
      <c r="C906" s="65" t="s">
        <v>5373</v>
      </c>
      <c r="D906" s="65" t="s">
        <v>29</v>
      </c>
      <c r="E906" s="65" t="s">
        <v>5374</v>
      </c>
      <c r="F906" s="65" t="s">
        <v>31</v>
      </c>
      <c r="G906" s="65" t="s">
        <v>5375</v>
      </c>
      <c r="H906" s="65" t="s">
        <v>5376</v>
      </c>
      <c r="I906" s="65" t="s">
        <v>5377</v>
      </c>
      <c r="J906" s="65"/>
      <c r="K906" s="65"/>
      <c r="L906" s="65" t="s">
        <v>37</v>
      </c>
      <c r="M906" s="65" t="s">
        <v>5378</v>
      </c>
      <c r="N906" s="65" t="s">
        <v>5379</v>
      </c>
      <c r="O906" s="65" t="s">
        <v>5376</v>
      </c>
      <c r="P906" s="65" t="s">
        <v>5380</v>
      </c>
      <c r="Q906" s="65" t="s">
        <v>101</v>
      </c>
      <c r="R906">
        <v>1</v>
      </c>
      <c r="S906" s="65" t="s">
        <v>42</v>
      </c>
      <c r="T906" s="65" t="s">
        <v>44</v>
      </c>
      <c r="U906" s="65" t="s">
        <v>44</v>
      </c>
      <c r="V906" s="65" t="s">
        <v>45</v>
      </c>
      <c r="W906" s="65" t="s">
        <v>46</v>
      </c>
      <c r="X906">
        <v>186.44</v>
      </c>
      <c r="Y906" s="65" t="s">
        <v>47</v>
      </c>
      <c r="Z906" s="65" t="s">
        <v>48</v>
      </c>
      <c r="AA906" s="65" t="s">
        <v>49</v>
      </c>
      <c r="AC906" s="65"/>
      <c r="AD906">
        <v>50</v>
      </c>
    </row>
    <row r="907" spans="1:30" x14ac:dyDescent="0.3">
      <c r="A907" s="1">
        <v>46317</v>
      </c>
      <c r="B907" s="65" t="s">
        <v>4666</v>
      </c>
      <c r="C907" s="65" t="s">
        <v>5381</v>
      </c>
      <c r="D907" s="65" t="s">
        <v>29</v>
      </c>
      <c r="E907" s="65" t="s">
        <v>5382</v>
      </c>
      <c r="F907" s="65" t="s">
        <v>31</v>
      </c>
      <c r="G907" s="65" t="s">
        <v>5383</v>
      </c>
      <c r="H907" s="65" t="s">
        <v>5384</v>
      </c>
      <c r="I907" s="65" t="s">
        <v>5385</v>
      </c>
      <c r="J907" s="65"/>
      <c r="K907" s="65"/>
      <c r="L907" s="65" t="s">
        <v>37</v>
      </c>
      <c r="M907" s="65" t="s">
        <v>5386</v>
      </c>
      <c r="N907" s="65" t="s">
        <v>5387</v>
      </c>
      <c r="O907" s="65" t="s">
        <v>5384</v>
      </c>
      <c r="P907" s="65" t="s">
        <v>5388</v>
      </c>
      <c r="Q907" s="65" t="s">
        <v>159</v>
      </c>
      <c r="R907">
        <v>1</v>
      </c>
      <c r="S907" s="65" t="s">
        <v>42</v>
      </c>
      <c r="T907" s="65" t="s">
        <v>44</v>
      </c>
      <c r="U907" s="65" t="s">
        <v>44</v>
      </c>
      <c r="V907" s="65" t="s">
        <v>45</v>
      </c>
      <c r="W907" s="65" t="s">
        <v>46</v>
      </c>
      <c r="X907">
        <v>135.59</v>
      </c>
      <c r="Y907" s="65" t="s">
        <v>47</v>
      </c>
      <c r="Z907" s="65" t="s">
        <v>48</v>
      </c>
      <c r="AA907" s="65" t="s">
        <v>49</v>
      </c>
      <c r="AC907" s="65"/>
      <c r="AD907">
        <v>30</v>
      </c>
    </row>
    <row r="908" spans="1:30" x14ac:dyDescent="0.3">
      <c r="A908" s="1">
        <v>46317</v>
      </c>
      <c r="B908" s="65" t="s">
        <v>4666</v>
      </c>
      <c r="C908" s="65" t="s">
        <v>5389</v>
      </c>
      <c r="D908" s="65" t="s">
        <v>29</v>
      </c>
      <c r="E908" s="65" t="s">
        <v>5390</v>
      </c>
      <c r="F908" s="65" t="s">
        <v>31</v>
      </c>
      <c r="G908" s="65" t="s">
        <v>5391</v>
      </c>
      <c r="H908" s="65" t="s">
        <v>5392</v>
      </c>
      <c r="I908" s="65" t="s">
        <v>5393</v>
      </c>
      <c r="J908" s="65"/>
      <c r="K908" s="65"/>
      <c r="L908" s="65" t="s">
        <v>37</v>
      </c>
      <c r="M908" s="65" t="s">
        <v>5394</v>
      </c>
      <c r="N908" s="65" t="s">
        <v>5395</v>
      </c>
      <c r="O908" s="65" t="s">
        <v>5392</v>
      </c>
      <c r="P908" s="65" t="s">
        <v>5396</v>
      </c>
      <c r="Q908" s="65" t="s">
        <v>90</v>
      </c>
      <c r="R908">
        <v>1</v>
      </c>
      <c r="S908" s="65" t="s">
        <v>42</v>
      </c>
      <c r="T908" s="65" t="s">
        <v>44</v>
      </c>
      <c r="U908" s="65" t="s">
        <v>44</v>
      </c>
      <c r="V908" s="65" t="s">
        <v>45</v>
      </c>
      <c r="W908" s="65" t="s">
        <v>46</v>
      </c>
      <c r="X908">
        <v>135.59</v>
      </c>
      <c r="Y908" s="65" t="s">
        <v>47</v>
      </c>
      <c r="Z908" s="65" t="s">
        <v>48</v>
      </c>
      <c r="AA908" s="65" t="s">
        <v>49</v>
      </c>
      <c r="AC908" s="65"/>
      <c r="AD908">
        <v>30</v>
      </c>
    </row>
    <row r="909" spans="1:30" x14ac:dyDescent="0.3">
      <c r="A909" s="1">
        <v>46317</v>
      </c>
      <c r="B909" s="65" t="s">
        <v>4666</v>
      </c>
      <c r="C909" s="65" t="s">
        <v>5397</v>
      </c>
      <c r="D909" s="65" t="s">
        <v>29</v>
      </c>
      <c r="E909" s="65" t="s">
        <v>5398</v>
      </c>
      <c r="F909" s="65" t="s">
        <v>31</v>
      </c>
      <c r="G909" s="65" t="s">
        <v>5399</v>
      </c>
      <c r="H909" s="65" t="s">
        <v>5400</v>
      </c>
      <c r="I909" s="65" t="s">
        <v>5401</v>
      </c>
      <c r="J909" s="65"/>
      <c r="K909" s="65"/>
      <c r="L909" s="65" t="s">
        <v>37</v>
      </c>
      <c r="M909" s="65" t="s">
        <v>5402</v>
      </c>
      <c r="N909" s="65" t="s">
        <v>5403</v>
      </c>
      <c r="O909" s="65" t="s">
        <v>5400</v>
      </c>
      <c r="P909" s="65" t="s">
        <v>5404</v>
      </c>
      <c r="Q909" s="65" t="s">
        <v>101</v>
      </c>
      <c r="R909">
        <v>1</v>
      </c>
      <c r="S909" s="65" t="s">
        <v>42</v>
      </c>
      <c r="T909" s="65" t="s">
        <v>44</v>
      </c>
      <c r="U909" s="65" t="s">
        <v>44</v>
      </c>
      <c r="V909" s="65" t="s">
        <v>45</v>
      </c>
      <c r="W909" s="65" t="s">
        <v>46</v>
      </c>
      <c r="X909">
        <v>186.44</v>
      </c>
      <c r="Y909" s="65" t="s">
        <v>47</v>
      </c>
      <c r="Z909" s="65" t="s">
        <v>48</v>
      </c>
      <c r="AA909" s="65" t="s">
        <v>49</v>
      </c>
      <c r="AC909" s="65"/>
      <c r="AD909">
        <v>50</v>
      </c>
    </row>
    <row r="910" spans="1:30" x14ac:dyDescent="0.3">
      <c r="A910" s="1">
        <v>46317</v>
      </c>
      <c r="B910" s="65" t="s">
        <v>4666</v>
      </c>
      <c r="C910" s="65" t="s">
        <v>5397</v>
      </c>
      <c r="D910" s="65" t="s">
        <v>29</v>
      </c>
      <c r="E910" s="65" t="s">
        <v>5398</v>
      </c>
      <c r="F910" s="65" t="s">
        <v>31</v>
      </c>
      <c r="G910" s="65" t="s">
        <v>5399</v>
      </c>
      <c r="H910" s="65" t="s">
        <v>5400</v>
      </c>
      <c r="I910" s="65" t="s">
        <v>5401</v>
      </c>
      <c r="J910" s="65"/>
      <c r="K910" s="65"/>
      <c r="L910" s="65" t="s">
        <v>37</v>
      </c>
      <c r="M910" s="65" t="s">
        <v>5402</v>
      </c>
      <c r="N910" s="65" t="s">
        <v>5403</v>
      </c>
      <c r="O910" s="65" t="s">
        <v>5400</v>
      </c>
      <c r="P910" s="65" t="s">
        <v>5404</v>
      </c>
      <c r="Q910" s="65" t="s">
        <v>101</v>
      </c>
      <c r="R910">
        <v>1</v>
      </c>
      <c r="S910" s="65" t="s">
        <v>42</v>
      </c>
      <c r="T910" s="65" t="s">
        <v>44</v>
      </c>
      <c r="U910" s="65" t="s">
        <v>44</v>
      </c>
      <c r="V910" s="65" t="s">
        <v>45</v>
      </c>
      <c r="W910" s="65" t="s">
        <v>46</v>
      </c>
      <c r="X910">
        <v>135.59</v>
      </c>
      <c r="Y910" s="65" t="s">
        <v>47</v>
      </c>
      <c r="Z910" s="65" t="s">
        <v>48</v>
      </c>
      <c r="AA910" s="65" t="s">
        <v>49</v>
      </c>
      <c r="AC910" s="65"/>
      <c r="AD910">
        <v>50</v>
      </c>
    </row>
    <row r="911" spans="1:30" x14ac:dyDescent="0.3">
      <c r="A911" s="1">
        <v>46317</v>
      </c>
      <c r="B911" s="65" t="s">
        <v>4666</v>
      </c>
      <c r="C911" s="65" t="s">
        <v>5405</v>
      </c>
      <c r="D911" s="65" t="s">
        <v>29</v>
      </c>
      <c r="E911" s="65" t="s">
        <v>5406</v>
      </c>
      <c r="F911" s="65" t="s">
        <v>31</v>
      </c>
      <c r="G911" s="65" t="s">
        <v>5407</v>
      </c>
      <c r="H911" s="65" t="s">
        <v>5408</v>
      </c>
      <c r="I911" s="65" t="s">
        <v>5409</v>
      </c>
      <c r="J911" s="65"/>
      <c r="K911" s="65"/>
      <c r="L911" s="65" t="s">
        <v>37</v>
      </c>
      <c r="M911" s="65" t="s">
        <v>5410</v>
      </c>
      <c r="N911" s="65" t="s">
        <v>608</v>
      </c>
      <c r="O911" s="65" t="s">
        <v>5408</v>
      </c>
      <c r="P911" s="65" t="s">
        <v>5411</v>
      </c>
      <c r="Q911" s="65" t="s">
        <v>288</v>
      </c>
      <c r="R911">
        <v>1</v>
      </c>
      <c r="S911" s="65" t="s">
        <v>42</v>
      </c>
      <c r="T911" s="65" t="s">
        <v>44</v>
      </c>
      <c r="U911" s="65" t="s">
        <v>44</v>
      </c>
      <c r="V911" s="65" t="s">
        <v>45</v>
      </c>
      <c r="W911" s="65" t="s">
        <v>46</v>
      </c>
      <c r="X911">
        <v>0</v>
      </c>
      <c r="Y911" s="65" t="s">
        <v>289</v>
      </c>
      <c r="Z911" s="65" t="s">
        <v>48</v>
      </c>
      <c r="AA911" s="65" t="s">
        <v>49</v>
      </c>
      <c r="AC911" s="65"/>
    </row>
    <row r="912" spans="1:30" x14ac:dyDescent="0.3">
      <c r="A912" s="1">
        <v>46317</v>
      </c>
      <c r="B912" s="65" t="s">
        <v>4666</v>
      </c>
      <c r="C912" s="65" t="s">
        <v>5405</v>
      </c>
      <c r="D912" s="65" t="s">
        <v>29</v>
      </c>
      <c r="E912" s="65" t="s">
        <v>5406</v>
      </c>
      <c r="F912" s="65" t="s">
        <v>31</v>
      </c>
      <c r="G912" s="65" t="s">
        <v>5407</v>
      </c>
      <c r="H912" s="65" t="s">
        <v>5408</v>
      </c>
      <c r="I912" s="65" t="s">
        <v>5409</v>
      </c>
      <c r="J912" s="65"/>
      <c r="K912" s="65"/>
      <c r="L912" s="65" t="s">
        <v>37</v>
      </c>
      <c r="M912" s="65" t="s">
        <v>5410</v>
      </c>
      <c r="N912" s="65" t="s">
        <v>608</v>
      </c>
      <c r="O912" s="65" t="s">
        <v>5408</v>
      </c>
      <c r="P912" s="65" t="s">
        <v>5411</v>
      </c>
      <c r="Q912" s="65" t="s">
        <v>290</v>
      </c>
      <c r="R912">
        <v>1</v>
      </c>
      <c r="S912" s="65" t="s">
        <v>42</v>
      </c>
      <c r="T912" s="65" t="s">
        <v>44</v>
      </c>
      <c r="U912" s="65" t="s">
        <v>44</v>
      </c>
      <c r="V912" s="65" t="s">
        <v>45</v>
      </c>
      <c r="W912" s="65" t="s">
        <v>46</v>
      </c>
      <c r="X912">
        <v>762.71</v>
      </c>
      <c r="Y912" s="65" t="s">
        <v>289</v>
      </c>
      <c r="Z912" s="65" t="s">
        <v>48</v>
      </c>
      <c r="AA912" s="65" t="s">
        <v>49</v>
      </c>
      <c r="AC912" s="65"/>
    </row>
    <row r="913" spans="1:30" x14ac:dyDescent="0.3">
      <c r="A913" s="1">
        <v>46317</v>
      </c>
      <c r="B913" s="65" t="s">
        <v>4666</v>
      </c>
      <c r="C913" s="65" t="s">
        <v>5412</v>
      </c>
      <c r="D913" s="65" t="s">
        <v>29</v>
      </c>
      <c r="E913" s="65" t="s">
        <v>5413</v>
      </c>
      <c r="F913" s="65" t="s">
        <v>31</v>
      </c>
      <c r="G913" s="65" t="s">
        <v>5414</v>
      </c>
      <c r="H913" s="65" t="s">
        <v>5415</v>
      </c>
      <c r="I913" s="65" t="s">
        <v>5416</v>
      </c>
      <c r="J913" s="65"/>
      <c r="K913" s="65"/>
      <c r="L913" s="65" t="s">
        <v>37</v>
      </c>
      <c r="M913" s="65" t="s">
        <v>5417</v>
      </c>
      <c r="N913" s="65" t="s">
        <v>608</v>
      </c>
      <c r="O913" s="65" t="s">
        <v>5415</v>
      </c>
      <c r="P913" s="65" t="s">
        <v>5418</v>
      </c>
      <c r="Q913" s="65" t="s">
        <v>288</v>
      </c>
      <c r="R913">
        <v>1</v>
      </c>
      <c r="S913" s="65" t="s">
        <v>42</v>
      </c>
      <c r="T913" s="65" t="s">
        <v>44</v>
      </c>
      <c r="U913" s="65" t="s">
        <v>44</v>
      </c>
      <c r="V913" s="65" t="s">
        <v>45</v>
      </c>
      <c r="W913" s="65" t="s">
        <v>46</v>
      </c>
      <c r="X913">
        <v>0</v>
      </c>
      <c r="Y913" s="65" t="s">
        <v>289</v>
      </c>
      <c r="Z913" s="65" t="s">
        <v>48</v>
      </c>
      <c r="AA913" s="65" t="s">
        <v>49</v>
      </c>
      <c r="AC913" s="65"/>
    </row>
    <row r="914" spans="1:30" x14ac:dyDescent="0.3">
      <c r="A914" s="1">
        <v>46317</v>
      </c>
      <c r="B914" s="65" t="s">
        <v>4666</v>
      </c>
      <c r="C914" s="65" t="s">
        <v>5412</v>
      </c>
      <c r="D914" s="65" t="s">
        <v>29</v>
      </c>
      <c r="E914" s="65" t="s">
        <v>5413</v>
      </c>
      <c r="F914" s="65" t="s">
        <v>31</v>
      </c>
      <c r="G914" s="65" t="s">
        <v>5414</v>
      </c>
      <c r="H914" s="65" t="s">
        <v>5415</v>
      </c>
      <c r="I914" s="65" t="s">
        <v>5416</v>
      </c>
      <c r="J914" s="65"/>
      <c r="K914" s="65"/>
      <c r="L914" s="65" t="s">
        <v>37</v>
      </c>
      <c r="M914" s="65" t="s">
        <v>5417</v>
      </c>
      <c r="N914" s="65" t="s">
        <v>608</v>
      </c>
      <c r="O914" s="65" t="s">
        <v>5415</v>
      </c>
      <c r="P914" s="65" t="s">
        <v>5418</v>
      </c>
      <c r="Q914" s="65" t="s">
        <v>290</v>
      </c>
      <c r="R914">
        <v>1</v>
      </c>
      <c r="S914" s="65" t="s">
        <v>42</v>
      </c>
      <c r="T914" s="65" t="s">
        <v>44</v>
      </c>
      <c r="U914" s="65" t="s">
        <v>44</v>
      </c>
      <c r="V914" s="65" t="s">
        <v>45</v>
      </c>
      <c r="W914" s="65" t="s">
        <v>46</v>
      </c>
      <c r="X914">
        <v>762.71</v>
      </c>
      <c r="Y914" s="65" t="s">
        <v>289</v>
      </c>
      <c r="Z914" s="65" t="s">
        <v>48</v>
      </c>
      <c r="AA914" s="65" t="s">
        <v>49</v>
      </c>
      <c r="AC914" s="65"/>
    </row>
    <row r="915" spans="1:30" x14ac:dyDescent="0.3">
      <c r="A915" s="1">
        <v>46318</v>
      </c>
      <c r="B915" s="65" t="s">
        <v>4666</v>
      </c>
      <c r="C915" s="65" t="s">
        <v>5419</v>
      </c>
      <c r="D915" s="65" t="s">
        <v>29</v>
      </c>
      <c r="E915" s="65" t="s">
        <v>5420</v>
      </c>
      <c r="F915" s="65" t="s">
        <v>31</v>
      </c>
      <c r="G915" s="65" t="s">
        <v>5421</v>
      </c>
      <c r="H915" s="65" t="s">
        <v>2706</v>
      </c>
      <c r="I915" s="65" t="s">
        <v>4257</v>
      </c>
      <c r="J915" s="65"/>
      <c r="K915" s="65"/>
      <c r="L915" s="65" t="s">
        <v>37</v>
      </c>
      <c r="M915" s="65" t="s">
        <v>2707</v>
      </c>
      <c r="N915" s="65" t="s">
        <v>2708</v>
      </c>
      <c r="O915" s="65" t="s">
        <v>2706</v>
      </c>
      <c r="P915" s="65" t="s">
        <v>5422</v>
      </c>
      <c r="Q915" s="65" t="s">
        <v>159</v>
      </c>
      <c r="R915">
        <v>1</v>
      </c>
      <c r="S915" s="65" t="s">
        <v>70</v>
      </c>
      <c r="T915" s="65" t="s">
        <v>43</v>
      </c>
      <c r="U915" s="65" t="s">
        <v>44</v>
      </c>
      <c r="V915" s="65" t="s">
        <v>71</v>
      </c>
      <c r="W915" s="65" t="s">
        <v>72</v>
      </c>
      <c r="X915">
        <v>135.59</v>
      </c>
      <c r="Y915" s="65" t="s">
        <v>47</v>
      </c>
      <c r="Z915" s="65" t="s">
        <v>48</v>
      </c>
      <c r="AA915" s="65" t="s">
        <v>73</v>
      </c>
      <c r="AC915" s="65"/>
      <c r="AD915">
        <v>30</v>
      </c>
    </row>
    <row r="916" spans="1:30" x14ac:dyDescent="0.3">
      <c r="A916" s="1">
        <v>46318</v>
      </c>
      <c r="B916" s="65" t="s">
        <v>4666</v>
      </c>
      <c r="C916" s="65" t="s">
        <v>5423</v>
      </c>
      <c r="D916" s="65" t="s">
        <v>29</v>
      </c>
      <c r="E916" s="65" t="s">
        <v>5424</v>
      </c>
      <c r="F916" s="65" t="s">
        <v>31</v>
      </c>
      <c r="G916" s="65" t="s">
        <v>5425</v>
      </c>
      <c r="H916" s="65" t="s">
        <v>5426</v>
      </c>
      <c r="I916" s="65" t="s">
        <v>5427</v>
      </c>
      <c r="J916" s="65"/>
      <c r="K916" s="65"/>
      <c r="L916" s="65" t="s">
        <v>37</v>
      </c>
      <c r="M916" s="65" t="s">
        <v>5428</v>
      </c>
      <c r="N916" s="65" t="s">
        <v>5429</v>
      </c>
      <c r="O916" s="65" t="s">
        <v>5426</v>
      </c>
      <c r="P916" s="65" t="s">
        <v>5430</v>
      </c>
      <c r="Q916" s="65" t="s">
        <v>90</v>
      </c>
      <c r="R916">
        <v>1</v>
      </c>
      <c r="S916" s="65" t="s">
        <v>42</v>
      </c>
      <c r="T916" s="65" t="s">
        <v>44</v>
      </c>
      <c r="U916" s="65" t="s">
        <v>44</v>
      </c>
      <c r="V916" s="65" t="s">
        <v>45</v>
      </c>
      <c r="W916" s="65" t="s">
        <v>46</v>
      </c>
      <c r="X916">
        <v>135.59</v>
      </c>
      <c r="Y916" s="65" t="s">
        <v>47</v>
      </c>
      <c r="Z916" s="65" t="s">
        <v>48</v>
      </c>
      <c r="AA916" s="65" t="s">
        <v>49</v>
      </c>
      <c r="AC916" s="65"/>
      <c r="AD916">
        <v>30</v>
      </c>
    </row>
    <row r="917" spans="1:30" x14ac:dyDescent="0.3">
      <c r="A917" s="1">
        <v>46319</v>
      </c>
      <c r="B917" s="65" t="s">
        <v>4666</v>
      </c>
      <c r="C917" s="65" t="s">
        <v>5431</v>
      </c>
      <c r="D917" s="65" t="s">
        <v>29</v>
      </c>
      <c r="E917" s="65" t="s">
        <v>5432</v>
      </c>
      <c r="F917" s="65" t="s">
        <v>31</v>
      </c>
      <c r="G917" s="65" t="s">
        <v>5433</v>
      </c>
      <c r="H917" s="65" t="s">
        <v>5434</v>
      </c>
      <c r="I917" s="65" t="s">
        <v>5435</v>
      </c>
      <c r="J917" s="65"/>
      <c r="K917" s="65"/>
      <c r="L917" s="65" t="s">
        <v>37</v>
      </c>
      <c r="M917" s="65" t="s">
        <v>5436</v>
      </c>
      <c r="N917" s="65" t="s">
        <v>5437</v>
      </c>
      <c r="O917" s="65" t="s">
        <v>5438</v>
      </c>
      <c r="P917" s="65" t="s">
        <v>5439</v>
      </c>
      <c r="Q917" s="65" t="s">
        <v>101</v>
      </c>
      <c r="R917">
        <v>1</v>
      </c>
      <c r="S917" s="65" t="s">
        <v>70</v>
      </c>
      <c r="T917" s="65" t="s">
        <v>43</v>
      </c>
      <c r="U917" s="65" t="s">
        <v>44</v>
      </c>
      <c r="V917" s="65" t="s">
        <v>71</v>
      </c>
      <c r="W917" s="65" t="s">
        <v>5440</v>
      </c>
      <c r="X917">
        <v>186.44</v>
      </c>
      <c r="Y917" s="65" t="s">
        <v>47</v>
      </c>
      <c r="Z917" s="65" t="s">
        <v>48</v>
      </c>
      <c r="AA917" s="65" t="s">
        <v>73</v>
      </c>
      <c r="AC917" s="65"/>
      <c r="AD917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6"/>
  <sheetViews>
    <sheetView workbookViewId="0">
      <selection sqref="A1:G1"/>
    </sheetView>
  </sheetViews>
  <sheetFormatPr baseColWidth="10" defaultRowHeight="14.4" x14ac:dyDescent="0.3"/>
  <cols>
    <col min="1" max="1" width="40.88671875" customWidth="1"/>
    <col min="2" max="2" width="15.33203125" customWidth="1"/>
    <col min="3" max="3" width="13.5546875" customWidth="1"/>
    <col min="4" max="4" width="12.5546875" customWidth="1"/>
    <col min="5" max="5" width="33.88671875" customWidth="1"/>
    <col min="6" max="6" width="15.33203125" customWidth="1"/>
    <col min="7" max="7" width="13.5546875" customWidth="1"/>
  </cols>
  <sheetData>
    <row r="1" spans="1:7" ht="21" x14ac:dyDescent="0.4">
      <c r="A1" s="62" t="s">
        <v>4934</v>
      </c>
      <c r="B1" s="62"/>
      <c r="C1" s="62"/>
      <c r="D1" s="62"/>
      <c r="E1" s="62"/>
      <c r="F1" s="62"/>
      <c r="G1" s="62"/>
    </row>
    <row r="3" spans="1:7" x14ac:dyDescent="0.3">
      <c r="A3" s="61" t="s">
        <v>4935</v>
      </c>
      <c r="B3" s="61"/>
      <c r="C3" s="3" t="s">
        <v>4936</v>
      </c>
      <c r="E3" s="61" t="s">
        <v>4935</v>
      </c>
      <c r="F3" s="61"/>
      <c r="G3" s="3" t="s">
        <v>4936</v>
      </c>
    </row>
    <row r="4" spans="1:7" x14ac:dyDescent="0.3">
      <c r="A4" s="4" t="s">
        <v>4937</v>
      </c>
      <c r="B4" s="4" t="s">
        <v>4938</v>
      </c>
      <c r="C4" s="5">
        <f>+SUM(Tabla5[FACTURACIÓN])</f>
        <v>166117.67999999991</v>
      </c>
      <c r="E4" s="4" t="s">
        <v>4937</v>
      </c>
      <c r="F4" s="4" t="s">
        <v>4938</v>
      </c>
      <c r="G4" s="5">
        <f>+SUM(Tabla9[FACTURACIÓN])</f>
        <v>165507.53999999989</v>
      </c>
    </row>
    <row r="6" spans="1:7" x14ac:dyDescent="0.3">
      <c r="A6" s="61" t="s">
        <v>4939</v>
      </c>
      <c r="B6" s="61"/>
      <c r="C6" s="61"/>
      <c r="E6" s="61" t="s">
        <v>4940</v>
      </c>
      <c r="F6" s="61"/>
      <c r="G6" s="61"/>
    </row>
    <row r="7" spans="1:7" x14ac:dyDescent="0.3">
      <c r="A7" t="s">
        <v>8</v>
      </c>
      <c r="B7" t="s">
        <v>4941</v>
      </c>
      <c r="C7" t="s">
        <v>4942</v>
      </c>
      <c r="E7" t="s">
        <v>9</v>
      </c>
      <c r="F7" t="s">
        <v>4941</v>
      </c>
      <c r="G7" t="s">
        <v>4942</v>
      </c>
    </row>
    <row r="8" spans="1:7" x14ac:dyDescent="0.3">
      <c r="A8" s="44" t="s">
        <v>35</v>
      </c>
      <c r="B8" s="2">
        <f>+IF($B$4="TODOS",SUMIFS(Base_Precisa!X:X,Base_Precisa!J:J,Cálculo_Categorías!A8),SUMIFS(Base_Precisa!X:X,Base_Precisa!J:J,Cálculo_Categorías!A8,Base_Precisa!B:B,Cálculo_Categorías!$B$4))</f>
        <v>1271.17</v>
      </c>
      <c r="C8" t="str" cm="1">
        <f t="array" ref="C8">+_xlfn.IFS(Tabla5[[#This Row],[FACTURACIÓN]]&lt;500,"A",Tabla5[[#This Row],[FACTURACIÓN]]&lt;1000,"AA",Tabla5[[#This Row],[FACTURACIÓN]]&gt;=1000,"AAA")</f>
        <v>AAA</v>
      </c>
      <c r="E8" s="44" t="s">
        <v>36</v>
      </c>
      <c r="F8" s="2">
        <f>+IF($F$4="TODOS",SUMIFS(Base_Precisa!X:X,Base_Precisa!K:K,Cálculo_Categorías!E8),SUMIFS(Base_Precisa!X:X,Base_Precisa!K:K,Cálculo_Categorías!E8,Base_Precisa!B:B,Cálculo_Categorías!$F$4))</f>
        <v>12203.240000000007</v>
      </c>
      <c r="G8" t="str" cm="1">
        <f t="array" ref="G8">+_xlfn.IFS(Tabla9[[#This Row],[FACTURACIÓN]]&lt;200,"Sin Categoría",Tabla9[[#This Row],[FACTURACIÓN]]&lt;500,"A",Tabla9[[#This Row],[FACTURACIÓN]]&lt;1000,"AA",Tabla9[[#This Row],[FACTURACIÓN]]&gt;=1000,"AAA")</f>
        <v>AAA</v>
      </c>
    </row>
    <row r="9" spans="1:7" x14ac:dyDescent="0.3">
      <c r="A9" s="44" t="s">
        <v>96</v>
      </c>
      <c r="B9" s="2">
        <f>+IF($B$4="TODOS",SUMIFS(Base_Precisa!X:X,Base_Precisa!J:J,Cálculo_Categorías!A9),SUMIFS(Base_Precisa!X:X,Base_Precisa!J:J,Cálculo_Categorías!A9,Base_Precisa!B:B,Cálculo_Categorías!$B$4))</f>
        <v>372.88</v>
      </c>
      <c r="C9" t="str" cm="1">
        <f t="array" ref="C9">+_xlfn.IFS(Tabla5[[#This Row],[FACTURACIÓN]]&lt;500,"A",Tabla5[[#This Row],[FACTURACIÓN]]&lt;1000,"AA",Tabla5[[#This Row],[FACTURACIÓN]]&gt;=1000,"AAA")</f>
        <v>A</v>
      </c>
      <c r="E9" s="44" t="s">
        <v>97</v>
      </c>
      <c r="F9" s="2">
        <f>+IF($F$4="TODOS",SUMIFS(Base_Precisa!X:X,Base_Precisa!K:K,Cálculo_Categorías!E9),SUMIFS(Base_Precisa!X:X,Base_Precisa!K:K,Cálculo_Categorías!E9,Base_Precisa!B:B,Cálculo_Categorías!$F$4))</f>
        <v>1779.6399999999999</v>
      </c>
      <c r="G9" t="str" cm="1">
        <f t="array" ref="G9">+_xlfn.IFS(Tabla9[[#This Row],[FACTURACIÓN]]&lt;200,"Sin Categoría",Tabla9[[#This Row],[FACTURACIÓN]]&lt;500,"A",Tabla9[[#This Row],[FACTURACIÓN]]&lt;1000,"AA",Tabla9[[#This Row],[FACTURACIÓN]]&gt;=1000,"AAA")</f>
        <v>AAA</v>
      </c>
    </row>
    <row r="10" spans="1:7" x14ac:dyDescent="0.3">
      <c r="A10" s="44" t="s">
        <v>3385</v>
      </c>
      <c r="B10" s="2">
        <f>+IF($B$4="TODOS",SUMIFS(Base_Precisa!X:X,Base_Precisa!J:J,Cálculo_Categorías!A10),SUMIFS(Base_Precisa!X:X,Base_Precisa!J:J,Cálculo_Categorías!A10,Base_Precisa!B:B,Cálculo_Categorías!$B$4))</f>
        <v>271.18</v>
      </c>
      <c r="C10" t="str" cm="1">
        <f t="array" ref="C10">+_xlfn.IFS(Tabla5[[#This Row],[FACTURACIÓN]]&lt;500,"A",Tabla5[[#This Row],[FACTURACIÓN]]&lt;1000,"AA",Tabla5[[#This Row],[FACTURACIÓN]]&gt;=1000,"AAA")</f>
        <v>A</v>
      </c>
      <c r="E10" s="44" t="s">
        <v>1891</v>
      </c>
      <c r="F10" s="2">
        <f>+IF($F$4="TODOS",SUMIFS(Base_Precisa!X:X,Base_Precisa!K:K,Cálculo_Categorías!E10),SUMIFS(Base_Precisa!X:X,Base_Precisa!K:K,Cálculo_Categorías!E10,Base_Precisa!B:B,Cálculo_Categorías!$F$4))</f>
        <v>271.18</v>
      </c>
      <c r="G10" t="str" cm="1">
        <f t="array" ref="G10">+_xlfn.IFS(Tabla9[[#This Row],[FACTURACIÓN]]&lt;200,"Sin Categoría",Tabla9[[#This Row],[FACTURACIÓN]]&lt;500,"A",Tabla9[[#This Row],[FACTURACIÓN]]&lt;1000,"AA",Tabla9[[#This Row],[FACTURACIÓN]]&gt;=1000,"AAA")</f>
        <v>A</v>
      </c>
    </row>
    <row r="11" spans="1:7" x14ac:dyDescent="0.3">
      <c r="A11" s="44" t="s">
        <v>116</v>
      </c>
      <c r="B11" s="2">
        <f>+IF($B$4="TODOS",SUMIFS(Base_Precisa!X:X,Base_Precisa!J:J,Cálculo_Categorías!A11),SUMIFS(Base_Precisa!X:X,Base_Precisa!J:J,Cálculo_Categorías!A11,Base_Precisa!B:B,Cálculo_Categorías!$B$4))</f>
        <v>898.29</v>
      </c>
      <c r="C11" t="str" cm="1">
        <f t="array" ref="C11">+_xlfn.IFS(Tabla5[[#This Row],[FACTURACIÓN]]&lt;500,"A",Tabla5[[#This Row],[FACTURACIÓN]]&lt;1000,"AA",Tabla5[[#This Row],[FACTURACIÓN]]&gt;=1000,"AAA")</f>
        <v>AA</v>
      </c>
      <c r="E11" s="44" t="s">
        <v>117</v>
      </c>
      <c r="F11" s="2">
        <f>+IF($F$4="TODOS",SUMIFS(Base_Precisa!X:X,Base_Precisa!K:K,Cálculo_Categorías!E11),SUMIFS(Base_Precisa!X:X,Base_Precisa!K:K,Cálculo_Categorías!E11,Base_Precisa!B:B,Cálculo_Categorías!$F$4))</f>
        <v>898.29</v>
      </c>
      <c r="G11" t="str" cm="1">
        <f t="array" ref="G11">+_xlfn.IFS(Tabla9[[#This Row],[FACTURACIÓN]]&lt;200,"Sin Categoría",Tabla9[[#This Row],[FACTURACIÓN]]&lt;500,"A",Tabla9[[#This Row],[FACTURACIÓN]]&lt;1000,"AA",Tabla9[[#This Row],[FACTURACIÓN]]&gt;=1000,"AAA")</f>
        <v>AA</v>
      </c>
    </row>
    <row r="12" spans="1:7" x14ac:dyDescent="0.3">
      <c r="A12" s="44" t="s">
        <v>136</v>
      </c>
      <c r="B12" s="2">
        <f>+IF($B$4="TODOS",SUMIFS(Base_Precisa!X:X,Base_Precisa!J:J,Cálculo_Categorías!A12),SUMIFS(Base_Precisa!X:X,Base_Precisa!J:J,Cálculo_Categorías!A12,Base_Precisa!B:B,Cálculo_Categorías!$B$4))</f>
        <v>4338.93</v>
      </c>
      <c r="C12" t="str" cm="1">
        <f t="array" ref="C12">+_xlfn.IFS(Tabla5[[#This Row],[FACTURACIÓN]]&lt;500,"A",Tabla5[[#This Row],[FACTURACIÓN]]&lt;1000,"AA",Tabla5[[#This Row],[FACTURACIÓN]]&gt;=1000,"AAA")</f>
        <v>AAA</v>
      </c>
      <c r="E12" s="44" t="s">
        <v>137</v>
      </c>
      <c r="F12" s="2">
        <f>+IF($F$4="TODOS",SUMIFS(Base_Precisa!X:X,Base_Precisa!K:K,Cálculo_Categorías!E12),SUMIFS(Base_Precisa!X:X,Base_Precisa!K:K,Cálculo_Categorías!E12,Base_Precisa!B:B,Cálculo_Categorías!$F$4))</f>
        <v>4338.93</v>
      </c>
      <c r="G12" t="str" cm="1">
        <f t="array" ref="G12">+_xlfn.IFS(Tabla9[[#This Row],[FACTURACIÓN]]&lt;200,"Sin Categoría",Tabla9[[#This Row],[FACTURACIÓN]]&lt;500,"A",Tabla9[[#This Row],[FACTURACIÓN]]&lt;1000,"AA",Tabla9[[#This Row],[FACTURACIÓN]]&gt;=1000,"AAA")</f>
        <v>AAA</v>
      </c>
    </row>
    <row r="13" spans="1:7" x14ac:dyDescent="0.3">
      <c r="A13" s="44" t="s">
        <v>208</v>
      </c>
      <c r="B13" s="2">
        <f>+IF($B$4="TODOS",SUMIFS(Base_Precisa!X:X,Base_Precisa!J:J,Cálculo_Categorías!A13),SUMIFS(Base_Precisa!X:X,Base_Precisa!J:J,Cálculo_Categorías!A13,Base_Precisa!B:B,Cálculo_Categorías!$B$4))</f>
        <v>355.93</v>
      </c>
      <c r="C13" t="str" cm="1">
        <f t="array" ref="C13">+_xlfn.IFS(Tabla5[[#This Row],[FACTURACIÓN]]&lt;500,"A",Tabla5[[#This Row],[FACTURACIÓN]]&lt;1000,"AA",Tabla5[[#This Row],[FACTURACIÓN]]&gt;=1000,"AAA")</f>
        <v>A</v>
      </c>
      <c r="E13" s="44" t="s">
        <v>209</v>
      </c>
      <c r="F13" s="2">
        <f>+IF($F$4="TODOS",SUMIFS(Base_Precisa!X:X,Base_Precisa!K:K,Cálculo_Categorías!E13),SUMIFS(Base_Precisa!X:X,Base_Precisa!K:K,Cálculo_Categorías!E13,Base_Precisa!B:B,Cálculo_Categorías!$F$4))</f>
        <v>21639.64</v>
      </c>
      <c r="G13" t="str" cm="1">
        <f t="array" ref="G13">+_xlfn.IFS(Tabla9[[#This Row],[FACTURACIÓN]]&lt;200,"Sin Categoría",Tabla9[[#This Row],[FACTURACIÓN]]&lt;500,"A",Tabla9[[#This Row],[FACTURACIÓN]]&lt;1000,"AA",Tabla9[[#This Row],[FACTURACIÓN]]&gt;=1000,"AAA")</f>
        <v>AAA</v>
      </c>
    </row>
    <row r="14" spans="1:7" x14ac:dyDescent="0.3">
      <c r="A14" s="44" t="s">
        <v>227</v>
      </c>
      <c r="B14" s="2">
        <f>+IF($B$4="TODOS",SUMIFS(Base_Precisa!X:X,Base_Precisa!J:J,Cálculo_Categorías!A14),SUMIFS(Base_Precisa!X:X,Base_Precisa!J:J,Cálculo_Categorías!A14,Base_Precisa!B:B,Cálculo_Categorías!$B$4))</f>
        <v>0</v>
      </c>
      <c r="C14" t="str" cm="1">
        <f t="array" ref="C14">+_xlfn.IFS(Tabla5[[#This Row],[FACTURACIÓN]]&lt;500,"A",Tabla5[[#This Row],[FACTURACIÓN]]&lt;1000,"AA",Tabla5[[#This Row],[FACTURACIÓN]]&gt;=1000,"AAA")</f>
        <v>A</v>
      </c>
      <c r="E14" s="44" t="s">
        <v>412</v>
      </c>
      <c r="F14" s="2">
        <f>+IF($F$4="TODOS",SUMIFS(Base_Precisa!X:X,Base_Precisa!K:K,Cálculo_Categorías!E14),SUMIFS(Base_Precisa!X:X,Base_Precisa!K:K,Cálculo_Categorías!E14,Base_Precisa!B:B,Cálculo_Categorías!$F$4))</f>
        <v>3809.2900000000009</v>
      </c>
      <c r="G14" t="str" cm="1">
        <f t="array" ref="G14">+_xlfn.IFS(Tabla9[[#This Row],[FACTURACIÓN]]&lt;200,"Sin Categoría",Tabla9[[#This Row],[FACTURACIÓN]]&lt;500,"A",Tabla9[[#This Row],[FACTURACIÓN]]&lt;1000,"AA",Tabla9[[#This Row],[FACTURACIÓN]]&gt;=1000,"AAA")</f>
        <v>AAA</v>
      </c>
    </row>
    <row r="15" spans="1:7" x14ac:dyDescent="0.3">
      <c r="A15" s="44" t="s">
        <v>411</v>
      </c>
      <c r="B15" s="2">
        <f>+IF($B$4="TODOS",SUMIFS(Base_Precisa!X:X,Base_Precisa!J:J,Cálculo_Categorías!A15),SUMIFS(Base_Precisa!X:X,Base_Precisa!J:J,Cálculo_Categorías!A15,Base_Precisa!B:B,Cálculo_Categorías!$B$4))</f>
        <v>3809.2900000000009</v>
      </c>
      <c r="C15" t="str" cm="1">
        <f t="array" ref="C15">+_xlfn.IFS(Tabla5[[#This Row],[FACTURACIÓN]]&lt;500,"A",Tabla5[[#This Row],[FACTURACIÓN]]&lt;1000,"AA",Tabla5[[#This Row],[FACTURACIÓN]]&gt;=1000,"AAA")</f>
        <v>AAA</v>
      </c>
      <c r="E15" s="44" t="s">
        <v>262</v>
      </c>
      <c r="F15" s="2">
        <f>+IF($F$4="TODOS",SUMIFS(Base_Precisa!X:X,Base_Precisa!K:K,Cálculo_Categorías!E15),SUMIFS(Base_Precisa!X:X,Base_Precisa!K:K,Cálculo_Categorías!E15,Base_Precisa!B:B,Cálculo_Categorías!$F$4))</f>
        <v>1084.7400000000002</v>
      </c>
      <c r="G15" t="str" cm="1">
        <f t="array" ref="G15">+_xlfn.IFS(Tabla9[[#This Row],[FACTURACIÓN]]&lt;200,"Sin Categoría",Tabla9[[#This Row],[FACTURACIÓN]]&lt;500,"A",Tabla9[[#This Row],[FACTURACIÓN]]&lt;1000,"AA",Tabla9[[#This Row],[FACTURACIÓN]]&gt;=1000,"AAA")</f>
        <v>AAA</v>
      </c>
    </row>
    <row r="16" spans="1:7" x14ac:dyDescent="0.3">
      <c r="A16" s="44" t="s">
        <v>261</v>
      </c>
      <c r="B16" s="2">
        <f>+IF($B$4="TODOS",SUMIFS(Base_Precisa!X:X,Base_Precisa!J:J,Cálculo_Categorías!A16),SUMIFS(Base_Precisa!X:X,Base_Precisa!J:J,Cálculo_Categorías!A16,Base_Precisa!B:B,Cálculo_Categorías!$B$4))</f>
        <v>338.98</v>
      </c>
      <c r="C16" t="str" cm="1">
        <f t="array" ref="C16">+_xlfn.IFS(Tabla5[[#This Row],[FACTURACIÓN]]&lt;500,"A",Tabla5[[#This Row],[FACTURACIÓN]]&lt;1000,"AA",Tabla5[[#This Row],[FACTURACIÓN]]&gt;=1000,"AAA")</f>
        <v>A</v>
      </c>
      <c r="E16" s="44" t="s">
        <v>345</v>
      </c>
      <c r="F16" s="2">
        <f>+IF($F$4="TODOS",SUMIFS(Base_Precisa!X:X,Base_Precisa!K:K,Cálculo_Categorías!E16),SUMIFS(Base_Precisa!X:X,Base_Precisa!K:K,Cálculo_Categorías!E16,Base_Precisa!B:B,Cálculo_Categorías!$F$4))</f>
        <v>1322.0199999999998</v>
      </c>
      <c r="G16" t="str" cm="1">
        <f t="array" ref="G16">+_xlfn.IFS(Tabla9[[#This Row],[FACTURACIÓN]]&lt;200,"Sin Categoría",Tabla9[[#This Row],[FACTURACIÓN]]&lt;500,"A",Tabla9[[#This Row],[FACTURACIÓN]]&lt;1000,"AA",Tabla9[[#This Row],[FACTURACIÓN]]&gt;=1000,"AAA")</f>
        <v>AAA</v>
      </c>
    </row>
    <row r="17" spans="1:7" x14ac:dyDescent="0.3">
      <c r="A17" s="44" t="s">
        <v>344</v>
      </c>
      <c r="B17" s="2">
        <f>+IF($B$4="TODOS",SUMIFS(Base_Precisa!X:X,Base_Precisa!J:J,Cálculo_Categorías!A17),SUMIFS(Base_Precisa!X:X,Base_Precisa!J:J,Cálculo_Categorías!A17,Base_Precisa!B:B,Cálculo_Categorías!$B$4))</f>
        <v>881.34999999999991</v>
      </c>
      <c r="C17" t="str" cm="1">
        <f t="array" ref="C17">+_xlfn.IFS(Tabla5[[#This Row],[FACTURACIÓN]]&lt;500,"A",Tabla5[[#This Row],[FACTURACIÓN]]&lt;1000,"AA",Tabla5[[#This Row],[FACTURACIÓN]]&gt;=1000,"AAA")</f>
        <v>AA</v>
      </c>
      <c r="E17" s="44" t="s">
        <v>274</v>
      </c>
      <c r="F17" s="2">
        <f>+IF($F$4="TODOS",SUMIFS(Base_Precisa!X:X,Base_Precisa!K:K,Cálculo_Categorías!E17),SUMIFS(Base_Precisa!X:X,Base_Precisa!K:K,Cálculo_Categorías!E17,Base_Precisa!B:B,Cálculo_Categorías!$F$4))</f>
        <v>30101.659999999996</v>
      </c>
      <c r="G17" t="str" cm="1">
        <f t="array" ref="G17">+_xlfn.IFS(Tabla9[[#This Row],[FACTURACIÓN]]&lt;200,"Sin Categoría",Tabla9[[#This Row],[FACTURACIÓN]]&lt;500,"A",Tabla9[[#This Row],[FACTURACIÓN]]&lt;1000,"AA",Tabla9[[#This Row],[FACTURACIÓN]]&gt;=1000,"AAA")</f>
        <v>AAA</v>
      </c>
    </row>
    <row r="18" spans="1:7" x14ac:dyDescent="0.3">
      <c r="A18" s="44" t="s">
        <v>273</v>
      </c>
      <c r="B18" s="2">
        <f>+IF($B$4="TODOS",SUMIFS(Base_Precisa!X:X,Base_Precisa!J:J,Cálculo_Categorías!A18),SUMIFS(Base_Precisa!X:X,Base_Precisa!J:J,Cálculo_Categorías!A18,Base_Precisa!B:B,Cálculo_Categorías!$B$4))</f>
        <v>30101.659999999996</v>
      </c>
      <c r="C18" t="str" cm="1">
        <f t="array" ref="C18">+_xlfn.IFS(Tabla5[[#This Row],[FACTURACIÓN]]&lt;500,"A",Tabla5[[#This Row],[FACTURACIÓN]]&lt;1000,"AA",Tabla5[[#This Row],[FACTURACIÓN]]&gt;=1000,"AAA")</f>
        <v>AAA</v>
      </c>
      <c r="E18" s="44" t="s">
        <v>435</v>
      </c>
      <c r="F18" s="2">
        <f>+IF($F$4="TODOS",SUMIFS(Base_Precisa!X:X,Base_Precisa!K:K,Cálculo_Categorías!E18),SUMIFS(Base_Precisa!X:X,Base_Precisa!K:K,Cálculo_Categorías!E18,Base_Precisa!B:B,Cálculo_Categorías!$F$4))</f>
        <v>4033.8500000000008</v>
      </c>
      <c r="G18" t="str" cm="1">
        <f t="array" ref="G18">+_xlfn.IFS(Tabla9[[#This Row],[FACTURACIÓN]]&lt;200,"Sin Categoría",Tabla9[[#This Row],[FACTURACIÓN]]&lt;500,"A",Tabla9[[#This Row],[FACTURACIÓN]]&lt;1000,"AA",Tabla9[[#This Row],[FACTURACIÓN]]&gt;=1000,"AAA")</f>
        <v>AAA</v>
      </c>
    </row>
    <row r="19" spans="1:7" x14ac:dyDescent="0.3">
      <c r="A19" s="44" t="s">
        <v>434</v>
      </c>
      <c r="B19" s="2">
        <f>+IF($B$4="TODOS",SUMIFS(Base_Precisa!X:X,Base_Precisa!J:J,Cálculo_Categorías!A19),SUMIFS(Base_Precisa!X:X,Base_Precisa!J:J,Cálculo_Categorías!A19,Base_Precisa!B:B,Cálculo_Categorías!$B$4))</f>
        <v>4033.8500000000008</v>
      </c>
      <c r="C19" t="str" cm="1">
        <f t="array" ref="C19">+_xlfn.IFS(Tabla5[[#This Row],[FACTURACIÓN]]&lt;500,"A",Tabla5[[#This Row],[FACTURACIÓN]]&lt;1000,"AA",Tabla5[[#This Row],[FACTURACIÓN]]&gt;=1000,"AAA")</f>
        <v>AAA</v>
      </c>
      <c r="E19" s="44" t="s">
        <v>2025</v>
      </c>
      <c r="F19" s="2">
        <f>+IF($F$4="TODOS",SUMIFS(Base_Precisa!X:X,Base_Precisa!K:K,Cálculo_Categorías!E19),SUMIFS(Base_Precisa!X:X,Base_Precisa!K:K,Cálculo_Categorías!E19,Base_Precisa!B:B,Cálculo_Categorías!$F$4))</f>
        <v>559.31999999999994</v>
      </c>
      <c r="G19" t="str" cm="1">
        <f t="array" ref="G19">+_xlfn.IFS(Tabla9[[#This Row],[FACTURACIÓN]]&lt;200,"Sin Categoría",Tabla9[[#This Row],[FACTURACIÓN]]&lt;500,"A",Tabla9[[#This Row],[FACTURACIÓN]]&lt;1000,"AA",Tabla9[[#This Row],[FACTURACIÓN]]&gt;=1000,"AAA")</f>
        <v>AA</v>
      </c>
    </row>
    <row r="20" spans="1:7" x14ac:dyDescent="0.3">
      <c r="A20" s="44" t="s">
        <v>2024</v>
      </c>
      <c r="B20" s="2">
        <f>+IF($B$4="TODOS",SUMIFS(Base_Precisa!X:X,Base_Precisa!J:J,Cálculo_Categorías!A20),SUMIFS(Base_Precisa!X:X,Base_Precisa!J:J,Cálculo_Categorías!A20,Base_Precisa!B:B,Cálculo_Categorías!$B$4))</f>
        <v>559.31999999999994</v>
      </c>
      <c r="C20" t="str" cm="1">
        <f t="array" ref="C20">+_xlfn.IFS(Tabla5[[#This Row],[FACTURACIÓN]]&lt;500,"A",Tabla5[[#This Row],[FACTURACIÓN]]&lt;1000,"AA",Tabla5[[#This Row],[FACTURACIÓN]]&gt;=1000,"AAA")</f>
        <v>AA</v>
      </c>
      <c r="E20" s="44" t="s">
        <v>629</v>
      </c>
      <c r="F20" s="2">
        <f>+IF($F$4="TODOS",SUMIFS(Base_Precisa!X:X,Base_Precisa!K:K,Cálculo_Categorías!E20),SUMIFS(Base_Precisa!X:X,Base_Precisa!K:K,Cálculo_Categorías!E20,Base_Precisa!B:B,Cálculo_Categorías!$F$4))</f>
        <v>4275.42</v>
      </c>
      <c r="G20" t="str" cm="1">
        <f t="array" ref="G20">+_xlfn.IFS(Tabla9[[#This Row],[FACTURACIÓN]]&lt;200,"Sin Categoría",Tabla9[[#This Row],[FACTURACIÓN]]&lt;500,"A",Tabla9[[#This Row],[FACTURACIÓN]]&lt;1000,"AA",Tabla9[[#This Row],[FACTURACIÓN]]&gt;=1000,"AAA")</f>
        <v>AAA</v>
      </c>
    </row>
    <row r="21" spans="1:7" x14ac:dyDescent="0.3">
      <c r="A21" s="44" t="s">
        <v>477</v>
      </c>
      <c r="B21" s="2">
        <f>+IF($B$4="TODOS",SUMIFS(Base_Precisa!X:X,Base_Precisa!J:J,Cálculo_Categorías!A21),SUMIFS(Base_Precisa!X:X,Base_Precisa!J:J,Cálculo_Categorías!A21,Base_Precisa!B:B,Cálculo_Categorías!$B$4))</f>
        <v>2483.02</v>
      </c>
      <c r="C21" t="str" cm="1">
        <f t="array" ref="C21">+_xlfn.IFS(Tabla5[[#This Row],[FACTURACIÓN]]&lt;500,"A",Tabla5[[#This Row],[FACTURACIÓN]]&lt;1000,"AA",Tabla5[[#This Row],[FACTURACIÓN]]&gt;=1000,"AAA")</f>
        <v>AAA</v>
      </c>
      <c r="E21" s="44" t="s">
        <v>652</v>
      </c>
      <c r="F21" s="2">
        <f>+IF($F$4="TODOS",SUMIFS(Base_Precisa!X:X,Base_Precisa!K:K,Cálculo_Categorías!E21),SUMIFS(Base_Precisa!X:X,Base_Precisa!K:K,Cálculo_Categorías!E21,Base_Precisa!B:B,Cálculo_Categorías!$F$4))</f>
        <v>474.57</v>
      </c>
      <c r="G21" t="str" cm="1">
        <f t="array" ref="G21">+_xlfn.IFS(Tabla9[[#This Row],[FACTURACIÓN]]&lt;200,"Sin Categoría",Tabla9[[#This Row],[FACTURACIÓN]]&lt;500,"A",Tabla9[[#This Row],[FACTURACIÓN]]&lt;1000,"AA",Tabla9[[#This Row],[FACTURACIÓN]]&gt;=1000,"AAA")</f>
        <v>A</v>
      </c>
    </row>
    <row r="22" spans="1:7" x14ac:dyDescent="0.3">
      <c r="A22" s="44" t="s">
        <v>628</v>
      </c>
      <c r="B22" s="2">
        <f>+IF($B$4="TODOS",SUMIFS(Base_Precisa!X:X,Base_Precisa!J:J,Cálculo_Categorías!A22),SUMIFS(Base_Precisa!X:X,Base_Precisa!J:J,Cálculo_Categorías!A22,Base_Precisa!B:B,Cálculo_Categorías!$B$4))</f>
        <v>2750.0099999999998</v>
      </c>
      <c r="C22" t="str" cm="1">
        <f t="array" ref="C22">+_xlfn.IFS(Tabla5[[#This Row],[FACTURACIÓN]]&lt;500,"A",Tabla5[[#This Row],[FACTURACIÓN]]&lt;1000,"AA",Tabla5[[#This Row],[FACTURACIÓN]]&gt;=1000,"AAA")</f>
        <v>AAA</v>
      </c>
      <c r="E22" s="44" t="s">
        <v>716</v>
      </c>
      <c r="F22" s="2">
        <f>+IF($F$4="TODOS",SUMIFS(Base_Precisa!X:X,Base_Precisa!K:K,Cálculo_Categorías!E22),SUMIFS(Base_Precisa!X:X,Base_Precisa!K:K,Cálculo_Categorías!E22,Base_Precisa!B:B,Cálculo_Categorías!$F$4))</f>
        <v>4203.3400000000011</v>
      </c>
      <c r="G22" t="str" cm="1">
        <f t="array" ref="G22">+_xlfn.IFS(Tabla9[[#This Row],[FACTURACIÓN]]&lt;200,"Sin Categoría",Tabla9[[#This Row],[FACTURACIÓN]]&lt;500,"A",Tabla9[[#This Row],[FACTURACIÓN]]&lt;1000,"AA",Tabla9[[#This Row],[FACTURACIÓN]]&gt;=1000,"AAA")</f>
        <v>AAA</v>
      </c>
    </row>
    <row r="23" spans="1:7" x14ac:dyDescent="0.3">
      <c r="A23" s="44" t="s">
        <v>651</v>
      </c>
      <c r="B23" s="2">
        <f>+IF($B$4="TODOS",SUMIFS(Base_Precisa!X:X,Base_Precisa!J:J,Cálculo_Categorías!A23),SUMIFS(Base_Precisa!X:X,Base_Precisa!J:J,Cálculo_Categorías!A23,Base_Precisa!B:B,Cálculo_Categorías!$B$4))</f>
        <v>474.57</v>
      </c>
      <c r="C23" t="str" cm="1">
        <f t="array" ref="C23">+_xlfn.IFS(Tabla5[[#This Row],[FACTURACIÓN]]&lt;500,"A",Tabla5[[#This Row],[FACTURACIÓN]]&lt;1000,"AA",Tabla5[[#This Row],[FACTURACIÓN]]&gt;=1000,"AAA")</f>
        <v>A</v>
      </c>
      <c r="E23" s="44" t="s">
        <v>775</v>
      </c>
      <c r="F23" s="2">
        <f>+IF($F$4="TODOS",SUMIFS(Base_Precisa!X:X,Base_Precisa!K:K,Cálculo_Categorías!E23),SUMIFS(Base_Precisa!X:X,Base_Precisa!K:K,Cálculo_Categorías!E23,Base_Precisa!B:B,Cálculo_Categorías!$F$4))</f>
        <v>54012.599999999897</v>
      </c>
      <c r="G23" t="str" cm="1">
        <f t="array" ref="G23">+_xlfn.IFS(Tabla9[[#This Row],[FACTURACIÓN]]&lt;200,"Sin Categoría",Tabla9[[#This Row],[FACTURACIÓN]]&lt;500,"A",Tabla9[[#This Row],[FACTURACIÓN]]&lt;1000,"AA",Tabla9[[#This Row],[FACTURACIÓN]]&gt;=1000,"AAA")</f>
        <v>AAA</v>
      </c>
    </row>
    <row r="24" spans="1:7" x14ac:dyDescent="0.3">
      <c r="A24" s="44" t="s">
        <v>715</v>
      </c>
      <c r="B24" s="2">
        <f>+IF($B$4="TODOS",SUMIFS(Base_Precisa!X:X,Base_Precisa!J:J,Cálculo_Categorías!A24),SUMIFS(Base_Precisa!X:X,Base_Precisa!J:J,Cálculo_Categorías!A24,Base_Precisa!B:B,Cálculo_Categorías!$B$4))</f>
        <v>4203.3400000000011</v>
      </c>
      <c r="C24" t="str" cm="1">
        <f t="array" ref="C24">+_xlfn.IFS(Tabla5[[#This Row],[FACTURACIÓN]]&lt;500,"A",Tabla5[[#This Row],[FACTURACIÓN]]&lt;1000,"AA",Tabla5[[#This Row],[FACTURACIÓN]]&gt;=1000,"AAA")</f>
        <v>AAA</v>
      </c>
      <c r="E24" s="44" t="s">
        <v>1098</v>
      </c>
      <c r="F24" s="2">
        <f>+IF($F$4="TODOS",SUMIFS(Base_Precisa!X:X,Base_Precisa!K:K,Cálculo_Categorías!E24),SUMIFS(Base_Precisa!X:X,Base_Precisa!K:K,Cálculo_Categorías!E24,Base_Precisa!B:B,Cálculo_Categorías!$F$4))</f>
        <v>1254.22</v>
      </c>
      <c r="G24" t="str" cm="1">
        <f t="array" ref="G24">+_xlfn.IFS(Tabla9[[#This Row],[FACTURACIÓN]]&lt;200,"Sin Categoría",Tabla9[[#This Row],[FACTURACIÓN]]&lt;500,"A",Tabla9[[#This Row],[FACTURACIÓN]]&lt;1000,"AA",Tabla9[[#This Row],[FACTURACIÓN]]&gt;=1000,"AAA")</f>
        <v>AAA</v>
      </c>
    </row>
    <row r="25" spans="1:7" x14ac:dyDescent="0.3">
      <c r="A25" s="44" t="s">
        <v>762</v>
      </c>
      <c r="B25" s="2">
        <f>+IF($B$4="TODOS",SUMIFS(Base_Precisa!X:X,Base_Precisa!J:J,Cálculo_Categorías!A25),SUMIFS(Base_Precisa!X:X,Base_Precisa!J:J,Cálculo_Categorías!A25,Base_Precisa!B:B,Cálculo_Categorías!$B$4))</f>
        <v>1355.91</v>
      </c>
      <c r="C25" t="str" cm="1">
        <f t="array" ref="C25">+_xlfn.IFS(Tabla5[[#This Row],[FACTURACIÓN]]&lt;500,"A",Tabla5[[#This Row],[FACTURACIÓN]]&lt;1000,"AA",Tabla5[[#This Row],[FACTURACIÓN]]&gt;=1000,"AAA")</f>
        <v>AAA</v>
      </c>
      <c r="E25" s="44" t="s">
        <v>1165</v>
      </c>
      <c r="F25" s="2">
        <f>+IF($F$4="TODOS",SUMIFS(Base_Precisa!X:X,Base_Precisa!K:K,Cálculo_Categorías!E25),SUMIFS(Base_Precisa!X:X,Base_Precisa!K:K,Cálculo_Categorías!E25,Base_Precisa!B:B,Cálculo_Categorías!$F$4))</f>
        <v>1203.3800000000001</v>
      </c>
      <c r="G25" t="str" cm="1">
        <f t="array" ref="G25">+_xlfn.IFS(Tabla9[[#This Row],[FACTURACIÓN]]&lt;200,"Sin Categoría",Tabla9[[#This Row],[FACTURACIÓN]]&lt;500,"A",Tabla9[[#This Row],[FACTURACIÓN]]&lt;1000,"AA",Tabla9[[#This Row],[FACTURACIÓN]]&gt;=1000,"AAA")</f>
        <v>AAA</v>
      </c>
    </row>
    <row r="26" spans="1:7" x14ac:dyDescent="0.3">
      <c r="A26" s="44" t="s">
        <v>774</v>
      </c>
      <c r="B26" s="2">
        <f>+IF($B$4="TODOS",SUMIFS(Base_Precisa!X:X,Base_Precisa!J:J,Cálculo_Categorías!A26),SUMIFS(Base_Precisa!X:X,Base_Precisa!J:J,Cálculo_Categorías!A26,Base_Precisa!B:B,Cálculo_Categorías!$B$4))</f>
        <v>52995.659999999887</v>
      </c>
      <c r="C26" t="str" cm="1">
        <f t="array" ref="C26">+_xlfn.IFS(Tabla5[[#This Row],[FACTURACIÓN]]&lt;500,"A",Tabla5[[#This Row],[FACTURACIÓN]]&lt;1000,"AA",Tabla5[[#This Row],[FACTURACIÓN]]&gt;=1000,"AAA")</f>
        <v>AAA</v>
      </c>
      <c r="E26" s="44" t="s">
        <v>1222</v>
      </c>
      <c r="F26" s="2">
        <f>+IF($F$4="TODOS",SUMIFS(Base_Precisa!X:X,Base_Precisa!K:K,Cálculo_Categorías!E26),SUMIFS(Base_Precisa!X:X,Base_Precisa!K:K,Cálculo_Categorías!E26,Base_Precisa!B:B,Cálculo_Categorías!$F$4))</f>
        <v>135.59</v>
      </c>
      <c r="G26" t="str" cm="1">
        <f t="array" ref="G26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27" spans="1:7" x14ac:dyDescent="0.3">
      <c r="A27" s="44" t="s">
        <v>1064</v>
      </c>
      <c r="B27" s="2">
        <f>+IF($B$4="TODOS",SUMIFS(Base_Precisa!X:X,Base_Precisa!J:J,Cálculo_Categorías!A27),SUMIFS(Base_Precisa!X:X,Base_Precisa!J:J,Cálculo_Categorías!A27,Base_Precisa!B:B,Cálculo_Categorías!$B$4))</f>
        <v>135.59</v>
      </c>
      <c r="C27" t="str" cm="1">
        <f t="array" ref="C27">+_xlfn.IFS(Tabla5[[#This Row],[FACTURACIÓN]]&lt;500,"A",Tabla5[[#This Row],[FACTURACIÓN]]&lt;1000,"AA",Tabla5[[#This Row],[FACTURACIÓN]]&gt;=1000,"AAA")</f>
        <v>A</v>
      </c>
      <c r="E27" s="44" t="s">
        <v>365</v>
      </c>
      <c r="F27" s="2">
        <f>+IF($F$4="TODOS",SUMIFS(Base_Precisa!X:X,Base_Precisa!K:K,Cálculo_Categorías!E27),SUMIFS(Base_Precisa!X:X,Base_Precisa!K:K,Cálculo_Categorías!E27,Base_Precisa!B:B,Cálculo_Categorías!$F$4))</f>
        <v>2101.69</v>
      </c>
      <c r="G27" t="str" cm="1">
        <f t="array" ref="G27">+_xlfn.IFS(Tabla9[[#This Row],[FACTURACIÓN]]&lt;200,"Sin Categoría",Tabla9[[#This Row],[FACTURACIÓN]]&lt;500,"A",Tabla9[[#This Row],[FACTURACIÓN]]&lt;1000,"AA",Tabla9[[#This Row],[FACTURACIÓN]]&gt;=1000,"AAA")</f>
        <v>AAA</v>
      </c>
    </row>
    <row r="28" spans="1:7" x14ac:dyDescent="0.3">
      <c r="A28" s="44" t="s">
        <v>662</v>
      </c>
      <c r="B28" s="2">
        <f>+IF($B$4="TODOS",SUMIFS(Base_Precisa!X:X,Base_Precisa!J:J,Cálculo_Categorías!A28),SUMIFS(Base_Precisa!X:X,Base_Precisa!J:J,Cálculo_Categorías!A28,Base_Precisa!B:B,Cálculo_Categorías!$B$4))</f>
        <v>5665.19</v>
      </c>
      <c r="C28" t="str" cm="1">
        <f t="array" ref="C28">+_xlfn.IFS(Tabla5[[#This Row],[FACTURACIÓN]]&lt;500,"A",Tabla5[[#This Row],[FACTURACIÓN]]&lt;1000,"AA",Tabla5[[#This Row],[FACTURACIÓN]]&gt;=1000,"AAA")</f>
        <v>AAA</v>
      </c>
      <c r="E28" s="44" t="s">
        <v>1120</v>
      </c>
      <c r="F28" s="2">
        <f>+IF($F$4="TODOS",SUMIFS(Base_Precisa!X:X,Base_Precisa!K:K,Cálculo_Categorías!E28),SUMIFS(Base_Precisa!X:X,Base_Precisa!K:K,Cálculo_Categorías!E28,Base_Precisa!B:B,Cálculo_Categorías!$F$4))</f>
        <v>1398.3</v>
      </c>
      <c r="G28" t="str" cm="1">
        <f t="array" ref="G28">+_xlfn.IFS(Tabla9[[#This Row],[FACTURACIÓN]]&lt;200,"Sin Categoría",Tabla9[[#This Row],[FACTURACIÓN]]&lt;500,"A",Tabla9[[#This Row],[FACTURACIÓN]]&lt;1000,"AA",Tabla9[[#This Row],[FACTURACIÓN]]&gt;=1000,"AAA")</f>
        <v>AAA</v>
      </c>
    </row>
    <row r="29" spans="1:7" x14ac:dyDescent="0.3">
      <c r="A29" s="44" t="s">
        <v>1054</v>
      </c>
      <c r="B29" s="2">
        <f>+IF($B$4="TODOS",SUMIFS(Base_Precisa!X:X,Base_Precisa!J:J,Cálculo_Categorías!A29),SUMIFS(Base_Precisa!X:X,Base_Precisa!J:J,Cálculo_Categorías!A29,Base_Precisa!B:B,Cálculo_Categorías!$B$4))</f>
        <v>186.44</v>
      </c>
      <c r="C29" t="str" cm="1">
        <f t="array" ref="C29">+_xlfn.IFS(Tabla5[[#This Row],[FACTURACIÓN]]&lt;500,"A",Tabla5[[#This Row],[FACTURACIÓN]]&lt;1000,"AA",Tabla5[[#This Row],[FACTURACIÓN]]&gt;=1000,"AAA")</f>
        <v>A</v>
      </c>
      <c r="E29" s="44" t="s">
        <v>1154</v>
      </c>
      <c r="F29" s="2">
        <f>+IF($F$4="TODOS",SUMIFS(Base_Precisa!X:X,Base_Precisa!K:K,Cálculo_Categorías!E29),SUMIFS(Base_Precisa!X:X,Base_Precisa!K:K,Cálculo_Categorías!E29,Base_Precisa!B:B,Cálculo_Categorías!$F$4))</f>
        <v>661.0100000000001</v>
      </c>
      <c r="G29" t="str" cm="1">
        <f t="array" ref="G29">+_xlfn.IFS(Tabla9[[#This Row],[FACTURACIÓN]]&lt;200,"Sin Categoría",Tabla9[[#This Row],[FACTURACIÓN]]&lt;500,"A",Tabla9[[#This Row],[FACTURACIÓN]]&lt;1000,"AA",Tabla9[[#This Row],[FACTURACIÓN]]&gt;=1000,"AAA")</f>
        <v>AA</v>
      </c>
    </row>
    <row r="30" spans="1:7" x14ac:dyDescent="0.3">
      <c r="A30" s="44" t="s">
        <v>1073</v>
      </c>
      <c r="B30" s="2">
        <f>+IF($B$4="TODOS",SUMIFS(Base_Precisa!X:X,Base_Precisa!J:J,Cálculo_Categorías!A30),SUMIFS(Base_Precisa!X:X,Base_Precisa!J:J,Cálculo_Categorías!A30,Base_Precisa!B:B,Cálculo_Categorías!$B$4))</f>
        <v>1220.32</v>
      </c>
      <c r="C30" t="str" cm="1">
        <f t="array" ref="C30">+_xlfn.IFS(Tabla5[[#This Row],[FACTURACIÓN]]&lt;500,"A",Tabla5[[#This Row],[FACTURACIÓN]]&lt;1000,"AA",Tabla5[[#This Row],[FACTURACIÓN]]&gt;=1000,"AAA")</f>
        <v>AAA</v>
      </c>
      <c r="E30" s="44" t="s">
        <v>705</v>
      </c>
      <c r="F30" s="2">
        <f>+IF($F$4="TODOS",SUMIFS(Base_Precisa!X:X,Base_Precisa!K:K,Cálculo_Categorías!E30),SUMIFS(Base_Precisa!X:X,Base_Precisa!K:K,Cálculo_Categorías!E30,Base_Precisa!B:B,Cálculo_Categorías!$F$4))</f>
        <v>4033.8600000000006</v>
      </c>
      <c r="G30" t="str" cm="1">
        <f t="array" ref="G30">+_xlfn.IFS(Tabla9[[#This Row],[FACTURACIÓN]]&lt;200,"Sin Categoría",Tabla9[[#This Row],[FACTURACIÓN]]&lt;500,"A",Tabla9[[#This Row],[FACTURACIÓN]]&lt;1000,"AA",Tabla9[[#This Row],[FACTURACIÓN]]&gt;=1000,"AAA")</f>
        <v>AAA</v>
      </c>
    </row>
    <row r="31" spans="1:7" x14ac:dyDescent="0.3">
      <c r="A31" s="44" t="s">
        <v>1097</v>
      </c>
      <c r="B31" s="2">
        <f>+IF($B$4="TODOS",SUMIFS(Base_Precisa!X:X,Base_Precisa!J:J,Cálculo_Categorías!A31),SUMIFS(Base_Precisa!X:X,Base_Precisa!J:J,Cálculo_Categorías!A31,Base_Precisa!B:B,Cálculo_Categorías!$B$4))</f>
        <v>135.59</v>
      </c>
      <c r="C31" t="str" cm="1">
        <f t="array" ref="C31">+_xlfn.IFS(Tabla5[[#This Row],[FACTURACIÓN]]&lt;500,"A",Tabla5[[#This Row],[FACTURACIÓN]]&lt;1000,"AA",Tabla5[[#This Row],[FACTURACIÓN]]&gt;=1000,"AAA")</f>
        <v>A</v>
      </c>
      <c r="E31" s="44" t="s">
        <v>1423</v>
      </c>
      <c r="F31" s="2">
        <f>+IF($F$4="TODOS",SUMIFS(Base_Precisa!X:X,Base_Precisa!K:K,Cálculo_Categorías!E31),SUMIFS(Base_Precisa!X:X,Base_Precisa!K:K,Cálculo_Categorías!E31,Base_Precisa!B:B,Cálculo_Categorías!$F$4))</f>
        <v>932.19</v>
      </c>
      <c r="G31" t="str" cm="1">
        <f t="array" ref="G31">+_xlfn.IFS(Tabla9[[#This Row],[FACTURACIÓN]]&lt;200,"Sin Categoría",Tabla9[[#This Row],[FACTURACIÓN]]&lt;500,"A",Tabla9[[#This Row],[FACTURACIÓN]]&lt;1000,"AA",Tabla9[[#This Row],[FACTURACIÓN]]&gt;=1000,"AAA")</f>
        <v>AA</v>
      </c>
    </row>
    <row r="32" spans="1:7" x14ac:dyDescent="0.3">
      <c r="A32" s="44" t="s">
        <v>1108</v>
      </c>
      <c r="B32" s="2">
        <f>+IF($B$4="TODOS",SUMIFS(Base_Precisa!X:X,Base_Precisa!J:J,Cálculo_Categorías!A32),SUMIFS(Base_Precisa!X:X,Base_Precisa!J:J,Cálculo_Categorías!A32,Base_Precisa!B:B,Cálculo_Categorías!$B$4))</f>
        <v>2631.33</v>
      </c>
      <c r="C32" t="str" cm="1">
        <f t="array" ref="C32">+_xlfn.IFS(Tabla5[[#This Row],[FACTURACIÓN]]&lt;500,"A",Tabla5[[#This Row],[FACTURACIÓN]]&lt;1000,"AA",Tabla5[[#This Row],[FACTURACIÓN]]&gt;=1000,"AAA")</f>
        <v>AAA</v>
      </c>
      <c r="E32" s="44" t="s">
        <v>3037</v>
      </c>
      <c r="F32" s="2">
        <f>+IF($F$4="TODOS",SUMIFS(Base_Precisa!X:X,Base_Precisa!K:K,Cálculo_Categorías!E32),SUMIFS(Base_Precisa!X:X,Base_Precisa!K:K,Cálculo_Categorías!E32,Base_Precisa!B:B,Cálculo_Categorías!$F$4))</f>
        <v>932.19000000000017</v>
      </c>
      <c r="G32" t="str" cm="1">
        <f t="array" ref="G32">+_xlfn.IFS(Tabla9[[#This Row],[FACTURACIÓN]]&lt;200,"Sin Categoría",Tabla9[[#This Row],[FACTURACIÓN]]&lt;500,"A",Tabla9[[#This Row],[FACTURACIÓN]]&lt;1000,"AA",Tabla9[[#This Row],[FACTURACIÓN]]&gt;=1000,"AAA")</f>
        <v>AA</v>
      </c>
    </row>
    <row r="33" spans="1:7" x14ac:dyDescent="0.3">
      <c r="A33" s="44" t="s">
        <v>1164</v>
      </c>
      <c r="B33" s="2">
        <f>+IF($B$4="TODOS",SUMIFS(Base_Precisa!X:X,Base_Precisa!J:J,Cálculo_Categorías!A33),SUMIFS(Base_Precisa!X:X,Base_Precisa!J:J,Cálculo_Categorías!A33,Base_Precisa!B:B,Cálculo_Categorías!$B$4))</f>
        <v>525.42000000000007</v>
      </c>
      <c r="C33" t="str" cm="1">
        <f t="array" ref="C33">+_xlfn.IFS(Tabla5[[#This Row],[FACTURACIÓN]]&lt;500,"A",Tabla5[[#This Row],[FACTURACIÓN]]&lt;1000,"AA",Tabla5[[#This Row],[FACTURACIÓN]]&gt;=1000,"AAA")</f>
        <v>AA</v>
      </c>
      <c r="E33" s="44" t="s">
        <v>2558</v>
      </c>
      <c r="F33" s="2">
        <f>+IF($F$4="TODOS",SUMIFS(Base_Precisa!X:X,Base_Precisa!K:K,Cálculo_Categorías!E33),SUMIFS(Base_Precisa!X:X,Base_Precisa!K:K,Cálculo_Categorías!E33,Base_Precisa!B:B,Cálculo_Categorías!$F$4))</f>
        <v>1915.24</v>
      </c>
      <c r="G33" t="str" cm="1">
        <f t="array" ref="G33">+_xlfn.IFS(Tabla9[[#This Row],[FACTURACIÓN]]&lt;200,"Sin Categoría",Tabla9[[#This Row],[FACTURACIÓN]]&lt;500,"A",Tabla9[[#This Row],[FACTURACIÓN]]&lt;1000,"AA",Tabla9[[#This Row],[FACTURACIÓN]]&gt;=1000,"AAA")</f>
        <v>AAA</v>
      </c>
    </row>
    <row r="34" spans="1:7" x14ac:dyDescent="0.3">
      <c r="A34" s="44" t="s">
        <v>1184</v>
      </c>
      <c r="B34" s="2">
        <f>+IF($B$4="TODOS",SUMIFS(Base_Precisa!X:X,Base_Precisa!J:J,Cálculo_Categorías!A34),SUMIFS(Base_Precisa!X:X,Base_Precisa!J:J,Cálculo_Categorías!A34,Base_Precisa!B:B,Cálculo_Categorías!$B$4))</f>
        <v>322.02999999999997</v>
      </c>
      <c r="C34" t="str" cm="1">
        <f t="array" ref="C34">+_xlfn.IFS(Tabla5[[#This Row],[FACTURACIÓN]]&lt;500,"A",Tabla5[[#This Row],[FACTURACIÓN]]&lt;1000,"AA",Tabla5[[#This Row],[FACTURACIÓN]]&gt;=1000,"AAA")</f>
        <v>A</v>
      </c>
      <c r="E34" s="44" t="s">
        <v>1481</v>
      </c>
      <c r="F34" s="2">
        <f>+IF($F$4="TODOS",SUMIFS(Base_Precisa!X:X,Base_Precisa!K:K,Cálculo_Categorías!E34),SUMIFS(Base_Precisa!X:X,Base_Precisa!K:K,Cálculo_Categorías!E34,Base_Precisa!B:B,Cálculo_Categorías!$F$4))</f>
        <v>563.55999999999995</v>
      </c>
      <c r="G34" t="str" cm="1">
        <f t="array" ref="G34">+_xlfn.IFS(Tabla9[[#This Row],[FACTURACIÓN]]&lt;200,"Sin Categoría",Tabla9[[#This Row],[FACTURACIÓN]]&lt;500,"A",Tabla9[[#This Row],[FACTURACIÓN]]&lt;1000,"AA",Tabla9[[#This Row],[FACTURACIÓN]]&gt;=1000,"AAA")</f>
        <v>AA</v>
      </c>
    </row>
    <row r="35" spans="1:7" x14ac:dyDescent="0.3">
      <c r="A35" s="44" t="s">
        <v>1202</v>
      </c>
      <c r="B35" s="2">
        <f>+IF($B$4="TODOS",SUMIFS(Base_Precisa!X:X,Base_Precisa!J:J,Cálculo_Categorías!A35),SUMIFS(Base_Precisa!X:X,Base_Precisa!J:J,Cálculo_Categorías!A35,Base_Precisa!B:B,Cálculo_Categorías!$B$4))</f>
        <v>135.59</v>
      </c>
      <c r="C35" t="str" cm="1">
        <f t="array" ref="C35">+_xlfn.IFS(Tabla5[[#This Row],[FACTURACIÓN]]&lt;500,"A",Tabla5[[#This Row],[FACTURACIÓN]]&lt;1000,"AA",Tabla5[[#This Row],[FACTURACIÓN]]&gt;=1000,"AAA")</f>
        <v>A</v>
      </c>
      <c r="E35" s="44" t="s">
        <v>1542</v>
      </c>
      <c r="F35" s="2">
        <f>+IF($F$4="TODOS",SUMIFS(Base_Precisa!X:X,Base_Precisa!K:K,Cálculo_Categorías!E35),SUMIFS(Base_Precisa!X:X,Base_Precisa!K:K,Cálculo_Categorías!E35,Base_Precisa!B:B,Cálculo_Categorías!$F$4))</f>
        <v>2254.2200000000003</v>
      </c>
      <c r="G35" t="str" cm="1">
        <f t="array" ref="G35">+_xlfn.IFS(Tabla9[[#This Row],[FACTURACIÓN]]&lt;200,"Sin Categoría",Tabla9[[#This Row],[FACTURACIÓN]]&lt;500,"A",Tabla9[[#This Row],[FACTURACIÓN]]&lt;1000,"AA",Tabla9[[#This Row],[FACTURACIÓN]]&gt;=1000,"AAA")</f>
        <v>AAA</v>
      </c>
    </row>
    <row r="36" spans="1:7" x14ac:dyDescent="0.3">
      <c r="A36" s="44" t="s">
        <v>1211</v>
      </c>
      <c r="B36" s="2">
        <f>+IF($B$4="TODOS",SUMIFS(Base_Precisa!X:X,Base_Precisa!J:J,Cálculo_Categorías!A36),SUMIFS(Base_Precisa!X:X,Base_Precisa!J:J,Cálculo_Categorías!A36,Base_Precisa!B:B,Cálculo_Categorías!$B$4))</f>
        <v>139.83000000000001</v>
      </c>
      <c r="C36" t="str" cm="1">
        <f t="array" ref="C36">+_xlfn.IFS(Tabla5[[#This Row],[FACTURACIÓN]]&lt;500,"A",Tabla5[[#This Row],[FACTURACIÓN]]&lt;1000,"AA",Tabla5[[#This Row],[FACTURACIÓN]]&gt;=1000,"AAA")</f>
        <v>A</v>
      </c>
      <c r="E36" s="44" t="s">
        <v>1596</v>
      </c>
      <c r="F36" s="2">
        <f>+IF($F$4="TODOS",SUMIFS(Base_Precisa!X:X,Base_Precisa!K:K,Cálculo_Categorías!E36),SUMIFS(Base_Precisa!X:X,Base_Precisa!K:K,Cálculo_Categorías!E36,Base_Precisa!B:B,Cálculo_Categorías!$F$4))</f>
        <v>627.1099999999999</v>
      </c>
      <c r="G36" t="str" cm="1">
        <f t="array" ref="G36">+_xlfn.IFS(Tabla9[[#This Row],[FACTURACIÓN]]&lt;200,"Sin Categoría",Tabla9[[#This Row],[FACTURACIÓN]]&lt;500,"A",Tabla9[[#This Row],[FACTURACIÓN]]&lt;1000,"AA",Tabla9[[#This Row],[FACTURACIÓN]]&gt;=1000,"AAA")</f>
        <v>AA</v>
      </c>
    </row>
    <row r="37" spans="1:7" x14ac:dyDescent="0.3">
      <c r="A37" s="44" t="s">
        <v>1221</v>
      </c>
      <c r="B37" s="2">
        <f>+IF($B$4="TODOS",SUMIFS(Base_Precisa!X:X,Base_Precisa!J:J,Cálculo_Categorías!A37),SUMIFS(Base_Precisa!X:X,Base_Precisa!J:J,Cálculo_Categorías!A37,Base_Precisa!B:B,Cálculo_Categorías!$B$4))</f>
        <v>135.59</v>
      </c>
      <c r="C37" t="str" cm="1">
        <f t="array" ref="C37">+_xlfn.IFS(Tabla5[[#This Row],[FACTURACIÓN]]&lt;500,"A",Tabla5[[#This Row],[FACTURACIÓN]]&lt;1000,"AA",Tabla5[[#This Row],[FACTURACIÓN]]&gt;=1000,"AAA")</f>
        <v>A</v>
      </c>
      <c r="E37" s="44" t="s">
        <v>1616</v>
      </c>
      <c r="F37" s="2">
        <f>+IF($F$4="TODOS",SUMIFS(Base_Precisa!X:X,Base_Precisa!K:K,Cálculo_Categorías!E37),SUMIFS(Base_Precisa!X:X,Base_Precisa!K:K,Cálculo_Categorías!E37,Base_Precisa!B:B,Cálculo_Categorías!$F$4))</f>
        <v>555.08000000000004</v>
      </c>
      <c r="G37" t="str" cm="1">
        <f t="array" ref="G37">+_xlfn.IFS(Tabla9[[#This Row],[FACTURACIÓN]]&lt;200,"Sin Categoría",Tabla9[[#This Row],[FACTURACIÓN]]&lt;500,"A",Tabla9[[#This Row],[FACTURACIÓN]]&lt;1000,"AA",Tabla9[[#This Row],[FACTURACIÓN]]&gt;=1000,"AAA")</f>
        <v>AA</v>
      </c>
    </row>
    <row r="38" spans="1:7" x14ac:dyDescent="0.3">
      <c r="A38" s="44" t="s">
        <v>1440</v>
      </c>
      <c r="B38" s="2">
        <f>+IF($B$4="TODOS",SUMIFS(Base_Precisa!X:X,Base_Precisa!J:J,Cálculo_Categorías!A38),SUMIFS(Base_Precisa!X:X,Base_Precisa!J:J,Cálculo_Categorías!A38,Base_Precisa!B:B,Cálculo_Categorías!$B$4))</f>
        <v>796.59999999999991</v>
      </c>
      <c r="C38" t="str" cm="1">
        <f t="array" ref="C38">+_xlfn.IFS(Tabla5[[#This Row],[FACTURACIÓN]]&lt;500,"A",Tabla5[[#This Row],[FACTURACIÓN]]&lt;1000,"AA",Tabla5[[#This Row],[FACTURACIÓN]]&gt;=1000,"AAA")</f>
        <v>AA</v>
      </c>
      <c r="E38" s="44" t="s">
        <v>1675</v>
      </c>
      <c r="F38" s="2">
        <f>+IF($F$4="TODOS",SUMIFS(Base_Precisa!X:X,Base_Precisa!K:K,Cálculo_Categorías!E38),SUMIFS(Base_Precisa!X:X,Base_Precisa!K:K,Cálculo_Categorías!E38,Base_Precisa!B:B,Cálculo_Categorías!$F$4))</f>
        <v>186.44</v>
      </c>
      <c r="G38" t="str" cm="1">
        <f t="array" ref="G38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39" spans="1:7" x14ac:dyDescent="0.3">
      <c r="A39" s="44" t="s">
        <v>1340</v>
      </c>
      <c r="B39" s="2">
        <f>+IF($B$4="TODOS",SUMIFS(Base_Precisa!X:X,Base_Precisa!J:J,Cálculo_Categorías!A39),SUMIFS(Base_Precisa!X:X,Base_Precisa!J:J,Cálculo_Categorías!A39,Base_Precisa!B:B,Cálculo_Categorías!$B$4))</f>
        <v>135.59</v>
      </c>
      <c r="C39" t="str" cm="1">
        <f t="array" ref="C39">+_xlfn.IFS(Tabla5[[#This Row],[FACTURACIÓN]]&lt;500,"A",Tabla5[[#This Row],[FACTURACIÓN]]&lt;1000,"AA",Tabla5[[#This Row],[FACTURACIÓN]]&gt;=1000,"AAA")</f>
        <v>A</v>
      </c>
      <c r="E39" s="44" t="s">
        <v>1864</v>
      </c>
      <c r="F39" s="2">
        <f>+IF($F$4="TODOS",SUMIFS(Base_Precisa!X:X,Base_Precisa!K:K,Cálculo_Categorías!E39),SUMIFS(Base_Precisa!X:X,Base_Precisa!K:K,Cálculo_Categorías!E39,Base_Precisa!B:B,Cálculo_Categorías!$F$4))</f>
        <v>881.34000000000015</v>
      </c>
      <c r="G39" t="str" cm="1">
        <f t="array" ref="G39">+_xlfn.IFS(Tabla9[[#This Row],[FACTURACIÓN]]&lt;200,"Sin Categoría",Tabla9[[#This Row],[FACTURACIÓN]]&lt;500,"A",Tabla9[[#This Row],[FACTURACIÓN]]&lt;1000,"AA",Tabla9[[#This Row],[FACTURACIÓN]]&gt;=1000,"AAA")</f>
        <v>AA</v>
      </c>
    </row>
    <row r="40" spans="1:7" x14ac:dyDescent="0.3">
      <c r="A40" s="44" t="s">
        <v>364</v>
      </c>
      <c r="B40" s="2">
        <f>+IF($B$4="TODOS",SUMIFS(Base_Precisa!X:X,Base_Precisa!J:J,Cálculo_Categorías!A40),SUMIFS(Base_Precisa!X:X,Base_Precisa!J:J,Cálculo_Categorías!A40,Base_Precisa!B:B,Cálculo_Categorías!$B$4))</f>
        <v>1474.58</v>
      </c>
      <c r="C40" t="str" cm="1">
        <f t="array" ref="C40">+_xlfn.IFS(Tabla5[[#This Row],[FACTURACIÓN]]&lt;500,"A",Tabla5[[#This Row],[FACTURACIÓN]]&lt;1000,"AA",Tabla5[[#This Row],[FACTURACIÓN]]&gt;=1000,"AAA")</f>
        <v>AAA</v>
      </c>
      <c r="E40" s="44" t="s">
        <v>2146</v>
      </c>
      <c r="F40" s="2">
        <f>+IF($F$4="TODOS",SUMIFS(Base_Precisa!X:X,Base_Precisa!K:K,Cálculo_Categorías!E40),SUMIFS(Base_Precisa!X:X,Base_Precisa!K:K,Cálculo_Categorías!E40,Base_Precisa!B:B,Cálculo_Categorías!$F$4))</f>
        <v>135.59</v>
      </c>
      <c r="G40" t="str" cm="1">
        <f t="array" ref="G40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41" spans="1:7" x14ac:dyDescent="0.3">
      <c r="A41" s="44" t="s">
        <v>1119</v>
      </c>
      <c r="B41" s="2">
        <f>+IF($B$4="TODOS",SUMIFS(Base_Precisa!X:X,Base_Precisa!J:J,Cálculo_Categorías!A41),SUMIFS(Base_Precisa!X:X,Base_Precisa!J:J,Cálculo_Categorías!A41,Base_Precisa!B:B,Cálculo_Categorías!$B$4))</f>
        <v>872.88</v>
      </c>
      <c r="C41" t="str" cm="1">
        <f t="array" ref="C41">+_xlfn.IFS(Tabla5[[#This Row],[FACTURACIÓN]]&lt;500,"A",Tabla5[[#This Row],[FACTURACIÓN]]&lt;1000,"AA",Tabla5[[#This Row],[FACTURACIÓN]]&gt;=1000,"AAA")</f>
        <v>AA</v>
      </c>
      <c r="E41" s="44" t="s">
        <v>2311</v>
      </c>
      <c r="F41" s="2">
        <f>+IF($F$4="TODOS",SUMIFS(Base_Precisa!X:X,Base_Precisa!K:K,Cálculo_Categorías!E41),SUMIFS(Base_Precisa!X:X,Base_Precisa!K:K,Cálculo_Categorías!E41,Base_Precisa!B:B,Cálculo_Categorías!$F$4))</f>
        <v>135.59</v>
      </c>
      <c r="G41" t="str" cm="1">
        <f t="array" ref="G41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42" spans="1:7" x14ac:dyDescent="0.3">
      <c r="A42" s="44" t="s">
        <v>1359</v>
      </c>
      <c r="B42" s="2">
        <f>+IF($B$4="TODOS",SUMIFS(Base_Precisa!X:X,Base_Precisa!J:J,Cálculo_Categorías!A42),SUMIFS(Base_Precisa!X:X,Base_Precisa!J:J,Cálculo_Categorías!A42,Base_Precisa!B:B,Cálculo_Categorías!$B$4))</f>
        <v>338.98</v>
      </c>
      <c r="C42" t="str" cm="1">
        <f t="array" ref="C42">+_xlfn.IFS(Tabla5[[#This Row],[FACTURACIÓN]]&lt;500,"A",Tabla5[[#This Row],[FACTURACIÓN]]&lt;1000,"AA",Tabla5[[#This Row],[FACTURACIÓN]]&gt;=1000,"AAA")</f>
        <v>A</v>
      </c>
      <c r="E42" s="44" t="s">
        <v>2420</v>
      </c>
      <c r="F42" s="2">
        <f>+IF($F$4="TODOS",SUMIFS(Base_Precisa!X:X,Base_Precisa!K:K,Cálculo_Categorías!E42),SUMIFS(Base_Precisa!X:X,Base_Precisa!K:K,Cálculo_Categorías!E42,Base_Precisa!B:B,Cálculo_Categorías!$F$4))</f>
        <v>101.69</v>
      </c>
      <c r="G42" t="str" cm="1">
        <f t="array" ref="G42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43" spans="1:7" x14ac:dyDescent="0.3">
      <c r="A43" s="44" t="s">
        <v>2795</v>
      </c>
      <c r="B43" s="2">
        <f>+IF($B$4="TODOS",SUMIFS(Base_Precisa!X:X,Base_Precisa!J:J,Cálculo_Categorías!A43),SUMIFS(Base_Precisa!X:X,Base_Precisa!J:J,Cálculo_Categorías!A43,Base_Precisa!B:B,Cálculo_Categorías!$B$4))</f>
        <v>7889.8</v>
      </c>
      <c r="C43" t="str" cm="1">
        <f t="array" ref="C43">+_xlfn.IFS(Tabla5[[#This Row],[FACTURACIÓN]]&lt;500,"A",Tabla5[[#This Row],[FACTURACIÓN]]&lt;1000,"AA",Tabla5[[#This Row],[FACTURACIÓN]]&gt;=1000,"AAA")</f>
        <v>AAA</v>
      </c>
      <c r="E43" s="44" t="s">
        <v>4008</v>
      </c>
      <c r="F43" s="2">
        <f>+IF($F$4="TODOS",SUMIFS(Base_Precisa!X:X,Base_Precisa!K:K,Cálculo_Categorías!E43),SUMIFS(Base_Precisa!X:X,Base_Precisa!K:K,Cálculo_Categorías!E43,Base_Precisa!B:B,Cálculo_Categorías!$F$4))</f>
        <v>338.98</v>
      </c>
      <c r="G43" t="str" cm="1">
        <f t="array" ref="G43">+_xlfn.IFS(Tabla9[[#This Row],[FACTURACIÓN]]&lt;200,"Sin Categoría",Tabla9[[#This Row],[FACTURACIÓN]]&lt;500,"A",Tabla9[[#This Row],[FACTURACIÓN]]&lt;1000,"AA",Tabla9[[#This Row],[FACTURACIÓN]]&gt;=1000,"AAA")</f>
        <v>A</v>
      </c>
    </row>
    <row r="44" spans="1:7" x14ac:dyDescent="0.3">
      <c r="A44" s="44" t="s">
        <v>1143</v>
      </c>
      <c r="B44" s="2">
        <f>+IF($B$4="TODOS",SUMIFS(Base_Precisa!X:X,Base_Precisa!J:J,Cálculo_Categorías!A44),SUMIFS(Base_Precisa!X:X,Base_Precisa!J:J,Cálculo_Categorías!A44,Base_Precisa!B:B,Cálculo_Categorías!$B$4))</f>
        <v>186.43999999999997</v>
      </c>
      <c r="C44" t="str" cm="1">
        <f t="array" ref="C44">+_xlfn.IFS(Tabla5[[#This Row],[FACTURACIÓN]]&lt;500,"A",Tabla5[[#This Row],[FACTURACIÓN]]&lt;1000,"AA",Tabla5[[#This Row],[FACTURACIÓN]]&gt;=1000,"AAA")</f>
        <v>A</v>
      </c>
      <c r="E44" s="44" t="s">
        <v>3158</v>
      </c>
      <c r="F44" s="2">
        <f>+IF($F$4="TODOS",SUMIFS(Base_Precisa!X:X,Base_Precisa!K:K,Cálculo_Categorías!E44),SUMIFS(Base_Precisa!X:X,Base_Precisa!K:K,Cálculo_Categorías!E44,Base_Precisa!B:B,Cálculo_Categorías!$F$4))</f>
        <v>152.54</v>
      </c>
      <c r="G44" t="str" cm="1">
        <f t="array" ref="G44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45" spans="1:7" x14ac:dyDescent="0.3">
      <c r="A45" s="44" t="s">
        <v>1153</v>
      </c>
      <c r="B45" s="2">
        <f>+IF($B$4="TODOS",SUMIFS(Base_Precisa!X:X,Base_Precisa!J:J,Cálculo_Categorías!A45),SUMIFS(Base_Precisa!X:X,Base_Precisa!J:J,Cálculo_Categorías!A45,Base_Precisa!B:B,Cálculo_Categorías!$B$4))</f>
        <v>661.0100000000001</v>
      </c>
      <c r="C45" t="str" cm="1">
        <f t="array" ref="C45">+_xlfn.IFS(Tabla5[[#This Row],[FACTURACIÓN]]&lt;500,"A",Tabla5[[#This Row],[FACTURACIÓN]]&lt;1000,"AA",Tabla5[[#This Row],[FACTURACIÓN]]&gt;=1000,"AAA")</f>
        <v>AA</v>
      </c>
      <c r="E45" s="44" t="s">
        <v>3033</v>
      </c>
      <c r="F45" s="2">
        <f>+IF($F$4="TODOS",SUMIFS(Base_Precisa!X:X,Base_Precisa!K:K,Cálculo_Categorías!E45),SUMIFS(Base_Precisa!X:X,Base_Precisa!K:K,Cálculo_Categorías!E45,Base_Precisa!B:B,Cálculo_Categorías!$F$4))</f>
        <v>0</v>
      </c>
      <c r="G45" t="str" cm="1">
        <f t="array" ref="G45">+_xlfn.IFS(Tabla9[[#This Row],[FACTURACIÓN]]&lt;200,"Sin Categoría",Tabla9[[#This Row],[FACTURACIÓN]]&lt;500,"A",Tabla9[[#This Row],[FACTURACIÓN]]&lt;1000,"AA",Tabla9[[#This Row],[FACTURACIÓN]]&gt;=1000,"AAA")</f>
        <v>Sin Categoría</v>
      </c>
    </row>
    <row r="46" spans="1:7" x14ac:dyDescent="0.3">
      <c r="A46" s="44" t="s">
        <v>3273</v>
      </c>
      <c r="B46" s="2">
        <f>+IF($B$4="TODOS",SUMIFS(Base_Precisa!X:X,Base_Precisa!J:J,Cálculo_Categorías!A46),SUMIFS(Base_Precisa!X:X,Base_Precisa!J:J,Cálculo_Categorías!A46,Base_Precisa!B:B,Cálculo_Categorías!$B$4))</f>
        <v>0</v>
      </c>
      <c r="C46" t="str" cm="1">
        <f t="array" ref="C46">+_xlfn.IFS(Tabla5[[#This Row],[FACTURACIÓN]]&lt;500,"A",Tabla5[[#This Row],[FACTURACIÓN]]&lt;1000,"AA",Tabla5[[#This Row],[FACTURACIÓN]]&gt;=1000,"AAA")</f>
        <v>A</v>
      </c>
    </row>
    <row r="47" spans="1:7" x14ac:dyDescent="0.3">
      <c r="A47" s="44" t="s">
        <v>1322</v>
      </c>
      <c r="B47" s="2">
        <f>+IF($B$4="TODOS",SUMIFS(Base_Precisa!X:X,Base_Precisa!J:J,Cálculo_Categorías!A47),SUMIFS(Base_Precisa!X:X,Base_Precisa!J:J,Cálculo_Categorías!A47,Base_Precisa!B:B,Cálculo_Categorías!$B$4))</f>
        <v>4466.0400000000009</v>
      </c>
      <c r="C47" t="str" cm="1">
        <f t="array" ref="C47">+_xlfn.IFS(Tabla5[[#This Row],[FACTURACIÓN]]&lt;500,"A",Tabla5[[#This Row],[FACTURACIÓN]]&lt;1000,"AA",Tabla5[[#This Row],[FACTURACIÓN]]&gt;=1000,"AAA")</f>
        <v>AAA</v>
      </c>
    </row>
    <row r="48" spans="1:7" x14ac:dyDescent="0.3">
      <c r="A48" s="44" t="s">
        <v>1377</v>
      </c>
      <c r="B48" s="2">
        <f>+IF($B$4="TODOS",SUMIFS(Base_Precisa!X:X,Base_Precisa!J:J,Cálculo_Categorías!A48),SUMIFS(Base_Precisa!X:X,Base_Precisa!J:J,Cálculo_Categorías!A48,Base_Precisa!B:B,Cálculo_Categorías!$B$4))</f>
        <v>0</v>
      </c>
      <c r="C48" t="str" cm="1">
        <f t="array" ref="C48">+_xlfn.IFS(Tabla5[[#This Row],[FACTURACIÓN]]&lt;500,"A",Tabla5[[#This Row],[FACTURACIÓN]]&lt;1000,"AA",Tabla5[[#This Row],[FACTURACIÓN]]&gt;=1000,"AAA")</f>
        <v>A</v>
      </c>
    </row>
    <row r="49" spans="1:3" x14ac:dyDescent="0.3">
      <c r="A49" s="44" t="s">
        <v>1413</v>
      </c>
      <c r="B49" s="2">
        <f>+IF($B$4="TODOS",SUMIFS(Base_Precisa!X:X,Base_Precisa!J:J,Cálculo_Categorías!A49),SUMIFS(Base_Precisa!X:X,Base_Precisa!J:J,Cálculo_Categorías!A49,Base_Precisa!B:B,Cálculo_Categorías!$B$4))</f>
        <v>0</v>
      </c>
      <c r="C49" t="str" cm="1">
        <f t="array" ref="C49">+_xlfn.IFS(Tabla5[[#This Row],[FACTURACIÓN]]&lt;500,"A",Tabla5[[#This Row],[FACTURACIÓN]]&lt;1000,"AA",Tabla5[[#This Row],[FACTURACIÓN]]&gt;=1000,"AAA")</f>
        <v>A</v>
      </c>
    </row>
    <row r="50" spans="1:3" x14ac:dyDescent="0.3">
      <c r="A50" s="44" t="s">
        <v>704</v>
      </c>
      <c r="B50" s="2">
        <f>+IF($B$4="TODOS",SUMIFS(Base_Precisa!X:X,Base_Precisa!J:J,Cálculo_Categorías!A50),SUMIFS(Base_Precisa!X:X,Base_Precisa!J:J,Cálculo_Categorías!A50,Base_Precisa!B:B,Cálculo_Categorías!$B$4))</f>
        <v>2728.7800000000007</v>
      </c>
      <c r="C50" t="str" cm="1">
        <f t="array" ref="C50">+_xlfn.IFS(Tabla5[[#This Row],[FACTURACIÓN]]&lt;500,"A",Tabla5[[#This Row],[FACTURACIÓN]]&lt;1000,"AA",Tabla5[[#This Row],[FACTURACIÓN]]&gt;=1000,"AAA")</f>
        <v>AAA</v>
      </c>
    </row>
    <row r="51" spans="1:3" x14ac:dyDescent="0.3">
      <c r="A51" s="44" t="s">
        <v>1433</v>
      </c>
      <c r="B51" s="2">
        <f>+IF($B$4="TODOS",SUMIFS(Base_Precisa!X:X,Base_Precisa!J:J,Cálculo_Categorías!A51),SUMIFS(Base_Precisa!X:X,Base_Precisa!J:J,Cálculo_Categorías!A51,Base_Precisa!B:B,Cálculo_Categorías!$B$4))</f>
        <v>0</v>
      </c>
      <c r="C51" t="str" cm="1">
        <f t="array" ref="C51">+_xlfn.IFS(Tabla5[[#This Row],[FACTURACIÓN]]&lt;500,"A",Tabla5[[#This Row],[FACTURACIÓN]]&lt;1000,"AA",Tabla5[[#This Row],[FACTURACIÓN]]&gt;=1000,"AAA")</f>
        <v>A</v>
      </c>
    </row>
    <row r="52" spans="1:3" x14ac:dyDescent="0.3">
      <c r="A52" s="44" t="s">
        <v>1311</v>
      </c>
      <c r="B52" s="2">
        <f>+IF($B$4="TODOS",SUMIFS(Base_Precisa!X:X,Base_Precisa!J:J,Cálculo_Categorías!A52),SUMIFS(Base_Precisa!X:X,Base_Precisa!J:J,Cálculo_Categorías!A52,Base_Precisa!B:B,Cálculo_Categorías!$B$4))</f>
        <v>254.23</v>
      </c>
      <c r="C52" t="str" cm="1">
        <f t="array" ref="C52">+_xlfn.IFS(Tabla5[[#This Row],[FACTURACIÓN]]&lt;500,"A",Tabla5[[#This Row],[FACTURACIÓN]]&lt;1000,"AA",Tabla5[[#This Row],[FACTURACIÓN]]&gt;=1000,"AAA")</f>
        <v>A</v>
      </c>
    </row>
    <row r="53" spans="1:3" x14ac:dyDescent="0.3">
      <c r="A53" s="44" t="s">
        <v>1422</v>
      </c>
      <c r="B53" s="2">
        <f>+IF($B$4="TODOS",SUMIFS(Base_Precisa!X:X,Base_Precisa!J:J,Cálculo_Categorías!A53),SUMIFS(Base_Precisa!X:X,Base_Precisa!J:J,Cálculo_Categorías!A53,Base_Precisa!B:B,Cálculo_Categorías!$B$4))</f>
        <v>796.6</v>
      </c>
      <c r="C53" t="str" cm="1">
        <f t="array" ref="C53">+_xlfn.IFS(Tabla5[[#This Row],[FACTURACIÓN]]&lt;500,"A",Tabla5[[#This Row],[FACTURACIÓN]]&lt;1000,"AA",Tabla5[[#This Row],[FACTURACIÓN]]&gt;=1000,"AAA")</f>
        <v>AA</v>
      </c>
    </row>
    <row r="54" spans="1:3" x14ac:dyDescent="0.3">
      <c r="A54" s="44" t="s">
        <v>1448</v>
      </c>
      <c r="B54" s="2">
        <f>+IF($B$4="TODOS",SUMIFS(Base_Precisa!X:X,Base_Precisa!J:J,Cálculo_Categorías!A54),SUMIFS(Base_Precisa!X:X,Base_Precisa!J:J,Cálculo_Categorías!A54,Base_Precisa!B:B,Cálculo_Categorías!$B$4))</f>
        <v>338.98</v>
      </c>
      <c r="C54" t="str" cm="1">
        <f t="array" ref="C54">+_xlfn.IFS(Tabla5[[#This Row],[FACTURACIÓN]]&lt;500,"A",Tabla5[[#This Row],[FACTURACIÓN]]&lt;1000,"AA",Tabla5[[#This Row],[FACTURACIÓN]]&gt;=1000,"AAA")</f>
        <v>A</v>
      </c>
    </row>
    <row r="55" spans="1:3" x14ac:dyDescent="0.3">
      <c r="A55" s="44" t="s">
        <v>1700</v>
      </c>
      <c r="B55" s="2">
        <f>+IF($B$4="TODOS",SUMIFS(Base_Precisa!X:X,Base_Precisa!J:J,Cálculo_Categorías!A55),SUMIFS(Base_Precisa!X:X,Base_Precisa!J:J,Cálculo_Categorías!A55,Base_Precisa!B:B,Cálculo_Categorías!$B$4))</f>
        <v>677.96</v>
      </c>
      <c r="C55" t="str" cm="1">
        <f t="array" ref="C55">+_xlfn.IFS(Tabla5[[#This Row],[FACTURACIÓN]]&lt;500,"A",Tabla5[[#This Row],[FACTURACIÓN]]&lt;1000,"AA",Tabla5[[#This Row],[FACTURACIÓN]]&gt;=1000,"AAA")</f>
        <v>AA</v>
      </c>
    </row>
    <row r="56" spans="1:3" x14ac:dyDescent="0.3">
      <c r="A56" s="44" t="s">
        <v>2223</v>
      </c>
      <c r="B56" s="2">
        <f>+IF($B$4="TODOS",SUMIFS(Base_Precisa!X:X,Base_Precisa!J:J,Cálculo_Categorías!A56),SUMIFS(Base_Precisa!X:X,Base_Precisa!J:J,Cálculo_Categorías!A56,Base_Precisa!B:B,Cálculo_Categorías!$B$4))</f>
        <v>0</v>
      </c>
      <c r="C56" t="str" cm="1">
        <f t="array" ref="C56">+_xlfn.IFS(Tabla5[[#This Row],[FACTURACIÓN]]&lt;500,"A",Tabla5[[#This Row],[FACTURACIÓN]]&lt;1000,"AA",Tabla5[[#This Row],[FACTURACIÓN]]&gt;=1000,"AAA")</f>
        <v>A</v>
      </c>
    </row>
    <row r="57" spans="1:3" x14ac:dyDescent="0.3">
      <c r="A57" s="44" t="s">
        <v>3034</v>
      </c>
      <c r="B57" s="2">
        <f>+IF($B$4="TODOS",SUMIFS(Base_Precisa!X:X,Base_Precisa!J:J,Cálculo_Categorías!A57),SUMIFS(Base_Precisa!X:X,Base_Precisa!J:J,Cálculo_Categorías!A57,Base_Precisa!B:B,Cálculo_Categorías!$B$4))</f>
        <v>288.13</v>
      </c>
      <c r="C57" t="str" cm="1">
        <f t="array" ref="C57">+_xlfn.IFS(Tabla5[[#This Row],[FACTURACIÓN]]&lt;500,"A",Tabla5[[#This Row],[FACTURACIÓN]]&lt;1000,"AA",Tabla5[[#This Row],[FACTURACIÓN]]&gt;=1000,"AAA")</f>
        <v>A</v>
      </c>
    </row>
    <row r="58" spans="1:3" x14ac:dyDescent="0.3">
      <c r="A58" s="44" t="s">
        <v>3529</v>
      </c>
      <c r="B58" s="2">
        <f>+IF($B$4="TODOS",SUMIFS(Base_Precisa!X:X,Base_Precisa!J:J,Cálculo_Categorías!A58),SUMIFS(Base_Precisa!X:X,Base_Precisa!J:J,Cálculo_Categorías!A58,Base_Precisa!B:B,Cálculo_Categorías!$B$4))</f>
        <v>288.13</v>
      </c>
      <c r="C58" t="str" cm="1">
        <f t="array" ref="C58">+_xlfn.IFS(Tabla5[[#This Row],[FACTURACIÓN]]&lt;500,"A",Tabla5[[#This Row],[FACTURACIÓN]]&lt;1000,"AA",Tabla5[[#This Row],[FACTURACIÓN]]&gt;=1000,"AAA")</f>
        <v>A</v>
      </c>
    </row>
    <row r="59" spans="1:3" x14ac:dyDescent="0.3">
      <c r="A59" s="44" t="s">
        <v>3530</v>
      </c>
      <c r="B59" s="2">
        <f>+IF($B$4="TODOS",SUMIFS(Base_Precisa!X:X,Base_Precisa!J:J,Cálculo_Categorías!A59),SUMIFS(Base_Precisa!X:X,Base_Precisa!J:J,Cálculo_Categorías!A59,Base_Precisa!B:B,Cálculo_Categorías!$B$4))</f>
        <v>186.44</v>
      </c>
      <c r="C59" t="str" cm="1">
        <f t="array" ref="C59">+_xlfn.IFS(Tabla5[[#This Row],[FACTURACIÓN]]&lt;500,"A",Tabla5[[#This Row],[FACTURACIÓN]]&lt;1000,"AA",Tabla5[[#This Row],[FACTURACIÓN]]&gt;=1000,"AAA")</f>
        <v>A</v>
      </c>
    </row>
    <row r="60" spans="1:3" x14ac:dyDescent="0.3">
      <c r="A60" s="44" t="s">
        <v>3831</v>
      </c>
      <c r="B60" s="2">
        <f>+IF($B$4="TODOS",SUMIFS(Base_Precisa!X:X,Base_Precisa!J:J,Cálculo_Categorías!A60),SUMIFS(Base_Precisa!X:X,Base_Precisa!J:J,Cálculo_Categorías!A60,Base_Precisa!B:B,Cálculo_Categorías!$B$4))</f>
        <v>186.44</v>
      </c>
      <c r="C60" t="str" cm="1">
        <f t="array" ref="C60">+_xlfn.IFS(Tabla5[[#This Row],[FACTURACIÓN]]&lt;500,"A",Tabla5[[#This Row],[FACTURACIÓN]]&lt;1000,"AA",Tabla5[[#This Row],[FACTURACIÓN]]&gt;=1000,"AAA")</f>
        <v>A</v>
      </c>
    </row>
    <row r="61" spans="1:3" x14ac:dyDescent="0.3">
      <c r="A61" s="44" t="s">
        <v>3116</v>
      </c>
      <c r="B61" s="2">
        <f>+IF($B$4="TODOS",SUMIFS(Base_Precisa!X:X,Base_Precisa!J:J,Cálculo_Categorías!A61),SUMIFS(Base_Precisa!X:X,Base_Precisa!J:J,Cálculo_Categorías!A61,Base_Precisa!B:B,Cálculo_Categorías!$B$4))</f>
        <v>1237.28</v>
      </c>
      <c r="C61" t="str" cm="1">
        <f t="array" ref="C61">+_xlfn.IFS(Tabla5[[#This Row],[FACTURACIÓN]]&lt;500,"A",Tabla5[[#This Row],[FACTURACIÓN]]&lt;1000,"AA",Tabla5[[#This Row],[FACTURACIÓN]]&gt;=1000,"AAA")</f>
        <v>AAA</v>
      </c>
    </row>
    <row r="62" spans="1:3" x14ac:dyDescent="0.3">
      <c r="A62" s="44" t="s">
        <v>1467</v>
      </c>
      <c r="B62" s="2">
        <f>+IF($B$4="TODOS",SUMIFS(Base_Precisa!X:X,Base_Precisa!J:J,Cálculo_Categorías!A62),SUMIFS(Base_Precisa!X:X,Base_Precisa!J:J,Cálculo_Categorías!A62,Base_Precisa!B:B,Cálculo_Categorías!$B$4))</f>
        <v>322.02999999999997</v>
      </c>
      <c r="C62" t="str" cm="1">
        <f t="array" ref="C62">+_xlfn.IFS(Tabla5[[#This Row],[FACTURACIÓN]]&lt;500,"A",Tabla5[[#This Row],[FACTURACIÓN]]&lt;1000,"AA",Tabla5[[#This Row],[FACTURACIÓN]]&gt;=1000,"AAA")</f>
        <v>A</v>
      </c>
    </row>
    <row r="63" spans="1:3" x14ac:dyDescent="0.3">
      <c r="A63" s="44" t="s">
        <v>1386</v>
      </c>
      <c r="B63" s="2">
        <f>+IF($B$4="TODOS",SUMIFS(Base_Precisa!X:X,Base_Precisa!J:J,Cálculo_Categorías!A63),SUMIFS(Base_Precisa!X:X,Base_Precisa!J:J,Cálculo_Categorías!A63,Base_Precisa!B:B,Cálculo_Categorías!$B$4))</f>
        <v>949.13000000000011</v>
      </c>
      <c r="C63" t="str" cm="1">
        <f t="array" ref="C63">+_xlfn.IFS(Tabla5[[#This Row],[FACTURACIÓN]]&lt;500,"A",Tabla5[[#This Row],[FACTURACIÓN]]&lt;1000,"AA",Tabla5[[#This Row],[FACTURACIÓN]]&gt;=1000,"AAA")</f>
        <v>AA</v>
      </c>
    </row>
    <row r="64" spans="1:3" x14ac:dyDescent="0.3">
      <c r="A64" s="44" t="s">
        <v>1490</v>
      </c>
      <c r="B64" s="2">
        <f>+IF($B$4="TODOS",SUMIFS(Base_Precisa!X:X,Base_Precisa!J:J,Cálculo_Categorías!A64),SUMIFS(Base_Precisa!X:X,Base_Precisa!J:J,Cálculo_Categorías!A64,Base_Precisa!B:B,Cálculo_Categorías!$B$4))</f>
        <v>305.08</v>
      </c>
      <c r="C64" t="str" cm="1">
        <f t="array" ref="C64">+_xlfn.IFS(Tabla5[[#This Row],[FACTURACIÓN]]&lt;500,"A",Tabla5[[#This Row],[FACTURACIÓN]]&lt;1000,"AA",Tabla5[[#This Row],[FACTURACIÓN]]&gt;=1000,"AAA")</f>
        <v>A</v>
      </c>
    </row>
    <row r="65" spans="1:3" x14ac:dyDescent="0.3">
      <c r="A65" s="44" t="s">
        <v>1232</v>
      </c>
      <c r="B65" s="2">
        <f>+IF($B$4="TODOS",SUMIFS(Base_Precisa!X:X,Base_Precisa!J:J,Cálculo_Categorías!A65),SUMIFS(Base_Precisa!X:X,Base_Precisa!J:J,Cálculo_Categorías!A65,Base_Precisa!B:B,Cálculo_Categorías!$B$4))</f>
        <v>813.54</v>
      </c>
      <c r="C65" t="str" cm="1">
        <f t="array" ref="C65">+_xlfn.IFS(Tabla5[[#This Row],[FACTURACIÓN]]&lt;500,"A",Tabla5[[#This Row],[FACTURACIÓN]]&lt;1000,"AA",Tabla5[[#This Row],[FACTURACIÓN]]&gt;=1000,"AAA")</f>
        <v>AA</v>
      </c>
    </row>
    <row r="66" spans="1:3" x14ac:dyDescent="0.3">
      <c r="A66" s="44" t="s">
        <v>1480</v>
      </c>
      <c r="B66" s="2">
        <f>+IF($B$4="TODOS",SUMIFS(Base_Precisa!X:X,Base_Precisa!J:J,Cálculo_Categorías!A66),SUMIFS(Base_Precisa!X:X,Base_Precisa!J:J,Cálculo_Categorías!A66,Base_Precisa!B:B,Cálculo_Categorías!$B$4))</f>
        <v>563.55999999999995</v>
      </c>
      <c r="C66" t="str" cm="1">
        <f t="array" ref="C66">+_xlfn.IFS(Tabla5[[#This Row],[FACTURACIÓN]]&lt;500,"A",Tabla5[[#This Row],[FACTURACIÓN]]&lt;1000,"AA",Tabla5[[#This Row],[FACTURACIÓN]]&gt;=1000,"AAA")</f>
        <v>AA</v>
      </c>
    </row>
    <row r="67" spans="1:3" x14ac:dyDescent="0.3">
      <c r="A67" s="44" t="s">
        <v>1507</v>
      </c>
      <c r="B67" s="2">
        <f>+IF($B$4="TODOS",SUMIFS(Base_Precisa!X:X,Base_Precisa!J:J,Cálculo_Categorías!A67),SUMIFS(Base_Precisa!X:X,Base_Precisa!J:J,Cálculo_Categorías!A67,Base_Precisa!B:B,Cálculo_Categorías!$B$4))</f>
        <v>0</v>
      </c>
      <c r="C67" t="str" cm="1">
        <f t="array" ref="C67">+_xlfn.IFS(Tabla5[[#This Row],[FACTURACIÓN]]&lt;500,"A",Tabla5[[#This Row],[FACTURACIÓN]]&lt;1000,"AA",Tabla5[[#This Row],[FACTURACIÓN]]&gt;=1000,"AAA")</f>
        <v>A</v>
      </c>
    </row>
    <row r="68" spans="1:3" x14ac:dyDescent="0.3">
      <c r="A68" s="44" t="s">
        <v>1349</v>
      </c>
      <c r="B68" s="2">
        <f>+IF($B$4="TODOS",SUMIFS(Base_Precisa!X:X,Base_Precisa!J:J,Cálculo_Categorías!A68),SUMIFS(Base_Precisa!X:X,Base_Precisa!J:J,Cálculo_Categorías!A68,Base_Precisa!B:B,Cálculo_Categorías!$B$4))</f>
        <v>152.54</v>
      </c>
      <c r="C68" t="str" cm="1">
        <f t="array" ref="C68">+_xlfn.IFS(Tabla5[[#This Row],[FACTURACIÓN]]&lt;500,"A",Tabla5[[#This Row],[FACTURACIÓN]]&lt;1000,"AA",Tabla5[[#This Row],[FACTURACIÓN]]&gt;=1000,"AAA")</f>
        <v>A</v>
      </c>
    </row>
    <row r="69" spans="1:3" x14ac:dyDescent="0.3">
      <c r="A69" s="44" t="s">
        <v>1516</v>
      </c>
      <c r="B69" s="2">
        <f>+IF($B$4="TODOS",SUMIFS(Base_Precisa!X:X,Base_Precisa!J:J,Cálculo_Categorías!A69),SUMIFS(Base_Precisa!X:X,Base_Precisa!J:J,Cálculo_Categorías!A69,Base_Precisa!B:B,Cálculo_Categorías!$B$4))</f>
        <v>576.27</v>
      </c>
      <c r="C69" t="str" cm="1">
        <f t="array" ref="C69">+_xlfn.IFS(Tabla5[[#This Row],[FACTURACIÓN]]&lt;500,"A",Tabla5[[#This Row],[FACTURACIÓN]]&lt;1000,"AA",Tabla5[[#This Row],[FACTURACIÓN]]&gt;=1000,"AAA")</f>
        <v>AA</v>
      </c>
    </row>
    <row r="70" spans="1:3" x14ac:dyDescent="0.3">
      <c r="A70" s="44" t="s">
        <v>1368</v>
      </c>
      <c r="B70" s="2">
        <f>+IF($B$4="TODOS",SUMIFS(Base_Precisa!X:X,Base_Precisa!J:J,Cálculo_Categorías!A70),SUMIFS(Base_Precisa!X:X,Base_Precisa!J:J,Cálculo_Categorías!A70,Base_Precisa!B:B,Cálculo_Categorías!$B$4))</f>
        <v>135.59</v>
      </c>
      <c r="C70" t="str" cm="1">
        <f t="array" ref="C70">+_xlfn.IFS(Tabla5[[#This Row],[FACTURACIÓN]]&lt;500,"A",Tabla5[[#This Row],[FACTURACIÓN]]&lt;1000,"AA",Tabla5[[#This Row],[FACTURACIÓN]]&gt;=1000,"AAA")</f>
        <v>A</v>
      </c>
    </row>
    <row r="71" spans="1:3" x14ac:dyDescent="0.3">
      <c r="A71" s="44" t="s">
        <v>1300</v>
      </c>
      <c r="B71" s="2">
        <f>+IF($B$4="TODOS",SUMIFS(Base_Precisa!X:X,Base_Precisa!J:J,Cálculo_Categorías!A71),SUMIFS(Base_Precisa!X:X,Base_Precisa!J:J,Cálculo_Categorías!A71,Base_Precisa!B:B,Cálculo_Categorías!$B$4))</f>
        <v>440.66999999999996</v>
      </c>
      <c r="C71" t="str" cm="1">
        <f t="array" ref="C71">+_xlfn.IFS(Tabla5[[#This Row],[FACTURACIÓN]]&lt;500,"A",Tabla5[[#This Row],[FACTURACIÓN]]&lt;1000,"AA",Tabla5[[#This Row],[FACTURACIÓN]]&gt;=1000,"AAA")</f>
        <v>A</v>
      </c>
    </row>
    <row r="72" spans="1:3" x14ac:dyDescent="0.3">
      <c r="A72" s="44" t="s">
        <v>1281</v>
      </c>
      <c r="B72" s="2">
        <f>+IF($B$4="TODOS",SUMIFS(Base_Precisa!X:X,Base_Precisa!J:J,Cálculo_Categorías!A72),SUMIFS(Base_Precisa!X:X,Base_Precisa!J:J,Cálculo_Categorías!A72,Base_Precisa!B:B,Cálculo_Categorías!$B$4))</f>
        <v>135.59</v>
      </c>
      <c r="C72" t="str" cm="1">
        <f t="array" ref="C72">+_xlfn.IFS(Tabla5[[#This Row],[FACTURACIÓN]]&lt;500,"A",Tabla5[[#This Row],[FACTURACIÓN]]&lt;1000,"AA",Tabla5[[#This Row],[FACTURACIÓN]]&gt;=1000,"AAA")</f>
        <v>A</v>
      </c>
    </row>
    <row r="73" spans="1:3" x14ac:dyDescent="0.3">
      <c r="A73" s="44" t="s">
        <v>1541</v>
      </c>
      <c r="B73" s="2">
        <f>+IF($B$4="TODOS",SUMIFS(Base_Precisa!X:X,Base_Precisa!J:J,Cálculo_Categorías!A73),SUMIFS(Base_Precisa!X:X,Base_Precisa!J:J,Cálculo_Categorías!A73,Base_Precisa!B:B,Cálculo_Categorías!$B$4))</f>
        <v>1135.5900000000001</v>
      </c>
      <c r="C73" t="str" cm="1">
        <f t="array" ref="C73">+_xlfn.IFS(Tabla5[[#This Row],[FACTURACIÓN]]&lt;500,"A",Tabla5[[#This Row],[FACTURACIÓN]]&lt;1000,"AA",Tabla5[[#This Row],[FACTURACIÓN]]&gt;=1000,"AAA")</f>
        <v>AAA</v>
      </c>
    </row>
    <row r="74" spans="1:3" x14ac:dyDescent="0.3">
      <c r="A74" s="44" t="s">
        <v>1560</v>
      </c>
      <c r="B74" s="2">
        <f>+IF($B$4="TODOS",SUMIFS(Base_Precisa!X:X,Base_Precisa!J:J,Cálculo_Categorías!A74),SUMIFS(Base_Precisa!X:X,Base_Precisa!J:J,Cálculo_Categorías!A74,Base_Precisa!B:B,Cálculo_Categorías!$B$4))</f>
        <v>457.62</v>
      </c>
      <c r="C74" t="str" cm="1">
        <f t="array" ref="C74">+_xlfn.IFS(Tabla5[[#This Row],[FACTURACIÓN]]&lt;500,"A",Tabla5[[#This Row],[FACTURACIÓN]]&lt;1000,"AA",Tabla5[[#This Row],[FACTURACIÓN]]&gt;=1000,"AAA")</f>
        <v>A</v>
      </c>
    </row>
    <row r="75" spans="1:3" x14ac:dyDescent="0.3">
      <c r="A75" s="44" t="s">
        <v>1595</v>
      </c>
      <c r="B75" s="2">
        <f>+IF($B$4="TODOS",SUMIFS(Base_Precisa!X:X,Base_Precisa!J:J,Cálculo_Categorías!A75),SUMIFS(Base_Precisa!X:X,Base_Precisa!J:J,Cálculo_Categorías!A75,Base_Precisa!B:B,Cálculo_Categorías!$B$4))</f>
        <v>627.1099999999999</v>
      </c>
      <c r="C75" t="str" cm="1">
        <f t="array" ref="C75">+_xlfn.IFS(Tabla5[[#This Row],[FACTURACIÓN]]&lt;500,"A",Tabla5[[#This Row],[FACTURACIÓN]]&lt;1000,"AA",Tabla5[[#This Row],[FACTURACIÓN]]&gt;=1000,"AAA")</f>
        <v>AA</v>
      </c>
    </row>
    <row r="76" spans="1:3" x14ac:dyDescent="0.3">
      <c r="A76" s="44" t="s">
        <v>1606</v>
      </c>
      <c r="B76" s="2">
        <f>+IF($B$4="TODOS",SUMIFS(Base_Precisa!X:X,Base_Precisa!J:J,Cálculo_Categorías!A76),SUMIFS(Base_Precisa!X:X,Base_Precisa!J:J,Cálculo_Categorías!A76,Base_Precisa!B:B,Cálculo_Categorías!$B$4))</f>
        <v>135.59</v>
      </c>
      <c r="C76" t="str" cm="1">
        <f t="array" ref="C76">+_xlfn.IFS(Tabla5[[#This Row],[FACTURACIÓN]]&lt;500,"A",Tabla5[[#This Row],[FACTURACIÓN]]&lt;1000,"AA",Tabla5[[#This Row],[FACTURACIÓN]]&gt;=1000,"AAA")</f>
        <v>A</v>
      </c>
    </row>
    <row r="77" spans="1:3" x14ac:dyDescent="0.3">
      <c r="A77" s="44" t="s">
        <v>1615</v>
      </c>
      <c r="B77" s="2">
        <f>+IF($B$4="TODOS",SUMIFS(Base_Precisa!X:X,Base_Precisa!J:J,Cálculo_Categorías!A77),SUMIFS(Base_Precisa!X:X,Base_Precisa!J:J,Cálculo_Categorías!A77,Base_Precisa!B:B,Cálculo_Categorías!$B$4))</f>
        <v>555.08000000000004</v>
      </c>
      <c r="C77" t="str" cm="1">
        <f t="array" ref="C77">+_xlfn.IFS(Tabla5[[#This Row],[FACTURACIÓN]]&lt;500,"A",Tabla5[[#This Row],[FACTURACIÓN]]&lt;1000,"AA",Tabla5[[#This Row],[FACTURACIÓN]]&gt;=1000,"AAA")</f>
        <v>AA</v>
      </c>
    </row>
    <row r="78" spans="1:3" x14ac:dyDescent="0.3">
      <c r="A78" s="44" t="s">
        <v>1674</v>
      </c>
      <c r="B78" s="2">
        <f>+IF($B$4="TODOS",SUMIFS(Base_Precisa!X:X,Base_Precisa!J:J,Cálculo_Categorías!A78),SUMIFS(Base_Precisa!X:X,Base_Precisa!J:J,Cálculo_Categorías!A78,Base_Precisa!B:B,Cálculo_Categorías!$B$4))</f>
        <v>186.44</v>
      </c>
      <c r="C78" t="str" cm="1">
        <f t="array" ref="C78">+_xlfn.IFS(Tabla5[[#This Row],[FACTURACIÓN]]&lt;500,"A",Tabla5[[#This Row],[FACTURACIÓN]]&lt;1000,"AA",Tabla5[[#This Row],[FACTURACIÓN]]&gt;=1000,"AAA")</f>
        <v>A</v>
      </c>
    </row>
    <row r="79" spans="1:3" x14ac:dyDescent="0.3">
      <c r="A79" s="44" t="s">
        <v>1829</v>
      </c>
      <c r="B79" s="2">
        <f>+IF($B$4="TODOS",SUMIFS(Base_Precisa!X:X,Base_Precisa!J:J,Cálculo_Categorías!A79),SUMIFS(Base_Precisa!X:X,Base_Precisa!J:J,Cálculo_Categorías!A79,Base_Precisa!B:B,Cálculo_Categorías!$B$4))</f>
        <v>372.88</v>
      </c>
      <c r="C79" t="str" cm="1">
        <f t="array" ref="C79">+_xlfn.IFS(Tabla5[[#This Row],[FACTURACIÓN]]&lt;500,"A",Tabla5[[#This Row],[FACTURACIÓN]]&lt;1000,"AA",Tabla5[[#This Row],[FACTURACIÓN]]&gt;=1000,"AAA")</f>
        <v>A</v>
      </c>
    </row>
    <row r="80" spans="1:3" x14ac:dyDescent="0.3">
      <c r="A80" s="44" t="s">
        <v>1863</v>
      </c>
      <c r="B80" s="2">
        <f>+IF($B$4="TODOS",SUMIFS(Base_Precisa!X:X,Base_Precisa!J:J,Cálculo_Categorías!A80),SUMIFS(Base_Precisa!X:X,Base_Precisa!J:J,Cálculo_Categorías!A80,Base_Precisa!B:B,Cálculo_Categorías!$B$4))</f>
        <v>0</v>
      </c>
      <c r="C80" t="str" cm="1">
        <f t="array" ref="C80">+_xlfn.IFS(Tabla5[[#This Row],[FACTURACIÓN]]&lt;500,"A",Tabla5[[#This Row],[FACTURACIÓN]]&lt;1000,"AA",Tabla5[[#This Row],[FACTURACIÓN]]&gt;=1000,"AAA")</f>
        <v>A</v>
      </c>
    </row>
    <row r="81" spans="1:3" x14ac:dyDescent="0.3">
      <c r="A81" s="44" t="s">
        <v>1873</v>
      </c>
      <c r="B81" s="2">
        <f>+IF($B$4="TODOS",SUMIFS(Base_Precisa!X:X,Base_Precisa!J:J,Cálculo_Categorías!A81),SUMIFS(Base_Precisa!X:X,Base_Precisa!J:J,Cálculo_Categorías!A81,Base_Precisa!B:B,Cálculo_Categorías!$B$4))</f>
        <v>542.36</v>
      </c>
      <c r="C81" t="str" cm="1">
        <f t="array" ref="C81">+_xlfn.IFS(Tabla5[[#This Row],[FACTURACIÓN]]&lt;500,"A",Tabla5[[#This Row],[FACTURACIÓN]]&lt;1000,"AA",Tabla5[[#This Row],[FACTURACIÓN]]&gt;=1000,"AAA")</f>
        <v>AA</v>
      </c>
    </row>
    <row r="82" spans="1:3" x14ac:dyDescent="0.3">
      <c r="A82" s="44" t="s">
        <v>1961</v>
      </c>
      <c r="B82" s="2">
        <f>+IF($B$4="TODOS",SUMIFS(Base_Precisa!X:X,Base_Precisa!J:J,Cálculo_Categorías!A82),SUMIFS(Base_Precisa!X:X,Base_Precisa!J:J,Cálculo_Categorías!A82,Base_Precisa!B:B,Cálculo_Categorías!$B$4))</f>
        <v>135.59</v>
      </c>
      <c r="C82" t="str" cm="1">
        <f t="array" ref="C82">+_xlfn.IFS(Tabla5[[#This Row],[FACTURACIÓN]]&lt;500,"A",Tabla5[[#This Row],[FACTURACIÓN]]&lt;1000,"AA",Tabla5[[#This Row],[FACTURACIÓN]]&gt;=1000,"AAA")</f>
        <v>A</v>
      </c>
    </row>
    <row r="83" spans="1:3" x14ac:dyDescent="0.3">
      <c r="A83" s="44" t="s">
        <v>2128</v>
      </c>
      <c r="B83" s="2">
        <f>+IF($B$4="TODOS",SUMIFS(Base_Precisa!X:X,Base_Precisa!J:J,Cálculo_Categorías!A83),SUMIFS(Base_Precisa!X:X,Base_Precisa!J:J,Cálculo_Categorías!A83,Base_Precisa!B:B,Cálculo_Categorías!$B$4))</f>
        <v>186.44</v>
      </c>
      <c r="C83" t="str" cm="1">
        <f t="array" ref="C83">+_xlfn.IFS(Tabla5[[#This Row],[FACTURACIÓN]]&lt;500,"A",Tabla5[[#This Row],[FACTURACIÓN]]&lt;1000,"AA",Tabla5[[#This Row],[FACTURACIÓN]]&gt;=1000,"AAA")</f>
        <v>A</v>
      </c>
    </row>
    <row r="84" spans="1:3" x14ac:dyDescent="0.3">
      <c r="A84" s="44" t="s">
        <v>2145</v>
      </c>
      <c r="B84" s="2">
        <f>+IF($B$4="TODOS",SUMIFS(Base_Precisa!X:X,Base_Precisa!J:J,Cálculo_Categorías!A84),SUMIFS(Base_Precisa!X:X,Base_Precisa!J:J,Cálculo_Categorías!A84,Base_Precisa!B:B,Cálculo_Categorías!$B$4))</f>
        <v>135.59</v>
      </c>
      <c r="C84" t="str" cm="1">
        <f t="array" ref="C84">+_xlfn.IFS(Tabla5[[#This Row],[FACTURACIÓN]]&lt;500,"A",Tabla5[[#This Row],[FACTURACIÓN]]&lt;1000,"AA",Tabla5[[#This Row],[FACTURACIÓN]]&gt;=1000,"AAA")</f>
        <v>A</v>
      </c>
    </row>
    <row r="85" spans="1:3" x14ac:dyDescent="0.3">
      <c r="A85" s="44" t="s">
        <v>2177</v>
      </c>
      <c r="B85" s="2">
        <f>+IF($B$4="TODOS",SUMIFS(Base_Precisa!X:X,Base_Precisa!J:J,Cálculo_Categorías!A85),SUMIFS(Base_Precisa!X:X,Base_Precisa!J:J,Cálculo_Categorías!A85,Base_Precisa!B:B,Cálculo_Categorías!$B$4))</f>
        <v>271.18</v>
      </c>
      <c r="C85" t="str" cm="1">
        <f t="array" ref="C85">+_xlfn.IFS(Tabla5[[#This Row],[FACTURACIÓN]]&lt;500,"A",Tabla5[[#This Row],[FACTURACIÓN]]&lt;1000,"AA",Tabla5[[#This Row],[FACTURACIÓN]]&gt;=1000,"AAA")</f>
        <v>A</v>
      </c>
    </row>
    <row r="86" spans="1:3" x14ac:dyDescent="0.3">
      <c r="A86" s="44" t="s">
        <v>2241</v>
      </c>
      <c r="B86" s="2">
        <f>+IF($B$4="TODOS",SUMIFS(Base_Precisa!X:X,Base_Precisa!J:J,Cálculo_Categorías!A86),SUMIFS(Base_Precisa!X:X,Base_Precisa!J:J,Cálculo_Categorías!A86,Base_Precisa!B:B,Cálculo_Categorías!$B$4))</f>
        <v>135.59</v>
      </c>
      <c r="C86" t="str" cm="1">
        <f t="array" ref="C86">+_xlfn.IFS(Tabla5[[#This Row],[FACTURACIÓN]]&lt;500,"A",Tabla5[[#This Row],[FACTURACIÓN]]&lt;1000,"AA",Tabla5[[#This Row],[FACTURACIÓN]]&gt;=1000,"AAA")</f>
        <v>A</v>
      </c>
    </row>
    <row r="87" spans="1:3" x14ac:dyDescent="0.3">
      <c r="A87" s="44" t="s">
        <v>2291</v>
      </c>
      <c r="B87" s="2">
        <f>+IF($B$4="TODOS",SUMIFS(Base_Precisa!X:X,Base_Precisa!J:J,Cálculo_Categorías!A87),SUMIFS(Base_Precisa!X:X,Base_Precisa!J:J,Cálculo_Categorías!A87,Base_Precisa!B:B,Cálculo_Categorías!$B$4))</f>
        <v>796.6</v>
      </c>
      <c r="C87" t="str" cm="1">
        <f t="array" ref="C87">+_xlfn.IFS(Tabla5[[#This Row],[FACTURACIÓN]]&lt;500,"A",Tabla5[[#This Row],[FACTURACIÓN]]&lt;1000,"AA",Tabla5[[#This Row],[FACTURACIÓN]]&gt;=1000,"AAA")</f>
        <v>AA</v>
      </c>
    </row>
    <row r="88" spans="1:3" x14ac:dyDescent="0.3">
      <c r="A88" s="44" t="s">
        <v>2310</v>
      </c>
      <c r="B88" s="2">
        <f>+IF($B$4="TODOS",SUMIFS(Base_Precisa!X:X,Base_Precisa!J:J,Cálculo_Categorías!A88),SUMIFS(Base_Precisa!X:X,Base_Precisa!J:J,Cálculo_Categorías!A88,Base_Precisa!B:B,Cálculo_Categorías!$B$4))</f>
        <v>135.59</v>
      </c>
      <c r="C88" t="str" cm="1">
        <f t="array" ref="C88">+_xlfn.IFS(Tabla5[[#This Row],[FACTURACIÓN]]&lt;500,"A",Tabla5[[#This Row],[FACTURACIÓN]]&lt;1000,"AA",Tabla5[[#This Row],[FACTURACIÓN]]&gt;=1000,"AAA")</f>
        <v>A</v>
      </c>
    </row>
    <row r="89" spans="1:3" x14ac:dyDescent="0.3">
      <c r="A89" s="44" t="s">
        <v>2330</v>
      </c>
      <c r="B89" s="2">
        <f>+IF($B$4="TODOS",SUMIFS(Base_Precisa!X:X,Base_Precisa!J:J,Cálculo_Categorías!A89),SUMIFS(Base_Precisa!X:X,Base_Precisa!J:J,Cálculo_Categorías!A89,Base_Precisa!B:B,Cálculo_Categorías!$B$4))</f>
        <v>847.46</v>
      </c>
      <c r="C89" t="str" cm="1">
        <f t="array" ref="C89">+_xlfn.IFS(Tabla5[[#This Row],[FACTURACIÓN]]&lt;500,"A",Tabla5[[#This Row],[FACTURACIÓN]]&lt;1000,"AA",Tabla5[[#This Row],[FACTURACIÓN]]&gt;=1000,"AAA")</f>
        <v>AA</v>
      </c>
    </row>
    <row r="90" spans="1:3" x14ac:dyDescent="0.3">
      <c r="A90" s="44" t="s">
        <v>2371</v>
      </c>
      <c r="B90" s="2">
        <f>+IF($B$4="TODOS",SUMIFS(Base_Precisa!X:X,Base_Precisa!J:J,Cálculo_Categorías!A90),SUMIFS(Base_Precisa!X:X,Base_Precisa!J:J,Cálculo_Categorías!A90,Base_Precisa!B:B,Cálculo_Categorías!$B$4))</f>
        <v>135.59</v>
      </c>
      <c r="C90" t="str" cm="1">
        <f t="array" ref="C90">+_xlfn.IFS(Tabla5[[#This Row],[FACTURACIÓN]]&lt;500,"A",Tabla5[[#This Row],[FACTURACIÓN]]&lt;1000,"AA",Tabla5[[#This Row],[FACTURACIÓN]]&gt;=1000,"AAA")</f>
        <v>A</v>
      </c>
    </row>
    <row r="91" spans="1:3" x14ac:dyDescent="0.3">
      <c r="A91" s="44" t="s">
        <v>2401</v>
      </c>
      <c r="B91" s="2">
        <f>+IF($B$4="TODOS",SUMIFS(Base_Precisa!X:X,Base_Precisa!J:J,Cálculo_Categorías!A91),SUMIFS(Base_Precisa!X:X,Base_Precisa!J:J,Cálculo_Categorías!A91,Base_Precisa!B:B,Cálculo_Categorías!$B$4))</f>
        <v>186.44</v>
      </c>
      <c r="C91" t="str" cm="1">
        <f t="array" ref="C91">+_xlfn.IFS(Tabla5[[#This Row],[FACTURACIÓN]]&lt;500,"A",Tabla5[[#This Row],[FACTURACIÓN]]&lt;1000,"AA",Tabla5[[#This Row],[FACTURACIÓN]]&gt;=1000,"AAA")</f>
        <v>A</v>
      </c>
    </row>
    <row r="92" spans="1:3" x14ac:dyDescent="0.3">
      <c r="A92" s="44" t="s">
        <v>2419</v>
      </c>
      <c r="B92" s="2">
        <f>+IF($B$4="TODOS",SUMIFS(Base_Precisa!X:X,Base_Precisa!J:J,Cálculo_Categorías!A92),SUMIFS(Base_Precisa!X:X,Base_Precisa!J:J,Cálculo_Categorías!A92,Base_Precisa!B:B,Cálculo_Categorías!$B$4))</f>
        <v>101.69</v>
      </c>
      <c r="C92" t="str" cm="1">
        <f t="array" ref="C92">+_xlfn.IFS(Tabla5[[#This Row],[FACTURACIÓN]]&lt;500,"A",Tabla5[[#This Row],[FACTURACIÓN]]&lt;1000,"AA",Tabla5[[#This Row],[FACTURACIÓN]]&gt;=1000,"AAA")</f>
        <v>A</v>
      </c>
    </row>
    <row r="93" spans="1:3" x14ac:dyDescent="0.3">
      <c r="A93" s="44" t="s">
        <v>4007</v>
      </c>
      <c r="B93" s="2">
        <f>+IF($B$4="TODOS",SUMIFS(Base_Precisa!X:X,Base_Precisa!J:J,Cálculo_Categorías!A93),SUMIFS(Base_Precisa!X:X,Base_Precisa!J:J,Cálculo_Categorías!A93,Base_Precisa!B:B,Cálculo_Categorías!$B$4))</f>
        <v>338.98</v>
      </c>
      <c r="C93" t="str" cm="1">
        <f t="array" ref="C93">+_xlfn.IFS(Tabla5[[#This Row],[FACTURACIÓN]]&lt;500,"A",Tabla5[[#This Row],[FACTURACIÓN]]&lt;1000,"AA",Tabla5[[#This Row],[FACTURACIÓN]]&gt;=1000,"AAA")</f>
        <v>A</v>
      </c>
    </row>
    <row r="94" spans="1:3" x14ac:dyDescent="0.3">
      <c r="A94" s="44" t="s">
        <v>2461</v>
      </c>
      <c r="B94" s="2">
        <f>+IF($B$4="TODOS",SUMIFS(Base_Precisa!X:X,Base_Precisa!J:J,Cálculo_Categorías!A94),SUMIFS(Base_Precisa!X:X,Base_Precisa!J:J,Cálculo_Categorías!A94,Base_Precisa!B:B,Cálculo_Categorías!$B$4))</f>
        <v>525.42000000000007</v>
      </c>
      <c r="C94" t="str" cm="1">
        <f t="array" ref="C94">+_xlfn.IFS(Tabla5[[#This Row],[FACTURACIÓN]]&lt;500,"A",Tabla5[[#This Row],[FACTURACIÓN]]&lt;1000,"AA",Tabla5[[#This Row],[FACTURACIÓN]]&gt;=1000,"AAA")</f>
        <v>AA</v>
      </c>
    </row>
    <row r="95" spans="1:3" x14ac:dyDescent="0.3">
      <c r="A95" s="44" t="s">
        <v>2557</v>
      </c>
      <c r="B95" s="2">
        <f>+IF($B$4="TODOS",SUMIFS(Base_Precisa!X:X,Base_Precisa!J:J,Cálculo_Categorías!A95),SUMIFS(Base_Precisa!X:X,Base_Precisa!J:J,Cálculo_Categorías!A95,Base_Precisa!B:B,Cálculo_Categorías!$B$4))</f>
        <v>338.98</v>
      </c>
      <c r="C95" t="str" cm="1">
        <f t="array" ref="C95">+_xlfn.IFS(Tabla5[[#This Row],[FACTURACIÓN]]&lt;500,"A",Tabla5[[#This Row],[FACTURACIÓN]]&lt;1000,"AA",Tabla5[[#This Row],[FACTURACIÓN]]&gt;=1000,"AAA")</f>
        <v>A</v>
      </c>
    </row>
    <row r="96" spans="1:3" x14ac:dyDescent="0.3">
      <c r="A96" s="44" t="s">
        <v>2591</v>
      </c>
      <c r="B96" s="2">
        <f>+IF($B$4="TODOS",SUMIFS(Base_Precisa!X:X,Base_Precisa!J:J,Cálculo_Categorías!A96),SUMIFS(Base_Precisa!X:X,Base_Precisa!J:J,Cálculo_Categorías!A96,Base_Precisa!B:B,Cálculo_Categorías!$B$4))</f>
        <v>254.24</v>
      </c>
      <c r="C96" t="str" cm="1">
        <f t="array" ref="C96">+_xlfn.IFS(Tabla5[[#This Row],[FACTURACIÓN]]&lt;500,"A",Tabla5[[#This Row],[FACTURACIÓN]]&lt;1000,"AA",Tabla5[[#This Row],[FACTURACIÓN]]&gt;=1000,"AAA")</f>
        <v>A</v>
      </c>
    </row>
    <row r="97" spans="1:3" x14ac:dyDescent="0.3">
      <c r="A97" s="44" t="s">
        <v>3154</v>
      </c>
      <c r="B97" s="2">
        <f>+IF($B$4="TODOS",SUMIFS(Base_Precisa!X:X,Base_Precisa!J:J,Cálculo_Categorías!A97),SUMIFS(Base_Precisa!X:X,Base_Precisa!J:J,Cálculo_Categorías!A97,Base_Precisa!B:B,Cálculo_Categorías!$B$4))</f>
        <v>152.54</v>
      </c>
      <c r="C97" t="str" cm="1">
        <f t="array" ref="C97">+_xlfn.IFS(Tabla5[[#This Row],[FACTURACIÓN]]&lt;500,"A",Tabla5[[#This Row],[FACTURACIÓN]]&lt;1000,"AA",Tabla5[[#This Row],[FACTURACIÓN]]&gt;=1000,"AAA")</f>
        <v>A</v>
      </c>
    </row>
    <row r="98" spans="1:3" x14ac:dyDescent="0.3">
      <c r="A98" s="44" t="s">
        <v>3219</v>
      </c>
      <c r="B98" s="2">
        <f>+IF($B$4="TODOS",SUMIFS(Base_Precisa!X:X,Base_Precisa!J:J,Cálculo_Categorías!A98),SUMIFS(Base_Precisa!X:X,Base_Precisa!J:J,Cálculo_Categorías!A98,Base_Precisa!B:B,Cálculo_Categorías!$B$4))</f>
        <v>135.59</v>
      </c>
      <c r="C98" t="str" cm="1">
        <f t="array" ref="C98">+_xlfn.IFS(Tabla5[[#This Row],[FACTURACIÓN]]&lt;500,"A",Tabla5[[#This Row],[FACTURACIÓN]]&lt;1000,"AA",Tabla5[[#This Row],[FACTURACIÓN]]&gt;=1000,"AAA")</f>
        <v>A</v>
      </c>
    </row>
    <row r="99" spans="1:3" x14ac:dyDescent="0.3">
      <c r="A99" s="44" t="s">
        <v>3537</v>
      </c>
      <c r="B99" s="2">
        <f>+IF($B$4="TODOS",SUMIFS(Base_Precisa!X:X,Base_Precisa!J:J,Cálculo_Categorías!A99),SUMIFS(Base_Precisa!X:X,Base_Precisa!J:J,Cálculo_Categorías!A99,Base_Precisa!B:B,Cálculo_Categorías!$B$4))</f>
        <v>1144.06</v>
      </c>
      <c r="C99" t="str" cm="1">
        <f t="array" ref="C99">+_xlfn.IFS(Tabla5[[#This Row],[FACTURACIÓN]]&lt;500,"A",Tabla5[[#This Row],[FACTURACIÓN]]&lt;1000,"AA",Tabla5[[#This Row],[FACTURACIÓN]]&gt;=1000,"AAA")</f>
        <v>AAA</v>
      </c>
    </row>
    <row r="100" spans="1:3" x14ac:dyDescent="0.3">
      <c r="A100" s="44" t="s">
        <v>3030</v>
      </c>
      <c r="B100" s="2">
        <f>+IF($B$4="TODOS",SUMIFS(Base_Precisa!X:X,Base_Precisa!J:J,Cálculo_Categorías!A100),SUMIFS(Base_Precisa!X:X,Base_Precisa!J:J,Cálculo_Categorías!A100,Base_Precisa!B:B,Cálculo_Categorías!$B$4))</f>
        <v>881.34999999999991</v>
      </c>
      <c r="C100" t="str" cm="1">
        <f t="array" ref="C100">+_xlfn.IFS(Tabla5[[#This Row],[FACTURACIÓN]]&lt;500,"A",Tabla5[[#This Row],[FACTURACIÓN]]&lt;1000,"AA",Tabla5[[#This Row],[FACTURACIÓN]]&gt;=1000,"AAA")</f>
        <v>AA</v>
      </c>
    </row>
    <row r="101" spans="1:3" x14ac:dyDescent="0.3">
      <c r="A101" s="44" t="s">
        <v>2739</v>
      </c>
      <c r="B101" s="2">
        <f>+IF($B$4="TODOS",SUMIFS(Base_Precisa!X:X,Base_Precisa!J:J,Cálculo_Categorías!A101),SUMIFS(Base_Precisa!X:X,Base_Precisa!J:J,Cálculo_Categorías!A101,Base_Precisa!B:B,Cálculo_Categorías!$B$4))</f>
        <v>2949.13</v>
      </c>
      <c r="C101" t="str" cm="1">
        <f t="array" ref="C101">+_xlfn.IFS(Tabla5[[#This Row],[FACTURACIÓN]]&lt;500,"A",Tabla5[[#This Row],[FACTURACIÓN]]&lt;1000,"AA",Tabla5[[#This Row],[FACTURACIÓN]]&gt;=1000,"AAA")</f>
        <v>AAA</v>
      </c>
    </row>
    <row r="102" spans="1:3" x14ac:dyDescent="0.3">
      <c r="A102" s="44" t="s">
        <v>3322</v>
      </c>
      <c r="B102" s="2">
        <f>+IF($B$4="TODOS",SUMIFS(Base_Precisa!X:X,Base_Precisa!J:J,Cálculo_Categorías!A102),SUMIFS(Base_Precisa!X:X,Base_Precisa!J:J,Cálculo_Categorías!A102,Base_Precisa!B:B,Cálculo_Categorías!$B$4))</f>
        <v>271.18</v>
      </c>
      <c r="C102" t="str" cm="1">
        <f t="array" ref="C102">+_xlfn.IFS(Tabla5[[#This Row],[FACTURACIÓN]]&lt;500,"A",Tabla5[[#This Row],[FACTURACIÓN]]&lt;1000,"AA",Tabla5[[#This Row],[FACTURACIÓN]]&gt;=1000,"AAA")</f>
        <v>A</v>
      </c>
    </row>
    <row r="103" spans="1:3" x14ac:dyDescent="0.3">
      <c r="A103" s="44" t="s">
        <v>4282</v>
      </c>
      <c r="B103" s="2">
        <f>+IF($B$4="TODOS",SUMIFS(Base_Precisa!X:X,Base_Precisa!J:J,Cálculo_Categorías!A103),SUMIFS(Base_Precisa!X:X,Base_Precisa!J:J,Cálculo_Categorías!A103,Base_Precisa!B:B,Cálculo_Categorías!$B$4))</f>
        <v>152.54</v>
      </c>
      <c r="C103" t="str" cm="1">
        <f t="array" ref="C103">+_xlfn.IFS(Tabla5[[#This Row],[FACTURACIÓN]]&lt;500,"A",Tabla5[[#This Row],[FACTURACIÓN]]&lt;1000,"AA",Tabla5[[#This Row],[FACTURACIÓN]]&gt;=1000,"AAA")</f>
        <v>A</v>
      </c>
    </row>
    <row r="104" spans="1:3" x14ac:dyDescent="0.3">
      <c r="A104" s="44" t="s">
        <v>4404</v>
      </c>
      <c r="B104" s="2">
        <f>+IF($B$4="TODOS",SUMIFS(Base_Precisa!X:X,Base_Precisa!J:J,Cálculo_Categorías!A104),SUMIFS(Base_Precisa!X:X,Base_Precisa!J:J,Cálculo_Categorías!A104,Base_Precisa!B:B,Cálculo_Categorías!$B$4))</f>
        <v>169.49</v>
      </c>
      <c r="C104" t="str" cm="1">
        <f t="array" ref="C104">+_xlfn.IFS(Tabla5[[#This Row],[FACTURACIÓN]]&lt;500,"A",Tabla5[[#This Row],[FACTURACIÓN]]&lt;1000,"AA",Tabla5[[#This Row],[FACTURACIÓN]]&gt;=1000,"AAA")</f>
        <v>A</v>
      </c>
    </row>
    <row r="105" spans="1:3" x14ac:dyDescent="0.3">
      <c r="A105" s="44" t="s">
        <v>4477</v>
      </c>
      <c r="B105" s="2">
        <f>+IF($B$4="TODOS",SUMIFS(Base_Precisa!X:X,Base_Precisa!J:J,Cálculo_Categorías!A105),SUMIFS(Base_Precisa!X:X,Base_Precisa!J:J,Cálculo_Categorías!A105,Base_Precisa!B:B,Cálculo_Categorías!$B$4))</f>
        <v>152.54</v>
      </c>
      <c r="C105" t="str" cm="1">
        <f t="array" ref="C105">+_xlfn.IFS(Tabla5[[#This Row],[FACTURACIÓN]]&lt;500,"A",Tabla5[[#This Row],[FACTURACIÓN]]&lt;1000,"AA",Tabla5[[#This Row],[FACTURACIÓN]]&gt;=1000,"AAA")</f>
        <v>A</v>
      </c>
    </row>
    <row r="106" spans="1:3" x14ac:dyDescent="0.3">
      <c r="A106" s="44" t="s">
        <v>3072</v>
      </c>
      <c r="B106" s="2">
        <f>+IF($B$4="TODOS",SUMIFS(Base_Precisa!X:X,Base_Precisa!J:J,Cálculo_Categorías!A106),SUMIFS(Base_Precisa!X:X,Base_Precisa!J:J,Cálculo_Categorías!A106,Base_Precisa!B:B,Cálculo_Categorías!$B$4))</f>
        <v>644.05999999999995</v>
      </c>
      <c r="C106" t="str" cm="1">
        <f t="array" ref="C106">+_xlfn.IFS(Tabla5[[#This Row],[FACTURACIÓN]]&lt;500,"A",Tabla5[[#This Row],[FACTURACIÓN]]&lt;1000,"AA",Tabla5[[#This Row],[FACTURACIÓN]]&gt;=1000,"AAA")</f>
        <v>AA</v>
      </c>
    </row>
  </sheetData>
  <mergeCells count="5">
    <mergeCell ref="A6:C6"/>
    <mergeCell ref="E6:G6"/>
    <mergeCell ref="A3:B3"/>
    <mergeCell ref="E3:F3"/>
    <mergeCell ref="A1:G1"/>
  </mergeCells>
  <dataValidations count="1">
    <dataValidation type="list" allowBlank="1" showInputMessage="1" showErrorMessage="1" sqref="F4 B4" xr:uid="{00000000-0002-0000-0400-000000000000}">
      <formula1>"TODOS,Junio,Julio,Agosto,Setiembre,Octubre"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8"/>
  <sheetViews>
    <sheetView workbookViewId="0">
      <selection sqref="A1:D1"/>
    </sheetView>
  </sheetViews>
  <sheetFormatPr baseColWidth="10" defaultRowHeight="14.4" x14ac:dyDescent="0.3"/>
  <cols>
    <col min="1" max="1" width="33.77734375" customWidth="1"/>
    <col min="2" max="2" width="12.44140625" customWidth="1"/>
    <col min="4" max="4" width="7" customWidth="1"/>
    <col min="5" max="5" width="2.33203125" customWidth="1"/>
    <col min="6" max="6" width="37.33203125" customWidth="1"/>
    <col min="7" max="7" width="17.5546875" customWidth="1"/>
    <col min="8" max="8" width="15.109375" customWidth="1"/>
    <col min="9" max="9" width="7" customWidth="1"/>
    <col min="10" max="10" width="2.33203125" customWidth="1"/>
    <col min="11" max="11" width="40.88671875" customWidth="1"/>
    <col min="12" max="12" width="17.5546875" customWidth="1"/>
    <col min="13" max="13" width="15.109375" customWidth="1"/>
    <col min="14" max="14" width="7" customWidth="1"/>
    <col min="15" max="15" width="5.44140625" customWidth="1"/>
    <col min="16" max="16" width="37.33203125" customWidth="1"/>
    <col min="17" max="17" width="17.5546875" customWidth="1"/>
    <col min="18" max="18" width="15.109375" customWidth="1"/>
    <col min="19" max="19" width="7" customWidth="1"/>
  </cols>
  <sheetData>
    <row r="1" spans="1:19" ht="18" x14ac:dyDescent="0.35">
      <c r="A1" s="63" t="s">
        <v>4943</v>
      </c>
      <c r="B1" s="64"/>
      <c r="C1" s="64"/>
      <c r="D1" s="64"/>
      <c r="F1" s="63" t="s">
        <v>4944</v>
      </c>
      <c r="G1" s="64"/>
      <c r="H1" s="64"/>
      <c r="I1" s="64"/>
      <c r="K1" s="63" t="s">
        <v>4945</v>
      </c>
      <c r="L1" s="64"/>
      <c r="M1" s="64"/>
      <c r="N1" s="64"/>
      <c r="P1" s="63" t="s">
        <v>4946</v>
      </c>
      <c r="Q1" s="64"/>
      <c r="R1" s="64"/>
      <c r="S1" s="64"/>
    </row>
    <row r="2" spans="1:19" x14ac:dyDescent="0.3">
      <c r="A2" s="31" t="s">
        <v>4947</v>
      </c>
      <c r="B2" s="32" t="s">
        <v>4936</v>
      </c>
      <c r="C2" s="33" t="s">
        <v>4948</v>
      </c>
      <c r="D2" s="32" t="s">
        <v>4949</v>
      </c>
      <c r="F2" s="31" t="s">
        <v>4947</v>
      </c>
      <c r="G2" s="32" t="s">
        <v>4936</v>
      </c>
      <c r="H2" s="33" t="s">
        <v>4948</v>
      </c>
      <c r="I2" s="32" t="s">
        <v>4949</v>
      </c>
      <c r="K2" s="23" t="s">
        <v>4947</v>
      </c>
      <c r="L2" s="24" t="s">
        <v>4936</v>
      </c>
      <c r="M2" s="25" t="s">
        <v>4948</v>
      </c>
      <c r="N2" s="32" t="s">
        <v>4949</v>
      </c>
      <c r="P2" s="23" t="s">
        <v>4947</v>
      </c>
      <c r="Q2" s="24" t="s">
        <v>4936</v>
      </c>
      <c r="R2" s="25" t="s">
        <v>4948</v>
      </c>
      <c r="S2" s="24" t="s">
        <v>4949</v>
      </c>
    </row>
    <row r="3" spans="1:19" x14ac:dyDescent="0.3">
      <c r="A3" s="35" t="s">
        <v>4950</v>
      </c>
      <c r="B3" s="36">
        <f>+SUMIF(Tabla421[CATEGORÍA],"AAA",Tabla421[FACTURACIÓN])</f>
        <v>4313.5599999999995</v>
      </c>
      <c r="C3" s="37">
        <f>+COUNTIF(Tabla4[CATEGORÍA],"AAA")</f>
        <v>10</v>
      </c>
      <c r="D3" s="38">
        <f>C3/$H$6</f>
        <v>0.24390243902439024</v>
      </c>
      <c r="F3" s="35" t="s">
        <v>4950</v>
      </c>
      <c r="G3" s="36">
        <f>+SUMIF(Tabla4[CATEGORÍA],"AAA",Tabla4[FACTURACIÓN])</f>
        <v>34864.210000000006</v>
      </c>
      <c r="H3" s="37">
        <f>+COUNTIF(Tabla4[CATEGORÍA],"AAA")</f>
        <v>10</v>
      </c>
      <c r="I3" s="38">
        <f>H3/$H$6</f>
        <v>0.24390243902439024</v>
      </c>
      <c r="K3" s="11" t="s">
        <v>4950</v>
      </c>
      <c r="L3" s="22">
        <f>+SUMIF(Tabla6[CATEGORÍA],"AAA",Tabla6[FACTURACIÓN])</f>
        <v>18588.939999999999</v>
      </c>
      <c r="M3" s="13">
        <f>+COUNTIF(Tabla6[CATEGORÍA],"AAA")</f>
        <v>5</v>
      </c>
      <c r="N3" s="38">
        <f>M3/$M$6</f>
        <v>8.6206896551724144E-2</v>
      </c>
      <c r="P3" s="11" t="s">
        <v>4950</v>
      </c>
      <c r="Q3" s="22">
        <f>+SUMIF(Tabla8[CATEGORÍA],"AAA",Tabla8[FACTURACIÓN])</f>
        <v>18406.769999999997</v>
      </c>
      <c r="R3" s="13">
        <f>+COUNTIF(Tabla8[CATEGORÍA],"AAA")</f>
        <v>4</v>
      </c>
      <c r="S3" s="52">
        <f t="shared" ref="S3:S7" si="0">R3/$R$7</f>
        <v>0.12121212121212122</v>
      </c>
    </row>
    <row r="4" spans="1:19" x14ac:dyDescent="0.3">
      <c r="A4" s="27" t="s">
        <v>4951</v>
      </c>
      <c r="B4" s="26">
        <f>+SUMIF(Tabla4[CATEGORÍA],"AA",Tabla4[FACTURACIÓN])</f>
        <v>3830.4700000000003</v>
      </c>
      <c r="C4" s="34">
        <f>+COUNTIF(Tabla4[CATEGORÍA],"AA")</f>
        <v>5</v>
      </c>
      <c r="D4" s="39">
        <f>C4/$H$6</f>
        <v>0.12195121951219512</v>
      </c>
      <c r="F4" s="27" t="s">
        <v>4951</v>
      </c>
      <c r="G4" s="26">
        <f>+SUMIF(Tabla4[CATEGORÍA],"AA",Tabla4[FACTURACIÓN])</f>
        <v>3830.4700000000003</v>
      </c>
      <c r="H4" s="34">
        <f>+COUNTIF(Tabla4[CATEGORÍA],"AA")</f>
        <v>5</v>
      </c>
      <c r="I4" s="39">
        <f>H4/$H$6</f>
        <v>0.12195121951219512</v>
      </c>
      <c r="K4" s="11" t="s">
        <v>4951</v>
      </c>
      <c r="L4" s="22">
        <f>+SUMIF(Tabla6[CATEGORÍA],"AA",Tabla6[FACTURACIÓN])</f>
        <v>8491.44</v>
      </c>
      <c r="M4" s="13">
        <f>+COUNTIF(Tabla6[CATEGORÍA],"AA")</f>
        <v>11</v>
      </c>
      <c r="N4" s="39">
        <f>M4/$M$6</f>
        <v>0.18965517241379309</v>
      </c>
      <c r="P4" s="11" t="s">
        <v>4951</v>
      </c>
      <c r="Q4" s="22">
        <f>+SUMIF(Tabla8[CATEGORÍA],"AA",Tabla8[FACTURACIÓN])</f>
        <v>7512.6500000000005</v>
      </c>
      <c r="R4" s="13">
        <f>+COUNTIF(Tabla8[CATEGORÍA],"AA")</f>
        <v>10</v>
      </c>
      <c r="S4" s="39">
        <f t="shared" si="0"/>
        <v>0.30303030303030304</v>
      </c>
    </row>
    <row r="5" spans="1:19" ht="18" x14ac:dyDescent="0.35">
      <c r="A5" s="27" t="s">
        <v>4952</v>
      </c>
      <c r="B5" s="26">
        <f>+SUMIF(Tabla421[CATEGORÍA],"A",Tabla421[FACTURACIÓN])</f>
        <v>1970.31</v>
      </c>
      <c r="C5" s="34">
        <f>+COUNTIF(Tabla4[CATEGORÍA],"A")</f>
        <v>26</v>
      </c>
      <c r="D5" s="39">
        <f>C5/$H$6</f>
        <v>0.63414634146341464</v>
      </c>
      <c r="F5" s="27" t="s">
        <v>4952</v>
      </c>
      <c r="G5" s="26">
        <f>+SUMIF(Tabla4[CATEGORÍA],"A",Tabla4[FACTURACIÓN])</f>
        <v>6262.63</v>
      </c>
      <c r="H5" s="34">
        <f>+COUNTIF(Tabla4[CATEGORÍA],"A")</f>
        <v>26</v>
      </c>
      <c r="I5" s="39">
        <f>H5/$H$6</f>
        <v>0.63414634146341464</v>
      </c>
      <c r="J5" s="9"/>
      <c r="K5" s="11" t="s">
        <v>4952</v>
      </c>
      <c r="L5" s="22">
        <f>+SUMIF(Tabla6[CATEGORÍA],"A",Tabla6[FACTURACIÓN])</f>
        <v>9296.470000000003</v>
      </c>
      <c r="M5" s="13">
        <f>+COUNTIF(Tabla6[CATEGORÍA],"A")</f>
        <v>42</v>
      </c>
      <c r="N5" s="39">
        <f>M5/$M$6</f>
        <v>0.72413793103448276</v>
      </c>
      <c r="O5" s="9"/>
      <c r="P5" s="11" t="s">
        <v>4952</v>
      </c>
      <c r="Q5" s="22">
        <f>+SUMIF(Tabla8[CATEGORÍA],"A",Tabla8[FACTURACIÓN])</f>
        <v>3728.7700000000004</v>
      </c>
      <c r="R5" s="13">
        <f>+COUNTIF(Tabla8[CATEGORÍA],"A")</f>
        <v>11</v>
      </c>
      <c r="S5" s="39">
        <f t="shared" si="0"/>
        <v>0.33333333333333331</v>
      </c>
    </row>
    <row r="6" spans="1:19" ht="18" x14ac:dyDescent="0.35">
      <c r="A6" s="40" t="s">
        <v>4953</v>
      </c>
      <c r="B6" s="41">
        <f>+SUM(Tabla421[FACTURACIÓN])</f>
        <v>6283.87</v>
      </c>
      <c r="C6" s="42">
        <f>+COUNT(Tabla421[FACTURACIÓN])</f>
        <v>10</v>
      </c>
      <c r="D6" s="43">
        <f>C6/$H$6</f>
        <v>0.24390243902439024</v>
      </c>
      <c r="F6" s="40" t="s">
        <v>4953</v>
      </c>
      <c r="G6" s="41">
        <f>+SUM(Tabla4[FACTURACIÓN])</f>
        <v>44957.31</v>
      </c>
      <c r="H6" s="42">
        <f>+COUNT(Tabla4[FACTURACIÓN])</f>
        <v>41</v>
      </c>
      <c r="I6" s="43">
        <f>H6/$H$6</f>
        <v>1</v>
      </c>
      <c r="J6" s="9"/>
      <c r="K6" s="28" t="s">
        <v>4953</v>
      </c>
      <c r="L6" s="29">
        <f>+SUM(Tabla6[FACTURACIÓN])</f>
        <v>36376.849999999991</v>
      </c>
      <c r="M6" s="30">
        <f>+COUNT(Tabla6[FACTURACIÓN])</f>
        <v>58</v>
      </c>
      <c r="N6" s="43">
        <f>M6/$M$6</f>
        <v>1</v>
      </c>
      <c r="O6" s="9"/>
      <c r="P6" s="11" t="s">
        <v>4954</v>
      </c>
      <c r="Q6" s="22">
        <f>+SUMIF(Tabla8[CATEGORÍA],"Sin Categoría",Tabla8[FACTURACIÓN])</f>
        <v>1237.27</v>
      </c>
      <c r="R6" s="13">
        <f>+COUNTIF(Tabla8[CATEGORÍA],"Sin Categoría")</f>
        <v>8</v>
      </c>
      <c r="S6" s="39">
        <f t="shared" si="0"/>
        <v>0.24242424242424243</v>
      </c>
    </row>
    <row r="7" spans="1:19" ht="18" x14ac:dyDescent="0.35">
      <c r="A7" s="14" t="s">
        <v>8</v>
      </c>
      <c r="B7" s="46" t="s">
        <v>4941</v>
      </c>
      <c r="C7" s="47" t="s">
        <v>4942</v>
      </c>
      <c r="F7" s="14" t="s">
        <v>8</v>
      </c>
      <c r="G7" s="15" t="s">
        <v>4941</v>
      </c>
      <c r="H7" s="16" t="s">
        <v>4942</v>
      </c>
      <c r="I7" s="6"/>
      <c r="J7" s="9"/>
      <c r="K7" s="14" t="s">
        <v>8</v>
      </c>
      <c r="L7" s="15" t="s">
        <v>4941</v>
      </c>
      <c r="M7" s="16" t="s">
        <v>4942</v>
      </c>
      <c r="N7" s="6"/>
      <c r="O7" s="9"/>
      <c r="P7" s="28" t="s">
        <v>4953</v>
      </c>
      <c r="Q7" s="29">
        <f>+SUM(Tabla8[FACTURACIÓN])</f>
        <v>30885.459999999995</v>
      </c>
      <c r="R7" s="30">
        <f>+COUNT(Tabla8[FACTURACIÓN])</f>
        <v>33</v>
      </c>
      <c r="S7" s="43">
        <f t="shared" si="0"/>
        <v>1</v>
      </c>
    </row>
    <row r="8" spans="1:19" s="6" customFormat="1" x14ac:dyDescent="0.3">
      <c r="A8" s="44" t="s">
        <v>273</v>
      </c>
      <c r="B8" s="54">
        <v>1305.0899999999999</v>
      </c>
      <c r="C8" t="s">
        <v>4950</v>
      </c>
      <c r="F8" s="44" t="s">
        <v>35</v>
      </c>
      <c r="G8" s="2">
        <v>135.59</v>
      </c>
      <c r="H8" t="s">
        <v>4952</v>
      </c>
      <c r="I8"/>
      <c r="K8" s="10" t="s">
        <v>35</v>
      </c>
      <c r="L8" s="19">
        <v>186.44</v>
      </c>
      <c r="M8" s="12" t="s">
        <v>4952</v>
      </c>
      <c r="N8"/>
      <c r="P8" s="45" t="s">
        <v>8</v>
      </c>
      <c r="Q8" s="46" t="s">
        <v>4941</v>
      </c>
      <c r="R8" s="47" t="s">
        <v>4942</v>
      </c>
    </row>
    <row r="9" spans="1:19" x14ac:dyDescent="0.3">
      <c r="A9" s="53" t="s">
        <v>477</v>
      </c>
      <c r="B9" s="54">
        <v>326.27</v>
      </c>
      <c r="C9" t="s">
        <v>4952</v>
      </c>
      <c r="F9" s="44" t="s">
        <v>116</v>
      </c>
      <c r="G9" s="2">
        <v>474.57</v>
      </c>
      <c r="H9" t="s">
        <v>4952</v>
      </c>
      <c r="K9" s="11" t="s">
        <v>3385</v>
      </c>
      <c r="L9" s="20">
        <v>135.59</v>
      </c>
      <c r="M9" s="13" t="s">
        <v>4952</v>
      </c>
      <c r="P9" s="35" t="s">
        <v>774</v>
      </c>
      <c r="Q9" s="48">
        <v>10927.98</v>
      </c>
      <c r="R9" s="49" t="s">
        <v>4950</v>
      </c>
    </row>
    <row r="10" spans="1:19" x14ac:dyDescent="0.3">
      <c r="A10" s="53" t="s">
        <v>662</v>
      </c>
      <c r="B10" s="54">
        <v>1258.47</v>
      </c>
      <c r="C10" t="s">
        <v>4950</v>
      </c>
      <c r="F10" s="44" t="s">
        <v>136</v>
      </c>
      <c r="G10" s="2">
        <v>1660.99</v>
      </c>
      <c r="H10" t="s">
        <v>4950</v>
      </c>
      <c r="K10" s="11" t="s">
        <v>116</v>
      </c>
      <c r="L10" s="20">
        <v>135.59</v>
      </c>
      <c r="M10" s="13" t="s">
        <v>4952</v>
      </c>
      <c r="P10" s="27" t="s">
        <v>273</v>
      </c>
      <c r="Q10" s="20">
        <v>5067.78</v>
      </c>
      <c r="R10" s="7" t="s">
        <v>4950</v>
      </c>
    </row>
    <row r="11" spans="1:19" x14ac:dyDescent="0.3">
      <c r="A11" s="53" t="s">
        <v>1108</v>
      </c>
      <c r="B11" s="54">
        <v>457.62</v>
      </c>
      <c r="C11" t="s">
        <v>4952</v>
      </c>
      <c r="F11" s="44" t="s">
        <v>411</v>
      </c>
      <c r="G11" s="2">
        <v>135.59</v>
      </c>
      <c r="H11" t="s">
        <v>4952</v>
      </c>
      <c r="K11" s="11" t="s">
        <v>136</v>
      </c>
      <c r="L11" s="20">
        <v>898.3</v>
      </c>
      <c r="M11" s="13" t="s">
        <v>4951</v>
      </c>
      <c r="P11" s="27" t="s">
        <v>628</v>
      </c>
      <c r="Q11" s="20">
        <v>1275.4299999999998</v>
      </c>
      <c r="R11" s="7" t="s">
        <v>4950</v>
      </c>
    </row>
    <row r="12" spans="1:19" x14ac:dyDescent="0.3">
      <c r="A12" s="53" t="s">
        <v>3273</v>
      </c>
      <c r="B12" s="54">
        <v>1750</v>
      </c>
      <c r="C12" t="s">
        <v>4950</v>
      </c>
      <c r="F12" s="44" t="s">
        <v>273</v>
      </c>
      <c r="G12" s="2">
        <v>8864.4000000000015</v>
      </c>
      <c r="H12" t="s">
        <v>4950</v>
      </c>
      <c r="K12" s="11" t="s">
        <v>411</v>
      </c>
      <c r="L12" s="20">
        <v>2283.88</v>
      </c>
      <c r="M12" s="13" t="s">
        <v>4950</v>
      </c>
      <c r="P12" s="27" t="s">
        <v>434</v>
      </c>
      <c r="Q12" s="20">
        <v>1135.58</v>
      </c>
      <c r="R12" s="7" t="s">
        <v>4950</v>
      </c>
    </row>
    <row r="13" spans="1:19" x14ac:dyDescent="0.3">
      <c r="A13" s="53" t="s">
        <v>1863</v>
      </c>
      <c r="B13" s="54">
        <v>101.69</v>
      </c>
      <c r="C13" t="s">
        <v>4952</v>
      </c>
      <c r="F13" s="44" t="s">
        <v>434</v>
      </c>
      <c r="G13" s="2">
        <v>728.8</v>
      </c>
      <c r="H13" t="s">
        <v>4951</v>
      </c>
      <c r="K13" s="11" t="s">
        <v>273</v>
      </c>
      <c r="L13" s="20">
        <v>5872.87</v>
      </c>
      <c r="M13" s="13" t="s">
        <v>4950</v>
      </c>
      <c r="P13" s="27" t="s">
        <v>662</v>
      </c>
      <c r="Q13" s="20">
        <v>983.04</v>
      </c>
      <c r="R13" s="7" t="s">
        <v>4951</v>
      </c>
    </row>
    <row r="14" spans="1:19" x14ac:dyDescent="0.3">
      <c r="A14" s="53" t="s">
        <v>2291</v>
      </c>
      <c r="B14" s="54">
        <v>288.13</v>
      </c>
      <c r="C14" t="s">
        <v>4952</v>
      </c>
      <c r="F14" s="44" t="s">
        <v>477</v>
      </c>
      <c r="G14" s="2">
        <v>322.02999999999997</v>
      </c>
      <c r="H14" t="s">
        <v>4952</v>
      </c>
      <c r="K14" s="11" t="s">
        <v>434</v>
      </c>
      <c r="L14" s="20">
        <v>593.21</v>
      </c>
      <c r="M14" s="13" t="s">
        <v>4951</v>
      </c>
      <c r="P14" s="27" t="s">
        <v>3273</v>
      </c>
      <c r="Q14" s="20">
        <v>978.81000000000006</v>
      </c>
      <c r="R14" s="7" t="s">
        <v>4951</v>
      </c>
    </row>
    <row r="15" spans="1:19" x14ac:dyDescent="0.3">
      <c r="A15" s="53" t="s">
        <v>2461</v>
      </c>
      <c r="B15" s="54">
        <v>338.98</v>
      </c>
      <c r="C15" t="s">
        <v>4952</v>
      </c>
      <c r="F15" s="44" t="s">
        <v>715</v>
      </c>
      <c r="G15" s="2">
        <v>1762.69</v>
      </c>
      <c r="H15" t="s">
        <v>4950</v>
      </c>
      <c r="K15" s="11" t="s">
        <v>2024</v>
      </c>
      <c r="L15" s="20">
        <v>186.44</v>
      </c>
      <c r="M15" s="13" t="s">
        <v>4952</v>
      </c>
      <c r="P15" s="27" t="s">
        <v>704</v>
      </c>
      <c r="Q15" s="20">
        <v>949.13999999999987</v>
      </c>
      <c r="R15" s="7" t="s">
        <v>4951</v>
      </c>
    </row>
    <row r="16" spans="1:19" x14ac:dyDescent="0.3">
      <c r="A16" s="53" t="s">
        <v>3030</v>
      </c>
      <c r="B16" s="54">
        <v>322.02999999999997</v>
      </c>
      <c r="C16" t="s">
        <v>4952</v>
      </c>
      <c r="F16" s="44" t="s">
        <v>762</v>
      </c>
      <c r="G16" s="2">
        <v>745.75</v>
      </c>
      <c r="H16" t="s">
        <v>4951</v>
      </c>
      <c r="K16" s="11" t="s">
        <v>477</v>
      </c>
      <c r="L16" s="20">
        <v>101.69</v>
      </c>
      <c r="M16" s="13" t="s">
        <v>4952</v>
      </c>
      <c r="P16" s="27" t="s">
        <v>1422</v>
      </c>
      <c r="Q16" s="20">
        <v>796.6</v>
      </c>
      <c r="R16" s="7" t="s">
        <v>4951</v>
      </c>
    </row>
    <row r="17" spans="1:18" x14ac:dyDescent="0.3">
      <c r="A17" s="53" t="s">
        <v>3322</v>
      </c>
      <c r="B17" s="54">
        <v>135.59</v>
      </c>
      <c r="C17" t="s">
        <v>4952</v>
      </c>
      <c r="F17" s="44" t="s">
        <v>774</v>
      </c>
      <c r="G17" s="2">
        <v>11254.210000000003</v>
      </c>
      <c r="H17" t="s">
        <v>4950</v>
      </c>
      <c r="K17" s="11" t="s">
        <v>628</v>
      </c>
      <c r="L17" s="20">
        <v>1322.04</v>
      </c>
      <c r="M17" s="13" t="s">
        <v>4950</v>
      </c>
      <c r="P17" s="27" t="s">
        <v>1396</v>
      </c>
      <c r="Q17" s="20">
        <v>779.64999999999986</v>
      </c>
      <c r="R17" s="7" t="s">
        <v>4951</v>
      </c>
    </row>
    <row r="18" spans="1:18" x14ac:dyDescent="0.3">
      <c r="F18" s="44" t="s">
        <v>662</v>
      </c>
      <c r="G18" s="2">
        <v>1322.0099999999998</v>
      </c>
      <c r="H18" t="s">
        <v>4950</v>
      </c>
      <c r="K18" s="11" t="s">
        <v>715</v>
      </c>
      <c r="L18" s="20">
        <v>457.62</v>
      </c>
      <c r="M18" s="13" t="s">
        <v>4952</v>
      </c>
      <c r="P18" s="27" t="s">
        <v>3116</v>
      </c>
      <c r="Q18" s="20">
        <v>762.71</v>
      </c>
      <c r="R18" s="7" t="s">
        <v>4951</v>
      </c>
    </row>
    <row r="19" spans="1:18" x14ac:dyDescent="0.3">
      <c r="F19" s="44" t="s">
        <v>1073</v>
      </c>
      <c r="G19" s="2">
        <v>135.59</v>
      </c>
      <c r="H19" t="s">
        <v>4952</v>
      </c>
      <c r="K19" s="11" t="s">
        <v>762</v>
      </c>
      <c r="L19" s="20">
        <v>440.67</v>
      </c>
      <c r="M19" s="13" t="s">
        <v>4952</v>
      </c>
      <c r="P19" s="27" t="s">
        <v>715</v>
      </c>
      <c r="Q19" s="20">
        <v>694.91</v>
      </c>
      <c r="R19" s="7" t="s">
        <v>4951</v>
      </c>
    </row>
    <row r="20" spans="1:18" x14ac:dyDescent="0.3">
      <c r="F20" s="44" t="s">
        <v>1108</v>
      </c>
      <c r="G20" s="2">
        <v>1135.5700000000002</v>
      </c>
      <c r="H20" t="s">
        <v>4950</v>
      </c>
      <c r="K20" s="11" t="s">
        <v>774</v>
      </c>
      <c r="L20" s="20">
        <v>7805.079999999999</v>
      </c>
      <c r="M20" s="13" t="s">
        <v>4950</v>
      </c>
      <c r="P20" s="27" t="s">
        <v>1119</v>
      </c>
      <c r="Q20" s="20">
        <v>550.85</v>
      </c>
      <c r="R20" s="7" t="s">
        <v>4951</v>
      </c>
    </row>
    <row r="21" spans="1:18" x14ac:dyDescent="0.3">
      <c r="F21" s="44" t="s">
        <v>1440</v>
      </c>
      <c r="G21" s="2">
        <v>152.54</v>
      </c>
      <c r="H21" t="s">
        <v>4952</v>
      </c>
      <c r="K21" s="11" t="s">
        <v>662</v>
      </c>
      <c r="L21" s="20">
        <v>966.08999999999992</v>
      </c>
      <c r="M21" s="13" t="s">
        <v>4951</v>
      </c>
      <c r="P21" s="27" t="s">
        <v>236</v>
      </c>
      <c r="Q21" s="20">
        <v>508.47</v>
      </c>
      <c r="R21" s="7" t="s">
        <v>4951</v>
      </c>
    </row>
    <row r="22" spans="1:18" x14ac:dyDescent="0.3">
      <c r="F22" s="44" t="s">
        <v>2795</v>
      </c>
      <c r="G22" s="2">
        <v>2949.1400000000003</v>
      </c>
      <c r="H22" t="s">
        <v>4950</v>
      </c>
      <c r="K22" s="11" t="s">
        <v>1073</v>
      </c>
      <c r="L22" s="20">
        <v>474.57</v>
      </c>
      <c r="M22" s="13" t="s">
        <v>4952</v>
      </c>
      <c r="P22" s="27" t="s">
        <v>1433</v>
      </c>
      <c r="Q22" s="20">
        <v>508.47</v>
      </c>
      <c r="R22" s="7" t="s">
        <v>4951</v>
      </c>
    </row>
    <row r="23" spans="1:18" x14ac:dyDescent="0.3">
      <c r="F23" s="44" t="s">
        <v>1153</v>
      </c>
      <c r="G23" s="2">
        <v>135.59</v>
      </c>
      <c r="H23" t="s">
        <v>4952</v>
      </c>
      <c r="K23" s="11" t="s">
        <v>1108</v>
      </c>
      <c r="L23" s="20">
        <v>783.90000000000009</v>
      </c>
      <c r="M23" s="13" t="s">
        <v>4951</v>
      </c>
      <c r="P23" s="27" t="s">
        <v>136</v>
      </c>
      <c r="Q23" s="20">
        <v>474.57000000000005</v>
      </c>
      <c r="R23" s="7" t="s">
        <v>4952</v>
      </c>
    </row>
    <row r="24" spans="1:18" x14ac:dyDescent="0.3">
      <c r="F24" s="44" t="s">
        <v>3273</v>
      </c>
      <c r="G24" s="2">
        <v>271.18</v>
      </c>
      <c r="H24" t="s">
        <v>4952</v>
      </c>
      <c r="K24" s="11" t="s">
        <v>1164</v>
      </c>
      <c r="L24" s="20">
        <v>186.44</v>
      </c>
      <c r="M24" s="13" t="s">
        <v>4952</v>
      </c>
      <c r="P24" s="27" t="s">
        <v>1073</v>
      </c>
      <c r="Q24" s="20">
        <v>423.72</v>
      </c>
      <c r="R24" s="7" t="s">
        <v>4952</v>
      </c>
    </row>
    <row r="25" spans="1:18" x14ac:dyDescent="0.3">
      <c r="F25" s="44" t="s">
        <v>1322</v>
      </c>
      <c r="G25" s="2">
        <v>2499.9600000000005</v>
      </c>
      <c r="H25" t="s">
        <v>4950</v>
      </c>
      <c r="K25" s="11" t="s">
        <v>1184</v>
      </c>
      <c r="L25" s="20">
        <v>135.59</v>
      </c>
      <c r="M25" s="13" t="s">
        <v>4952</v>
      </c>
      <c r="P25" s="27" t="s">
        <v>1322</v>
      </c>
      <c r="Q25" s="20">
        <v>372.88</v>
      </c>
      <c r="R25" s="7" t="s">
        <v>4952</v>
      </c>
    </row>
    <row r="26" spans="1:18" x14ac:dyDescent="0.3">
      <c r="F26" s="44" t="s">
        <v>704</v>
      </c>
      <c r="G26" s="2">
        <v>949.1400000000001</v>
      </c>
      <c r="H26" t="s">
        <v>4951</v>
      </c>
      <c r="K26" s="11" t="s">
        <v>1440</v>
      </c>
      <c r="L26" s="20">
        <v>135.59</v>
      </c>
      <c r="M26" s="13" t="s">
        <v>4952</v>
      </c>
      <c r="P26" s="27" t="s">
        <v>1440</v>
      </c>
      <c r="Q26" s="20">
        <v>372.88</v>
      </c>
      <c r="R26" s="7" t="s">
        <v>4952</v>
      </c>
    </row>
    <row r="27" spans="1:18" x14ac:dyDescent="0.3">
      <c r="F27" s="44" t="s">
        <v>3116</v>
      </c>
      <c r="G27" s="2">
        <v>474.57</v>
      </c>
      <c r="H27" t="s">
        <v>4952</v>
      </c>
      <c r="K27" s="11" t="s">
        <v>364</v>
      </c>
      <c r="L27" s="20">
        <v>737.29</v>
      </c>
      <c r="M27" s="13" t="s">
        <v>4951</v>
      </c>
      <c r="P27" s="27" t="s">
        <v>1153</v>
      </c>
      <c r="Q27" s="20">
        <v>338.98</v>
      </c>
      <c r="R27" s="7" t="s">
        <v>4952</v>
      </c>
    </row>
    <row r="28" spans="1:18" x14ac:dyDescent="0.3">
      <c r="F28" s="11" t="s">
        <v>1516</v>
      </c>
      <c r="G28" s="20">
        <v>372.88</v>
      </c>
      <c r="H28" s="13" t="s">
        <v>4952</v>
      </c>
      <c r="K28" s="11" t="s">
        <v>2795</v>
      </c>
      <c r="L28" s="20">
        <v>275.42</v>
      </c>
      <c r="M28" s="13" t="s">
        <v>4952</v>
      </c>
      <c r="P28" s="27" t="s">
        <v>1448</v>
      </c>
      <c r="Q28" s="20">
        <v>338.98</v>
      </c>
      <c r="R28" s="7" t="s">
        <v>4952</v>
      </c>
    </row>
    <row r="29" spans="1:18" x14ac:dyDescent="0.3">
      <c r="F29" s="11" t="s">
        <v>1541</v>
      </c>
      <c r="G29" s="20">
        <v>847.46</v>
      </c>
      <c r="H29" s="13" t="s">
        <v>4951</v>
      </c>
      <c r="K29" s="11" t="s">
        <v>1153</v>
      </c>
      <c r="L29" s="20">
        <v>186.44</v>
      </c>
      <c r="M29" s="13" t="s">
        <v>4952</v>
      </c>
      <c r="P29" s="27" t="s">
        <v>1457</v>
      </c>
      <c r="Q29" s="20">
        <v>338.98</v>
      </c>
      <c r="R29" s="7" t="s">
        <v>4952</v>
      </c>
    </row>
    <row r="30" spans="1:18" x14ac:dyDescent="0.3">
      <c r="F30" s="11" t="s">
        <v>1595</v>
      </c>
      <c r="G30" s="20">
        <v>338.98</v>
      </c>
      <c r="H30" s="13" t="s">
        <v>4952</v>
      </c>
      <c r="K30" s="11" t="s">
        <v>1322</v>
      </c>
      <c r="L30" s="20">
        <v>1305.07</v>
      </c>
      <c r="M30" s="13" t="s">
        <v>4950</v>
      </c>
      <c r="P30" s="27" t="s">
        <v>35</v>
      </c>
      <c r="Q30" s="20">
        <v>288.13</v>
      </c>
      <c r="R30" s="7" t="s">
        <v>4952</v>
      </c>
    </row>
    <row r="31" spans="1:18" x14ac:dyDescent="0.3">
      <c r="F31" s="11" t="s">
        <v>1615</v>
      </c>
      <c r="G31" s="20">
        <v>279.66000000000003</v>
      </c>
      <c r="H31" s="13" t="s">
        <v>4952</v>
      </c>
      <c r="K31" s="11" t="s">
        <v>704</v>
      </c>
      <c r="L31" s="20">
        <v>661.01</v>
      </c>
      <c r="M31" s="13" t="s">
        <v>4951</v>
      </c>
      <c r="P31" s="27" t="s">
        <v>3034</v>
      </c>
      <c r="Q31" s="20">
        <v>288.13</v>
      </c>
      <c r="R31" s="7" t="s">
        <v>4952</v>
      </c>
    </row>
    <row r="32" spans="1:18" x14ac:dyDescent="0.3">
      <c r="F32" s="11" t="s">
        <v>1863</v>
      </c>
      <c r="G32" s="20">
        <v>288.13</v>
      </c>
      <c r="H32" s="13" t="s">
        <v>4952</v>
      </c>
      <c r="K32" s="11" t="s">
        <v>1311</v>
      </c>
      <c r="L32" s="20">
        <v>152.54</v>
      </c>
      <c r="M32" s="13" t="s">
        <v>4952</v>
      </c>
      <c r="P32" s="27" t="s">
        <v>3529</v>
      </c>
      <c r="Q32" s="20">
        <v>288.13</v>
      </c>
      <c r="R32" s="7" t="s">
        <v>4952</v>
      </c>
    </row>
    <row r="33" spans="6:18" x14ac:dyDescent="0.3">
      <c r="F33" s="11" t="s">
        <v>1873</v>
      </c>
      <c r="G33" s="20">
        <v>271.18</v>
      </c>
      <c r="H33" s="13" t="s">
        <v>4952</v>
      </c>
      <c r="K33" s="11" t="s">
        <v>1700</v>
      </c>
      <c r="L33" s="20">
        <v>338.98</v>
      </c>
      <c r="M33" s="13" t="s">
        <v>4952</v>
      </c>
      <c r="P33" s="27" t="s">
        <v>2223</v>
      </c>
      <c r="Q33" s="20">
        <v>203.39</v>
      </c>
      <c r="R33" s="7" t="s">
        <v>4952</v>
      </c>
    </row>
    <row r="34" spans="6:18" x14ac:dyDescent="0.3">
      <c r="F34" s="17" t="s">
        <v>2291</v>
      </c>
      <c r="G34" s="21">
        <v>322.02999999999997</v>
      </c>
      <c r="H34" s="18" t="s">
        <v>4952</v>
      </c>
      <c r="K34" s="11" t="s">
        <v>2223</v>
      </c>
      <c r="L34" s="20">
        <v>203.39</v>
      </c>
      <c r="M34" s="13" t="s">
        <v>4952</v>
      </c>
      <c r="P34" s="27" t="s">
        <v>502</v>
      </c>
      <c r="Q34" s="20">
        <v>186.44</v>
      </c>
      <c r="R34" s="7" t="s">
        <v>4954</v>
      </c>
    </row>
    <row r="35" spans="6:18" x14ac:dyDescent="0.3">
      <c r="F35" s="11" t="s">
        <v>4007</v>
      </c>
      <c r="G35" s="20">
        <v>338.98</v>
      </c>
      <c r="H35" s="13" t="s">
        <v>4952</v>
      </c>
      <c r="K35" s="11" t="s">
        <v>1467</v>
      </c>
      <c r="L35" s="20">
        <v>322.02999999999997</v>
      </c>
      <c r="M35" s="13" t="s">
        <v>4952</v>
      </c>
      <c r="P35" s="27" t="s">
        <v>1377</v>
      </c>
      <c r="Q35" s="20">
        <v>186.44</v>
      </c>
      <c r="R35" s="7" t="s">
        <v>4954</v>
      </c>
    </row>
    <row r="36" spans="6:18" x14ac:dyDescent="0.3">
      <c r="F36" s="11" t="s">
        <v>2461</v>
      </c>
      <c r="G36" s="20">
        <v>186.44</v>
      </c>
      <c r="H36" s="13" t="s">
        <v>4952</v>
      </c>
      <c r="K36" s="11" t="s">
        <v>1386</v>
      </c>
      <c r="L36" s="20">
        <v>949.13000000000011</v>
      </c>
      <c r="M36" s="13" t="s">
        <v>4951</v>
      </c>
      <c r="P36" s="27" t="s">
        <v>3530</v>
      </c>
      <c r="Q36" s="20">
        <v>186.44</v>
      </c>
      <c r="R36" s="7" t="s">
        <v>4954</v>
      </c>
    </row>
    <row r="37" spans="6:18" x14ac:dyDescent="0.3">
      <c r="F37" s="11" t="s">
        <v>2557</v>
      </c>
      <c r="G37" s="20">
        <v>338.98</v>
      </c>
      <c r="H37" s="13" t="s">
        <v>4952</v>
      </c>
      <c r="K37" s="11" t="s">
        <v>1490</v>
      </c>
      <c r="L37" s="20">
        <v>305.08</v>
      </c>
      <c r="M37" s="13" t="s">
        <v>4952</v>
      </c>
      <c r="P37" s="27" t="s">
        <v>3831</v>
      </c>
      <c r="Q37" s="20">
        <v>186.44</v>
      </c>
      <c r="R37" s="7" t="s">
        <v>4954</v>
      </c>
    </row>
    <row r="38" spans="6:18" x14ac:dyDescent="0.3">
      <c r="F38" s="11" t="s">
        <v>2591</v>
      </c>
      <c r="G38" s="20">
        <v>254.24</v>
      </c>
      <c r="H38" s="13" t="s">
        <v>4952</v>
      </c>
      <c r="K38" s="11" t="s">
        <v>1232</v>
      </c>
      <c r="L38" s="20">
        <v>813.54</v>
      </c>
      <c r="M38" s="13" t="s">
        <v>4951</v>
      </c>
      <c r="P38" s="27" t="s">
        <v>116</v>
      </c>
      <c r="Q38" s="20">
        <v>152.54</v>
      </c>
      <c r="R38" s="7" t="s">
        <v>4954</v>
      </c>
    </row>
    <row r="39" spans="6:18" x14ac:dyDescent="0.3">
      <c r="F39" s="11" t="s">
        <v>3154</v>
      </c>
      <c r="G39" s="20">
        <v>152.54</v>
      </c>
      <c r="H39" s="13" t="s">
        <v>4952</v>
      </c>
      <c r="K39" s="11" t="s">
        <v>1480</v>
      </c>
      <c r="L39" s="20">
        <v>563.55999999999995</v>
      </c>
      <c r="M39" s="13" t="s">
        <v>4951</v>
      </c>
      <c r="P39" s="27" t="s">
        <v>1413</v>
      </c>
      <c r="Q39" s="20">
        <v>135.59</v>
      </c>
      <c r="R39" s="7" t="s">
        <v>4954</v>
      </c>
    </row>
    <row r="40" spans="6:18" x14ac:dyDescent="0.3">
      <c r="F40" s="11" t="s">
        <v>3219</v>
      </c>
      <c r="G40" s="20">
        <v>135.59</v>
      </c>
      <c r="H40" s="13" t="s">
        <v>4952</v>
      </c>
      <c r="K40" s="11" t="s">
        <v>1507</v>
      </c>
      <c r="L40" s="20">
        <v>677.95</v>
      </c>
      <c r="M40" s="13" t="s">
        <v>4951</v>
      </c>
      <c r="P40" s="27" t="s">
        <v>477</v>
      </c>
      <c r="Q40" s="20">
        <v>101.69</v>
      </c>
      <c r="R40" s="7" t="s">
        <v>4954</v>
      </c>
    </row>
    <row r="41" spans="6:18" x14ac:dyDescent="0.3">
      <c r="F41" s="11" t="s">
        <v>3537</v>
      </c>
      <c r="G41" s="20">
        <v>1144.06</v>
      </c>
      <c r="H41" s="13" t="s">
        <v>4950</v>
      </c>
      <c r="K41" s="11" t="s">
        <v>1349</v>
      </c>
      <c r="L41" s="20">
        <v>152.54</v>
      </c>
      <c r="M41" s="13" t="s">
        <v>4952</v>
      </c>
      <c r="P41" s="50" t="s">
        <v>1311</v>
      </c>
      <c r="Q41" s="51">
        <v>101.69</v>
      </c>
      <c r="R41" s="8" t="s">
        <v>4954</v>
      </c>
    </row>
    <row r="42" spans="6:18" x14ac:dyDescent="0.3">
      <c r="F42" s="11" t="s">
        <v>3030</v>
      </c>
      <c r="G42" s="20">
        <v>559.31999999999994</v>
      </c>
      <c r="H42" s="13" t="s">
        <v>4951</v>
      </c>
      <c r="K42" s="11" t="s">
        <v>1516</v>
      </c>
      <c r="L42" s="20">
        <v>203.39</v>
      </c>
      <c r="M42" s="13" t="s">
        <v>4952</v>
      </c>
    </row>
    <row r="43" spans="6:18" x14ac:dyDescent="0.3">
      <c r="F43" s="11" t="s">
        <v>2739</v>
      </c>
      <c r="G43" s="20">
        <v>2271.1800000000003</v>
      </c>
      <c r="H43" s="13" t="s">
        <v>4950</v>
      </c>
      <c r="K43" s="11" t="s">
        <v>1368</v>
      </c>
      <c r="L43" s="20">
        <v>135.59</v>
      </c>
      <c r="M43" s="13" t="s">
        <v>4952</v>
      </c>
    </row>
    <row r="44" spans="6:18" x14ac:dyDescent="0.3">
      <c r="F44" s="11" t="s">
        <v>3322</v>
      </c>
      <c r="G44" s="20">
        <v>135.59</v>
      </c>
      <c r="H44" s="13" t="s">
        <v>4952</v>
      </c>
      <c r="K44" s="11" t="s">
        <v>1300</v>
      </c>
      <c r="L44" s="20">
        <v>288.13</v>
      </c>
      <c r="M44" s="13" t="s">
        <v>4952</v>
      </c>
    </row>
    <row r="45" spans="6:18" x14ac:dyDescent="0.3">
      <c r="F45" s="11" t="s">
        <v>4282</v>
      </c>
      <c r="G45" s="20">
        <v>152.54</v>
      </c>
      <c r="H45" s="13" t="s">
        <v>4952</v>
      </c>
      <c r="K45" s="11" t="s">
        <v>1281</v>
      </c>
      <c r="L45" s="20">
        <v>135.59</v>
      </c>
      <c r="M45" s="13" t="s">
        <v>4952</v>
      </c>
    </row>
    <row r="46" spans="6:18" x14ac:dyDescent="0.3">
      <c r="F46" s="11" t="s">
        <v>4404</v>
      </c>
      <c r="G46" s="20">
        <v>169.49</v>
      </c>
      <c r="H46" s="13" t="s">
        <v>4952</v>
      </c>
      <c r="K46" s="11" t="s">
        <v>1541</v>
      </c>
      <c r="L46" s="20">
        <v>288.13</v>
      </c>
      <c r="M46" s="13" t="s">
        <v>4952</v>
      </c>
    </row>
    <row r="47" spans="6:18" x14ac:dyDescent="0.3">
      <c r="F47" s="11" t="s">
        <v>4477</v>
      </c>
      <c r="G47" s="20">
        <v>152.54</v>
      </c>
      <c r="H47" s="13" t="s">
        <v>4952</v>
      </c>
      <c r="K47" s="11" t="s">
        <v>1560</v>
      </c>
      <c r="L47" s="20">
        <v>457.62</v>
      </c>
      <c r="M47" s="13" t="s">
        <v>4952</v>
      </c>
    </row>
    <row r="48" spans="6:18" x14ac:dyDescent="0.3">
      <c r="F48" s="11" t="s">
        <v>3072</v>
      </c>
      <c r="G48" s="20">
        <v>135.59</v>
      </c>
      <c r="H48" s="13" t="s">
        <v>4952</v>
      </c>
      <c r="K48" s="11" t="s">
        <v>1595</v>
      </c>
      <c r="L48" s="20">
        <v>288.13</v>
      </c>
      <c r="M48" s="13" t="s">
        <v>4952</v>
      </c>
    </row>
    <row r="49" spans="6:13" x14ac:dyDescent="0.3">
      <c r="F49" s="11"/>
      <c r="G49" s="20"/>
      <c r="H49" s="13"/>
      <c r="K49" s="11" t="s">
        <v>1606</v>
      </c>
      <c r="L49" s="20">
        <v>135.59</v>
      </c>
      <c r="M49" s="13" t="s">
        <v>4952</v>
      </c>
    </row>
    <row r="50" spans="6:13" x14ac:dyDescent="0.3">
      <c r="F50" s="11"/>
      <c r="G50" s="20"/>
      <c r="H50" s="13"/>
      <c r="K50" s="11" t="s">
        <v>1615</v>
      </c>
      <c r="L50" s="20">
        <v>275.42</v>
      </c>
      <c r="M50" s="13" t="s">
        <v>4952</v>
      </c>
    </row>
    <row r="51" spans="6:13" x14ac:dyDescent="0.3">
      <c r="F51" s="11"/>
      <c r="G51" s="20"/>
      <c r="H51" s="13"/>
      <c r="K51" s="11" t="s">
        <v>1674</v>
      </c>
      <c r="L51" s="20">
        <v>186.44</v>
      </c>
      <c r="M51" s="13" t="s">
        <v>4952</v>
      </c>
    </row>
    <row r="52" spans="6:13" x14ac:dyDescent="0.3">
      <c r="F52" s="11"/>
      <c r="G52" s="20"/>
      <c r="H52" s="13"/>
      <c r="K52" s="11" t="s">
        <v>1829</v>
      </c>
      <c r="L52" s="20">
        <v>372.88</v>
      </c>
      <c r="M52" s="13" t="s">
        <v>4952</v>
      </c>
    </row>
    <row r="53" spans="6:13" x14ac:dyDescent="0.3">
      <c r="F53" s="11"/>
      <c r="G53" s="20"/>
      <c r="H53" s="13"/>
      <c r="K53" s="11" t="s">
        <v>1863</v>
      </c>
      <c r="L53" s="20">
        <v>135.59</v>
      </c>
      <c r="M53" s="13" t="s">
        <v>4952</v>
      </c>
    </row>
    <row r="54" spans="6:13" x14ac:dyDescent="0.3">
      <c r="F54" s="11"/>
      <c r="G54" s="20"/>
      <c r="H54" s="13"/>
      <c r="K54" s="11" t="s">
        <v>1873</v>
      </c>
      <c r="L54" s="20">
        <v>271.18</v>
      </c>
      <c r="M54" s="13" t="s">
        <v>4952</v>
      </c>
    </row>
    <row r="55" spans="6:13" x14ac:dyDescent="0.3">
      <c r="F55" s="11"/>
      <c r="G55" s="20"/>
      <c r="H55" s="13"/>
      <c r="K55" s="11" t="s">
        <v>1961</v>
      </c>
      <c r="L55" s="20">
        <v>135.59</v>
      </c>
      <c r="M55" s="13" t="s">
        <v>4952</v>
      </c>
    </row>
    <row r="56" spans="6:13" x14ac:dyDescent="0.3">
      <c r="F56" s="11"/>
      <c r="G56" s="20"/>
      <c r="H56" s="13"/>
      <c r="K56" s="11" t="s">
        <v>2128</v>
      </c>
      <c r="L56" s="20">
        <v>186.44</v>
      </c>
      <c r="M56" s="13" t="s">
        <v>4952</v>
      </c>
    </row>
    <row r="57" spans="6:13" x14ac:dyDescent="0.3">
      <c r="F57" s="11"/>
      <c r="G57" s="20"/>
      <c r="H57" s="13"/>
      <c r="K57" s="11" t="s">
        <v>2145</v>
      </c>
      <c r="L57" s="20">
        <v>135.59</v>
      </c>
      <c r="M57" s="13" t="s">
        <v>4952</v>
      </c>
    </row>
    <row r="58" spans="6:13" x14ac:dyDescent="0.3">
      <c r="F58" s="11"/>
      <c r="G58" s="20"/>
      <c r="H58" s="13"/>
      <c r="K58" s="11" t="s">
        <v>2177</v>
      </c>
      <c r="L58" s="20">
        <v>271.18</v>
      </c>
      <c r="M58" s="13" t="s">
        <v>4952</v>
      </c>
    </row>
    <row r="59" spans="6:13" x14ac:dyDescent="0.3">
      <c r="F59" s="11"/>
      <c r="G59" s="20"/>
      <c r="H59" s="13"/>
      <c r="K59" s="11" t="s">
        <v>2241</v>
      </c>
      <c r="L59" s="20">
        <v>135.59</v>
      </c>
      <c r="M59" s="13" t="s">
        <v>4952</v>
      </c>
    </row>
    <row r="60" spans="6:13" x14ac:dyDescent="0.3">
      <c r="F60" s="11"/>
      <c r="G60" s="20"/>
      <c r="H60" s="13"/>
      <c r="K60" s="11" t="s">
        <v>2291</v>
      </c>
      <c r="L60" s="20">
        <v>186.44</v>
      </c>
      <c r="M60" s="13" t="s">
        <v>4952</v>
      </c>
    </row>
    <row r="61" spans="6:13" x14ac:dyDescent="0.3">
      <c r="F61" s="11"/>
      <c r="G61" s="20"/>
      <c r="H61" s="13"/>
      <c r="K61" s="11" t="s">
        <v>2310</v>
      </c>
      <c r="L61" s="20">
        <v>135.59</v>
      </c>
      <c r="M61" s="13" t="s">
        <v>4952</v>
      </c>
    </row>
    <row r="62" spans="6:13" x14ac:dyDescent="0.3">
      <c r="F62" s="11"/>
      <c r="G62" s="20"/>
      <c r="H62" s="13"/>
      <c r="K62" s="11" t="s">
        <v>2330</v>
      </c>
      <c r="L62" s="20">
        <v>847.46</v>
      </c>
      <c r="M62" s="13" t="s">
        <v>4951</v>
      </c>
    </row>
    <row r="63" spans="6:13" x14ac:dyDescent="0.3">
      <c r="F63" s="11"/>
      <c r="G63" s="20"/>
      <c r="H63" s="13"/>
      <c r="K63" s="11" t="s">
        <v>2371</v>
      </c>
      <c r="L63" s="20">
        <v>135.59</v>
      </c>
      <c r="M63" s="13" t="s">
        <v>4952</v>
      </c>
    </row>
    <row r="64" spans="6:13" x14ac:dyDescent="0.3">
      <c r="F64" s="11"/>
      <c r="G64" s="20"/>
      <c r="H64" s="13"/>
      <c r="K64" s="11" t="s">
        <v>2401</v>
      </c>
      <c r="L64" s="20">
        <v>186.44</v>
      </c>
      <c r="M64" s="13" t="s">
        <v>4952</v>
      </c>
    </row>
    <row r="65" spans="6:13" x14ac:dyDescent="0.3">
      <c r="F65" s="11"/>
      <c r="G65" s="20"/>
      <c r="H65" s="13"/>
      <c r="K65" s="11" t="s">
        <v>2419</v>
      </c>
      <c r="L65" s="20">
        <v>101.69</v>
      </c>
      <c r="M65" s="13" t="s">
        <v>4952</v>
      </c>
    </row>
    <row r="66" spans="6:13" x14ac:dyDescent="0.3">
      <c r="F66" s="11"/>
      <c r="G66" s="20"/>
      <c r="H66" s="13"/>
      <c r="K66" s="11"/>
      <c r="L66" s="20"/>
      <c r="M66" s="13"/>
    </row>
    <row r="67" spans="6:13" x14ac:dyDescent="0.3">
      <c r="F67" s="11"/>
      <c r="G67" s="20"/>
      <c r="H67" s="13"/>
      <c r="K67" s="11"/>
      <c r="L67" s="20"/>
      <c r="M67" s="13"/>
    </row>
    <row r="68" spans="6:13" x14ac:dyDescent="0.3">
      <c r="F68" s="11"/>
      <c r="G68" s="20"/>
      <c r="H68" s="13"/>
      <c r="K68" s="17"/>
      <c r="L68" s="21"/>
      <c r="M68" s="18"/>
    </row>
    <row r="69" spans="6:13" x14ac:dyDescent="0.3">
      <c r="F69" s="11"/>
      <c r="G69" s="20"/>
      <c r="H69" s="13"/>
    </row>
    <row r="70" spans="6:13" x14ac:dyDescent="0.3">
      <c r="F70" s="11"/>
      <c r="G70" s="20"/>
      <c r="H70" s="13"/>
    </row>
    <row r="71" spans="6:13" x14ac:dyDescent="0.3">
      <c r="F71" s="11"/>
      <c r="G71" s="20"/>
      <c r="H71" s="13"/>
    </row>
    <row r="72" spans="6:13" x14ac:dyDescent="0.3">
      <c r="F72" s="11"/>
      <c r="G72" s="20"/>
      <c r="H72" s="13"/>
    </row>
    <row r="73" spans="6:13" x14ac:dyDescent="0.3">
      <c r="F73" s="11"/>
      <c r="G73" s="20"/>
      <c r="H73" s="13"/>
    </row>
    <row r="74" spans="6:13" x14ac:dyDescent="0.3">
      <c r="F74" s="11"/>
      <c r="G74" s="20"/>
      <c r="H74" s="13"/>
    </row>
    <row r="75" spans="6:13" x14ac:dyDescent="0.3">
      <c r="F75" s="11"/>
      <c r="G75" s="20"/>
      <c r="H75" s="13"/>
    </row>
    <row r="76" spans="6:13" x14ac:dyDescent="0.3">
      <c r="F76" s="17"/>
      <c r="G76" s="21"/>
      <c r="H76" s="18"/>
    </row>
    <row r="77" spans="6:13" x14ac:dyDescent="0.3">
      <c r="F77" s="11"/>
      <c r="G77" s="20"/>
      <c r="H77" s="13"/>
    </row>
    <row r="78" spans="6:13" x14ac:dyDescent="0.3">
      <c r="F78" s="17"/>
      <c r="G78" s="21"/>
      <c r="H78" s="18"/>
    </row>
  </sheetData>
  <mergeCells count="4">
    <mergeCell ref="F1:I1"/>
    <mergeCell ref="K1:N1"/>
    <mergeCell ref="P1:S1"/>
    <mergeCell ref="A1:D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7"/>
  <sheetViews>
    <sheetView workbookViewId="0">
      <selection sqref="A1:D1"/>
    </sheetView>
  </sheetViews>
  <sheetFormatPr baseColWidth="10" defaultRowHeight="14.4" x14ac:dyDescent="0.3"/>
  <cols>
    <col min="1" max="1" width="28.6640625" customWidth="1"/>
    <col min="2" max="2" width="17.5546875" customWidth="1"/>
    <col min="3" max="3" width="15.109375" customWidth="1"/>
    <col min="4" max="4" width="7" customWidth="1"/>
    <col min="5" max="5" width="3.88671875" customWidth="1"/>
    <col min="6" max="6" width="33.88671875" customWidth="1"/>
    <col min="7" max="7" width="17.5546875" customWidth="1"/>
    <col min="8" max="8" width="15.109375" customWidth="1"/>
    <col min="9" max="9" width="7" customWidth="1"/>
    <col min="10" max="10" width="3.88671875" customWidth="1"/>
    <col min="11" max="11" width="28.6640625" customWidth="1"/>
    <col min="12" max="12" width="17.5546875" customWidth="1"/>
    <col min="13" max="13" width="15.109375" customWidth="1"/>
    <col min="14" max="14" width="7" customWidth="1"/>
  </cols>
  <sheetData>
    <row r="1" spans="1:14" ht="18" x14ac:dyDescent="0.35">
      <c r="A1" s="63" t="s">
        <v>4944</v>
      </c>
      <c r="B1" s="64"/>
      <c r="C1" s="64"/>
      <c r="D1" s="64"/>
      <c r="F1" s="63" t="s">
        <v>4945</v>
      </c>
      <c r="G1" s="64"/>
      <c r="H1" s="64"/>
      <c r="I1" s="64"/>
      <c r="K1" s="63" t="s">
        <v>4946</v>
      </c>
      <c r="L1" s="64"/>
      <c r="M1" s="64"/>
      <c r="N1" s="64"/>
    </row>
    <row r="2" spans="1:14" x14ac:dyDescent="0.3">
      <c r="A2" s="31" t="s">
        <v>4947</v>
      </c>
      <c r="B2" s="32" t="s">
        <v>4936</v>
      </c>
      <c r="C2" s="33" t="s">
        <v>4948</v>
      </c>
      <c r="D2" s="32" t="s">
        <v>4949</v>
      </c>
      <c r="F2" s="31" t="s">
        <v>4947</v>
      </c>
      <c r="G2" s="32" t="s">
        <v>4936</v>
      </c>
      <c r="H2" s="33" t="s">
        <v>4948</v>
      </c>
      <c r="I2" s="32" t="s">
        <v>4949</v>
      </c>
      <c r="K2" s="31" t="s">
        <v>4947</v>
      </c>
      <c r="L2" s="32" t="s">
        <v>4936</v>
      </c>
      <c r="M2" s="33" t="s">
        <v>4948</v>
      </c>
      <c r="N2" s="32" t="s">
        <v>4949</v>
      </c>
    </row>
    <row r="3" spans="1:14" x14ac:dyDescent="0.3">
      <c r="A3" s="35" t="s">
        <v>4950</v>
      </c>
      <c r="B3" s="36">
        <f>+SUMIF(Tabla414[CATEGORÍA],"AAA",Tabla414[FACTURACIÓN])</f>
        <v>13220.34</v>
      </c>
      <c r="C3" s="37">
        <f>+COUNTIF(Tabla414[CATEGORÍA],"AAA")</f>
        <v>2</v>
      </c>
      <c r="D3" s="38">
        <f t="shared" ref="D3:D7" si="0">C3/$C$7</f>
        <v>0.16666666666666666</v>
      </c>
      <c r="F3" s="35" t="s">
        <v>4950</v>
      </c>
      <c r="G3" s="36">
        <f>+SUMIF(Tabla41416[CATEGORÍA],"AAA",Tabla41416[FACTURACIÓN])</f>
        <v>24821.939999999995</v>
      </c>
      <c r="H3" s="37">
        <f>+COUNTIF(Tabla41416[CATEGORÍA],"AAA")</f>
        <v>8</v>
      </c>
      <c r="I3" s="38">
        <f t="shared" ref="I3:I7" si="1">H3/$H$7</f>
        <v>0.27586206896551724</v>
      </c>
      <c r="K3" s="35" t="s">
        <v>4950</v>
      </c>
      <c r="L3" s="36">
        <f>+SUMIF(Tabla41418[CATEGORÍA],"AAA",Tabla41418[FACTURACIÓN])</f>
        <v>21707.58</v>
      </c>
      <c r="M3" s="37">
        <f>+COUNTIF(Tabla41418[CATEGORÍA],"AAA")</f>
        <v>6</v>
      </c>
      <c r="N3" s="38">
        <f t="shared" ref="N3:N7" si="2">M3/$M$7</f>
        <v>0.35294117647058826</v>
      </c>
    </row>
    <row r="4" spans="1:14" x14ac:dyDescent="0.3">
      <c r="A4" s="27" t="s">
        <v>4951</v>
      </c>
      <c r="B4" s="26">
        <f>+SUMIF(Tabla414[CATEGORÍA],"AA",Tabla414[FACTURACIÓN])</f>
        <v>1440.67</v>
      </c>
      <c r="C4" s="34">
        <f>+COUNTIF(Tabla414[CATEGORÍA],"AA")</f>
        <v>2</v>
      </c>
      <c r="D4" s="39">
        <f t="shared" si="0"/>
        <v>0.16666666666666666</v>
      </c>
      <c r="F4" s="27" t="s">
        <v>4951</v>
      </c>
      <c r="G4" s="26">
        <f>+SUMIF(Tabla41416[CATEGORÍA],"AA",Tabla41416[FACTURACIÓN])</f>
        <v>2716.08</v>
      </c>
      <c r="H4" s="34">
        <f>+COUNTIF(Tabla41416[CATEGORÍA],"AA")</f>
        <v>4</v>
      </c>
      <c r="I4" s="39">
        <f t="shared" si="1"/>
        <v>0.13793103448275862</v>
      </c>
      <c r="K4" s="27" t="s">
        <v>4951</v>
      </c>
      <c r="L4" s="26">
        <f>+SUMIF(Tabla41418[CATEGORÍA],"AA",Tabla41418[FACTURACIÓN])</f>
        <v>3754.2099999999996</v>
      </c>
      <c r="M4" s="34">
        <f>+COUNTIF(Tabla41418[CATEGORÍA],"AA")</f>
        <v>5</v>
      </c>
      <c r="N4" s="39">
        <f t="shared" si="2"/>
        <v>0.29411764705882354</v>
      </c>
    </row>
    <row r="5" spans="1:14" x14ac:dyDescent="0.3">
      <c r="A5" s="27" t="s">
        <v>4952</v>
      </c>
      <c r="B5" s="26">
        <f>+SUMIF(Tabla414[CATEGORÍA],"A",Tabla414[FACTURACIÓN])</f>
        <v>813.55000000000007</v>
      </c>
      <c r="C5" s="34">
        <f>+COUNTIF(Tabla414[CATEGORÍA],"A")</f>
        <v>2</v>
      </c>
      <c r="D5" s="39">
        <f t="shared" si="0"/>
        <v>0.16666666666666666</v>
      </c>
      <c r="F5" s="27" t="s">
        <v>4952</v>
      </c>
      <c r="G5" s="26">
        <f>+SUMIF(Tabla41416[CATEGORÍA],"A",Tabla41416[FACTURACIÓN])</f>
        <v>2444.88</v>
      </c>
      <c r="H5" s="34">
        <f>+COUNTIF(Tabla41416[CATEGORÍA],"A")</f>
        <v>7</v>
      </c>
      <c r="I5" s="39">
        <f t="shared" si="1"/>
        <v>0.2413793103448276</v>
      </c>
      <c r="K5" s="27" t="s">
        <v>4952</v>
      </c>
      <c r="L5" s="26">
        <f>+SUMIF(Tabla41418[CATEGORÍA],"A",Tabla41418[FACTURACIÓN])</f>
        <v>1898.2800000000002</v>
      </c>
      <c r="M5" s="34">
        <f>+COUNTIF(Tabla41418[CATEGORÍA],"A")</f>
        <v>5</v>
      </c>
      <c r="N5" s="39">
        <f t="shared" si="2"/>
        <v>0.29411764705882354</v>
      </c>
    </row>
    <row r="6" spans="1:14" x14ac:dyDescent="0.3">
      <c r="A6" s="27" t="s">
        <v>4954</v>
      </c>
      <c r="B6" s="26">
        <f>+SUMIF(Tabla414[CATEGORÍA],"Sin Categoría",Tabla414[FACTURACIÓN])</f>
        <v>936.43000000000006</v>
      </c>
      <c r="C6" s="34">
        <f>+COUNTIF(Tabla414[CATEGORÍA],"Sin Categoría")</f>
        <v>6</v>
      </c>
      <c r="D6" s="39">
        <f t="shared" si="0"/>
        <v>0.5</v>
      </c>
      <c r="F6" s="27" t="s">
        <v>4954</v>
      </c>
      <c r="G6" s="26">
        <f>+SUMIF(Tabla41416[CATEGORÍA],"Sin Categoría",Tabla41416[FACTURACIÓN])</f>
        <v>1525.3999999999999</v>
      </c>
      <c r="H6" s="34">
        <f>+COUNTIF(Tabla41416[CATEGORÍA],"Sin Categoría")</f>
        <v>10</v>
      </c>
      <c r="I6" s="39">
        <f t="shared" si="1"/>
        <v>0.34482758620689657</v>
      </c>
      <c r="K6" s="27" t="s">
        <v>4954</v>
      </c>
      <c r="L6" s="26">
        <f>+SUMIF(Tabla41418[CATEGORÍA],"Sin Categoría",Tabla41418[FACTURACIÓN])</f>
        <v>152.54</v>
      </c>
      <c r="M6" s="34">
        <f>+COUNTIF(Tabla41418[CATEGORÍA],"Sin Categoría")</f>
        <v>1</v>
      </c>
      <c r="N6" s="39">
        <f t="shared" si="2"/>
        <v>5.8823529411764705E-2</v>
      </c>
    </row>
    <row r="7" spans="1:14" x14ac:dyDescent="0.3">
      <c r="A7" s="40" t="s">
        <v>4953</v>
      </c>
      <c r="B7" s="41">
        <f>+SUM(Tabla414[FACTURACIÓN])</f>
        <v>16410.990000000002</v>
      </c>
      <c r="C7" s="42">
        <f>+COUNT(Tabla414[FACTURACIÓN])</f>
        <v>12</v>
      </c>
      <c r="D7" s="43">
        <f t="shared" si="0"/>
        <v>1</v>
      </c>
      <c r="F7" s="40" t="s">
        <v>4953</v>
      </c>
      <c r="G7" s="41">
        <f>+SUM(Tabla41416[FACTURACIÓN])</f>
        <v>31508.299999999988</v>
      </c>
      <c r="H7" s="42">
        <f>+COUNT(Tabla41416[FACTURACIÓN])</f>
        <v>29</v>
      </c>
      <c r="I7" s="43">
        <f t="shared" si="1"/>
        <v>1</v>
      </c>
      <c r="K7" s="40" t="s">
        <v>4953</v>
      </c>
      <c r="L7" s="41">
        <f>+SUM(Tabla41418[FACTURACIÓN])</f>
        <v>27512.61</v>
      </c>
      <c r="M7" s="42">
        <f>+COUNT(Tabla41418[FACTURACIÓN])</f>
        <v>17</v>
      </c>
      <c r="N7" s="43">
        <f t="shared" si="2"/>
        <v>1</v>
      </c>
    </row>
    <row r="8" spans="1:14" x14ac:dyDescent="0.3">
      <c r="A8" s="14" t="s">
        <v>8</v>
      </c>
      <c r="B8" s="15" t="s">
        <v>4941</v>
      </c>
      <c r="C8" s="16" t="s">
        <v>4942</v>
      </c>
      <c r="D8" s="6"/>
      <c r="F8" s="14" t="s">
        <v>8</v>
      </c>
      <c r="G8" s="15" t="s">
        <v>4941</v>
      </c>
      <c r="H8" s="16" t="s">
        <v>4942</v>
      </c>
      <c r="I8" s="6"/>
      <c r="K8" s="14" t="s">
        <v>8</v>
      </c>
      <c r="L8" s="15" t="s">
        <v>4941</v>
      </c>
      <c r="M8" s="16" t="s">
        <v>4942</v>
      </c>
      <c r="N8" s="6"/>
    </row>
    <row r="9" spans="1:14" x14ac:dyDescent="0.3">
      <c r="A9" s="44" t="s">
        <v>274</v>
      </c>
      <c r="B9" s="2">
        <v>6728.8</v>
      </c>
      <c r="C9" t="s">
        <v>4950</v>
      </c>
      <c r="F9" s="44" t="s">
        <v>775</v>
      </c>
      <c r="G9" s="2">
        <v>7805.079999999999</v>
      </c>
      <c r="H9" t="s">
        <v>4950</v>
      </c>
      <c r="K9" s="44" t="s">
        <v>775</v>
      </c>
      <c r="L9" s="2">
        <v>10927.98</v>
      </c>
      <c r="M9" t="s">
        <v>4950</v>
      </c>
    </row>
    <row r="10" spans="1:14" x14ac:dyDescent="0.3">
      <c r="A10" s="44" t="s">
        <v>775</v>
      </c>
      <c r="B10" s="2">
        <v>6491.54</v>
      </c>
      <c r="C10" t="s">
        <v>4950</v>
      </c>
      <c r="F10" s="44" t="s">
        <v>274</v>
      </c>
      <c r="G10" s="2">
        <v>5872.87</v>
      </c>
      <c r="H10" t="s">
        <v>4950</v>
      </c>
      <c r="K10" s="44" t="s">
        <v>274</v>
      </c>
      <c r="L10" s="2">
        <v>5067.78</v>
      </c>
      <c r="M10" t="s">
        <v>4950</v>
      </c>
    </row>
    <row r="11" spans="1:14" x14ac:dyDescent="0.3">
      <c r="A11" s="44" t="s">
        <v>209</v>
      </c>
      <c r="B11" s="2">
        <v>728.81</v>
      </c>
      <c r="C11" t="s">
        <v>4951</v>
      </c>
      <c r="F11" s="44" t="s">
        <v>36</v>
      </c>
      <c r="G11" s="2">
        <v>2610.14</v>
      </c>
      <c r="H11" t="s">
        <v>4950</v>
      </c>
      <c r="K11" s="44" t="s">
        <v>36</v>
      </c>
      <c r="L11" s="2">
        <v>1745.7399999999998</v>
      </c>
      <c r="M11" t="s">
        <v>4950</v>
      </c>
    </row>
    <row r="12" spans="1:14" x14ac:dyDescent="0.3">
      <c r="A12" s="44" t="s">
        <v>36</v>
      </c>
      <c r="B12" s="2">
        <v>711.86000000000013</v>
      </c>
      <c r="C12" t="s">
        <v>4951</v>
      </c>
      <c r="F12" s="44" t="s">
        <v>412</v>
      </c>
      <c r="G12" s="2">
        <v>2283.88</v>
      </c>
      <c r="H12" t="s">
        <v>4950</v>
      </c>
      <c r="K12" s="44" t="s">
        <v>629</v>
      </c>
      <c r="L12" s="2">
        <v>1461.87</v>
      </c>
      <c r="M12" t="s">
        <v>4950</v>
      </c>
    </row>
    <row r="13" spans="1:14" x14ac:dyDescent="0.3">
      <c r="A13" s="44" t="s">
        <v>137</v>
      </c>
      <c r="B13" s="2">
        <v>474.57000000000005</v>
      </c>
      <c r="C13" t="s">
        <v>4952</v>
      </c>
      <c r="F13" s="44" t="s">
        <v>209</v>
      </c>
      <c r="G13" s="2">
        <v>2072.0100000000002</v>
      </c>
      <c r="H13" t="s">
        <v>4950</v>
      </c>
      <c r="K13" s="44" t="s">
        <v>209</v>
      </c>
      <c r="L13" s="2">
        <v>1368.63</v>
      </c>
      <c r="M13" t="s">
        <v>4950</v>
      </c>
    </row>
    <row r="14" spans="1:14" x14ac:dyDescent="0.3">
      <c r="A14" s="44" t="s">
        <v>2558</v>
      </c>
      <c r="B14" s="2">
        <v>338.98</v>
      </c>
      <c r="C14" t="s">
        <v>4952</v>
      </c>
      <c r="F14" s="44" t="s">
        <v>629</v>
      </c>
      <c r="G14" s="2">
        <v>1644.07</v>
      </c>
      <c r="H14" t="s">
        <v>4950</v>
      </c>
      <c r="K14" s="44" t="s">
        <v>435</v>
      </c>
      <c r="L14" s="2">
        <v>1135.58</v>
      </c>
      <c r="M14" t="s">
        <v>4950</v>
      </c>
    </row>
    <row r="15" spans="1:14" x14ac:dyDescent="0.3">
      <c r="A15" s="44" t="s">
        <v>1120</v>
      </c>
      <c r="B15" s="2">
        <v>186.44</v>
      </c>
      <c r="C15" t="s">
        <v>4954</v>
      </c>
      <c r="F15" s="44" t="s">
        <v>705</v>
      </c>
      <c r="G15" s="2">
        <v>1508.47</v>
      </c>
      <c r="H15" t="s">
        <v>4950</v>
      </c>
      <c r="K15" s="44" t="s">
        <v>705</v>
      </c>
      <c r="L15" s="2">
        <v>949.13999999999987</v>
      </c>
      <c r="M15" t="s">
        <v>4951</v>
      </c>
    </row>
    <row r="16" spans="1:14" x14ac:dyDescent="0.3">
      <c r="A16" s="44" t="s">
        <v>2946</v>
      </c>
      <c r="B16" s="2">
        <v>186.44</v>
      </c>
      <c r="C16" t="s">
        <v>4954</v>
      </c>
      <c r="F16" s="44" t="s">
        <v>365</v>
      </c>
      <c r="G16" s="2">
        <v>1025.42</v>
      </c>
      <c r="H16" t="s">
        <v>4950</v>
      </c>
      <c r="K16" s="44" t="s">
        <v>1423</v>
      </c>
      <c r="L16" s="2">
        <v>796.6</v>
      </c>
      <c r="M16" t="s">
        <v>4951</v>
      </c>
    </row>
    <row r="17" spans="1:13" x14ac:dyDescent="0.3">
      <c r="A17" s="44" t="s">
        <v>2691</v>
      </c>
      <c r="B17" s="2">
        <v>152.54</v>
      </c>
      <c r="C17" t="s">
        <v>4954</v>
      </c>
      <c r="F17" s="44" t="s">
        <v>137</v>
      </c>
      <c r="G17" s="2">
        <v>898.3</v>
      </c>
      <c r="H17" t="s">
        <v>4951</v>
      </c>
      <c r="K17" s="44" t="s">
        <v>2558</v>
      </c>
      <c r="L17" s="2">
        <v>762.71</v>
      </c>
      <c r="M17" t="s">
        <v>4951</v>
      </c>
    </row>
    <row r="18" spans="1:13" x14ac:dyDescent="0.3">
      <c r="A18" s="44" t="s">
        <v>629</v>
      </c>
      <c r="B18" s="2">
        <v>139.83000000000001</v>
      </c>
      <c r="C18" t="s">
        <v>4954</v>
      </c>
      <c r="F18" s="44" t="s">
        <v>1542</v>
      </c>
      <c r="G18" s="2">
        <v>661.01</v>
      </c>
      <c r="H18" t="s">
        <v>4951</v>
      </c>
      <c r="K18" s="44" t="s">
        <v>716</v>
      </c>
      <c r="L18" s="2">
        <v>694.91</v>
      </c>
      <c r="M18" t="s">
        <v>4951</v>
      </c>
    </row>
    <row r="19" spans="1:13" x14ac:dyDescent="0.3">
      <c r="A19" s="44" t="s">
        <v>117</v>
      </c>
      <c r="B19" s="2">
        <v>135.59</v>
      </c>
      <c r="C19" t="s">
        <v>4954</v>
      </c>
      <c r="F19" s="44" t="s">
        <v>435</v>
      </c>
      <c r="G19" s="2">
        <v>593.21</v>
      </c>
      <c r="H19" t="s">
        <v>4951</v>
      </c>
      <c r="K19" s="44" t="s">
        <v>1120</v>
      </c>
      <c r="L19" s="2">
        <v>550.85</v>
      </c>
      <c r="M19" t="s">
        <v>4951</v>
      </c>
    </row>
    <row r="20" spans="1:13" x14ac:dyDescent="0.3">
      <c r="A20" s="53" t="s">
        <v>412</v>
      </c>
      <c r="B20" s="2">
        <v>135.59</v>
      </c>
      <c r="C20" t="s">
        <v>4954</v>
      </c>
      <c r="F20" s="44" t="s">
        <v>1481</v>
      </c>
      <c r="G20" s="2">
        <v>563.55999999999995</v>
      </c>
      <c r="H20" t="s">
        <v>4951</v>
      </c>
      <c r="K20" s="44" t="s">
        <v>137</v>
      </c>
      <c r="L20" s="2">
        <v>474.57000000000005</v>
      </c>
      <c r="M20" t="s">
        <v>4952</v>
      </c>
    </row>
    <row r="21" spans="1:13" x14ac:dyDescent="0.3">
      <c r="B21" s="54"/>
      <c r="F21" s="44" t="s">
        <v>97</v>
      </c>
      <c r="G21" s="2">
        <v>474.57</v>
      </c>
      <c r="H21" t="s">
        <v>4952</v>
      </c>
      <c r="K21" s="44" t="s">
        <v>97</v>
      </c>
      <c r="L21" s="2">
        <v>423.72</v>
      </c>
      <c r="M21" t="s">
        <v>4952</v>
      </c>
    </row>
    <row r="22" spans="1:13" x14ac:dyDescent="0.3">
      <c r="B22" s="54"/>
      <c r="F22" s="44" t="s">
        <v>716</v>
      </c>
      <c r="G22" s="2">
        <v>457.62</v>
      </c>
      <c r="H22" t="s">
        <v>4952</v>
      </c>
      <c r="K22" s="44" t="s">
        <v>1098</v>
      </c>
      <c r="L22" s="2">
        <v>372.88</v>
      </c>
      <c r="M22" t="s">
        <v>4952</v>
      </c>
    </row>
    <row r="23" spans="1:13" x14ac:dyDescent="0.3">
      <c r="B23" s="54"/>
      <c r="F23" s="44" t="s">
        <v>262</v>
      </c>
      <c r="G23" s="2">
        <v>372.88</v>
      </c>
      <c r="H23" t="s">
        <v>4952</v>
      </c>
      <c r="K23" s="44" t="s">
        <v>1154</v>
      </c>
      <c r="L23" s="2">
        <v>338.98</v>
      </c>
      <c r="M23" t="s">
        <v>4952</v>
      </c>
    </row>
    <row r="24" spans="1:13" x14ac:dyDescent="0.3">
      <c r="B24" s="54"/>
      <c r="F24" s="44" t="s">
        <v>345</v>
      </c>
      <c r="G24" s="2">
        <v>305.08</v>
      </c>
      <c r="H24" t="s">
        <v>4952</v>
      </c>
      <c r="K24" s="44" t="s">
        <v>3037</v>
      </c>
      <c r="L24" s="2">
        <v>288.13</v>
      </c>
      <c r="M24" t="s">
        <v>4952</v>
      </c>
    </row>
    <row r="25" spans="1:13" x14ac:dyDescent="0.3">
      <c r="B25" s="54"/>
      <c r="F25" s="44" t="s">
        <v>1596</v>
      </c>
      <c r="G25" s="2">
        <v>288.13</v>
      </c>
      <c r="H25" t="s">
        <v>4952</v>
      </c>
      <c r="K25" s="53" t="s">
        <v>117</v>
      </c>
      <c r="L25" s="2">
        <v>152.54</v>
      </c>
      <c r="M25" t="s">
        <v>4954</v>
      </c>
    </row>
    <row r="26" spans="1:13" x14ac:dyDescent="0.3">
      <c r="B26" s="54"/>
      <c r="F26" s="44" t="s">
        <v>1616</v>
      </c>
      <c r="G26" s="2">
        <v>275.42</v>
      </c>
      <c r="H26" t="s">
        <v>4952</v>
      </c>
      <c r="L26" s="54"/>
    </row>
    <row r="27" spans="1:13" x14ac:dyDescent="0.3">
      <c r="B27" s="54"/>
      <c r="F27" s="44" t="s">
        <v>1098</v>
      </c>
      <c r="G27" s="2">
        <v>271.18</v>
      </c>
      <c r="H27" t="s">
        <v>4952</v>
      </c>
      <c r="L27" s="54"/>
    </row>
    <row r="28" spans="1:13" x14ac:dyDescent="0.3">
      <c r="B28" s="54"/>
      <c r="F28" s="44" t="s">
        <v>1165</v>
      </c>
      <c r="G28" s="2">
        <v>186.44</v>
      </c>
      <c r="H28" t="s">
        <v>4954</v>
      </c>
      <c r="L28" s="54"/>
    </row>
    <row r="29" spans="1:13" x14ac:dyDescent="0.3">
      <c r="B29" s="54"/>
      <c r="F29" s="44" t="s">
        <v>1154</v>
      </c>
      <c r="G29" s="2">
        <v>186.44</v>
      </c>
      <c r="H29" t="s">
        <v>4954</v>
      </c>
      <c r="L29" s="54"/>
    </row>
    <row r="30" spans="1:13" x14ac:dyDescent="0.3">
      <c r="B30" s="54"/>
      <c r="F30" s="44" t="s">
        <v>1675</v>
      </c>
      <c r="G30" s="2">
        <v>186.44</v>
      </c>
      <c r="H30" t="s">
        <v>4954</v>
      </c>
      <c r="L30" s="54"/>
    </row>
    <row r="31" spans="1:13" x14ac:dyDescent="0.3">
      <c r="B31" s="54"/>
      <c r="F31" s="44" t="s">
        <v>2025</v>
      </c>
      <c r="G31" s="2">
        <v>186.44</v>
      </c>
      <c r="H31" t="s">
        <v>4954</v>
      </c>
      <c r="L31" s="54"/>
    </row>
    <row r="32" spans="1:13" x14ac:dyDescent="0.3">
      <c r="B32" s="54"/>
      <c r="F32" s="44" t="s">
        <v>1423</v>
      </c>
      <c r="G32" s="2">
        <v>135.59</v>
      </c>
      <c r="H32" t="s">
        <v>4954</v>
      </c>
      <c r="L32" s="54"/>
    </row>
    <row r="33" spans="2:12" x14ac:dyDescent="0.3">
      <c r="B33" s="54"/>
      <c r="F33" s="44" t="s">
        <v>1864</v>
      </c>
      <c r="G33" s="2">
        <v>135.59</v>
      </c>
      <c r="H33" t="s">
        <v>4954</v>
      </c>
      <c r="L33" s="54"/>
    </row>
    <row r="34" spans="2:12" x14ac:dyDescent="0.3">
      <c r="B34" s="54"/>
      <c r="F34" s="44" t="s">
        <v>1891</v>
      </c>
      <c r="G34" s="2">
        <v>135.59</v>
      </c>
      <c r="H34" t="s">
        <v>4954</v>
      </c>
      <c r="L34" s="54"/>
    </row>
    <row r="35" spans="2:12" x14ac:dyDescent="0.3">
      <c r="B35" s="54"/>
      <c r="F35" s="44" t="s">
        <v>2146</v>
      </c>
      <c r="G35" s="2">
        <v>135.59</v>
      </c>
      <c r="H35" t="s">
        <v>4954</v>
      </c>
      <c r="L35" s="54"/>
    </row>
    <row r="36" spans="2:12" x14ac:dyDescent="0.3">
      <c r="F36" s="44" t="s">
        <v>2311</v>
      </c>
      <c r="G36" s="2">
        <v>135.59</v>
      </c>
      <c r="H36" t="s">
        <v>4954</v>
      </c>
    </row>
    <row r="37" spans="2:12" x14ac:dyDescent="0.3">
      <c r="F37" s="44" t="s">
        <v>2420</v>
      </c>
      <c r="G37" s="2">
        <v>101.69</v>
      </c>
      <c r="H37" t="s">
        <v>4954</v>
      </c>
    </row>
  </sheetData>
  <mergeCells count="3">
    <mergeCell ref="A1:D1"/>
    <mergeCell ref="F1:I1"/>
    <mergeCell ref="K1:N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workbookViewId="0"/>
  </sheetViews>
  <sheetFormatPr baseColWidth="10" defaultRowHeight="14.4" x14ac:dyDescent="0.3"/>
  <cols>
    <col min="1" max="1" width="41.33203125" customWidth="1"/>
    <col min="2" max="2" width="12.5546875" customWidth="1"/>
    <col min="3" max="3" width="6.77734375" customWidth="1"/>
  </cols>
  <sheetData>
    <row r="1" spans="1:3" x14ac:dyDescent="0.3">
      <c r="A1" t="s">
        <v>3545</v>
      </c>
      <c r="B1" t="s">
        <v>4006</v>
      </c>
    </row>
    <row r="3" spans="1:3" x14ac:dyDescent="0.3">
      <c r="A3" t="s">
        <v>4955</v>
      </c>
      <c r="B3" s="56" t="s">
        <v>4956</v>
      </c>
      <c r="C3" s="56" t="s">
        <v>4957</v>
      </c>
    </row>
    <row r="4" spans="1:3" x14ac:dyDescent="0.3">
      <c r="A4" s="55" t="s">
        <v>290</v>
      </c>
      <c r="B4" s="57">
        <v>15889.82</v>
      </c>
      <c r="C4">
        <v>15</v>
      </c>
    </row>
    <row r="5" spans="1:3" x14ac:dyDescent="0.3">
      <c r="A5" s="55" t="s">
        <v>90</v>
      </c>
      <c r="B5" s="57">
        <v>4203.2900000000018</v>
      </c>
      <c r="C5">
        <v>33</v>
      </c>
    </row>
    <row r="6" spans="1:3" x14ac:dyDescent="0.3">
      <c r="A6" s="55" t="s">
        <v>101</v>
      </c>
      <c r="B6" s="57">
        <v>3711.8500000000004</v>
      </c>
      <c r="C6">
        <v>20</v>
      </c>
    </row>
    <row r="7" spans="1:3" x14ac:dyDescent="0.3">
      <c r="A7" s="55" t="s">
        <v>159</v>
      </c>
      <c r="B7" s="57">
        <v>3254.1600000000008</v>
      </c>
      <c r="C7">
        <v>24</v>
      </c>
    </row>
    <row r="8" spans="1:3" x14ac:dyDescent="0.3">
      <c r="A8" s="55" t="s">
        <v>130</v>
      </c>
      <c r="B8" s="57">
        <v>2898.2599999999998</v>
      </c>
      <c r="C8">
        <v>21</v>
      </c>
    </row>
    <row r="9" spans="1:3" x14ac:dyDescent="0.3">
      <c r="A9" s="55" t="s">
        <v>41</v>
      </c>
      <c r="B9" s="57">
        <v>2033.8900000000003</v>
      </c>
      <c r="C9">
        <v>11</v>
      </c>
    </row>
    <row r="10" spans="1:3" x14ac:dyDescent="0.3">
      <c r="A10" s="55" t="s">
        <v>201</v>
      </c>
      <c r="B10" s="57">
        <v>2025.3899999999996</v>
      </c>
      <c r="C10">
        <v>14</v>
      </c>
    </row>
    <row r="11" spans="1:3" x14ac:dyDescent="0.3">
      <c r="A11" s="55" t="s">
        <v>202</v>
      </c>
      <c r="B11" s="57">
        <v>1957.5799999999995</v>
      </c>
      <c r="C11">
        <v>15</v>
      </c>
    </row>
    <row r="12" spans="1:3" x14ac:dyDescent="0.3">
      <c r="A12" s="55" t="s">
        <v>1137</v>
      </c>
      <c r="B12" s="57">
        <v>1805.0900000000001</v>
      </c>
      <c r="C12">
        <v>2</v>
      </c>
    </row>
    <row r="13" spans="1:3" x14ac:dyDescent="0.3">
      <c r="A13" s="55" t="s">
        <v>371</v>
      </c>
      <c r="B13" s="57">
        <v>1440.67</v>
      </c>
      <c r="C13">
        <v>2</v>
      </c>
    </row>
    <row r="14" spans="1:3" x14ac:dyDescent="0.3">
      <c r="A14" s="55" t="s">
        <v>1157</v>
      </c>
      <c r="B14" s="57">
        <v>1355.92</v>
      </c>
      <c r="C14">
        <v>4</v>
      </c>
    </row>
    <row r="15" spans="1:3" x14ac:dyDescent="0.3">
      <c r="A15" s="55" t="s">
        <v>2379</v>
      </c>
      <c r="B15" s="57">
        <v>1169.49</v>
      </c>
      <c r="C15">
        <v>1</v>
      </c>
    </row>
    <row r="16" spans="1:3" x14ac:dyDescent="0.3">
      <c r="A16" s="55" t="s">
        <v>973</v>
      </c>
      <c r="B16" s="57">
        <v>805.08</v>
      </c>
      <c r="C16">
        <v>1</v>
      </c>
    </row>
    <row r="17" spans="1:3" x14ac:dyDescent="0.3">
      <c r="A17" s="55" t="s">
        <v>641</v>
      </c>
      <c r="B17" s="57">
        <v>678</v>
      </c>
      <c r="C17">
        <v>8</v>
      </c>
    </row>
    <row r="18" spans="1:3" x14ac:dyDescent="0.3">
      <c r="A18" s="55" t="s">
        <v>59</v>
      </c>
      <c r="B18" s="57">
        <v>546.6</v>
      </c>
      <c r="C18">
        <v>4</v>
      </c>
    </row>
    <row r="19" spans="1:3" x14ac:dyDescent="0.3">
      <c r="A19" s="55" t="s">
        <v>213</v>
      </c>
      <c r="B19" s="57">
        <v>508.48</v>
      </c>
      <c r="C19">
        <v>2</v>
      </c>
    </row>
    <row r="20" spans="1:3" x14ac:dyDescent="0.3">
      <c r="A20" s="55" t="s">
        <v>158</v>
      </c>
      <c r="B20" s="57">
        <v>457.62</v>
      </c>
      <c r="C20">
        <v>3</v>
      </c>
    </row>
    <row r="21" spans="1:3" x14ac:dyDescent="0.3">
      <c r="A21" s="55" t="s">
        <v>1215</v>
      </c>
      <c r="B21" s="57">
        <v>279.66000000000003</v>
      </c>
      <c r="C21">
        <v>2</v>
      </c>
    </row>
    <row r="22" spans="1:3" x14ac:dyDescent="0.3">
      <c r="A22" s="55" t="s">
        <v>828</v>
      </c>
      <c r="B22" s="57">
        <v>254.24</v>
      </c>
      <c r="C22">
        <v>2</v>
      </c>
    </row>
    <row r="23" spans="1:3" x14ac:dyDescent="0.3">
      <c r="A23" s="55" t="s">
        <v>3541</v>
      </c>
      <c r="B23" s="57">
        <v>211.86</v>
      </c>
      <c r="C23">
        <v>1</v>
      </c>
    </row>
    <row r="24" spans="1:3" x14ac:dyDescent="0.3">
      <c r="A24" s="55" t="s">
        <v>2875</v>
      </c>
      <c r="B24" s="57">
        <v>186.44</v>
      </c>
      <c r="C24">
        <v>1</v>
      </c>
    </row>
    <row r="25" spans="1:3" x14ac:dyDescent="0.3">
      <c r="A25" s="55" t="s">
        <v>349</v>
      </c>
      <c r="B25" s="57">
        <v>169.49</v>
      </c>
      <c r="C25">
        <v>3</v>
      </c>
    </row>
    <row r="26" spans="1:3" x14ac:dyDescent="0.3">
      <c r="A26" s="55" t="s">
        <v>1565</v>
      </c>
      <c r="B26" s="57">
        <v>152.54</v>
      </c>
      <c r="C26">
        <v>1</v>
      </c>
    </row>
    <row r="27" spans="1:3" x14ac:dyDescent="0.3">
      <c r="A27" s="55" t="s">
        <v>833</v>
      </c>
      <c r="B27" s="57">
        <v>101.7</v>
      </c>
      <c r="C27">
        <v>2</v>
      </c>
    </row>
    <row r="28" spans="1:3" x14ac:dyDescent="0.3">
      <c r="A28" s="55" t="s">
        <v>620</v>
      </c>
      <c r="B28" s="57">
        <v>42.38</v>
      </c>
      <c r="C28">
        <v>2</v>
      </c>
    </row>
    <row r="29" spans="1:3" x14ac:dyDescent="0.3">
      <c r="A29" s="55" t="s">
        <v>621</v>
      </c>
      <c r="B29" s="57">
        <v>25.42</v>
      </c>
      <c r="C29">
        <v>2</v>
      </c>
    </row>
    <row r="30" spans="1:3" x14ac:dyDescent="0.3">
      <c r="A30" s="55" t="s">
        <v>618</v>
      </c>
      <c r="B30" s="57">
        <v>25.42</v>
      </c>
      <c r="C30">
        <v>2</v>
      </c>
    </row>
    <row r="31" spans="1:3" x14ac:dyDescent="0.3">
      <c r="A31" s="55" t="s">
        <v>622</v>
      </c>
      <c r="B31" s="57">
        <v>25.42</v>
      </c>
      <c r="C31">
        <v>2</v>
      </c>
    </row>
    <row r="32" spans="1:3" x14ac:dyDescent="0.3">
      <c r="A32" s="55" t="s">
        <v>288</v>
      </c>
      <c r="B32" s="57">
        <v>0</v>
      </c>
      <c r="C32">
        <v>24</v>
      </c>
    </row>
    <row r="33" spans="1:3" x14ac:dyDescent="0.3">
      <c r="A33" s="55" t="s">
        <v>4958</v>
      </c>
      <c r="B33" s="57">
        <v>46215.760000000075</v>
      </c>
      <c r="C33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96" customWidth="1"/>
  </cols>
  <sheetData>
    <row r="1" spans="1:2" ht="34.049999999999997" customHeight="1" x14ac:dyDescent="0.3">
      <c r="A1" s="58" t="s">
        <v>4959</v>
      </c>
      <c r="B1" s="58"/>
    </row>
    <row r="2" spans="1:2" x14ac:dyDescent="0.3">
      <c r="A2" s="59" t="s">
        <v>4960</v>
      </c>
      <c r="B2" s="59" t="s">
        <v>4961</v>
      </c>
    </row>
    <row r="3" spans="1:2" x14ac:dyDescent="0.3">
      <c r="A3" s="60" t="s">
        <v>4962</v>
      </c>
      <c r="B3" s="60" t="s">
        <v>4963</v>
      </c>
    </row>
    <row r="4" spans="1:2" x14ac:dyDescent="0.3">
      <c r="A4" s="59" t="s">
        <v>4964</v>
      </c>
      <c r="B4" s="59" t="s">
        <v>4965</v>
      </c>
    </row>
    <row r="5" spans="1:2" x14ac:dyDescent="0.3">
      <c r="A5" s="59" t="s">
        <v>4966</v>
      </c>
      <c r="B5" s="59" t="s">
        <v>4967</v>
      </c>
    </row>
    <row r="6" spans="1:2" x14ac:dyDescent="0.3">
      <c r="A6" s="59" t="s">
        <v>4968</v>
      </c>
      <c r="B6" s="59" t="s">
        <v>4969</v>
      </c>
    </row>
    <row r="7" spans="1:2" x14ac:dyDescent="0.3">
      <c r="A7" s="59" t="s">
        <v>4970</v>
      </c>
      <c r="B7" s="59" t="s">
        <v>4969</v>
      </c>
    </row>
    <row r="8" spans="1:2" x14ac:dyDescent="0.3">
      <c r="A8" s="59" t="s">
        <v>4971</v>
      </c>
      <c r="B8" s="59" t="s">
        <v>4972</v>
      </c>
    </row>
    <row r="9" spans="1:2" x14ac:dyDescent="0.3">
      <c r="A9" s="60" t="s">
        <v>4973</v>
      </c>
      <c r="B9" s="60"/>
    </row>
    <row r="10" spans="1:2" x14ac:dyDescent="0.3">
      <c r="A10" s="59" t="s">
        <v>4974</v>
      </c>
      <c r="B10" s="59" t="s">
        <v>4975</v>
      </c>
    </row>
    <row r="11" spans="1:2" x14ac:dyDescent="0.3">
      <c r="A11" s="59" t="s">
        <v>4976</v>
      </c>
      <c r="B11" s="59" t="s">
        <v>4977</v>
      </c>
    </row>
    <row r="12" spans="1:2" x14ac:dyDescent="0.3">
      <c r="A12" s="59" t="s">
        <v>4978</v>
      </c>
      <c r="B12" s="59" t="s">
        <v>4979</v>
      </c>
    </row>
    <row r="13" spans="1:2" x14ac:dyDescent="0.3">
      <c r="A13" s="60" t="s">
        <v>4980</v>
      </c>
      <c r="B13" s="60"/>
    </row>
    <row r="14" spans="1:2" x14ac:dyDescent="0.3">
      <c r="A14" s="59" t="s">
        <v>4981</v>
      </c>
      <c r="B14" s="59" t="s">
        <v>4982</v>
      </c>
    </row>
    <row r="15" spans="1:2" x14ac:dyDescent="0.3">
      <c r="A15" s="59" t="s">
        <v>4983</v>
      </c>
      <c r="B15" s="59" t="s">
        <v>4984</v>
      </c>
    </row>
    <row r="16" spans="1:2" x14ac:dyDescent="0.3">
      <c r="A16" s="59" t="s">
        <v>4985</v>
      </c>
      <c r="B16" s="59" t="s">
        <v>4986</v>
      </c>
    </row>
    <row r="17" spans="1:2" x14ac:dyDescent="0.3">
      <c r="A17" s="59" t="s">
        <v>4987</v>
      </c>
      <c r="B17" s="59" t="s">
        <v>4988</v>
      </c>
    </row>
    <row r="18" spans="1:2" x14ac:dyDescent="0.3">
      <c r="A18" s="59" t="s">
        <v>4989</v>
      </c>
      <c r="B18" s="59" t="s">
        <v>4990</v>
      </c>
    </row>
    <row r="19" spans="1:2" ht="28.8" x14ac:dyDescent="0.3">
      <c r="A19" s="59" t="s">
        <v>4991</v>
      </c>
      <c r="B19" s="59" t="s">
        <v>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Médicos</vt:lpstr>
      <vt:lpstr>Cuentas</vt:lpstr>
      <vt:lpstr>Bonos2</vt:lpstr>
      <vt:lpstr>Base_Precisa</vt:lpstr>
      <vt:lpstr>Cálculo_Categorías</vt:lpstr>
      <vt:lpstr>Categoría_Médicos</vt:lpstr>
      <vt:lpstr>Categoría_Institución</vt:lpstr>
      <vt:lpstr>Detalle</vt:lpstr>
      <vt:lpstr>GUIA_DASHBOARD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Ruiz</cp:lastModifiedBy>
  <dcterms:modified xsi:type="dcterms:W3CDTF">2026-10-26T22:49:59Z</dcterms:modified>
</cp:coreProperties>
</file>