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7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8.xml" ContentType="application/vnd.openxmlformats-officedocument.spreadsheetml.worksheet+xml"/>
  <Override PartName="/xl/pivotTables/pivotTable.xml" ContentType="application/vnd.openxmlformats-officedocument.spreadsheetml.pivotTable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9d3eca1de043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édicos" sheetId="4" r:id="Re77207ca951146ce"/>
    <x:sheet xmlns:r="http://schemas.openxmlformats.org/officeDocument/2006/relationships" name="Cuentas" sheetId="3" r:id="R138e3ad30654450b"/>
    <x:sheet xmlns:r="http://schemas.openxmlformats.org/officeDocument/2006/relationships" name="Bonos2" sheetId="10" r:id="R4c49459381df40d8"/>
    <x:sheet xmlns:r="http://schemas.openxmlformats.org/officeDocument/2006/relationships" name="Base_Precisa" sheetId="2" r:id="Ra29806ade8284ec5"/>
    <x:sheet xmlns:r="http://schemas.openxmlformats.org/officeDocument/2006/relationships" name="Cálculo_Categorías" sheetId="5" r:id="Re920ea339aa445a4"/>
    <x:sheet xmlns:r="http://schemas.openxmlformats.org/officeDocument/2006/relationships" name="Categoría_Médicos" sheetId="8" r:id="Rcd94e3accf1d437b"/>
    <x:sheet xmlns:r="http://schemas.openxmlformats.org/officeDocument/2006/relationships" name="Categoría_Institución" sheetId="9" r:id="Ra31a847d041d4db3"/>
    <x:sheet xmlns:r="http://schemas.openxmlformats.org/officeDocument/2006/relationships" name="Detalle" sheetId="11" r:id="R6e4d53f4b30141aa"/>
    <x:sheet xmlns:r="http://schemas.openxmlformats.org/officeDocument/2006/relationships" name="GUIA_DASHBOARD" sheetId="12" r:id="R4220c9e60c1b4bab"/>
  </x:sheets>
  <x:definedNames>
    <x:definedName name="DatosExternos_1" localSheetId="3" hidden="1">Base_Precisa!$A$1:$AD$830</x:definedName>
    <x:definedName name="DatosExternos_2" localSheetId="2" hidden="1">Bonos2!$A$1:$B$18</x:definedName>
    <x:definedName name="DatosExternos_2" localSheetId="1" hidden="1">Cuentas!$A$1:$G$308</x:definedName>
    <x:definedName name="DatosExternos_3" localSheetId="0" hidden="1">Médicos!$A$1:$AB$588</x:definedName>
  </x:definedNames>
  <x:pivotCaches>
    <x:pivotCache xmlns:r="http://schemas.openxmlformats.org/officeDocument/2006/relationships" cacheId="0" r:id="Ra673589674ac41be"/>
  </x:pivotCache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<x:sst xmlns:x="http://schemas.openxmlformats.org/spreadsheetml/2006/main">
  <x:si>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FECHA</x:t>
  </x:si>
  <x:si>
    <x:t xml:space="preserve">INVNUM</x:t>
  </x:si>
  <x:si>
    <x:t xml:space="preserve">COMPROBANTE</x:t>
  </x:si>
  <x:si>
    <x:t xml:space="preserve">FACTURA</x:t>
  </x:si>
  <x:si>
    <x:t xml:space="preserve">TIPO PAGO</x:t>
  </x:si>
  <x:si>
    <x:t xml:space="preserve"># DOC</x:t>
  </x:si>
  <x:si>
    <x:t xml:space="preserve">PACIENTE</x:t>
  </x:si>
  <x:si>
    <x:t xml:space="preserve">DNI</x:t>
  </x:si>
  <x:si>
    <x:t xml:space="preserve">MEDICO</x:t>
  </x:si>
  <x:si>
    <x:t xml:space="preserve">INSTITUCIÓN</x:t>
  </x:si>
  <x:si>
    <x:t xml:space="preserve">CARTERA</x:t>
  </x:si>
  <x:si>
    <x:t xml:space="preserve">HISTORIA</x:t>
  </x:si>
  <x:si>
    <x:t xml:space="preserve">TELEFONO</x:t>
  </x:si>
  <x:si>
    <x:t xml:space="preserve">RAZON SOCIAL</x:t>
  </x:si>
  <x:si>
    <x:t xml:space="preserve">PREFACTURA</x:t>
  </x:si>
  <x:si>
    <x:t xml:space="preserve">DESCRIPCION</x:t>
  </x:si>
  <x:si>
    <x:t xml:space="preserve">CANTIDAD</x:t>
  </x:si>
  <x:si>
    <x:t xml:space="preserve">DESCRIP PLAN</x:t>
  </x:si>
  <x:si>
    <x:t xml:space="preserve">CONTRATANTE</x:t>
  </x:si>
  <x:si>
    <x:t xml:space="preserve">ASEGURADORA</x:t>
  </x:si>
  <x:si>
    <x:t xml:space="preserve">SEDEXX</x:t>
  </x:si>
  <x:si>
    <x:t xml:space="preserve">FACTURADOR</x:t>
  </x:si>
  <x:si>
    <x:t xml:space="preserve">FAC TOTAL</x:t>
  </x:si>
  <x:si>
    <x:t xml:space="preserve">CENTRO_COSTO</x:t>
  </x:si>
  <x:si>
    <x:t xml:space="preserve">CONVENIO</x:t>
  </x:si>
  <x:si>
    <x:t xml:space="preserve">SEDE</x:t>
  </x:si>
  <x:si>
    <x:t xml:space="preserve">CELULAR</x:t>
  </x:si>
  <x:si>
    <x:t xml:space="preserve">CUENTA BANCARIA</x:t>
  </x:si>
  <x:si>
    <x:t xml:space="preserve">97734</x:t>
  </x:si>
  <x:si>
    <x:t xml:space="preserve">BO</x:t>
  </x:si>
  <x:si>
    <x:t xml:space="preserve">5483</x:t>
  </x:si>
  <x:si>
    <x:t xml:space="preserve">CO</x:t>
  </x:si>
  <x:si>
    <x:t xml:space="preserve">BO-5483</x:t>
  </x:si>
  <x:si>
    <x:t xml:space="preserve">MARIN DIAZ JORGE MARCIAL</x:t>
  </x:si>
  <x:si>
    <x:t xml:space="preserve">06105706</x:t>
  </x:si>
  <x:si>
    <x:t xml:space="preserve">ORNA ACOSTA JORGE AQUILES</x:t>
  </x:si>
  <x:si>
    <x:t xml:space="preserve">HOSPITAL LOAYZA</x:t>
  </x:si>
  <x:si>
    <x:t xml:space="preserve">CRISTINA</x:t>
  </x:si>
  <x:si>
    <x:t xml:space="preserve">0069701</x:t>
  </x:si>
  <x:si>
    <x:t xml:space="preserve">990056060</x:t>
  </x:si>
  <x:si>
    <x:t xml:space="preserve">85829</x:t>
  </x:si>
  <x:si>
    <x:t xml:space="preserve">OCT DE MACULA</x:t>
  </x:si>
  <x:si>
    <x:t xml:space="preserve">PRECISA</x:t>
  </x:si>
  <x:si>
    <x:t xml:space="preserve">POR ASIGNAR</x:t>
  </x:si>
  <x:si>
    <x:t xml:space="preserve">INSTITUTO MEDICO QUIRURGICO AREQUIPA S.A</x:t>
  </x:si>
  <x:si>
    <x:t xml:space="preserve">L.CENTRO</x:t>
  </x:si>
  <x:si>
    <x:t xml:space="preserve">ACABRERA</x:t>
  </x:si>
  <x:si>
    <x:t xml:space="preserve">LN. EXAMENES</x:t>
  </x:si>
  <x:si>
    <x:t xml:space="preserve">CIAS. DE SEGURO</x:t>
  </x:si>
  <x:si>
    <x:t xml:space="preserve">CENTRO</x:t>
  </x:si>
  <x:si>
    <x:t xml:space="preserve">052-7510523</x:t>
  </x:si>
  <x:si>
    <x:t xml:space="preserve">99046</x:t>
  </x:si>
  <x:si>
    <x:t xml:space="preserve">11571</x:t>
  </x:si>
  <x:si>
    <x:t xml:space="preserve">BO-11571</x:t>
  </x:si>
  <x:si>
    <x:t xml:space="preserve">AURIS ZENTENO DE TELLO ZENAIDA MARINA</x:t>
  </x:si>
  <x:si>
    <x:t xml:space="preserve">09212243</x:t>
  </x:si>
  <x:si>
    <x:t xml:space="preserve">0070254</x:t>
  </x:si>
  <x:si>
    <x:t xml:space="preserve">965361980</x:t>
  </x:si>
  <x:si>
    <x:t xml:space="preserve">86936</x:t>
  </x:si>
  <x:si>
    <x:t xml:space="preserve">USO DE EQUIPOS E INSUMO CAPSULOTOMIA</x:t>
  </x:si>
  <x:si>
    <x:t xml:space="preserve">LMAGAN</x:t>
  </x:si>
  <x:si>
    <x:t xml:space="preserve">LN. PROCEDIMIENTO</x:t>
  </x:si>
  <x:si>
    <x:t xml:space="preserve">100703</x:t>
  </x:si>
  <x:si>
    <x:t xml:space="preserve">4097</x:t>
  </x:si>
  <x:si>
    <x:t xml:space="preserve">BO-4097</x:t>
  </x:si>
  <x:si>
    <x:t xml:space="preserve">PAREDES BOREDO JUAN CARLOS</x:t>
  </x:si>
  <x:si>
    <x:t xml:space="preserve">47333051</x:t>
  </x:si>
  <x:si>
    <x:t xml:space="preserve">0070991</x:t>
  </x:si>
  <x:si>
    <x:t xml:space="preserve">963005687</x:t>
  </x:si>
  <x:si>
    <x:t xml:space="preserve">88209</x:t>
  </x:si>
  <x:si>
    <x:t xml:space="preserve">PRECISA LN</x:t>
  </x:si>
  <x:si>
    <x:t xml:space="preserve">L.NORTE</x:t>
  </x:si>
  <x:si>
    <x:t xml:space="preserve">BGALLOSA</x:t>
  </x:si>
  <x:si>
    <x:t xml:space="preserve">NORTE</x:t>
  </x:si>
  <x:si>
    <x:t xml:space="preserve">100707</x:t>
  </x:si>
  <x:si>
    <x:t xml:space="preserve">11866</x:t>
  </x:si>
  <x:si>
    <x:t xml:space="preserve">BO-11866</x:t>
  </x:si>
  <x:si>
    <x:t xml:space="preserve">PAREDES CHAPOÑAN CARMEN ROSA</x:t>
  </x:si>
  <x:si>
    <x:t xml:space="preserve">17524765</x:t>
  </x:si>
  <x:si>
    <x:t xml:space="preserve">0070990</x:t>
  </x:si>
  <x:si>
    <x:t xml:space="preserve">956186076</x:t>
  </x:si>
  <x:si>
    <x:t xml:space="preserve">88213</x:t>
  </x:si>
  <x:si>
    <x:t xml:space="preserve">97737</x:t>
  </x:si>
  <x:si>
    <x:t xml:space="preserve">5485</x:t>
  </x:si>
  <x:si>
    <x:t xml:space="preserve">BO-5485</x:t>
  </x:si>
  <x:si>
    <x:t xml:space="preserve">JIMENEZ BORCKARDT MARIA ELENA</x:t>
  </x:si>
  <x:si>
    <x:t xml:space="preserve">09175695</x:t>
  </x:si>
  <x:si>
    <x:t xml:space="preserve">TORRES LEAL ADOLFO LEON </x:t>
  </x:si>
  <x:si>
    <x:t xml:space="preserve">0069704</x:t>
  </x:si>
  <x:si>
    <x:t xml:space="preserve">962711137</x:t>
  </x:si>
  <x:si>
    <x:t xml:space="preserve">85831</x:t>
  </x:si>
  <x:si>
    <x:t xml:space="preserve">ECOGRAFIA OCULAR GENERAL SCAN A,B</x:t>
  </x:si>
  <x:si>
    <x:t xml:space="preserve">97751</x:t>
  </x:si>
  <x:si>
    <x:t xml:space="preserve">11374</x:t>
  </x:si>
  <x:si>
    <x:t xml:space="preserve">BO-11374</x:t>
  </x:si>
  <x:si>
    <x:t xml:space="preserve">HERRERA GRANDA VANNIA LUZ</x:t>
  </x:si>
  <x:si>
    <x:t xml:space="preserve">77928579</x:t>
  </x:si>
  <x:si>
    <x:t xml:space="preserve">PEÑA CAMARGO CRISTOPHER OMAR</x:t>
  </x:si>
  <x:si>
    <x:t xml:space="preserve">HOSPITAL SERGIO BERNALES</x:t>
  </x:si>
  <x:si>
    <x:t xml:space="preserve">0067338</x:t>
  </x:si>
  <x:si>
    <x:t xml:space="preserve">953421025</x:t>
  </x:si>
  <x:si>
    <x:t xml:space="preserve">85844</x:t>
  </x:si>
  <x:si>
    <x:t xml:space="preserve">OCT DE NERVIO OPTICO  Y CELULAS GANGLION</x:t>
  </x:si>
  <x:si>
    <x:t xml:space="preserve">191-70241223029</x:t>
  </x:si>
  <x:si>
    <x:t xml:space="preserve">97768</x:t>
  </x:si>
  <x:si>
    <x:t xml:space="preserve">11380</x:t>
  </x:si>
  <x:si>
    <x:t xml:space="preserve">BO-11380</x:t>
  </x:si>
  <x:si>
    <x:t xml:space="preserve">DAVILA URIBE JOSELUIS FRANKLIN</x:t>
  </x:si>
  <x:si>
    <x:t xml:space="preserve">63710675</x:t>
  </x:si>
  <x:si>
    <x:t xml:space="preserve">0069713</x:t>
  </x:si>
  <x:si>
    <x:t xml:space="preserve">916691513</x:t>
  </x:si>
  <x:si>
    <x:t xml:space="preserve">85858</x:t>
  </x:si>
  <x:si>
    <x:t xml:space="preserve">97761</x:t>
  </x:si>
  <x:si>
    <x:t xml:space="preserve">11378</x:t>
  </x:si>
  <x:si>
    <x:t xml:space="preserve">BO-11378</x:t>
  </x:si>
  <x:si>
    <x:t xml:space="preserve">SANDOVAL SANTAMARIA ANTERO</x:t>
  </x:si>
  <x:si>
    <x:t xml:space="preserve">17562410</x:t>
  </x:si>
  <x:si>
    <x:t xml:space="preserve">HUARANGA RUIZ CORNEJO JORGE ERNESTO</x:t>
  </x:si>
  <x:si>
    <x:t xml:space="preserve">HOSPITAL MONGRUT</x:t>
  </x:si>
  <x:si>
    <x:t xml:space="preserve">0069712</x:t>
  </x:si>
  <x:si>
    <x:t xml:space="preserve">956259223</x:t>
  </x:si>
  <x:si>
    <x:t xml:space="preserve">85854</x:t>
  </x:si>
  <x:si>
    <x:t xml:space="preserve">194-94066798065</x:t>
  </x:si>
  <x:si>
    <x:t xml:space="preserve">100264</x:t>
  </x:si>
  <x:si>
    <x:t xml:space="preserve">11781</x:t>
  </x:si>
  <x:si>
    <x:t xml:space="preserve">BO-11781</x:t>
  </x:si>
  <x:si>
    <x:t xml:space="preserve">YUPANQUI HUAMAN DEREK DANIEL</x:t>
  </x:si>
  <x:si>
    <x:t xml:space="preserve">73166982</x:t>
  </x:si>
  <x:si>
    <x:t xml:space="preserve">0070767</x:t>
  </x:si>
  <x:si>
    <x:t xml:space="preserve">984171901</x:t>
  </x:si>
  <x:si>
    <x:t xml:space="preserve">87870</x:t>
  </x:si>
  <x:si>
    <x:t xml:space="preserve">TOPOGRAFIA CORNEAL</x:t>
  </x:si>
  <x:si>
    <x:t xml:space="preserve">97762</x:t>
  </x:si>
  <x:si>
    <x:t xml:space="preserve">3764</x:t>
  </x:si>
  <x:si>
    <x:t xml:space="preserve">BO-3764</x:t>
  </x:si>
  <x:si>
    <x:t xml:space="preserve">DIAZ DIAZ MARIA JUANA</x:t>
  </x:si>
  <x:si>
    <x:t xml:space="preserve">48820433</x:t>
  </x:si>
  <x:si>
    <x:t xml:space="preserve">AGRAMONTE ZEA EDILBERTO</x:t>
  </x:si>
  <x:si>
    <x:t xml:space="preserve">HOSPITAL DE LA SOLIDARIDAD SJL</x:t>
  </x:si>
  <x:si>
    <x:t xml:space="preserve">0068509</x:t>
  </x:si>
  <x:si>
    <x:t xml:space="preserve">980843789</x:t>
  </x:si>
  <x:si>
    <x:t xml:space="preserve">85855</x:t>
  </x:si>
  <x:si>
    <x:t xml:space="preserve">0011-0190-0200333106</x:t>
  </x:si>
  <x:si>
    <x:t xml:space="preserve">98036</x:t>
  </x:si>
  <x:si>
    <x:t xml:space="preserve">5516</x:t>
  </x:si>
  <x:si>
    <x:t xml:space="preserve">BO-5516</x:t>
  </x:si>
  <x:si>
    <x:t xml:space="preserve">PICO DE CRUZADO LUZ EMILIA</x:t>
  </x:si>
  <x:si>
    <x:t xml:space="preserve">16550311</x:t>
  </x:si>
  <x:si>
    <x:t xml:space="preserve">0069819</x:t>
  </x:si>
  <x:si>
    <x:t xml:space="preserve">985411444</x:t>
  </x:si>
  <x:si>
    <x:t xml:space="preserve">86087</x:t>
  </x:si>
  <x:si>
    <x:t xml:space="preserve">98957</x:t>
  </x:si>
  <x:si>
    <x:t xml:space="preserve">11554</x:t>
  </x:si>
  <x:si>
    <x:t xml:space="preserve">BO-11554</x:t>
  </x:si>
  <x:si>
    <x:t xml:space="preserve">CANCHAYA CAYO JULIO LEONCIO</x:t>
  </x:si>
  <x:si>
    <x:t xml:space="preserve">44212852</x:t>
  </x:si>
  <x:si>
    <x:t xml:space="preserve">0070227</x:t>
  </x:si>
  <x:si>
    <x:t xml:space="preserve">964246765</x:t>
  </x:si>
  <x:si>
    <x:t xml:space="preserve">86868</x:t>
  </x:si>
  <x:si>
    <x:t xml:space="preserve">PAQUIMETRIA</x:t>
  </x:si>
  <x:si>
    <x:t xml:space="preserve">CAMPIMETRIA (CAMPO VISUAL)</x:t>
  </x:si>
  <x:si>
    <x:t xml:space="preserve">99113</x:t>
  </x:si>
  <x:si>
    <x:t xml:space="preserve">11578</x:t>
  </x:si>
  <x:si>
    <x:t xml:space="preserve">BO-11578</x:t>
  </x:si>
  <x:si>
    <x:t xml:space="preserve">SACA TICONA NELSON</x:t>
  </x:si>
  <x:si>
    <x:t xml:space="preserve">42449449</x:t>
  </x:si>
  <x:si>
    <x:t xml:space="preserve">0070273</x:t>
  </x:si>
  <x:si>
    <x:t xml:space="preserve">945692301</x:t>
  </x:si>
  <x:si>
    <x:t xml:space="preserve">86964</x:t>
  </x:si>
  <x:si>
    <x:t xml:space="preserve">99698</x:t>
  </x:si>
  <x:si>
    <x:t xml:space="preserve">11711</x:t>
  </x:si>
  <x:si>
    <x:t xml:space="preserve">BO-11711</x:t>
  </x:si>
  <x:si>
    <x:t xml:space="preserve">ESTELA GIRALDO CARMEN AIDA</x:t>
  </x:si>
  <x:si>
    <x:t xml:space="preserve">07725003</x:t>
  </x:si>
  <x:si>
    <x:t xml:space="preserve">0070517</x:t>
  </x:si>
  <x:si>
    <x:t xml:space="preserve">989533922</x:t>
  </x:si>
  <x:si>
    <x:t xml:space="preserve">87451</x:t>
  </x:si>
  <x:si>
    <x:t xml:space="preserve">99853</x:t>
  </x:si>
  <x:si>
    <x:t xml:space="preserve">4446</x:t>
  </x:si>
  <x:si>
    <x:t xml:space="preserve">BO-4446</x:t>
  </x:si>
  <x:si>
    <x:t xml:space="preserve">VILLA GALVEZ MARIA ESPERANZA</x:t>
  </x:si>
  <x:si>
    <x:t xml:space="preserve">08462757</x:t>
  </x:si>
  <x:si>
    <x:t xml:space="preserve">0070015</x:t>
  </x:si>
  <x:si>
    <x:t xml:space="preserve">955008730</x:t>
  </x:si>
  <x:si>
    <x:t xml:space="preserve">87550</x:t>
  </x:si>
  <x:si>
    <x:t xml:space="preserve">AALARCON</x:t>
  </x:si>
  <x:si>
    <x:t xml:space="preserve">100473</x:t>
  </x:si>
  <x:si>
    <x:t xml:space="preserve">11808</x:t>
  </x:si>
  <x:si>
    <x:t xml:space="preserve">BO-11808</x:t>
  </x:si>
  <x:si>
    <x:t xml:space="preserve">VALDEZ QUEVEDO ILDA</x:t>
  </x:si>
  <x:si>
    <x:t xml:space="preserve">09201670</x:t>
  </x:si>
  <x:si>
    <x:t xml:space="preserve">0070852</x:t>
  </x:si>
  <x:si>
    <x:t xml:space="preserve">980872756</x:t>
  </x:si>
  <x:si>
    <x:t xml:space="preserve">88036</x:t>
  </x:si>
  <x:si>
    <x:t xml:space="preserve">100709</x:t>
  </x:si>
  <x:si>
    <x:t xml:space="preserve">11868</x:t>
  </x:si>
  <x:si>
    <x:t xml:space="preserve">BO-11868</x:t>
  </x:si>
  <x:si>
    <x:t xml:space="preserve">VEGA FERNANDEZ FILADELFO</x:t>
  </x:si>
  <x:si>
    <x:t xml:space="preserve">27253641</x:t>
  </x:si>
  <x:si>
    <x:t xml:space="preserve">0070993</x:t>
  </x:si>
  <x:si>
    <x:t xml:space="preserve">920086889</x:t>
  </x:si>
  <x:si>
    <x:t xml:space="preserve">88214</x:t>
  </x:si>
  <x:si>
    <x:t xml:space="preserve">BIOMETRIA IOL MASTER 700</x:t>
  </x:si>
  <x:si>
    <x:t xml:space="preserve">MICROSCOPIA ESPECULAR</x:t>
  </x:si>
  <x:si>
    <x:t xml:space="preserve">97877</x:t>
  </x:si>
  <x:si>
    <x:t xml:space="preserve">5505</x:t>
  </x:si>
  <x:si>
    <x:t xml:space="preserve">BO-5505</x:t>
  </x:si>
  <x:si>
    <x:t xml:space="preserve">REATEGUI VALLES REITER</x:t>
  </x:si>
  <x:si>
    <x:t xml:space="preserve">01092510</x:t>
  </x:si>
  <x:si>
    <x:t xml:space="preserve">MANSILLA JUAN JOSÉ</x:t>
  </x:si>
  <x:si>
    <x:t xml:space="preserve">CONSULTORIO PARTICULAR</x:t>
  </x:si>
  <x:si>
    <x:t xml:space="preserve">0069757</x:t>
  </x:si>
  <x:si>
    <x:t xml:space="preserve">931872630</x:t>
  </x:si>
  <x:si>
    <x:t xml:space="preserve">85945</x:t>
  </x:si>
  <x:si>
    <x:t xml:space="preserve">USO DE EQUIPOS E INSUMO AVASTIN</x:t>
  </x:si>
  <x:si>
    <x:t xml:space="preserve">99815</x:t>
  </x:si>
  <x:si>
    <x:t xml:space="preserve">11735</x:t>
  </x:si>
  <x:si>
    <x:t xml:space="preserve">BO-11735</x:t>
  </x:si>
  <x:si>
    <x:t xml:space="preserve">VILLANERA ESPINOZA NARCIZO</x:t>
  </x:si>
  <x:si>
    <x:t xml:space="preserve">31663264</x:t>
  </x:si>
  <x:si>
    <x:t xml:space="preserve">0070551</x:t>
  </x:si>
  <x:si>
    <x:t xml:space="preserve">938800746</x:t>
  </x:si>
  <x:si>
    <x:t xml:space="preserve">87531</x:t>
  </x:si>
  <x:si>
    <x:t xml:space="preserve">97907</x:t>
  </x:si>
  <x:si>
    <x:t xml:space="preserve">5506</x:t>
  </x:si>
  <x:si>
    <x:t xml:space="preserve">BO-5506</x:t>
  </x:si>
  <x:si>
    <x:t xml:space="preserve">MOTTA MARTINEZ JUSTINA OTILIA</x:t>
  </x:si>
  <x:si>
    <x:t xml:space="preserve">08795262</x:t>
  </x:si>
  <x:si>
    <x:t xml:space="preserve">CELIA RODRIGUEZ</x:t>
  </x:si>
  <x:si>
    <x:t xml:space="preserve">0054360</x:t>
  </x:si>
  <x:si>
    <x:t xml:space="preserve">901653281</x:t>
  </x:si>
  <x:si>
    <x:t xml:space="preserve">85960</x:t>
  </x:si>
  <x:si>
    <x:t xml:space="preserve">97912</x:t>
  </x:si>
  <x:si>
    <x:t xml:space="preserve">11395</x:t>
  </x:si>
  <x:si>
    <x:t xml:space="preserve">BO-11395</x:t>
  </x:si>
  <x:si>
    <x:t xml:space="preserve">MEDINA SILVESTRE GERONIMO</x:t>
  </x:si>
  <x:si>
    <x:t xml:space="preserve">06279020</x:t>
  </x:si>
  <x:si>
    <x:t xml:space="preserve">GUTARRA PAUCAR JULIA</x:t>
  </x:si>
  <x:si>
    <x:t xml:space="preserve">0069754</x:t>
  </x:si>
  <x:si>
    <x:t xml:space="preserve">997332688</x:t>
  </x:si>
  <x:si>
    <x:t xml:space="preserve">85967</x:t>
  </x:si>
  <x:si>
    <x:t xml:space="preserve">97956</x:t>
  </x:si>
  <x:si>
    <x:t xml:space="preserve">11402</x:t>
  </x:si>
  <x:si>
    <x:t xml:space="preserve">BO-11402</x:t>
  </x:si>
  <x:si>
    <x:t xml:space="preserve">GARCIA DE SANCHEZ MATILDE</x:t>
  </x:si>
  <x:si>
    <x:t xml:space="preserve">27062832</x:t>
  </x:si>
  <x:si>
    <x:t xml:space="preserve">0069790</x:t>
  </x:si>
  <x:si>
    <x:t xml:space="preserve">917095913</x:t>
  </x:si>
  <x:si>
    <x:t xml:space="preserve">86014</x:t>
  </x:si>
  <x:si>
    <x:t xml:space="preserve">100971</x:t>
  </x:si>
  <x:si>
    <x:t xml:space="preserve">5746</x:t>
  </x:si>
  <x:si>
    <x:t xml:space="preserve">BO-5746</x:t>
  </x:si>
  <x:si>
    <x:t xml:space="preserve">HERRERA PEREZ ZENAIDA VICTORIA</x:t>
  </x:si>
  <x:si>
    <x:t xml:space="preserve">06116479</x:t>
  </x:si>
  <x:si>
    <x:t xml:space="preserve">0071102</x:t>
  </x:si>
  <x:si>
    <x:t xml:space="preserve">914510803</x:t>
  </x:si>
  <x:si>
    <x:t xml:space="preserve">88423</x:t>
  </x:si>
  <x:si>
    <x:t xml:space="preserve">97979</x:t>
  </x:si>
  <x:si>
    <x:t xml:space="preserve">11406</x:t>
  </x:si>
  <x:si>
    <x:t xml:space="preserve">BO-11406</x:t>
  </x:si>
  <x:si>
    <x:t xml:space="preserve">PEREZ SANCHEZ GIOVANNA MARIELA</x:t>
  </x:si>
  <x:si>
    <x:t xml:space="preserve">25792949</x:t>
  </x:si>
  <x:si>
    <x:t xml:space="preserve">BOBBIO PEREZ MILKO</x:t>
  </x:si>
  <x:si>
    <x:t xml:space="preserve">CONSULTORIO</x:t>
  </x:si>
  <x:si>
    <x:t xml:space="preserve">0069797</x:t>
  </x:si>
  <x:si>
    <x:t xml:space="preserve">946068386</x:t>
  </x:si>
  <x:si>
    <x:t xml:space="preserve">86027</x:t>
  </x:si>
  <x:si>
    <x:t xml:space="preserve">191-98432106068</x:t>
  </x:si>
  <x:si>
    <x:t xml:space="preserve">98041</x:t>
  </x:si>
  <x:si>
    <x:t xml:space="preserve">FA</x:t>
  </x:si>
  <x:si>
    <x:t xml:space="preserve">1025</x:t>
  </x:si>
  <x:si>
    <x:t xml:space="preserve">FA-1025</x:t>
  </x:si>
  <x:si>
    <x:t xml:space="preserve">NUÑEZ ALTIS ANTONIO SALOMON</x:t>
  </x:si>
  <x:si>
    <x:t xml:space="preserve">09498424</x:t>
  </x:si>
  <x:si>
    <x:t xml:space="preserve">VILLAR CURAHUA MARCELA ALEJANDRA</x:t>
  </x:si>
  <x:si>
    <x:t xml:space="preserve">GAMARRA SALUD</x:t>
  </x:si>
  <x:si>
    <x:t xml:space="preserve">0069549</x:t>
  </x:si>
  <x:si>
    <x:t xml:space="preserve">928076253</x:t>
  </x:si>
  <x:si>
    <x:t xml:space="preserve">GAMARRA HEALTHCARE CENTER S.A.C.</x:t>
  </x:si>
  <x:si>
    <x:t xml:space="preserve">86093</x:t>
  </x:si>
  <x:si>
    <x:t xml:space="preserve">191-9953047026</x:t>
  </x:si>
  <x:si>
    <x:t xml:space="preserve">98051</x:t>
  </x:si>
  <x:si>
    <x:t xml:space="preserve">524</x:t>
  </x:si>
  <x:si>
    <x:t xml:space="preserve">FA-524</x:t>
  </x:si>
  <x:si>
    <x:t xml:space="preserve">GARCIA RICO ELVA JOSEFINA</x:t>
  </x:si>
  <x:si>
    <x:t xml:space="preserve">16408791</x:t>
  </x:si>
  <x:si>
    <x:t xml:space="preserve">0067849</x:t>
  </x:si>
  <x:si>
    <x:t xml:space="preserve">902449032</x:t>
  </x:si>
  <x:si>
    <x:t xml:space="preserve">85864</x:t>
  </x:si>
  <x:si>
    <x:t xml:space="preserve">CIRUGIA DE DIA</x:t>
  </x:si>
  <x:si>
    <x:t xml:space="preserve">LN. CIRUGIA</x:t>
  </x:si>
  <x:si>
    <x:t xml:space="preserve">FACOEMULSIFICACION PRIMIUM</x:t>
  </x:si>
  <x:si>
    <x:t xml:space="preserve">98052</x:t>
  </x:si>
  <x:si>
    <x:t xml:space="preserve">525</x:t>
  </x:si>
  <x:si>
    <x:t xml:space="preserve">FA-525</x:t>
  </x:si>
  <x:si>
    <x:t xml:space="preserve">85863</x:t>
  </x:si>
  <x:si>
    <x:t xml:space="preserve">98452</x:t>
  </x:si>
  <x:si>
    <x:t xml:space="preserve">532</x:t>
  </x:si>
  <x:si>
    <x:t xml:space="preserve">FA-532</x:t>
  </x:si>
  <x:si>
    <x:t xml:space="preserve">BENITES RAMOS ANTENOR HERMAN</x:t>
  </x:si>
  <x:si>
    <x:t xml:space="preserve">07187063</x:t>
  </x:si>
  <x:si>
    <x:t xml:space="preserve">0069415</x:t>
  </x:si>
  <x:si>
    <x:t xml:space="preserve">943410784</x:t>
  </x:si>
  <x:si>
    <x:t xml:space="preserve">86345</x:t>
  </x:si>
  <x:si>
    <x:t xml:space="preserve">98463</x:t>
  </x:si>
  <x:si>
    <x:t xml:space="preserve">533</x:t>
  </x:si>
  <x:si>
    <x:t xml:space="preserve">FA-533</x:t>
  </x:si>
  <x:si>
    <x:t xml:space="preserve">MAMANI SONCCO JUAN GREGORIO</x:t>
  </x:si>
  <x:si>
    <x:t xml:space="preserve">07314057</x:t>
  </x:si>
  <x:si>
    <x:t xml:space="preserve">0069158</x:t>
  </x:si>
  <x:si>
    <x:t xml:space="preserve">987411587</x:t>
  </x:si>
  <x:si>
    <x:t xml:space="preserve">86342</x:t>
  </x:si>
  <x:si>
    <x:t xml:space="preserve">99135</x:t>
  </x:si>
  <x:si>
    <x:t xml:space="preserve">5638</x:t>
  </x:si>
  <x:si>
    <x:t xml:space="preserve">BO-5638</x:t>
  </x:si>
  <x:si>
    <x:t xml:space="preserve">DIAZ ESCOBAL AUGUSTO</x:t>
  </x:si>
  <x:si>
    <x:t xml:space="preserve">08560804</x:t>
  </x:si>
  <x:si>
    <x:t xml:space="preserve">0070232</x:t>
  </x:si>
  <x:si>
    <x:t xml:space="preserve">923538499</x:t>
  </x:si>
  <x:si>
    <x:t xml:space="preserve">86977</x:t>
  </x:si>
  <x:si>
    <x:t xml:space="preserve">99721</x:t>
  </x:si>
  <x:si>
    <x:t xml:space="preserve">1051</x:t>
  </x:si>
  <x:si>
    <x:t xml:space="preserve">FA-1051</x:t>
  </x:si>
  <x:si>
    <x:t xml:space="preserve">CHUMBILE OROSCO OSCAR RENE</x:t>
  </x:si>
  <x:si>
    <x:t xml:space="preserve">28293097</x:t>
  </x:si>
  <x:si>
    <x:t xml:space="preserve">0070350</x:t>
  </x:si>
  <x:si>
    <x:t xml:space="preserve">998226950</x:t>
  </x:si>
  <x:si>
    <x:t xml:space="preserve">87294</x:t>
  </x:si>
  <x:si>
    <x:t xml:space="preserve">103234</x:t>
  </x:si>
  <x:si>
    <x:t xml:space="preserve">572</x:t>
  </x:si>
  <x:si>
    <x:t xml:space="preserve">FA-572</x:t>
  </x:si>
  <x:si>
    <x:t xml:space="preserve">QUIÑONES ROBLES BERNABE GREGORIO</x:t>
  </x:si>
  <x:si>
    <x:t xml:space="preserve">08739495</x:t>
  </x:si>
  <x:si>
    <x:t xml:space="preserve">0036451</x:t>
  </x:si>
  <x:si>
    <x:t xml:space="preserve">993223874</x:t>
  </x:si>
  <x:si>
    <x:t xml:space="preserve">90075</x:t>
  </x:si>
  <x:si>
    <x:t xml:space="preserve">103252</x:t>
  </x:si>
  <x:si>
    <x:t xml:space="preserve">1081</x:t>
  </x:si>
  <x:si>
    <x:t xml:space="preserve">FA-1081</x:t>
  </x:si>
  <x:si>
    <x:t xml:space="preserve">90297</x:t>
  </x:si>
  <x:si>
    <x:t xml:space="preserve">98044</x:t>
  </x:si>
  <x:si>
    <x:t xml:space="preserve">11419</x:t>
  </x:si>
  <x:si>
    <x:t xml:space="preserve">BO-11419</x:t>
  </x:si>
  <x:si>
    <x:t xml:space="preserve">SACHA NAVARRO GERARDO JUNIOR</x:t>
  </x:si>
  <x:si>
    <x:t xml:space="preserve">47180662</x:t>
  </x:si>
  <x:si>
    <x:t xml:space="preserve">CACERES PINTO ALVARO DANIEL</x:t>
  </x:si>
  <x:si>
    <x:t xml:space="preserve">HOSPITAL INO</x:t>
  </x:si>
  <x:si>
    <x:t xml:space="preserve">0069825</x:t>
  </x:si>
  <x:si>
    <x:t xml:space="preserve">958365826</x:t>
  </x:si>
  <x:si>
    <x:t xml:space="preserve">86096</x:t>
  </x:si>
  <x:si>
    <x:t xml:space="preserve">FOTOCLINICA EN MOSAICO</x:t>
  </x:si>
  <x:si>
    <x:t xml:space="preserve">0011-0184-0200649518</x:t>
  </x:si>
  <x:si>
    <x:t xml:space="preserve">98947</x:t>
  </x:si>
  <x:si>
    <x:t xml:space="preserve">11552</x:t>
  </x:si>
  <x:si>
    <x:t xml:space="preserve">BO-11552</x:t>
  </x:si>
  <x:si>
    <x:t xml:space="preserve">QUIPUSCO BERNAL MIGUEL WENCESLAO</x:t>
  </x:si>
  <x:si>
    <x:t xml:space="preserve">06057576</x:t>
  </x:si>
  <x:si>
    <x:t xml:space="preserve">0054107</x:t>
  </x:si>
  <x:si>
    <x:t xml:space="preserve">998759676</x:t>
  </x:si>
  <x:si>
    <x:t xml:space="preserve">86860</x:t>
  </x:si>
  <x:si>
    <x:t xml:space="preserve">99684</x:t>
  </x:si>
  <x:si>
    <x:t xml:space="preserve">1047</x:t>
  </x:si>
  <x:si>
    <x:t xml:space="preserve">FA-1047</x:t>
  </x:si>
  <x:si>
    <x:t xml:space="preserve">RODRIGUEZ MARTELL ROLANDO CHRISTIAN</x:t>
  </x:si>
  <x:si>
    <x:t xml:space="preserve">72739214</x:t>
  </x:si>
  <x:si>
    <x:t xml:space="preserve">FONTENLA SERNA DAVID IVAN</x:t>
  </x:si>
  <x:si>
    <x:t xml:space="preserve">HOSPITAL NAVAL</x:t>
  </x:si>
  <x:si>
    <x:t xml:space="preserve">0070113</x:t>
  </x:si>
  <x:si>
    <x:t xml:space="preserve">9982215445</x:t>
  </x:si>
  <x:si>
    <x:t xml:space="preserve">FONTENLA VISION E.I.R.L.</x:t>
  </x:si>
  <x:si>
    <x:t xml:space="preserve">87353</x:t>
  </x:si>
  <x:si>
    <x:t xml:space="preserve">0011-0117-0200577155</x:t>
  </x:si>
  <x:si>
    <x:t xml:space="preserve">CIRUGIA REFRACTIVA TRANS PRK </x:t>
  </x:si>
  <x:si>
    <x:t xml:space="preserve">99685</x:t>
  </x:si>
  <x:si>
    <x:t xml:space="preserve">1048</x:t>
  </x:si>
  <x:si>
    <x:t xml:space="preserve">FA-1048</x:t>
  </x:si>
  <x:si>
    <x:t xml:space="preserve">87439</x:t>
  </x:si>
  <x:si>
    <x:t xml:space="preserve">99687</x:t>
  </x:si>
  <x:si>
    <x:t xml:space="preserve">1049</x:t>
  </x:si>
  <x:si>
    <x:t xml:space="preserve">FA-1049</x:t>
  </x:si>
  <x:si>
    <x:t xml:space="preserve">87440</x:t>
  </x:si>
  <x:si>
    <x:t xml:space="preserve">EXAMENES AUXILIARES</x:t>
  </x:si>
  <x:si>
    <x:t xml:space="preserve">103152</x:t>
  </x:si>
  <x:si>
    <x:t xml:space="preserve">1077</x:t>
  </x:si>
  <x:si>
    <x:t xml:space="preserve">FA-1077</x:t>
  </x:si>
  <x:si>
    <x:t xml:space="preserve">SUAREZ CAVERO ALESSANDRA LUCIA</x:t>
  </x:si>
  <x:si>
    <x:t xml:space="preserve">73321033</x:t>
  </x:si>
  <x:si>
    <x:t xml:space="preserve">0071890</x:t>
  </x:si>
  <x:si>
    <x:t xml:space="preserve">913049629</x:t>
  </x:si>
  <x:si>
    <x:t xml:space="preserve">90137</x:t>
  </x:si>
  <x:si>
    <x:t xml:space="preserve">CIRUGIA REFRACTIVA LASIK  </x:t>
  </x:si>
  <x:si>
    <x:t xml:space="preserve">103156</x:t>
  </x:si>
  <x:si>
    <x:t xml:space="preserve">1078</x:t>
  </x:si>
  <x:si>
    <x:t xml:space="preserve">FA-1078</x:t>
  </x:si>
  <x:si>
    <x:t xml:space="preserve">90201</x:t>
  </x:si>
  <x:si>
    <x:t xml:space="preserve">103158</x:t>
  </x:si>
  <x:si>
    <x:t xml:space="preserve">12167</x:t>
  </x:si>
  <x:si>
    <x:t xml:space="preserve">BO-12167</x:t>
  </x:si>
  <x:si>
    <x:t xml:space="preserve">90202</x:t>
  </x:si>
  <x:si>
    <x:t xml:space="preserve">2423</x:t>
  </x:si>
  <x:si>
    <x:t xml:space="preserve">NC</x:t>
  </x:si>
  <x:si>
    <x:t xml:space="preserve">CR</x:t>
  </x:si>
  <x:si>
    <x:t xml:space="preserve">NC-12167</x:t>
  </x:si>
  <x:si>
    <x:t xml:space="preserve">103159</x:t>
  </x:si>
  <x:si>
    <x:t xml:space="preserve">1079</x:t>
  </x:si>
  <x:si>
    <x:t xml:space="preserve">FA-1079</x:t>
  </x:si>
  <x:si>
    <x:t xml:space="preserve">90204</x:t>
  </x:si>
  <x:si>
    <x:t xml:space="preserve">102882</x:t>
  </x:si>
  <x:si>
    <x:t xml:space="preserve">5976</x:t>
  </x:si>
  <x:si>
    <x:t xml:space="preserve">BO-5976</x:t>
  </x:si>
  <x:si>
    <x:t xml:space="preserve">AJEN LAVADO DE GARBAY ROSINA VICENTA</x:t>
  </x:si>
  <x:si>
    <x:t xml:space="preserve">06060326</x:t>
  </x:si>
  <x:si>
    <x:t xml:space="preserve">GUTARRA PAUCAR JULIA KARINA</x:t>
  </x:si>
  <x:si>
    <x:t xml:space="preserve">CLÍNICA SAN CAMILO</x:t>
  </x:si>
  <x:si>
    <x:t xml:space="preserve">0071980</x:t>
  </x:si>
  <x:si>
    <x:t xml:space="preserve">945334172</x:t>
  </x:si>
  <x:si>
    <x:t xml:space="preserve">89959</x:t>
  </x:si>
  <x:si>
    <x:t xml:space="preserve">0011-0353-0200308107</x:t>
  </x:si>
  <x:si>
    <x:t xml:space="preserve">103068</x:t>
  </x:si>
  <x:si>
    <x:t xml:space="preserve">4324</x:t>
  </x:si>
  <x:si>
    <x:t xml:space="preserve">BO-4324</x:t>
  </x:si>
  <x:si>
    <x:t xml:space="preserve">PANTOJA . JULIO SANTOS</x:t>
  </x:si>
  <x:si>
    <x:t xml:space="preserve">08655133</x:t>
  </x:si>
  <x:si>
    <x:t xml:space="preserve">0061063</x:t>
  </x:si>
  <x:si>
    <x:t xml:space="preserve">900215409</x:t>
  </x:si>
  <x:si>
    <x:t xml:space="preserve">90129</x:t>
  </x:si>
  <x:si>
    <x:t xml:space="preserve">103488</x:t>
  </x:si>
  <x:si>
    <x:t xml:space="preserve">12223</x:t>
  </x:si>
  <x:si>
    <x:t xml:space="preserve">BO-12223</x:t>
  </x:si>
  <x:si>
    <x:t xml:space="preserve">90491</x:t>
  </x:si>
  <x:si>
    <x:t xml:space="preserve">98035</x:t>
  </x:si>
  <x:si>
    <x:t xml:space="preserve">4221</x:t>
  </x:si>
  <x:si>
    <x:t xml:space="preserve">BO-4221</x:t>
  </x:si>
  <x:si>
    <x:t xml:space="preserve">PEÑA GARCIA BENIGNO OSCAR</x:t>
  </x:si>
  <x:si>
    <x:t xml:space="preserve">48945300</x:t>
  </x:si>
  <x:si>
    <x:t xml:space="preserve">RUIZ ROJAS PAUBLO ENRIQUE</x:t>
  </x:si>
  <x:si>
    <x:t xml:space="preserve">CONSULTORIO CUBANO COMAS</x:t>
  </x:si>
  <x:si>
    <x:t xml:space="preserve">0069818</x:t>
  </x:si>
  <x:si>
    <x:t xml:space="preserve">922009271</x:t>
  </x:si>
  <x:si>
    <x:t xml:space="preserve">86086</x:t>
  </x:si>
  <x:si>
    <x:t xml:space="preserve">191-91415089071</x:t>
  </x:si>
  <x:si>
    <x:t xml:space="preserve">98152</x:t>
  </x:si>
  <x:si>
    <x:t xml:space="preserve">4244</x:t>
  </x:si>
  <x:si>
    <x:t xml:space="preserve">BO-4244</x:t>
  </x:si>
  <x:si>
    <x:t xml:space="preserve">OLIVO CASTRO JULIA GLADYS</x:t>
  </x:si>
  <x:si>
    <x:t xml:space="preserve">15292242</x:t>
  </x:si>
  <x:si>
    <x:t xml:space="preserve">0069884</x:t>
  </x:si>
  <x:si>
    <x:t xml:space="preserve">952190646</x:t>
  </x:si>
  <x:si>
    <x:t xml:space="preserve">86190</x:t>
  </x:si>
  <x:si>
    <x:t xml:space="preserve">99177</x:t>
  </x:si>
  <x:si>
    <x:t xml:space="preserve">3911</x:t>
  </x:si>
  <x:si>
    <x:t xml:space="preserve">BO-3911</x:t>
  </x:si>
  <x:si>
    <x:t xml:space="preserve">ALANIA SUAREZ DE GIL DIONICIA</x:t>
  </x:si>
  <x:si>
    <x:t xml:space="preserve">07738357</x:t>
  </x:si>
  <x:si>
    <x:t xml:space="preserve">0070290</x:t>
  </x:si>
  <x:si>
    <x:t xml:space="preserve">991819463</x:t>
  </x:si>
  <x:si>
    <x:t xml:space="preserve">87014</x:t>
  </x:si>
  <x:si>
    <x:t xml:space="preserve">100416</x:t>
  </x:si>
  <x:si>
    <x:t xml:space="preserve">4505</x:t>
  </x:si>
  <x:si>
    <x:t xml:space="preserve">BO-4505</x:t>
  </x:si>
  <x:si>
    <x:t xml:space="preserve">VIRU DIAZ ROSA MARIA</x:t>
  </x:si>
  <x:si>
    <x:t xml:space="preserve">06163902</x:t>
  </x:si>
  <x:si>
    <x:t xml:space="preserve">0070824</x:t>
  </x:si>
  <x:si>
    <x:t xml:space="preserve">923775190</x:t>
  </x:si>
  <x:si>
    <x:t xml:space="preserve">87993</x:t>
  </x:si>
  <x:si>
    <x:t xml:space="preserve">103612</x:t>
  </x:si>
  <x:si>
    <x:t xml:space="preserve">4381</x:t>
  </x:si>
  <x:si>
    <x:t xml:space="preserve">BO-4381</x:t>
  </x:si>
  <x:si>
    <x:t xml:space="preserve">DEPAZ ASIS JOSE ENRIQUE</x:t>
  </x:si>
  <x:si>
    <x:t xml:space="preserve">07335374</x:t>
  </x:si>
  <x:si>
    <x:t xml:space="preserve">0072365</x:t>
  </x:si>
  <x:si>
    <x:t xml:space="preserve">933406869</x:t>
  </x:si>
  <x:si>
    <x:t xml:space="preserve">90582</x:t>
  </x:si>
  <x:si>
    <x:t xml:space="preserve">2353</x:t>
  </x:si>
  <x:si>
    <x:t xml:space="preserve">5527</x:t>
  </x:si>
  <x:si>
    <x:t xml:space="preserve">NC-5527</x:t>
  </x:si>
  <x:si>
    <x:t xml:space="preserve">BRAVO QUISPE VDA DE ANDIA ANGELICA RITA</x:t>
  </x:si>
  <x:si>
    <x:t xml:space="preserve">07412423</x:t>
  </x:si>
  <x:si>
    <x:t xml:space="preserve">FERNANDEZ GUTIERREZ OLGA PATRICIA</x:t>
  </x:si>
  <x:si>
    <x:t xml:space="preserve">0069850</x:t>
  </x:si>
  <x:si>
    <x:t xml:space="preserve">979750580</x:t>
  </x:si>
  <x:si>
    <x:t xml:space="preserve">86154</x:t>
  </x:si>
  <x:si>
    <x:t xml:space="preserve">USO DE EQUIPOS E INSUMO IRIDOTOMIA</x:t>
  </x:si>
  <x:si>
    <x:t xml:space="preserve">107-3174605363</x:t>
  </x:si>
  <x:si>
    <x:t xml:space="preserve">98110</x:t>
  </x:si>
  <x:si>
    <x:t xml:space="preserve">527</x:t>
  </x:si>
  <x:si>
    <x:t xml:space="preserve">FA-527</x:t>
  </x:si>
  <x:si>
    <x:t xml:space="preserve">VEFER OFTALMOLOGOS S.A.C.</x:t>
  </x:si>
  <x:si>
    <x:t xml:space="preserve">86155</x:t>
  </x:si>
  <x:si>
    <x:t xml:space="preserve">BO-5527</x:t>
  </x:si>
  <x:si>
    <x:t xml:space="preserve">99362</x:t>
  </x:si>
  <x:si>
    <x:t xml:space="preserve">1041</x:t>
  </x:si>
  <x:si>
    <x:t xml:space="preserve">FA-1041</x:t>
  </x:si>
  <x:si>
    <x:t xml:space="preserve">VENEGAS PUEMAPE NELLY EUFEMIA</x:t>
  </x:si>
  <x:si>
    <x:t xml:space="preserve">08581322</x:t>
  </x:si>
  <x:si>
    <x:t xml:space="preserve">0070348</x:t>
  </x:si>
  <x:si>
    <x:t xml:space="preserve">941382516</x:t>
  </x:si>
  <x:si>
    <x:t xml:space="preserve">87156</x:t>
  </x:si>
  <x:si>
    <x:t xml:space="preserve">98106</x:t>
  </x:si>
  <x:si>
    <x:t xml:space="preserve">5526</x:t>
  </x:si>
  <x:si>
    <x:t xml:space="preserve">BO-5526</x:t>
  </x:si>
  <x:si>
    <x:t xml:space="preserve">VALERA BAZAN LAURA PIERI</x:t>
  </x:si>
  <x:si>
    <x:t xml:space="preserve">08013693</x:t>
  </x:si>
  <x:si>
    <x:t xml:space="preserve">CASTRO TAMANAJA VANIA</x:t>
  </x:si>
  <x:si>
    <x:t xml:space="preserve">0056253</x:t>
  </x:si>
  <x:si>
    <x:t xml:space="preserve">4715484</x:t>
  </x:si>
  <x:si>
    <x:t xml:space="preserve">86151</x:t>
  </x:si>
  <x:si>
    <x:t xml:space="preserve">98108</x:t>
  </x:si>
  <x:si>
    <x:t xml:space="preserve">526</x:t>
  </x:si>
  <x:si>
    <x:t xml:space="preserve">FA-526</x:t>
  </x:si>
  <x:si>
    <x:t xml:space="preserve">ABAD OVALLE ARLINE MERCEDES</x:t>
  </x:si>
  <x:si>
    <x:t xml:space="preserve">25532349</x:t>
  </x:si>
  <x:si>
    <x:t xml:space="preserve">0069694</x:t>
  </x:si>
  <x:si>
    <x:t xml:space="preserve">999999452</x:t>
  </x:si>
  <x:si>
    <x:t xml:space="preserve">86152</x:t>
  </x:si>
  <x:si>
    <x:t xml:space="preserve">99250</x:t>
  </x:si>
  <x:si>
    <x:t xml:space="preserve">3916</x:t>
  </x:si>
  <x:si>
    <x:t xml:space="preserve">BO-3916</x:t>
  </x:si>
  <x:si>
    <x:t xml:space="preserve">ZAVALA MARTINEZ JORGE ALFONSO</x:t>
  </x:si>
  <x:si>
    <x:t xml:space="preserve">06134501</x:t>
  </x:si>
  <x:si>
    <x:t xml:space="preserve">0070311</x:t>
  </x:si>
  <x:si>
    <x:t xml:space="preserve">944326227</x:t>
  </x:si>
  <x:si>
    <x:t xml:space="preserve">87070</x:t>
  </x:si>
  <x:si>
    <x:t xml:space="preserve">99568</x:t>
  </x:si>
  <x:si>
    <x:t xml:space="preserve">153</x:t>
  </x:si>
  <x:si>
    <x:t xml:space="preserve">BO-153</x:t>
  </x:si>
  <x:si>
    <x:t xml:space="preserve">CARDEÑA LEON MARIA ALONDRA</x:t>
  </x:si>
  <x:si>
    <x:t xml:space="preserve">77490960</x:t>
  </x:si>
  <x:si>
    <x:t xml:space="preserve">0068091</x:t>
  </x:si>
  <x:si>
    <x:t xml:space="preserve">943956541</x:t>
  </x:si>
  <x:si>
    <x:t xml:space="preserve">87332</x:t>
  </x:si>
  <x:si>
    <x:t xml:space="preserve">CIPROFLOXACINO 500 MG TAB</x:t>
  </x:si>
  <x:si>
    <x:t xml:space="preserve">L.LINCE</x:t>
  </x:si>
  <x:si>
    <x:t xml:space="preserve">LQUISPE</x:t>
  </x:si>
  <x:si>
    <x:t xml:space="preserve">LN. FARMACIA</x:t>
  </x:si>
  <x:si>
    <x:t xml:space="preserve">LINCE</x:t>
  </x:si>
  <x:si>
    <x:t xml:space="preserve">PREDNISONA 20MG TABLETAS</x:t>
  </x:si>
  <x:si>
    <x:t xml:space="preserve">PARACETAMOL 500MG TABLETA</x:t>
  </x:si>
  <x:si>
    <x:t xml:space="preserve">100169</x:t>
  </x:si>
  <x:si>
    <x:t xml:space="preserve">4038</x:t>
  </x:si>
  <x:si>
    <x:t xml:space="preserve">BO-4038</x:t>
  </x:si>
  <x:si>
    <x:t xml:space="preserve">PARISACA MAMANI FRANCISCO</x:t>
  </x:si>
  <x:si>
    <x:t xml:space="preserve">09551435</x:t>
  </x:si>
  <x:si>
    <x:t xml:space="preserve">0070705</x:t>
  </x:si>
  <x:si>
    <x:t xml:space="preserve">+51980455062</x:t>
  </x:si>
  <x:si>
    <x:t xml:space="preserve">87779</x:t>
  </x:si>
  <x:si>
    <x:t xml:space="preserve">100394</x:t>
  </x:si>
  <x:si>
    <x:t xml:space="preserve">544</x:t>
  </x:si>
  <x:si>
    <x:t xml:space="preserve">FA-544</x:t>
  </x:si>
  <x:si>
    <x:t xml:space="preserve">CASTILLO ESPINOZA JUSTINA</x:t>
  </x:si>
  <x:si>
    <x:t xml:space="preserve">06653318</x:t>
  </x:si>
  <x:si>
    <x:t xml:space="preserve">0070787</x:t>
  </x:si>
  <x:si>
    <x:t xml:space="preserve">933738642</x:t>
  </x:si>
  <x:si>
    <x:t xml:space="preserve">GRACIA REY VALENTINA</x:t>
  </x:si>
  <x:si>
    <x:t xml:space="preserve">87959</x:t>
  </x:si>
  <x:si>
    <x:t xml:space="preserve">LAVADO DE CÁMARA ANTERIOR </x:t>
  </x:si>
  <x:si>
    <x:t xml:space="preserve">100773</x:t>
  </x:si>
  <x:si>
    <x:t xml:space="preserve">4549</x:t>
  </x:si>
  <x:si>
    <x:t xml:space="preserve">BO-4549</x:t>
  </x:si>
  <x:si>
    <x:t xml:space="preserve">VARGAS OLIVARES ALBERTINA</x:t>
  </x:si>
  <x:si>
    <x:t xml:space="preserve">31943028</x:t>
  </x:si>
  <x:si>
    <x:t xml:space="preserve">0071036</x:t>
  </x:si>
  <x:si>
    <x:t xml:space="preserve">916410304</x:t>
  </x:si>
  <x:si>
    <x:t xml:space="preserve">88275</x:t>
  </x:si>
  <x:si>
    <x:t xml:space="preserve">100853</x:t>
  </x:si>
  <x:si>
    <x:t xml:space="preserve">4562</x:t>
  </x:si>
  <x:si>
    <x:t xml:space="preserve">BO-4562</x:t>
  </x:si>
  <x:si>
    <x:t xml:space="preserve">ORELLANO ARBOLEDA ELVIS PERPETUA</x:t>
  </x:si>
  <x:si>
    <x:t xml:space="preserve">25775438</x:t>
  </x:si>
  <x:si>
    <x:t xml:space="preserve">0071058</x:t>
  </x:si>
  <x:si>
    <x:t xml:space="preserve">989642973</x:t>
  </x:si>
  <x:si>
    <x:t xml:space="preserve">88331</x:t>
  </x:si>
  <x:si>
    <x:t xml:space="preserve">100917</x:t>
  </x:si>
  <x:si>
    <x:t xml:space="preserve">4107</x:t>
  </x:si>
  <x:si>
    <x:t xml:space="preserve">BO-4107</x:t>
  </x:si>
  <x:si>
    <x:t xml:space="preserve">MAS MELENDEZ MILTON</x:t>
  </x:si>
  <x:si>
    <x:t xml:space="preserve">43271432</x:t>
  </x:si>
  <x:si>
    <x:t xml:space="preserve">0061826</x:t>
  </x:si>
  <x:si>
    <x:t xml:space="preserve">993546455</x:t>
  </x:si>
  <x:si>
    <x:t xml:space="preserve">88381</x:t>
  </x:si>
  <x:si>
    <x:t xml:space="preserve">100896</x:t>
  </x:si>
  <x:si>
    <x:t xml:space="preserve">4567</x:t>
  </x:si>
  <x:si>
    <x:t xml:space="preserve">BO-4567</x:t>
  </x:si>
  <x:si>
    <x:t xml:space="preserve">REYES HUAMANI SILVANA KEYLA</x:t>
  </x:si>
  <x:si>
    <x:t xml:space="preserve">71678236</x:t>
  </x:si>
  <x:si>
    <x:t xml:space="preserve">0024720</x:t>
  </x:si>
  <x:si>
    <x:t xml:space="preserve">994428828</x:t>
  </x:si>
  <x:si>
    <x:t xml:space="preserve">88359</x:t>
  </x:si>
  <x:si>
    <x:t xml:space="preserve">101011</x:t>
  </x:si>
  <x:si>
    <x:t xml:space="preserve">4118</x:t>
  </x:si>
  <x:si>
    <x:t xml:space="preserve">BO-4118</x:t>
  </x:si>
  <x:si>
    <x:t xml:space="preserve">BELLO PEJERREY OLGA MERY</x:t>
  </x:si>
  <x:si>
    <x:t xml:space="preserve">25822194</x:t>
  </x:si>
  <x:si>
    <x:t xml:space="preserve">0071116</x:t>
  </x:si>
  <x:si>
    <x:t xml:space="preserve">929409172</x:t>
  </x:si>
  <x:si>
    <x:t xml:space="preserve">88468</x:t>
  </x:si>
  <x:si>
    <x:t xml:space="preserve">101135</x:t>
  </x:si>
  <x:si>
    <x:t xml:space="preserve">4136</x:t>
  </x:si>
  <x:si>
    <x:t xml:space="preserve">BO-4136</x:t>
  </x:si>
  <x:si>
    <x:t xml:space="preserve">CASANOVA NAMOG DE LARREA ANDREA NINFA</x:t>
  </x:si>
  <x:si>
    <x:t xml:space="preserve">08077846</x:t>
  </x:si>
  <x:si>
    <x:t xml:space="preserve">0071146</x:t>
  </x:si>
  <x:si>
    <x:t xml:space="preserve">4820159</x:t>
  </x:si>
  <x:si>
    <x:t xml:space="preserve">88569</x:t>
  </x:si>
  <x:si>
    <x:t xml:space="preserve">103230</x:t>
  </x:si>
  <x:si>
    <x:t xml:space="preserve">1080</x:t>
  </x:si>
  <x:si>
    <x:t xml:space="preserve">FA-1080</x:t>
  </x:si>
  <x:si>
    <x:t xml:space="preserve">BAZALAR LAOS HECTOR RAUL</x:t>
  </x:si>
  <x:si>
    <x:t xml:space="preserve">15584530</x:t>
  </x:si>
  <x:si>
    <x:t xml:space="preserve">0072103</x:t>
  </x:si>
  <x:si>
    <x:t xml:space="preserve">999999999</x:t>
  </x:si>
  <x:si>
    <x:t xml:space="preserve">90278</x:t>
  </x:si>
  <x:si>
    <x:t xml:space="preserve">103737</x:t>
  </x:si>
  <x:si>
    <x:t xml:space="preserve">6068</x:t>
  </x:si>
  <x:si>
    <x:t xml:space="preserve">BO-6068</x:t>
  </x:si>
  <x:si>
    <x:t xml:space="preserve">GOMEZ MORGADO JEAN CARLO</x:t>
  </x:si>
  <x:si>
    <x:t xml:space="preserve">18617645</x:t>
  </x:si>
  <x:si>
    <x:t xml:space="preserve">0072436</x:t>
  </x:si>
  <x:si>
    <x:t xml:space="preserve">935418797</x:t>
  </x:si>
  <x:si>
    <x:t xml:space="preserve">90663</x:t>
  </x:si>
  <x:si>
    <x:t xml:space="preserve">HEMOGRAMA COMPLETO</x:t>
  </x:si>
  <x:si>
    <x:t xml:space="preserve">LN. LABORATORIO</x:t>
  </x:si>
  <x:si>
    <x:t xml:space="preserve">ORINA COMPLETO</x:t>
  </x:si>
  <x:si>
    <x:t xml:space="preserve">GLUCOSA</x:t>
  </x:si>
  <x:si>
    <x:t xml:space="preserve">TIEMPO DE COAGULACION Y SANGRIA</x:t>
  </x:si>
  <x:si>
    <x:t xml:space="preserve">98151</x:t>
  </x:si>
  <x:si>
    <x:t xml:space="preserve">11423</x:t>
  </x:si>
  <x:si>
    <x:t xml:space="preserve">BO-11423</x:t>
  </x:si>
  <x:si>
    <x:t xml:space="preserve">PACACHA FLORES BLANCA VALESKA</x:t>
  </x:si>
  <x:si>
    <x:t xml:space="preserve">91733805</x:t>
  </x:si>
  <x:si>
    <x:t xml:space="preserve">CRISPIN MORALES NANCY JENNY</x:t>
  </x:si>
  <x:si>
    <x:t xml:space="preserve">HOSPITAL ALMENARA</x:t>
  </x:si>
  <x:si>
    <x:t xml:space="preserve">0069883</x:t>
  </x:si>
  <x:si>
    <x:t xml:space="preserve">970593962</x:t>
  </x:si>
  <x:si>
    <x:t xml:space="preserve">86188</x:t>
  </x:si>
  <x:si>
    <x:t xml:space="preserve">193-90416675072</x:t>
  </x:si>
  <x:si>
    <x:t xml:space="preserve">103143</x:t>
  </x:si>
  <x:si>
    <x:t xml:space="preserve">6003</x:t>
  </x:si>
  <x:si>
    <x:t xml:space="preserve">BO-6003</x:t>
  </x:si>
  <x:si>
    <x:t xml:space="preserve">RAMIREZ VENTOCILLA NAHUD ROGATO</x:t>
  </x:si>
  <x:si>
    <x:t xml:space="preserve">08744883</x:t>
  </x:si>
  <x:si>
    <x:t xml:space="preserve">0071970</x:t>
  </x:si>
  <x:si>
    <x:t xml:space="preserve">90191</x:t>
  </x:si>
  <x:si>
    <x:t xml:space="preserve">PQ BIOMETRIA MICROSCOPIA</x:t>
  </x:si>
  <x:si>
    <x:t xml:space="preserve">103145</x:t>
  </x:si>
  <x:si>
    <x:t xml:space="preserve">6004</x:t>
  </x:si>
  <x:si>
    <x:t xml:space="preserve">BO-6004</x:t>
  </x:si>
  <x:si>
    <x:t xml:space="preserve">90141</x:t>
  </x:si>
  <x:si>
    <x:t xml:space="preserve">98176</x:t>
  </x:si>
  <x:si>
    <x:t xml:space="preserve">11428</x:t>
  </x:si>
  <x:si>
    <x:t xml:space="preserve">BO-11428</x:t>
  </x:si>
  <x:si>
    <x:t xml:space="preserve">REYES SANCHEZ OLGA EULALIA</x:t>
  </x:si>
  <x:si>
    <x:t xml:space="preserve">09330262</x:t>
  </x:si>
  <x:si>
    <x:t xml:space="preserve">LLERENA MORALES OSCAR ADOLFO</x:t>
  </x:si>
  <x:si>
    <x:t xml:space="preserve">SANNA SAN MIGUEL</x:t>
  </x:si>
  <x:si>
    <x:t xml:space="preserve">0069894</x:t>
  </x:si>
  <x:si>
    <x:t xml:space="preserve">947513770</x:t>
  </x:si>
  <x:si>
    <x:t xml:space="preserve">86218</x:t>
  </x:si>
  <x:si>
    <x:t xml:space="preserve">098-7304409</x:t>
  </x:si>
  <x:si>
    <x:t xml:space="preserve">98684</x:t>
  </x:si>
  <x:si>
    <x:t xml:space="preserve">11497</x:t>
  </x:si>
  <x:si>
    <x:t xml:space="preserve">BO-11497</x:t>
  </x:si>
  <x:si>
    <x:t xml:space="preserve">GUERRA VALLE LUZ MARGARITA</x:t>
  </x:si>
  <x:si>
    <x:t xml:space="preserve">06106322</x:t>
  </x:si>
  <x:si>
    <x:t xml:space="preserve">SAPAICO VICUÑA AUGUSTO RODRIGO</x:t>
  </x:si>
  <x:si>
    <x:t xml:space="preserve">0070101</x:t>
  </x:si>
  <x:si>
    <x:t xml:space="preserve">940296008</x:t>
  </x:si>
  <x:si>
    <x:t xml:space="preserve">86622</x:t>
  </x:si>
  <x:si>
    <x:t xml:space="preserve">0011-0189-0200496417</x:t>
  </x:si>
  <x:si>
    <x:t xml:space="preserve">98853</x:t>
  </x:si>
  <x:si>
    <x:t xml:space="preserve">5605</x:t>
  </x:si>
  <x:si>
    <x:t xml:space="preserve">BO-5605</x:t>
  </x:si>
  <x:si>
    <x:t xml:space="preserve">TORRELIO GUERRERO LIDIA ZOTICA</x:t>
  </x:si>
  <x:si>
    <x:t xml:space="preserve">06689006</x:t>
  </x:si>
  <x:si>
    <x:t xml:space="preserve">0070124</x:t>
  </x:si>
  <x:si>
    <x:t xml:space="preserve">999488621</x:t>
  </x:si>
  <x:si>
    <x:t xml:space="preserve">86768</x:t>
  </x:si>
  <x:si>
    <x:t xml:space="preserve">100431</x:t>
  </x:si>
  <x:si>
    <x:t xml:space="preserve">5708</x:t>
  </x:si>
  <x:si>
    <x:t xml:space="preserve">BO-5708</x:t>
  </x:si>
  <x:si>
    <x:t xml:space="preserve">ROJAS MENENDEZ CARMEN</x:t>
  </x:si>
  <x:si>
    <x:t xml:space="preserve">06632191</x:t>
  </x:si>
  <x:si>
    <x:t xml:space="preserve">0070829</x:t>
  </x:si>
  <x:si>
    <x:t xml:space="preserve">997239749</x:t>
  </x:si>
  <x:si>
    <x:t xml:space="preserve">88003</x:t>
  </x:si>
  <x:si>
    <x:t xml:space="preserve">100765</x:t>
  </x:si>
  <x:si>
    <x:t xml:space="preserve">11879</x:t>
  </x:si>
  <x:si>
    <x:t xml:space="preserve">BO-11879</x:t>
  </x:si>
  <x:si>
    <x:t xml:space="preserve">ARBAÑIL HUAMAN IRENE AGUSTINA</x:t>
  </x:si>
  <x:si>
    <x:t xml:space="preserve">06086351</x:t>
  </x:si>
  <x:si>
    <x:t xml:space="preserve">0058674</x:t>
  </x:si>
  <x:si>
    <x:t xml:space="preserve">975009671</x:t>
  </x:si>
  <x:si>
    <x:t xml:space="preserve">88261</x:t>
  </x:si>
  <x:si>
    <x:t xml:space="preserve">103590</x:t>
  </x:si>
  <x:si>
    <x:t xml:space="preserve">12235</x:t>
  </x:si>
  <x:si>
    <x:t xml:space="preserve">BO-12235</x:t>
  </x:si>
  <x:si>
    <x:t xml:space="preserve">PACHECO SAAVEDRA CARMEN</x:t>
  </x:si>
  <x:si>
    <x:t xml:space="preserve">08464237</x:t>
  </x:si>
  <x:si>
    <x:t xml:space="preserve">0072356</x:t>
  </x:si>
  <x:si>
    <x:t xml:space="preserve">941510805</x:t>
  </x:si>
  <x:si>
    <x:t xml:space="preserve">90567</x:t>
  </x:si>
  <x:si>
    <x:t xml:space="preserve">100399</x:t>
  </x:si>
  <x:si>
    <x:t xml:space="preserve">11802</x:t>
  </x:si>
  <x:si>
    <x:t xml:space="preserve">BO-11802</x:t>
  </x:si>
  <x:si>
    <x:t xml:space="preserve">DE LA CRUZ NAVARRO TANIA RUTH</x:t>
  </x:si>
  <x:si>
    <x:t xml:space="preserve">08062831</x:t>
  </x:si>
  <x:si>
    <x:t xml:space="preserve">LLERENA LOYOLA ELSA YESENIA</x:t>
  </x:si>
  <x:si>
    <x:t xml:space="preserve">CLINICA MAISON DE SANTE</x:t>
  </x:si>
  <x:si>
    <x:t xml:space="preserve">0070706</x:t>
  </x:si>
  <x:si>
    <x:t xml:space="preserve">980445719</x:t>
  </x:si>
  <x:si>
    <x:t xml:space="preserve">87976</x:t>
  </x:si>
  <x:si>
    <x:t xml:space="preserve">0011-0197-0200171031</x:t>
  </x:si>
  <x:si>
    <x:t xml:space="preserve">98167</x:t>
  </x:si>
  <x:si>
    <x:t xml:space="preserve">4250</x:t>
  </x:si>
  <x:si>
    <x:t xml:space="preserve">BO-4250</x:t>
  </x:si>
  <x:si>
    <x:t xml:space="preserve">RONCAL ROMERO FANNYNG EDITH</x:t>
  </x:si>
  <x:si>
    <x:t xml:space="preserve">44905743</x:t>
  </x:si>
  <x:si>
    <x:t xml:space="preserve">ROJAS AQUINO EVELING KARINA</x:t>
  </x:si>
  <x:si>
    <x:t xml:space="preserve">POLICLÍNICO ESPÍRITU SANTO</x:t>
  </x:si>
  <x:si>
    <x:t xml:space="preserve">0069844</x:t>
  </x:si>
  <x:si>
    <x:t xml:space="preserve">984441413</x:t>
  </x:si>
  <x:si>
    <x:t xml:space="preserve">86210</x:t>
  </x:si>
  <x:si>
    <x:t xml:space="preserve">009-3226956615</x:t>
  </x:si>
  <x:si>
    <x:t xml:space="preserve">98511</x:t>
  </x:si>
  <x:si>
    <x:t xml:space="preserve">3829</x:t>
  </x:si>
  <x:si>
    <x:t xml:space="preserve">BO-3829</x:t>
  </x:si>
  <x:si>
    <x:t xml:space="preserve">86473</x:t>
  </x:si>
  <x:si>
    <x:t xml:space="preserve">99428</x:t>
  </x:si>
  <x:si>
    <x:t xml:space="preserve">11650</x:t>
  </x:si>
  <x:si>
    <x:t xml:space="preserve">BO-11650</x:t>
  </x:si>
  <x:si>
    <x:t xml:space="preserve">MEZA RUBINA JILMER</x:t>
  </x:si>
  <x:si>
    <x:t xml:space="preserve">22865734</x:t>
  </x:si>
  <x:si>
    <x:t xml:space="preserve">0070376</x:t>
  </x:si>
  <x:si>
    <x:t xml:space="preserve">913757585</x:t>
  </x:si>
  <x:si>
    <x:t xml:space="preserve">87199</x:t>
  </x:si>
  <x:si>
    <x:t xml:space="preserve">99695</x:t>
  </x:si>
  <x:si>
    <x:t xml:space="preserve">4429</x:t>
  </x:si>
  <x:si>
    <x:t xml:space="preserve">BO-4429</x:t>
  </x:si>
  <x:si>
    <x:t xml:space="preserve">MORE MONASTERIO NILDA MARIA</x:t>
  </x:si>
  <x:si>
    <x:t xml:space="preserve">10291906</x:t>
  </x:si>
  <x:si>
    <x:t xml:space="preserve">0070515</x:t>
  </x:si>
  <x:si>
    <x:t xml:space="preserve">973822706</x:t>
  </x:si>
  <x:si>
    <x:t xml:space="preserve">87448</x:t>
  </x:si>
  <x:si>
    <x:t xml:space="preserve">100432</x:t>
  </x:si>
  <x:si>
    <x:t xml:space="preserve">4063</x:t>
  </x:si>
  <x:si>
    <x:t xml:space="preserve">BO-4063</x:t>
  </x:si>
  <x:si>
    <x:t xml:space="preserve">CUBAS FERNANDEZ EFIGENIO</x:t>
  </x:si>
  <x:si>
    <x:t xml:space="preserve">27256822</x:t>
  </x:si>
  <x:si>
    <x:t xml:space="preserve">0070830</x:t>
  </x:si>
  <x:si>
    <x:t xml:space="preserve">985974497</x:t>
  </x:si>
  <x:si>
    <x:t xml:space="preserve">88004</x:t>
  </x:si>
  <x:si>
    <x:t xml:space="preserve">100477</x:t>
  </x:si>
  <x:si>
    <x:t xml:space="preserve">4073</x:t>
  </x:si>
  <x:si>
    <x:t xml:space="preserve">BO-4073</x:t>
  </x:si>
  <x:si>
    <x:t xml:space="preserve">RAMIREZ BRONCANO LUCIO ROMULO</x:t>
  </x:si>
  <x:si>
    <x:t xml:space="preserve">15583459</x:t>
  </x:si>
  <x:si>
    <x:t xml:space="preserve">0070855</x:t>
  </x:si>
  <x:si>
    <x:t xml:space="preserve">930437406</x:t>
  </x:si>
  <x:si>
    <x:t xml:space="preserve">88043</x:t>
  </x:si>
  <x:si>
    <x:t xml:space="preserve">98440</x:t>
  </x:si>
  <x:si>
    <x:t xml:space="preserve">1028</x:t>
  </x:si>
  <x:si>
    <x:t xml:space="preserve">FA-1028</x:t>
  </x:si>
  <x:si>
    <x:t xml:space="preserve">MATEO EYZAGUIRRE MARCO IVART</x:t>
  </x:si>
  <x:si>
    <x:t xml:space="preserve">74312316</x:t>
  </x:si>
  <x:si>
    <x:t xml:space="preserve">ACOSTA VIERA ALVARO</x:t>
  </x:si>
  <x:si>
    <x:t xml:space="preserve">0069588</x:t>
  </x:si>
  <x:si>
    <x:t xml:space="preserve">921508096</x:t>
  </x:si>
  <x:si>
    <x:t xml:space="preserve">CENTRO CONTRA LA CEGUERA E.I.R.L.</x:t>
  </x:si>
  <x:si>
    <x:t xml:space="preserve">86415</x:t>
  </x:si>
  <x:si>
    <x:t xml:space="preserve">USO DE EQUIPOS E INSUMO BLEFAROPLASTIA</x:t>
  </x:si>
  <x:si>
    <x:t xml:space="preserve">0011-0814-0256063048</x:t>
  </x:si>
  <x:si>
    <x:t xml:space="preserve">98393</x:t>
  </x:si>
  <x:si>
    <x:t xml:space="preserve">5552</x:t>
  </x:si>
  <x:si>
    <x:t xml:space="preserve">BO-5552</x:t>
  </x:si>
  <x:si>
    <x:t xml:space="preserve">LAZARO CACHA JUAN CRISOSTOMO</x:t>
  </x:si>
  <x:si>
    <x:t xml:space="preserve">31633639</x:t>
  </x:si>
  <x:si>
    <x:t xml:space="preserve">FIERRO LEANDRO</x:t>
  </x:si>
  <x:si>
    <x:t xml:space="preserve">POLICLÍNICO DIVINO NIÑO JESÚS</x:t>
  </x:si>
  <x:si>
    <x:t xml:space="preserve">0069870</x:t>
  </x:si>
  <x:si>
    <x:t xml:space="preserve">928408508</x:t>
  </x:si>
  <x:si>
    <x:t xml:space="preserve">86371</x:t>
  </x:si>
  <x:si>
    <x:t xml:space="preserve">98395</x:t>
  </x:si>
  <x:si>
    <x:t xml:space="preserve">11467</x:t>
  </x:si>
  <x:si>
    <x:t xml:space="preserve">BO-11467</x:t>
  </x:si>
  <x:si>
    <x:t xml:space="preserve">MENDOZA REYES BRIGIDA</x:t>
  </x:si>
  <x:si>
    <x:t xml:space="preserve">08831402</x:t>
  </x:si>
  <x:si>
    <x:t xml:space="preserve">0069872</x:t>
  </x:si>
  <x:si>
    <x:t xml:space="preserve">941194643</x:t>
  </x:si>
  <x:si>
    <x:t xml:space="preserve">86373</x:t>
  </x:si>
  <x:si>
    <x:t xml:space="preserve">98399</x:t>
  </x:si>
  <x:si>
    <x:t xml:space="preserve">5555</x:t>
  </x:si>
  <x:si>
    <x:t xml:space="preserve">BO-5555</x:t>
  </x:si>
  <x:si>
    <x:t xml:space="preserve">TINOCO OBREGON LUIS ALBERTO</x:t>
  </x:si>
  <x:si>
    <x:t xml:space="preserve">15859654</x:t>
  </x:si>
  <x:si>
    <x:t xml:space="preserve">0069871</x:t>
  </x:si>
  <x:si>
    <x:t xml:space="preserve">997639449</x:t>
  </x:si>
  <x:si>
    <x:t xml:space="preserve">86378</x:t>
  </x:si>
  <x:si>
    <x:t xml:space="preserve">98449</x:t>
  </x:si>
  <x:si>
    <x:t xml:space="preserve">530</x:t>
  </x:si>
  <x:si>
    <x:t xml:space="preserve">FA-530</x:t>
  </x:si>
  <x:si>
    <x:t xml:space="preserve">GRUPO MEDICO INTEGRAL SOCIEDAD ANONIMA CERRADA</x:t>
  </x:si>
  <x:si>
    <x:t xml:space="preserve">86384</x:t>
  </x:si>
  <x:si>
    <x:t xml:space="preserve">98450</x:t>
  </x:si>
  <x:si>
    <x:t xml:space="preserve">531</x:t>
  </x:si>
  <x:si>
    <x:t xml:space="preserve">FA-531</x:t>
  </x:si>
  <x:si>
    <x:t xml:space="preserve">86385</x:t>
  </x:si>
  <x:si>
    <x:t xml:space="preserve">98476</x:t>
  </x:si>
  <x:si>
    <x:t xml:space="preserve">1029</x:t>
  </x:si>
  <x:si>
    <x:t xml:space="preserve">FA-1029</x:t>
  </x:si>
  <x:si>
    <x:t xml:space="preserve">86375</x:t>
  </x:si>
  <x:si>
    <x:t xml:space="preserve">98570</x:t>
  </x:si>
  <x:si>
    <x:t xml:space="preserve">5573</x:t>
  </x:si>
  <x:si>
    <x:t xml:space="preserve">BO-5573</x:t>
  </x:si>
  <x:si>
    <x:t xml:space="preserve">GAMARRA CHAVARRIA JUAN PASCUAL</x:t>
  </x:si>
  <x:si>
    <x:t xml:space="preserve">15447914</x:t>
  </x:si>
  <x:si>
    <x:t xml:space="preserve">0070007</x:t>
  </x:si>
  <x:si>
    <x:t xml:space="preserve">986955058</x:t>
  </x:si>
  <x:si>
    <x:t xml:space="preserve">86517</x:t>
  </x:si>
  <x:si>
    <x:t xml:space="preserve">98571</x:t>
  </x:si>
  <x:si>
    <x:t xml:space="preserve">11481</x:t>
  </x:si>
  <x:si>
    <x:t xml:space="preserve">BO-11481</x:t>
  </x:si>
  <x:si>
    <x:t xml:space="preserve">PASCO RAMOS DE HERRERA GLORIA ELISA</x:t>
  </x:si>
  <x:si>
    <x:t xml:space="preserve">07017191</x:t>
  </x:si>
  <x:si>
    <x:t xml:space="preserve">0070001</x:t>
  </x:si>
  <x:si>
    <x:t xml:space="preserve">997369213</x:t>
  </x:si>
  <x:si>
    <x:t xml:space="preserve">86520</x:t>
  </x:si>
  <x:si>
    <x:t xml:space="preserve">98572</x:t>
  </x:si>
  <x:si>
    <x:t xml:space="preserve">11482</x:t>
  </x:si>
  <x:si>
    <x:t xml:space="preserve">BO-11482</x:t>
  </x:si>
  <x:si>
    <x:t xml:space="preserve">86519</x:t>
  </x:si>
  <x:si>
    <x:t xml:space="preserve">ELECTROCARDIOGRAMA-EKG</x:t>
  </x:si>
  <x:si>
    <x:t xml:space="preserve">98573</x:t>
  </x:si>
  <x:si>
    <x:t xml:space="preserve">11483</x:t>
  </x:si>
  <x:si>
    <x:t xml:space="preserve">BO-11483</x:t>
  </x:si>
  <x:si>
    <x:t xml:space="preserve">86518</x:t>
  </x:si>
  <x:si>
    <x:t xml:space="preserve">HIV 1,2 (TEST RAPIDO)</x:t>
  </x:si>
  <x:si>
    <x:t xml:space="preserve">98577</x:t>
  </x:si>
  <x:si>
    <x:t xml:space="preserve">11486</x:t>
  </x:si>
  <x:si>
    <x:t xml:space="preserve">BO-11486</x:t>
  </x:si>
  <x:si>
    <x:t xml:space="preserve">SAUÑE AGUILAR MERCEDES</x:t>
  </x:si>
  <x:si>
    <x:t xml:space="preserve">31032400</x:t>
  </x:si>
  <x:si>
    <x:t xml:space="preserve">0069675</x:t>
  </x:si>
  <x:si>
    <x:t xml:space="preserve">940106575</x:t>
  </x:si>
  <x:si>
    <x:t xml:space="preserve">86525</x:t>
  </x:si>
  <x:si>
    <x:t xml:space="preserve">98578</x:t>
  </x:si>
  <x:si>
    <x:t xml:space="preserve">11487</x:t>
  </x:si>
  <x:si>
    <x:t xml:space="preserve">BO-11487</x:t>
  </x:si>
  <x:si>
    <x:t xml:space="preserve">86523</x:t>
  </x:si>
  <x:si>
    <x:t xml:space="preserve">98587</x:t>
  </x:si>
  <x:si>
    <x:t xml:space="preserve">5574</x:t>
  </x:si>
  <x:si>
    <x:t xml:space="preserve">BO-5574</x:t>
  </x:si>
  <x:si>
    <x:t xml:space="preserve">BARAHONA VERASTEGUI MEDARDO</x:t>
  </x:si>
  <x:si>
    <x:t xml:space="preserve">08834924</x:t>
  </x:si>
  <x:si>
    <x:t xml:space="preserve">0070031</x:t>
  </x:si>
  <x:si>
    <x:t xml:space="preserve">981607915</x:t>
  </x:si>
  <x:si>
    <x:t xml:space="preserve">86534</x:t>
  </x:si>
  <x:si>
    <x:t xml:space="preserve">98589</x:t>
  </x:si>
  <x:si>
    <x:t xml:space="preserve">11488</x:t>
  </x:si>
  <x:si>
    <x:t xml:space="preserve">BO-11488</x:t>
  </x:si>
  <x:si>
    <x:t xml:space="preserve">86536</x:t>
  </x:si>
  <x:si>
    <x:t xml:space="preserve">98697</x:t>
  </x:si>
  <x:si>
    <x:t xml:space="preserve">1032</x:t>
  </x:si>
  <x:si>
    <x:t xml:space="preserve">FA-1032</x:t>
  </x:si>
  <x:si>
    <x:t xml:space="preserve">86543</x:t>
  </x:si>
  <x:si>
    <x:t xml:space="preserve">98698</x:t>
  </x:si>
  <x:si>
    <x:t xml:space="preserve">1033</x:t>
  </x:si>
  <x:si>
    <x:t xml:space="preserve">FA-1033</x:t>
  </x:si>
  <x:si>
    <x:t xml:space="preserve">86542</x:t>
  </x:si>
  <x:si>
    <x:t xml:space="preserve">98965</x:t>
  </x:si>
  <x:si>
    <x:t xml:space="preserve">11556</x:t>
  </x:si>
  <x:si>
    <x:t xml:space="preserve">BO-11556</x:t>
  </x:si>
  <x:si>
    <x:t xml:space="preserve">RODRIGUEZ VELA KATHERINE FIORELLA</x:t>
  </x:si>
  <x:si>
    <x:t xml:space="preserve">76232484</x:t>
  </x:si>
  <x:si>
    <x:t xml:space="preserve">0070028</x:t>
  </x:si>
  <x:si>
    <x:t xml:space="preserve">906 777 340</x:t>
  </x:si>
  <x:si>
    <x:t xml:space="preserve">86877</x:t>
  </x:si>
  <x:si>
    <x:t xml:space="preserve">98996</x:t>
  </x:si>
  <x:si>
    <x:t xml:space="preserve">1037</x:t>
  </x:si>
  <x:si>
    <x:t xml:space="preserve">FA-1037</x:t>
  </x:si>
  <x:si>
    <x:t xml:space="preserve">86546</x:t>
  </x:si>
  <x:si>
    <x:t xml:space="preserve">99003</x:t>
  </x:si>
  <x:si>
    <x:t xml:space="preserve">1040</x:t>
  </x:si>
  <x:si>
    <x:t xml:space="preserve">FA-1040</x:t>
  </x:si>
  <x:si>
    <x:t xml:space="preserve">86827</x:t>
  </x:si>
  <x:si>
    <x:t xml:space="preserve">99136</x:t>
  </x:si>
  <x:si>
    <x:t xml:space="preserve">5639</x:t>
  </x:si>
  <x:si>
    <x:t xml:space="preserve">BO-5639</x:t>
  </x:si>
  <x:si>
    <x:t xml:space="preserve">86978</x:t>
  </x:si>
  <x:si>
    <x:t xml:space="preserve">99138</x:t>
  </x:si>
  <x:si>
    <x:t xml:space="preserve">5640</x:t>
  </x:si>
  <x:si>
    <x:t xml:space="preserve">BO-5640</x:t>
  </x:si>
  <x:si>
    <x:t xml:space="preserve">86979</x:t>
  </x:si>
  <x:si>
    <x:t xml:space="preserve">99219</x:t>
  </x:si>
  <x:si>
    <x:t xml:space="preserve">541</x:t>
  </x:si>
  <x:si>
    <x:t xml:space="preserve">FA-541</x:t>
  </x:si>
  <x:si>
    <x:t xml:space="preserve">87029</x:t>
  </x:si>
  <x:si>
    <x:t xml:space="preserve">99525</x:t>
  </x:si>
  <x:si>
    <x:t xml:space="preserve">11667</x:t>
  </x:si>
  <x:si>
    <x:t xml:space="preserve">BO-11667</x:t>
  </x:si>
  <x:si>
    <x:t xml:space="preserve">URTECHO VARGAS MARCELO BERARDO</x:t>
  </x:si>
  <x:si>
    <x:t xml:space="preserve">32807550</x:t>
  </x:si>
  <x:si>
    <x:t xml:space="preserve">0070330</x:t>
  </x:si>
  <x:si>
    <x:t xml:space="preserve">934254167</x:t>
  </x:si>
  <x:si>
    <x:t xml:space="preserve">87291</x:t>
  </x:si>
  <x:si>
    <x:t xml:space="preserve">99526</x:t>
  </x:si>
  <x:si>
    <x:t xml:space="preserve">11668</x:t>
  </x:si>
  <x:si>
    <x:t xml:space="preserve">BO-11668</x:t>
  </x:si>
  <x:si>
    <x:t xml:space="preserve">87290</x:t>
  </x:si>
  <x:si>
    <x:t xml:space="preserve">99527</x:t>
  </x:si>
  <x:si>
    <x:t xml:space="preserve">11669</x:t>
  </x:si>
  <x:si>
    <x:t xml:space="preserve">BO-11669</x:t>
  </x:si>
  <x:si>
    <x:t xml:space="preserve">87292</x:t>
  </x:si>
  <x:si>
    <x:t xml:space="preserve">99528</x:t>
  </x:si>
  <x:si>
    <x:t xml:space="preserve">11670</x:t>
  </x:si>
  <x:si>
    <x:t xml:space="preserve">BO-11670</x:t>
  </x:si>
  <x:si>
    <x:t xml:space="preserve">VILLARREAL AZAÑERO DE CHIRITO MARTINA CO</x:t>
  </x:si>
  <x:si>
    <x:t xml:space="preserve">15654650</x:t>
  </x:si>
  <x:si>
    <x:t xml:space="preserve">0070331</x:t>
  </x:si>
  <x:si>
    <x:t xml:space="preserve">920384829</x:t>
  </x:si>
  <x:si>
    <x:t xml:space="preserve">87295</x:t>
  </x:si>
  <x:si>
    <x:t xml:space="preserve">99561</x:t>
  </x:si>
  <x:si>
    <x:t xml:space="preserve">11679</x:t>
  </x:si>
  <x:si>
    <x:t xml:space="preserve">BO-11679</x:t>
  </x:si>
  <x:si>
    <x:t xml:space="preserve">LAZO LUYO ENRIQUE FELIX</x:t>
  </x:si>
  <x:si>
    <x:t xml:space="preserve">16150809</x:t>
  </x:si>
  <x:si>
    <x:t xml:space="preserve">0070454</x:t>
  </x:si>
  <x:si>
    <x:t xml:space="preserve">87325</x:t>
  </x:si>
  <x:si>
    <x:t xml:space="preserve">99598</x:t>
  </x:si>
  <x:si>
    <x:t xml:space="preserve">1044</x:t>
  </x:si>
  <x:si>
    <x:t xml:space="preserve">FA-1044</x:t>
  </x:si>
  <x:si>
    <x:t xml:space="preserve">87297</x:t>
  </x:si>
  <x:si>
    <x:t xml:space="preserve">99600</x:t>
  </x:si>
  <x:si>
    <x:t xml:space="preserve">1045</x:t>
  </x:si>
  <x:si>
    <x:t xml:space="preserve">FA-1045</x:t>
  </x:si>
  <x:si>
    <x:t xml:space="preserve">87326</x:t>
  </x:si>
  <x:si>
    <x:t xml:space="preserve">99601</x:t>
  </x:si>
  <x:si>
    <x:t xml:space="preserve">1046</x:t>
  </x:si>
  <x:si>
    <x:t xml:space="preserve">FA-1046</x:t>
  </x:si>
  <x:si>
    <x:t xml:space="preserve">87336</x:t>
  </x:si>
  <x:si>
    <x:t xml:space="preserve">100291</x:t>
  </x:si>
  <x:si>
    <x:t xml:space="preserve">5699</x:t>
  </x:si>
  <x:si>
    <x:t xml:space="preserve">BO-5699</x:t>
  </x:si>
  <x:si>
    <x:t xml:space="preserve">BALCAZAR SILVA ANTONIO LEONIDAS</x:t>
  </x:si>
  <x:si>
    <x:t xml:space="preserve">06796475</x:t>
  </x:si>
  <x:si>
    <x:t xml:space="preserve">0070727</x:t>
  </x:si>
  <x:si>
    <x:t xml:space="preserve">983835015</x:t>
  </x:si>
  <x:si>
    <x:t xml:space="preserve">87889</x:t>
  </x:si>
  <x:si>
    <x:t xml:space="preserve">100292</x:t>
  </x:si>
  <x:si>
    <x:t xml:space="preserve">5700</x:t>
  </x:si>
  <x:si>
    <x:t xml:space="preserve">BO-5700</x:t>
  </x:si>
  <x:si>
    <x:t xml:space="preserve">87890</x:t>
  </x:si>
  <x:si>
    <x:t xml:space="preserve">100293</x:t>
  </x:si>
  <x:si>
    <x:t xml:space="preserve">5701</x:t>
  </x:si>
  <x:si>
    <x:t xml:space="preserve">BO-5701</x:t>
  </x:si>
  <x:si>
    <x:t xml:space="preserve">87891</x:t>
  </x:si>
  <x:si>
    <x:t xml:space="preserve">100305</x:t>
  </x:si>
  <x:si>
    <x:t xml:space="preserve">11786</x:t>
  </x:si>
  <x:si>
    <x:t xml:space="preserve">BO-11786</x:t>
  </x:si>
  <x:si>
    <x:t xml:space="preserve">LUQUE DE SANCHEZ FLORENTINA</x:t>
  </x:si>
  <x:si>
    <x:t xml:space="preserve">28238776</x:t>
  </x:si>
  <x:si>
    <x:t xml:space="preserve">0070728</x:t>
  </x:si>
  <x:si>
    <x:t xml:space="preserve">953438570</x:t>
  </x:si>
  <x:si>
    <x:t xml:space="preserve">87901</x:t>
  </x:si>
  <x:si>
    <x:t xml:space="preserve">100324</x:t>
  </x:si>
  <x:si>
    <x:t xml:space="preserve">5702</x:t>
  </x:si>
  <x:si>
    <x:t xml:space="preserve">BO-5702</x:t>
  </x:si>
  <x:si>
    <x:t xml:space="preserve">BARRON HONORIO MILAGROS ROCIO</x:t>
  </x:si>
  <x:si>
    <x:t xml:space="preserve">46088575</x:t>
  </x:si>
  <x:si>
    <x:t xml:space="preserve">0065003</x:t>
  </x:si>
  <x:si>
    <x:t xml:space="preserve">990088810</x:t>
  </x:si>
  <x:si>
    <x:t xml:space="preserve">87926</x:t>
  </x:si>
  <x:si>
    <x:t xml:space="preserve">100441</x:t>
  </x:si>
  <x:si>
    <x:t xml:space="preserve">545</x:t>
  </x:si>
  <x:si>
    <x:t xml:space="preserve">FA-545</x:t>
  </x:si>
  <x:si>
    <x:t xml:space="preserve">87935</x:t>
  </x:si>
  <x:si>
    <x:t xml:space="preserve">CROSSLINKING CORNEAL </x:t>
  </x:si>
  <x:si>
    <x:t xml:space="preserve">100680</x:t>
  </x:si>
  <x:si>
    <x:t xml:space="preserve">1060</x:t>
  </x:si>
  <x:si>
    <x:t xml:space="preserve">FA-1060</x:t>
  </x:si>
  <x:si>
    <x:t xml:space="preserve">87922</x:t>
  </x:si>
  <x:si>
    <x:t xml:space="preserve">100885</x:t>
  </x:si>
  <x:si>
    <x:t xml:space="preserve">5739</x:t>
  </x:si>
  <x:si>
    <x:t xml:space="preserve">BO-5739</x:t>
  </x:si>
  <x:si>
    <x:t xml:space="preserve">AGUILAR BUENO JESUS AMELIA</x:t>
  </x:si>
  <x:si>
    <x:t xml:space="preserve">09808448</x:t>
  </x:si>
  <x:si>
    <x:t xml:space="preserve">0071027</x:t>
  </x:si>
  <x:si>
    <x:t xml:space="preserve">986800123</x:t>
  </x:si>
  <x:si>
    <x:t xml:space="preserve">88348</x:t>
  </x:si>
  <x:si>
    <x:t xml:space="preserve">100884</x:t>
  </x:si>
  <x:si>
    <x:t xml:space="preserve">5738</x:t>
  </x:si>
  <x:si>
    <x:t xml:space="preserve">BO-5738</x:t>
  </x:si>
  <x:si>
    <x:t xml:space="preserve">88347</x:t>
  </x:si>
  <x:si>
    <x:t xml:space="preserve">100921</x:t>
  </x:si>
  <x:si>
    <x:t xml:space="preserve">11898</x:t>
  </x:si>
  <x:si>
    <x:t xml:space="preserve">BO-11898</x:t>
  </x:si>
  <x:si>
    <x:t xml:space="preserve">OCHOA SALAS LUIS ALBERTO</x:t>
  </x:si>
  <x:si>
    <x:t xml:space="preserve">80162583</x:t>
  </x:si>
  <x:si>
    <x:t xml:space="preserve">0071029</x:t>
  </x:si>
  <x:si>
    <x:t xml:space="preserve">88383</x:t>
  </x:si>
  <x:si>
    <x:t xml:space="preserve">100886</x:t>
  </x:si>
  <x:si>
    <x:t xml:space="preserve">5740</x:t>
  </x:si>
  <x:si>
    <x:t xml:space="preserve">BO-5740</x:t>
  </x:si>
  <x:si>
    <x:t xml:space="preserve">88349</x:t>
  </x:si>
  <x:si>
    <x:t xml:space="preserve">100995</x:t>
  </x:si>
  <x:si>
    <x:t xml:space="preserve">1063</x:t>
  </x:si>
  <x:si>
    <x:t xml:space="preserve">FA-1063</x:t>
  </x:si>
  <x:si>
    <x:t xml:space="preserve">88384</x:t>
  </x:si>
  <x:si>
    <x:t xml:space="preserve">101009</x:t>
  </x:si>
  <x:si>
    <x:t xml:space="preserve">1064</x:t>
  </x:si>
  <x:si>
    <x:t xml:space="preserve">FA-1064</x:t>
  </x:si>
  <x:si>
    <x:t xml:space="preserve">88398</x:t>
  </x:si>
  <x:si>
    <x:t xml:space="preserve">102868</x:t>
  </x:si>
  <x:si>
    <x:t xml:space="preserve">5973</x:t>
  </x:si>
  <x:si>
    <x:t xml:space="preserve">BO-5973</x:t>
  </x:si>
  <x:si>
    <x:t xml:space="preserve">COMETIVOS PANDURO MIRIAM</x:t>
  </x:si>
  <x:si>
    <x:t xml:space="preserve">00865199</x:t>
  </x:si>
  <x:si>
    <x:t xml:space="preserve">0071944</x:t>
  </x:si>
  <x:si>
    <x:t xml:space="preserve">940163522</x:t>
  </x:si>
  <x:si>
    <x:t xml:space="preserve">89939</x:t>
  </x:si>
  <x:si>
    <x:t xml:space="preserve">102869</x:t>
  </x:si>
  <x:si>
    <x:t xml:space="preserve">5974</x:t>
  </x:si>
  <x:si>
    <x:t xml:space="preserve">BO-5974</x:t>
  </x:si>
  <x:si>
    <x:t xml:space="preserve">89940</x:t>
  </x:si>
  <x:si>
    <x:t xml:space="preserve">102870</x:t>
  </x:si>
  <x:si>
    <x:t xml:space="preserve">5975</x:t>
  </x:si>
  <x:si>
    <x:t xml:space="preserve">BO-5975</x:t>
  </x:si>
  <x:si>
    <x:t xml:space="preserve">89941</x:t>
  </x:si>
  <x:si>
    <x:t xml:space="preserve">103003</x:t>
  </x:si>
  <x:si>
    <x:t xml:space="preserve">5988</x:t>
  </x:si>
  <x:si>
    <x:t xml:space="preserve">BO-5988</x:t>
  </x:si>
  <x:si>
    <x:t xml:space="preserve">MERCEDES RODRIGUEZ MIGUEL DIONICIO</x:t>
  </x:si>
  <x:si>
    <x:t xml:space="preserve">07430013</x:t>
  </x:si>
  <x:si>
    <x:t xml:space="preserve">0072018</x:t>
  </x:si>
  <x:si>
    <x:t xml:space="preserve">912097149</x:t>
  </x:si>
  <x:si>
    <x:t xml:space="preserve">90064</x:t>
  </x:si>
  <x:si>
    <x:t xml:space="preserve">103004</x:t>
  </x:si>
  <x:si>
    <x:t xml:space="preserve">5989</x:t>
  </x:si>
  <x:si>
    <x:t xml:space="preserve">BO-5989</x:t>
  </x:si>
  <x:si>
    <x:t xml:space="preserve">90066</x:t>
  </x:si>
  <x:si>
    <x:t xml:space="preserve">103005</x:t>
  </x:si>
  <x:si>
    <x:t xml:space="preserve">5990</x:t>
  </x:si>
  <x:si>
    <x:t xml:space="preserve">BO-5990</x:t>
  </x:si>
  <x:si>
    <x:t xml:space="preserve">90068</x:t>
  </x:si>
  <x:si>
    <x:t xml:space="preserve">103432</x:t>
  </x:si>
  <x:si>
    <x:t xml:space="preserve">12213</x:t>
  </x:si>
  <x:si>
    <x:t xml:space="preserve">BO-12213</x:t>
  </x:si>
  <x:si>
    <x:t xml:space="preserve">LOAYZA LOAYZA DANIEL</x:t>
  </x:si>
  <x:si>
    <x:t xml:space="preserve">15640724</x:t>
  </x:si>
  <x:si>
    <x:t xml:space="preserve">0058677</x:t>
  </x:si>
  <x:si>
    <x:t xml:space="preserve">989493571</x:t>
  </x:si>
  <x:si>
    <x:t xml:space="preserve">90443</x:t>
  </x:si>
  <x:si>
    <x:t xml:space="preserve">98661</x:t>
  </x:si>
  <x:si>
    <x:t xml:space="preserve">11495</x:t>
  </x:si>
  <x:si>
    <x:t xml:space="preserve">BO-11495</x:t>
  </x:si>
  <x:si>
    <x:t xml:space="preserve">GALLEGOS BENAVIDES CRISTINA ANA</x:t>
  </x:si>
  <x:si>
    <x:t xml:space="preserve">07136272</x:t>
  </x:si>
  <x:si>
    <x:t xml:space="preserve">CARDENAS ORTEGA MARISA</x:t>
  </x:si>
  <x:si>
    <x:t xml:space="preserve">0070089</x:t>
  </x:si>
  <x:si>
    <x:t xml:space="preserve">979097585</x:t>
  </x:si>
  <x:si>
    <x:t xml:space="preserve">86601</x:t>
  </x:si>
  <x:si>
    <x:t xml:space="preserve">193-34139202041</x:t>
  </x:si>
  <x:si>
    <x:t xml:space="preserve">98616</x:t>
  </x:si>
  <x:si>
    <x:t xml:space="preserve">11491</x:t>
  </x:si>
  <x:si>
    <x:t xml:space="preserve">BO-11491</x:t>
  </x:si>
  <x:si>
    <x:t xml:space="preserve">MUÑOZ OCAÑO ARMANDO</x:t>
  </x:si>
  <x:si>
    <x:t xml:space="preserve">20976782</x:t>
  </x:si>
  <x:si>
    <x:t xml:space="preserve">SILVA</x:t>
  </x:si>
  <x:si>
    <x:t xml:space="preserve">0070068</x:t>
  </x:si>
  <x:si>
    <x:t xml:space="preserve">928786641</x:t>
  </x:si>
  <x:si>
    <x:t xml:space="preserve">86562</x:t>
  </x:si>
  <x:si>
    <x:t xml:space="preserve">2358</x:t>
  </x:si>
  <x:si>
    <x:t xml:space="preserve">11496</x:t>
  </x:si>
  <x:si>
    <x:t xml:space="preserve">NC-11496</x:t>
  </x:si>
  <x:si>
    <x:t xml:space="preserve">MONTALVO SUAREZ ESTHER ESPERANZA</x:t>
  </x:si>
  <x:si>
    <x:t xml:space="preserve">08507757</x:t>
  </x:si>
  <x:si>
    <x:t xml:space="preserve">HUAMAN RIOS LUIS ENRIQUE</x:t>
  </x:si>
  <x:si>
    <x:t xml:space="preserve">0070099</x:t>
  </x:si>
  <x:si>
    <x:t xml:space="preserve">990523847</x:t>
  </x:si>
  <x:si>
    <x:t xml:space="preserve">86611</x:t>
  </x:si>
  <x:si>
    <x:t xml:space="preserve">191-30583545068</x:t>
  </x:si>
  <x:si>
    <x:t xml:space="preserve">98676</x:t>
  </x:si>
  <x:si>
    <x:t xml:space="preserve">1030</x:t>
  </x:si>
  <x:si>
    <x:t xml:space="preserve">FA-1030</x:t>
  </x:si>
  <x:si>
    <x:t xml:space="preserve">VDAXIOM S.A.C.</x:t>
  </x:si>
  <x:si>
    <x:t xml:space="preserve">86613</x:t>
  </x:si>
  <x:si>
    <x:t xml:space="preserve">BO-11496</x:t>
  </x:si>
  <x:si>
    <x:t xml:space="preserve">100221</x:t>
  </x:si>
  <x:si>
    <x:t xml:space="preserve">11774</x:t>
  </x:si>
  <x:si>
    <x:t xml:space="preserve">BO-11774</x:t>
  </x:si>
  <x:si>
    <x:t xml:space="preserve">CERON HUAMANI FRANCISCA</x:t>
  </x:si>
  <x:si>
    <x:t xml:space="preserve">09471100</x:t>
  </x:si>
  <x:si>
    <x:t xml:space="preserve">0070736</x:t>
  </x:si>
  <x:si>
    <x:t xml:space="preserve">960127734</x:t>
  </x:si>
  <x:si>
    <x:t xml:space="preserve">87836</x:t>
  </x:si>
  <x:si>
    <x:t xml:space="preserve">98645</x:t>
  </x:si>
  <x:si>
    <x:t xml:space="preserve">5580</x:t>
  </x:si>
  <x:si>
    <x:t xml:space="preserve">BO-5580</x:t>
  </x:si>
  <x:si>
    <x:t xml:space="preserve">CUBA HIDALGO VDA DE TOSCA JULIA JESUS</x:t>
  </x:si>
  <x:si>
    <x:t xml:space="preserve">08052088</x:t>
  </x:si>
  <x:si>
    <x:t xml:space="preserve">DIANA DAVALOS SORIA</x:t>
  </x:si>
  <x:si>
    <x:t xml:space="preserve">HOSPITAL CAYETANO HEREDIA</x:t>
  </x:si>
  <x:si>
    <x:t xml:space="preserve">0070081</x:t>
  </x:si>
  <x:si>
    <x:t xml:space="preserve">955702271</x:t>
  </x:si>
  <x:si>
    <x:t xml:space="preserve">86587</x:t>
  </x:si>
  <x:si>
    <x:t xml:space="preserve">191-00494902000</x:t>
  </x:si>
  <x:si>
    <x:t xml:space="preserve">98694</x:t>
  </x:si>
  <x:si>
    <x:t xml:space="preserve">1031</x:t>
  </x:si>
  <x:si>
    <x:t xml:space="preserve">FA-1031</x:t>
  </x:si>
  <x:si>
    <x:t xml:space="preserve">CARAZAS CERRILLO DE APAZA GREGORIA</x:t>
  </x:si>
  <x:si>
    <x:t xml:space="preserve">08985710</x:t>
  </x:si>
  <x:si>
    <x:t xml:space="preserve">MANCHEGO LOMBARDI MICHAEL</x:t>
  </x:si>
  <x:si>
    <x:t xml:space="preserve">0070006</x:t>
  </x:si>
  <x:si>
    <x:t xml:space="preserve">NO TIENE</x:t>
  </x:si>
  <x:si>
    <x:t xml:space="preserve">CENTRO OFTALMOLOGICO OFTALMOCARE S.R.L.</x:t>
  </x:si>
  <x:si>
    <x:t xml:space="preserve">86633</x:t>
  </x:si>
  <x:si>
    <x:t xml:space="preserve">639-3004120188</x:t>
  </x:si>
  <x:si>
    <x:t xml:space="preserve">99631</x:t>
  </x:si>
  <x:si>
    <x:t xml:space="preserve">11693</x:t>
  </x:si>
  <x:si>
    <x:t xml:space="preserve">BO-11693</x:t>
  </x:si>
  <x:si>
    <x:t xml:space="preserve">CALVAY SAUSA LUIS ALBERTO</x:t>
  </x:si>
  <x:si>
    <x:t xml:space="preserve">10405367</x:t>
  </x:si>
  <x:si>
    <x:t xml:space="preserve">MENDOZA DIAZ NORA BEATRIZ</x:t>
  </x:si>
  <x:si>
    <x:t xml:space="preserve">ESSALUD ATE</x:t>
  </x:si>
  <x:si>
    <x:t xml:space="preserve">0070474</x:t>
  </x:si>
  <x:si>
    <x:t xml:space="preserve">95231065</x:t>
  </x:si>
  <x:si>
    <x:t xml:space="preserve">87381</x:t>
  </x:si>
  <x:si>
    <x:t xml:space="preserve">191-03554214014</x:t>
  </x:si>
  <x:si>
    <x:t xml:space="preserve">99632</x:t>
  </x:si>
  <x:si>
    <x:t xml:space="preserve">11694</x:t>
  </x:si>
  <x:si>
    <x:t xml:space="preserve">BO-11694</x:t>
  </x:si>
  <x:si>
    <x:t xml:space="preserve">87382</x:t>
  </x:si>
  <x:si>
    <x:t xml:space="preserve">99633</x:t>
  </x:si>
  <x:si>
    <x:t xml:space="preserve">11695</x:t>
  </x:si>
  <x:si>
    <x:t xml:space="preserve">BO-11695</x:t>
  </x:si>
  <x:si>
    <x:t xml:space="preserve">87380</x:t>
  </x:si>
  <x:si>
    <x:t xml:space="preserve">101072</x:t>
  </x:si>
  <x:si>
    <x:t xml:space="preserve">553</x:t>
  </x:si>
  <x:si>
    <x:t xml:space="preserve">FA-553</x:t>
  </x:si>
  <x:si>
    <x:t xml:space="preserve">88440</x:t>
  </x:si>
  <x:si>
    <x:t xml:space="preserve">MININUC </x:t>
  </x:si>
  <x:si>
    <x:t xml:space="preserve">100102</x:t>
  </x:si>
  <x:si>
    <x:t xml:space="preserve">1054</x:t>
  </x:si>
  <x:si>
    <x:t xml:space="preserve">FA-1054</x:t>
  </x:si>
  <x:si>
    <x:t xml:space="preserve">CUELLAR MONTERO HUGO VICTOR DOMINGO</x:t>
  </x:si>
  <x:si>
    <x:t xml:space="preserve">06044836</x:t>
  </x:si>
  <x:si>
    <x:t xml:space="preserve">ZELADA LORENZO ANGEL MIGUEL</x:t>
  </x:si>
  <x:si>
    <x:t xml:space="preserve">0070679</x:t>
  </x:si>
  <x:si>
    <x:t xml:space="preserve">9716122026</x:t>
  </x:si>
  <x:si>
    <x:t xml:space="preserve">87741</x:t>
  </x:si>
  <x:si>
    <x:t xml:space="preserve">191-14525587008</x:t>
  </x:si>
  <x:si>
    <x:t xml:space="preserve">100210</x:t>
  </x:si>
  <x:si>
    <x:t xml:space="preserve">11769</x:t>
  </x:si>
  <x:si>
    <x:t xml:space="preserve">BO-11769</x:t>
  </x:si>
  <x:si>
    <x:t xml:space="preserve">AZANI CHAVEZ PAULINA</x:t>
  </x:si>
  <x:si>
    <x:t xml:space="preserve">08934796</x:t>
  </x:si>
  <x:si>
    <x:t xml:space="preserve">DURAN ESPINOZA CESAR ARTURO</x:t>
  </x:si>
  <x:si>
    <x:t xml:space="preserve">CONSULTORIO LA MOLINA</x:t>
  </x:si>
  <x:si>
    <x:t xml:space="preserve">0070511</x:t>
  </x:si>
  <x:si>
    <x:t xml:space="preserve">87822</x:t>
  </x:si>
  <x:si>
    <x:t xml:space="preserve">ANGIOGRAFIA CON FLUORESCEINA</x:t>
  </x:si>
  <x:si>
    <x:t xml:space="preserve">191-92300592019</x:t>
  </x:si>
  <x:si>
    <x:t xml:space="preserve">98811</x:t>
  </x:si>
  <x:si>
    <x:t xml:space="preserve">11521</x:t>
  </x:si>
  <x:si>
    <x:t xml:space="preserve">BO-11521</x:t>
  </x:si>
  <x:si>
    <x:t xml:space="preserve">OCAS ROSALES RONALD JEANCARLOS</x:t>
  </x:si>
  <x:si>
    <x:t xml:space="preserve">45170637</x:t>
  </x:si>
  <x:si>
    <x:t xml:space="preserve">ALEMAÑY ERNESTO</x:t>
  </x:si>
  <x:si>
    <x:t xml:space="preserve">CLINICA LA LUZ</x:t>
  </x:si>
  <x:si>
    <x:t xml:space="preserve">0070158</x:t>
  </x:si>
  <x:si>
    <x:t xml:space="preserve">999322893</x:t>
  </x:si>
  <x:si>
    <x:t xml:space="preserve">86729</x:t>
  </x:si>
  <x:si>
    <x:t xml:space="preserve">0011-0732-0200152751</x:t>
  </x:si>
  <x:si>
    <x:t xml:space="preserve">103532</x:t>
  </x:si>
  <x:si>
    <x:t xml:space="preserve">12229</x:t>
  </x:si>
  <x:si>
    <x:t xml:space="preserve">BO-12229</x:t>
  </x:si>
  <x:si>
    <x:t xml:space="preserve">CHINCHIHUALPA GOZAR EDITH</x:t>
  </x:si>
  <x:si>
    <x:t xml:space="preserve">16121742</x:t>
  </x:si>
  <x:si>
    <x:t xml:space="preserve">0072339</x:t>
  </x:si>
  <x:si>
    <x:t xml:space="preserve">956293333</x:t>
  </x:si>
  <x:si>
    <x:t xml:space="preserve">90533</x:t>
  </x:si>
  <x:si>
    <x:t xml:space="preserve">OCT ANGIOGRAFIA MACULA</x:t>
  </x:si>
  <x:si>
    <x:t xml:space="preserve">98915</x:t>
  </x:si>
  <x:si>
    <x:t xml:space="preserve">11546</x:t>
  </x:si>
  <x:si>
    <x:t xml:space="preserve">BO-11546</x:t>
  </x:si>
  <x:si>
    <x:t xml:space="preserve">MANCO CESPEDES EMMA IMELDA</x:t>
  </x:si>
  <x:si>
    <x:t xml:space="preserve">08826096</x:t>
  </x:si>
  <x:si>
    <x:t xml:space="preserve">ESPEJO ALVA JULIO EDWIN</x:t>
  </x:si>
  <x:si>
    <x:t xml:space="preserve">0070206</x:t>
  </x:si>
  <x:si>
    <x:t xml:space="preserve">964035237</x:t>
  </x:si>
  <x:si>
    <x:t xml:space="preserve">86820</x:t>
  </x:si>
  <x:si>
    <x:t xml:space="preserve">087-3150119440</x:t>
  </x:si>
  <x:si>
    <x:t xml:space="preserve">103354</x:t>
  </x:si>
  <x:si>
    <x:t xml:space="preserve">12202</x:t>
  </x:si>
  <x:si>
    <x:t xml:space="preserve">BO-12202</x:t>
  </x:si>
  <x:si>
    <x:t xml:space="preserve">PEREZ BARTUREN MISAEL</x:t>
  </x:si>
  <x:si>
    <x:t xml:space="preserve">27378163</x:t>
  </x:si>
  <x:si>
    <x:t xml:space="preserve">0058546</x:t>
  </x:si>
  <x:si>
    <x:t xml:space="preserve">999251212</x:t>
  </x:si>
  <x:si>
    <x:t xml:space="preserve">90381</x:t>
  </x:si>
  <x:si>
    <x:t xml:space="preserve">98930</x:t>
  </x:si>
  <x:si>
    <x:t xml:space="preserve">5621</x:t>
  </x:si>
  <x:si>
    <x:t xml:space="preserve">BO-5621</x:t>
  </x:si>
  <x:si>
    <x:t xml:space="preserve">ESPINOZA BEDRIÑANA SUSANA</x:t>
  </x:si>
  <x:si>
    <x:t xml:space="preserve">08578137</x:t>
  </x:si>
  <x:si>
    <x:t xml:space="preserve">HUAMAN CUICAPUSA KELLY</x:t>
  </x:si>
  <x:si>
    <x:t xml:space="preserve">0070218</x:t>
  </x:si>
  <x:si>
    <x:t xml:space="preserve">991432739</x:t>
  </x:si>
  <x:si>
    <x:t xml:space="preserve">86839</x:t>
  </x:si>
  <x:si>
    <x:t xml:space="preserve">99095</x:t>
  </x:si>
  <x:si>
    <x:t xml:space="preserve">11575</x:t>
  </x:si>
  <x:si>
    <x:t xml:space="preserve">BO-11575</x:t>
  </x:si>
  <x:si>
    <x:t xml:space="preserve">BAUTISTA LOPEZ HERMINIA</x:t>
  </x:si>
  <x:si>
    <x:t xml:space="preserve">21840481</x:t>
  </x:si>
  <x:si>
    <x:t xml:space="preserve">SUAREZ ALVARADO SUSANA</x:t>
  </x:si>
  <x:si>
    <x:t xml:space="preserve">0044128</x:t>
  </x:si>
  <x:si>
    <x:t xml:space="preserve">999166413</x:t>
  </x:si>
  <x:si>
    <x:t xml:space="preserve">86938</x:t>
  </x:si>
  <x:si>
    <x:t xml:space="preserve">CONJUNTIVOPLASTIA </x:t>
  </x:si>
  <x:si>
    <x:t xml:space="preserve">99133</x:t>
  </x:si>
  <x:si>
    <x:t xml:space="preserve">5637</x:t>
  </x:si>
  <x:si>
    <x:t xml:space="preserve">BO-5637</x:t>
  </x:si>
  <x:si>
    <x:t xml:space="preserve">SALAS CABREJO NASARIO</x:t>
  </x:si>
  <x:si>
    <x:t xml:space="preserve">70358831</x:t>
  </x:si>
  <x:si>
    <x:t xml:space="preserve">SOTO IDROGO CLAUDIA</x:t>
  </x:si>
  <x:si>
    <x:t xml:space="preserve">CLÍNICA JESÚS DEL NORTE (JM)</x:t>
  </x:si>
  <x:si>
    <x:t xml:space="preserve">0070279</x:t>
  </x:si>
  <x:si>
    <x:t xml:space="preserve">969350781</x:t>
  </x:si>
  <x:si>
    <x:t xml:space="preserve">86975</x:t>
  </x:si>
  <x:si>
    <x:t xml:space="preserve">191-32083755032</x:t>
  </x:si>
  <x:si>
    <x:t xml:space="preserve">103299</x:t>
  </x:si>
  <x:si>
    <x:t xml:space="preserve">12193</x:t>
  </x:si>
  <x:si>
    <x:t xml:space="preserve">BO-12193</x:t>
  </x:si>
  <x:si>
    <x:t xml:space="preserve">MARTÍNEZ TRUJILLO NAPTHALY</x:t>
  </x:si>
  <x:si>
    <x:t xml:space="preserve">1026528 </x:t>
  </x:si>
  <x:si>
    <x:t xml:space="preserve">LOPEZ ESPINOZA JHON</x:t>
  </x:si>
  <x:si>
    <x:t xml:space="preserve">0072087</x:t>
  </x:si>
  <x:si>
    <x:t xml:space="preserve">+59169208603</x:t>
  </x:si>
  <x:si>
    <x:t xml:space="preserve">90330</x:t>
  </x:si>
  <x:si>
    <x:t xml:space="preserve">191-38880905040</x:t>
  </x:si>
  <x:si>
    <x:t xml:space="preserve">103673</x:t>
  </x:si>
  <x:si>
    <x:t xml:space="preserve">12241</x:t>
  </x:si>
  <x:si>
    <x:t xml:space="preserve">BO-12241</x:t>
  </x:si>
  <x:si>
    <x:t xml:space="preserve">CONDEZO GOMEZ MARIA</x:t>
  </x:si>
  <x:si>
    <x:t xml:space="preserve">06746640</x:t>
  </x:si>
  <x:si>
    <x:t xml:space="preserve">0072397</x:t>
  </x:si>
  <x:si>
    <x:t xml:space="preserve">933669092</x:t>
  </x:si>
  <x:si>
    <x:t xml:space="preserve">90611</x:t>
  </x:si>
  <x:si>
    <x:t xml:space="preserve">99814</x:t>
  </x:si>
  <x:si>
    <x:t xml:space="preserve">1053</x:t>
  </x:si>
  <x:si>
    <x:t xml:space="preserve">FA-1053</x:t>
  </x:si>
  <x:si>
    <x:t xml:space="preserve">ESCOBEDO LARA DE HERRERA NORBERTA</x:t>
  </x:si>
  <x:si>
    <x:t xml:space="preserve">09220286</x:t>
  </x:si>
  <x:si>
    <x:t xml:space="preserve">PALACIOS URIBE PAMELA URIBE </x:t>
  </x:si>
  <x:si>
    <x:t xml:space="preserve">0070433</x:t>
  </x:si>
  <x:si>
    <x:t xml:space="preserve">GRUPO MVP S.A.C.</x:t>
  </x:si>
  <x:si>
    <x:t xml:space="preserve">87322</x:t>
  </x:si>
  <x:si>
    <x:t xml:space="preserve">193-95965374018</x:t>
  </x:si>
  <x:si>
    <x:t xml:space="preserve">CONJUNTIVOPLASTIA C/PEGAMENTO TISULAR </x:t>
  </x:si>
  <x:si>
    <x:t xml:space="preserve">100280</x:t>
  </x:si>
  <x:si>
    <x:t xml:space="preserve">1058</x:t>
  </x:si>
  <x:si>
    <x:t xml:space="preserve">FA-1058</x:t>
  </x:si>
  <x:si>
    <x:t xml:space="preserve">MEJIA VILLANUEVA ESTHER</x:t>
  </x:si>
  <x:si>
    <x:t xml:space="preserve">42243508</x:t>
  </x:si>
  <x:si>
    <x:t xml:space="preserve">0070699</x:t>
  </x:si>
  <x:si>
    <x:t xml:space="preserve">87773</x:t>
  </x:si>
  <x:si>
    <x:t xml:space="preserve">100495</x:t>
  </x:si>
  <x:si>
    <x:t xml:space="preserve">5709</x:t>
  </x:si>
  <x:si>
    <x:t xml:space="preserve">BO-5709</x:t>
  </x:si>
  <x:si>
    <x:t xml:space="preserve">CORREA ROSALES CARMEN</x:t>
  </x:si>
  <x:si>
    <x:t xml:space="preserve">20557709</x:t>
  </x:si>
  <x:si>
    <x:t xml:space="preserve">0070462</x:t>
  </x:si>
  <x:si>
    <x:t xml:space="preserve">88017</x:t>
  </x:si>
  <x:si>
    <x:t xml:space="preserve">100945</x:t>
  </x:si>
  <x:si>
    <x:t xml:space="preserve">552</x:t>
  </x:si>
  <x:si>
    <x:t xml:space="preserve">FA-552</x:t>
  </x:si>
  <x:si>
    <x:t xml:space="preserve">ALFARO LAURA OSCAR WALDIR</x:t>
  </x:si>
  <x:si>
    <x:t xml:space="preserve">71856112</x:t>
  </x:si>
  <x:si>
    <x:t xml:space="preserve">0070922</x:t>
  </x:si>
  <x:si>
    <x:t xml:space="preserve">88303</x:t>
  </x:si>
  <x:si>
    <x:t xml:space="preserve">103720</x:t>
  </x:si>
  <x:si>
    <x:t xml:space="preserve">407</x:t>
  </x:si>
  <x:si>
    <x:t xml:space="preserve">BO-407</x:t>
  </x:si>
  <x:si>
    <x:t xml:space="preserve">TITO MAYS FLOR JENNY</x:t>
  </x:si>
  <x:si>
    <x:t xml:space="preserve">22508164</x:t>
  </x:si>
  <x:si>
    <x:t xml:space="preserve">RODRIGUEZ RIVERO DARLEN</x:t>
  </x:si>
  <x:si>
    <x:t xml:space="preserve">0072407</x:t>
  </x:si>
  <x:si>
    <x:t xml:space="preserve">+51951321998</x:t>
  </x:si>
  <x:si>
    <x:t xml:space="preserve">90634</x:t>
  </x:si>
  <x:si>
    <x:t xml:space="preserve">MCARDENA</x:t>
  </x:si>
  <x:si>
    <x:t xml:space="preserve">191-06277655064</x:t>
  </x:si>
  <x:si>
    <x:t xml:space="preserve">99431</x:t>
  </x:si>
  <x:si>
    <x:t xml:space="preserve">11651</x:t>
  </x:si>
  <x:si>
    <x:t xml:space="preserve">BO-11651</x:t>
  </x:si>
  <x:si>
    <x:t xml:space="preserve">SECLEN LLONTOP DE TULLUME LIDIA LUZ</x:t>
  </x:si>
  <x:si>
    <x:t xml:space="preserve">08454992</x:t>
  </x:si>
  <x:si>
    <x:t xml:space="preserve">REYES JORGE</x:t>
  </x:si>
  <x:si>
    <x:t xml:space="preserve">0070382</x:t>
  </x:si>
  <x:si>
    <x:t xml:space="preserve">999978226</x:t>
  </x:si>
  <x:si>
    <x:t xml:space="preserve">87202</x:t>
  </x:si>
  <x:si>
    <x:t xml:space="preserve">103669</x:t>
  </x:si>
  <x:si>
    <x:t xml:space="preserve">577</x:t>
  </x:si>
  <x:si>
    <x:t xml:space="preserve">FA-577</x:t>
  </x:si>
  <x:si>
    <x:t xml:space="preserve">GOMEZ RAMIREZ JEAN PIERO CHRISTOPH</x:t>
  </x:si>
  <x:si>
    <x:t xml:space="preserve">75857774</x:t>
  </x:si>
  <x:si>
    <x:t xml:space="preserve">RAMOS COOPER SHIRLEY IVONNE</x:t>
  </x:si>
  <x:si>
    <x:t xml:space="preserve">0072398</x:t>
  </x:si>
  <x:si>
    <x:t xml:space="preserve">949735823</x:t>
  </x:si>
  <x:si>
    <x:t xml:space="preserve">ANTOFE CONSTRUCCION &amp; SERVICIOS S.A.C.</x:t>
  </x:si>
  <x:si>
    <x:t xml:space="preserve">90609</x:t>
  </x:si>
  <x:si>
    <x:t xml:space="preserve">166-3067691171</x:t>
  </x:si>
  <x:si>
    <x:t xml:space="preserve">100650</x:t>
  </x:si>
  <x:si>
    <x:t xml:space="preserve">548</x:t>
  </x:si>
  <x:si>
    <x:t xml:space="preserve">FA-548</x:t>
  </x:si>
  <x:si>
    <x:t xml:space="preserve">GARAY CANELON ZENOBIA</x:t>
  </x:si>
  <x:si>
    <x:t xml:space="preserve">08608333</x:t>
  </x:si>
  <x:si>
    <x:t xml:space="preserve">TERAN SANCHEZ GUILLERMO ALFONSO</x:t>
  </x:si>
  <x:si>
    <x:t xml:space="preserve">0070944</x:t>
  </x:si>
  <x:si>
    <x:t xml:space="preserve">984299211</x:t>
  </x:si>
  <x:si>
    <x:t xml:space="preserve">T &amp; T OFTALMOLOGOS ASOCIADOS S.A.C.</x:t>
  </x:si>
  <x:si>
    <x:t xml:space="preserve">88163</x:t>
  </x:si>
  <x:si>
    <x:t xml:space="preserve">135-3012737506</x:t>
  </x:si>
  <x:si>
    <x:t xml:space="preserve">100247</x:t>
  </x:si>
  <x:si>
    <x:t xml:space="preserve">11778</x:t>
  </x:si>
  <x:si>
    <x:t xml:space="preserve">BO-11778</x:t>
  </x:si>
  <x:si>
    <x:t xml:space="preserve">TAVARA SILVA ABEL</x:t>
  </x:si>
  <x:si>
    <x:t xml:space="preserve">25827595</x:t>
  </x:si>
  <x:si>
    <x:t xml:space="preserve">JAVE ESCALANTE LIZETH</x:t>
  </x:si>
  <x:si>
    <x:t xml:space="preserve">0055542</x:t>
  </x:si>
  <x:si>
    <x:t xml:space="preserve">980663171</x:t>
  </x:si>
  <x:si>
    <x:t xml:space="preserve">87854</x:t>
  </x:si>
  <x:si>
    <x:t xml:space="preserve">200-3076497260</x:t>
  </x:si>
  <x:si>
    <x:t xml:space="preserve">102814</x:t>
  </x:si>
  <x:si>
    <x:t xml:space="preserve">5965</x:t>
  </x:si>
  <x:si>
    <x:t xml:space="preserve">BO-5965</x:t>
  </x:si>
  <x:si>
    <x:t xml:space="preserve">LOPEZ CALLE JOSE DE LA LUZ</x:t>
  </x:si>
  <x:si>
    <x:t xml:space="preserve">09211801</x:t>
  </x:si>
  <x:si>
    <x:t xml:space="preserve">0071949</x:t>
  </x:si>
  <x:si>
    <x:t xml:space="preserve">950681335</x:t>
  </x:si>
  <x:si>
    <x:t xml:space="preserve">89901</x:t>
  </x:si>
  <x:si>
    <x:t xml:space="preserve">99560</x:t>
  </x:si>
  <x:si>
    <x:t xml:space="preserve">11678</x:t>
  </x:si>
  <x:si>
    <x:t xml:space="preserve">BO-11678</x:t>
  </x:si>
  <x:si>
    <x:t xml:space="preserve">CORTEZ CANCHIS FLOR DE MARIA</x:t>
  </x:si>
  <x:si>
    <x:t xml:space="preserve">09738269</x:t>
  </x:si>
  <x:si>
    <x:t xml:space="preserve">MORALES</x:t>
  </x:si>
  <x:si>
    <x:t xml:space="preserve">0070447</x:t>
  </x:si>
  <x:si>
    <x:t xml:space="preserve">903052353</x:t>
  </x:si>
  <x:si>
    <x:t xml:space="preserve">87324</x:t>
  </x:si>
  <x:si>
    <x:t xml:space="preserve">103402</x:t>
  </x:si>
  <x:si>
    <x:t xml:space="preserve">12210</x:t>
  </x:si>
  <x:si>
    <x:t xml:space="preserve">BO-12210</x:t>
  </x:si>
  <x:si>
    <x:t xml:space="preserve">DAGA CABALLERO ROSALIA EYMI</x:t>
  </x:si>
  <x:si>
    <x:t xml:space="preserve">78558270</x:t>
  </x:si>
  <x:si>
    <x:t xml:space="preserve">POMAZONGO GOYAS MANUEL ALEJANDRO</x:t>
  </x:si>
  <x:si>
    <x:t xml:space="preserve">0072259</x:t>
  </x:si>
  <x:si>
    <x:t xml:space="preserve">963524828</x:t>
  </x:si>
  <x:si>
    <x:t xml:space="preserve">90426</x:t>
  </x:si>
  <x:si>
    <x:t xml:space="preserve">027-7601910</x:t>
  </x:si>
  <x:si>
    <x:t xml:space="preserve">99652</x:t>
  </x:si>
  <x:si>
    <x:t xml:space="preserve">11704</x:t>
  </x:si>
  <x:si>
    <x:t xml:space="preserve">BO-11704</x:t>
  </x:si>
  <x:si>
    <x:t xml:space="preserve">ZEGARRA MENDOZA CESAR AUGUSTO</x:t>
  </x:si>
  <x:si>
    <x:t xml:space="preserve">29484735</x:t>
  </x:si>
  <x:si>
    <x:t xml:space="preserve">CALCINA</x:t>
  </x:si>
  <x:si>
    <x:t xml:space="preserve">0070492</x:t>
  </x:si>
  <x:si>
    <x:t xml:space="preserve">979618340</x:t>
  </x:si>
  <x:si>
    <x:t xml:space="preserve">87401</x:t>
  </x:si>
  <x:si>
    <x:t xml:space="preserve">103459</x:t>
  </x:si>
  <x:si>
    <x:t xml:space="preserve">12218</x:t>
  </x:si>
  <x:si>
    <x:t xml:space="preserve">BO-12218</x:t>
  </x:si>
  <x:si>
    <x:t xml:space="preserve">VILCHEZ QUISPE TOMAS</x:t>
  </x:si>
  <x:si>
    <x:t xml:space="preserve">08314317</x:t>
  </x:si>
  <x:si>
    <x:t xml:space="preserve">TARAZONA CHAVEZ ROSAMARIA</x:t>
  </x:si>
  <x:si>
    <x:t xml:space="preserve">0072284</x:t>
  </x:si>
  <x:si>
    <x:t xml:space="preserve">941383018</x:t>
  </x:si>
  <x:si>
    <x:t xml:space="preserve">90471</x:t>
  </x:si>
  <x:si>
    <x:t xml:space="preserve">100237</x:t>
  </x:si>
  <x:si>
    <x:t xml:space="preserve">11776</x:t>
  </x:si>
  <x:si>
    <x:t xml:space="preserve">BO-11776</x:t>
  </x:si>
  <x:si>
    <x:t xml:space="preserve">SOLIS POMA LUCIA</x:t>
  </x:si>
  <x:si>
    <x:t xml:space="preserve">06309577</x:t>
  </x:si>
  <x:si>
    <x:t xml:space="preserve">ALDAVE</x:t>
  </x:si>
  <x:si>
    <x:t xml:space="preserve">0070746</x:t>
  </x:si>
  <x:si>
    <x:t xml:space="preserve">958964480</x:t>
  </x:si>
  <x:si>
    <x:t xml:space="preserve">87846</x:t>
  </x:si>
  <x:si>
    <x:t xml:space="preserve">102983</x:t>
  </x:si>
  <x:si>
    <x:t xml:space="preserve">5985</x:t>
  </x:si>
  <x:si>
    <x:t xml:space="preserve">BO-5985</x:t>
  </x:si>
  <x:si>
    <x:t xml:space="preserve">ANDAMAYO POPE ROCIO GISELA</x:t>
  </x:si>
  <x:si>
    <x:t xml:space="preserve">47014334</x:t>
  </x:si>
  <x:si>
    <x:t xml:space="preserve">PONCE TORRES YANISEY</x:t>
  </x:si>
  <x:si>
    <x:t xml:space="preserve">0065998</x:t>
  </x:si>
  <x:si>
    <x:t xml:space="preserve">945413137</x:t>
  </x:si>
  <x:si>
    <x:t xml:space="preserve">90045</x:t>
  </x:si>
  <x:si>
    <x:t xml:space="preserve">193-13173124085</x:t>
  </x:si>
  <x:si>
    <x:t xml:space="preserve">100315</x:t>
  </x:si>
  <x:si>
    <x:t xml:space="preserve">11788</x:t>
  </x:si>
  <x:si>
    <x:t xml:space="preserve">BO-11788</x:t>
  </x:si>
  <x:si>
    <x:t xml:space="preserve">SANCHEZ ORTEGA GUILLERMO ANTONIO</x:t>
  </x:si>
  <x:si>
    <x:t xml:space="preserve">02635978</x:t>
  </x:si>
  <x:si>
    <x:t xml:space="preserve">FERNANDEZ OLGA PATRICIA</x:t>
  </x:si>
  <x:si>
    <x:t xml:space="preserve">0070786</x:t>
  </x:si>
  <x:si>
    <x:t xml:space="preserve">933936240</x:t>
  </x:si>
  <x:si>
    <x:t xml:space="preserve">87918</x:t>
  </x:si>
  <x:si>
    <x:t xml:space="preserve">100451</x:t>
  </x:si>
  <x:si>
    <x:t xml:space="preserve">546</x:t>
  </x:si>
  <x:si>
    <x:t xml:space="preserve">FA-546</x:t>
  </x:si>
  <x:si>
    <x:t xml:space="preserve">LEON VELIZ DE HUATUCO LADY MARY</x:t>
  </x:si>
  <x:si>
    <x:t xml:space="preserve">06652711</x:t>
  </x:si>
  <x:si>
    <x:t xml:space="preserve">0042218</x:t>
  </x:si>
  <x:si>
    <x:t xml:space="preserve">981143710</x:t>
  </x:si>
  <x:si>
    <x:t xml:space="preserve">88016</x:t>
  </x:si>
  <x:si>
    <x:t xml:space="preserve">100368</x:t>
  </x:si>
  <x:si>
    <x:t xml:space="preserve">11798</x:t>
  </x:si>
  <x:si>
    <x:t xml:space="preserve">BO-11798</x:t>
  </x:si>
  <x:si>
    <x:t xml:space="preserve">ASMAD LOKUAN KATHERINE STEFANY</x:t>
  </x:si>
  <x:si>
    <x:t xml:space="preserve">44651542</x:t>
  </x:si>
  <x:si>
    <x:t xml:space="preserve">ROMERO EDUARDO</x:t>
  </x:si>
  <x:si>
    <x:t xml:space="preserve">0052353</x:t>
  </x:si>
  <x:si>
    <x:t xml:space="preserve">991967687</x:t>
  </x:si>
  <x:si>
    <x:t xml:space="preserve">87958</x:t>
  </x:si>
  <x:si>
    <x:t xml:space="preserve">100639</x:t>
  </x:si>
  <x:si>
    <x:t xml:space="preserve">1059</x:t>
  </x:si>
  <x:si>
    <x:t xml:space="preserve">FA-1059</x:t>
  </x:si>
  <x:si>
    <x:t xml:space="preserve">VEGA DIESTRA WALTER JULIAN</x:t>
  </x:si>
  <x:si>
    <x:t xml:space="preserve">06025532</x:t>
  </x:si>
  <x:si>
    <x:t xml:space="preserve">CHACÓN ENRIQUE</x:t>
  </x:si>
  <x:si>
    <x:t xml:space="preserve">HOSPITAL HIPOLITO UNANUE</x:t>
  </x:si>
  <x:si>
    <x:t xml:space="preserve">0070929</x:t>
  </x:si>
  <x:si>
    <x:t xml:space="preserve">934191688</x:t>
  </x:si>
  <x:si>
    <x:t xml:space="preserve">VEGA MUNASCA PAULO CESAR</x:t>
  </x:si>
  <x:si>
    <x:t xml:space="preserve">88151</x:t>
  </x:si>
  <x:si>
    <x:t xml:space="preserve">100536</x:t>
  </x:si>
  <x:si>
    <x:t xml:space="preserve">11824</x:t>
  </x:si>
  <x:si>
    <x:t xml:space="preserve">BO-11824</x:t>
  </x:si>
  <x:si>
    <x:t xml:space="preserve">ALVAREZ PORRAS YESSICA</x:t>
  </x:si>
  <x:si>
    <x:t xml:space="preserve">44893895</x:t>
  </x:si>
  <x:si>
    <x:t xml:space="preserve">GAMERO FERNANDEZ EBERTH</x:t>
  </x:si>
  <x:si>
    <x:t xml:space="preserve">0070635</x:t>
  </x:si>
  <x:si>
    <x:t xml:space="preserve">984776522</x:t>
  </x:si>
  <x:si>
    <x:t xml:space="preserve">88084</x:t>
  </x:si>
  <x:si>
    <x:t xml:space="preserve">100776</x:t>
  </x:si>
  <x:si>
    <x:t xml:space="preserve">11881</x:t>
  </x:si>
  <x:si>
    <x:t xml:space="preserve">BO-11881</x:t>
  </x:si>
  <x:si>
    <x:t xml:space="preserve">REYES DIAZ JORGE RICARDO</x:t>
  </x:si>
  <x:si>
    <x:t xml:space="preserve">88277</x:t>
  </x:si>
  <x:si>
    <x:t xml:space="preserve">193-05549355007</x:t>
  </x:si>
  <x:si>
    <x:t xml:space="preserve">100688</x:t>
  </x:si>
  <x:si>
    <x:t xml:space="preserve">11860</x:t>
  </x:si>
  <x:si>
    <x:t xml:space="preserve">BO-11860</x:t>
  </x:si>
  <x:si>
    <x:t xml:space="preserve">LLAXA ALAYA ALEXANDER</x:t>
  </x:si>
  <x:si>
    <x:t xml:space="preserve">45265851</x:t>
  </x:si>
  <x:si>
    <x:t xml:space="preserve">HUANAMPA CARLOS</x:t>
  </x:si>
  <x:si>
    <x:t xml:space="preserve">0070986</x:t>
  </x:si>
  <x:si>
    <x:t xml:space="preserve">923423466</x:t>
  </x:si>
  <x:si>
    <x:t xml:space="preserve">88195</x:t>
  </x:si>
  <x:si>
    <x:t xml:space="preserve">2394</x:t>
  </x:si>
  <x:si>
    <x:t xml:space="preserve">11913</x:t>
  </x:si>
  <x:si>
    <x:t xml:space="preserve">NC-11913</x:t>
  </x:si>
  <x:si>
    <x:t xml:space="preserve">CAYLLAHUA CHALCO MARCELO</x:t>
  </x:si>
  <x:si>
    <x:t xml:space="preserve">08301706</x:t>
  </x:si>
  <x:si>
    <x:t xml:space="preserve">SANCHEZ SERGIO</x:t>
  </x:si>
  <x:si>
    <x:t xml:space="preserve">0071117</x:t>
  </x:si>
  <x:si>
    <x:t xml:space="preserve">930723250</x:t>
  </x:si>
  <x:si>
    <x:t xml:space="preserve">88471</x:t>
  </x:si>
  <x:si>
    <x:t xml:space="preserve">BO-11913</x:t>
  </x:si>
  <x:si>
    <x:t xml:space="preserve">102964</x:t>
  </x:si>
  <x:si>
    <x:t xml:space="preserve">12132</x:t>
  </x:si>
  <x:si>
    <x:t xml:space="preserve">BO-12132</x:t>
  </x:si>
  <x:si>
    <x:t xml:space="preserve">VASQUEZ VELA ENEDINA</x:t>
  </x:si>
  <x:si>
    <x:t xml:space="preserve">05367935</x:t>
  </x:si>
  <x:si>
    <x:t xml:space="preserve">QUISPE BECERRA JOSUE</x:t>
  </x:si>
  <x:si>
    <x:t xml:space="preserve">0072032</x:t>
  </x:si>
  <x:si>
    <x:t xml:space="preserve">933336002</x:t>
  </x:si>
  <x:si>
    <x:t xml:space="preserve">90039</x:t>
  </x:si>
  <x:si>
    <x:t xml:space="preserve">102966</x:t>
  </x:si>
  <x:si>
    <x:t xml:space="preserve">12134</x:t>
  </x:si>
  <x:si>
    <x:t xml:space="preserve">BO-12134</x:t>
  </x:si>
  <x:si>
    <x:t xml:space="preserve">90043</x:t>
  </x:si>
  <x:si>
    <x:t xml:space="preserve">103313</x:t>
  </x:si>
  <x:si>
    <x:t xml:space="preserve">1082</x:t>
  </x:si>
  <x:si>
    <x:t xml:space="preserve">FA-1082</x:t>
  </x:si>
  <x:si>
    <x:t xml:space="preserve">CUEVA CHAVEZ POMPEYO ANTONIO</x:t>
  </x:si>
  <x:si>
    <x:t xml:space="preserve">32488966</x:t>
  </x:si>
  <x:si>
    <x:t xml:space="preserve">CHOQUE MILAGROS</x:t>
  </x:si>
  <x:si>
    <x:t xml:space="preserve">HOSPITAL SAN JUAN DE LURIGANCHO</x:t>
  </x:si>
  <x:si>
    <x:t xml:space="preserve">0071971</x:t>
  </x:si>
  <x:si>
    <x:t xml:space="preserve">OFTALMOLOGICA E.I.R.L.</x:t>
  </x:si>
  <x:si>
    <x:t xml:space="preserve">90286</x:t>
  </x:si>
  <x:si>
    <x:t xml:space="preserve">103028</x:t>
  </x:si>
  <x:si>
    <x:t xml:space="preserve">12152</x:t>
  </x:si>
  <x:si>
    <x:t xml:space="preserve">BO-12152</x:t>
  </x:si>
  <x:si>
    <x:t xml:space="preserve">RAMIREZ PENA GREGORIO JOSE</x:t>
  </x:si>
  <x:si>
    <x:t xml:space="preserve">07153375</x:t>
  </x:si>
  <x:si>
    <x:t xml:space="preserve">CESPEDES LANZA RENZO</x:t>
  </x:si>
  <x:si>
    <x:t xml:space="preserve">0072065</x:t>
  </x:si>
  <x:si>
    <x:t xml:space="preserve">990043862</x:t>
  </x:si>
  <x:si>
    <x:t xml:space="preserve">90101</x:t>
  </x:si>
  <x:si>
    <x:t xml:space="preserve">103219</x:t>
  </x:si>
  <x:si>
    <x:t xml:space="preserve">6008</x:t>
  </x:si>
  <x:si>
    <x:t xml:space="preserve">BO-6008</x:t>
  </x:si>
  <x:si>
    <x:t xml:space="preserve">GUADALUPE GONAS EDGARD</x:t>
  </x:si>
  <x:si>
    <x:t xml:space="preserve">07175080</x:t>
  </x:si>
  <x:si>
    <x:t xml:space="preserve">0072175</x:t>
  </x:si>
  <x:si>
    <x:t xml:space="preserve">945040645</x:t>
  </x:si>
  <x:si>
    <x:t xml:space="preserve">90265</x:t>
  </x:si>
  <x:si>
    <x:t xml:space="preserve">103367</x:t>
  </x:si>
  <x:si>
    <x:t xml:space="preserve">12204</x:t>
  </x:si>
  <x:si>
    <x:t xml:space="preserve">BO-12204</x:t>
  </x:si>
  <x:si>
    <x:t xml:space="preserve">ROMAN TORRES AMANCIA</x:t>
  </x:si>
  <x:si>
    <x:t xml:space="preserve">08083502</x:t>
  </x:si>
  <x:si>
    <x:t xml:space="preserve">LEON SUAREZ LUIS</x:t>
  </x:si>
  <x:si>
    <x:t xml:space="preserve">0062809</x:t>
  </x:si>
  <x:si>
    <x:t xml:space="preserve">960518706</x:t>
  </x:si>
  <x:si>
    <x:t xml:space="preserve">90373</x:t>
  </x:si>
  <x:si>
    <x:t xml:space="preserve">103452</x:t>
  </x:si>
  <x:si>
    <x:t xml:space="preserve">6037</x:t>
  </x:si>
  <x:si>
    <x:t xml:space="preserve">BO-6037</x:t>
  </x:si>
  <x:si>
    <x:t xml:space="preserve">AQUINO NICHO RAUL</x:t>
  </x:si>
  <x:si>
    <x:t xml:space="preserve">15692736</x:t>
  </x:si>
  <x:si>
    <x:t xml:space="preserve">ISABEL PALACIOS RAISA LORENA</x:t>
  </x:si>
  <x:si>
    <x:t xml:space="preserve">0072276</x:t>
  </x:si>
  <x:si>
    <x:t xml:space="preserve">935541651</x:t>
  </x:si>
  <x:si>
    <x:t xml:space="preserve">90462</x:t>
  </x:si>
  <x:si>
    <x:t xml:space="preserve">103738</x:t>
  </x:si>
  <x:si>
    <x:t xml:space="preserve">6069</x:t>
  </x:si>
  <x:si>
    <x:t xml:space="preserve">BO-6069</x:t>
  </x:si>
  <x:si>
    <x:t xml:space="preserve">90664</x:t>
  </x:si>
  <x:si>
    <x:t xml:space="preserve">103740</x:t>
  </x:si>
  <x:si>
    <x:t xml:space="preserve">6070</x:t>
  </x:si>
  <x:si>
    <x:t xml:space="preserve">BO-6070</x:t>
  </x:si>
  <x:si>
    <x:t xml:space="preserve">90665</x:t>
  </x:si>
  <x:si>
    <x:t xml:space="preserve">103774</x:t>
  </x:si>
  <x:si>
    <x:t xml:space="preserve">12258</x:t>
  </x:si>
  <x:si>
    <x:t xml:space="preserve">BO-12258</x:t>
  </x:si>
  <x:si>
    <x:t xml:space="preserve">LOYA JACO EUSTAQUIA</x:t>
  </x:si>
  <x:si>
    <x:t xml:space="preserve">07671188</x:t>
  </x:si>
  <x:si>
    <x:t xml:space="preserve">0072454</x:t>
  </x:si>
  <x:si>
    <x:t xml:space="preserve">999294782</x:t>
  </x:si>
  <x:si>
    <x:t xml:space="preserve">90700</x:t>
  </x:si>
  <x:si>
    <x:t xml:space="preserve">103785</x:t>
  </x:si>
  <x:si>
    <x:t xml:space="preserve">12260</x:t>
  </x:si>
  <x:si>
    <x:t xml:space="preserve">BO-12260</x:t>
  </x:si>
  <x:si>
    <x:t xml:space="preserve">NICHO CUICAPUSA NORMA ADELA</x:t>
  </x:si>
  <x:si>
    <x:t xml:space="preserve">08206206</x:t>
  </x:si>
  <x:si>
    <x:t xml:space="preserve">PACHAS CHURA LIDIA VANESSA</x:t>
  </x:si>
  <x:si>
    <x:t xml:space="preserve">HOSPITAL SABOGAL</x:t>
  </x:si>
  <x:si>
    <x:t xml:space="preserve">0072459</x:t>
  </x:si>
  <x:si>
    <x:t xml:space="preserve">948055810</x:t>
  </x:si>
  <x:si>
    <x:t xml:space="preserve">90705</x:t>
  </x:si>
  <x:si>
    <x:t xml:space="preserve">0011-0467-0200078608</x:t>
  </x:si>
  <x:si>
    <x:t xml:space="preserve">103787</x:t>
  </x:si>
  <x:si>
    <x:t xml:space="preserve">4402</x:t>
  </x:si>
  <x:si>
    <x:t xml:space="preserve">BO-4402</x:t>
  </x:si>
  <x:si>
    <x:t xml:space="preserve">FLORES MACEDO DE MARTINEZ AZALIA</x:t>
  </x:si>
  <x:si>
    <x:t xml:space="preserve">07569338</x:t>
  </x:si>
  <x:si>
    <x:t xml:space="preserve">0072462</x:t>
  </x:si>
  <x:si>
    <x:t xml:space="preserve">981557844</x:t>
  </x:si>
  <x:si>
    <x:t xml:space="preserve">90707</x:t>
  </x:si>
  <x:si>
    <x:t xml:space="preserve">103788</x:t>
  </x:si>
  <x:si>
    <x:t xml:space="preserve">1084</x:t>
  </x:si>
  <x:si>
    <x:t xml:space="preserve">FA-1084</x:t>
  </x:si>
  <x:si>
    <x:t xml:space="preserve">ORTIZ SANCHEZ VICENTE</x:t>
  </x:si>
  <x:si>
    <x:t xml:space="preserve">25812336</x:t>
  </x:si>
  <x:si>
    <x:t xml:space="preserve">TANAKA LUIS</x:t>
  </x:si>
  <x:si>
    <x:t xml:space="preserve">0072449</x:t>
  </x:si>
  <x:si>
    <x:t xml:space="preserve">988423138</x:t>
  </x:si>
  <x:si>
    <x:t xml:space="preserve">JDO INVERSIONES MEDICAS S.A.C.</x:t>
  </x:si>
  <x:si>
    <x:t xml:space="preserve">90708</x:t>
  </x:si>
  <x:si>
    <x:t xml:space="preserve">USO DE EQUIPOS E INSUMO FOTOCOAGULACION</x:t>
  </x:si>
  <x:si>
    <x:t xml:space="preserve">103793</x:t>
  </x:si>
  <x:si>
    <x:t xml:space="preserve">4403</x:t>
  </x:si>
  <x:si>
    <x:t xml:space="preserve">BO-4403</x:t>
  </x:si>
  <x:si>
    <x:t xml:space="preserve">VILLANUEVA VALVERDE ADRIANA CRISTINA</x:t>
  </x:si>
  <x:si>
    <x:t xml:space="preserve">25444469</x:t>
  </x:si>
  <x:si>
    <x:t xml:space="preserve">0072466</x:t>
  </x:si>
  <x:si>
    <x:t xml:space="preserve">999189335</x:t>
  </x:si>
  <x:si>
    <x:t xml:space="preserve">90710</x:t>
  </x:si>
  <x:si>
    <x:t xml:space="preserve">103854</x:t>
  </x:si>
  <x:si>
    <x:t xml:space="preserve">12267</x:t>
  </x:si>
  <x:si>
    <x:t xml:space="preserve">BO-12267</x:t>
  </x:si>
  <x:si>
    <x:t xml:space="preserve">QUIJANO MEJIA DE VIDAL RITA FAURA</x:t>
  </x:si>
  <x:si>
    <x:t xml:space="preserve">06185777</x:t>
  </x:si>
  <x:si>
    <x:t xml:space="preserve">0071397</x:t>
  </x:si>
  <x:si>
    <x:t xml:space="preserve">991456955</x:t>
  </x:si>
  <x:si>
    <x:t xml:space="preserve">89061</x:t>
  </x:si>
  <x:si>
    <x:t xml:space="preserve">103890</x:t>
  </x:si>
  <x:si>
    <x:t xml:space="preserve">12273</x:t>
  </x:si>
  <x:si>
    <x:t xml:space="preserve">BO-12273</x:t>
  </x:si>
  <x:si>
    <x:t xml:space="preserve">ALVAREZ CHAVEZ HUBERT</x:t>
  </x:si>
  <x:si>
    <x:t xml:space="preserve">40400731</x:t>
  </x:si>
  <x:si>
    <x:t xml:space="preserve">0050342</x:t>
  </x:si>
  <x:si>
    <x:t xml:space="preserve">959965071</x:t>
  </x:si>
  <x:si>
    <x:t xml:space="preserve">90769</x:t>
  </x:si>
  <x:si>
    <x:t xml:space="preserve">103927</x:t>
  </x:si>
  <x:si>
    <x:t xml:space="preserve">12276</x:t>
  </x:si>
  <x:si>
    <x:t xml:space="preserve">BO-12276</x:t>
  </x:si>
  <x:si>
    <x:t xml:space="preserve">ARANGO TABOADA EFE JUAN GUALBERTO</x:t>
  </x:si>
  <x:si>
    <x:t xml:space="preserve">06849741</x:t>
  </x:si>
  <x:si>
    <x:t xml:space="preserve">HUAMAN GONZALEZ JORGE ANTONIO</x:t>
  </x:si>
  <x:si>
    <x:t xml:space="preserve">POLICLINICO SAN JUAN DE MIRAFLORES</x:t>
  </x:si>
  <x:si>
    <x:t xml:space="preserve">0054184</x:t>
  </x:si>
  <x:si>
    <x:t xml:space="preserve">945060166</x:t>
  </x:si>
  <x:si>
    <x:t xml:space="preserve">90812</x:t>
  </x:si>
  <x:si>
    <x:t xml:space="preserve">193-76554045016</x:t>
  </x:si>
  <x:si>
    <x:t xml:space="preserve">103962</x:t>
  </x:si>
  <x:si>
    <x:t xml:space="preserve">6094</x:t>
  </x:si>
  <x:si>
    <x:t xml:space="preserve">BO-6094</x:t>
  </x:si>
  <x:si>
    <x:t xml:space="preserve">MARTINEZ SOPLIN MICAELA</x:t>
  </x:si>
  <x:si>
    <x:t xml:space="preserve">04522025</x:t>
  </x:si>
  <x:si>
    <x:t xml:space="preserve">BACA CHAVEZ MERCEDES</x:t>
  </x:si>
  <x:si>
    <x:t xml:space="preserve">0072518</x:t>
  </x:si>
  <x:si>
    <x:t xml:space="preserve">992267851</x:t>
  </x:si>
  <x:si>
    <x:t xml:space="preserve">90841</x:t>
  </x:si>
  <x:si>
    <x:t xml:space="preserve">103984</x:t>
  </x:si>
  <x:si>
    <x:t xml:space="preserve">4908</x:t>
  </x:si>
  <x:si>
    <x:t xml:space="preserve">BO-4908</x:t>
  </x:si>
  <x:si>
    <x:t xml:space="preserve">NEVES GARCIA JUAN FERNANDO</x:t>
  </x:si>
  <x:si>
    <x:t xml:space="preserve">08604575</x:t>
  </x:si>
  <x:si>
    <x:t xml:space="preserve">ENCISO QUILLA KARIN</x:t>
  </x:si>
  <x:si>
    <x:t xml:space="preserve">SISOL DE LOS OLIVOS</x:t>
  </x:si>
  <x:si>
    <x:t xml:space="preserve">0009916</x:t>
  </x:si>
  <x:si>
    <x:t xml:space="preserve">950418896</x:t>
  </x:si>
  <x:si>
    <x:t xml:space="preserve">90849</x:t>
  </x:si>
  <x:si>
    <x:t xml:space="preserve">INTERVENCIONES QUIRURGICAS</x:t>
  </x:si>
  <x:si>
    <x:t xml:space="preserve">104007</x:t>
  </x:si>
  <x:si>
    <x:t xml:space="preserve">423</x:t>
  </x:si>
  <x:si>
    <x:t xml:space="preserve">BO-423</x:t>
  </x:si>
  <x:si>
    <x:t xml:space="preserve">CALDERON LIENDO KATHARINE ROSA</x:t>
  </x:si>
  <x:si>
    <x:t xml:space="preserve">09432835</x:t>
  </x:si>
  <x:si>
    <x:t xml:space="preserve">GRACIA VALENTINA</x:t>
  </x:si>
  <x:si>
    <x:t xml:space="preserve">0069777</x:t>
  </x:si>
  <x:si>
    <x:t xml:space="preserve">947223508</x:t>
  </x:si>
  <x:si>
    <x:t xml:space="preserve">86350</x:t>
  </x:si>
  <x:si>
    <x:t xml:space="preserve">104029</x:t>
  </x:si>
  <x:si>
    <x:t xml:space="preserve">6102</x:t>
  </x:si>
  <x:si>
    <x:t xml:space="preserve">BO-6102</x:t>
  </x:si>
  <x:si>
    <x:t xml:space="preserve">ACUÑA OROSCO DE GONZALES MARGARITA</x:t>
  </x:si>
  <x:si>
    <x:t xml:space="preserve">31123215</x:t>
  </x:si>
  <x:si>
    <x:t xml:space="preserve">0072500</x:t>
  </x:si>
  <x:si>
    <x:t xml:space="preserve">920185385</x:t>
  </x:si>
  <x:si>
    <x:t xml:space="preserve">90902</x:t>
  </x:si>
  <x:si>
    <x:t xml:space="preserve">104030</x:t>
  </x:si>
  <x:si>
    <x:t xml:space="preserve">6103</x:t>
  </x:si>
  <x:si>
    <x:t xml:space="preserve">BO-6103</x:t>
  </x:si>
  <x:si>
    <x:t xml:space="preserve">90903</x:t>
  </x:si>
  <x:si>
    <x:t xml:space="preserve">104031</x:t>
  </x:si>
  <x:si>
    <x:t xml:space="preserve">6104</x:t>
  </x:si>
  <x:si>
    <x:t xml:space="preserve">BO-6104</x:t>
  </x:si>
  <x:si>
    <x:t xml:space="preserve">90904</x:t>
  </x:si>
  <x:si>
    <x:t xml:space="preserve">104034</x:t>
  </x:si>
  <x:si>
    <x:t xml:space="preserve">12284</x:t>
  </x:si>
  <x:si>
    <x:t xml:space="preserve">BO-12284</x:t>
  </x:si>
  <x:si>
    <x:t xml:space="preserve">BAILON VASQUEZ BETSABE</x:t>
  </x:si>
  <x:si>
    <x:t xml:space="preserve">48619707</x:t>
  </x:si>
  <x:si>
    <x:t xml:space="preserve">0072549</x:t>
  </x:si>
  <x:si>
    <x:t xml:space="preserve">96972619</x:t>
  </x:si>
  <x:si>
    <x:t xml:space="preserve">90907</x:t>
  </x:si>
  <x:si>
    <x:t xml:space="preserve">104057</x:t>
  </x:si>
  <x:si>
    <x:t xml:space="preserve">6108</x:t>
  </x:si>
  <x:si>
    <x:t xml:space="preserve">BO-6108</x:t>
  </x:si>
  <x:si>
    <x:t xml:space="preserve">ARO RAFAELA DE PAZOS MAGDALENA JUSTINA</x:t>
  </x:si>
  <x:si>
    <x:t xml:space="preserve">15649921</x:t>
  </x:si>
  <x:si>
    <x:t xml:space="preserve">0072553</x:t>
  </x:si>
  <x:si>
    <x:t xml:space="preserve">985469921</x:t>
  </x:si>
  <x:si>
    <x:t xml:space="preserve">90925</x:t>
  </x:si>
  <x:si>
    <x:t xml:space="preserve">104061</x:t>
  </x:si>
  <x:si>
    <x:t xml:space="preserve">6110</x:t>
  </x:si>
  <x:si>
    <x:t xml:space="preserve">BO-6110</x:t>
  </x:si>
  <x:si>
    <x:t xml:space="preserve">TORRES BUSTAMANTE JUANA</x:t>
  </x:si>
  <x:si>
    <x:t xml:space="preserve">33782970</x:t>
  </x:si>
  <x:si>
    <x:t xml:space="preserve">0059021</x:t>
  </x:si>
  <x:si>
    <x:t xml:space="preserve">942278384</x:t>
  </x:si>
  <x:si>
    <x:t xml:space="preserve">90930</x:t>
  </x:si>
  <x:si>
    <x:t xml:space="preserve">104065</x:t>
  </x:si>
  <x:si>
    <x:t xml:space="preserve">12293</x:t>
  </x:si>
  <x:si>
    <x:t xml:space="preserve">BO-12293</x:t>
  </x:si>
  <x:si>
    <x:t xml:space="preserve">RUIZ PACCO ALBERTO</x:t>
  </x:si>
  <x:si>
    <x:t xml:space="preserve">00059278</x:t>
  </x:si>
  <x:si>
    <x:t xml:space="preserve">HUARANGA RUIZ CONEJO JORGE ERNESTO</x:t>
  </x:si>
  <x:si>
    <x:t xml:space="preserve">0072558</x:t>
  </x:si>
  <x:si>
    <x:t xml:space="preserve">947769091</x:t>
  </x:si>
  <x:si>
    <x:t xml:space="preserve">90932</x:t>
  </x:si>
  <x:si>
    <x:t xml:space="preserve">104071</x:t>
  </x:si>
  <x:si>
    <x:t xml:space="preserve">12294</x:t>
  </x:si>
  <x:si>
    <x:t xml:space="preserve">BO-12294</x:t>
  </x:si>
  <x:si>
    <x:t xml:space="preserve">LOPEZ SAAVEDRA KEVIN</x:t>
  </x:si>
  <x:si>
    <x:t xml:space="preserve">76775008</x:t>
  </x:si>
  <x:si>
    <x:t xml:space="preserve">MARIN CHAVEZ JUAN JOSE</x:t>
  </x:si>
  <x:si>
    <x:t xml:space="preserve">HOSPITAL DE LA MARINA</x:t>
  </x:si>
  <x:si>
    <x:t xml:space="preserve">0072560</x:t>
  </x:si>
  <x:si>
    <x:t xml:space="preserve">966356472</x:t>
  </x:si>
  <x:si>
    <x:t xml:space="preserve">90937</x:t>
  </x:si>
  <x:si>
    <x:t xml:space="preserve">104089</x:t>
  </x:si>
  <x:si>
    <x:t xml:space="preserve">6111</x:t>
  </x:si>
  <x:si>
    <x:t xml:space="preserve">BO-6111</x:t>
  </x:si>
  <x:si>
    <x:t xml:space="preserve">FRISANCHO HILARIO EDUARDO JAVIER</x:t>
  </x:si>
  <x:si>
    <x:t xml:space="preserve">77692774</x:t>
  </x:si>
  <x:si>
    <x:t xml:space="preserve">0072554</x:t>
  </x:si>
  <x:si>
    <x:t xml:space="preserve">963320418</x:t>
  </x:si>
  <x:si>
    <x:t xml:space="preserve">90927</x:t>
  </x:si>
  <x:si>
    <x:t xml:space="preserve">104133</x:t>
  </x:si>
  <x:si>
    <x:t xml:space="preserve">6112</x:t>
  </x:si>
  <x:si>
    <x:t xml:space="preserve">BO-6112</x:t>
  </x:si>
  <x:si>
    <x:t xml:space="preserve">PICHINI MULLUNI DIONICIA</x:t>
  </x:si>
  <x:si>
    <x:t xml:space="preserve">10375696</x:t>
  </x:si>
  <x:si>
    <x:t xml:space="preserve">0072585</x:t>
  </x:si>
  <x:si>
    <x:t xml:space="preserve">999505405</x:t>
  </x:si>
  <x:si>
    <x:t xml:space="preserve">90981</x:t>
  </x:si>
  <x:si>
    <x:t xml:space="preserve">104151</x:t>
  </x:si>
  <x:si>
    <x:t xml:space="preserve">12303</x:t>
  </x:si>
  <x:si>
    <x:t xml:space="preserve">BO-12303</x:t>
  </x:si>
  <x:si>
    <x:t xml:space="preserve">OCHOA QUIROZ GERSON ALDO</x:t>
  </x:si>
  <x:si>
    <x:t xml:space="preserve">75823130</x:t>
  </x:si>
  <x:si>
    <x:t xml:space="preserve">SANCHEZ CUEVA SERGIO</x:t>
  </x:si>
  <x:si>
    <x:t xml:space="preserve">0072591</x:t>
  </x:si>
  <x:si>
    <x:t xml:space="preserve">982917752</x:t>
  </x:si>
  <x:si>
    <x:t xml:space="preserve">91006</x:t>
  </x:si>
  <x:si>
    <x:t xml:space="preserve">104159</x:t>
  </x:si>
  <x:si>
    <x:t xml:space="preserve">585</x:t>
  </x:si>
  <x:si>
    <x:t xml:space="preserve">FA-585</x:t>
  </x:si>
  <x:si>
    <x:t xml:space="preserve">FLORES YANAVILCA MARILU</x:t>
  </x:si>
  <x:si>
    <x:t xml:space="preserve">16139638</x:t>
  </x:si>
  <x:si>
    <x:t xml:space="preserve">0064953</x:t>
  </x:si>
  <x:si>
    <x:t xml:space="preserve">47857854</x:t>
  </x:si>
  <x:si>
    <x:t xml:space="preserve">90713</x:t>
  </x:si>
  <x:si>
    <x:t xml:space="preserve">104162</x:t>
  </x:si>
  <x:si>
    <x:t xml:space="preserve">586</x:t>
  </x:si>
  <x:si>
    <x:t xml:space="preserve">FA-586</x:t>
  </x:si>
  <x:si>
    <x:t xml:space="preserve">90973</x:t>
  </x:si>
  <x:si>
    <x:t xml:space="preserve">104186</x:t>
  </x:si>
  <x:si>
    <x:t xml:space="preserve">6117</x:t>
  </x:si>
  <x:si>
    <x:t xml:space="preserve">BO-6117</x:t>
  </x:si>
  <x:si>
    <x:t xml:space="preserve">DE LA CRUZ YUPANQUI CARLOS LEONCIO</x:t>
  </x:si>
  <x:si>
    <x:t xml:space="preserve">42308337</x:t>
  </x:si>
  <x:si>
    <x:t xml:space="preserve">0072587</x:t>
  </x:si>
  <x:si>
    <x:t xml:space="preserve">958500043</x:t>
  </x:si>
  <x:si>
    <x:t xml:space="preserve">91032</x:t>
  </x:si>
  <x:si>
    <x:t xml:space="preserve">104293</x:t>
  </x:si>
  <x:si>
    <x:t xml:space="preserve">12327</x:t>
  </x:si>
  <x:si>
    <x:t xml:space="preserve">BO-12327</x:t>
  </x:si>
  <x:si>
    <x:t xml:space="preserve">LUNA LOVON GENARA</x:t>
  </x:si>
  <x:si>
    <x:t xml:space="preserve">48606629</x:t>
  </x:si>
  <x:si>
    <x:t xml:space="preserve">0072652</x:t>
  </x:si>
  <x:si>
    <x:t xml:space="preserve">987305241</x:t>
  </x:si>
  <x:si>
    <x:t xml:space="preserve">91117</x:t>
  </x:si>
  <x:si>
    <x:t xml:space="preserve">104337</x:t>
  </x:si>
  <x:si>
    <x:t xml:space="preserve">6132</x:t>
  </x:si>
  <x:si>
    <x:t xml:space="preserve">BO-6132</x:t>
  </x:si>
  <x:si>
    <x:t xml:space="preserve">RUIZ MARTINEZ JOSE DEL CARMEN</x:t>
  </x:si>
  <x:si>
    <x:t xml:space="preserve">06174846</x:t>
  </x:si>
  <x:si>
    <x:t xml:space="preserve">0072659</x:t>
  </x:si>
  <x:si>
    <x:t xml:space="preserve">941920004</x:t>
  </x:si>
  <x:si>
    <x:t xml:space="preserve">91151</x:t>
  </x:si>
  <x:si>
    <x:t xml:space="preserve">104339</x:t>
  </x:si>
  <x:si>
    <x:t xml:space="preserve">587</x:t>
  </x:si>
  <x:si>
    <x:t xml:space="preserve">FA-587</x:t>
  </x:si>
  <x:si>
    <x:t xml:space="preserve">CASAS CANA DE VILLAGOMEZ LAURA</x:t>
  </x:si>
  <x:si>
    <x:t xml:space="preserve">16142437</x:t>
  </x:si>
  <x:si>
    <x:t xml:space="preserve">0072637</x:t>
  </x:si>
  <x:si>
    <x:t xml:space="preserve">9321375556</x:t>
  </x:si>
  <x:si>
    <x:t xml:space="preserve">VISION SANTA LUCIA S.A.C.</x:t>
  </x:si>
  <x:si>
    <x:t xml:space="preserve">91153</x:t>
  </x:si>
  <x:si>
    <x:t xml:space="preserve">104403</x:t>
  </x:si>
  <x:si>
    <x:t xml:space="preserve">12341</x:t>
  </x:si>
  <x:si>
    <x:t xml:space="preserve">BO-12341</x:t>
  </x:si>
  <x:si>
    <x:t xml:space="preserve">ZARATE VASQUEZ ELSA</x:t>
  </x:si>
  <x:si>
    <x:t xml:space="preserve">08659968</x:t>
  </x:si>
  <x:si>
    <x:t xml:space="preserve">0072681</x:t>
  </x:si>
  <x:si>
    <x:t xml:space="preserve">945431392</x:t>
  </x:si>
  <x:si>
    <x:t xml:space="preserve">91207</x:t>
  </x:si>
  <x:si>
    <x:t xml:space="preserve">104409</x:t>
  </x:si>
  <x:si>
    <x:t xml:space="preserve">4470</x:t>
  </x:si>
  <x:si>
    <x:t xml:space="preserve">BO-4470</x:t>
  </x:si>
  <x:si>
    <x:t xml:space="preserve">ROSALES OCAÑA LUIS</x:t>
  </x:si>
  <x:si>
    <x:t xml:space="preserve">32485205</x:t>
  </x:si>
  <x:si>
    <x:t xml:space="preserve">0067201</x:t>
  </x:si>
  <x:si>
    <x:t xml:space="preserve">964597147</x:t>
  </x:si>
  <x:si>
    <x:t xml:space="preserve">91213</x:t>
  </x:si>
  <x:si>
    <x:t xml:space="preserve">104460</x:t>
  </x:si>
  <x:si>
    <x:t xml:space="preserve">12348</x:t>
  </x:si>
  <x:si>
    <x:t xml:space="preserve">BO-12348</x:t>
  </x:si>
  <x:si>
    <x:t xml:space="preserve">CURO CHIMAYCO MARIA SOCORRO</x:t>
  </x:si>
  <x:si>
    <x:t xml:space="preserve">28290838</x:t>
  </x:si>
  <x:si>
    <x:t xml:space="preserve">0072701</x:t>
  </x:si>
  <x:si>
    <x:t xml:space="preserve">944473366</x:t>
  </x:si>
  <x:si>
    <x:t xml:space="preserve">91239</x:t>
  </x:si>
  <x:si>
    <x:t xml:space="preserve">104467</x:t>
  </x:si>
  <x:si>
    <x:t xml:space="preserve">588</x:t>
  </x:si>
  <x:si>
    <x:t xml:space="preserve">FA-588</x:t>
  </x:si>
  <x:si>
    <x:t xml:space="preserve">FERNANDEZ CUADROS HUGO VALENTIN</x:t>
  </x:si>
  <x:si>
    <x:t xml:space="preserve">06917453</x:t>
  </x:si>
  <x:si>
    <x:t xml:space="preserve">0072702</x:t>
  </x:si>
  <x:si>
    <x:t xml:space="preserve">992083879</x:t>
  </x:si>
  <x:si>
    <x:t xml:space="preserve">91249</x:t>
  </x:si>
  <x:si>
    <x:t xml:space="preserve">104512</x:t>
  </x:si>
  <x:si>
    <x:t xml:space="preserve">12360</x:t>
  </x:si>
  <x:si>
    <x:t xml:space="preserve">BO-12360</x:t>
  </x:si>
  <x:si>
    <x:t xml:space="preserve">COLLANTES DE LOS SANTOS PEDRO PABLO</x:t>
  </x:si>
  <x:si>
    <x:t xml:space="preserve">15718176</x:t>
  </x:si>
  <x:si>
    <x:t xml:space="preserve">0072683</x:t>
  </x:si>
  <x:si>
    <x:t xml:space="preserve">91282</x:t>
  </x:si>
  <x:si>
    <x:t xml:space="preserve">104523</x:t>
  </x:si>
  <x:si>
    <x:t xml:space="preserve">12362</x:t>
  </x:si>
  <x:si>
    <x:t xml:space="preserve">BO-12362</x:t>
  </x:si>
  <x:si>
    <x:t xml:space="preserve">QUISPE RICRA MAGDALENA</x:t>
  </x:si>
  <x:si>
    <x:t xml:space="preserve">08556216</x:t>
  </x:si>
  <x:si>
    <x:t xml:space="preserve">0071181</x:t>
  </x:si>
  <x:si>
    <x:t xml:space="preserve">962629251</x:t>
  </x:si>
  <x:si>
    <x:t xml:space="preserve">91293</x:t>
  </x:si>
  <x:si>
    <x:t xml:space="preserve">104524</x:t>
  </x:si>
  <x:si>
    <x:t xml:space="preserve">12363</x:t>
  </x:si>
  <x:si>
    <x:t xml:space="preserve">BO-12363</x:t>
  </x:si>
  <x:si>
    <x:t xml:space="preserve">91294</x:t>
  </x:si>
  <x:si>
    <x:t xml:space="preserve">104528</x:t>
  </x:si>
  <x:si>
    <x:t xml:space="preserve">12365</x:t>
  </x:si>
  <x:si>
    <x:t xml:space="preserve">BO-12365</x:t>
  </x:si>
  <x:si>
    <x:t xml:space="preserve">MORON MEDINA JOEL NARCISO</x:t>
  </x:si>
  <x:si>
    <x:t xml:space="preserve">08795354</x:t>
  </x:si>
  <x:si>
    <x:t xml:space="preserve">0072729</x:t>
  </x:si>
  <x:si>
    <x:t xml:space="preserve">920656451</x:t>
  </x:si>
  <x:si>
    <x:t xml:space="preserve">91307</x:t>
  </x:si>
  <x:si>
    <x:t xml:space="preserve">104543</x:t>
  </x:si>
  <x:si>
    <x:t xml:space="preserve">12366</x:t>
  </x:si>
  <x:si>
    <x:t xml:space="preserve">BO-12366</x:t>
  </x:si>
  <x:si>
    <x:t xml:space="preserve">RAMOS MORALES ESTELA OLINDA</x:t>
  </x:si>
  <x:si>
    <x:t xml:space="preserve">22296854</x:t>
  </x:si>
  <x:si>
    <x:t xml:space="preserve">0072682</x:t>
  </x:si>
  <x:si>
    <x:t xml:space="preserve">950407513</x:t>
  </x:si>
  <x:si>
    <x:t xml:space="preserve">91313</x:t>
  </x:si>
  <x:si>
    <x:t xml:space="preserve">104544</x:t>
  </x:si>
  <x:si>
    <x:t xml:space="preserve">12367</x:t>
  </x:si>
  <x:si>
    <x:t xml:space="preserve">BO-12367</x:t>
  </x:si>
  <x:si>
    <x:t xml:space="preserve">ROSALES ESPINOZA MILCA LUCIA</x:t>
  </x:si>
  <x:si>
    <x:t xml:space="preserve">32122873</x:t>
  </x:si>
  <x:si>
    <x:t xml:space="preserve">0072731</x:t>
  </x:si>
  <x:si>
    <x:t xml:space="preserve">955005846</x:t>
  </x:si>
  <x:si>
    <x:t xml:space="preserve">91314</x:t>
  </x:si>
  <x:si>
    <x:t xml:space="preserve">104557</x:t>
  </x:si>
  <x:si>
    <x:t xml:space="preserve">12369</x:t>
  </x:si>
  <x:si>
    <x:t xml:space="preserve">BO-12369</x:t>
  </x:si>
  <x:si>
    <x:t xml:space="preserve">GIRAO RAMOS XIOMARA AYELEN</x:t>
  </x:si>
  <x:si>
    <x:t xml:space="preserve">73048925</x:t>
  </x:si>
  <x:si>
    <x:t xml:space="preserve">PEREZ MARTINOT MANUEL RAUL</x:t>
  </x:si>
  <x:si>
    <x:t xml:space="preserve">0072734</x:t>
  </x:si>
  <x:si>
    <x:t xml:space="preserve">91330</x:t>
  </x:si>
  <x:si>
    <x:t xml:space="preserve">194-25565979019</x:t>
  </x:si>
  <x:si>
    <x:t xml:space="preserve">104563</x:t>
  </x:si>
  <x:si>
    <x:t xml:space="preserve">589</x:t>
  </x:si>
  <x:si>
    <x:t xml:space="preserve">FA-589</x:t>
  </x:si>
  <x:si>
    <x:t xml:space="preserve">ALTAMIRANO HUERTO ALEJANDRO RAUL</x:t>
  </x:si>
  <x:si>
    <x:t xml:space="preserve">60003059</x:t>
  </x:si>
  <x:si>
    <x:t xml:space="preserve">0072668</x:t>
  </x:si>
  <x:si>
    <x:t xml:space="preserve">929234161</x:t>
  </x:si>
  <x:si>
    <x:t xml:space="preserve">OFTALMODOSIS E.I.R.L.</x:t>
  </x:si>
  <x:si>
    <x:t xml:space="preserve">91179</x:t>
  </x:si>
  <x:si>
    <x:t xml:space="preserve">104580</x:t>
  </x:si>
  <x:si>
    <x:t xml:space="preserve">1096</x:t>
  </x:si>
  <x:si>
    <x:t xml:space="preserve">FA-1096</x:t>
  </x:si>
  <x:si>
    <x:t xml:space="preserve">91324</x:t>
  </x:si>
  <x:si>
    <x:t xml:space="preserve">104582</x:t>
  </x:si>
  <x:si>
    <x:t xml:space="preserve">1097</x:t>
  </x:si>
  <x:si>
    <x:t xml:space="preserve">FA-1097</x:t>
  </x:si>
  <x:si>
    <x:t xml:space="preserve">91327</x:t>
  </x:si>
  <x:si>
    <x:t xml:space="preserve">104583</x:t>
  </x:si>
  <x:si>
    <x:t xml:space="preserve">1098</x:t>
  </x:si>
  <x:si>
    <x:t xml:space="preserve">FA-1098</x:t>
  </x:si>
  <x:si>
    <x:t xml:space="preserve">91329</x:t>
  </x:si>
  <x:si>
    <x:t xml:space="preserve">104584</x:t>
  </x:si>
  <x:si>
    <x:t xml:space="preserve">1099</x:t>
  </x:si>
  <x:si>
    <x:t xml:space="preserve">FA-1099</x:t>
  </x:si>
  <x:si>
    <x:t xml:space="preserve">91323</x:t>
  </x:si>
  <x:si>
    <x:t xml:space="preserve">104606</x:t>
  </x:si>
  <x:si>
    <x:t xml:space="preserve">12372</x:t>
  </x:si>
  <x:si>
    <x:t xml:space="preserve">BO-12372</x:t>
  </x:si>
  <x:si>
    <x:t xml:space="preserve">SALAZAR QUIROGA ELIO DAVID</x:t>
  </x:si>
  <x:si>
    <x:t xml:space="preserve">02891533</x:t>
  </x:si>
  <x:si>
    <x:t xml:space="preserve">RAMIREZ ORBE JOSÉ LUIS</x:t>
  </x:si>
  <x:si>
    <x:t xml:space="preserve">HOSPITAL DE LA POLICIA</x:t>
  </x:si>
  <x:si>
    <x:t xml:space="preserve">0072747</x:t>
  </x:si>
  <x:si>
    <x:t xml:space="preserve">969030503</x:t>
  </x:si>
  <x:si>
    <x:t xml:space="preserve">91360</x:t>
  </x:si>
  <x:si>
    <x:t xml:space="preserve">104622</x:t>
  </x:si>
  <x:si>
    <x:t xml:space="preserve">591</x:t>
  </x:si>
  <x:si>
    <x:t xml:space="preserve">FA-591</x:t>
  </x:si>
  <x:si>
    <x:t xml:space="preserve">QUISPE DE PACHECO LIDIA GLADYS</x:t>
  </x:si>
  <x:si>
    <x:t xml:space="preserve">22256334</x:t>
  </x:si>
  <x:si>
    <x:t xml:space="preserve">PAITAN QUISPE EMILYN</x:t>
  </x:si>
  <x:si>
    <x:t xml:space="preserve">0023698</x:t>
  </x:si>
  <x:si>
    <x:t xml:space="preserve">925808232</x:t>
  </x:si>
  <x:si>
    <x:t xml:space="preserve">IAFAS DE LA MARINA DE GUERRA DEL PERU</x:t>
  </x:si>
  <x:si>
    <x:t xml:space="preserve">90559</x:t>
  </x:si>
  <x:si>
    <x:t xml:space="preserve">104659</x:t>
  </x:si>
  <x:si>
    <x:t xml:space="preserve">6168</x:t>
  </x:si>
  <x:si>
    <x:t xml:space="preserve">BO-6168</x:t>
  </x:si>
  <x:si>
    <x:t xml:space="preserve">BENAVIDES JUAREZ CARMELA</x:t>
  </x:si>
  <x:si>
    <x:t xml:space="preserve">16579947</x:t>
  </x:si>
  <x:si>
    <x:t xml:space="preserve">0054796</x:t>
  </x:si>
  <x:si>
    <x:t xml:space="preserve">926056910</x:t>
  </x:si>
  <x:si>
    <x:t xml:space="preserve">91406</x:t>
  </x:si>
  <x:si>
    <x:t xml:space="preserve">104674</x:t>
  </x:si>
  <x:si>
    <x:t xml:space="preserve">594</x:t>
  </x:si>
  <x:si>
    <x:t xml:space="preserve">FA-594</x:t>
  </x:si>
  <x:si>
    <x:t xml:space="preserve">MENDOZA REYNA ALBERTO</x:t>
  </x:si>
  <x:si>
    <x:t xml:space="preserve">05581101</x:t>
  </x:si>
  <x:si>
    <x:t xml:space="preserve">TORRES LEAL ALDOLFO LEON</x:t>
  </x:si>
  <x:si>
    <x:t xml:space="preserve">CLÍNICA SAN FELIPE LA MOLINA</x:t>
  </x:si>
  <x:si>
    <x:t xml:space="preserve">0072772</x:t>
  </x:si>
  <x:si>
    <x:t xml:space="preserve">942513684</x:t>
  </x:si>
  <x:si>
    <x:t xml:space="preserve">CRIBILLERO ACHING SAMUEL RODOLFO</x:t>
  </x:si>
  <x:si>
    <x:t xml:space="preserve">91423</x:t>
  </x:si>
  <x:si>
    <x:t xml:space="preserve">104679</x:t>
  </x:si>
  <x:si>
    <x:t xml:space="preserve">12382</x:t>
  </x:si>
  <x:si>
    <x:t xml:space="preserve">BO-12382</x:t>
  </x:si>
  <x:si>
    <x:t xml:space="preserve">CHIROQUE CHUNGA NELIDA</x:t>
  </x:si>
  <x:si>
    <x:t xml:space="preserve">16624655</x:t>
  </x:si>
  <x:si>
    <x:t xml:space="preserve">0064670</x:t>
  </x:si>
  <x:si>
    <x:t xml:space="preserve">980842766</x:t>
  </x:si>
  <x:si>
    <x:t xml:space="preserve">91428</x:t>
  </x:si>
  <x:si>
    <x:t xml:space="preserve">104714</x:t>
  </x:si>
  <x:si>
    <x:t xml:space="preserve">4971</x:t>
  </x:si>
  <x:si>
    <x:t xml:space="preserve">BO-4971</x:t>
  </x:si>
  <x:si>
    <x:t xml:space="preserve">HUAMAN DE LA CRUZ LUIS DOMINIK</x:t>
  </x:si>
  <x:si>
    <x:t xml:space="preserve">74673771</x:t>
  </x:si>
  <x:si>
    <x:t xml:space="preserve">0014066</x:t>
  </x:si>
  <x:si>
    <x:t xml:space="preserve">943492121</x:t>
  </x:si>
  <x:si>
    <x:t xml:space="preserve">91459</x:t>
  </x:si>
  <x:si>
    <x:t xml:space="preserve">104713</x:t>
  </x:si>
  <x:si>
    <x:t xml:space="preserve">12389</x:t>
  </x:si>
  <x:si>
    <x:t xml:space="preserve">BO-12389</x:t>
  </x:si>
  <x:si>
    <x:t xml:space="preserve">PANEZ BLANCO DE BARRETO EVA CHACHITA</x:t>
  </x:si>
  <x:si>
    <x:t xml:space="preserve">06587087</x:t>
  </x:si>
  <x:si>
    <x:t xml:space="preserve">0072784</x:t>
  </x:si>
  <x:si>
    <x:t xml:space="preserve">987209441</x:t>
  </x:si>
  <x:si>
    <x:t xml:space="preserve">91458</x:t>
  </x:si>
  <x:si>
    <x:t xml:space="preserve">104719</x:t>
  </x:si>
  <x:si>
    <x:t xml:space="preserve">456</x:t>
  </x:si>
  <x:si>
    <x:t xml:space="preserve">BO-456</x:t>
  </x:si>
  <x:si>
    <x:t xml:space="preserve">CARRERA CABRACANCHA ESPERANZA GLORIA</x:t>
  </x:si>
  <x:si>
    <x:t xml:space="preserve">15644266</x:t>
  </x:si>
  <x:si>
    <x:t xml:space="preserve">0072786</x:t>
  </x:si>
  <x:si>
    <x:t xml:space="preserve">981502712</x:t>
  </x:si>
  <x:si>
    <x:t xml:space="preserve">91463</x:t>
  </x:si>
  <x:si>
    <x:t xml:space="preserve">104741</x:t>
  </x:si>
  <x:si>
    <x:t xml:space="preserve">1100</x:t>
  </x:si>
  <x:si>
    <x:t xml:space="preserve">FA-1100</x:t>
  </x:si>
  <x:si>
    <x:t xml:space="preserve">91480</x:t>
  </x:si>
  <x:si>
    <x:t xml:space="preserve">104756</x:t>
  </x:si>
  <x:si>
    <x:t xml:space="preserve">12398</x:t>
  </x:si>
  <x:si>
    <x:t xml:space="preserve">BO-12398</x:t>
  </x:si>
  <x:si>
    <x:t xml:space="preserve">TORRES ROSSELL JUAN CARLOS</x:t>
  </x:si>
  <x:si>
    <x:t xml:space="preserve">15845906</x:t>
  </x:si>
  <x:si>
    <x:t xml:space="preserve">0072770</x:t>
  </x:si>
  <x:si>
    <x:t xml:space="preserve">987045035</x:t>
  </x:si>
  <x:si>
    <x:t xml:space="preserve">91501</x:t>
  </x:si>
  <x:si>
    <x:t xml:space="preserve">104757</x:t>
  </x:si>
  <x:si>
    <x:t xml:space="preserve">12399</x:t>
  </x:si>
  <x:si>
    <x:t xml:space="preserve">BO-12399</x:t>
  </x:si>
  <x:si>
    <x:t xml:space="preserve">GARCIA GARAY DE ARROYO ELDER FRANCISCA</x:t>
  </x:si>
  <x:si>
    <x:t xml:space="preserve">07096755</x:t>
  </x:si>
  <x:si>
    <x:t xml:space="preserve">0072817</x:t>
  </x:si>
  <x:si>
    <x:t xml:space="preserve">941941047</x:t>
  </x:si>
  <x:si>
    <x:t xml:space="preserve">91503</x:t>
  </x:si>
  <x:si>
    <x:t xml:space="preserve">104758</x:t>
  </x:si>
  <x:si>
    <x:t xml:space="preserve">4976</x:t>
  </x:si>
  <x:si>
    <x:t xml:space="preserve">BO-4976</x:t>
  </x:si>
  <x:si>
    <x:t xml:space="preserve">TELLO BANDA ALEX IVAN</x:t>
  </x:si>
  <x:si>
    <x:t xml:space="preserve">75877805</x:t>
  </x:si>
  <x:si>
    <x:t xml:space="preserve">0071494</x:t>
  </x:si>
  <x:si>
    <x:t xml:space="preserve">998172241</x:t>
  </x:si>
  <x:si>
    <x:t xml:space="preserve">89233</x:t>
  </x:si>
  <x:si>
    <x:t xml:space="preserve">104791</x:t>
  </x:si>
  <x:si>
    <x:t xml:space="preserve">566</x:t>
  </x:si>
  <x:si>
    <x:t xml:space="preserve">BO-566</x:t>
  </x:si>
  <x:si>
    <x:t xml:space="preserve">HUARICACHA DE ZAPANA MERCEDES</x:t>
  </x:si>
  <x:si>
    <x:t xml:space="preserve">18190119</x:t>
  </x:si>
  <x:si>
    <x:t xml:space="preserve">RAMOS ALIAGA DAVID</x:t>
  </x:si>
  <x:si>
    <x:t xml:space="preserve">0072826</x:t>
  </x:si>
  <x:si>
    <x:t xml:space="preserve">959806615</x:t>
  </x:si>
  <x:si>
    <x:t xml:space="preserve">91519</x:t>
  </x:si>
  <x:si>
    <x:t xml:space="preserve">KESCUDERO</x:t>
  </x:si>
  <x:si>
    <x:t xml:space="preserve">104793</x:t>
  </x:si>
  <x:si>
    <x:t xml:space="preserve">4494</x:t>
  </x:si>
  <x:si>
    <x:t xml:space="preserve">BO-4494</x:t>
  </x:si>
  <x:si>
    <x:t xml:space="preserve">RAMIREZ DURAND BERNARDINO</x:t>
  </x:si>
  <x:si>
    <x:t xml:space="preserve">25608626</x:t>
  </x:si>
  <x:si>
    <x:t xml:space="preserve">0072830</x:t>
  </x:si>
  <x:si>
    <x:t xml:space="preserve">984570964</x:t>
  </x:si>
  <x:si>
    <x:t xml:space="preserve">91525</x:t>
  </x:si>
  <x:si>
    <x:t xml:space="preserve">104808</x:t>
  </x:si>
  <x:si>
    <x:t xml:space="preserve">1102</x:t>
  </x:si>
  <x:si>
    <x:t xml:space="preserve">FA-1102</x:t>
  </x:si>
  <x:si>
    <x:t xml:space="preserve">LAZO CABRERA SILVIA PILAR</x:t>
  </x:si>
  <x:si>
    <x:t xml:space="preserve">00845536</x:t>
  </x:si>
  <x:si>
    <x:t xml:space="preserve">0072622</x:t>
  </x:si>
  <x:si>
    <x:t xml:space="preserve">920300383</x:t>
  </x:si>
  <x:si>
    <x:t xml:space="preserve">91537</x:t>
  </x:si>
  <x:si>
    <x:t xml:space="preserve">104827</x:t>
  </x:si>
  <x:si>
    <x:t xml:space="preserve">4497</x:t>
  </x:si>
  <x:si>
    <x:t xml:space="preserve">BO-4497</x:t>
  </x:si>
  <x:si>
    <x:t xml:space="preserve">HUACCHA GRADOS SHEYLA ALEXANDRA</x:t>
  </x:si>
  <x:si>
    <x:t xml:space="preserve">73723023</x:t>
  </x:si>
  <x:si>
    <x:t xml:space="preserve">0072844</x:t>
  </x:si>
  <x:si>
    <x:t xml:space="preserve">937337809</x:t>
  </x:si>
  <x:si>
    <x:t xml:space="preserve">91551</x:t>
  </x:si>
  <x:si>
    <x:t xml:space="preserve">104838</x:t>
  </x:si>
  <x:si>
    <x:t xml:space="preserve">12407</x:t>
  </x:si>
  <x:si>
    <x:t xml:space="preserve">BO-12407</x:t>
  </x:si>
  <x:si>
    <x:t xml:space="preserve">SERNA LOAYZA DE VILLAR GUILLERMINA</x:t>
  </x:si>
  <x:si>
    <x:t xml:space="preserve">09192739</x:t>
  </x:si>
  <x:si>
    <x:t xml:space="preserve">0072849</x:t>
  </x:si>
  <x:si>
    <x:t xml:space="preserve">944393636</x:t>
  </x:si>
  <x:si>
    <x:t xml:space="preserve">91561</x:t>
  </x:si>
  <x:si>
    <x:t xml:space="preserve">104930</x:t>
  </x:si>
  <x:si>
    <x:t xml:space="preserve">6193</x:t>
  </x:si>
  <x:si>
    <x:t xml:space="preserve">BO-6193</x:t>
  </x:si>
  <x:si>
    <x:t xml:space="preserve">MECHAN CARMONA LIBIA FRANCISCA</x:t>
  </x:si>
  <x:si>
    <x:t xml:space="preserve">16475110</x:t>
  </x:si>
  <x:si>
    <x:t xml:space="preserve">0018027</x:t>
  </x:si>
  <x:si>
    <x:t xml:space="preserve">3488295/ 99909259</x:t>
  </x:si>
  <x:si>
    <x:t xml:space="preserve">91618</x:t>
  </x:si>
  <x:si>
    <x:t xml:space="preserve">104954</x:t>
  </x:si>
  <x:si>
    <x:t xml:space="preserve">584</x:t>
  </x:si>
  <x:si>
    <x:t xml:space="preserve">BO-584</x:t>
  </x:si>
  <x:si>
    <x:t xml:space="preserve">URQUIA TANGOA ROBERTO</x:t>
  </x:si>
  <x:si>
    <x:t xml:space="preserve">05061698</x:t>
  </x:si>
  <x:si>
    <x:t xml:space="preserve">AMELIA CERRATE</x:t>
  </x:si>
  <x:si>
    <x:t xml:space="preserve">0072773</x:t>
  </x:si>
  <x:si>
    <x:t xml:space="preserve">927784906</x:t>
  </x:si>
  <x:si>
    <x:t xml:space="preserve">91530</x:t>
  </x:si>
  <x:si>
    <x:t xml:space="preserve">104964</x:t>
  </x:si>
  <x:si>
    <x:t xml:space="preserve">12418</x:t>
  </x:si>
  <x:si>
    <x:t xml:space="preserve">BO-12418</x:t>
  </x:si>
  <x:si>
    <x:t xml:space="preserve">CHAVEZ ESPINOZA GABINO</x:t>
  </x:si>
  <x:si>
    <x:t xml:space="preserve">06823872</x:t>
  </x:si>
  <x:si>
    <x:t xml:space="preserve">0072919</x:t>
  </x:si>
  <x:si>
    <x:t xml:space="preserve">994761546</x:t>
  </x:si>
  <x:si>
    <x:t xml:space="preserve">91652</x:t>
  </x:si>
  <x:si>
    <x:t xml:space="preserve">104993</x:t>
  </x:si>
  <x:si>
    <x:t xml:space="preserve">BO-588</x:t>
  </x:si>
  <x:si>
    <x:t xml:space="preserve">91686</x:t>
  </x:si>
  <x:si>
    <x:t xml:space="preserve">CONSULTA DE OFTALMOLOGIA</x:t>
  </x:si>
  <x:si>
    <x:t xml:space="preserve">LN. CONSULTA</x:t>
  </x:si>
  <x:si>
    <x:t xml:space="preserve">105021</x:t>
  </x:si>
  <x:si>
    <x:t xml:space="preserve">12432</x:t>
  </x:si>
  <x:si>
    <x:t xml:space="preserve">BO-12432</x:t>
  </x:si>
  <x:si>
    <x:t xml:space="preserve">GASPAR ROJAS JOSE ANTONIO</x:t>
  </x:si>
  <x:si>
    <x:t xml:space="preserve">07631131</x:t>
  </x:si>
  <x:si>
    <x:t xml:space="preserve">CASTRO TAMANAJA VANIA VIVIAN</x:t>
  </x:si>
  <x:si>
    <x:t xml:space="preserve">HOSPITAL 2 DE MAYO</x:t>
  </x:si>
  <x:si>
    <x:t xml:space="preserve">0072935</x:t>
  </x:si>
  <x:si>
    <x:t xml:space="preserve">996054949</x:t>
  </x:si>
  <x:si>
    <x:t xml:space="preserve">91709</x:t>
  </x:si>
  <x:si>
    <x:t xml:space="preserve">0011-0354-0200096288</x:t>
  </x:si>
  <x:si>
    <x:t xml:space="preserve">105025</x:t>
  </x:si>
  <x:si>
    <x:t xml:space="preserve">6206</x:t>
  </x:si>
  <x:si>
    <x:t xml:space="preserve">BO-6206</x:t>
  </x:si>
  <x:si>
    <x:t xml:space="preserve">ZAVALA CUYA LAZARO</x:t>
  </x:si>
  <x:si>
    <x:t xml:space="preserve">08764780</x:t>
  </x:si>
  <x:si>
    <x:t xml:space="preserve">0041245</x:t>
  </x:si>
  <x:si>
    <x:t xml:space="preserve">967167309</x:t>
  </x:si>
  <x:si>
    <x:t xml:space="preserve">87845</x:t>
  </x:si>
  <x:si>
    <x:t xml:space="preserve">105027</x:t>
  </x:si>
  <x:si>
    <x:t xml:space="preserve">6207</x:t>
  </x:si>
  <x:si>
    <x:t xml:space="preserve">BO-6207</x:t>
  </x:si>
  <x:si>
    <x:t xml:space="preserve">ZAVALA MEDRANO YENNIFER SUSANA</x:t>
  </x:si>
  <x:si>
    <x:t xml:space="preserve">42812473</x:t>
  </x:si>
  <x:si>
    <x:t xml:space="preserve">0054220</x:t>
  </x:si>
  <x:si>
    <x:t xml:space="preserve">966167309</x:t>
  </x:si>
  <x:si>
    <x:t xml:space="preserve">87844</x:t>
  </x:si>
  <x:si>
    <x:t xml:space="preserve">105034</x:t>
  </x:si>
  <x:si>
    <x:t xml:space="preserve">12094</x:t>
  </x:si>
  <x:si>
    <x:t xml:space="preserve">BO-12094</x:t>
  </x:si>
  <x:si>
    <x:t xml:space="preserve">BARBOZA DE OCHOA ZENOBIA</x:t>
  </x:si>
  <x:si>
    <x:t xml:space="preserve">28586700</x:t>
  </x:si>
  <x:si>
    <x:t xml:space="preserve">0072663</x:t>
  </x:si>
  <x:si>
    <x:t xml:space="preserve">998850798</x:t>
  </x:si>
  <x:si>
    <x:t xml:space="preserve">91163</x:t>
  </x:si>
  <x:si>
    <x:t xml:space="preserve">SBRUNO</x:t>
  </x:si>
  <x:si>
    <x:t xml:space="preserve">105057</x:t>
  </x:si>
  <x:si>
    <x:t xml:space="preserve">4531</x:t>
  </x:si>
  <x:si>
    <x:t xml:space="preserve">BO-4531</x:t>
  </x:si>
  <x:si>
    <x:t xml:space="preserve">CEFERINO DIAZ MARINA</x:t>
  </x:si>
  <x:si>
    <x:t xml:space="preserve">07171213</x:t>
  </x:si>
  <x:si>
    <x:t xml:space="preserve">0072942</x:t>
  </x:si>
  <x:si>
    <x:t xml:space="preserve">927192309</x:t>
  </x:si>
  <x:si>
    <x:t xml:space="preserve">91738</x:t>
  </x:si>
  <x:si>
    <x:t xml:space="preserve">105059</x:t>
  </x:si>
  <x:si>
    <x:t xml:space="preserve">4532</x:t>
  </x:si>
  <x:si>
    <x:t xml:space="preserve">BO-4532</x:t>
  </x:si>
  <x:si>
    <x:t xml:space="preserve">REYES OLIVAS CARMEN ROSA</x:t>
  </x:si>
  <x:si>
    <x:t xml:space="preserve">09983051</x:t>
  </x:si>
  <x:si>
    <x:t xml:space="preserve">0063884</x:t>
  </x:si>
  <x:si>
    <x:t xml:space="preserve">931422659</x:t>
  </x:si>
  <x:si>
    <x:t xml:space="preserve">91740</x:t>
  </x:si>
  <x:si>
    <x:t xml:space="preserve">105085</x:t>
  </x:si>
  <x:si>
    <x:t xml:space="preserve">6214</x:t>
  </x:si>
  <x:si>
    <x:t xml:space="preserve">BO-6214</x:t>
  </x:si>
  <x:si>
    <x:t xml:space="preserve">RAMIREZ CHAVEZ ESTELISTO EMILIANO</x:t>
  </x:si>
  <x:si>
    <x:t xml:space="preserve">08341222</x:t>
  </x:si>
  <x:si>
    <x:t xml:space="preserve">0072950</x:t>
  </x:si>
  <x:si>
    <x:t xml:space="preserve">976172570</x:t>
  </x:si>
  <x:si>
    <x:t xml:space="preserve">91754</x:t>
  </x:si>
  <x:si>
    <x:t xml:space="preserve">105086</x:t>
  </x:si>
  <x:si>
    <x:t xml:space="preserve">6215</x:t>
  </x:si>
  <x:si>
    <x:t xml:space="preserve">BO-6215</x:t>
  </x:si>
  <x:si>
    <x:t xml:space="preserve">91755</x:t>
  </x:si>
  <x:si>
    <x:t xml:space="preserve">105089</x:t>
  </x:si>
  <x:si>
    <x:t xml:space="preserve">6216</x:t>
  </x:si>
  <x:si>
    <x:t xml:space="preserve">BO-6216</x:t>
  </x:si>
  <x:si>
    <x:t xml:space="preserve">HERMITAÑO CARO VDA DE ARROYO ANA MARIA</x:t>
  </x:si>
  <x:si>
    <x:t xml:space="preserve">08344377</x:t>
  </x:si>
  <x:si>
    <x:t xml:space="preserve">0072954</x:t>
  </x:si>
  <x:si>
    <x:t xml:space="preserve">983120608</x:t>
  </x:si>
  <x:si>
    <x:t xml:space="preserve">91758</x:t>
  </x:si>
  <x:si>
    <x:t xml:space="preserve">105091</x:t>
  </x:si>
  <x:si>
    <x:t xml:space="preserve">6217</x:t>
  </x:si>
  <x:si>
    <x:t xml:space="preserve">BO-6217</x:t>
  </x:si>
  <x:si>
    <x:t xml:space="preserve">VASQUEZ VASQUEZ JAVIER</x:t>
  </x:si>
  <x:si>
    <x:t xml:space="preserve">05390636</x:t>
  </x:si>
  <x:si>
    <x:t xml:space="preserve">0065606</x:t>
  </x:si>
  <x:si>
    <x:t xml:space="preserve">965930678</x:t>
  </x:si>
  <x:si>
    <x:t xml:space="preserve">91762</x:t>
  </x:si>
  <x:si>
    <x:t xml:space="preserve">105109</x:t>
  </x:si>
  <x:si>
    <x:t xml:space="preserve">6223</x:t>
  </x:si>
  <x:si>
    <x:t xml:space="preserve">BO-6223</x:t>
  </x:si>
  <x:si>
    <x:t xml:space="preserve">ALVARADO ALFARO DE PACHAS CECILIA</x:t>
  </x:si>
  <x:si>
    <x:t xml:space="preserve">09043163</x:t>
  </x:si>
  <x:si>
    <x:t xml:space="preserve">0072961</x:t>
  </x:si>
  <x:si>
    <x:t xml:space="preserve">980783885</x:t>
  </x:si>
  <x:si>
    <x:t xml:space="preserve">91786</x:t>
  </x:si>
  <x:si>
    <x:t xml:space="preserve">105131</x:t>
  </x:si>
  <x:si>
    <x:t xml:space="preserve">12102</x:t>
  </x:si>
  <x:si>
    <x:t xml:space="preserve">BO-12102</x:t>
  </x:si>
  <x:si>
    <x:t xml:space="preserve">CUACO SCHARFF WALBERTO OSWALDO</x:t>
  </x:si>
  <x:si>
    <x:t xml:space="preserve">08570843</x:t>
  </x:si>
  <x:si>
    <x:t xml:space="preserve">0072613</x:t>
  </x:si>
  <x:si>
    <x:t xml:space="preserve">992020655</x:t>
  </x:si>
  <x:si>
    <x:t xml:space="preserve">91523</x:t>
  </x:si>
  <x:si>
    <x:t xml:space="preserve">105138</x:t>
  </x:si>
  <x:si>
    <x:t xml:space="preserve">4539</x:t>
  </x:si>
  <x:si>
    <x:t xml:space="preserve">BO-4539</x:t>
  </x:si>
  <x:si>
    <x:t xml:space="preserve">CANAZA NINA ISIDORA</x:t>
  </x:si>
  <x:si>
    <x:t xml:space="preserve">06208454</x:t>
  </x:si>
  <x:si>
    <x:t xml:space="preserve">0072969</x:t>
  </x:si>
  <x:si>
    <x:t xml:space="preserve">980289026</x:t>
  </x:si>
  <x:si>
    <x:t xml:space="preserve">91812</x:t>
  </x:si>
  <x:si>
    <x:t xml:space="preserve">105140</x:t>
  </x:si>
  <x:si>
    <x:t xml:space="preserve">6235</x:t>
  </x:si>
  <x:si>
    <x:t xml:space="preserve">BO-6235</x:t>
  </x:si>
  <x:si>
    <x:t xml:space="preserve">ROMERO MEZARINA LUIS GERMAN</x:t>
  </x:si>
  <x:si>
    <x:t xml:space="preserve">41621650</x:t>
  </x:si>
  <x:si>
    <x:t xml:space="preserve">TUME JARA LUCIA MARIA</x:t>
  </x:si>
  <x:si>
    <x:t xml:space="preserve">0072971</x:t>
  </x:si>
  <x:si>
    <x:t xml:space="preserve">945940731</x:t>
  </x:si>
  <x:si>
    <x:t xml:space="preserve">91813</x:t>
  </x:si>
  <x:si>
    <x:t xml:space="preserve">105165</x:t>
  </x:si>
  <x:si>
    <x:t xml:space="preserve">4542</x:t>
  </x:si>
  <x:si>
    <x:t xml:space="preserve">BO-4542</x:t>
  </x:si>
  <x:si>
    <x:t xml:space="preserve">CARRANZA QUISPE ISMAEL</x:t>
  </x:si>
  <x:si>
    <x:t xml:space="preserve">10291579</x:t>
  </x:si>
  <x:si>
    <x:t xml:space="preserve">0072992</x:t>
  </x:si>
  <x:si>
    <x:t xml:space="preserve">996050251</x:t>
  </x:si>
  <x:si>
    <x:t xml:space="preserve">91836</x:t>
  </x:si>
  <x:si>
    <x:t xml:space="preserve">105181</x:t>
  </x:si>
  <x:si>
    <x:t xml:space="preserve">600</x:t>
  </x:si>
  <x:si>
    <x:t xml:space="preserve">FA-600</x:t>
  </x:si>
  <x:si>
    <x:t xml:space="preserve">HERVIAS PULACHE CARMEN ROSA</x:t>
  </x:si>
  <x:si>
    <x:t xml:space="preserve">08114148</x:t>
  </x:si>
  <x:si>
    <x:t xml:space="preserve">SONCCO HUISA BACILIO</x:t>
  </x:si>
  <x:si>
    <x:t xml:space="preserve">ECOCENTER</x:t>
  </x:si>
  <x:si>
    <x:t xml:space="preserve">0072994</x:t>
  </x:si>
  <x:si>
    <x:t xml:space="preserve">914302094</x:t>
  </x:si>
  <x:si>
    <x:t xml:space="preserve">CENTRO MEDICO OCUMED S.A.C.</x:t>
  </x:si>
  <x:si>
    <x:t xml:space="preserve">91849</x:t>
  </x:si>
  <x:si>
    <x:t xml:space="preserve">105206</x:t>
  </x:si>
  <x:si>
    <x:t xml:space="preserve">6250</x:t>
  </x:si>
  <x:si>
    <x:t xml:space="preserve">BO-6250</x:t>
  </x:si>
  <x:si>
    <x:t xml:space="preserve">BARRETO NIEVES DEYSI MARGARITA</x:t>
  </x:si>
  <x:si>
    <x:t xml:space="preserve">009591626</x:t>
  </x:si>
  <x:si>
    <x:t xml:space="preserve">0072980</x:t>
  </x:si>
  <x:si>
    <x:t xml:space="preserve">933975738</x:t>
  </x:si>
  <x:si>
    <x:t xml:space="preserve">91879</x:t>
  </x:si>
  <x:si>
    <x:t xml:space="preserve">105207</x:t>
  </x:si>
  <x:si>
    <x:t xml:space="preserve">6251</x:t>
  </x:si>
  <x:si>
    <x:t xml:space="preserve">BO-6251</x:t>
  </x:si>
  <x:si>
    <x:t xml:space="preserve">91880</x:t>
  </x:si>
  <x:si>
    <x:t xml:space="preserve">105233</x:t>
  </x:si>
  <x:si>
    <x:t xml:space="preserve">1107</x:t>
  </x:si>
  <x:si>
    <x:t xml:space="preserve">FA-1107</x:t>
  </x:si>
  <x:si>
    <x:t xml:space="preserve">QUISPE MENDOZA TEODOSIA</x:t>
  </x:si>
  <x:si>
    <x:t xml:space="preserve">06124376</x:t>
  </x:si>
  <x:si>
    <x:t xml:space="preserve">0073029</x:t>
  </x:si>
  <x:si>
    <x:t xml:space="preserve">976950984</x:t>
  </x:si>
  <x:si>
    <x:t xml:space="preserve">PERUVIAN EXPORT CRAFT S.A.C.</x:t>
  </x:si>
  <x:si>
    <x:t xml:space="preserve">91908</x:t>
  </x:si>
  <x:si>
    <x:t xml:space="preserve">105238</x:t>
  </x:si>
  <x:si>
    <x:t xml:space="preserve">1108</x:t>
  </x:si>
  <x:si>
    <x:t xml:space="preserve">FA-1108</x:t>
  </x:si>
  <x:si>
    <x:t xml:space="preserve">MENDOZA LLANOS CARMEN MATILDE</x:t>
  </x:si>
  <x:si>
    <x:t xml:space="preserve">32105472</x:t>
  </x:si>
  <x:si>
    <x:t xml:space="preserve">SALGADO CERRATE CARLOS</x:t>
  </x:si>
  <x:si>
    <x:t xml:space="preserve">0071966</x:t>
  </x:si>
  <x:si>
    <x:t xml:space="preserve">971484302</x:t>
  </x:si>
  <x:si>
    <x:t xml:space="preserve">UROPED E.I.R.L.</x:t>
  </x:si>
  <x:si>
    <x:t xml:space="preserve">91901</x:t>
  </x:si>
  <x:si>
    <x:t xml:space="preserve">105244</x:t>
  </x:si>
  <x:si>
    <x:t xml:space="preserve">601</x:t>
  </x:si>
  <x:si>
    <x:t xml:space="preserve">FA-601</x:t>
  </x:si>
  <x:si>
    <x:t xml:space="preserve">LOPEZ BENITO EULOGIA MAURICIA</x:t>
  </x:si>
  <x:si>
    <x:t xml:space="preserve">04075700</x:t>
  </x:si>
  <x:si>
    <x:t xml:space="preserve">0072575</x:t>
  </x:si>
  <x:si>
    <x:t xml:space="preserve">963945263</x:t>
  </x:si>
  <x:si>
    <x:t xml:space="preserve">91871</x:t>
  </x:si>
  <x:si>
    <x:t xml:space="preserve">105246</x:t>
  </x:si>
  <x:si>
    <x:t xml:space="preserve">602</x:t>
  </x:si>
  <x:si>
    <x:t xml:space="preserve">FA-602</x:t>
  </x:si>
  <x:si>
    <x:t xml:space="preserve">GUIMARAY SIALER ALEJANDRO HUMBERTO</x:t>
  </x:si>
  <x:si>
    <x:t xml:space="preserve">08353192</x:t>
  </x:si>
  <x:si>
    <x:t xml:space="preserve">0063491</x:t>
  </x:si>
  <x:si>
    <x:t xml:space="preserve">989454153</x:t>
  </x:si>
  <x:si>
    <x:t xml:space="preserve">91875</x:t>
  </x:si>
  <x:si>
    <x:t xml:space="preserve">105250</x:t>
  </x:si>
  <x:si>
    <x:t xml:space="preserve">1112</x:t>
  </x:si>
  <x:si>
    <x:t xml:space="preserve">FA-1112</x:t>
  </x:si>
  <x:si>
    <x:t xml:space="preserve">91917</x:t>
  </x:si>
  <x:si>
    <x:t xml:space="preserve">105263</x:t>
  </x:si>
  <x:si>
    <x:t xml:space="preserve">12108</x:t>
  </x:si>
  <x:si>
    <x:t xml:space="preserve">BO-12108</x:t>
  </x:si>
  <x:si>
    <x:t xml:space="preserve">SILVA CARRION DE GAMARRA MAXIMA DOMITILA</x:t>
  </x:si>
  <x:si>
    <x:t xml:space="preserve">06894192</x:t>
  </x:si>
  <x:si>
    <x:t xml:space="preserve">0072137</x:t>
  </x:si>
  <x:si>
    <x:t xml:space="preserve">941814011</x:t>
  </x:si>
  <x:si>
    <x:t xml:space="preserve">90317</x:t>
  </x:si>
  <x:si>
    <x:t xml:space="preserve">105274</x:t>
  </x:si>
  <x:si>
    <x:t xml:space="preserve">12110</x:t>
  </x:si>
  <x:si>
    <x:t xml:space="preserve">BO-12110</x:t>
  </x:si>
  <x:si>
    <x:t xml:space="preserve">CORNEJO JARA LUZ ANGELICA</x:t>
  </x:si>
  <x:si>
    <x:t xml:space="preserve">22464951</x:t>
  </x:si>
  <x:si>
    <x:t xml:space="preserve">0072489</x:t>
  </x:si>
  <x:si>
    <x:t xml:space="preserve">947853643</x:t>
  </x:si>
  <x:si>
    <x:t xml:space="preserve">91889</x:t>
  </x:si>
  <x:si>
    <x:t xml:space="preserve">105312</x:t>
  </x:si>
  <x:si>
    <x:t xml:space="preserve">6255</x:t>
  </x:si>
  <x:si>
    <x:t xml:space="preserve">BO-6255</x:t>
  </x:si>
  <x:si>
    <x:t xml:space="preserve">TABRAJ CASTRO YOLANDA FORTUNATA</x:t>
  </x:si>
  <x:si>
    <x:t xml:space="preserve">19842268</x:t>
  </x:si>
  <x:si>
    <x:t xml:space="preserve">0048885</x:t>
  </x:si>
  <x:si>
    <x:t xml:space="preserve">935547077</x:t>
  </x:si>
  <x:si>
    <x:t xml:space="preserve">91110</x:t>
  </x:si>
  <x:si>
    <x:t xml:space="preserve">105336</x:t>
  </x:si>
  <x:si>
    <x:t xml:space="preserve">1113</x:t>
  </x:si>
  <x:si>
    <x:t xml:space="preserve">FA-1113</x:t>
  </x:si>
  <x:si>
    <x:t xml:space="preserve">TAIPE BALCAZAR MARINA ANTONIETA</x:t>
  </x:si>
  <x:si>
    <x:t xml:space="preserve">08308110</x:t>
  </x:si>
  <x:si>
    <x:t xml:space="preserve">CABRERA YAIMA</x:t>
  </x:si>
  <x:si>
    <x:t xml:space="preserve">0073057</x:t>
  </x:si>
  <x:si>
    <x:t xml:space="preserve">902818383</x:t>
  </x:si>
  <x:si>
    <x:t xml:space="preserve">CABRERA RUIZ YAIMA</x:t>
  </x:si>
  <x:si>
    <x:t xml:space="preserve">92000</x:t>
  </x:si>
  <x:si>
    <x:t xml:space="preserve">105351</x:t>
  </x:si>
  <x:si>
    <x:t xml:space="preserve">12462</x:t>
  </x:si>
  <x:si>
    <x:t xml:space="preserve">BO-12462</x:t>
  </x:si>
  <x:si>
    <x:t xml:space="preserve">GRADOS MARCOS DELIA FRANCISCA</x:t>
  </x:si>
  <x:si>
    <x:t xml:space="preserve">07375632</x:t>
  </x:si>
  <x:si>
    <x:t xml:space="preserve">PALACIOS URIBE PAMELA</x:t>
  </x:si>
  <x:si>
    <x:t xml:space="preserve">0057588</x:t>
  </x:si>
  <x:si>
    <x:t xml:space="preserve">987972275</x:t>
  </x:si>
  <x:si>
    <x:t xml:space="preserve">91982</x:t>
  </x:si>
  <x:si>
    <x:t xml:space="preserve">105372</x:t>
  </x:si>
  <x:si>
    <x:t xml:space="preserve">6263</x:t>
  </x:si>
  <x:si>
    <x:t xml:space="preserve">BO-6263</x:t>
  </x:si>
  <x:si>
    <x:t xml:space="preserve">YARANGA LOAYZA OLGA MARCELINA</x:t>
  </x:si>
  <x:si>
    <x:t xml:space="preserve">28274485</x:t>
  </x:si>
  <x:si>
    <x:t xml:space="preserve">CAMPANA BELLOTA LUIS</x:t>
  </x:si>
  <x:si>
    <x:t xml:space="preserve">0073119</x:t>
  </x:si>
  <x:si>
    <x:t xml:space="preserve">966904959</x:t>
  </x:si>
  <x:si>
    <x:t xml:space="preserve">92034</x:t>
  </x:si>
  <x:si>
    <x:t xml:space="preserve">105377</x:t>
  </x:si>
  <x:si>
    <x:t xml:space="preserve">1114</x:t>
  </x:si>
  <x:si>
    <x:t xml:space="preserve">FA-1114</x:t>
  </x:si>
  <x:si>
    <x:t xml:space="preserve">GONZALES DIAZ MARINO</x:t>
  </x:si>
  <x:si>
    <x:t xml:space="preserve">01141467</x:t>
  </x:si>
  <x:si>
    <x:t xml:space="preserve">0072891</x:t>
  </x:si>
  <x:si>
    <x:t xml:space="preserve">942425498</x:t>
  </x:si>
  <x:si>
    <x:t xml:space="preserve">92035</x:t>
  </x:si>
  <x:si>
    <x:t xml:space="preserve">105386</x:t>
  </x:si>
  <x:si>
    <x:t xml:space="preserve">12468</x:t>
  </x:si>
  <x:si>
    <x:t xml:space="preserve">BO-12468</x:t>
  </x:si>
  <x:si>
    <x:t xml:space="preserve">ROCA FLORES DE ROMERO IRINEA SUSANA</x:t>
  </x:si>
  <x:si>
    <x:t xml:space="preserve">08047016</x:t>
  </x:si>
  <x:si>
    <x:t xml:space="preserve">0073082</x:t>
  </x:si>
  <x:si>
    <x:t xml:space="preserve">993468698</x:t>
  </x:si>
  <x:si>
    <x:t xml:space="preserve">92029</x:t>
  </x:si>
  <x:si>
    <x:t xml:space="preserve">105431</x:t>
  </x:si>
  <x:si>
    <x:t xml:space="preserve">4565</x:t>
  </x:si>
  <x:si>
    <x:t xml:space="preserve">BO-4565</x:t>
  </x:si>
  <x:si>
    <x:t xml:space="preserve">LAZO SALDARRIAGA MARIA MAGDALENA</x:t>
  </x:si>
  <x:si>
    <x:t xml:space="preserve">07010913</x:t>
  </x:si>
  <x:si>
    <x:t xml:space="preserve">0073161</x:t>
  </x:si>
  <x:si>
    <x:t xml:space="preserve">937173777</x:t>
  </x:si>
  <x:si>
    <x:t xml:space="preserve">92066</x:t>
  </x:si>
  <x:si>
    <x:t xml:space="preserve">OFTALMOSCOPÍA INDIRECTA (FONDO DE OJO)</x:t>
  </x:si>
  <x:si>
    <x:t xml:space="preserve">105459</x:t>
  </x:si>
  <x:si>
    <x:t xml:space="preserve">12480</x:t>
  </x:si>
  <x:si>
    <x:t xml:space="preserve">BO-12480</x:t>
  </x:si>
  <x:si>
    <x:t xml:space="preserve">CONTRERAS QUISPE CRISTINA</x:t>
  </x:si>
  <x:si>
    <x:t xml:space="preserve">06222362</x:t>
  </x:si>
  <x:si>
    <x:t xml:space="preserve">0073163</x:t>
  </x:si>
  <x:si>
    <x:t xml:space="preserve">982496631</x:t>
  </x:si>
  <x:si>
    <x:t xml:space="preserve">92075</x:t>
  </x:si>
  <x:si>
    <x:t xml:space="preserve">105466</x:t>
  </x:si>
  <x:si>
    <x:t xml:space="preserve">1115</x:t>
  </x:si>
  <x:si>
    <x:t xml:space="preserve">FA-1115</x:t>
  </x:si>
  <x:si>
    <x:t xml:space="preserve">BEJARANO DE CARO FELICITA</x:t>
  </x:si>
  <x:si>
    <x:t xml:space="preserve">15282332</x:t>
  </x:si>
  <x:si>
    <x:t xml:space="preserve">0073164</x:t>
  </x:si>
  <x:si>
    <x:t xml:space="preserve">982123330</x:t>
  </x:si>
  <x:si>
    <x:t xml:space="preserve">92079</x:t>
  </x:si>
  <x:si>
    <x:t xml:space="preserve">105489</x:t>
  </x:si>
  <x:si>
    <x:t xml:space="preserve">12486</x:t>
  </x:si>
  <x:si>
    <x:t xml:space="preserve">BO-12486</x:t>
  </x:si>
  <x:si>
    <x:t xml:space="preserve">SANDOVAL SANDOVAL JUAN ARTURO</x:t>
  </x:si>
  <x:si>
    <x:t xml:space="preserve">20523843</x:t>
  </x:si>
  <x:si>
    <x:t xml:space="preserve">BARZOLA CORDERO VIOLETA</x:t>
  </x:si>
  <x:si>
    <x:t xml:space="preserve">0067809</x:t>
  </x:si>
  <x:si>
    <x:t xml:space="preserve">990982791</x:t>
  </x:si>
  <x:si>
    <x:t xml:space="preserve">92110</x:t>
  </x:si>
  <x:si>
    <x:t xml:space="preserve">0011-0320-0200058577</x:t>
  </x:si>
  <x:si>
    <x:t xml:space="preserve">105494</x:t>
  </x:si>
  <x:si>
    <x:t xml:space="preserve">12487</x:t>
  </x:si>
  <x:si>
    <x:t xml:space="preserve">BO-12487</x:t>
  </x:si>
  <x:si>
    <x:t xml:space="preserve">GLAVE GARCIA PACHECO ROSANA ELENA FORTUN</x:t>
  </x:si>
  <x:si>
    <x:t xml:space="preserve">07237974</x:t>
  </x:si>
  <x:si>
    <x:t xml:space="preserve">PERES MARTINOC MANUEL</x:t>
  </x:si>
  <x:si>
    <x:t xml:space="preserve">0049566</x:t>
  </x:si>
  <x:si>
    <x:t xml:space="preserve">992352135</x:t>
  </x:si>
  <x:si>
    <x:t xml:space="preserve">92114</x:t>
  </x:si>
  <x:si>
    <x:t xml:space="preserve">105501</x:t>
  </x:si>
  <x:si>
    <x:t xml:space="preserve">624</x:t>
  </x:si>
  <x:si>
    <x:t xml:space="preserve">BO-624</x:t>
  </x:si>
  <x:si>
    <x:t xml:space="preserve">MEZA GAMARRA RENATO GIANCARLOS</x:t>
  </x:si>
  <x:si>
    <x:t xml:space="preserve">75877570</x:t>
  </x:si>
  <x:si>
    <x:t xml:space="preserve">SOTO REBECA</x:t>
  </x:si>
  <x:si>
    <x:t xml:space="preserve">HOSPITAL MILITAR</x:t>
  </x:si>
  <x:si>
    <x:t xml:space="preserve">0073174</x:t>
  </x:si>
  <x:si>
    <x:t xml:space="preserve">930877102</x:t>
  </x:si>
  <x:si>
    <x:t xml:space="preserve">92118</x:t>
  </x:si>
  <x:si>
    <x:t xml:space="preserve">105515</x:t>
  </x:si>
  <x:si>
    <x:t xml:space="preserve">6276</x:t>
  </x:si>
  <x:si>
    <x:t xml:space="preserve">BO-6276</x:t>
  </x:si>
  <x:si>
    <x:t xml:space="preserve">92123</x:t>
  </x:si>
  <x:si>
    <x:t xml:space="preserve">105528</x:t>
  </x:si>
  <x:si>
    <x:t xml:space="preserve">12490</x:t>
  </x:si>
  <x:si>
    <x:t xml:space="preserve">BO-12490</x:t>
  </x:si>
  <x:si>
    <x:t xml:space="preserve">VISO TOLEDO FREDESMINDA MATILDE</x:t>
  </x:si>
  <x:si>
    <x:t xml:space="preserve">06051472</x:t>
  </x:si>
  <x:si>
    <x:t xml:space="preserve">0040801</x:t>
  </x:si>
  <x:si>
    <x:t xml:space="preserve">970878098</x:t>
  </x:si>
  <x:si>
    <x:t xml:space="preserve">86019</x:t>
  </x:si>
  <x:si>
    <x:t xml:space="preserve">105529</x:t>
  </x:si>
  <x:si>
    <x:t xml:space="preserve">604</x:t>
  </x:si>
  <x:si>
    <x:t xml:space="preserve">FA-604</x:t>
  </x:si>
  <x:si>
    <x:t xml:space="preserve">GAMARRA OSCAR</x:t>
  </x:si>
  <x:si>
    <x:t xml:space="preserve">91923</x:t>
  </x:si>
  <x:si>
    <x:t xml:space="preserve">105530</x:t>
  </x:si>
  <x:si>
    <x:t xml:space="preserve">605</x:t>
  </x:si>
  <x:si>
    <x:t xml:space="preserve">FA-605</x:t>
  </x:si>
  <x:si>
    <x:t xml:space="preserve">SILVA ALVARADO SEBASTIAN</x:t>
  </x:si>
  <x:si>
    <x:t xml:space="preserve">06837208</x:t>
  </x:si>
  <x:si>
    <x:t xml:space="preserve">0072981</x:t>
  </x:si>
  <x:si>
    <x:t xml:space="preserve">91924</x:t>
  </x:si>
  <x:si>
    <x:t xml:space="preserve">105537</x:t>
  </x:si>
  <x:si>
    <x:t xml:space="preserve">6278</x:t>
  </x:si>
  <x:si>
    <x:t xml:space="preserve">BO-6278</x:t>
  </x:si>
  <x:si>
    <x:t xml:space="preserve">PEÑA TORRES MARIA</x:t>
  </x:si>
  <x:si>
    <x:t xml:space="preserve">27823999</x:t>
  </x:si>
  <x:si>
    <x:t xml:space="preserve">0073186</x:t>
  </x:si>
  <x:si>
    <x:t xml:space="preserve">961105049</x:t>
  </x:si>
  <x:si>
    <x:t xml:space="preserve">92143</x:t>
  </x:si>
  <x:si>
    <x:t xml:space="preserve">105538</x:t>
  </x:si>
  <x:si>
    <x:t xml:space="preserve">1117</x:t>
  </x:si>
  <x:si>
    <x:t xml:space="preserve">FA-1117</x:t>
  </x:si>
  <x:si>
    <x:t xml:space="preserve">91565</x:t>
  </x:si>
  <x:si>
    <x:t xml:space="preserve">105554</x:t>
  </x:si>
  <x:si>
    <x:t xml:space="preserve">1118</x:t>
  </x:si>
  <x:si>
    <x:t xml:space="preserve">FA-1118</x:t>
  </x:si>
  <x:si>
    <x:t xml:space="preserve">NAUPA ROSADO PATRICIA ADELA</x:t>
  </x:si>
  <x:si>
    <x:t xml:space="preserve">45875250</x:t>
  </x:si>
  <x:si>
    <x:t xml:space="preserve">0073068</x:t>
  </x:si>
  <x:si>
    <x:t xml:space="preserve">92067</x:t>
  </x:si>
  <x:si>
    <x:t xml:space="preserve">CHALAZIUM, BLEFAROTOMIA ABSCESO </x:t>
  </x:si>
  <x:si>
    <x:t xml:space="preserve">105555</x:t>
  </x:si>
  <x:si>
    <x:t xml:space="preserve">1119</x:t>
  </x:si>
  <x:si>
    <x:t xml:space="preserve">FA-1119</x:t>
  </x:si>
  <x:si>
    <x:t xml:space="preserve">LOPEZ CAVERO FELIX GABRIEL</x:t>
  </x:si>
  <x:si>
    <x:t xml:space="preserve">08089849</x:t>
  </x:si>
  <x:si>
    <x:t xml:space="preserve">0073062</x:t>
  </x:si>
  <x:si>
    <x:t xml:space="preserve">92164</x:t>
  </x:si>
  <x:si>
    <x:t xml:space="preserve">105569</x:t>
  </x:si>
  <x:si>
    <x:t xml:space="preserve">12497</x:t>
  </x:si>
  <x:si>
    <x:t xml:space="preserve">BO-12497</x:t>
  </x:si>
  <x:si>
    <x:t xml:space="preserve">CARTAGENA TORRES DE TENORIO AIDA ELIZABE</x:t>
  </x:si>
  <x:si>
    <x:t xml:space="preserve">21815510</x:t>
  </x:si>
  <x:si>
    <x:t xml:space="preserve">CLEMENTE RODRIGUEZ JOSÉ CARLOS</x:t>
  </x:si>
  <x:si>
    <x:t xml:space="preserve">0073193</x:t>
  </x:si>
  <x:si>
    <x:t xml:space="preserve">979689192</x:t>
  </x:si>
  <x:si>
    <x:t xml:space="preserve">92173</x:t>
  </x:si>
  <x:si>
    <x:t xml:space="preserve">105575</x:t>
  </x:si>
  <x:si>
    <x:t xml:space="preserve">607</x:t>
  </x:si>
  <x:si>
    <x:t xml:space="preserve">FA-607</x:t>
  </x:si>
  <x:si>
    <x:t xml:space="preserve">92129</x:t>
  </x:si>
  <x:si>
    <x:t xml:space="preserve">FACOEMULSIFICACION COMPLICADA </x:t>
  </x:si>
  <x:si>
    <x:t xml:space="preserve">105580</x:t>
  </x:si>
  <x:si>
    <x:t xml:space="preserve">12498</x:t>
  </x:si>
  <x:si>
    <x:t xml:space="preserve">BO-12498</x:t>
  </x:si>
  <x:si>
    <x:t xml:space="preserve">BEJARANO MARTELL HERRERA CESAR OCTAVIO</x:t>
  </x:si>
  <x:si>
    <x:t xml:space="preserve">07257400</x:t>
  </x:si>
  <x:si>
    <x:t xml:space="preserve">0051057</x:t>
  </x:si>
  <x:si>
    <x:t xml:space="preserve">985762261</x:t>
  </x:si>
  <x:si>
    <x:t xml:space="preserve">92186</x:t>
  </x:si>
  <x:si>
    <x:t xml:space="preserve">105641</x:t>
  </x:si>
  <x:si>
    <x:t xml:space="preserve">12115</x:t>
  </x:si>
  <x:si>
    <x:t xml:space="preserve">BO-12115</x:t>
  </x:si>
  <x:si>
    <x:t xml:space="preserve">ACEVEDO MARZANO MARCELINA</x:t>
  </x:si>
  <x:si>
    <x:t xml:space="preserve">08605213</x:t>
  </x:si>
  <x:si>
    <x:t xml:space="preserve">0072594</x:t>
  </x:si>
  <x:si>
    <x:t xml:space="preserve">963131208</x:t>
  </x:si>
  <x:si>
    <x:t xml:space="preserve">91039</x:t>
  </x:si>
  <x:si>
    <x:t xml:space="preserve">105664</x:t>
  </x:si>
  <x:si>
    <x:t xml:space="preserve">636</x:t>
  </x:si>
  <x:si>
    <x:t xml:space="preserve">BO-636</x:t>
  </x:si>
  <x:si>
    <x:t xml:space="preserve">ROJAS NIÑO KARINA YSABEL</x:t>
  </x:si>
  <x:si>
    <x:t xml:space="preserve">09937994</x:t>
  </x:si>
  <x:si>
    <x:t xml:space="preserve">0073140</x:t>
  </x:si>
  <x:si>
    <x:t xml:space="preserve">920888995</x:t>
  </x:si>
  <x:si>
    <x:t xml:space="preserve">92235</x:t>
  </x:si>
  <x:si>
    <x:t xml:space="preserve">105689</x:t>
  </x:si>
  <x:si>
    <x:t xml:space="preserve">12503</x:t>
  </x:si>
  <x:si>
    <x:t xml:space="preserve">BO-12503</x:t>
  </x:si>
  <x:si>
    <x:t xml:space="preserve">ESCOBAR CORIMAYA DE NEYRA LILI NANCY</x:t>
  </x:si>
  <x:si>
    <x:t xml:space="preserve">06173377</x:t>
  </x:si>
  <x:si>
    <x:t xml:space="preserve">CHAFLOQUE CERVANTES AUGUSTO BERNADINO</x:t>
  </x:si>
  <x:si>
    <x:t xml:space="preserve">0073300</x:t>
  </x:si>
  <x:si>
    <x:t xml:space="preserve">999006276</x:t>
  </x:si>
  <x:si>
    <x:t xml:space="preserve">92260</x:t>
  </x:si>
  <x:si>
    <x:t xml:space="preserve">191-18537427072</x:t>
  </x:si>
  <x:si>
    <x:t xml:space="preserve">105737</x:t>
  </x:si>
  <x:si>
    <x:t xml:space="preserve">5071</x:t>
  </x:si>
  <x:si>
    <x:t xml:space="preserve">BO-5071</x:t>
  </x:si>
  <x:si>
    <x:t xml:space="preserve">ARCA CHIROQUE CRISTOPHER DANGELO</x:t>
  </x:si>
  <x:si>
    <x:t xml:space="preserve">77725218</x:t>
  </x:si>
  <x:si>
    <x:t xml:space="preserve">0057360</x:t>
  </x:si>
  <x:si>
    <x:t xml:space="preserve">922631752</x:t>
  </x:si>
  <x:si>
    <x:t xml:space="preserve">92307</x:t>
  </x:si>
  <x:si>
    <x:t xml:space="preserve">105827</x:t>
  </x:si>
  <x:si>
    <x:t xml:space="preserve">611</x:t>
  </x:si>
  <x:si>
    <x:t xml:space="preserve">FA-611</x:t>
  </x:si>
  <x:si>
    <x:t xml:space="preserve">GAMBOA MALAGA JORGE ROGELIO</x:t>
  </x:si>
  <x:si>
    <x:t xml:space="preserve">07685303</x:t>
  </x:si>
  <x:si>
    <x:t xml:space="preserve">BERROCAL VIVIANA</x:t>
  </x:si>
  <x:si>
    <x:t xml:space="preserve">HOSPITAL MARIA AUXILIADORA</x:t>
  </x:si>
  <x:si>
    <x:t xml:space="preserve">0073297</x:t>
  </x:si>
  <x:si>
    <x:t xml:space="preserve">992962096</x:t>
  </x:si>
  <x:si>
    <x:t xml:space="preserve">92385</x:t>
  </x:si>
  <x:si>
    <x:t xml:space="preserve">105905</x:t>
  </x:si>
  <x:si>
    <x:t xml:space="preserve">6321</x:t>
  </x:si>
  <x:si>
    <x:t xml:space="preserve">BO-6321</x:t>
  </x:si>
  <x:si>
    <x:t xml:space="preserve">PEREZ ÑAUPA ROLANDO MELQUIADES</x:t>
  </x:si>
  <x:si>
    <x:t xml:space="preserve">19812331</x:t>
  </x:si>
  <x:si>
    <x:t xml:space="preserve">0073375</x:t>
  </x:si>
  <x:si>
    <x:t xml:space="preserve">963494526</x:t>
  </x:si>
  <x:si>
    <x:t xml:space="preserve">92442</x:t>
  </x:si>
  <x:si>
    <x:t xml:space="preserve">105914</x:t>
  </x:si>
  <x:si>
    <x:t xml:space="preserve">12539</x:t>
  </x:si>
  <x:si>
    <x:t xml:space="preserve">BO-12539</x:t>
  </x:si>
  <x:si>
    <x:t xml:space="preserve">SALAZAR SALAZAR RAUL</x:t>
  </x:si>
  <x:si>
    <x:t xml:space="preserve">43395296</x:t>
  </x:si>
  <x:si>
    <x:t xml:space="preserve">0073385</x:t>
  </x:si>
  <x:si>
    <x:t xml:space="preserve">924454968</x:t>
  </x:si>
  <x:si>
    <x:t xml:space="preserve">92459</x:t>
  </x:si>
  <x:si>
    <x:t xml:space="preserve">105939</x:t>
  </x:si>
  <x:si>
    <x:t xml:space="preserve">12542</x:t>
  </x:si>
  <x:si>
    <x:t xml:space="preserve">BO-12542</x:t>
  </x:si>
  <x:si>
    <x:t xml:space="preserve">OLIVERA SAMAME ROBERT EDINSON</x:t>
  </x:si>
  <x:si>
    <x:t xml:space="preserve">72367412</x:t>
  </x:si>
  <x:si>
    <x:t xml:space="preserve">0073392</x:t>
  </x:si>
  <x:si>
    <x:t xml:space="preserve">971278088</x:t>
  </x:si>
  <x:si>
    <x:t xml:space="preserve">92487</x:t>
  </x:si>
  <x:si>
    <x:t xml:space="preserve">105954</x:t>
  </x:si>
  <x:si>
    <x:t xml:space="preserve">6330</x:t>
  </x:si>
  <x:si>
    <x:t xml:space="preserve">BO-6330</x:t>
  </x:si>
  <x:si>
    <x:t xml:space="preserve">ESPICHAN AVALOS LAZARO FERNANDO</x:t>
  </x:si>
  <x:si>
    <x:t xml:space="preserve">15414846</x:t>
  </x:si>
  <x:si>
    <x:t xml:space="preserve">0071410</x:t>
  </x:si>
  <x:si>
    <x:t xml:space="preserve">998 467 0</x:t>
  </x:si>
  <x:si>
    <x:t xml:space="preserve">92496</x:t>
  </x:si>
  <x:si>
    <x:t xml:space="preserve">105955</x:t>
  </x:si>
  <x:si>
    <x:t xml:space="preserve">12545</x:t>
  </x:si>
  <x:si>
    <x:t xml:space="preserve">BO-12545</x:t>
  </x:si>
  <x:si>
    <x:t xml:space="preserve">MENDOZA DE LA CRUZ MARCOS ANTONIO</x:t>
  </x:si>
  <x:si>
    <x:t xml:space="preserve">40665334</x:t>
  </x:si>
  <x:si>
    <x:t xml:space="preserve">SALAZAR FUERTES JESUS ABEL</x:t>
  </x:si>
  <x:si>
    <x:t xml:space="preserve">0073401</x:t>
  </x:si>
  <x:si>
    <x:t xml:space="preserve">989560874</x:t>
  </x:si>
  <x:si>
    <x:t xml:space="preserve">92497</x:t>
  </x:si>
  <x:si>
    <x:t xml:space="preserve"> 0011-0115-0200235237</x:t>
  </x:si>
  <x:si>
    <x:t xml:space="preserve">105956</x:t>
  </x:si>
  <x:si>
    <x:t xml:space="preserve">6331</x:t>
  </x:si>
  <x:si>
    <x:t xml:space="preserve">BO-6331</x:t>
  </x:si>
  <x:si>
    <x:t xml:space="preserve">YAURIMO FERNANDEZ MARINO</x:t>
  </x:si>
  <x:si>
    <x:t xml:space="preserve">10498263</x:t>
  </x:si>
  <x:si>
    <x:t xml:space="preserve">0073357</x:t>
  </x:si>
  <x:si>
    <x:t xml:space="preserve">987424322</x:t>
  </x:si>
  <x:si>
    <x:t xml:space="preserve">92499</x:t>
  </x:si>
  <x:si>
    <x:t xml:space="preserve">105958</x:t>
  </x:si>
  <x:si>
    <x:t xml:space="preserve">6332</x:t>
  </x:si>
  <x:si>
    <x:t xml:space="preserve">BO-6332</x:t>
  </x:si>
  <x:si>
    <x:t xml:space="preserve">QUINTEROS BUSTAMANTE LUIS</x:t>
  </x:si>
  <x:si>
    <x:t xml:space="preserve">01026635</x:t>
  </x:si>
  <x:si>
    <x:t xml:space="preserve">0073366</x:t>
  </x:si>
  <x:si>
    <x:t xml:space="preserve">955140676</x:t>
  </x:si>
  <x:si>
    <x:t xml:space="preserve">92501</x:t>
  </x:si>
  <x:si>
    <x:t xml:space="preserve">105964</x:t>
  </x:si>
  <x:si>
    <x:t xml:space="preserve">6333</x:t>
  </x:si>
  <x:si>
    <x:t xml:space="preserve">BO-6333</x:t>
  </x:si>
  <x:si>
    <x:t xml:space="preserve">LEON TUFINIO JORGE LUIS</x:t>
  </x:si>
  <x:si>
    <x:t xml:space="preserve">70166072</x:t>
  </x:si>
  <x:si>
    <x:t xml:space="preserve">SOTOMAYOR SALAS JANETH LORENA</x:t>
  </x:si>
  <x:si>
    <x:t xml:space="preserve">0072791</x:t>
  </x:si>
  <x:si>
    <x:t xml:space="preserve">92429</x:t>
  </x:si>
  <x:si>
    <x:t xml:space="preserve">375-3027598410</x:t>
  </x:si>
  <x:si>
    <x:t xml:space="preserve">105970</x:t>
  </x:si>
  <x:si>
    <x:t xml:space="preserve">4612</x:t>
  </x:si>
  <x:si>
    <x:t xml:space="preserve">BO-4612</x:t>
  </x:si>
  <x:si>
    <x:t xml:space="preserve">40043626</x:t>
  </x:si>
  <x:si>
    <x:t xml:space="preserve">92490</x:t>
  </x:si>
  <x:si>
    <x:t xml:space="preserve">106029</x:t>
  </x:si>
  <x:si>
    <x:t xml:space="preserve">6337</x:t>
  </x:si>
  <x:si>
    <x:t xml:space="preserve">BO-6337</x:t>
  </x:si>
  <x:si>
    <x:t xml:space="preserve">92555</x:t>
  </x:si>
  <x:si>
    <x:t xml:space="preserve">106042</x:t>
  </x:si>
  <x:si>
    <x:t xml:space="preserve">612</x:t>
  </x:si>
  <x:si>
    <x:t xml:space="preserve">FA-612</x:t>
  </x:si>
  <x:si>
    <x:t xml:space="preserve">92493</x:t>
  </x:si>
  <x:si>
    <x:t xml:space="preserve">106095</x:t>
  </x:si>
  <x:si>
    <x:t xml:space="preserve">613</x:t>
  </x:si>
  <x:si>
    <x:t xml:space="preserve">FA-613</x:t>
  </x:si>
  <x:si>
    <x:t xml:space="preserve">92517</x:t>
  </x:si>
  <x:si>
    <x:t xml:space="preserve">106101</x:t>
  </x:si>
  <x:si>
    <x:t xml:space="preserve">614</x:t>
  </x:si>
  <x:si>
    <x:t xml:space="preserve">FA-614</x:t>
  </x:si>
  <x:si>
    <x:t xml:space="preserve">92510</x:t>
  </x:si>
  <x:si>
    <x:t xml:space="preserve">106103</x:t>
  </x:si>
  <x:si>
    <x:t xml:space="preserve">6345</x:t>
  </x:si>
  <x:si>
    <x:t xml:space="preserve">BO-6345</x:t>
  </x:si>
  <x:si>
    <x:t xml:space="preserve">DELGADO BLANCO CRISTINA</x:t>
  </x:si>
  <x:si>
    <x:t xml:space="preserve">09931535</x:t>
  </x:si>
  <x:si>
    <x:t xml:space="preserve">0073453</x:t>
  </x:si>
  <x:si>
    <x:t xml:space="preserve">990378975</x:t>
  </x:si>
  <x:si>
    <x:t xml:space="preserve">92632</x:t>
  </x:si>
  <x:si>
    <x:t xml:space="preserve">106106</x:t>
  </x:si>
  <x:si>
    <x:t xml:space="preserve">615</x:t>
  </x:si>
  <x:si>
    <x:t xml:space="preserve">FA-615</x:t>
  </x:si>
  <x:si>
    <x:t xml:space="preserve">92520</x:t>
  </x:si>
  <x:si>
    <x:t xml:space="preserve">106140</x:t>
  </x:si>
  <x:si>
    <x:t xml:space="preserve">4635</x:t>
  </x:si>
  <x:si>
    <x:t xml:space="preserve">BO-4635</x:t>
  </x:si>
  <x:si>
    <x:t xml:space="preserve">GUEVARA CASTILLO MAYRIOLITH</x:t>
  </x:si>
  <x:si>
    <x:t xml:space="preserve">10440720</x:t>
  </x:si>
  <x:si>
    <x:t xml:space="preserve">0073473</x:t>
  </x:si>
  <x:si>
    <x:t xml:space="preserve">902060976</x:t>
  </x:si>
  <x:si>
    <x:t xml:space="preserve">92665</x:t>
  </x:si>
  <x:si>
    <x:t xml:space="preserve">106159</x:t>
  </x:si>
  <x:si>
    <x:t xml:space="preserve">12567</x:t>
  </x:si>
  <x:si>
    <x:t xml:space="preserve">BO-12567</x:t>
  </x:si>
  <x:si>
    <x:t xml:space="preserve">BEJAR RIVERA HECTOR</x:t>
  </x:si>
  <x:si>
    <x:t xml:space="preserve">08784630</x:t>
  </x:si>
  <x:si>
    <x:t xml:space="preserve">RODRIGUEZ</x:t>
  </x:si>
  <x:si>
    <x:t xml:space="preserve">0067334</x:t>
  </x:si>
  <x:si>
    <x:t xml:space="preserve">997819691</x:t>
  </x:si>
  <x:si>
    <x:t xml:space="preserve">92683</x:t>
  </x:si>
  <x:si>
    <x:t xml:space="preserve">106206</x:t>
  </x:si>
  <x:si>
    <x:t xml:space="preserve">1134</x:t>
  </x:si>
  <x:si>
    <x:t xml:space="preserve">FA-1134</x:t>
  </x:si>
  <x:si>
    <x:t xml:space="preserve">92684</x:t>
  </x:si>
  <x:si>
    <x:t xml:space="preserve">106221</x:t>
  </x:si>
  <x:si>
    <x:t xml:space="preserve">619</x:t>
  </x:si>
  <x:si>
    <x:t xml:space="preserve">FA-619</x:t>
  </x:si>
  <x:si>
    <x:t xml:space="preserve">PARI MAMANI LEANDRO</x:t>
  </x:si>
  <x:si>
    <x:t xml:space="preserve">10419517</x:t>
  </x:si>
  <x:si>
    <x:t xml:space="preserve">0073371</x:t>
  </x:si>
  <x:si>
    <x:t xml:space="preserve">985412589</x:t>
  </x:si>
  <x:si>
    <x:t xml:space="preserve">92463</x:t>
  </x:si>
  <x:si>
    <x:t xml:space="preserve">106222</x:t>
  </x:si>
  <x:si>
    <x:t xml:space="preserve">6352</x:t>
  </x:si>
  <x:si>
    <x:t xml:space="preserve">BO-6352</x:t>
  </x:si>
  <x:si>
    <x:t xml:space="preserve">SANTAMARIA TEJADA LUCILA</x:t>
  </x:si>
  <x:si>
    <x:t xml:space="preserve">08905427</x:t>
  </x:si>
  <x:si>
    <x:t xml:space="preserve">HERNANDEZ PEÑA ARTURO GABRIEL</x:t>
  </x:si>
  <x:si>
    <x:t xml:space="preserve">HOSPITAL DE POLICIA</x:t>
  </x:si>
  <x:si>
    <x:t xml:space="preserve">0073504</x:t>
  </x:si>
  <x:si>
    <x:t xml:space="preserve">947170721</x:t>
  </x:si>
  <x:si>
    <x:t xml:space="preserve">92736</x:t>
  </x:si>
  <x:si>
    <x:t xml:space="preserve">191-15421658031</x:t>
  </x:si>
  <x:si>
    <x:t xml:space="preserve">106223</x:t>
  </x:si>
  <x:si>
    <x:t xml:space="preserve">620</x:t>
  </x:si>
  <x:si>
    <x:t xml:space="preserve">FA-620</x:t>
  </x:si>
  <x:si>
    <x:t xml:space="preserve">92462</x:t>
  </x:si>
  <x:si>
    <x:t xml:space="preserve">106229</x:t>
  </x:si>
  <x:si>
    <x:t xml:space="preserve">1135</x:t>
  </x:si>
  <x:si>
    <x:t xml:space="preserve">FA-1135</x:t>
  </x:si>
  <x:si>
    <x:t xml:space="preserve">92744</x:t>
  </x:si>
  <x:si>
    <x:t xml:space="preserve">106288</x:t>
  </x:si>
  <x:si>
    <x:t xml:space="preserve">12577</x:t>
  </x:si>
  <x:si>
    <x:t xml:space="preserve">BO-12577</x:t>
  </x:si>
  <x:si>
    <x:t xml:space="preserve">RODRIGUEZ CHUQUIMANGO GIORGETTE GIOVANNI</x:t>
  </x:si>
  <x:si>
    <x:t xml:space="preserve">46680668</x:t>
  </x:si>
  <x:si>
    <x:t xml:space="preserve">VILCA MARCO</x:t>
  </x:si>
  <x:si>
    <x:t xml:space="preserve">0073538</x:t>
  </x:si>
  <x:si>
    <x:t xml:space="preserve">938128690</x:t>
  </x:si>
  <x:si>
    <x:t xml:space="preserve">92782</x:t>
  </x:si>
  <x:si>
    <x:t xml:space="preserve">106320</x:t>
  </x:si>
  <x:si>
    <x:t xml:space="preserve">134</x:t>
  </x:si>
  <x:si>
    <x:t xml:space="preserve">FA-134</x:t>
  </x:si>
  <x:si>
    <x:t xml:space="preserve">MUNASCA TORRES NANCY MAXIMINA</x:t>
  </x:si>
  <x:si>
    <x:t xml:space="preserve">06025531</x:t>
  </x:si>
  <x:si>
    <x:t xml:space="preserve">0051299</x:t>
  </x:si>
  <x:si>
    <x:t xml:space="preserve">998157351</x:t>
  </x:si>
  <x:si>
    <x:t xml:space="preserve">CARMELO VELASQUEZ ISABEL</x:t>
  </x:si>
  <x:si>
    <x:t xml:space="preserve">92803</x:t>
  </x:si>
  <x:si>
    <x:t xml:space="preserve">106334</x:t>
  </x:si>
  <x:si>
    <x:t xml:space="preserve">1136</x:t>
  </x:si>
  <x:si>
    <x:t xml:space="preserve">FA-1136</x:t>
  </x:si>
  <x:si>
    <x:t xml:space="preserve">CRISPIN TRAVEZAÑO ANTONIO OREB</x:t>
  </x:si>
  <x:si>
    <x:t xml:space="preserve">40886630</x:t>
  </x:si>
  <x:si>
    <x:t xml:space="preserve">0073499</x:t>
  </x:si>
  <x:si>
    <x:t xml:space="preserve">929579256</x:t>
  </x:si>
  <x:si>
    <x:t xml:space="preserve">92820</x:t>
  </x:si>
  <x:si>
    <x:t xml:space="preserve">106463</x:t>
  </x:si>
  <x:si>
    <x:t xml:space="preserve">5141</x:t>
  </x:si>
  <x:si>
    <x:t xml:space="preserve">BO-5141</x:t>
  </x:si>
  <x:si>
    <x:t xml:space="preserve">ALANIA MONTES DOMINGA FORTUNATA</x:t>
  </x:si>
  <x:si>
    <x:t xml:space="preserve">08500086</x:t>
  </x:si>
  <x:si>
    <x:t xml:space="preserve">0073600</x:t>
  </x:si>
  <x:si>
    <x:t xml:space="preserve">979075702</x:t>
  </x:si>
  <x:si>
    <x:t xml:space="preserve">92920</x:t>
  </x:si>
  <x:si>
    <x:t xml:space="preserve">106468</x:t>
  </x:si>
  <x:si>
    <x:t xml:space="preserve">5143</x:t>
  </x:si>
  <x:si>
    <x:t xml:space="preserve">BO-5143</x:t>
  </x:si>
  <x:si>
    <x:t xml:space="preserve">ZEVALLOS ZUNIGA DE MORENO MARGARITA RUBY</x:t>
  </x:si>
  <x:si>
    <x:t xml:space="preserve">06041866</x:t>
  </x:si>
  <x:si>
    <x:t xml:space="preserve">0073606</x:t>
  </x:si>
  <x:si>
    <x:t xml:space="preserve">999968835</x:t>
  </x:si>
  <x:si>
    <x:t xml:space="preserve">92926</x:t>
  </x:si>
  <x:si>
    <x:t xml:space="preserve">106529</x:t>
  </x:si>
  <x:si>
    <x:t xml:space="preserve">12610</x:t>
  </x:si>
  <x:si>
    <x:t xml:space="preserve">BO-12610</x:t>
  </x:si>
  <x:si>
    <x:t xml:space="preserve">CARDENAS OLMEDA CLAUDIO</x:t>
  </x:si>
  <x:si>
    <x:t xml:space="preserve">10371176</x:t>
  </x:si>
  <x:si>
    <x:t xml:space="preserve">0073636</x:t>
  </x:si>
  <x:si>
    <x:t xml:space="preserve">9151385318</x:t>
  </x:si>
  <x:si>
    <x:t xml:space="preserve">92982</x:t>
  </x:si>
  <x:si>
    <x:t xml:space="preserve">106603</x:t>
  </x:si>
  <x:si>
    <x:t xml:space="preserve">5171</x:t>
  </x:si>
  <x:si>
    <x:t xml:space="preserve">BO-5171</x:t>
  </x:si>
  <x:si>
    <x:t xml:space="preserve">LEON DONAIRES RAYMUNDO</x:t>
  </x:si>
  <x:si>
    <x:t xml:space="preserve">06916024</x:t>
  </x:si>
  <x:si>
    <x:t xml:space="preserve">0073668</x:t>
  </x:si>
  <x:si>
    <x:t xml:space="preserve">967222528</x:t>
  </x:si>
  <x:si>
    <x:t xml:space="preserve">93037</x:t>
  </x:si>
  <x:si>
    <x:t xml:space="preserve">106718</x:t>
  </x:si>
  <x:si>
    <x:t xml:space="preserve">12648</x:t>
  </x:si>
  <x:si>
    <x:t xml:space="preserve">BO-12648</x:t>
  </x:si>
  <x:si>
    <x:t xml:space="preserve">TORRES BUSTAMANTE SONNIA JULI</x:t>
  </x:si>
  <x:si>
    <x:t xml:space="preserve">06025459</x:t>
  </x:si>
  <x:si>
    <x:t xml:space="preserve">0073716</x:t>
  </x:si>
  <x:si>
    <x:t xml:space="preserve">949223453</x:t>
  </x:si>
  <x:si>
    <x:t xml:space="preserve">93123</x:t>
  </x:si>
  <x:si>
    <x:t xml:space="preserve">106735</x:t>
  </x:si>
  <x:si>
    <x:t xml:space="preserve">5191</x:t>
  </x:si>
  <x:si>
    <x:t xml:space="preserve">BO-5191</x:t>
  </x:si>
  <x:si>
    <x:t xml:space="preserve">93121</x:t>
  </x:si>
  <x:si>
    <x:t xml:space="preserve">106753</x:t>
  </x:si>
  <x:si>
    <x:t xml:space="preserve">6410</x:t>
  </x:si>
  <x:si>
    <x:t xml:space="preserve">BO-6410</x:t>
  </x:si>
  <x:si>
    <x:t xml:space="preserve">93004</x:t>
  </x:si>
  <x:si>
    <x:t xml:space="preserve">106755</x:t>
  </x:si>
  <x:si>
    <x:t xml:space="preserve">623</x:t>
  </x:si>
  <x:si>
    <x:t xml:space="preserve">FA-623</x:t>
  </x:si>
  <x:si>
    <x:t xml:space="preserve">SOTO FERNANDEZ FLORA</x:t>
  </x:si>
  <x:si>
    <x:t xml:space="preserve">31018493</x:t>
  </x:si>
  <x:si>
    <x:t xml:space="preserve">0073596</x:t>
  </x:si>
  <x:si>
    <x:t xml:space="preserve">93005</x:t>
  </x:si>
  <x:si>
    <x:t xml:space="preserve">106835</x:t>
  </x:si>
  <x:si>
    <x:t xml:space="preserve">6420</x:t>
  </x:si>
  <x:si>
    <x:t xml:space="preserve">BO-6420</x:t>
  </x:si>
  <x:si>
    <x:t xml:space="preserve">GARCIA TOMAIRO PEDRO</x:t>
  </x:si>
  <x:si>
    <x:t xml:space="preserve">15388544</x:t>
  </x:si>
  <x:si>
    <x:t xml:space="preserve">0073796</x:t>
  </x:si>
  <x:si>
    <x:t xml:space="preserve">999554178</x:t>
  </x:si>
  <x:si>
    <x:t xml:space="preserve">93211</x:t>
  </x:si>
  <x:si>
    <x:t xml:space="preserve">106854</x:t>
  </x:si>
  <x:si>
    <x:t xml:space="preserve">6421</x:t>
  </x:si>
  <x:si>
    <x:t xml:space="preserve">BO-6421</x:t>
  </x:si>
  <x:si>
    <x:t xml:space="preserve">MUÑOZ ESCALANTE TELMIRA</x:t>
  </x:si>
  <x:si>
    <x:t xml:space="preserve">06679500</x:t>
  </x:si>
  <x:si>
    <x:t xml:space="preserve">0054620</x:t>
  </x:si>
  <x:si>
    <x:t xml:space="preserve">9360006429</x:t>
  </x:si>
  <x:si>
    <x:t xml:space="preserve">93224</x:t>
  </x:si>
  <x:si>
    <x:t xml:space="preserve">106860</x:t>
  </x:si>
  <x:si>
    <x:t xml:space="preserve">6422</x:t>
  </x:si>
  <x:si>
    <x:t xml:space="preserve">BO-6422</x:t>
  </x:si>
  <x:si>
    <x:t xml:space="preserve">RAMOS LAGOS MARTHA</x:t>
  </x:si>
  <x:si>
    <x:t xml:space="preserve">06252964</x:t>
  </x:si>
  <x:si>
    <x:t xml:space="preserve">0073807</x:t>
  </x:si>
  <x:si>
    <x:t xml:space="preserve">989697721</x:t>
  </x:si>
  <x:si>
    <x:t xml:space="preserve">93232</x:t>
  </x:si>
  <x:si>
    <x:t xml:space="preserve">106943</x:t>
  </x:si>
  <x:si>
    <x:t xml:space="preserve">6428</x:t>
  </x:si>
  <x:si>
    <x:t xml:space="preserve">BO-6428</x:t>
  </x:si>
  <x:si>
    <x:t xml:space="preserve">DE LA CRUZ SALINAS MARIA ISABEL</x:t>
  </x:si>
  <x:si>
    <x:t xml:space="preserve">09265131</x:t>
  </x:si>
  <x:si>
    <x:t xml:space="preserve">ALBAN ZAPATA GUIDO </x:t>
  </x:si>
  <x:si>
    <x:t xml:space="preserve">0073840</x:t>
  </x:si>
  <x:si>
    <x:t xml:space="preserve">964333613</x:t>
  </x:si>
  <x:si>
    <x:t xml:space="preserve">93300</x:t>
  </x:si>
  <x:si>
    <x:t xml:space="preserve">193-15254018098</x:t>
  </x:si>
  <x:si>
    <x:t xml:space="preserve">106982</x:t>
  </x:si>
  <x:si>
    <x:t xml:space="preserve">6433</x:t>
  </x:si>
  <x:si>
    <x:t xml:space="preserve">BO-6433</x:t>
  </x:si>
  <x:si>
    <x:t xml:space="preserve">VALVERDE CUMPA SEGUNDO MISAEL</x:t>
  </x:si>
  <x:si>
    <x:t xml:space="preserve">10251130</x:t>
  </x:si>
  <x:si>
    <x:t xml:space="preserve">ZAMORA FALCON RUBEN HUGO</x:t>
  </x:si>
  <x:si>
    <x:t xml:space="preserve">HOSPITAL CARRION</x:t>
  </x:si>
  <x:si>
    <x:t xml:space="preserve">0073848</x:t>
  </x:si>
  <x:si>
    <x:t xml:space="preserve">955125393</x:t>
  </x:si>
  <x:si>
    <x:t xml:space="preserve">93339</x:t>
  </x:si>
  <x:si>
    <x:t xml:space="preserve">106986</x:t>
  </x:si>
  <x:si>
    <x:t xml:space="preserve">12683</x:t>
  </x:si>
  <x:si>
    <x:t xml:space="preserve">BO-12683</x:t>
  </x:si>
  <x:si>
    <x:t xml:space="preserve">ALLCCACO CANCHANYA KAROL LIZBETH</x:t>
  </x:si>
  <x:si>
    <x:t xml:space="preserve">47661526</x:t>
  </x:si>
  <x:si>
    <x:t xml:space="preserve">0073849</x:t>
  </x:si>
  <x:si>
    <x:t xml:space="preserve">945996823</x:t>
  </x:si>
  <x:si>
    <x:t xml:space="preserve">93343</x:t>
  </x:si>
  <x:si>
    <x:t xml:space="preserve">107078</x:t>
  </x:si>
  <x:si>
    <x:t xml:space="preserve">5224</x:t>
  </x:si>
  <x:si>
    <x:t xml:space="preserve">BO-5224</x:t>
  </x:si>
  <x:si>
    <x:t xml:space="preserve">RONCAL APARICIO CECILIA CLAUDIA</x:t>
  </x:si>
  <x:si>
    <x:t xml:space="preserve">2664</x:t>
  </x:si>
  <x:si>
    <x:t xml:space="preserve">0073870</x:t>
  </x:si>
  <x:si>
    <x:t xml:space="preserve">989059456</x:t>
  </x:si>
  <x:si>
    <x:t xml:space="preserve">93409</x:t>
  </x:si>
  <x:si>
    <x:t xml:space="preserve">107103</x:t>
  </x:si>
  <x:si>
    <x:t xml:space="preserve">4728</x:t>
  </x:si>
  <x:si>
    <x:t xml:space="preserve">BO-4728</x:t>
  </x:si>
  <x:si>
    <x:t xml:space="preserve">CHANDUVI ALFARO SONIA YSABEL</x:t>
  </x:si>
  <x:si>
    <x:t xml:space="preserve">08079079</x:t>
  </x:si>
  <x:si>
    <x:t xml:space="preserve">0073888</x:t>
  </x:si>
  <x:si>
    <x:t xml:space="preserve">982492043</x:t>
  </x:si>
  <x:si>
    <x:t xml:space="preserve">93436</x:t>
  </x:si>
  <x:si>
    <x:t xml:space="preserve">107105</x:t>
  </x:si>
  <x:si>
    <x:t xml:space="preserve">625</x:t>
  </x:si>
  <x:si>
    <x:t xml:space="preserve">FA-625</x:t>
  </x:si>
  <x:si>
    <x:t xml:space="preserve">AYLAS TRUJILLO YHAN FRANK</x:t>
  </x:si>
  <x:si>
    <x:t xml:space="preserve">62448662</x:t>
  </x:si>
  <x:si>
    <x:t xml:space="preserve">0073862</x:t>
  </x:si>
  <x:si>
    <x:t xml:space="preserve">985412595</x:t>
  </x:si>
  <x:si>
    <x:t xml:space="preserve">93395</x:t>
  </x:si>
  <x:si>
    <x:t xml:space="preserve">107118</x:t>
  </x:si>
  <x:si>
    <x:t xml:space="preserve">6449</x:t>
  </x:si>
  <x:si>
    <x:t xml:space="preserve">BO-6449</x:t>
  </x:si>
  <x:si>
    <x:t xml:space="preserve">CUBAS RAMON MELIDA VIRGINIA</x:t>
  </x:si>
  <x:si>
    <x:t xml:space="preserve">08049983</x:t>
  </x:si>
  <x:si>
    <x:t xml:space="preserve">LLERENA LOYOLA YESENIA</x:t>
  </x:si>
  <x:si>
    <x:t xml:space="preserve">0073766</x:t>
  </x:si>
  <x:si>
    <x:t xml:space="preserve">944452622</x:t>
  </x:si>
  <x:si>
    <x:t xml:space="preserve">93448</x:t>
  </x:si>
  <x:si>
    <x:t xml:space="preserve">107135</x:t>
  </x:si>
  <x:si>
    <x:t xml:space="preserve">1141</x:t>
  </x:si>
  <x:si>
    <x:t xml:space="preserve">FA-1141</x:t>
  </x:si>
  <x:si>
    <x:t xml:space="preserve">TUESTA SANTA CRUZ VALERIE ALESSANDRA</x:t>
  </x:si>
  <x:si>
    <x:t xml:space="preserve">72643022</x:t>
  </x:si>
  <x:si>
    <x:t xml:space="preserve">LEON SUAREZ LUIS NICOLAS</x:t>
  </x:si>
  <x:si>
    <x:t xml:space="preserve">0073787</x:t>
  </x:si>
  <x:si>
    <x:t xml:space="preserve">93346</x:t>
  </x:si>
  <x:si>
    <x:t xml:space="preserve">107183</x:t>
  </x:si>
  <x:si>
    <x:t xml:space="preserve">4737</x:t>
  </x:si>
  <x:si>
    <x:t xml:space="preserve">BO-4737</x:t>
  </x:si>
  <x:si>
    <x:t xml:space="preserve">VASQUEZ PALACIOS VDA DE VALD HERMELINDA</x:t>
  </x:si>
  <x:si>
    <x:t xml:space="preserve">32816323</x:t>
  </x:si>
  <x:si>
    <x:t xml:space="preserve">0073925</x:t>
  </x:si>
  <x:si>
    <x:t xml:space="preserve">995950844</x:t>
  </x:si>
  <x:si>
    <x:t xml:space="preserve">93499</x:t>
  </x:si>
  <x:si>
    <x:t xml:space="preserve">107203</x:t>
  </x:si>
  <x:si>
    <x:t xml:space="preserve">627</x:t>
  </x:si>
  <x:si>
    <x:t xml:space="preserve">FA-627</x:t>
  </x:si>
  <x:si>
    <x:t xml:space="preserve">PALOMINO ALCIDES RAFAELE</x:t>
  </x:si>
  <x:si>
    <x:t xml:space="preserve">09569006</x:t>
  </x:si>
  <x:si>
    <x:t xml:space="preserve">0073889</x:t>
  </x:si>
  <x:si>
    <x:t xml:space="preserve">950133748</x:t>
  </x:si>
  <x:si>
    <x:t xml:space="preserve">93477</x:t>
  </x:si>
  <x:si>
    <x:t xml:space="preserve">107204</x:t>
  </x:si>
  <x:si>
    <x:t xml:space="preserve">1142</x:t>
  </x:si>
  <x:si>
    <x:t xml:space="preserve">FA-1142</x:t>
  </x:si>
  <x:si>
    <x:t xml:space="preserve">CHAVEZ CORDOVA ROCIO LIZ</x:t>
  </x:si>
  <x:si>
    <x:t xml:space="preserve">71110674</x:t>
  </x:si>
  <x:si>
    <x:t xml:space="preserve">0073770</x:t>
  </x:si>
  <x:si>
    <x:t xml:space="preserve">991124259</x:t>
  </x:si>
  <x:si>
    <x:t xml:space="preserve">93295</x:t>
  </x:si>
  <x:si>
    <x:t xml:space="preserve">107205</x:t>
  </x:si>
  <x:si>
    <x:t xml:space="preserve">1143</x:t>
  </x:si>
  <x:si>
    <x:t xml:space="preserve">FA-1143</x:t>
  </x:si>
  <x:si>
    <x:t xml:space="preserve">93517</x:t>
  </x:si>
  <x:si>
    <x:t xml:space="preserve">107212</x:t>
  </x:si>
  <x:si>
    <x:t xml:space="preserve">1144</x:t>
  </x:si>
  <x:si>
    <x:t xml:space="preserve">FA-1144</x:t>
  </x:si>
  <x:si>
    <x:t xml:space="preserve">BELTRAN QUINTANA AYDEE MARGOT</x:t>
  </x:si>
  <x:si>
    <x:t xml:space="preserve">16176810</x:t>
  </x:si>
  <x:si>
    <x:t xml:space="preserve">0073839</x:t>
  </x:si>
  <x:si>
    <x:t xml:space="preserve">953731107</x:t>
  </x:si>
  <x:si>
    <x:t xml:space="preserve">93522</x:t>
  </x:si>
  <x:si>
    <x:t xml:space="preserve">107274</x:t>
  </x:si>
  <x:si>
    <x:t xml:space="preserve">1145</x:t>
  </x:si>
  <x:si>
    <x:t xml:space="preserve">FA-1145</x:t>
  </x:si>
  <x:si>
    <x:t xml:space="preserve">93577</x:t>
  </x:si>
  <x:si>
    <x:t xml:space="preserve">107282</x:t>
  </x:si>
  <x:si>
    <x:t xml:space="preserve">6464</x:t>
  </x:si>
  <x:si>
    <x:t xml:space="preserve">BO-6464</x:t>
  </x:si>
  <x:si>
    <x:t xml:space="preserve">CERON TELLO JOSE HERBERT</x:t>
  </x:si>
  <x:si>
    <x:t xml:space="preserve">40489371</x:t>
  </x:si>
  <x:si>
    <x:t xml:space="preserve">VIAÑA PONGO VICTOR</x:t>
  </x:si>
  <x:si>
    <x:t xml:space="preserve">0073972</x:t>
  </x:si>
  <x:si>
    <x:t xml:space="preserve">924261883</x:t>
  </x:si>
  <x:si>
    <x:t xml:space="preserve">93586</x:t>
  </x:si>
  <x:si>
    <x:t xml:space="preserve">107336</x:t>
  </x:si>
  <x:si>
    <x:t xml:space="preserve">6470</x:t>
  </x:si>
  <x:si>
    <x:t xml:space="preserve">BO-6470</x:t>
  </x:si>
  <x:si>
    <x:t xml:space="preserve">NIETO CORONADO VANESSA ELAIZA</x:t>
  </x:si>
  <x:si>
    <x:t xml:space="preserve">003081424</x:t>
  </x:si>
  <x:si>
    <x:t xml:space="preserve">PALACIOS URIBE PAMELA CAROLINA</x:t>
  </x:si>
  <x:si>
    <x:t xml:space="preserve">0073992</x:t>
  </x:si>
  <x:si>
    <x:t xml:space="preserve">921639105</x:t>
  </x:si>
  <x:si>
    <x:t xml:space="preserve">93624</x:t>
  </x:si>
  <x:si>
    <x:t xml:space="preserve">2486</x:t>
  </x:si>
  <x:si>
    <x:t xml:space="preserve">NC-6470</x:t>
  </x:si>
  <x:si>
    <x:t xml:space="preserve">107381</x:t>
  </x:si>
  <x:si>
    <x:t xml:space="preserve">6475</x:t>
  </x:si>
  <x:si>
    <x:t xml:space="preserve">BO-6475</x:t>
  </x:si>
  <x:si>
    <x:t xml:space="preserve">PALACIOS VERGARA RAISA LORENA ISABEL</x:t>
  </x:si>
  <x:si>
    <x:t xml:space="preserve">46534632</x:t>
  </x:si>
  <x:si>
    <x:t xml:space="preserve">0068145</x:t>
  </x:si>
  <x:si>
    <x:t xml:space="preserve">947422476</x:t>
  </x:si>
  <x:si>
    <x:t xml:space="preserve">93662</x:t>
  </x:si>
  <x:si>
    <x:t xml:space="preserve">107388</x:t>
  </x:si>
  <x:si>
    <x:t xml:space="preserve">12729</x:t>
  </x:si>
  <x:si>
    <x:t xml:space="preserve">BO-12729</x:t>
  </x:si>
  <x:si>
    <x:t xml:space="preserve">VALENZUELA ESCALANTE ZENOBIA MARIA</x:t>
  </x:si>
  <x:si>
    <x:t xml:space="preserve">07009518</x:t>
  </x:si>
  <x:si>
    <x:t xml:space="preserve">PATZY VASQUEZ</x:t>
  </x:si>
  <x:si>
    <x:t xml:space="preserve">0074023</x:t>
  </x:si>
  <x:si>
    <x:t xml:space="preserve">933383156</x:t>
  </x:si>
  <x:si>
    <x:t xml:space="preserve">93667</x:t>
  </x:si>
  <x:si>
    <x:t xml:space="preserve">107413</x:t>
  </x:si>
  <x:si>
    <x:t xml:space="preserve">4764</x:t>
  </x:si>
  <x:si>
    <x:t xml:space="preserve">BO-4764</x:t>
  </x:si>
  <x:si>
    <x:t xml:space="preserve">GONZAGA REQUENA ALEJANDRO ROFINO</x:t>
  </x:si>
  <x:si>
    <x:t xml:space="preserve">08608902</x:t>
  </x:si>
  <x:si>
    <x:t xml:space="preserve">0074036</x:t>
  </x:si>
  <x:si>
    <x:t xml:space="preserve">920492162</x:t>
  </x:si>
  <x:si>
    <x:t xml:space="preserve">93688</x:t>
  </x:si>
  <x:si>
    <x:t xml:space="preserve">107415</x:t>
  </x:si>
  <x:si>
    <x:t xml:space="preserve">1146</x:t>
  </x:si>
  <x:si>
    <x:t xml:space="preserve">FA-1146</x:t>
  </x:si>
  <x:si>
    <x:t xml:space="preserve">OROPEZA GOMEZ GIOVANNY JOSE</x:t>
  </x:si>
  <x:si>
    <x:t xml:space="preserve">007212628</x:t>
  </x:si>
  <x:si>
    <x:t xml:space="preserve">LAVALLE</x:t>
  </x:si>
  <x:si>
    <x:t xml:space="preserve">0073995</x:t>
  </x:si>
  <x:si>
    <x:t xml:space="preserve">917648860</x:t>
  </x:si>
  <x:si>
    <x:t xml:space="preserve">OCULIS S.A.C.</x:t>
  </x:si>
  <x:si>
    <x:t xml:space="preserve">93691</x:t>
  </x:si>
  <x:si>
    <x:t xml:space="preserve">107509</x:t>
  </x:si>
  <x:si>
    <x:t xml:space="preserve">4789</x:t>
  </x:si>
  <x:si>
    <x:t xml:space="preserve">BO-4789</x:t>
  </x:si>
  <x:si>
    <x:t xml:space="preserve">PAREDES MAGALLANES ANGEL GABRIEL</x:t>
  </x:si>
  <x:si>
    <x:t xml:space="preserve">63184263</x:t>
  </x:si>
  <x:si>
    <x:t xml:space="preserve">0074076</x:t>
  </x:si>
  <x:si>
    <x:t xml:space="preserve">960948467</x:t>
  </x:si>
  <x:si>
    <x:t xml:space="preserve">93766</x:t>
  </x:si>
  <x:si>
    <x:t xml:space="preserve">107547</x:t>
  </x:si>
  <x:si>
    <x:t xml:space="preserve">12755</x:t>
  </x:si>
  <x:si>
    <x:t xml:space="preserve">BO-12755</x:t>
  </x:si>
  <x:si>
    <x:t xml:space="preserve">HUACCACHE TAIPE CARMEN FLORINDA</x:t>
  </x:si>
  <x:si>
    <x:t xml:space="preserve">08176519</x:t>
  </x:si>
  <x:si>
    <x:t xml:space="preserve">DEL PIELAGO LUIS</x:t>
  </x:si>
  <x:si>
    <x:t xml:space="preserve">0074088</x:t>
  </x:si>
  <x:si>
    <x:t xml:space="preserve">981962861</x:t>
  </x:si>
  <x:si>
    <x:t xml:space="preserve">93801</x:t>
  </x:si>
  <x:si>
    <x:t xml:space="preserve">107559</x:t>
  </x:si>
  <x:si>
    <x:t xml:space="preserve">12758</x:t>
  </x:si>
  <x:si>
    <x:t xml:space="preserve">BO-12758</x:t>
  </x:si>
  <x:si>
    <x:t xml:space="preserve">CASTAÑEDA QUIÑONEZ MAYSHA CATALEYA</x:t>
  </x:si>
  <x:si>
    <x:t xml:space="preserve">92360707</x:t>
  </x:si>
  <x:si>
    <x:t xml:space="preserve">FUENTES ABIMAEL</x:t>
  </x:si>
  <x:si>
    <x:t xml:space="preserve">0074090</x:t>
  </x:si>
  <x:si>
    <x:t xml:space="preserve">960223866</x:t>
  </x:si>
  <x:si>
    <x:t xml:space="preserve">93812</x:t>
  </x:si>
  <x:si>
    <x:t xml:space="preserve">107657</x:t>
  </x:si>
  <x:si>
    <x:t xml:space="preserve">12775</x:t>
  </x:si>
  <x:si>
    <x:t xml:space="preserve">BO-12775</x:t>
  </x:si>
  <x:si>
    <x:t xml:space="preserve">ZABALU NIZAMA SILVIA MARGOT</x:t>
  </x:si>
  <x:si>
    <x:t xml:space="preserve">32118229</x:t>
  </x:si>
  <x:si>
    <x:t xml:space="preserve">0074120</x:t>
  </x:si>
  <x:si>
    <x:t xml:space="preserve">915006721</x:t>
  </x:si>
  <x:si>
    <x:t xml:space="preserve">93870</x:t>
  </x:si>
  <x:si>
    <x:t xml:space="preserve">107667</x:t>
  </x:si>
  <x:si>
    <x:t xml:space="preserve">138</x:t>
  </x:si>
  <x:si>
    <x:t xml:space="preserve">FA-138</x:t>
  </x:si>
  <x:si>
    <x:t xml:space="preserve">CAMPOS CALIXTRO CARMEN MARIA</x:t>
  </x:si>
  <x:si>
    <x:t xml:space="preserve">10403296</x:t>
  </x:si>
  <x:si>
    <x:t xml:space="preserve">0074127</x:t>
  </x:si>
  <x:si>
    <x:t xml:space="preserve">9815593684</x:t>
  </x:si>
  <x:si>
    <x:t xml:space="preserve">DELVAMEC PERU E.I.R.L.</x:t>
  </x:si>
  <x:si>
    <x:t xml:space="preserve">93881</x:t>
  </x:si>
  <x:si>
    <x:t xml:space="preserve">OCT DE SEGMENTO ANTERIOR (ANGULOS)</x:t>
  </x:si>
  <x:si>
    <x:t xml:space="preserve">107678</x:t>
  </x:si>
  <x:si>
    <x:t xml:space="preserve">1147</x:t>
  </x:si>
  <x:si>
    <x:t xml:space="preserve">FA-1147</x:t>
  </x:si>
  <x:si>
    <x:t xml:space="preserve">SANTILLAN MOLINA MARITZA BRIZAIDA</x:t>
  </x:si>
  <x:si>
    <x:t xml:space="preserve">28316361</x:t>
  </x:si>
  <x:si>
    <x:t xml:space="preserve">0073536</x:t>
  </x:si>
  <x:si>
    <x:t xml:space="preserve">952672670</x:t>
  </x:si>
  <x:si>
    <x:t xml:space="preserve">93887</x:t>
  </x:si>
  <x:si>
    <x:t xml:space="preserve">107686</x:t>
  </x:si>
  <x:si>
    <x:t xml:space="preserve">4807</x:t>
  </x:si>
  <x:si>
    <x:t xml:space="preserve">BO-4807</x:t>
  </x:si>
  <x:si>
    <x:t xml:space="preserve">ULLAURI LEON FELICIANO PABLO</x:t>
  </x:si>
  <x:si>
    <x:t xml:space="preserve">06940771</x:t>
  </x:si>
  <x:si>
    <x:t xml:space="preserve">0074137</x:t>
  </x:si>
  <x:si>
    <x:t xml:space="preserve">994989557</x:t>
  </x:si>
  <x:si>
    <x:t xml:space="preserve">93894</x:t>
  </x:si>
  <x:si>
    <x:t xml:space="preserve">107703</x:t>
  </x:si>
  <x:si>
    <x:t xml:space="preserve">1148</x:t>
  </x:si>
  <x:si>
    <x:t xml:space="preserve">FA-1148</x:t>
  </x:si>
  <x:si>
    <x:t xml:space="preserve">SIALER MORENO VDA DE RIVERA MERY JOSEFIN</x:t>
  </x:si>
  <x:si>
    <x:t xml:space="preserve">25814685</x:t>
  </x:si>
  <x:si>
    <x:t xml:space="preserve">0028109</x:t>
  </x:si>
  <x:si>
    <x:t xml:space="preserve">991123897</x:t>
  </x:si>
  <x:si>
    <x:t xml:space="preserve">93910</x:t>
  </x:si>
  <x:si>
    <x:t xml:space="preserve">107712</x:t>
  </x:si>
  <x:si>
    <x:t xml:space="preserve">4814</x:t>
  </x:si>
  <x:si>
    <x:t xml:space="preserve">BO-4814</x:t>
  </x:si>
  <x:si>
    <x:t xml:space="preserve">VILLANUEVA ARMAS JAKQUELINE</x:t>
  </x:si>
  <x:si>
    <x:t xml:space="preserve">42211225</x:t>
  </x:si>
  <x:si>
    <x:t xml:space="preserve">0074148</x:t>
  </x:si>
  <x:si>
    <x:t xml:space="preserve">912483781</x:t>
  </x:si>
  <x:si>
    <x:t xml:space="preserve">93917</x:t>
  </x:si>
  <x:si>
    <x:t xml:space="preserve">107738</x:t>
  </x:si>
  <x:si>
    <x:t xml:space="preserve">6504</x:t>
  </x:si>
  <x:si>
    <x:t xml:space="preserve">BO-6504</x:t>
  </x:si>
  <x:si>
    <x:t xml:space="preserve">MOLERO VILLAFUERTE DE PORTA BRIGIDA ROSA</x:t>
  </x:si>
  <x:si>
    <x:t xml:space="preserve">07589196</x:t>
  </x:si>
  <x:si>
    <x:t xml:space="preserve">0074106</x:t>
  </x:si>
  <x:si>
    <x:t xml:space="preserve">997 292 731</x:t>
  </x:si>
  <x:si>
    <x:t xml:space="preserve">93937</x:t>
  </x:si>
  <x:si>
    <x:t xml:space="preserve">107739</x:t>
  </x:si>
  <x:si>
    <x:t xml:space="preserve">6505</x:t>
  </x:si>
  <x:si>
    <x:t xml:space="preserve">BO-6505</x:t>
  </x:si>
  <x:si>
    <x:t xml:space="preserve">93938</x:t>
  </x:si>
  <x:si>
    <x:t xml:space="preserve">107740</x:t>
  </x:si>
  <x:si>
    <x:t xml:space="preserve">6506</x:t>
  </x:si>
  <x:si>
    <x:t xml:space="preserve">BO-6506</x:t>
  </x:si>
  <x:si>
    <x:t xml:space="preserve">93939</x:t>
  </x:si>
  <x:si>
    <x:t xml:space="preserve">107753</x:t>
  </x:si>
  <x:si>
    <x:t xml:space="preserve">6511</x:t>
  </x:si>
  <x:si>
    <x:t xml:space="preserve">BO-6511</x:t>
  </x:si>
  <x:si>
    <x:t xml:space="preserve">MARIN NODA ZAIDEE ZARAMIT</x:t>
  </x:si>
  <x:si>
    <x:t xml:space="preserve">14566209</x:t>
  </x:si>
  <x:si>
    <x:t xml:space="preserve">0074173</x:t>
  </x:si>
  <x:si>
    <x:t xml:space="preserve">922232520</x:t>
  </x:si>
  <x:si>
    <x:t xml:space="preserve">93951</x:t>
  </x:si>
  <x:si>
    <x:t xml:space="preserve">107754</x:t>
  </x:si>
  <x:si>
    <x:t xml:space="preserve">6512</x:t>
  </x:si>
  <x:si>
    <x:t xml:space="preserve">BO-6512</x:t>
  </x:si>
  <x:si>
    <x:t xml:space="preserve">93952</x:t>
  </x:si>
  <x:si>
    <x:t xml:space="preserve">107756</x:t>
  </x:si>
  <x:si>
    <x:t xml:space="preserve">6513</x:t>
  </x:si>
  <x:si>
    <x:t xml:space="preserve">BO-6513</x:t>
  </x:si>
  <x:si>
    <x:t xml:space="preserve">93953</x:t>
  </x:si>
  <x:si>
    <x:t xml:space="preserve">107757</x:t>
  </x:si>
  <x:si>
    <x:t xml:space="preserve">12797</x:t>
  </x:si>
  <x:si>
    <x:t xml:space="preserve">BO-12797</x:t>
  </x:si>
  <x:si>
    <x:t xml:space="preserve">REYES DE GUADALUPE BERTILA VELDIANA</x:t>
  </x:si>
  <x:si>
    <x:t xml:space="preserve">21829013</x:t>
  </x:si>
  <x:si>
    <x:t xml:space="preserve">HUAMANI LEANDRO MILSSA</x:t>
  </x:si>
  <x:si>
    <x:t xml:space="preserve">HOSPITAL REBAGLEATI</x:t>
  </x:si>
  <x:si>
    <x:t xml:space="preserve">0041655</x:t>
  </x:si>
  <x:si>
    <x:t xml:space="preserve">996869410</x:t>
  </x:si>
  <x:si>
    <x:t xml:space="preserve">93955</x:t>
  </x:si>
  <x:si>
    <x:t xml:space="preserve">833-0433142</x:t>
  </x:si>
  <x:si>
    <x:t xml:space="preserve">107763</x:t>
  </x:si>
  <x:si>
    <x:t xml:space="preserve">6514</x:t>
  </x:si>
  <x:si>
    <x:t xml:space="preserve">BO-6514</x:t>
  </x:si>
  <x:si>
    <x:t xml:space="preserve">BRICEÑO IBARRA ISAAC ARMANDO</x:t>
  </x:si>
  <x:si>
    <x:t xml:space="preserve">07104698</x:t>
  </x:si>
  <x:si>
    <x:t xml:space="preserve">0074105</x:t>
  </x:si>
  <x:si>
    <x:t xml:space="preserve">989 712 379</x:t>
  </x:si>
  <x:si>
    <x:t xml:space="preserve">93960</x:t>
  </x:si>
  <x:si>
    <x:t xml:space="preserve">107789</x:t>
  </x:si>
  <x:si>
    <x:t xml:space="preserve">6515</x:t>
  </x:si>
  <x:si>
    <x:t xml:space="preserve">BO-6515</x:t>
  </x:si>
  <x:si>
    <x:t xml:space="preserve">RUBIO BAUTISTA MARTHA</x:t>
  </x:si>
  <x:si>
    <x:t xml:space="preserve">40248862</x:t>
  </x:si>
  <x:si>
    <x:t xml:space="preserve">0074146</x:t>
  </x:si>
  <x:si>
    <x:t xml:space="preserve">961897632</x:t>
  </x:si>
  <x:si>
    <x:t xml:space="preserve">93972</x:t>
  </x:si>
  <x:si>
    <x:t xml:space="preserve">107790</x:t>
  </x:si>
  <x:si>
    <x:t xml:space="preserve">12803</x:t>
  </x:si>
  <x:si>
    <x:t xml:space="preserve">BO-12803</x:t>
  </x:si>
  <x:si>
    <x:t xml:space="preserve">FLORES SALAZAR NORMA BEATRIZ</x:t>
  </x:si>
  <x:si>
    <x:t xml:space="preserve">07493552</x:t>
  </x:si>
  <x:si>
    <x:t xml:space="preserve">0050019</x:t>
  </x:si>
  <x:si>
    <x:t xml:space="preserve">971181409</x:t>
  </x:si>
  <x:si>
    <x:t xml:space="preserve">93973</x:t>
  </x:si>
  <x:si>
    <x:t xml:space="preserve">107829</x:t>
  </x:si>
  <x:si>
    <x:t xml:space="preserve">632</x:t>
  </x:si>
  <x:si>
    <x:t xml:space="preserve">FA-632</x:t>
  </x:si>
  <x:si>
    <x:t xml:space="preserve">93958</x:t>
  </x:si>
  <x:si>
    <x:t xml:space="preserve">107832</x:t>
  </x:si>
  <x:si>
    <x:t xml:space="preserve">633</x:t>
  </x:si>
  <x:si>
    <x:t xml:space="preserve">FA-633</x:t>
  </x:si>
  <x:si>
    <x:t xml:space="preserve">93975</x:t>
  </x:si>
  <x:si>
    <x:t xml:space="preserve">107844</x:t>
  </x:si>
  <x:si>
    <x:t xml:space="preserve">1149</x:t>
  </x:si>
  <x:si>
    <x:t xml:space="preserve">FA-1149</x:t>
  </x:si>
  <x:si>
    <x:t xml:space="preserve">93980</x:t>
  </x:si>
  <x:si>
    <x:t xml:space="preserve">107953</x:t>
  </x:si>
  <x:si>
    <x:t xml:space="preserve">5307</x:t>
  </x:si>
  <x:si>
    <x:t xml:space="preserve">BO-5307</x:t>
  </x:si>
  <x:si>
    <x:t xml:space="preserve">ALVA CASTRO ADRIANO ANGELO</x:t>
  </x:si>
  <x:si>
    <x:t xml:space="preserve">71674965</x:t>
  </x:si>
  <x:si>
    <x:t xml:space="preserve">0074292</x:t>
  </x:si>
  <x:si>
    <x:t xml:space="preserve">992129405</x:t>
  </x:si>
  <x:si>
    <x:t xml:space="preserve">94101</x:t>
  </x:si>
  <x:si>
    <x:t xml:space="preserve">107955</x:t>
  </x:si>
  <x:si>
    <x:t xml:space="preserve">5308</x:t>
  </x:si>
  <x:si>
    <x:t xml:space="preserve">BO-5308</x:t>
  </x:si>
  <x:si>
    <x:t xml:space="preserve">CASTRO CHUÑOCCA ROSA AUGUSTA</x:t>
  </x:si>
  <x:si>
    <x:t xml:space="preserve">41779924</x:t>
  </x:si>
  <x:si>
    <x:t xml:space="preserve">0074294</x:t>
  </x:si>
  <x:si>
    <x:t xml:space="preserve">94103</x:t>
  </x:si>
  <x:si>
    <x:t xml:space="preserve">2494</x:t>
  </x:si>
  <x:si>
    <x:t xml:space="preserve">NC-5307</x:t>
  </x:si>
  <x:si>
    <x:t xml:space="preserve">Médico</x:t>
  </x:si>
  <x:si>
    <x:t xml:space="preserve">Celular</x:t>
  </x:si>
  <x:si>
    <x:t xml:space="preserve">Banco</x:t>
  </x:si>
  <x:si>
    <x:t xml:space="preserve"># Cuenta</x:t>
  </x:si>
  <x:si>
    <x:t xml:space="preserve"># CCI</x:t>
  </x:si>
  <x:si>
    <x:t xml:space="preserve">Institución</x:t>
  </x:si>
  <x:si>
    <x:t xml:space="preserve">Columna1</x:t>
  </x:si>
  <x:si>
    <x:t xml:space="preserve">CASTILLO JAVE NANDY</x:t>
  </x:si>
  <x:si>
    <x:t xml:space="preserve">BANCO DE LA NACIÓN</x:t>
  </x:si>
  <x:si>
    <x:t xml:space="preserve">04-531049328</x:t>
  </x:si>
  <x:si>
    <x:t xml:space="preserve">018-53100453104932848</x:t>
  </x:si>
  <x:si>
    <x:t xml:space="preserve">LINO LARREA CARLOS  ENRIQUE</x:t>
  </x:si>
  <x:si>
    <x:t xml:space="preserve">04-261072713</x:t>
  </x:si>
  <x:si>
    <x:t xml:space="preserve">018-26100426107271385</x:t>
  </x:si>
  <x:si>
    <x:t xml:space="preserve">ZEBALLOS AYQUIPA MISHELLY JOHANA</x:t>
  </x:si>
  <x:si>
    <x:t xml:space="preserve">04-021092202</x:t>
  </x:si>
  <x:si>
    <x:t xml:space="preserve">018-00000402109220203</x:t>
  </x:si>
  <x:si>
    <x:t xml:space="preserve">TRINIDAD MOLINA ZOSIMO</x:t>
  </x:si>
  <x:si>
    <x:t xml:space="preserve">04-042865309</x:t>
  </x:si>
  <x:si>
    <x:t xml:space="preserve">018-00000404286530907</x:t>
  </x:si>
  <x:si>
    <x:t xml:space="preserve">VES</x:t>
  </x:si>
  <x:si>
    <x:t xml:space="preserve">ENTENZA NALIA</x:t>
  </x:si>
  <x:si>
    <x:t xml:space="preserve">BBVA</x:t>
  </x:si>
  <x:si>
    <x:t xml:space="preserve">0011-0814-0245234827</x:t>
  </x:si>
  <x:si>
    <x:t xml:space="preserve">011-814-000245234827-15</x:t>
  </x:si>
  <x:si>
    <x:t xml:space="preserve">UNIDERMA JESUS MARÍA</x:t>
  </x:si>
  <x:si>
    <x:t xml:space="preserve">ESPINOZA LAVALLE CESAR FRANKZ</x:t>
  </x:si>
  <x:si>
    <x:t xml:space="preserve">0011-0057-0229787021</x:t>
  </x:si>
  <x:si>
    <x:t xml:space="preserve">011-057-000229787021-70</x:t>
  </x:si>
  <x:si>
    <x:t xml:space="preserve">CLINICA DIVINO NIÑO JESÚS</x:t>
  </x:si>
  <x:si>
    <x:t xml:space="preserve">BARRANTES RAMIREZ ELENA JESUS AMERICA</x:t>
  </x:si>
  <x:si>
    <x:t xml:space="preserve">0011-0616-0200286900</x:t>
  </x:si>
  <x:si>
    <x:t xml:space="preserve">011-616-000200286900-02</x:t>
  </x:si>
  <x:si>
    <x:t xml:space="preserve">OPELUCE LINCE</x:t>
  </x:si>
  <x:si>
    <x:t xml:space="preserve">HUAMAN MENDEZ NATHALY VANESSA</x:t>
  </x:si>
  <x:si>
    <x:t xml:space="preserve">0011-0186-0200772531</x:t>
  </x:si>
  <x:si>
    <x:t xml:space="preserve">CASAVERDE VILLACORTA CARLOS ALBERTO</x:t>
  </x:si>
  <x:si>
    <x:t xml:space="preserve">0011-0486-0200014689</x:t>
  </x:si>
  <x:si>
    <x:t xml:space="preserve">011-486-000200014689-80</x:t>
  </x:si>
  <x:si>
    <x:t xml:space="preserve">HOSPITAL GRAU</x:t>
  </x:si>
  <x:si>
    <x:t xml:space="preserve">PEREZ PRADO WILSON</x:t>
  </x:si>
  <x:si>
    <x:t xml:space="preserve">0011-0814-0238585177</x:t>
  </x:si>
  <x:si>
    <x:t xml:space="preserve">011-814-000238585177-15</x:t>
  </x:si>
  <x:si>
    <x:t xml:space="preserve">GAMERO FERNANDEZ EBERTH LELYS</x:t>
  </x:si>
  <x:si>
    <x:t xml:space="preserve">0011-0057-0209443814</x:t>
  </x:si>
  <x:si>
    <x:t xml:space="preserve">011-057-000209443814-76</x:t>
  </x:si>
  <x:si>
    <x:t xml:space="preserve">NUÑEZ DEL PRADO CUADROS MARIELA DIANA</x:t>
  </x:si>
  <x:si>
    <x:t xml:space="preserve">0011-0180-0200473345</x:t>
  </x:si>
  <x:si>
    <x:t xml:space="preserve">011-180-000200473345-73</x:t>
  </x:si>
  <x:si>
    <x:t xml:space="preserve">RIVERA FERNANDEZ JORGE GUSTAVO</x:t>
  </x:si>
  <x:si>
    <x:t xml:space="preserve"> 0011-0148-0200516341</x:t>
  </x:si>
  <x:si>
    <x:t xml:space="preserve">011-148-000200516341-41</x:t>
  </x:si>
  <x:si>
    <x:t xml:space="preserve">CLINICA VER</x:t>
  </x:si>
  <x:si>
    <x:t xml:space="preserve">MONTOYA DELGADO MANUEL JESUS</x:t>
  </x:si>
  <x:si>
    <x:t xml:space="preserve">0011-0115-0100070311</x:t>
  </x:si>
  <x:si>
    <x:t xml:space="preserve">011-115-000100070311-34</x:t>
  </x:si>
  <x:si>
    <x:t xml:space="preserve">011-184-000200649518-94</x:t>
  </x:si>
  <x:si>
    <x:t xml:space="preserve">GARRO ROSAS LUCIA</x:t>
  </x:si>
  <x:si>
    <x:t xml:space="preserve">0011-0148-0200614041</x:t>
  </x:si>
  <x:si>
    <x:t xml:space="preserve">011-148-000200614041-48</x:t>
  </x:si>
  <x:si>
    <x:t xml:space="preserve">011-117-000200577155-91</x:t>
  </x:si>
  <x:si>
    <x:t xml:space="preserve">ALCOCER DE LA CRUZ REGINA ROCIO </x:t>
  </x:si>
  <x:si>
    <x:t xml:space="preserve">0011-0190-0200562504</x:t>
  </x:si>
  <x:si>
    <x:t xml:space="preserve">011-190-000200562504-67</x:t>
  </x:si>
  <x:si>
    <x:t xml:space="preserve">0113-5300-0200308107-08</x:t>
  </x:si>
  <x:si>
    <x:t xml:space="preserve">ZUÑIGA SANCHEZ MARIA DEL PILAR</x:t>
  </x:si>
  <x:si>
    <x:t xml:space="preserve">0011-0057-0233799581</x:t>
  </x:si>
  <x:si>
    <x:t xml:space="preserve">011-057-000233799581-71</x:t>
  </x:si>
  <x:si>
    <x:t xml:space="preserve">MUNAYCO GUILLEN FERNANDO</x:t>
  </x:si>
  <x:si>
    <x:t xml:space="preserve">0011-0178-0200623168</x:t>
  </x:si>
  <x:si>
    <x:t xml:space="preserve">011-178-000200623168-18</x:t>
  </x:si>
  <x:si>
    <x:t xml:space="preserve">MENDOZA YAYA WILDE LUIS</x:t>
  </x:si>
  <x:si>
    <x:t xml:space="preserve">0011-0131-0200209640</x:t>
  </x:si>
  <x:si>
    <x:t xml:space="preserve">011-131-000200209640-08</x:t>
  </x:si>
  <x:si>
    <x:t xml:space="preserve">011-354-000200096288-82</x:t>
  </x:si>
  <x:si>
    <x:t xml:space="preserve">SILVA IZAGUIRRE JORGE GONZALO </x:t>
  </x:si>
  <x:si>
    <x:t xml:space="preserve">0011-0139-0200873668</x:t>
  </x:si>
  <x:si>
    <x:t xml:space="preserve">011-139-000200873668-34</x:t>
  </x:si>
  <x:si>
    <x:t xml:space="preserve">HOSPITAL ATE VITARTE MINSA</x:t>
  </x:si>
  <x:si>
    <x:t xml:space="preserve">FERNANDEZ LARA MANUEL JESUS</x:t>
  </x:si>
  <x:si>
    <x:t xml:space="preserve">0011-0131-0200382636</x:t>
  </x:si>
  <x:si>
    <x:t xml:space="preserve">011-131-000200382636</x:t>
  </x:si>
  <x:si>
    <x:t xml:space="preserve">HOSPITAL NEGREIROS</x:t>
  </x:si>
  <x:si>
    <x:t xml:space="preserve">BAUMAN RIVERA ASTRID KATHERIN ENRIQUETA</x:t>
  </x:si>
  <x:si>
    <x:t xml:space="preserve">0011-0152-0200640850</x:t>
  </x:si>
  <x:si>
    <x:t xml:space="preserve">011-152-000200640850-60</x:t>
  </x:si>
  <x:si>
    <x:t xml:space="preserve">HOSPITAL DE LA FAP</x:t>
  </x:si>
  <x:si>
    <x:t xml:space="preserve">011-467-000200078608-83</x:t>
  </x:si>
  <x:si>
    <x:t xml:space="preserve">ALANIA MUÑOZ ADA MAGALY</x:t>
  </x:si>
  <x:si>
    <x:t xml:space="preserve">0011-0814-0250111164</x:t>
  </x:si>
  <x:si>
    <x:t xml:space="preserve">011-814-000250111164-11</x:t>
  </x:si>
  <x:si>
    <x:t xml:space="preserve">011-115-000200235237-31</x:t>
  </x:si>
  <x:si>
    <x:t xml:space="preserve">FERNANDEZ LEÓN LYNDA PAOLA</x:t>
  </x:si>
  <x:si>
    <x:t xml:space="preserve">0011-0115-0200272116</x:t>
  </x:si>
  <x:si>
    <x:t xml:space="preserve">011-115-000200272116-31</x:t>
  </x:si>
  <x:si>
    <x:t xml:space="preserve">OFTALMOPED LINCE</x:t>
  </x:si>
  <x:si>
    <x:t xml:space="preserve">ÑAUPARI SULLCA RAUL MOISES</x:t>
  </x:si>
  <x:si>
    <x:t xml:space="preserve">0011-0341-0200314292</x:t>
  </x:si>
  <x:si>
    <x:t xml:space="preserve">011-341-000200314292-50</x:t>
  </x:si>
  <x:si>
    <x:t xml:space="preserve">HUAMAN RIOS ROSA BERTHA TEOFILA</x:t>
  </x:si>
  <x:si>
    <x:t xml:space="preserve">0011-0184-0200012889</x:t>
  </x:si>
  <x:si>
    <x:t xml:space="preserve">011-184-000200012889-98</x:t>
  </x:si>
  <x:si>
    <x:t xml:space="preserve">011-189-000200496417-83</x:t>
  </x:si>
  <x:si>
    <x:t xml:space="preserve">LY MALDONADO JUAN CARLOS</x:t>
  </x:si>
  <x:si>
    <x:t xml:space="preserve">0011-0814-0272789024</x:t>
  </x:si>
  <x:si>
    <x:t xml:space="preserve">011-814-000272789024-12</x:t>
  </x:si>
  <x:si>
    <x:t xml:space="preserve">011-197-000200171031-14</x:t>
  </x:si>
  <x:si>
    <x:t xml:space="preserve">011-814-000256063048-11</x:t>
  </x:si>
  <x:si>
    <x:t xml:space="preserve">011-190-000200333106-69</x:t>
  </x:si>
  <x:si>
    <x:t xml:space="preserve">AQUINO CORVERA LUIS MANUEL</x:t>
  </x:si>
  <x:si>
    <x:t xml:space="preserve">0011-0579-0223992470</x:t>
  </x:si>
  <x:si>
    <x:t xml:space="preserve">011-579-000223992470-00</x:t>
  </x:si>
  <x:si>
    <x:t xml:space="preserve">BARRETO VIRTO JOSE EMMANUEL</x:t>
  </x:si>
  <x:si>
    <x:t xml:space="preserve">0011-0057-0223462767</x:t>
  </x:si>
  <x:si>
    <x:t xml:space="preserve">011-057-000223462700-00</x:t>
  </x:si>
  <x:si>
    <x:t xml:space="preserve">BERMUDEZ MALDONADO IVAN ROGER</x:t>
  </x:si>
  <x:si>
    <x:t xml:space="preserve">0011-0115-0200164224</x:t>
  </x:si>
  <x:si>
    <x:t xml:space="preserve">011-115-000200164224-34</x:t>
  </x:si>
  <x:si>
    <x:t xml:space="preserve">CONTRERAS SILVA ÁNGEL ALFREDO</x:t>
  </x:si>
  <x:si>
    <x:t xml:space="preserve">0011-0118-0200430370</x:t>
  </x:si>
  <x:si>
    <x:t xml:space="preserve">011-118-000200430370-73</x:t>
  </x:si>
  <x:si>
    <x:t xml:space="preserve">MEDRANO GUILLERMO LISSET</x:t>
  </x:si>
  <x:si>
    <x:t xml:space="preserve">0011-0189-0200431226</x:t>
  </x:si>
  <x:si>
    <x:t xml:space="preserve">HOSPITAL DE LA SOLIDARIDAD</x:t>
  </x:si>
  <x:si>
    <x:t xml:space="preserve">LOPEZ MARTINEZ ALEXANDRA</x:t>
  </x:si>
  <x:si>
    <x:t xml:space="preserve">0011-0153-0200750511</x:t>
  </x:si>
  <x:si>
    <x:t xml:space="preserve">011-153-000200750511-44</x:t>
  </x:si>
  <x:si>
    <x:t xml:space="preserve">RISCO CHANG ROXANA</x:t>
  </x:si>
  <x:si>
    <x:t xml:space="preserve">0011-0122-0200631866</x:t>
  </x:si>
  <x:si>
    <x:t xml:space="preserve">011-122-000200631866-97</x:t>
  </x:si>
  <x:si>
    <x:t xml:space="preserve">CLINICA SAN GABRIEL</x:t>
  </x:si>
  <x:si>
    <x:t xml:space="preserve">SAAVEDRA ESPINOZA DARIELA MARIEL</x:t>
  </x:si>
  <x:si>
    <x:t xml:space="preserve">0011-0320-0200072928</x:t>
  </x:si>
  <x:si>
    <x:t xml:space="preserve">011-320-000200072928-91</x:t>
  </x:si>
  <x:si>
    <x:t xml:space="preserve">SANDOVAL ERQUINEO JHOVANA LICED</x:t>
  </x:si>
  <x:si>
    <x:t xml:space="preserve">0011-0057-0219092475</x:t>
  </x:si>
  <x:si>
    <x:t xml:space="preserve">011-057-000219092475-79</x:t>
  </x:si>
  <x:si>
    <x:t xml:space="preserve">YOVERA LEYVA ELSA MARIANELA</x:t>
  </x:si>
  <x:si>
    <x:t xml:space="preserve">0011-0320-0200277139</x:t>
  </x:si>
  <x:si>
    <x:t xml:space="preserve"> 011-320-000200277139-98</x:t>
  </x:si>
  <x:si>
    <x:t xml:space="preserve">ÑAUPARI MEZA BRENNER ALBERTO</x:t>
  </x:si>
  <x:si>
    <x:t xml:space="preserve">0011-0712-0200343264</x:t>
  </x:si>
  <x:si>
    <x:t xml:space="preserve">011-712-000200343264-74</x:t>
  </x:si>
  <x:si>
    <x:t xml:space="preserve">ALVARO TAMBRA WENDY CAROLA</x:t>
  </x:si>
  <x:si>
    <x:t xml:space="preserve">0011-0320-0200061187</x:t>
  </x:si>
  <x:si>
    <x:t xml:space="preserve">011-320-000200061187-97</x:t>
  </x:si>
  <x:si>
    <x:t xml:space="preserve">POLICLÍNICO PABLO BERMUDEZ</x:t>
  </x:si>
  <x:si>
    <x:t xml:space="preserve">PUICAN NAVARRO GUIDO ALFREDO</x:t>
  </x:si>
  <x:si>
    <x:t xml:space="preserve">0011-0286-0200053326</x:t>
  </x:si>
  <x:si>
    <x:t xml:space="preserve">011-286-000200053326-21</x:t>
  </x:si>
  <x:si>
    <x:t xml:space="preserve">JANAMPA CAMPOS WILSON ALEXANDER</x:t>
  </x:si>
  <x:si>
    <x:t xml:space="preserve">BCP</x:t>
  </x:si>
  <x:si>
    <x:t xml:space="preserve">315-99346437032</x:t>
  </x:si>
  <x:si>
    <x:t xml:space="preserve">00231519934643703204</x:t>
  </x:si>
  <x:si>
    <x:t xml:space="preserve">HOSPITAL SAN JOSE </x:t>
  </x:si>
  <x:si>
    <x:t xml:space="preserve">QUIROZ MONTOYA CLAUDIA MICHAEL</x:t>
  </x:si>
  <x:si>
    <x:t xml:space="preserve">191-14161745092</x:t>
  </x:si>
  <x:si>
    <x:t xml:space="preserve">00219111416174509250</x:t>
  </x:si>
  <x:si>
    <x:t xml:space="preserve">SANTE MORALES JOEL EDMUNDO</x:t>
  </x:si>
  <x:si>
    <x:t xml:space="preserve">430-32526176035</x:t>
  </x:si>
  <x:si>
    <x:t xml:space="preserve">00243013252617603579</x:t>
  </x:si>
  <x:si>
    <x:t xml:space="preserve">BARREDA FUENTES ANDRES DANIEL</x:t>
  </x:si>
  <x:si>
    <x:t xml:space="preserve">193-36174976078</x:t>
  </x:si>
  <x:si>
    <x:t xml:space="preserve">00219313617497607000</x:t>
  </x:si>
  <x:si>
    <x:t xml:space="preserve">GALINDO SIHUIN YOSELL RAFAEL</x:t>
  </x:si>
  <x:si>
    <x:t xml:space="preserve">192-99257733034</x:t>
  </x:si>
  <x:si>
    <x:t xml:space="preserve">00219219925773303430</x:t>
  </x:si>
  <x:si>
    <x:t xml:space="preserve">CARDENAS ROLANDO</x:t>
  </x:si>
  <x:si>
    <x:t xml:space="preserve">193-04298551069</x:t>
  </x:si>
  <x:si>
    <x:t xml:space="preserve">00219310429855106913</x:t>
  </x:si>
  <x:si>
    <x:t xml:space="preserve">HOYOS SAENZ ANGELA</x:t>
  </x:si>
  <x:si>
    <x:t xml:space="preserve">245-99508929094</x:t>
  </x:si>
  <x:si>
    <x:t xml:space="preserve">00224519950892909494</x:t>
  </x:si>
  <x:si>
    <x:t xml:space="preserve">00219313413920204000</x:t>
  </x:si>
  <x:si>
    <x:t xml:space="preserve">00219111542165803150</x:t>
  </x:si>
  <x:si>
    <x:t xml:space="preserve">00219100995304702651</x:t>
  </x:si>
  <x:si>
    <x:t xml:space="preserve">MARCHENA SOSA CAROLINA VIRGINIA</x:t>
  </x:si>
  <x:si>
    <x:t xml:space="preserve">191-02898958038</x:t>
  </x:si>
  <x:si>
    <x:t xml:space="preserve">00219110289895803000</x:t>
  </x:si>
  <x:si>
    <x:t xml:space="preserve">HOSPITAL DEL NIÑO</x:t>
  </x:si>
  <x:si>
    <x:t xml:space="preserve">ESPINOZA OSTOS MEIDA ANAMITH</x:t>
  </x:si>
  <x:si>
    <x:t xml:space="preserve">193-94591868039</x:t>
  </x:si>
  <x:si>
    <x:t xml:space="preserve">00219319459186803913</x:t>
  </x:si>
  <x:si>
    <x:t xml:space="preserve">HOSPITAL DE LA SOLIDARIDAD CAMANA</x:t>
  </x:si>
  <x:si>
    <x:t xml:space="preserve">SANCHEZ ORTIZ JOANA PAMELA</x:t>
  </x:si>
  <x:si>
    <x:t xml:space="preserve">193-29575027063</x:t>
  </x:si>
  <x:si>
    <x:t xml:space="preserve">00219312957502706000</x:t>
  </x:si>
  <x:si>
    <x:t xml:space="preserve">00219117024122302954</x:t>
  </x:si>
  <x:si>
    <x:t xml:space="preserve">MENDOZA VASQUEZ HERNAN MARCO</x:t>
  </x:si>
  <x:si>
    <x:t xml:space="preserve">193-91671252022</x:t>
  </x:si>
  <x:si>
    <x:t xml:space="preserve">00219319167125202000</x:t>
  </x:si>
  <x:si>
    <x:t xml:space="preserve">00219119843210606000</x:t>
  </x:si>
  <x:si>
    <x:t xml:space="preserve">00219111853742707254</x:t>
  </x:si>
  <x:si>
    <x:t xml:space="preserve">00219311525401809819</x:t>
  </x:si>
  <x:si>
    <x:t xml:space="preserve">ESPINOZA HUMAREDA IVAN</x:t>
  </x:si>
  <x:si>
    <x:t xml:space="preserve">191-23580691078</x:t>
  </x:si>
  <x:si>
    <x:t xml:space="preserve">00219112358069107853</x:t>
  </x:si>
  <x:si>
    <x:t xml:space="preserve">DULANTO REINOSO VICTOR CHRISTIAN</x:t>
  </x:si>
  <x:si>
    <x:t xml:space="preserve">193-2438485060</x:t>
  </x:si>
  <x:si>
    <x:t xml:space="preserve">00219300243848506018</x:t>
  </x:si>
  <x:si>
    <x:t xml:space="preserve">CLINICA DULANTO</x:t>
  </x:si>
  <x:si>
    <x:t xml:space="preserve">REYES CUBAS MARIA MANUELA</x:t>
  </x:si>
  <x:si>
    <x:t xml:space="preserve">191-24412701093</x:t>
  </x:si>
  <x:si>
    <x:t xml:space="preserve">00219112441270109000</x:t>
  </x:si>
  <x:si>
    <x:t xml:space="preserve">PAREDES ARAMBURU NANCY</x:t>
  </x:si>
  <x:si>
    <x:t xml:space="preserve">193-36243352045</x:t>
  </x:si>
  <x:si>
    <x:t xml:space="preserve">00219313624335204000</x:t>
  </x:si>
  <x:si>
    <x:t xml:space="preserve">CORNEJO ZAGA MAX JOSE</x:t>
  </x:si>
  <x:si>
    <x:t xml:space="preserve">194-99321092033</x:t>
  </x:si>
  <x:si>
    <x:t xml:space="preserve">00219419932109203391</x:t>
  </x:si>
  <x:si>
    <x:t xml:space="preserve">00219119141508907154</x:t>
  </x:si>
  <x:si>
    <x:t xml:space="preserve">ALVA FLORES VICTOR MANUEL</x:t>
  </x:si>
  <x:si>
    <x:t xml:space="preserve">193-17207029036</x:t>
  </x:si>
  <x:si>
    <x:t xml:space="preserve">00219311720702903000</x:t>
  </x:si>
  <x:si>
    <x:t xml:space="preserve">00219110355421401000</x:t>
  </x:si>
  <x:si>
    <x:t xml:space="preserve">GISMONDI ALEGRE JUAN ALBERTO</x:t>
  </x:si>
  <x:si>
    <x:t xml:space="preserve">192-01819241015</x:t>
  </x:si>
  <x:si>
    <x:t xml:space="preserve">00219210181924101538</x:t>
  </x:si>
  <x:si>
    <x:t xml:space="preserve">00219111452558700000</x:t>
  </x:si>
  <x:si>
    <x:t xml:space="preserve">00219119230059201956</x:t>
  </x:si>
  <x:si>
    <x:t xml:space="preserve">DIAZ ZARATE ELIZA MARIELA</x:t>
  </x:si>
  <x:si>
    <x:t xml:space="preserve">193-91363094051</x:t>
  </x:si>
  <x:si>
    <x:t xml:space="preserve">00219319136309405111</x:t>
  </x:si>
  <x:si>
    <x:t xml:space="preserve">GUZMAN ARENAS HUMBERTO</x:t>
  </x:si>
  <x:si>
    <x:t xml:space="preserve">191-36065527024</x:t>
  </x:si>
  <x:si>
    <x:t xml:space="preserve">00219113606552702454</x:t>
  </x:si>
  <x:si>
    <x:t xml:space="preserve">DELGADO MESIAS HECTOR MARTIN</x:t>
  </x:si>
  <x:si>
    <x:t xml:space="preserve">193-17018359060</x:t>
  </x:si>
  <x:si>
    <x:t xml:space="preserve">00219311701835906013</x:t>
  </x:si>
  <x:si>
    <x:t xml:space="preserve">CALDERON MAMANI NELSON</x:t>
  </x:si>
  <x:si>
    <x:t xml:space="preserve">191-97244381045</x:t>
  </x:si>
  <x:si>
    <x:t xml:space="preserve">00219119724438104000</x:t>
  </x:si>
  <x:si>
    <x:t xml:space="preserve">BARRIGA SALVERRY GUILLERMO CLAUDIO</x:t>
  </x:si>
  <x:si>
    <x:t xml:space="preserve">191-04867305068</x:t>
  </x:si>
  <x:si>
    <x:t xml:space="preserve">00219110486730506856</x:t>
  </x:si>
  <x:si>
    <x:t xml:space="preserve">00219412556597901000</x:t>
  </x:si>
  <x:si>
    <x:t xml:space="preserve">00219113058354506857</x:t>
  </x:si>
  <x:si>
    <x:t xml:space="preserve">MAYTA CARCAUSTO AGUSTIN ABEL</x:t>
  </x:si>
  <x:si>
    <x:t xml:space="preserve">191-00611167039</x:t>
  </x:si>
  <x:si>
    <x:t xml:space="preserve">00219110061116703950</x:t>
  </x:si>
  <x:si>
    <x:t xml:space="preserve">PADILLA MONTORO ANGELA</x:t>
  </x:si>
  <x:si>
    <x:t xml:space="preserve">191-05174320085</x:t>
  </x:si>
  <x:si>
    <x:t xml:space="preserve">00219110517432008000</x:t>
  </x:si>
  <x:si>
    <x:t xml:space="preserve">ARELLANO CARO KARIN</x:t>
  </x:si>
  <x:si>
    <x:t xml:space="preserve">193-92293650007</x:t>
  </x:si>
  <x:si>
    <x:t xml:space="preserve">00219319229365000717</x:t>
  </x:si>
  <x:si>
    <x:t xml:space="preserve">BORDA BELIZARIO VLADIMIR</x:t>
  </x:si>
  <x:si>
    <x:t xml:space="preserve">191-97537801029</x:t>
  </x:si>
  <x:si>
    <x:t xml:space="preserve">00219119753780102954</x:t>
  </x:si>
  <x:si>
    <x:t xml:space="preserve">POLICLINICO JESUS MARIA</x:t>
  </x:si>
  <x:si>
    <x:t xml:space="preserve">CARDENAS MERINO ALFONSO</x:t>
  </x:si>
  <x:si>
    <x:t xml:space="preserve">191-38554880021</x:t>
  </x:si>
  <x:si>
    <x:t xml:space="preserve">00219113855488002152</x:t>
  </x:si>
  <x:si>
    <x:t xml:space="preserve">CASTRO PEREZ ALEJANDRA</x:t>
  </x:si>
  <x:si>
    <x:t xml:space="preserve">193-99668100046</x:t>
  </x:si>
  <x:si>
    <x:t xml:space="preserve">00219319966810004617</x:t>
  </x:si>
  <x:si>
    <x:t xml:space="preserve">DAVILA AYVAR OMAR MIJAIL</x:t>
  </x:si>
  <x:si>
    <x:t xml:space="preserve">194-34553964092</x:t>
  </x:si>
  <x:si>
    <x:t xml:space="preserve">00219413455396409000</x:t>
  </x:si>
  <x:si>
    <x:t xml:space="preserve">GUTIERREZ ZEVALLOS PAOLA</x:t>
  </x:si>
  <x:si>
    <x:t xml:space="preserve">191-04990406013</x:t>
  </x:si>
  <x:si>
    <x:t xml:space="preserve">00219110499040601350</x:t>
  </x:si>
  <x:si>
    <x:t xml:space="preserve">00219317655404501617</x:t>
  </x:si>
  <x:si>
    <x:t xml:space="preserve">00219419406679806596</x:t>
  </x:si>
  <x:si>
    <x:t xml:space="preserve">LLACCTARIMAY SANCHEZ CALEB</x:t>
  </x:si>
  <x:si>
    <x:t xml:space="preserve">191-35576688046</x:t>
  </x:si>
  <x:si>
    <x:t xml:space="preserve">00219113557668804659</x:t>
  </x:si>
  <x:si>
    <x:t xml:space="preserve">HOSPITAL DE SJL</x:t>
  </x:si>
  <x:si>
    <x:t xml:space="preserve">00219113888090504052</x:t>
  </x:si>
  <x:si>
    <x:t xml:space="preserve">PALACIOS URIBE PAMELA CAROLINA </x:t>
  </x:si>
  <x:si>
    <x:t xml:space="preserve">00219319596537401819</x:t>
  </x:si>
  <x:si>
    <x:t xml:space="preserve">PINEDA SANCHEZ MAYKOL JUNIORS</x:t>
  </x:si>
  <x:si>
    <x:t xml:space="preserve">193-04276035026</x:t>
  </x:si>
  <x:si>
    <x:t xml:space="preserve">00219310427603502615</x:t>
  </x:si>
  <x:si>
    <x:t xml:space="preserve">HOSPITAL B. LEGUIA</x:t>
  </x:si>
  <x:si>
    <x:t xml:space="preserve">POVIS JUYO STEVEN</x:t>
  </x:si>
  <x:si>
    <x:t xml:space="preserve">194-37627087056</x:t>
  </x:si>
  <x:si>
    <x:t xml:space="preserve">00219413762708705694</x:t>
  </x:si>
  <x:si>
    <x:t xml:space="preserve">HOSPITAL DE PUENTE PIEDRA</x:t>
  </x:si>
  <x:si>
    <x:t xml:space="preserve">REGALADO GUTIERREZ EVELYN JOSSY</x:t>
  </x:si>
  <x:si>
    <x:t xml:space="preserve">194-92762725020</x:t>
  </x:si>
  <x:si>
    <x:t xml:space="preserve">00219419276272502095</x:t>
  </x:si>
  <x:si>
    <x:t xml:space="preserve">POLICLÍNICO MUNICIPAL LOS OLIVOS</x:t>
  </x:si>
  <x:si>
    <x:t xml:space="preserve">RIOS DIONICIO GARY</x:t>
  </x:si>
  <x:si>
    <x:t xml:space="preserve">191-98745615043</x:t>
  </x:si>
  <x:si>
    <x:t xml:space="preserve">00219119874561504000</x:t>
  </x:si>
  <x:si>
    <x:t xml:space="preserve">00219110627765506000</x:t>
  </x:si>
  <x:si>
    <x:t xml:space="preserve">ROMANI FLORES LILIA</x:t>
  </x:si>
  <x:si>
    <x:t xml:space="preserve">191-74255909067</x:t>
  </x:si>
  <x:si>
    <x:t xml:space="preserve">00219117425590906000</x:t>
  </x:si>
  <x:si>
    <x:t xml:space="preserve">00219113208375503257</x:t>
  </x:si>
  <x:si>
    <x:t xml:space="preserve">VERA AVELINO NILO FRANCISCO</x:t>
  </x:si>
  <x:si>
    <x:t xml:space="preserve">00219319179265805000</x:t>
  </x:si>
  <x:si>
    <x:t xml:space="preserve">002-19319041667507211</x:t>
  </x:si>
  <x:si>
    <x:t xml:space="preserve">MERA BARBOZA MARCO</x:t>
  </x:si>
  <x:si>
    <x:t xml:space="preserve">INTERBANK</x:t>
  </x:si>
  <x:si>
    <x:t xml:space="preserve">166-3412325450</x:t>
  </x:si>
  <x:si>
    <x:t xml:space="preserve">00316601341232545067</x:t>
  </x:si>
  <x:si>
    <x:t xml:space="preserve">ROLDAN CORNEJO EILEEN SONIA</x:t>
  </x:si>
  <x:si>
    <x:t xml:space="preserve">378-3066335363</x:t>
  </x:si>
  <x:si>
    <x:t xml:space="preserve">00337801306633536374</x:t>
  </x:si>
  <x:si>
    <x:t xml:space="preserve">00300901322695661585</x:t>
  </x:si>
  <x:si>
    <x:t xml:space="preserve">ALMANZA CANO RONAL ATILIO</x:t>
  </x:si>
  <x:si>
    <x:t xml:space="preserve">122-3132001695</x:t>
  </x:si>
  <x:si>
    <x:t xml:space="preserve">00312201313200169592</x:t>
  </x:si>
  <x:si>
    <x:t xml:space="preserve">LEE VILLACORTA LOLA CRISTINA</x:t>
  </x:si>
  <x:si>
    <x:t xml:space="preserve">269-3164494303</x:t>
  </x:si>
  <x:si>
    <x:t xml:space="preserve">00326901316449430380</x:t>
  </x:si>
  <x:si>
    <x:t xml:space="preserve">00363900300412018827</x:t>
  </x:si>
  <x:si>
    <x:t xml:space="preserve">00316601306769117167</x:t>
  </x:si>
  <x:si>
    <x:t xml:space="preserve">00308701315011944044</x:t>
  </x:si>
  <x:si>
    <x:t xml:space="preserve">00313501301273750616</x:t>
  </x:si>
  <x:si>
    <x:t xml:space="preserve">00320001307649726035</x:t>
  </x:si>
  <x:si>
    <x:t xml:space="preserve">APAZA AVILA ADA CAROL</x:t>
  </x:si>
  <x:si>
    <x:t xml:space="preserve">479-3077340084</x:t>
  </x:si>
  <x:si>
    <x:t xml:space="preserve">00347901307734008436</x:t>
  </x:si>
  <x:si>
    <x:t xml:space="preserve">CONSULTORIO CUBA</x:t>
  </x:si>
  <x:si>
    <x:t xml:space="preserve">00310701317460536309</x:t>
  </x:si>
  <x:si>
    <x:t xml:space="preserve">MONTERO PACORA YHASSER ZOSIMO </x:t>
  </x:si>
  <x:si>
    <x:t xml:space="preserve">643-3097470870</x:t>
  </x:si>
  <x:si>
    <x:t xml:space="preserve">00364301309747087048</x:t>
  </x:si>
  <x:si>
    <x:t xml:space="preserve">MONTESINOS ROJAS GERARDO</x:t>
  </x:si>
  <x:si>
    <x:t xml:space="preserve">047-3124600552</x:t>
  </x:si>
  <x:si>
    <x:t xml:space="preserve">00304701312460055287</x:t>
  </x:si>
  <x:si>
    <x:t xml:space="preserve">00337501302759841037</x:t>
  </x:si>
  <x:si>
    <x:t xml:space="preserve">TELLO ARQUIÑEGO JAHANS NEIL</x:t>
  </x:si>
  <x:si>
    <x:t xml:space="preserve">289-3185896475</x:t>
  </x:si>
  <x:si>
    <x:t xml:space="preserve">00328901318589647565</x:t>
  </x:si>
  <x:si>
    <x:t xml:space="preserve">TORRES INUMA JOSY ALEXIS</x:t>
  </x:si>
  <x:si>
    <x:t xml:space="preserve">898 3427810358</x:t>
  </x:si>
  <x:si>
    <x:t xml:space="preserve">00389801342781035000</x:t>
  </x:si>
  <x:si>
    <x:t xml:space="preserve">TORRES FELIX</x:t>
  </x:si>
  <x:si>
    <x:t xml:space="preserve">00389801342781035842</x:t>
  </x:si>
  <x:si>
    <x:t xml:space="preserve">LAU CUBA LUIS ALBERTO</x:t>
  </x:si>
  <x:si>
    <x:t xml:space="preserve">PICHINCHA</x:t>
  </x:si>
  <x:si>
    <x:t xml:space="preserve">000-14-3049933</x:t>
  </x:si>
  <x:si>
    <x:t xml:space="preserve">035-00000014304993393</x:t>
  </x:si>
  <x:si>
    <x:t xml:space="preserve">MOYA AYRE EUGENIO FRANCKLIN</x:t>
  </x:si>
  <x:si>
    <x:t xml:space="preserve">SCOTIABANK</x:t>
  </x:si>
  <x:si>
    <x:t xml:space="preserve">691-0437489</x:t>
  </x:si>
  <x:si>
    <x:t xml:space="preserve">009-69120691043748970</x:t>
  </x:si>
  <x:si>
    <x:t xml:space="preserve">009-21920027760191075</x:t>
  </x:si>
  <x:si>
    <x:t xml:space="preserve">009-09120098730440902</x:t>
  </x:si>
  <x:si>
    <x:t xml:space="preserve">009-72420833043314268</x:t>
  </x:si>
  <x:si>
    <x:t xml:space="preserve">LATOCHE ROJAS CONRAD EDWARD</x:t>
  </x:si>
  <x:si>
    <x:t xml:space="preserve">027-7291225</x:t>
  </x:si>
  <x:si>
    <x:t xml:space="preserve">009-21920027729122573</x:t>
  </x:si>
  <x:si>
    <x:t xml:space="preserve">009-05520052751052354</x:t>
  </x:si>
  <x:si>
    <x:t xml:space="preserve">VILLA CABRERA LUIS ALEJANDRO</x:t>
  </x:si>
  <x:si>
    <x:t xml:space="preserve">157-0441152</x:t>
  </x:si>
  <x:si>
    <x:t xml:space="preserve">009-05720157044115215</x:t>
  </x:si>
  <x:si>
    <x:t xml:space="preserve">INGA CARHUAMACA</x:t>
  </x:si>
  <x:si>
    <x:t xml:space="preserve">NIETO ASTETE MARITZA ISABEL</x:t>
  </x:si>
  <x:si>
    <x:t xml:space="preserve">CERPA SILVA ARTURO</x:t>
  </x:si>
  <x:si>
    <x:t xml:space="preserve">ROJAS GAVILAN OSCAR EUSEBIO</x:t>
  </x:si>
  <x:si>
    <x:t xml:space="preserve">MARTINEZ QUIJANDRIA JUAN CARLOS</x:t>
  </x:si>
  <x:si>
    <x:t xml:space="preserve">VALDERRAMA LOAYZA MIREYA ELIZABETH</x:t>
  </x:si>
  <x:si>
    <x:t xml:space="preserve">POLICLINICO IZAGUIRRE</x:t>
  </x:si>
  <x:si>
    <x:t xml:space="preserve">VASQUEZ MORENO LUIS ENRIQUE</x:t>
  </x:si>
  <x:si>
    <x:t xml:space="preserve">CLINICA CENTENARIO</x:t>
  </x:si>
  <x:si>
    <x:t xml:space="preserve">CABANILLAS PEREZ ROSAMARIE MILAGROS</x:t>
  </x:si>
  <x:si>
    <x:t xml:space="preserve">RONDON SANCHEZ MIGUEL ANGEL</x:t>
  </x:si>
  <x:si>
    <x:t xml:space="preserve">CLÍNICA SAN VICENTE</x:t>
  </x:si>
  <x:si>
    <x:t xml:space="preserve">GOMEZ SANCHEZ MATEO DOMINGO</x:t>
  </x:si>
  <x:si>
    <x:t xml:space="preserve">BARRON ARTOLA ZULY JANETH</x:t>
  </x:si>
  <x:si>
    <x:t xml:space="preserve">SERPA FRIAS SOLON</x:t>
  </x:si>
  <x:si>
    <x:t xml:space="preserve">MALLAUPOMA POVEZ ANGELA </x:t>
  </x:si>
  <x:si>
    <x:t xml:space="preserve">CHEA WOO CARLOS GUILLERMO</x:t>
  </x:si>
  <x:si>
    <x:t xml:space="preserve">DAVILA OLIVARES ANA MELBA</x:t>
  </x:si>
  <x:si>
    <x:t xml:space="preserve">MANTILLA TIRADO EMERSON</x:t>
  </x:si>
  <x:si>
    <x:t xml:space="preserve">MAITA ANCIETA YVETTE</x:t>
  </x:si>
  <x:si>
    <x:t xml:space="preserve">BALTAZAR VARGAS JORGE LUIS</x:t>
  </x:si>
  <x:si>
    <x:t xml:space="preserve">CACERES MUÑOZ JOSE MANUEL</x:t>
  </x:si>
  <x:si>
    <x:t xml:space="preserve">ZEGARRA ROBLES ANGELICA</x:t>
  </x:si>
  <x:si>
    <x:t xml:space="preserve">GONZALES EDGAR CARLOS </x:t>
  </x:si>
  <x:si>
    <x:t xml:space="preserve">KAREN GUZMAN SONCO</x:t>
  </x:si>
  <x:si>
    <x:t xml:space="preserve">MARTINEZ CRISTINA</x:t>
  </x:si>
  <x:si>
    <x:t xml:space="preserve">PAREDES FELIPE</x:t>
  </x:si>
  <x:si>
    <x:t xml:space="preserve">PORTUGAL BARDALES JOSE LUIS </x:t>
  </x:si>
  <x:si>
    <x:t xml:space="preserve">ROLDAN BELTRAN JAVIER ALEXANDER</x:t>
  </x:si>
  <x:si>
    <x:t xml:space="preserve">SEMINARIO DIAZ RICARDO ERICK</x:t>
  </x:si>
  <x:si>
    <x:t xml:space="preserve">TORRES LEAL ADOLFO LEON</x:t>
  </x:si>
  <x:si>
    <x:t xml:space="preserve">ULLOA BERAUN RICARDO </x:t>
  </x:si>
  <x:si>
    <x:t xml:space="preserve">VELASQUEZ LOPEZ JULIO CESAR</x:t>
  </x:si>
  <x:si>
    <x:t xml:space="preserve">002-19311317312408511</x:t>
  </x:si>
  <x:si>
    <x:t xml:space="preserve">VIVANCO HERNÁN</x:t>
  </x:si>
  <x:si>
    <x:t xml:space="preserve">GARCÍA CLAUDIA</x:t>
  </x:si>
  <x:si>
    <x:t xml:space="preserve">PEREZ CARMEN</x:t>
  </x:si>
  <x:si>
    <x:t xml:space="preserve">CALDERÓN PAOLA</x:t>
  </x:si>
  <x:si>
    <x:t xml:space="preserve">ROJAS MARCELO</x:t>
  </x:si>
  <x:si>
    <x:t xml:space="preserve">ERNESTO ISA</x:t>
  </x:si>
  <x:si>
    <x:t xml:space="preserve">CONSULTORIO PLAZA VEA</x:t>
  </x:si>
  <x:si>
    <x:t xml:space="preserve">LEÓN ALEXIS</x:t>
  </x:si>
  <x:si>
    <x:t xml:space="preserve">HOSPITAL DE LA SOLIDARIDAD CANEVARO</x:t>
  </x:si>
  <x:si>
    <x:t xml:space="preserve">PARODI JAIME</x:t>
  </x:si>
  <x:si>
    <x:t xml:space="preserve">CEVALLOS LETICIA</x:t>
  </x:si>
  <x:si>
    <x:t xml:space="preserve">CLÍNICA SAN JUDAS TADEO</x:t>
  </x:si>
  <x:si>
    <x:t xml:space="preserve">TÁVARA HÉCTOR</x:t>
  </x:si>
  <x:si>
    <x:t xml:space="preserve">MUIÑO ELADIO</x:t>
  </x:si>
  <x:si>
    <x:t xml:space="preserve">POLICLÍNICO SAN MIGUEL</x:t>
  </x:si>
  <x:si>
    <x:t xml:space="preserve">JIMENEZ CLAUDIA</x:t>
  </x:si>
  <x:si>
    <x:t xml:space="preserve">MOLINA JANETH</x:t>
  </x:si>
  <x:si>
    <x:t xml:space="preserve">HOSPITAL DE LA SOLIDARIDAD CAMANÁ</x:t>
  </x:si>
  <x:si>
    <x:t xml:space="preserve">ROBLES CARLOS</x:t>
  </x:si>
  <x:si>
    <x:t xml:space="preserve">CLINICA INTERNACIONAL</x:t>
  </x:si>
  <x:si>
    <x:t xml:space="preserve">ACHAR MIGUEL</x:t>
  </x:si>
  <x:si>
    <x:t xml:space="preserve">PALOMINO HUGO</x:t>
  </x:si>
  <x:si>
    <x:t xml:space="preserve">DIAZ MIRIAM</x:t>
  </x:si>
  <x:si>
    <x:t xml:space="preserve">UGARTE CARLOS</x:t>
  </x:si>
  <x:si>
    <x:t xml:space="preserve">ARÉVALO LUIS</x:t>
  </x:si>
  <x:si>
    <x:t xml:space="preserve">CHAU CARLOS</x:t>
  </x:si>
  <x:si>
    <x:t xml:space="preserve">SILVA MELINA</x:t>
  </x:si>
  <x:si>
    <x:t xml:space="preserve">PRONTO SALUD</x:t>
  </x:si>
  <x:si>
    <x:t xml:space="preserve">URARI JULIO</x:t>
  </x:si>
  <x:si>
    <x:t xml:space="preserve">ABANTO LUIS</x:t>
  </x:si>
  <x:si>
    <x:t xml:space="preserve">POLICLÍNICO MUNICIPAL EL AGUSTINO</x:t>
  </x:si>
  <x:si>
    <x:t xml:space="preserve">ÁVALOS CARLOS</x:t>
  </x:si>
  <x:si>
    <x:t xml:space="preserve">CENTRO MATERNO INFANTIL SAN FERNANDO</x:t>
  </x:si>
  <x:si>
    <x:t xml:space="preserve">SUCARI JOSÉ</x:t>
  </x:si>
  <x:si>
    <x:t xml:space="preserve">RODRIGUEZ LESLIE</x:t>
  </x:si>
  <x:si>
    <x:t xml:space="preserve">AVENDAÑO CARLA</x:t>
  </x:si>
  <x:si>
    <x:t xml:space="preserve">LOPEZ LUIS</x:t>
  </x:si>
  <x:si>
    <x:t xml:space="preserve">PAUCARÁ JULIA</x:t>
  </x:si>
  <x:si>
    <x:t xml:space="preserve">URIARTE MARLENI</x:t>
  </x:si>
  <x:si>
    <x:t xml:space="preserve">002-19310554935500716</x:t>
  </x:si>
  <x:si>
    <x:t xml:space="preserve">Cuenta de Nadeira Roel Barahona (esposa)</x:t>
  </x:si>
  <x:si>
    <x:t xml:space="preserve">00219110049490200053</x:t>
  </x:si>
  <x:si>
    <x:t xml:space="preserve">LIMA HERNANI</x:t>
  </x:si>
  <x:si>
    <x:t xml:space="preserve">LEYVA KEVIN</x:t>
  </x:si>
  <x:si>
    <x:t xml:space="preserve">SILVA FERNIN</x:t>
  </x:si>
  <x:si>
    <x:t xml:space="preserve">CHAVEZ FRANCISCO</x:t>
  </x:si>
  <x:si>
    <x:t xml:space="preserve">CONSULTORIO OFTALMOLÓGICO AV. PERÚ</x:t>
  </x:si>
  <x:si>
    <x:t xml:space="preserve">MESIAS LUIS</x:t>
  </x:si>
  <x:si>
    <x:t xml:space="preserve">SALAVARRIA JEFERSON</x:t>
  </x:si>
  <x:si>
    <x:t xml:space="preserve">REATEGUI GUILLERMO</x:t>
  </x:si>
  <x:si>
    <x:t xml:space="preserve">SUAREZ SOLEDAD</x:t>
  </x:si>
  <x:si>
    <x:t xml:space="preserve">CLÍNICA STELLA MARIS</x:t>
  </x:si>
  <x:si>
    <x:t xml:space="preserve">BOZA TATIANA</x:t>
  </x:si>
  <x:si>
    <x:t xml:space="preserve">QUIÑONES ENRIQUE</x:t>
  </x:si>
  <x:si>
    <x:t xml:space="preserve">CLÍNICA PERUANO-JAPONÉS</x:t>
  </x:si>
  <x:si>
    <x:t xml:space="preserve">PEREZ JOSÉ</x:t>
  </x:si>
  <x:si>
    <x:t xml:space="preserve">RAMOS FÁTIMA</x:t>
  </x:si>
  <x:si>
    <x:t xml:space="preserve">TEJADA ROXANA</x:t>
  </x:si>
  <x:si>
    <x:t xml:space="preserve">HERNÁNDEZ ARTURO</x:t>
  </x:si>
  <x:si>
    <x:t xml:space="preserve">PERALTA LILI</x:t>
  </x:si>
  <x:si>
    <x:t xml:space="preserve">VILLA SALUD SJM</x:t>
  </x:si>
  <x:si>
    <x:t xml:space="preserve">CONDE CHARLES</x:t>
  </x:si>
  <x:si>
    <x:t xml:space="preserve">CLÍNICA SAGRADA FAMILIA DEL SUR</x:t>
  </x:si>
  <x:si>
    <x:t xml:space="preserve">RODRIGUEZ CELIA</x:t>
  </x:si>
  <x:si>
    <x:t xml:space="preserve">DIANA VALLEJOS</x:t>
  </x:si>
  <x:si>
    <x:t xml:space="preserve">VASQUEZ ANDREA</x:t>
  </x:si>
  <x:si>
    <x:t xml:space="preserve">FARFAN FIORELLA</x:t>
  </x:si>
  <x:si>
    <x:t xml:space="preserve">ATOCHE DAIGORO</x:t>
  </x:si>
  <x:si>
    <x:t xml:space="preserve">ZAPANA FELIX</x:t>
  </x:si>
  <x:si>
    <x:t xml:space="preserve">BENAVIDES ERIKA</x:t>
  </x:si>
  <x:si>
    <x:t xml:space="preserve">TORRES FELIPE</x:t>
  </x:si>
  <x:si>
    <x:t xml:space="preserve">CONSULTORIO BRASIL</x:t>
  </x:si>
  <x:si>
    <x:t xml:space="preserve">MELCHOR JANET</x:t>
  </x:si>
  <x:si>
    <x:t xml:space="preserve">PEREZ CAROLINA</x:t>
  </x:si>
  <x:si>
    <x:t xml:space="preserve">CORONADO</x:t>
  </x:si>
  <x:si>
    <x:t xml:space="preserve">ACUÑA MARIA LUISA</x:t>
  </x:si>
  <x:si>
    <x:t xml:space="preserve">CARLOS AYALA</x:t>
  </x:si>
  <x:si>
    <x:t xml:space="preserve">CARTY MARIO</x:t>
  </x:si>
  <x:si>
    <x:t xml:space="preserve">AGUINAGA LITA</x:t>
  </x:si>
  <x:si>
    <x:t xml:space="preserve">CLINICA AUNA</x:t>
  </x:si>
  <x:si>
    <x:t xml:space="preserve">MERINO OSCAR</x:t>
  </x:si>
  <x:si>
    <x:t xml:space="preserve">IBARCENA DENISSE</x:t>
  </x:si>
  <x:si>
    <x:t xml:space="preserve">CABRERA ALEJANDRO</x:t>
  </x:si>
  <x:si>
    <x:t xml:space="preserve">PAREDES LORENA</x:t>
  </x:si>
  <x:si>
    <x:t xml:space="preserve">DIANA FUENTES</x:t>
  </x:si>
  <x:si>
    <x:t xml:space="preserve">01173200020015275150</x:t>
  </x:si>
  <x:si>
    <x:t xml:space="preserve">CALCINE CONDORI RAMIRO</x:t>
  </x:si>
  <x:si>
    <x:t xml:space="preserve">CASTILLO OSMAR</x:t>
  </x:si>
  <x:si>
    <x:t xml:space="preserve">POLICLÍNICO NTRA. SRA. DE LA PAZ</x:t>
  </x:si>
  <x:si>
    <x:t xml:space="preserve">VASQUEZ ELINA</x:t>
  </x:si>
  <x:si>
    <x:t xml:space="preserve">VASQUEZ ELIZABETH</x:t>
  </x:si>
  <x:si>
    <x:t xml:space="preserve">TRELLES FABIO</x:t>
  </x:si>
  <x:si>
    <x:t xml:space="preserve">VASQUEZ HUAMAN JOSÉ FELIX</x:t>
  </x:si>
  <x:si>
    <x:t xml:space="preserve">ESSALUD LA MOLINA</x:t>
  </x:si>
  <x:si>
    <x:t xml:space="preserve">ALTAMIRANO LUIS</x:t>
  </x:si>
  <x:si>
    <x:t xml:space="preserve">CLÍNICA MONTEFIORI LA MOLINA</x:t>
  </x:si>
  <x:si>
    <x:t xml:space="preserve">ANDRADE ANTONIO</x:t>
  </x:si>
  <x:si>
    <x:t xml:space="preserve">DEL VALLE MARIA CORINA</x:t>
  </x:si>
  <x:si>
    <x:t xml:space="preserve">HOYLE CONAN</x:t>
  </x:si>
  <x:si>
    <x:t xml:space="preserve">JOCKEY SALUD</x:t>
  </x:si>
  <x:si>
    <x:t xml:space="preserve">OJEDA OSCAR</x:t>
  </x:si>
  <x:si>
    <x:t xml:space="preserve">RUIZ JORGE</x:t>
  </x:si>
  <x:si>
    <x:t xml:space="preserve">CLÍNICA SAN PABLO SURCO</x:t>
  </x:si>
  <x:si>
    <x:t xml:space="preserve">BURGA JUAN</x:t>
  </x:si>
  <x:si>
    <x:t xml:space="preserve">ARENAS FLOR</x:t>
  </x:si>
  <x:si>
    <x:t xml:space="preserve">CLÍNICA TESSA</x:t>
  </x:si>
  <x:si>
    <x:t xml:space="preserve">LEÓN ANY</x:t>
  </x:si>
  <x:si>
    <x:t xml:space="preserve">CLÍNICA MONTESUR LA MOLINA</x:t>
  </x:si>
  <x:si>
    <x:t xml:space="preserve">PALACIOS MARIA</x:t>
  </x:si>
  <x:si>
    <x:t xml:space="preserve">HINOSTROZA FELIX</x:t>
  </x:si>
  <x:si>
    <x:t xml:space="preserve">REINOSO CRISTINA</x:t>
  </x:si>
  <x:si>
    <x:t xml:space="preserve">CLÍNICA SAN JUAN BAUTISTA</x:t>
  </x:si>
  <x:si>
    <x:t xml:space="preserve">ROSALES ANDY</x:t>
  </x:si>
  <x:si>
    <x:t xml:space="preserve">GERIÁTRICO MILITAR CHORRILLOS</x:t>
  </x:si>
  <x:si>
    <x:t xml:space="preserve">MALQUI EVELYN</x:t>
  </x:si>
  <x:si>
    <x:t xml:space="preserve">HOSPITAL DE LA SOLIDARIDAD CHORRILLOS</x:t>
  </x:si>
  <x:si>
    <x:t xml:space="preserve">GUERRA ADA</x:t>
  </x:si>
  <x:si>
    <x:t xml:space="preserve">RUIZ GILMER</x:t>
  </x:si>
  <x:si>
    <x:t xml:space="preserve">CHORRISALUD</x:t>
  </x:si>
  <x:si>
    <x:t xml:space="preserve">CAJO JESÚS</x:t>
  </x:si>
  <x:si>
    <x:t xml:space="preserve">CLÍNICA GUADALUPE CHORRILLOS</x:t>
  </x:si>
  <x:si>
    <x:t xml:space="preserve">MARTINEZ LUIS</x:t>
  </x:si>
  <x:si>
    <x:t xml:space="preserve">CARRION CARLOS</x:t>
  </x:si>
  <x:si>
    <x:t xml:space="preserve">HOSPITAL CHALACO</x:t>
  </x:si>
  <x:si>
    <x:t xml:space="preserve">HUILCA JOSÉ</x:t>
  </x:si>
  <x:si>
    <x:t xml:space="preserve">OFTALMOLÓGICA QUILCA</x:t>
  </x:si>
  <x:si>
    <x:t xml:space="preserve">LOZANO RICARDO</x:t>
  </x:si>
  <x:si>
    <x:t xml:space="preserve">POLICLÍNICO ESPECIALIZADO NEGREIROS</x:t>
  </x:si>
  <x:si>
    <x:t xml:space="preserve">FLORES ABEL</x:t>
  </x:si>
  <x:si>
    <x:t xml:space="preserve">MATTOS VICTORIA</x:t>
  </x:si>
  <x:si>
    <x:t xml:space="preserve">CLÍNICA VIRGEN DEL ROSARIO</x:t>
  </x:si>
  <x:si>
    <x:t xml:space="preserve">MONTES ROLANDO</x:t>
  </x:si>
  <x:si>
    <x:t xml:space="preserve">CARRION GIOVANNA</x:t>
  </x:si>
  <x:si>
    <x:t xml:space="preserve">DENEGRI CESAR</x:t>
  </x:si>
  <x:si>
    <x:t xml:space="preserve">APAZA ALLISON SUSSY</x:t>
  </x:si>
  <x:si>
    <x:t xml:space="preserve">HOSPITAL BARTON</x:t>
  </x:si>
  <x:si>
    <x:t xml:space="preserve">CHIRINOS ROSSANA</x:t>
  </x:si>
  <x:si>
    <x:t xml:space="preserve">POLICLÍNICO REINA DE LA PAZ</x:t>
  </x:si>
  <x:si>
    <x:t xml:space="preserve">GUTIERREZ JORGE</x:t>
  </x:si>
  <x:si>
    <x:t xml:space="preserve">CASTRO JOSE</x:t>
  </x:si>
  <x:si>
    <x:t xml:space="preserve">DULANTO CARLOS</x:t>
  </x:si>
  <x:si>
    <x:t xml:space="preserve">RODRIGUEZ GONZALES LUZ VICTORIA</x:t>
  </x:si>
  <x:si>
    <x:t xml:space="preserve">ROMERO WALTER EDUARDO</x:t>
  </x:si>
  <x:si>
    <x:t xml:space="preserve">011-320-000200058577-94</x:t>
  </x:si>
  <x:si>
    <x:t xml:space="preserve">DEL PIELAGO PETRO LUIS GUILLERMO</x:t>
  </x:si>
  <x:si>
    <x:t xml:space="preserve">TANAKA</x:t>
  </x:si>
  <x:si>
    <x:t xml:space="preserve">HANAMPA ROQUE CARLOS</x:t>
  </x:si>
  <x:si>
    <x:t xml:space="preserve">RETINA Y VITREO</x:t>
  </x:si>
  <x:si>
    <x:t xml:space="preserve">ROMAN FRANCISCO</x:t>
  </x:si>
  <x:si>
    <x:t xml:space="preserve">Servicios</x:t>
  </x:si>
  <x:si>
    <x:t xml:space="preserve">Precio Bono</x:t>
  </x:si>
  <x:si>
    <x:t xml:space="preserve">OCT ANGIOGRAFIA NERVIO OPTICO</x:t>
  </x:si>
  <x:si>
    <x:t xml:space="preserve">OCT SEGMENTO ANTERIOR (CORNEA)</x:t>
  </x:si>
  <x:si>
    <x:t xml:space="preserve">FOTO CLINICA DE MACULA</x:t>
  </x:si>
  <x:si>
    <x:t xml:space="preserve">FOTO CLINICA DE NERVIO OPTICO</x:t>
  </x:si>
  <x:si>
    <x:t xml:space="preserve">ECOBIOMETRIA OCULAR UNILATERAL O BILATER</x:t>
  </x:si>
  <x:si>
    <x:t xml:space="preserve">MES</x:t>
  </x:si>
  <x:si>
    <x:t xml:space="preserve">Bono</x:t>
  </x:si>
  <x:si>
    <x:t xml:space="preserve">Junio</x:t>
  </x:si>
  <x:si>
    <x:t xml:space="preserve">RODRIGUEZ CECILIA</x:t>
  </x:si>
  <x:si>
    <x:t xml:space="preserve">CLINICA INTERNACIONAL SURCO</x:t>
  </x:si>
  <x:si>
    <x:t xml:space="preserve">Julio</x:t>
  </x:si>
  <x:si>
    <x:t xml:space="preserve">ALDAVE ANTHONY</x:t>
  </x:si>
  <x:si>
    <x:t xml:space="preserve">CLINICA SAN PABLO SURCO</x:t>
  </x:si>
  <x:si>
    <x:t xml:space="preserve">ESSALUD GRAU</x:t>
  </x:si>
  <x:si>
    <x:t xml:space="preserve">101014</x:t>
  </x:si>
  <x:si>
    <x:t xml:space="preserve">101168</x:t>
  </x:si>
  <x:si>
    <x:t xml:space="preserve">555</x:t>
  </x:si>
  <x:si>
    <x:t xml:space="preserve">FA-555</x:t>
  </x:si>
  <x:si>
    <x:t xml:space="preserve">LARA VALER ALBERTO</x:t>
  </x:si>
  <x:si>
    <x:t xml:space="preserve">43908772</x:t>
  </x:si>
  <x:si>
    <x:t xml:space="preserve">0071173</x:t>
  </x:si>
  <x:si>
    <x:t xml:space="preserve">920626730</x:t>
  </x:si>
  <x:si>
    <x:t xml:space="preserve">88598</x:t>
  </x:si>
  <x:si>
    <x:t xml:space="preserve">101140</x:t>
  </x:si>
  <x:si>
    <x:t xml:space="preserve">5762</x:t>
  </x:si>
  <x:si>
    <x:t xml:space="preserve">BO-5762</x:t>
  </x:si>
  <x:si>
    <x:t xml:space="preserve">RODRIGUEZ DE ARBILDO MARIA CLAUDINA</x:t>
  </x:si>
  <x:si>
    <x:t xml:space="preserve">25466693</x:t>
  </x:si>
  <x:si>
    <x:t xml:space="preserve">0071162</x:t>
  </x:si>
  <x:si>
    <x:t xml:space="preserve">987114412</x:t>
  </x:si>
  <x:si>
    <x:t xml:space="preserve">88571</x:t>
  </x:si>
  <x:si>
    <x:t xml:space="preserve">101161</x:t>
  </x:si>
  <x:si>
    <x:t xml:space="preserve">11927</x:t>
  </x:si>
  <x:si>
    <x:t xml:space="preserve">BO-11927</x:t>
  </x:si>
  <x:si>
    <x:t xml:space="preserve">BRAVO YAYA JOSE ANTONIO</x:t>
  </x:si>
  <x:si>
    <x:t xml:space="preserve">09218651</x:t>
  </x:si>
  <x:si>
    <x:t xml:space="preserve">0053635</x:t>
  </x:si>
  <x:si>
    <x:t xml:space="preserve">996299409</x:t>
  </x:si>
  <x:si>
    <x:t xml:space="preserve">88592</x:t>
  </x:si>
  <x:si>
    <x:t xml:space="preserve">101163</x:t>
  </x:si>
  <x:si>
    <x:t xml:space="preserve">5764</x:t>
  </x:si>
  <x:si>
    <x:t xml:space="preserve">BO-5764</x:t>
  </x:si>
  <x:si>
    <x:t xml:space="preserve">LAZARES DE LA CRUZ ELIZABETH</x:t>
  </x:si>
  <x:si>
    <x:t xml:space="preserve">20060778</x:t>
  </x:si>
  <x:si>
    <x:t xml:space="preserve">0071183</x:t>
  </x:si>
  <x:si>
    <x:t xml:space="preserve">961670005</x:t>
  </x:si>
  <x:si>
    <x:t xml:space="preserve">88595</x:t>
  </x:si>
  <x:si>
    <x:t xml:space="preserve">101178</x:t>
  </x:si>
  <x:si>
    <x:t xml:space="preserve">11930</x:t>
  </x:si>
  <x:si>
    <x:t xml:space="preserve">BO-11930</x:t>
  </x:si>
  <x:si>
    <x:t xml:space="preserve">88607</x:t>
  </x:si>
  <x:si>
    <x:t xml:space="preserve">101181</x:t>
  </x:si>
  <x:si>
    <x:t xml:space="preserve">5769</x:t>
  </x:si>
  <x:si>
    <x:t xml:space="preserve">BO-5769</x:t>
  </x:si>
  <x:si>
    <x:t xml:space="preserve">VALENTINO HUAMAN VDA DE MAYTA LUISA TEOD</x:t>
  </x:si>
  <x:si>
    <x:t xml:space="preserve">09420060</x:t>
  </x:si>
  <x:si>
    <x:t xml:space="preserve">0071194</x:t>
  </x:si>
  <x:si>
    <x:t xml:space="preserve">966511609</x:t>
  </x:si>
  <x:si>
    <x:t xml:space="preserve">88610</x:t>
  </x:si>
  <x:si>
    <x:t xml:space="preserve">101279</x:t>
  </x:si>
  <x:si>
    <x:t xml:space="preserve">556</x:t>
  </x:si>
  <x:si>
    <x:t xml:space="preserve">FA-556</x:t>
  </x:si>
  <x:si>
    <x:t xml:space="preserve">FALLA SARFATY ANTONIO JESUS MANUEL</x:t>
  </x:si>
  <x:si>
    <x:t xml:space="preserve">07815723</x:t>
  </x:si>
  <x:si>
    <x:t xml:space="preserve">0071224</x:t>
  </x:si>
  <x:si>
    <x:t xml:space="preserve">961765198</x:t>
  </x:si>
  <x:si>
    <x:t xml:space="preserve">FALLA SARFATY VDA DE VICICH MARITZA</x:t>
  </x:si>
  <x:si>
    <x:t xml:space="preserve">88685</x:t>
  </x:si>
  <x:si>
    <x:t xml:space="preserve">101222</x:t>
  </x:si>
  <x:si>
    <x:t xml:space="preserve">11935</x:t>
  </x:si>
  <x:si>
    <x:t xml:space="preserve">BO-11935</x:t>
  </x:si>
  <x:si>
    <x:t xml:space="preserve">ARMAS TORRES ONOLITH</x:t>
  </x:si>
  <x:si>
    <x:t xml:space="preserve">01097607</x:t>
  </x:si>
  <x:si>
    <x:t xml:space="preserve">0071135</x:t>
  </x:si>
  <x:si>
    <x:t xml:space="preserve">997325804</x:t>
  </x:si>
  <x:si>
    <x:t xml:space="preserve">88643</x:t>
  </x:si>
  <x:si>
    <x:t xml:space="preserve">101228</x:t>
  </x:si>
  <x:si>
    <x:t xml:space="preserve">5777</x:t>
  </x:si>
  <x:si>
    <x:t xml:space="preserve">BO-5777</x:t>
  </x:si>
  <x:si>
    <x:t xml:space="preserve">RODRIGUEZ PEREZ JOSE TOMAS</x:t>
  </x:si>
  <x:si>
    <x:t xml:space="preserve">06148717</x:t>
  </x:si>
  <x:si>
    <x:t xml:space="preserve">0071134</x:t>
  </x:si>
  <x:si>
    <x:t xml:space="preserve">939515680</x:t>
  </x:si>
  <x:si>
    <x:t xml:space="preserve">88648</x:t>
  </x:si>
  <x:si>
    <x:t xml:space="preserve">101229</x:t>
  </x:si>
  <x:si>
    <x:t xml:space="preserve">5778</x:t>
  </x:si>
  <x:si>
    <x:t xml:space="preserve">BO-5778</x:t>
  </x:si>
  <x:si>
    <x:t xml:space="preserve">88649</x:t>
  </x:si>
  <x:si>
    <x:t xml:space="preserve">101230</x:t>
  </x:si>
  <x:si>
    <x:t xml:space="preserve">5779</x:t>
  </x:si>
  <x:si>
    <x:t xml:space="preserve">BO-5779</x:t>
  </x:si>
  <x:si>
    <x:t xml:space="preserve">88650</x:t>
  </x:si>
  <x:si>
    <x:t xml:space="preserve">101242</x:t>
  </x:si>
  <x:si>
    <x:t xml:space="preserve">ZERPA ALVARADO SUSANA FAUSTA</x:t>
  </x:si>
  <x:si>
    <x:t xml:space="preserve">32883554</x:t>
  </x:si>
  <x:si>
    <x:t xml:space="preserve">0071136</x:t>
  </x:si>
  <x:si>
    <x:t xml:space="preserve">938255321</x:t>
  </x:si>
  <x:si>
    <x:t xml:space="preserve">88660</x:t>
  </x:si>
  <x:si>
    <x:t xml:space="preserve">MS.BASP.HO.AT.AR6224</x:t>
  </x:si>
  <x:si>
    <x:t xml:space="preserve">DGIRALDO</x:t>
  </x:si>
  <x:si>
    <x:t xml:space="preserve">LN. OPTICA</x:t>
  </x:si>
  <x:si>
    <x:t xml:space="preserve">101258</x:t>
  </x:si>
  <x:si>
    <x:t xml:space="preserve">11945</x:t>
  </x:si>
  <x:si>
    <x:t xml:space="preserve">BO-11945</x:t>
  </x:si>
  <x:si>
    <x:t xml:space="preserve">FARFAN SAIRITUPA JOSE FERNANDO</x:t>
  </x:si>
  <x:si>
    <x:t xml:space="preserve">06884348</x:t>
  </x:si>
  <x:si>
    <x:t xml:space="preserve">0071133</x:t>
  </x:si>
  <x:si>
    <x:t xml:space="preserve">987132568</x:t>
  </x:si>
  <x:si>
    <x:t xml:space="preserve">88676</x:t>
  </x:si>
  <x:si>
    <x:t xml:space="preserve">101299</x:t>
  </x:si>
  <x:si>
    <x:t xml:space="preserve">1066</x:t>
  </x:si>
  <x:si>
    <x:t xml:space="preserve">FA-1066</x:t>
  </x:si>
  <x:si>
    <x:t xml:space="preserve">88667</x:t>
  </x:si>
  <x:si>
    <x:t xml:space="preserve">101300</x:t>
  </x:si>
  <x:si>
    <x:t xml:space="preserve">1067</x:t>
  </x:si>
  <x:si>
    <x:t xml:space="preserve">FA-1067</x:t>
  </x:si>
  <x:si>
    <x:t xml:space="preserve">88668</x:t>
  </x:si>
  <x:si>
    <x:t xml:space="preserve">101301</x:t>
  </x:si>
  <x:si>
    <x:t xml:space="preserve">1068</x:t>
  </x:si>
  <x:si>
    <x:t xml:space="preserve">FA-1068</x:t>
  </x:si>
  <x:si>
    <x:t xml:space="preserve">88679</x:t>
  </x:si>
  <x:si>
    <x:t xml:space="preserve">101302</x:t>
  </x:si>
  <x:si>
    <x:t xml:space="preserve">11950</x:t>
  </x:si>
  <x:si>
    <x:t xml:space="preserve">BO-11950</x:t>
  </x:si>
  <x:si>
    <x:t xml:space="preserve">88700</x:t>
  </x:si>
  <x:si>
    <x:t xml:space="preserve">101370</x:t>
  </x:si>
  <x:si>
    <x:t xml:space="preserve">558</x:t>
  </x:si>
  <x:si>
    <x:t xml:space="preserve">FA-558</x:t>
  </x:si>
  <x:si>
    <x:t xml:space="preserve">88772</x:t>
  </x:si>
  <x:si>
    <x:t xml:space="preserve">101426</x:t>
  </x:si>
  <x:si>
    <x:t xml:space="preserve">5797</x:t>
  </x:si>
  <x:si>
    <x:t xml:space="preserve">BO-5797</x:t>
  </x:si>
  <x:si>
    <x:t xml:space="preserve">CAYCHO TORRES OLGA ESTHER</x:t>
  </x:si>
  <x:si>
    <x:t xml:space="preserve">09865602</x:t>
  </x:si>
  <x:si>
    <x:t xml:space="preserve">0071271</x:t>
  </x:si>
  <x:si>
    <x:t xml:space="preserve">991737507</x:t>
  </x:si>
  <x:si>
    <x:t xml:space="preserve">88820</x:t>
  </x:si>
  <x:si>
    <x:t xml:space="preserve">101456</x:t>
  </x:si>
  <x:si>
    <x:t xml:space="preserve">5804</x:t>
  </x:si>
  <x:si>
    <x:t xml:space="preserve">BO-5804</x:t>
  </x:si>
  <x:si>
    <x:t xml:space="preserve">CASTILLO SOTO DE MONTOYA FLOR DEL ROCIO</x:t>
  </x:si>
  <x:si>
    <x:t xml:space="preserve">07783843</x:t>
  </x:si>
  <x:si>
    <x:t xml:space="preserve">0054793</x:t>
  </x:si>
  <x:si>
    <x:t xml:space="preserve">983818294</x:t>
  </x:si>
  <x:si>
    <x:t xml:space="preserve">88844</x:t>
  </x:si>
  <x:si>
    <x:t xml:space="preserve">101451</x:t>
  </x:si>
  <x:si>
    <x:t xml:space="preserve">4161</x:t>
  </x:si>
  <x:si>
    <x:t xml:space="preserve">BO-4161</x:t>
  </x:si>
  <x:si>
    <x:t xml:space="preserve">AGUEDO HUAMANCHUMO DE ROJAS GLORIA</x:t>
  </x:si>
  <x:si>
    <x:t xml:space="preserve">09031014</x:t>
  </x:si>
  <x:si>
    <x:t xml:space="preserve">0071288</x:t>
  </x:si>
  <x:si>
    <x:t xml:space="preserve">999063472</x:t>
  </x:si>
  <x:si>
    <x:t xml:space="preserve">88838</x:t>
  </x:si>
  <x:si>
    <x:t xml:space="preserve">101419</x:t>
  </x:si>
  <x:si>
    <x:t xml:space="preserve">559</x:t>
  </x:si>
  <x:si>
    <x:t xml:space="preserve">FA-559</x:t>
  </x:si>
  <x:si>
    <x:t xml:space="preserve">MALCA COBA NILA</x:t>
  </x:si>
  <x:si>
    <x:t xml:space="preserve">10135276</x:t>
  </x:si>
  <x:si>
    <x:t xml:space="preserve">0071264</x:t>
  </x:si>
  <x:si>
    <x:t xml:space="preserve">979935897</x:t>
  </x:si>
  <x:si>
    <x:t xml:space="preserve">88814</x:t>
  </x:si>
  <x:si>
    <x:t xml:space="preserve">101557</x:t>
  </x:si>
  <x:si>
    <x:t xml:space="preserve">11970</x:t>
  </x:si>
  <x:si>
    <x:t xml:space="preserve">BO-11970</x:t>
  </x:si>
  <x:si>
    <x:t xml:space="preserve">DIAZ CANTURIN ISAAC ANIBAL</x:t>
  </x:si>
  <x:si>
    <x:t xml:space="preserve">40750638</x:t>
  </x:si>
  <x:si>
    <x:t xml:space="preserve">0071319</x:t>
  </x:si>
  <x:si>
    <x:t xml:space="preserve">949464428</x:t>
  </x:si>
  <x:si>
    <x:t xml:space="preserve">88916</x:t>
  </x:si>
  <x:si>
    <x:t xml:space="preserve">101643</x:t>
  </x:si>
  <x:si>
    <x:t xml:space="preserve">11986</x:t>
  </x:si>
  <x:si>
    <x:t xml:space="preserve">BO-11986</x:t>
  </x:si>
  <x:si>
    <x:t xml:space="preserve">ALMONACID SUAREZ JIM EDWARD</x:t>
  </x:si>
  <x:si>
    <x:t xml:space="preserve">41808272</x:t>
  </x:si>
  <x:si>
    <x:t xml:space="preserve">0071365</x:t>
  </x:si>
  <x:si>
    <x:t xml:space="preserve">926587211</x:t>
  </x:si>
  <x:si>
    <x:t xml:space="preserve">88987</x:t>
  </x:si>
  <x:si>
    <x:t xml:space="preserve">101808</x:t>
  </x:si>
  <x:si>
    <x:t xml:space="preserve">4194</x:t>
  </x:si>
  <x:si>
    <x:t xml:space="preserve">BO-4194</x:t>
  </x:si>
  <x:si>
    <x:t xml:space="preserve">VALLEJOS SALAZAR ANA MARIA</x:t>
  </x:si>
  <x:si>
    <x:t xml:space="preserve">08113467</x:t>
  </x:si>
  <x:si>
    <x:t xml:space="preserve">0071424</x:t>
  </x:si>
  <x:si>
    <x:t xml:space="preserve">980814191</x:t>
  </x:si>
  <x:si>
    <x:t xml:space="preserve">89101</x:t>
  </x:si>
  <x:si>
    <x:t xml:space="preserve">101702</x:t>
  </x:si>
  <x:si>
    <x:t xml:space="preserve">5828</x:t>
  </x:si>
  <x:si>
    <x:t xml:space="preserve">BO-5828</x:t>
  </x:si>
  <x:si>
    <x:t xml:space="preserve">SANTOS VALENTIN ROBERTO</x:t>
  </x:si>
  <x:si>
    <x:t xml:space="preserve">07404651</x:t>
  </x:si>
  <x:si>
    <x:t xml:space="preserve">0071385</x:t>
  </x:si>
  <x:si>
    <x:t xml:space="preserve">971144460</x:t>
  </x:si>
  <x:si>
    <x:t xml:space="preserve">89023</x:t>
  </x:si>
  <x:si>
    <x:t xml:space="preserve">101890</x:t>
  </x:si>
  <x:si>
    <x:t xml:space="preserve">562</x:t>
  </x:si>
  <x:si>
    <x:t xml:space="preserve">FA-562</x:t>
  </x:si>
  <x:si>
    <x:t xml:space="preserve">89116</x:t>
  </x:si>
  <x:si>
    <x:t xml:space="preserve">101892</x:t>
  </x:si>
  <x:si>
    <x:t xml:space="preserve">1070</x:t>
  </x:si>
  <x:si>
    <x:t xml:space="preserve">FA-1070</x:t>
  </x:si>
  <x:si>
    <x:t xml:space="preserve">89176</x:t>
  </x:si>
  <x:si>
    <x:t xml:space="preserve">101830</x:t>
  </x:si>
  <x:si>
    <x:t xml:space="preserve">5843</x:t>
  </x:si>
  <x:si>
    <x:t xml:space="preserve">BO-5843</x:t>
  </x:si>
  <x:si>
    <x:t xml:space="preserve">ROMERO MEZA VDA D PALLAROSO ANITA JUDITH</x:t>
  </x:si>
  <x:si>
    <x:t xml:space="preserve">07202039</x:t>
  </x:si>
  <x:si>
    <x:t xml:space="preserve">0043602</x:t>
  </x:si>
  <x:si>
    <x:t xml:space="preserve">997156394</x:t>
  </x:si>
  <x:si>
    <x:t xml:space="preserve">89117</x:t>
  </x:si>
  <x:si>
    <x:t xml:space="preserve">101839</x:t>
  </x:si>
  <x:si>
    <x:t xml:space="preserve">12018</x:t>
  </x:si>
  <x:si>
    <x:t xml:space="preserve">BO-12018</x:t>
  </x:si>
  <x:si>
    <x:t xml:space="preserve">GUILLERMO CALERO DE CARBAJAL TEODORA JUL</x:t>
  </x:si>
  <x:si>
    <x:t xml:space="preserve">15699810</x:t>
  </x:si>
  <x:si>
    <x:t xml:space="preserve">0071388</x:t>
  </x:si>
  <x:si>
    <x:t xml:space="preserve">948050520</x:t>
  </x:si>
  <x:si>
    <x:t xml:space="preserve">89133</x:t>
  </x:si>
  <x:si>
    <x:t xml:space="preserve">101849</x:t>
  </x:si>
  <x:si>
    <x:t xml:space="preserve">5846</x:t>
  </x:si>
  <x:si>
    <x:t xml:space="preserve">BO-5846</x:t>
  </x:si>
  <x:si>
    <x:t xml:space="preserve">89138</x:t>
  </x:si>
  <x:si>
    <x:t xml:space="preserve">101882</x:t>
  </x:si>
  <x:si>
    <x:t xml:space="preserve">10241</x:t>
  </x:si>
  <x:si>
    <x:t xml:space="preserve">BO-10241</x:t>
  </x:si>
  <x:si>
    <x:t xml:space="preserve">89168</x:t>
  </x:si>
  <x:si>
    <x:t xml:space="preserve">PROTECTOR OCULAR ESTERIL</x:t>
  </x:si>
  <x:si>
    <x:t xml:space="preserve">LROSALES</x:t>
  </x:si>
  <x:si>
    <x:t xml:space="preserve">101889</x:t>
  </x:si>
  <x:si>
    <x:t xml:space="preserve">1069</x:t>
  </x:si>
  <x:si>
    <x:t xml:space="preserve">FA-1069</x:t>
  </x:si>
  <x:si>
    <x:t xml:space="preserve">89144</x:t>
  </x:si>
  <x:si>
    <x:t xml:space="preserve">101863</x:t>
  </x:si>
  <x:si>
    <x:t xml:space="preserve">12023</x:t>
  </x:si>
  <x:si>
    <x:t xml:space="preserve">BO-12023</x:t>
  </x:si>
  <x:si>
    <x:t xml:space="preserve">ROJAS CASTAÑEDA ANSELMO VIDAL</x:t>
  </x:si>
  <x:si>
    <x:t xml:space="preserve">22071798</x:t>
  </x:si>
  <x:si>
    <x:t xml:space="preserve">0071458</x:t>
  </x:si>
  <x:si>
    <x:t xml:space="preserve">941339376</x:t>
  </x:si>
  <x:si>
    <x:t xml:space="preserve">89148</x:t>
  </x:si>
  <x:si>
    <x:t xml:space="preserve">101946</x:t>
  </x:si>
  <x:si>
    <x:t xml:space="preserve">12034</x:t>
  </x:si>
  <x:si>
    <x:t xml:space="preserve">BO-12034</x:t>
  </x:si>
  <x:si>
    <x:t xml:space="preserve">ESTRADA PACHERRE JOSE SANTOS</x:t>
  </x:si>
  <x:si>
    <x:t xml:space="preserve">08737645</x:t>
  </x:si>
  <x:si>
    <x:t xml:space="preserve">0071387</x:t>
  </x:si>
  <x:si>
    <x:t xml:space="preserve">89218</x:t>
  </x:si>
  <x:si>
    <x:t xml:space="preserve">101949</x:t>
  </x:si>
  <x:si>
    <x:t xml:space="preserve">12035</x:t>
  </x:si>
  <x:si>
    <x:t xml:space="preserve">BO-12035</x:t>
  </x:si>
  <x:si>
    <x:t xml:space="preserve">MANCILLA DE LA CRUZ JOSE PERCY</x:t>
  </x:si>
  <x:si>
    <x:t xml:space="preserve">40908536</x:t>
  </x:si>
  <x:si>
    <x:t xml:space="preserve">0071420</x:t>
  </x:si>
  <x:si>
    <x:t xml:space="preserve">989312010</x:t>
  </x:si>
  <x:si>
    <x:t xml:space="preserve">89159</x:t>
  </x:si>
  <x:si>
    <x:t xml:space="preserve">101955</x:t>
  </x:si>
  <x:si>
    <x:t xml:space="preserve">12036</x:t>
  </x:si>
  <x:si>
    <x:t xml:space="preserve">BO-12036</x:t>
  </x:si>
  <x:si>
    <x:t xml:space="preserve">89145</x:t>
  </x:si>
  <x:si>
    <x:t xml:space="preserve">101983</x:t>
  </x:si>
  <x:si>
    <x:t xml:space="preserve">1071</x:t>
  </x:si>
  <x:si>
    <x:t xml:space="preserve">FA-1071</x:t>
  </x:si>
  <x:si>
    <x:t xml:space="preserve">CARDENAS DEL PINO MARIA LUISA</x:t>
  </x:si>
  <x:si>
    <x:t xml:space="preserve">10478873</x:t>
  </x:si>
  <x:si>
    <x:t xml:space="preserve">0071419</x:t>
  </x:si>
  <x:si>
    <x:t xml:space="preserve">989821523</x:t>
  </x:si>
  <x:si>
    <x:t xml:space="preserve">89161</x:t>
  </x:si>
  <x:si>
    <x:t xml:space="preserve">101984</x:t>
  </x:si>
  <x:si>
    <x:t xml:space="preserve">1072</x:t>
  </x:si>
  <x:si>
    <x:t xml:space="preserve">FA-1072</x:t>
  </x:si>
  <x:si>
    <x:t xml:space="preserve">89162</x:t>
  </x:si>
  <x:si>
    <x:t xml:space="preserve">102044</x:t>
  </x:si>
  <x:si>
    <x:t xml:space="preserve">4220</x:t>
  </x:si>
  <x:si>
    <x:t xml:space="preserve">BO-4220</x:t>
  </x:si>
  <x:si>
    <x:t xml:space="preserve">ALEGRE ZEA JORGE ANTONY</x:t>
  </x:si>
  <x:si>
    <x:t xml:space="preserve">76903875</x:t>
  </x:si>
  <x:si>
    <x:t xml:space="preserve">0071545</x:t>
  </x:si>
  <x:si>
    <x:t xml:space="preserve">964332546</x:t>
  </x:si>
  <x:si>
    <x:t xml:space="preserve">89297</x:t>
  </x:si>
  <x:si>
    <x:t xml:space="preserve">101972</x:t>
  </x:si>
  <x:si>
    <x:t xml:space="preserve">12038</x:t>
  </x:si>
  <x:si>
    <x:t xml:space="preserve">BO-12038</x:t>
  </x:si>
  <x:si>
    <x:t xml:space="preserve">SUAREZ BANOS JOSE MIGUEL ISRAEL</x:t>
  </x:si>
  <x:si>
    <x:t xml:space="preserve">78068688</x:t>
  </x:si>
  <x:si>
    <x:t xml:space="preserve">0071516</x:t>
  </x:si>
  <x:si>
    <x:t xml:space="preserve">966353089</x:t>
  </x:si>
  <x:si>
    <x:t xml:space="preserve">89243</x:t>
  </x:si>
  <x:si>
    <x:t xml:space="preserve">101980</x:t>
  </x:si>
  <x:si>
    <x:t xml:space="preserve">12039</x:t>
  </x:si>
  <x:si>
    <x:t xml:space="preserve">BO-12039</x:t>
  </x:si>
  <x:si>
    <x:t xml:space="preserve">ROJAS VALENZUELA ISMAEL ZACARIAS</x:t>
  </x:si>
  <x:si>
    <x:t xml:space="preserve">20649998</x:t>
  </x:si>
  <x:si>
    <x:t xml:space="preserve">VELIZ AMERICO</x:t>
  </x:si>
  <x:si>
    <x:t xml:space="preserve">0071505</x:t>
  </x:si>
  <x:si>
    <x:t xml:space="preserve">964494343</x:t>
  </x:si>
  <x:si>
    <x:t xml:space="preserve">89250</x:t>
  </x:si>
  <x:si>
    <x:t xml:space="preserve">102071</x:t>
  </x:si>
  <x:si>
    <x:t xml:space="preserve">12051</x:t>
  </x:si>
  <x:si>
    <x:t xml:space="preserve">BO-12051</x:t>
  </x:si>
  <x:si>
    <x:t xml:space="preserve">NECIOSUP CARVALLO ROSA DEL PILAR</x:t>
  </x:si>
  <x:si>
    <x:t xml:space="preserve">10441168</x:t>
  </x:si>
  <x:si>
    <x:t xml:space="preserve">0071364</x:t>
  </x:si>
  <x:si>
    <x:t xml:space="preserve">956449330</x:t>
  </x:si>
  <x:si>
    <x:t xml:space="preserve">89314</x:t>
  </x:si>
  <x:si>
    <x:t xml:space="preserve">102117</x:t>
  </x:si>
  <x:si>
    <x:t xml:space="preserve">12054</x:t>
  </x:si>
  <x:si>
    <x:t xml:space="preserve">BO-12054</x:t>
  </x:si>
  <x:si>
    <x:t xml:space="preserve">SANCHEZ CABANILLAS DAGOBERTO RICARDO</x:t>
  </x:si>
  <x:si>
    <x:t xml:space="preserve">08841761</x:t>
  </x:si>
  <x:si>
    <x:t xml:space="preserve">0070862</x:t>
  </x:si>
  <x:si>
    <x:t xml:space="preserve">+584126215514</x:t>
  </x:si>
  <x:si>
    <x:t xml:space="preserve">89355</x:t>
  </x:si>
  <x:si>
    <x:t xml:space="preserve">102134</x:t>
  </x:si>
  <x:si>
    <x:t xml:space="preserve">1073</x:t>
  </x:si>
  <x:si>
    <x:t xml:space="preserve">FA-1073</x:t>
  </x:si>
  <x:si>
    <x:t xml:space="preserve">PRADO LARRAIN ALBERTO</x:t>
  </x:si>
  <x:si>
    <x:t xml:space="preserve">07755903</x:t>
  </x:si>
  <x:si>
    <x:t xml:space="preserve">0071591</x:t>
  </x:si>
  <x:si>
    <x:t xml:space="preserve">922973385</x:t>
  </x:si>
  <x:si>
    <x:t xml:space="preserve">89367</x:t>
  </x:si>
  <x:si>
    <x:t xml:space="preserve">102217</x:t>
  </x:si>
  <x:si>
    <x:t xml:space="preserve">1074</x:t>
  </x:si>
  <x:si>
    <x:t xml:space="preserve">FA-1074</x:t>
  </x:si>
  <x:si>
    <x:t xml:space="preserve">89379</x:t>
  </x:si>
  <x:si>
    <x:t xml:space="preserve">102253</x:t>
  </x:si>
  <x:si>
    <x:t xml:space="preserve">12068</x:t>
  </x:si>
  <x:si>
    <x:t xml:space="preserve">BO-12068</x:t>
  </x:si>
  <x:si>
    <x:t xml:space="preserve">MONTENEGRO TUESTA KEVIN ANTONY</x:t>
  </x:si>
  <x:si>
    <x:t xml:space="preserve">74390894</x:t>
  </x:si>
  <x:si>
    <x:t xml:space="preserve">0063418</x:t>
  </x:si>
  <x:si>
    <x:t xml:space="preserve">973914900</x:t>
  </x:si>
  <x:si>
    <x:t xml:space="preserve">89399</x:t>
  </x:si>
  <x:si>
    <x:t xml:space="preserve">102257</x:t>
  </x:si>
  <x:si>
    <x:t xml:space="preserve">12069</x:t>
  </x:si>
  <x:si>
    <x:t xml:space="preserve">BO-12069</x:t>
  </x:si>
  <x:si>
    <x:t xml:space="preserve">VILCA SANCHEZ CARLOS RICARDO</x:t>
  </x:si>
  <x:si>
    <x:t xml:space="preserve">18211536</x:t>
  </x:si>
  <x:si>
    <x:t xml:space="preserve">0071650</x:t>
  </x:si>
  <x:si>
    <x:t xml:space="preserve">940412185</x:t>
  </x:si>
  <x:si>
    <x:t xml:space="preserve">89477</x:t>
  </x:si>
  <x:si>
    <x:t xml:space="preserve">102340</x:t>
  </x:si>
  <x:si>
    <x:t xml:space="preserve">4706</x:t>
  </x:si>
  <x:si>
    <x:t xml:space="preserve">BO-4706</x:t>
  </x:si>
  <x:si>
    <x:t xml:space="preserve">HUAMAN SANCHEZ WILFREDO</x:t>
  </x:si>
  <x:si>
    <x:t xml:space="preserve">09030972</x:t>
  </x:si>
  <x:si>
    <x:t xml:space="preserve">0071678</x:t>
  </x:si>
  <x:si>
    <x:t xml:space="preserve">980470455</x:t>
  </x:si>
  <x:si>
    <x:t xml:space="preserve">89526</x:t>
  </x:si>
  <x:si>
    <x:t xml:space="preserve">102391</x:t>
  </x:si>
  <x:si>
    <x:t xml:space="preserve">12086</x:t>
  </x:si>
  <x:si>
    <x:t xml:space="preserve">BO-12086</x:t>
  </x:si>
  <x:si>
    <x:t xml:space="preserve">MELENDEZ VILLANUEVA YULISA EDITH</x:t>
  </x:si>
  <x:si>
    <x:t xml:space="preserve">15641029</x:t>
  </x:si>
  <x:si>
    <x:t xml:space="preserve">0071692</x:t>
  </x:si>
  <x:si>
    <x:t xml:space="preserve">989823153</x:t>
  </x:si>
  <x:si>
    <x:t xml:space="preserve">89570</x:t>
  </x:si>
  <x:si>
    <x:t xml:space="preserve">102396</x:t>
  </x:si>
  <x:si>
    <x:t xml:space="preserve">12089</x:t>
  </x:si>
  <x:si>
    <x:t xml:space="preserve">BO-12089</x:t>
  </x:si>
  <x:si>
    <x:t xml:space="preserve">LAINEZ CHAVEZ JAMES ALEXANDER</x:t>
  </x:si>
  <x:si>
    <x:t xml:space="preserve">76180568</x:t>
  </x:si>
  <x:si>
    <x:t xml:space="preserve">0071729</x:t>
  </x:si>
  <x:si>
    <x:t xml:space="preserve">980843472</x:t>
  </x:si>
  <x:si>
    <x:t xml:space="preserve">89574</x:t>
  </x:si>
  <x:si>
    <x:t xml:space="preserve">2412</x:t>
  </x:si>
  <x:si>
    <x:t xml:space="preserve">NC-12089</x:t>
  </x:si>
  <x:si>
    <x:t xml:space="preserve">102432</x:t>
  </x:si>
  <x:si>
    <x:t xml:space="preserve">12103</x:t>
  </x:si>
  <x:si>
    <x:t xml:space="preserve">BO-12103</x:t>
  </x:si>
  <x:si>
    <x:t xml:space="preserve">SAAVEDRA SICCHA LUIS ALBERTO</x:t>
  </x:si>
  <x:si>
    <x:t xml:space="preserve">60502334</x:t>
  </x:si>
  <x:si>
    <x:t xml:space="preserve">0071744</x:t>
  </x:si>
  <x:si>
    <x:t xml:space="preserve">930100290</x:t>
  </x:si>
  <x:si>
    <x:t xml:space="preserve">89611</x:t>
  </x:si>
  <x:si>
    <x:t xml:space="preserve">102466</x:t>
  </x:si>
  <x:si>
    <x:t xml:space="preserve">4730</x:t>
  </x:si>
  <x:si>
    <x:t xml:space="preserve">BO-4730</x:t>
  </x:si>
  <x:si>
    <x:t xml:space="preserve">SEBASTIANI RONQUILLO MARIA LUISA</x:t>
  </x:si>
  <x:si>
    <x:t xml:space="preserve">43708195</x:t>
  </x:si>
  <x:si>
    <x:t xml:space="preserve">0056308</x:t>
  </x:si>
  <x:si>
    <x:t xml:space="preserve">989427258</x:t>
  </x:si>
  <x:si>
    <x:t xml:space="preserve">89638</x:t>
  </x:si>
  <x:si>
    <x:t xml:space="preserve">102485</x:t>
  </x:si>
  <x:si>
    <x:t xml:space="preserve">5899</x:t>
  </x:si>
  <x:si>
    <x:t xml:space="preserve">BO-5899</x:t>
  </x:si>
  <x:si>
    <x:t xml:space="preserve">CASTILLO CHAVEZ VDA DE MOLLAN ANTONIA</x:t>
  </x:si>
  <x:si>
    <x:t xml:space="preserve">07394459</x:t>
  </x:si>
  <x:si>
    <x:t xml:space="preserve">0066488</x:t>
  </x:si>
  <x:si>
    <x:t xml:space="preserve">901164946</x:t>
  </x:si>
  <x:si>
    <x:t xml:space="preserve">89653</x:t>
  </x:si>
  <x:si>
    <x:t xml:space="preserve">102502</x:t>
  </x:si>
  <x:si>
    <x:t xml:space="preserve">4733</x:t>
  </x:si>
  <x:si>
    <x:t xml:space="preserve">BO-4733</x:t>
  </x:si>
  <x:si>
    <x:t xml:space="preserve">QUIROZ CABRERA JUANA YSIDORA</x:t>
  </x:si>
  <x:si>
    <x:t xml:space="preserve">16698130</x:t>
  </x:si>
  <x:si>
    <x:t xml:space="preserve">0058152</x:t>
  </x:si>
  <x:si>
    <x:t xml:space="preserve">929362094</x:t>
  </x:si>
  <x:si>
    <x:t xml:space="preserve">89662</x:t>
  </x:si>
  <x:si>
    <x:t xml:space="preserve">102563</x:t>
  </x:si>
  <x:si>
    <x:t xml:space="preserve">5914</x:t>
  </x:si>
  <x:si>
    <x:t xml:space="preserve">BO-5914</x:t>
  </x:si>
  <x:si>
    <x:t xml:space="preserve">CORNEJO PEREZ TEODORO INOCENTE</x:t>
  </x:si>
  <x:si>
    <x:t xml:space="preserve">09169334</x:t>
  </x:si>
  <x:si>
    <x:t xml:space="preserve">0071866</x:t>
  </x:si>
  <x:si>
    <x:t xml:space="preserve">999339954</x:t>
  </x:si>
  <x:si>
    <x:t xml:space="preserve">89704</x:t>
  </x:si>
  <x:si>
    <x:t xml:space="preserve">102647</x:t>
  </x:si>
  <x:si>
    <x:t xml:space="preserve">5928</x:t>
  </x:si>
  <x:si>
    <x:t xml:space="preserve">BO-5928</x:t>
  </x:si>
  <x:si>
    <x:t xml:space="preserve">MARIGORDA EFFIO VICTOR JESUS</x:t>
  </x:si>
  <x:si>
    <x:t xml:space="preserve">25445114</x:t>
  </x:si>
  <x:si>
    <x:t xml:space="preserve">0071899</x:t>
  </x:si>
  <x:si>
    <x:t xml:space="preserve">923623147</x:t>
  </x:si>
  <x:si>
    <x:t xml:space="preserve">89784</x:t>
  </x:si>
  <x:si>
    <x:t xml:space="preserve">102680</x:t>
  </x:si>
  <x:si>
    <x:t xml:space="preserve">5931</x:t>
  </x:si>
  <x:si>
    <x:t xml:space="preserve">BO-5931</x:t>
  </x:si>
  <x:si>
    <x:t xml:space="preserve">NINAQUISPE MARCELO APARICIO</x:t>
  </x:si>
  <x:si>
    <x:t xml:space="preserve">32530490</x:t>
  </x:si>
  <x:si>
    <x:t xml:space="preserve">0071909</x:t>
  </x:si>
  <x:si>
    <x:t xml:space="preserve">952658266</x:t>
  </x:si>
  <x:si>
    <x:t xml:space="preserve">89808</x:t>
  </x:si>
  <x:si>
    <x:t xml:space="preserve">102682</x:t>
  </x:si>
  <x:si>
    <x:t xml:space="preserve">4283</x:t>
  </x:si>
  <x:si>
    <x:t xml:space="preserve">BO-4283</x:t>
  </x:si>
  <x:si>
    <x:t xml:space="preserve">SUXE FERNANDEZ AMADOR</x:t>
  </x:si>
  <x:si>
    <x:t xml:space="preserve">01051967</x:t>
  </x:si>
  <x:si>
    <x:t xml:space="preserve">0071911</x:t>
  </x:si>
  <x:si>
    <x:t xml:space="preserve">900298154</x:t>
  </x:si>
  <x:si>
    <x:t xml:space="preserve">89810</x:t>
  </x:si>
  <x:si>
    <x:t xml:space="preserve">102684</x:t>
  </x:si>
  <x:si>
    <x:t xml:space="preserve">5933</x:t>
  </x:si>
  <x:si>
    <x:t xml:space="preserve">BO-5933</x:t>
  </x:si>
  <x:si>
    <x:t xml:space="preserve">TAMAYO TORRES DE BOCANEGRA GREGORIA</x:t>
  </x:si>
  <x:si>
    <x:t xml:space="preserve">06253775</x:t>
  </x:si>
  <x:si>
    <x:t xml:space="preserve">0071918</x:t>
  </x:si>
  <x:si>
    <x:t xml:space="preserve">983546661</x:t>
  </x:si>
  <x:si>
    <x:t xml:space="preserve">89811</x:t>
  </x:si>
  <x:si>
    <x:t xml:space="preserve">102687</x:t>
  </x:si>
  <x:si>
    <x:t xml:space="preserve">565</x:t>
  </x:si>
  <x:si>
    <x:t xml:space="preserve">FA-565</x:t>
  </x:si>
  <x:si>
    <x:t xml:space="preserve">89632</x:t>
  </x:si>
  <x:si>
    <x:t xml:space="preserve">102689</x:t>
  </x:si>
  <x:si>
    <x:t xml:space="preserve">FA-566</x:t>
  </x:si>
  <x:si>
    <x:t xml:space="preserve">DURAND VALDIVIA DE LINO DORA ESPERANZA</x:t>
  </x:si>
  <x:si>
    <x:t xml:space="preserve">15685693</x:t>
  </x:si>
  <x:si>
    <x:t xml:space="preserve">0009791</x:t>
  </x:si>
  <x:si>
    <x:t xml:space="preserve">97224389</x:t>
  </x:si>
  <x:si>
    <x:t xml:space="preserve">89813</x:t>
  </x:si>
  <x:si>
    <x:t xml:space="preserve">102692</x:t>
  </x:si>
  <x:si>
    <x:t xml:space="preserve">567</x:t>
  </x:si>
  <x:si>
    <x:t xml:space="preserve">FA-567</x:t>
  </x:si>
  <x:si>
    <x:t xml:space="preserve">ORTEGA PEREZ JHON ROSEL</x:t>
  </x:si>
  <x:si>
    <x:t xml:space="preserve">76308330</x:t>
  </x:si>
  <x:si>
    <x:t xml:space="preserve">0071921</x:t>
  </x:si>
  <x:si>
    <x:t xml:space="preserve">985425896</x:t>
  </x:si>
  <x:si>
    <x:t xml:space="preserve">89815</x:t>
  </x:si>
  <x:si>
    <x:t xml:space="preserve">102698</x:t>
  </x:si>
  <x:si>
    <x:t xml:space="preserve">5936</x:t>
  </x:si>
  <x:si>
    <x:t xml:space="preserve">BO-5936</x:t>
  </x:si>
  <x:si>
    <x:t xml:space="preserve">MEDINA PRIETO DE RIOS ELSA ARIELA</x:t>
  </x:si>
  <x:si>
    <x:t xml:space="preserve">08286513</x:t>
  </x:si>
  <x:si>
    <x:t xml:space="preserve">0071924</x:t>
  </x:si>
  <x:si>
    <x:t xml:space="preserve">985412585</x:t>
  </x:si>
  <x:si>
    <x:t xml:space="preserve">89822</x:t>
  </x:si>
  <x:si>
    <x:t xml:space="preserve">Agosto</x:t>
  </x:si>
  <x:si>
    <x:t xml:space="preserve">OFTALMOMEDIC</x:t>
  </x:si>
  <x:si>
    <x:t xml:space="preserve">Setiembre</x:t>
  </x:si>
  <x:si>
    <x:t xml:space="preserve">HUAMAN ROQUE CARLOS</x:t>
  </x:si>
  <x:si>
    <x:t xml:space="preserve">SISOL LIMA</x:t>
  </x:si>
  <x:si>
    <x:t xml:space="preserve">106008</x:t>
  </x:si>
  <x:si>
    <x:t xml:space="preserve">672</x:t>
  </x:si>
  <x:si>
    <x:t xml:space="preserve">BO-672</x:t>
  </x:si>
  <x:si>
    <x:t xml:space="preserve">GARCIA ROQUE INGRID MELISSA</x:t>
  </x:si>
  <x:si>
    <x:t xml:space="preserve">47205181</x:t>
  </x:si>
  <x:si>
    <x:t xml:space="preserve">0073387</x:t>
  </x:si>
  <x:si>
    <x:t xml:space="preserve">991020326</x:t>
  </x:si>
  <x:si>
    <x:t xml:space="preserve">92521</x:t>
  </x:si>
  <x:si>
    <x:t xml:space="preserve">106054</x:t>
  </x:si>
  <x:si>
    <x:t xml:space="preserve">4621</x:t>
  </x:si>
  <x:si>
    <x:t xml:space="preserve">BO-4621</x:t>
  </x:si>
  <x:si>
    <x:t xml:space="preserve">MAGUINA VARGAS DE ARANDA MIRTHA BELISA</x:t>
  </x:si>
  <x:si>
    <x:t xml:space="preserve">08043386</x:t>
  </x:si>
  <x:si>
    <x:t xml:space="preserve">0071906</x:t>
  </x:si>
  <x:si>
    <x:t xml:space="preserve">989547202</x:t>
  </x:si>
  <x:si>
    <x:t xml:space="preserve">92585</x:t>
  </x:si>
  <x:si>
    <x:t xml:space="preserve">106077</x:t>
  </x:si>
  <x:si>
    <x:t xml:space="preserve">5097</x:t>
  </x:si>
  <x:si>
    <x:t xml:space="preserve">BO-5097</x:t>
  </x:si>
  <x:si>
    <x:t xml:space="preserve">CABRERA VIGIL ROSA ESPERANZA</x:t>
  </x:si>
  <x:si>
    <x:t xml:space="preserve">06542920</x:t>
  </x:si>
  <x:si>
    <x:t xml:space="preserve">0073446</x:t>
  </x:si>
  <x:si>
    <x:t xml:space="preserve">955013669</x:t>
  </x:si>
  <x:si>
    <x:t xml:space="preserve">92615</x:t>
  </x:si>
  <x:si>
    <x:t xml:space="preserve">106157</x:t>
  </x:si>
  <x:si>
    <x:t xml:space="preserve">12133</x:t>
  </x:si>
  <x:si>
    <x:t xml:space="preserve">BO-12133</x:t>
  </x:si>
  <x:si>
    <x:t xml:space="preserve">PALACIOS RUIZ MIGUEL ANGEL</x:t>
  </x:si>
  <x:si>
    <x:t xml:space="preserve">43315807</x:t>
  </x:si>
  <x:si>
    <x:t xml:space="preserve">0073432</x:t>
  </x:si>
  <x:si>
    <x:t xml:space="preserve">+51981538677</x:t>
  </x:si>
  <x:si>
    <x:t xml:space="preserve">92676</x:t>
  </x:si>
  <x:si>
    <x:t xml:space="preserve">106277</x:t>
  </x:si>
  <x:si>
    <x:t xml:space="preserve">472</x:t>
  </x:si>
  <x:si>
    <x:t xml:space="preserve">BO-472</x:t>
  </x:si>
  <x:si>
    <x:t xml:space="preserve">SANTIN ZAPATA VDA DE PRADO NELLY YOLANDA</x:t>
  </x:si>
  <x:si>
    <x:t xml:space="preserve">16720575</x:t>
  </x:si>
  <x:si>
    <x:t xml:space="preserve">0062457</x:t>
  </x:si>
  <x:si>
    <x:t xml:space="preserve">988362277</x:t>
  </x:si>
  <x:si>
    <x:t xml:space="preserve">92771</x:t>
  </x:si>
  <x:si>
    <x:t xml:space="preserve">SMORENO</x:t>
  </x:si>
  <x:si>
    <x:t xml:space="preserve">106352</x:t>
  </x:si>
  <x:si>
    <x:t xml:space="preserve">484</x:t>
  </x:si>
  <x:si>
    <x:t xml:space="preserve">BO-484</x:t>
  </x:si>
  <x:si>
    <x:t xml:space="preserve">HUAPAYA BARREDA ADRIANA MICAELA</x:t>
  </x:si>
  <x:si>
    <x:t xml:space="preserve">78325575</x:t>
  </x:si>
  <x:si>
    <x:t xml:space="preserve">0073531</x:t>
  </x:si>
  <x:si>
    <x:t xml:space="preserve">+51943499354</x:t>
  </x:si>
  <x:si>
    <x:t xml:space="preserve">92809</x:t>
  </x:si>
  <x:si>
    <x:t xml:space="preserve">106387</x:t>
  </x:si>
  <x:si>
    <x:t xml:space="preserve">726</x:t>
  </x:si>
  <x:si>
    <x:t xml:space="preserve">BO-726</x:t>
  </x:si>
  <x:si>
    <x:t xml:space="preserve">GALARZA ROJAS ANGELICA CELEDONIA</x:t>
  </x:si>
  <x:si>
    <x:t xml:space="preserve">08829378</x:t>
  </x:si>
  <x:si>
    <x:t xml:space="preserve">0071328</x:t>
  </x:si>
  <x:si>
    <x:t xml:space="preserve">962603623</x:t>
  </x:si>
  <x:si>
    <x:t xml:space="preserve">92853</x:t>
  </x:si>
  <x:si>
    <x:t xml:space="preserve">106391</x:t>
  </x:si>
  <x:si>
    <x:t xml:space="preserve">5132</x:t>
  </x:si>
  <x:si>
    <x:t xml:space="preserve">BO-5132</x:t>
  </x:si>
  <x:si>
    <x:t xml:space="preserve">NEIRA TREBEJO DE LEON CARMEN</x:t>
  </x:si>
  <x:si>
    <x:t xml:space="preserve">06853316</x:t>
  </x:si>
  <x:si>
    <x:t xml:space="preserve">0073559</x:t>
  </x:si>
  <x:si>
    <x:t xml:space="preserve">961719937</x:t>
  </x:si>
  <x:si>
    <x:t xml:space="preserve">92852</x:t>
  </x:si>
  <x:si>
    <x:t xml:space="preserve">106409</x:t>
  </x:si>
  <x:si>
    <x:t xml:space="preserve">10</x:t>
  </x:si>
  <x:si>
    <x:t xml:space="preserve">FA-10</x:t>
  </x:si>
  <x:si>
    <x:t xml:space="preserve">SINCLAIR REJAS PATRICIA VICTORIA</x:t>
  </x:si>
  <x:si>
    <x:t xml:space="preserve">45635460</x:t>
  </x:si>
  <x:si>
    <x:t xml:space="preserve">0073539</x:t>
  </x:si>
  <x:si>
    <x:t xml:space="preserve">936131340</x:t>
  </x:si>
  <x:si>
    <x:t xml:space="preserve">92787</x:t>
  </x:si>
  <x:si>
    <x:t xml:space="preserve">106454</x:t>
  </x:si>
  <x:si>
    <x:t xml:space="preserve">4668</x:t>
  </x:si>
  <x:si>
    <x:t xml:space="preserve">BO-4668</x:t>
  </x:si>
  <x:si>
    <x:t xml:space="preserve">CASQUIÑO DE AVENDAÑO ROSAURA</x:t>
  </x:si>
  <x:si>
    <x:t xml:space="preserve">15412642</x:t>
  </x:si>
  <x:si>
    <x:t xml:space="preserve">0073533</x:t>
  </x:si>
  <x:si>
    <x:t xml:space="preserve">910 864 168</x:t>
  </x:si>
  <x:si>
    <x:t xml:space="preserve">92892</x:t>
  </x:si>
  <x:si>
    <x:t xml:space="preserve">106484</x:t>
  </x:si>
  <x:si>
    <x:t xml:space="preserve">12598</x:t>
  </x:si>
  <x:si>
    <x:t xml:space="preserve">BO-12598</x:t>
  </x:si>
  <x:si>
    <x:t xml:space="preserve">MONTENEGRO LOPEZ CHRISTIAN</x:t>
  </x:si>
  <x:si>
    <x:t xml:space="preserve">43909751</x:t>
  </x:si>
  <x:si>
    <x:t xml:space="preserve">0055493</x:t>
  </x:si>
  <x:si>
    <x:t xml:space="preserve">951769089</x:t>
  </x:si>
  <x:si>
    <x:t xml:space="preserve">92938</x:t>
  </x:si>
  <x:si>
    <x:t xml:space="preserve">106530</x:t>
  </x:si>
  <x:si>
    <x:t xml:space="preserve">12611</x:t>
  </x:si>
  <x:si>
    <x:t xml:space="preserve">BO-12611</x:t>
  </x:si>
  <x:si>
    <x:t xml:space="preserve">SIMON VELITA CONRADO</x:t>
  </x:si>
  <x:si>
    <x:t xml:space="preserve">71772606</x:t>
  </x:si>
  <x:si>
    <x:t xml:space="preserve">0073334</x:t>
  </x:si>
  <x:si>
    <x:t xml:space="preserve">+51901526567</x:t>
  </x:si>
  <x:si>
    <x:t xml:space="preserve">92957</x:t>
  </x:si>
  <x:si>
    <x:t xml:space="preserve">106531</x:t>
  </x:si>
  <x:si>
    <x:t xml:space="preserve">12612</x:t>
  </x:si>
  <x:si>
    <x:t xml:space="preserve">BO-12612</x:t>
  </x:si>
  <x:si>
    <x:t xml:space="preserve">MERINO MERINO MAYLIN RAQUEL</x:t>
  </x:si>
  <x:si>
    <x:t xml:space="preserve">75397288</x:t>
  </x:si>
  <x:si>
    <x:t xml:space="preserve">0073603</x:t>
  </x:si>
  <x:si>
    <x:t xml:space="preserve">943424880</x:t>
  </x:si>
  <x:si>
    <x:t xml:space="preserve">92975</x:t>
  </x:si>
  <x:si>
    <x:t xml:space="preserve">106535</x:t>
  </x:si>
  <x:si>
    <x:t xml:space="preserve">12614</x:t>
  </x:si>
  <x:si>
    <x:t xml:space="preserve">BO-12614</x:t>
  </x:si>
  <x:si>
    <x:t xml:space="preserve">CASTREJÓN MIRANDA HENDER YONEL</x:t>
  </x:si>
  <x:si>
    <x:t xml:space="preserve">71733325</x:t>
  </x:si>
  <x:si>
    <x:t xml:space="preserve">0073590</x:t>
  </x:si>
  <x:si>
    <x:t xml:space="preserve">921855429</x:t>
  </x:si>
  <x:si>
    <x:t xml:space="preserve">92966</x:t>
  </x:si>
  <x:si>
    <x:t xml:space="preserve">106585</x:t>
  </x:si>
  <x:si>
    <x:t xml:space="preserve">5166</x:t>
  </x:si>
  <x:si>
    <x:t xml:space="preserve">BO-5166</x:t>
  </x:si>
  <x:si>
    <x:t xml:space="preserve">RAMBLA DE RODRIGUEZ GABY LUZ</x:t>
  </x:si>
  <x:si>
    <x:t xml:space="preserve">25492367</x:t>
  </x:si>
  <x:si>
    <x:t xml:space="preserve">0073653</x:t>
  </x:si>
  <x:si>
    <x:t xml:space="preserve">966139518</x:t>
  </x:si>
  <x:si>
    <x:t xml:space="preserve">93013</x:t>
  </x:si>
  <x:si>
    <x:t xml:space="preserve">106587</x:t>
  </x:si>
  <x:si>
    <x:t xml:space="preserve">12630</x:t>
  </x:si>
  <x:si>
    <x:t xml:space="preserve">BO-12630</x:t>
  </x:si>
  <x:si>
    <x:t xml:space="preserve">HUANCA RIVERA LIZETH YENY</x:t>
  </x:si>
  <x:si>
    <x:t xml:space="preserve">48545473</x:t>
  </x:si>
  <x:si>
    <x:t xml:space="preserve">0051471</x:t>
  </x:si>
  <x:si>
    <x:t xml:space="preserve">924540033</x:t>
  </x:si>
  <x:si>
    <x:t xml:space="preserve">93002</x:t>
  </x:si>
  <x:si>
    <x:t xml:space="preserve">106630</x:t>
  </x:si>
  <x:si>
    <x:t xml:space="preserve">496</x:t>
  </x:si>
  <x:si>
    <x:t xml:space="preserve">BO-496</x:t>
  </x:si>
  <x:si>
    <x:t xml:space="preserve">CABRERA ALVA FLORA ISOLDA</x:t>
  </x:si>
  <x:si>
    <x:t xml:space="preserve">10588128</x:t>
  </x:si>
  <x:si>
    <x:t xml:space="preserve">0073641</x:t>
  </x:si>
  <x:si>
    <x:t xml:space="preserve">943510849</x:t>
  </x:si>
  <x:si>
    <x:t xml:space="preserve">93050</x:t>
  </x:si>
  <x:si>
    <x:t xml:space="preserve">106635</x:t>
  </x:si>
  <x:si>
    <x:t xml:space="preserve">5181</x:t>
  </x:si>
  <x:si>
    <x:t xml:space="preserve">BO-5181</x:t>
  </x:si>
  <x:si>
    <x:t xml:space="preserve">GUSMAN CURO DENISSE VANESSA</x:t>
  </x:si>
  <x:si>
    <x:t xml:space="preserve">75346669</x:t>
  </x:si>
  <x:si>
    <x:t xml:space="preserve">0073677</x:t>
  </x:si>
  <x:si>
    <x:t xml:space="preserve">943568911</x:t>
  </x:si>
  <x:si>
    <x:t xml:space="preserve">93059</x:t>
  </x:si>
  <x:si>
    <x:t xml:space="preserve">106644</x:t>
  </x:si>
  <x:si>
    <x:t xml:space="preserve">498</x:t>
  </x:si>
  <x:si>
    <x:t xml:space="preserve">BO-498</x:t>
  </x:si>
  <x:si>
    <x:t xml:space="preserve">106661</x:t>
  </x:si>
  <x:si>
    <x:t xml:space="preserve">4682</x:t>
  </x:si>
  <x:si>
    <x:t xml:space="preserve">BO-4682</x:t>
  </x:si>
  <x:si>
    <x:t xml:space="preserve">GUTIERREZ PULTAY PAULINA</x:t>
  </x:si>
  <x:si>
    <x:t xml:space="preserve">06065150</x:t>
  </x:si>
  <x:si>
    <x:t xml:space="preserve">0073689</x:t>
  </x:si>
  <x:si>
    <x:t xml:space="preserve">+51981243092</x:t>
  </x:si>
  <x:si>
    <x:t xml:space="preserve">93081</x:t>
  </x:si>
  <x:si>
    <x:t xml:space="preserve">106686</x:t>
  </x:si>
  <x:si>
    <x:t xml:space="preserve">502</x:t>
  </x:si>
  <x:si>
    <x:t xml:space="preserve">BO-502</x:t>
  </x:si>
  <x:si>
    <x:t xml:space="preserve">TALAVERANO NAVARRO ROSA SALOME</x:t>
  </x:si>
  <x:si>
    <x:t xml:space="preserve">10561537</x:t>
  </x:si>
  <x:si>
    <x:t xml:space="preserve">0073702</x:t>
  </x:si>
  <x:si>
    <x:t xml:space="preserve">994914602</x:t>
  </x:si>
  <x:si>
    <x:t xml:space="preserve">93103</x:t>
  </x:si>
  <x:si>
    <x:t xml:space="preserve">106691</x:t>
  </x:si>
  <x:si>
    <x:t xml:space="preserve">5188</x:t>
  </x:si>
  <x:si>
    <x:t xml:space="preserve">BO-5188</x:t>
  </x:si>
  <x:si>
    <x:t xml:space="preserve">ESCALANTE ANGULO MARIA FELICITA</x:t>
  </x:si>
  <x:si>
    <x:t xml:space="preserve">41480528</x:t>
  </x:si>
  <x:si>
    <x:t xml:space="preserve">0073671</x:t>
  </x:si>
  <x:si>
    <x:t xml:space="preserve">996699900</x:t>
  </x:si>
  <x:si>
    <x:t xml:space="preserve">93084</x:t>
  </x:si>
  <x:si>
    <x:t xml:space="preserve">106713</x:t>
  </x:si>
  <x:si>
    <x:t xml:space="preserve">1138</x:t>
  </x:si>
  <x:si>
    <x:t xml:space="preserve">FA-1138</x:t>
  </x:si>
  <x:si>
    <x:t xml:space="preserve">CORNEJO CALVO DE FERRO MIRTHA ROSA MARIA</x:t>
  </x:si>
  <x:si>
    <x:t xml:space="preserve">07835036</x:t>
  </x:si>
  <x:si>
    <x:t xml:space="preserve">0073476</x:t>
  </x:si>
  <x:si>
    <x:t xml:space="preserve">947675431</x:t>
  </x:si>
  <x:si>
    <x:t xml:space="preserve">PACIFICO S.A. ENT. PRESTADORA DE SALUD</x:t>
  </x:si>
  <x:si>
    <x:t xml:space="preserve">93110</x:t>
  </x:si>
  <x:si>
    <x:t xml:space="preserve">106745</x:t>
  </x:si>
  <x:si>
    <x:t xml:space="preserve">12651</x:t>
  </x:si>
  <x:si>
    <x:t xml:space="preserve">BO-12651</x:t>
  </x:si>
  <x:si>
    <x:t xml:space="preserve">CORNEJO CHAUCA JORDAN WALTER JUNIOR</x:t>
  </x:si>
  <x:si>
    <x:t xml:space="preserve">47686410</x:t>
  </x:si>
  <x:si>
    <x:t xml:space="preserve">0067234</x:t>
  </x:si>
  <x:si>
    <x:t xml:space="preserve">981126347</x:t>
  </x:si>
  <x:si>
    <x:t xml:space="preserve">93133</x:t>
  </x:si>
  <x:si>
    <x:t xml:space="preserve">106790</x:t>
  </x:si>
  <x:si>
    <x:t xml:space="preserve">4691</x:t>
  </x:si>
  <x:si>
    <x:t xml:space="preserve">BO-4691</x:t>
  </x:si>
  <x:si>
    <x:t xml:space="preserve">ZEÑA VASQUEZ KEVIN FABIANO</x:t>
  </x:si>
  <x:si>
    <x:t xml:space="preserve">61842994</x:t>
  </x:si>
  <x:si>
    <x:t xml:space="preserve">0073649</x:t>
  </x:si>
  <x:si>
    <x:t xml:space="preserve">93016</x:t>
  </x:si>
  <x:si>
    <x:t xml:space="preserve">106803</x:t>
  </x:si>
  <x:si>
    <x:t xml:space="preserve">4693</x:t>
  </x:si>
  <x:si>
    <x:t xml:space="preserve">BO-4693</x:t>
  </x:si>
  <x:si>
    <x:t xml:space="preserve">COANQUI QUISPE FRANCISCO</x:t>
  </x:si>
  <x:si>
    <x:t xml:space="preserve">07954010</x:t>
  </x:si>
  <x:si>
    <x:t xml:space="preserve">0073768</x:t>
  </x:si>
  <x:si>
    <x:t xml:space="preserve">972000902</x:t>
  </x:si>
  <x:si>
    <x:t xml:space="preserve">93182</x:t>
  </x:si>
  <x:si>
    <x:t xml:space="preserve">106855</x:t>
  </x:si>
  <x:si>
    <x:t xml:space="preserve">4699</x:t>
  </x:si>
  <x:si>
    <x:t xml:space="preserve">BO-4699</x:t>
  </x:si>
  <x:si>
    <x:t xml:space="preserve">92738</x:t>
  </x:si>
  <x:si>
    <x:t xml:space="preserve">106898</x:t>
  </x:si>
  <x:si>
    <x:t xml:space="preserve">4709</x:t>
  </x:si>
  <x:si>
    <x:t xml:space="preserve">BO-4709</x:t>
  </x:si>
  <x:si>
    <x:t xml:space="preserve">ROCA HENRIQUEZ VICTOR AUGUSTO</x:t>
  </x:si>
  <x:si>
    <x:t xml:space="preserve">15600267</x:t>
  </x:si>
  <x:si>
    <x:t xml:space="preserve">0073810</x:t>
  </x:si>
  <x:si>
    <x:t xml:space="preserve">926386518</x:t>
  </x:si>
  <x:si>
    <x:t xml:space="preserve">93245</x:t>
  </x:si>
  <x:si>
    <x:t xml:space="preserve">106901</x:t>
  </x:si>
  <x:si>
    <x:t xml:space="preserve">12662</x:t>
  </x:si>
  <x:si>
    <x:t xml:space="preserve">BO-12662</x:t>
  </x:si>
  <x:si>
    <x:t xml:space="preserve">MARIN RAMOS FILOMENA</x:t>
  </x:si>
  <x:si>
    <x:t xml:space="preserve">10364747</x:t>
  </x:si>
  <x:si>
    <x:t xml:space="preserve">0073819</x:t>
  </x:si>
  <x:si>
    <x:t xml:space="preserve">979890566</x:t>
  </x:si>
  <x:si>
    <x:t xml:space="preserve">93255</x:t>
  </x:si>
  <x:si>
    <x:t xml:space="preserve">106947</x:t>
  </x:si>
  <x:si>
    <x:t xml:space="preserve">4713</x:t>
  </x:si>
  <x:si>
    <x:t xml:space="preserve">BO-4713</x:t>
  </x:si>
  <x:si>
    <x:t xml:space="preserve">MONTOYA PASTOR CLAUDIO</x:t>
  </x:si>
  <x:si>
    <x:t xml:space="preserve">06151324</x:t>
  </x:si>
  <x:si>
    <x:t xml:space="preserve">0073680</x:t>
  </x:si>
  <x:si>
    <x:t xml:space="preserve">+51973523301</x:t>
  </x:si>
  <x:si>
    <x:t xml:space="preserve">93308</x:t>
  </x:si>
  <x:si>
    <x:t xml:space="preserve">107016</x:t>
  </x:si>
  <x:si>
    <x:t xml:space="preserve">12686</x:t>
  </x:si>
  <x:si>
    <x:t xml:space="preserve">BO-12686</x:t>
  </x:si>
  <x:si>
    <x:t xml:space="preserve">GONZALES GARCIA CARMEN DEL ROSARIO</x:t>
  </x:si>
  <x:si>
    <x:t xml:space="preserve">08606982</x:t>
  </x:si>
  <x:si>
    <x:t xml:space="preserve">0033183</x:t>
  </x:si>
  <x:si>
    <x:t xml:space="preserve">4587858</x:t>
  </x:si>
  <x:si>
    <x:t xml:space="preserve">93337</x:t>
  </x:si>
  <x:si>
    <x:t xml:space="preserve">107021</x:t>
  </x:si>
  <x:si>
    <x:t xml:space="preserve">5221</x:t>
  </x:si>
  <x:si>
    <x:t xml:space="preserve">BO-5221</x:t>
  </x:si>
  <x:si>
    <x:t xml:space="preserve">JARA VITATE NICO ALEXSANDER</x:t>
  </x:si>
  <x:si>
    <x:t xml:space="preserve">91523011</x:t>
  </x:si>
  <x:si>
    <x:t xml:space="preserve">0073776</x:t>
  </x:si>
  <x:si>
    <x:t xml:space="preserve">986 261 363 </x:t>
  </x:si>
  <x:si>
    <x:t xml:space="preserve">93379</x:t>
  </x:si>
  <x:si>
    <x:t xml:space="preserve">10619105</x:t>
  </x:si>
  <x:si>
    <x:t xml:space="preserve">107088</x:t>
  </x:si>
  <x:si>
    <x:t xml:space="preserve">12698</x:t>
  </x:si>
  <x:si>
    <x:t xml:space="preserve">BO-12698</x:t>
  </x:si>
  <x:si>
    <x:t xml:space="preserve">HUARANGA HUARACA FLORA LUCILA</x:t>
  </x:si>
  <x:si>
    <x:t xml:space="preserve">06813680</x:t>
  </x:si>
  <x:si>
    <x:t xml:space="preserve">0014405</x:t>
  </x:si>
  <x:si>
    <x:t xml:space="preserve">999516833</x:t>
  </x:si>
  <x:si>
    <x:t xml:space="preserve">93390</x:t>
  </x:si>
  <x:si>
    <x:t xml:space="preserve">107155</x:t>
  </x:si>
  <x:si>
    <x:t xml:space="preserve">540</x:t>
  </x:si>
  <x:si>
    <x:t xml:space="preserve">BO-540</x:t>
  </x:si>
  <x:si>
    <x:t xml:space="preserve">SICCHE PINEDO ZOILA</x:t>
  </x:si>
  <x:si>
    <x:t xml:space="preserve">18024803</x:t>
  </x:si>
  <x:si>
    <x:t xml:space="preserve">0073904</x:t>
  </x:si>
  <x:si>
    <x:t xml:space="preserve">949754928</x:t>
  </x:si>
  <x:si>
    <x:t xml:space="preserve">93465</x:t>
  </x:si>
  <x:si>
    <x:t xml:space="preserve">107284</x:t>
  </x:si>
  <x:si>
    <x:t xml:space="preserve">12716</x:t>
  </x:si>
  <x:si>
    <x:t xml:space="preserve">BO-12716</x:t>
  </x:si>
  <x:si>
    <x:t xml:space="preserve">MEGO BECERRA PEDRO</x:t>
  </x:si>
  <x:si>
    <x:t xml:space="preserve">01011352</x:t>
  </x:si>
  <x:si>
    <x:t xml:space="preserve">0018191</x:t>
  </x:si>
  <x:si>
    <x:t xml:space="preserve">947633613</x:t>
  </x:si>
  <x:si>
    <x:t xml:space="preserve">93579</x:t>
  </x:si>
  <x:si>
    <x:t xml:space="preserve">TELMA MESA EDITH</x:t>
  </x:si>
  <x:si>
    <x:t xml:space="preserve">107450</x:t>
  </x:si>
  <x:si>
    <x:t xml:space="preserve">4774</x:t>
  </x:si>
  <x:si>
    <x:t xml:space="preserve">BO-4774</x:t>
  </x:si>
  <x:si>
    <x:t xml:space="preserve">CRUZADO DIAZ ROSA</x:t>
  </x:si>
  <x:si>
    <x:t xml:space="preserve">47517262</x:t>
  </x:si>
  <x:si>
    <x:t xml:space="preserve">0074040</x:t>
  </x:si>
  <x:si>
    <x:t xml:space="preserve">929483131</x:t>
  </x:si>
  <x:si>
    <x:t xml:space="preserve">93697</x:t>
  </x:si>
  <x:si>
    <x:t xml:space="preserve">107477</x:t>
  </x:si>
  <x:si>
    <x:t xml:space="preserve">4780</x:t>
  </x:si>
  <x:si>
    <x:t xml:space="preserve">BO-4780</x:t>
  </x:si>
  <x:si>
    <x:t xml:space="preserve">SUCASAIRE INFANTES DELCI YANINA</x:t>
  </x:si>
  <x:si>
    <x:t xml:space="preserve">70202159</x:t>
  </x:si>
  <x:si>
    <x:t xml:space="preserve">0067005</x:t>
  </x:si>
  <x:si>
    <x:t xml:space="preserve"> 970175745</x:t>
  </x:si>
  <x:si>
    <x:t xml:space="preserve">93734</x:t>
  </x:si>
  <x:si>
    <x:t xml:space="preserve">107524</x:t>
  </x:si>
  <x:si>
    <x:t xml:space="preserve">295</x:t>
  </x:si>
  <x:si>
    <x:t xml:space="preserve">FA-295</x:t>
  </x:si>
  <x:si>
    <x:t xml:space="preserve">EVANGELISTA RODRIGUEZ MARIAFE OLENKA</x:t>
  </x:si>
  <x:si>
    <x:t xml:space="preserve">75423022</x:t>
  </x:si>
  <x:si>
    <x:t xml:space="preserve">0074068</x:t>
  </x:si>
  <x:si>
    <x:t xml:space="preserve">+51997225099</x:t>
  </x:si>
  <x:si>
    <x:t xml:space="preserve">EVANGELISTA PASTOR CESAR</x:t>
  </x:si>
  <x:si>
    <x:t xml:space="preserve">93761</x:t>
  </x:si>
  <x:si>
    <x:t xml:space="preserve">107543</x:t>
  </x:si>
  <x:si>
    <x:t xml:space="preserve">805</x:t>
  </x:si>
  <x:si>
    <x:t xml:space="preserve">BO-805</x:t>
  </x:si>
  <x:si>
    <x:t xml:space="preserve">MCCORD MCCORD JAMES THEODORT</x:t>
  </x:si>
  <x:si>
    <x:t xml:space="preserve">595465475</x:t>
  </x:si>
  <x:si>
    <x:t xml:space="preserve">0074073</x:t>
  </x:si>
  <x:si>
    <x:t xml:space="preserve">986788412</x:t>
  </x:si>
  <x:si>
    <x:t xml:space="preserve">93759</x:t>
  </x:si>
  <x:si>
    <x:t xml:space="preserve">107593</x:t>
  </x:si>
  <x:si>
    <x:t xml:space="preserve">12768</x:t>
  </x:si>
  <x:si>
    <x:t xml:space="preserve">BO-12768</x:t>
  </x:si>
  <x:si>
    <x:t xml:space="preserve">RIVADENEIRA DE VIDAL ENCARNACION</x:t>
  </x:si>
  <x:si>
    <x:t xml:space="preserve">17587243</x:t>
  </x:si>
  <x:si>
    <x:t xml:space="preserve">0062310</x:t>
  </x:si>
  <x:si>
    <x:t xml:space="preserve">988603417</x:t>
  </x:si>
  <x:si>
    <x:t xml:space="preserve">93787</x:t>
  </x:si>
  <x:si>
    <x:t xml:space="preserve">107601</x:t>
  </x:si>
  <x:si>
    <x:t xml:space="preserve">12771</x:t>
  </x:si>
  <x:si>
    <x:t xml:space="preserve">BO-12771</x:t>
  </x:si>
  <x:si>
    <x:t xml:space="preserve">MANDUJANO QUIROZ FLORENCIA ZOILA</x:t>
  </x:si>
  <x:si>
    <x:t xml:space="preserve">10496297</x:t>
  </x:si>
  <x:si>
    <x:t xml:space="preserve">0074083</x:t>
  </x:si>
  <x:si>
    <x:t xml:space="preserve">+51907236888</x:t>
  </x:si>
  <x:si>
    <x:t xml:space="preserve">93828</x:t>
  </x:si>
  <x:si>
    <x:t xml:space="preserve">107607</x:t>
  </x:si>
  <x:si>
    <x:t xml:space="preserve">809</x:t>
  </x:si>
  <x:si>
    <x:t xml:space="preserve">BO-809</x:t>
  </x:si>
  <x:si>
    <x:t xml:space="preserve">LLANOS SILVA FERNANDO</x:t>
  </x:si>
  <x:si>
    <x:t xml:space="preserve">73068046</x:t>
  </x:si>
  <x:si>
    <x:t xml:space="preserve">0074079</x:t>
  </x:si>
  <x:si>
    <x:t xml:space="preserve">+51902826252</x:t>
  </x:si>
  <x:si>
    <x:t xml:space="preserve">93829</x:t>
  </x:si>
  <x:si>
    <x:t xml:space="preserve">107669</x:t>
  </x:si>
  <x:si>
    <x:t xml:space="preserve">5282</x:t>
  </x:si>
  <x:si>
    <x:t xml:space="preserve">BO-5282</x:t>
  </x:si>
  <x:si>
    <x:t xml:space="preserve">PUENTE BLANCO STEVE JESUS</x:t>
  </x:si>
  <x:si>
    <x:t xml:space="preserve">71217456</x:t>
  </x:si>
  <x:si>
    <x:t xml:space="preserve">0074118</x:t>
  </x:si>
  <x:si>
    <x:t xml:space="preserve">991633023</x:t>
  </x:si>
  <x:si>
    <x:t xml:space="preserve">93868</x:t>
  </x:si>
  <x:si>
    <x:t xml:space="preserve">107699</x:t>
  </x:si>
  <x:si>
    <x:t xml:space="preserve">12784</x:t>
  </x:si>
  <x:si>
    <x:t xml:space="preserve">BO-12784</x:t>
  </x:si>
  <x:si>
    <x:t xml:space="preserve">TALAVERA DE LA VEGA EUGENIA</x:t>
  </x:si>
  <x:si>
    <x:t xml:space="preserve">06594275</x:t>
  </x:si>
  <x:si>
    <x:t xml:space="preserve">0074125</x:t>
  </x:si>
  <x:si>
    <x:t xml:space="preserve">900 541 123</x:t>
  </x:si>
  <x:si>
    <x:t xml:space="preserve">93891</x:t>
  </x:si>
  <x:si>
    <x:t xml:space="preserve">107720</x:t>
  </x:si>
  <x:si>
    <x:t xml:space="preserve">12788</x:t>
  </x:si>
  <x:si>
    <x:t xml:space="preserve">BO-12788</x:t>
  </x:si>
  <x:si>
    <x:t xml:space="preserve">VILCA QUISPE EUSEBIO</x:t>
  </x:si>
  <x:si>
    <x:t xml:space="preserve">02424637</x:t>
  </x:si>
  <x:si>
    <x:t xml:space="preserve">0074141</x:t>
  </x:si>
  <x:si>
    <x:t xml:space="preserve">923632310</x:t>
  </x:si>
  <x:si>
    <x:t xml:space="preserve">93904</x:t>
  </x:si>
  <x:si>
    <x:t xml:space="preserve">107735</x:t>
  </x:si>
  <x:si>
    <x:t xml:space="preserve">6502</x:t>
  </x:si>
  <x:si>
    <x:t xml:space="preserve">BO-6502</x:t>
  </x:si>
  <x:si>
    <x:t xml:space="preserve">TAFUR LÓPEZ ROSA ALCIRA</x:t>
  </x:si>
  <x:si>
    <x:t xml:space="preserve">33940447</x:t>
  </x:si>
  <x:si>
    <x:t xml:space="preserve">0074136</x:t>
  </x:si>
  <x:si>
    <x:t xml:space="preserve">999975704</x:t>
  </x:si>
  <x:si>
    <x:t xml:space="preserve">93893</x:t>
  </x:si>
  <x:si>
    <x:t xml:space="preserve">107749</x:t>
  </x:si>
  <x:si>
    <x:t xml:space="preserve">6510</x:t>
  </x:si>
  <x:si>
    <x:t xml:space="preserve">BO-6510</x:t>
  </x:si>
  <x:si>
    <x:t xml:space="preserve">ATANACIO CALATAYUD ENITH MERIAT</x:t>
  </x:si>
  <x:si>
    <x:t xml:space="preserve">72973383</x:t>
  </x:si>
  <x:si>
    <x:t xml:space="preserve">0074150</x:t>
  </x:si>
  <x:si>
    <x:t xml:space="preserve">994058761</x:t>
  </x:si>
  <x:si>
    <x:t xml:space="preserve">93941</x:t>
  </x:si>
  <x:si>
    <x:t xml:space="preserve">107786</x:t>
  </x:si>
  <x:si>
    <x:t xml:space="preserve">12802</x:t>
  </x:si>
  <x:si>
    <x:t xml:space="preserve">BO-12802</x:t>
  </x:si>
  <x:si>
    <x:t xml:space="preserve">LUQUE PARIAPAZA FLORA MARIA</x:t>
  </x:si>
  <x:si>
    <x:t xml:space="preserve">01213009</x:t>
  </x:si>
  <x:si>
    <x:t xml:space="preserve">0074161</x:t>
  </x:si>
  <x:si>
    <x:t xml:space="preserve">920759561</x:t>
  </x:si>
  <x:si>
    <x:t xml:space="preserve">93947</x:t>
  </x:si>
  <x:si>
    <x:t xml:space="preserve">107803</x:t>
  </x:si>
  <x:si>
    <x:t xml:space="preserve">4823</x:t>
  </x:si>
  <x:si>
    <x:t xml:space="preserve">BO-4823</x:t>
  </x:si>
  <x:si>
    <x:t xml:space="preserve">BURGOS CRUZADO STEFANY MIRTHA</x:t>
  </x:si>
  <x:si>
    <x:t xml:space="preserve">40207653</x:t>
  </x:si>
  <x:si>
    <x:t xml:space="preserve">0074162</x:t>
  </x:si>
  <x:si>
    <x:t xml:space="preserve">906734025</x:t>
  </x:si>
  <x:si>
    <x:t xml:space="preserve">93964</x:t>
  </x:si>
  <x:si>
    <x:t xml:space="preserve">107826</x:t>
  </x:si>
  <x:si>
    <x:t xml:space="preserve">12805</x:t>
  </x:si>
  <x:si>
    <x:t xml:space="preserve">BO-12805</x:t>
  </x:si>
  <x:si>
    <x:t xml:space="preserve">ANCHANTE BERNAL CARLOS ERICK</x:t>
  </x:si>
  <x:si>
    <x:t xml:space="preserve">09413694</x:t>
  </x:si>
  <x:si>
    <x:t xml:space="preserve">0039209</x:t>
  </x:si>
  <x:si>
    <x:t xml:space="preserve">993447646</x:t>
  </x:si>
  <x:si>
    <x:t xml:space="preserve">93931</x:t>
  </x:si>
  <x:si>
    <x:t xml:space="preserve">ARAMBURU CASTRO HUGO ANIBAL</x:t>
  </x:si>
  <x:si>
    <x:t xml:space="preserve">107850</x:t>
  </x:si>
  <x:si>
    <x:t xml:space="preserve">12807</x:t>
  </x:si>
  <x:si>
    <x:t xml:space="preserve">BO-12807</x:t>
  </x:si>
  <x:si>
    <x:t xml:space="preserve">CARBAJAL CAJAS DARIO EDUARDO</x:t>
  </x:si>
  <x:si>
    <x:t xml:space="preserve">08074108</x:t>
  </x:si>
  <x:si>
    <x:t xml:space="preserve">0074004</x:t>
  </x:si>
  <x:si>
    <x:t xml:space="preserve">989329577</x:t>
  </x:si>
  <x:si>
    <x:t xml:space="preserve">93647</x:t>
  </x:si>
  <x:si>
    <x:t xml:space="preserve">107950</x:t>
  </x:si>
  <x:si>
    <x:t xml:space="preserve">606</x:t>
  </x:si>
  <x:si>
    <x:t xml:space="preserve">BO-606</x:t>
  </x:si>
  <x:si>
    <x:t xml:space="preserve">MCMAHAN . MONICA PATRICIA</x:t>
  </x:si>
  <x:si>
    <x:t xml:space="preserve">A79581721</x:t>
  </x:si>
  <x:si>
    <x:t xml:space="preserve">0074289</x:t>
  </x:si>
  <x:si>
    <x:t xml:space="preserve">943619485</x:t>
  </x:si>
  <x:si>
    <x:t xml:space="preserve">94098</x:t>
  </x:si>
  <x:si>
    <x:t xml:space="preserve">107971</x:t>
  </x:si>
  <x:si>
    <x:t xml:space="preserve">635</x:t>
  </x:si>
  <x:si>
    <x:t xml:space="preserve">FA-635</x:t>
  </x:si>
  <x:si>
    <x:t xml:space="preserve">93933</x:t>
  </x:si>
  <x:si>
    <x:t xml:space="preserve">107991</x:t>
  </x:si>
  <x:si>
    <x:t xml:space="preserve">1152</x:t>
  </x:si>
  <x:si>
    <x:t xml:space="preserve">FA-1152</x:t>
  </x:si>
  <x:si>
    <x:t xml:space="preserve">GENG CHIONG JAVIER</x:t>
  </x:si>
  <x:si>
    <x:t xml:space="preserve">07922805</x:t>
  </x:si>
  <x:si>
    <x:t xml:space="preserve">0053297</x:t>
  </x:si>
  <x:si>
    <x:t xml:space="preserve">940220575</x:t>
  </x:si>
  <x:si>
    <x:t xml:space="preserve">94139</x:t>
  </x:si>
  <x:si>
    <x:t xml:space="preserve">107999</x:t>
  </x:si>
  <x:si>
    <x:t xml:space="preserve">FA-636</x:t>
  </x:si>
  <x:si>
    <x:t xml:space="preserve">CHUGNAS GALAN ANTONIO</x:t>
  </x:si>
  <x:si>
    <x:t xml:space="preserve">06837782</x:t>
  </x:si>
  <x:si>
    <x:t xml:space="preserve">0074123</x:t>
  </x:si>
  <x:si>
    <x:t xml:space="preserve">993955341</x:t>
  </x:si>
  <x:si>
    <x:t xml:space="preserve">93934</x:t>
  </x:si>
  <x:si>
    <x:t xml:space="preserve">108011</x:t>
  </x:si>
  <x:si>
    <x:t xml:space="preserve">5311</x:t>
  </x:si>
  <x:si>
    <x:t xml:space="preserve">BO-5311</x:t>
  </x:si>
  <x:si>
    <x:t xml:space="preserve">RAMOS DAMASO JAVIER</x:t>
  </x:si>
  <x:si>
    <x:t xml:space="preserve">09787417</x:t>
  </x:si>
  <x:si>
    <x:t xml:space="preserve">0074314</x:t>
  </x:si>
  <x:si>
    <x:t xml:space="preserve">990590084</x:t>
  </x:si>
  <x:si>
    <x:t xml:space="preserve">94153</x:t>
  </x:si>
  <x:si>
    <x:t xml:space="preserve">107979</x:t>
  </x:si>
  <x:si>
    <x:t xml:space="preserve">1150</x:t>
  </x:si>
  <x:si>
    <x:t xml:space="preserve">FA-1150</x:t>
  </x:si>
  <x:si>
    <x:t xml:space="preserve">VEGA DE CAYLLAHUA JUANA ISIDORA</x:t>
  </x:si>
  <x:si>
    <x:t xml:space="preserve">10071840</x:t>
  </x:si>
  <x:si>
    <x:t xml:space="preserve">0074274</x:t>
  </x:si>
  <x:si>
    <x:t xml:space="preserve">981 349 937</x:t>
  </x:si>
  <x:si>
    <x:t xml:space="preserve">C &amp; E CONTROL ELECTRIC S.A.C.</x:t>
  </x:si>
  <x:si>
    <x:t xml:space="preserve">94093</x:t>
  </x:si>
  <x:si>
    <x:t xml:space="preserve">108004</x:t>
  </x:si>
  <x:si>
    <x:t xml:space="preserve">12834</x:t>
  </x:si>
  <x:si>
    <x:t xml:space="preserve">BO-12834</x:t>
  </x:si>
  <x:si>
    <x:t xml:space="preserve">CASTAÑEDA SANCHEZ JOSELITO</x:t>
  </x:si>
  <x:si>
    <x:t xml:space="preserve">42488186</x:t>
  </x:si>
  <x:si>
    <x:t xml:space="preserve">0073965</x:t>
  </x:si>
  <x:si>
    <x:t xml:space="preserve">982 711 959</x:t>
  </x:si>
  <x:si>
    <x:t xml:space="preserve">94133</x:t>
  </x:si>
  <x:si>
    <x:t xml:space="preserve">108028</x:t>
  </x:si>
  <x:si>
    <x:t xml:space="preserve">BO-612</x:t>
  </x:si>
  <x:si>
    <x:t xml:space="preserve">GUTIERREZ ANDRADE XIOMARA NAOMI ITZAYA</x:t>
  </x:si>
  <x:si>
    <x:t xml:space="preserve">78038675</x:t>
  </x:si>
  <x:si>
    <x:t xml:space="preserve">0073859</x:t>
  </x:si>
  <x:si>
    <x:t xml:space="preserve">9921263522</x:t>
  </x:si>
  <x:si>
    <x:t xml:space="preserve">93503</x:t>
  </x:si>
  <x:si>
    <x:t xml:space="preserve">108072</x:t>
  </x:si>
  <x:si>
    <x:t xml:space="preserve">4852</x:t>
  </x:si>
  <x:si>
    <x:t xml:space="preserve">BO-4852</x:t>
  </x:si>
  <x:si>
    <x:t xml:space="preserve">GRANADOS LASTRA MIGUEL FABRIZZIO</x:t>
  </x:si>
  <x:si>
    <x:t xml:space="preserve">71017687</x:t>
  </x:si>
  <x:si>
    <x:t xml:space="preserve">CERNA TAFUR ELAR LALO</x:t>
  </x:si>
  <x:si>
    <x:t xml:space="preserve">0074302</x:t>
  </x:si>
  <x:si>
    <x:t xml:space="preserve">940171092</x:t>
  </x:si>
  <x:si>
    <x:t xml:space="preserve">94192</x:t>
  </x:si>
  <x:si>
    <x:t xml:space="preserve">108091</x:t>
  </x:si>
  <x:si>
    <x:t xml:space="preserve">621</x:t>
  </x:si>
  <x:si>
    <x:t xml:space="preserve">BO-621</x:t>
  </x:si>
  <x:si>
    <x:t xml:space="preserve">MARTINEZ SEDANO JUAN ANTONIO</x:t>
  </x:si>
  <x:si>
    <x:t xml:space="preserve">48281746</x:t>
  </x:si>
  <x:si>
    <x:t xml:space="preserve">0074334</x:t>
  </x:si>
  <x:si>
    <x:t xml:space="preserve">994148960</x:t>
  </x:si>
  <x:si>
    <x:t xml:space="preserve">94195</x:t>
  </x:si>
  <x:si>
    <x:t xml:space="preserve">108092</x:t>
  </x:si>
  <x:si>
    <x:t xml:space="preserve">622</x:t>
  </x:si>
  <x:si>
    <x:t xml:space="preserve">BO-622</x:t>
  </x:si>
  <x:si>
    <x:t xml:space="preserve">94221</x:t>
  </x:si>
  <x:si>
    <x:t xml:space="preserve">108115</x:t>
  </x:si>
  <x:si>
    <x:t xml:space="preserve">4860</x:t>
  </x:si>
  <x:si>
    <x:t xml:space="preserve">BO-4860</x:t>
  </x:si>
  <x:si>
    <x:t xml:space="preserve">PEREZ VARGAS DE CERVANTES CATALINA</x:t>
  </x:si>
  <x:si>
    <x:t xml:space="preserve">10290922</x:t>
  </x:si>
  <x:si>
    <x:t xml:space="preserve">0073998</x:t>
  </x:si>
  <x:si>
    <x:t xml:space="preserve">906788510</x:t>
  </x:si>
  <x:si>
    <x:t xml:space="preserve">93770</x:t>
  </x:si>
  <x:si>
    <x:t xml:space="preserve">108234</x:t>
  </x:si>
  <x:si>
    <x:t xml:space="preserve">6552</x:t>
  </x:si>
  <x:si>
    <x:t xml:space="preserve">BO-6552</x:t>
  </x:si>
  <x:si>
    <x:t xml:space="preserve">99999999</x:t>
  </x:si>
  <x:si>
    <x:t xml:space="preserve">94119</x:t>
  </x:si>
  <x:si>
    <x:t xml:space="preserve">108170</x:t>
  </x:si>
  <x:si>
    <x:t xml:space="preserve">631</x:t>
  </x:si>
  <x:si>
    <x:t xml:space="preserve">BO-631</x:t>
  </x:si>
  <x:si>
    <x:t xml:space="preserve">ROJAS LOBO ISABEL</x:t>
  </x:si>
  <x:si>
    <x:t xml:space="preserve">28800154</x:t>
  </x:si>
  <x:si>
    <x:t xml:space="preserve">0074253</x:t>
  </x:si>
  <x:si>
    <x:t xml:space="preserve">996627600</x:t>
  </x:si>
  <x:si>
    <x:t xml:space="preserve">94261</x:t>
  </x:si>
  <x:si>
    <x:t xml:space="preserve">108210</x:t>
  </x:si>
  <x:si>
    <x:t xml:space="preserve">638</x:t>
  </x:si>
  <x:si>
    <x:t xml:space="preserve">BO-638</x:t>
  </x:si>
  <x:si>
    <x:t xml:space="preserve">COHELO MEDINA SADITH</x:t>
  </x:si>
  <x:si>
    <x:t xml:space="preserve">10367024</x:t>
  </x:si>
  <x:si>
    <x:t xml:space="preserve">0074370</x:t>
  </x:si>
  <x:si>
    <x:t xml:space="preserve">993364279</x:t>
  </x:si>
  <x:si>
    <x:t xml:space="preserve">94291</x:t>
  </x:si>
  <x:si>
    <x:t xml:space="preserve">108218</x:t>
  </x:si>
  <x:si>
    <x:t xml:space="preserve">1154</x:t>
  </x:si>
  <x:si>
    <x:t xml:space="preserve">FA-1154</x:t>
  </x:si>
  <x:si>
    <x:t xml:space="preserve">MAYNETTO VILCHEZ BRENDA DANIELA</x:t>
  </x:si>
  <x:si>
    <x:t xml:space="preserve">72404326</x:t>
  </x:si>
  <x:si>
    <x:t xml:space="preserve">0074244</x:t>
  </x:si>
  <x:si>
    <x:t xml:space="preserve">956249011</x:t>
  </x:si>
  <x:si>
    <x:t xml:space="preserve">ECOBEBIDAS E INFUSIONES PERUANAS S.A.C.</x:t>
  </x:si>
  <x:si>
    <x:t xml:space="preserve">94308</x:t>
  </x:si>
  <x:si>
    <x:t xml:space="preserve">108276</x:t>
  </x:si>
  <x:si>
    <x:t xml:space="preserve">5329</x:t>
  </x:si>
  <x:si>
    <x:t xml:space="preserve">BO-5329</x:t>
  </x:si>
  <x:si>
    <x:t xml:space="preserve">VILLANUEVA CASTRO TEODORO RICARDO</x:t>
  </x:si>
  <x:si>
    <x:t xml:space="preserve">15975868</x:t>
  </x:si>
  <x:si>
    <x:t xml:space="preserve">0074385</x:t>
  </x:si>
  <x:si>
    <x:t xml:space="preserve">985631014</x:t>
  </x:si>
  <x:si>
    <x:t xml:space="preserve">94358</x:t>
  </x:si>
  <x:si>
    <x:t xml:space="preserve">108288</x:t>
  </x:si>
  <x:si>
    <x:t xml:space="preserve">5331</x:t>
  </x:si>
  <x:si>
    <x:t xml:space="preserve">BO-5331</x:t>
  </x:si>
  <x:si>
    <x:t xml:space="preserve">VERDE VARA ROBERTA LICARIA</x:t>
  </x:si>
  <x:si>
    <x:t xml:space="preserve">08171858</x:t>
  </x:si>
  <x:si>
    <x:t xml:space="preserve">0074397</x:t>
  </x:si>
  <x:si>
    <x:t xml:space="preserve">995486216</x:t>
  </x:si>
  <x:si>
    <x:t xml:space="preserve">94369</x:t>
  </x:si>
  <x:si>
    <x:t xml:space="preserve">108315</x:t>
  </x:si>
  <x:si>
    <x:t xml:space="preserve">4889</x:t>
  </x:si>
  <x:si>
    <x:t xml:space="preserve">BO-4889</x:t>
  </x:si>
  <x:si>
    <x:t xml:space="preserve">GARCIA ESCOBEDO ANA SOLEDAD</x:t>
  </x:si>
  <x:si>
    <x:t xml:space="preserve">06061002</x:t>
  </x:si>
  <x:si>
    <x:t xml:space="preserve">0074417</x:t>
  </x:si>
  <x:si>
    <x:t xml:space="preserve">957732218</x:t>
  </x:si>
  <x:si>
    <x:t xml:space="preserve">94396</x:t>
  </x:si>
  <x:si>
    <x:t xml:space="preserve">108327</x:t>
  </x:si>
  <x:si>
    <x:t xml:space="preserve">12865</x:t>
  </x:si>
  <x:si>
    <x:t xml:space="preserve">BO-12865</x:t>
  </x:si>
  <x:si>
    <x:t xml:space="preserve">PASACHE HUAMAN PEGGY</x:t>
  </x:si>
  <x:si>
    <x:t xml:space="preserve">10719214</x:t>
  </x:si>
  <x:si>
    <x:t xml:space="preserve">0074427</x:t>
  </x:si>
  <x:si>
    <x:t xml:space="preserve">942117814</x:t>
  </x:si>
  <x:si>
    <x:t xml:space="preserve">94409</x:t>
  </x:si>
  <x:si>
    <x:t xml:space="preserve">108332</x:t>
  </x:si>
  <x:si>
    <x:t xml:space="preserve">4890</x:t>
  </x:si>
  <x:si>
    <x:t xml:space="preserve">BO-4890</x:t>
  </x:si>
  <x:si>
    <x:t xml:space="preserve">ALMONTE MENESES VIRGINIA PILAR</x:t>
  </x:si>
  <x:si>
    <x:t xml:space="preserve">09169699</x:t>
  </x:si>
  <x:si>
    <x:t xml:space="preserve">0074428</x:t>
  </x:si>
  <x:si>
    <x:t xml:space="preserve">912150343</x:t>
  </x:si>
  <x:si>
    <x:t xml:space="preserve">94412</x:t>
  </x:si>
  <x:si>
    <x:t xml:space="preserve">108319</x:t>
  </x:si>
  <x:si>
    <x:t xml:space="preserve">849</x:t>
  </x:si>
  <x:si>
    <x:t xml:space="preserve">BO-849</x:t>
  </x:si>
  <x:si>
    <x:t xml:space="preserve">OCAS AJIFF MELVIN MANUEL</x:t>
  </x:si>
  <x:si>
    <x:t xml:space="preserve">47715986</x:t>
  </x:si>
  <x:si>
    <x:t xml:space="preserve">0074420</x:t>
  </x:si>
  <x:si>
    <x:t xml:space="preserve">976389748</x:t>
  </x:si>
  <x:si>
    <x:t xml:space="preserve">94401</x:t>
  </x:si>
  <x:si>
    <x:t xml:space="preserve">108269</x:t>
  </x:si>
  <x:si>
    <x:t xml:space="preserve">12166</x:t>
  </x:si>
  <x:si>
    <x:t xml:space="preserve">BO-12166</x:t>
  </x:si>
  <x:si>
    <x:t xml:space="preserve">ZUÑIGA DURAN JORGE DAVID</x:t>
  </x:si>
  <x:si>
    <x:t xml:space="preserve">09462964</x:t>
  </x:si>
  <x:si>
    <x:t xml:space="preserve">0074282</x:t>
  </x:si>
  <x:si>
    <x:t xml:space="preserve">969797807</x:t>
  </x:si>
  <x:si>
    <x:t xml:space="preserve">94164</x:t>
  </x:si>
  <x:si>
    <x:t xml:space="preserve">108297</x:t>
  </x:si>
  <x:si>
    <x:t xml:space="preserve">12862</x:t>
  </x:si>
  <x:si>
    <x:t xml:space="preserve">BO-12862</x:t>
  </x:si>
  <x:si>
    <x:t xml:space="preserve">GONZALES ALANIA BRUCE LEONCIO</x:t>
  </x:si>
  <x:si>
    <x:t xml:space="preserve">74099027</x:t>
  </x:si>
  <x:si>
    <x:t xml:space="preserve">0073643</x:t>
  </x:si>
  <x:si>
    <x:t xml:space="preserve">+51961863546</x:t>
  </x:si>
  <x:si>
    <x:t xml:space="preserve">93156</x:t>
  </x:si>
  <x:si>
    <x:t xml:space="preserve">108381</x:t>
  </x:si>
  <x:si>
    <x:t xml:space="preserve">6570</x:t>
  </x:si>
  <x:si>
    <x:t xml:space="preserve">BO-6570</x:t>
  </x:si>
  <x:si>
    <x:t xml:space="preserve">PITTMAN PARDO JORGE LUIS</x:t>
  </x:si>
  <x:si>
    <x:t xml:space="preserve">15704241</x:t>
  </x:si>
  <x:si>
    <x:t xml:space="preserve">0074333</x:t>
  </x:si>
  <x:si>
    <x:t xml:space="preserve">977907788</x:t>
  </x:si>
  <x:si>
    <x:t xml:space="preserve">94459</x:t>
  </x:si>
  <x:si>
    <x:t xml:space="preserve">108393</x:t>
  </x:si>
  <x:si>
    <x:t xml:space="preserve">12877</x:t>
  </x:si>
  <x:si>
    <x:t xml:space="preserve">BO-12877</x:t>
  </x:si>
  <x:si>
    <x:t xml:space="preserve">SIFUENTES AYVAR MIGUEL GUSTAVO</x:t>
  </x:si>
  <x:si>
    <x:t xml:space="preserve">09116590</x:t>
  </x:si>
  <x:si>
    <x:t xml:space="preserve">0074332</x:t>
  </x:si>
  <x:si>
    <x:t xml:space="preserve">986900490</x:t>
  </x:si>
  <x:si>
    <x:t xml:space="preserve">94467</x:t>
  </x:si>
  <x:si>
    <x:t xml:space="preserve">108418</x:t>
  </x:si>
  <x:si>
    <x:t xml:space="preserve">12879</x:t>
  </x:si>
  <x:si>
    <x:t xml:space="preserve">BO-12879</x:t>
  </x:si>
  <x:si>
    <x:t xml:space="preserve">PILLCO CONDORI FRANCISCA</x:t>
  </x:si>
  <x:si>
    <x:t xml:space="preserve">09959719</x:t>
  </x:si>
  <x:si>
    <x:t xml:space="preserve">0074461</x:t>
  </x:si>
  <x:si>
    <x:t xml:space="preserve">992298304</x:t>
  </x:si>
  <x:si>
    <x:t xml:space="preserve">94485</x:t>
  </x:si>
  <x:si>
    <x:t xml:space="preserve">108456</x:t>
  </x:si>
  <x:si>
    <x:t xml:space="preserve">639</x:t>
  </x:si>
  <x:si>
    <x:t xml:space="preserve">FA-639</x:t>
  </x:si>
  <x:si>
    <x:t xml:space="preserve">SOTO AMARO EDGAR MELGAR</x:t>
  </x:si>
  <x:si>
    <x:t xml:space="preserve">21087147</x:t>
  </x:si>
  <x:si>
    <x:t xml:space="preserve">0074405</x:t>
  </x:si>
  <x:si>
    <x:t xml:space="preserve">94434</x:t>
  </x:si>
  <x:si>
    <x:t xml:space="preserve">108457</x:t>
  </x:si>
  <x:si>
    <x:t xml:space="preserve">640</x:t>
  </x:si>
  <x:si>
    <x:t xml:space="preserve">FA-640</x:t>
  </x:si>
  <x:si>
    <x:t xml:space="preserve">94468</x:t>
  </x:si>
  <x:si>
    <x:t xml:space="preserve">108460</x:t>
  </x:si>
  <x:si>
    <x:t xml:space="preserve">641</x:t>
  </x:si>
  <x:si>
    <x:t xml:space="preserve">FA-641</x:t>
  </x:si>
  <x:si>
    <x:t xml:space="preserve">GIRON OSORIO JESUS ABILENE</x:t>
  </x:si>
  <x:si>
    <x:t xml:space="preserve">15217255</x:t>
  </x:si>
  <x:si>
    <x:t xml:space="preserve">0074474</x:t>
  </x:si>
  <x:si>
    <x:t xml:space="preserve">991914556</x:t>
  </x:si>
  <x:si>
    <x:t xml:space="preserve">EMPRESA DE TRANSPORTES Y SERVICIOS EL CASHI S.A.C.</x:t>
  </x:si>
  <x:si>
    <x:t xml:space="preserve">94516</x:t>
  </x:si>
  <x:si>
    <x:t xml:space="preserve">2499</x:t>
  </x:si>
  <x:si>
    <x:t xml:space="preserve">NC-641</x:t>
  </x:si>
  <x:si>
    <x:t xml:space="preserve">108461</x:t>
  </x:si>
  <x:si>
    <x:t xml:space="preserve">6579</x:t>
  </x:si>
  <x:si>
    <x:t xml:space="preserve">BO-6579</x:t>
  </x:si>
  <x:si>
    <x:t xml:space="preserve">PENAS CARBONEL YVAN</x:t>
  </x:si>
  <x:si>
    <x:t xml:space="preserve">72602441</x:t>
  </x:si>
  <x:si>
    <x:t xml:space="preserve">0074471</x:t>
  </x:si>
  <x:si>
    <x:t xml:space="preserve">994042823</x:t>
  </x:si>
  <x:si>
    <x:t xml:space="preserve">94511</x:t>
  </x:si>
  <x:si>
    <x:t xml:space="preserve">108555</x:t>
  </x:si>
  <x:si>
    <x:t xml:space="preserve">642</x:t>
  </x:si>
  <x:si>
    <x:t xml:space="preserve">FA-642</x:t>
  </x:si>
  <x:si>
    <x:t xml:space="preserve">CHILCA CORCINA ALEJANDRA VICTORIA</x:t>
  </x:si>
  <x:si>
    <x:t xml:space="preserve">33336194</x:t>
  </x:si>
  <x:si>
    <x:t xml:space="preserve">0074541</x:t>
  </x:si>
  <x:si>
    <x:t xml:space="preserve">959586293</x:t>
  </x:si>
  <x:si>
    <x:t xml:space="preserve">CORPORACION EMPRESARIAL CREATIV3 PUBLICIDAD &amp; MARKETING E.I.R.L.</x:t>
  </x:si>
  <x:si>
    <x:t xml:space="preserve">94606</x:t>
  </x:si>
  <x:si>
    <x:t xml:space="preserve">108553</x:t>
  </x:si>
  <x:si>
    <x:t xml:space="preserve">5366</x:t>
  </x:si>
  <x:si>
    <x:t xml:space="preserve">BO-5366</x:t>
  </x:si>
  <x:si>
    <x:t xml:space="preserve">VEGAZO LEON FRANCISCO JAVIER</x:t>
  </x:si>
  <x:si>
    <x:t xml:space="preserve">43385399</x:t>
  </x:si>
  <x:si>
    <x:t xml:space="preserve">0068862</x:t>
  </x:si>
  <x:si>
    <x:t xml:space="preserve">968150435</x:t>
  </x:si>
  <x:si>
    <x:t xml:space="preserve">94597</x:t>
  </x:si>
  <x:si>
    <x:t xml:space="preserve">Octubre</x:t>
  </x:si>
  <x:si>
    <x:t xml:space="preserve">108641</x:t>
  </x:si>
  <x:si>
    <x:t xml:space="preserve">5375</x:t>
  </x:si>
  <x:si>
    <x:t xml:space="preserve">BO-5375</x:t>
  </x:si>
  <x:si>
    <x:t xml:space="preserve">MIÑANO DE VALDERRAMA EMPERATRIZ REYNALDA</x:t>
  </x:si>
  <x:si>
    <x:t xml:space="preserve">32804300</x:t>
  </x:si>
  <x:si>
    <x:t xml:space="preserve">0074581</x:t>
  </x:si>
  <x:si>
    <x:t xml:space="preserve">965739583</x:t>
  </x:si>
  <x:si>
    <x:t xml:space="preserve">94658</x:t>
  </x:si>
  <x:si>
    <x:t xml:space="preserve">108642</x:t>
  </x:si>
  <x:si>
    <x:t xml:space="preserve">6605</x:t>
  </x:si>
  <x:si>
    <x:t xml:space="preserve">BO-6605</x:t>
  </x:si>
  <x:si>
    <x:t xml:space="preserve">COATA CHACA DE CRISOSTOMO JUANA FRANCISC</x:t>
  </x:si>
  <x:si>
    <x:t xml:space="preserve">08031684</x:t>
  </x:si>
  <x:si>
    <x:t xml:space="preserve">RAMIREZ ORBE JOSE LUIS</x:t>
  </x:si>
  <x:si>
    <x:t xml:space="preserve">0074580</x:t>
  </x:si>
  <x:si>
    <x:t xml:space="preserve">953030347</x:t>
  </x:si>
  <x:si>
    <x:t xml:space="preserve">94660</x:t>
  </x:si>
  <x:si>
    <x:t xml:space="preserve">108679</x:t>
  </x:si>
  <x:si>
    <x:t xml:space="preserve">6615</x:t>
  </x:si>
  <x:si>
    <x:t xml:space="preserve">BO-6615</x:t>
  </x:si>
  <x:si>
    <x:t xml:space="preserve">FEBRES DE GONZALES MIREYA JOSEFINA</x:t>
  </x:si>
  <x:si>
    <x:t xml:space="preserve">0067774000</x:t>
  </x:si>
  <x:si>
    <x:t xml:space="preserve">ZUAMETA DIAZ JOHNNY</x:t>
  </x:si>
  <x:si>
    <x:t xml:space="preserve">CLINICA VISUAL CENTER</x:t>
  </x:si>
  <x:si>
    <x:t xml:space="preserve">0074601</x:t>
  </x:si>
  <x:si>
    <x:t xml:space="preserve">952086245</x:t>
  </x:si>
  <x:si>
    <x:t xml:space="preserve">94695</x:t>
  </x:si>
  <x:si>
    <x:t xml:space="preserve">108686</x:t>
  </x:si>
  <x:si>
    <x:t xml:space="preserve">644</x:t>
  </x:si>
  <x:si>
    <x:t xml:space="preserve">FA-644</x:t>
  </x:si>
  <x:si>
    <x:t xml:space="preserve">94523</x:t>
  </x:si>
  <x:si>
    <x:t xml:space="preserve">108713</x:t>
  </x:si>
  <x:si>
    <x:t xml:space="preserve">645</x:t>
  </x:si>
  <x:si>
    <x:t xml:space="preserve">FA-645</x:t>
  </x:si>
  <x:si>
    <x:t xml:space="preserve">SANCHEZ MACIAS MILAGROS EFIGENIA</x:t>
  </x:si>
  <x:si>
    <x:t xml:space="preserve">08330728</x:t>
  </x:si>
  <x:si>
    <x:t xml:space="preserve">0074605</x:t>
  </x:si>
  <x:si>
    <x:t xml:space="preserve">991826691</x:t>
  </x:si>
  <x:si>
    <x:t xml:space="preserve">94718</x:t>
  </x:si>
  <x:si>
    <x:t xml:space="preserve">108714</x:t>
  </x:si>
  <x:si>
    <x:t xml:space="preserve">646</x:t>
  </x:si>
  <x:si>
    <x:t xml:space="preserve">FA-646</x:t>
  </x:si>
  <x:si>
    <x:t xml:space="preserve">HIDALGO GALLO LUIS</x:t>
  </x:si>
  <x:si>
    <x:t xml:space="preserve">25624796</x:t>
  </x:si>
  <x:si>
    <x:t xml:space="preserve">0074608</x:t>
  </x:si>
  <x:si>
    <x:t xml:space="preserve">902484097</x:t>
  </x:si>
  <x:si>
    <x:t xml:space="preserve">94719</x:t>
  </x:si>
  <x:si>
    <x:t xml:space="preserve">108773</x:t>
  </x:si>
  <x:si>
    <x:t xml:space="preserve">4942</x:t>
  </x:si>
  <x:si>
    <x:t xml:space="preserve">BO-4942</x:t>
  </x:si>
  <x:si>
    <x:t xml:space="preserve">VERA ALVAREZ LUIS MANUEL</x:t>
  </x:si>
  <x:si>
    <x:t xml:space="preserve">008280364</x:t>
  </x:si>
  <x:si>
    <x:t xml:space="preserve">0074649</x:t>
  </x:si>
  <x:si>
    <x:t xml:space="preserve">914026217</x:t>
  </x:si>
  <x:si>
    <x:t xml:space="preserve">94753</x:t>
  </x:si>
  <x:si>
    <x:t xml:space="preserve">108785</x:t>
  </x:si>
  <x:si>
    <x:t xml:space="preserve">5392</x:t>
  </x:si>
  <x:si>
    <x:t xml:space="preserve">BO-5392</x:t>
  </x:si>
  <x:si>
    <x:t xml:space="preserve">RAMIREZ FLORES JESUS</x:t>
  </x:si>
  <x:si>
    <x:t xml:space="preserve">01060530</x:t>
  </x:si>
  <x:si>
    <x:t xml:space="preserve">0074650</x:t>
  </x:si>
  <x:si>
    <x:t xml:space="preserve">951567713</x:t>
  </x:si>
  <x:si>
    <x:t xml:space="preserve">94763</x:t>
  </x:si>
  <x:si>
    <x:t xml:space="preserve">108784</x:t>
  </x:si>
  <x:si>
    <x:t xml:space="preserve">6630</x:t>
  </x:si>
  <x:si>
    <x:t xml:space="preserve">BO-6630</x:t>
  </x:si>
  <x:si>
    <x:t xml:space="preserve">ALVAREZ PALOMARES DE BALVIN VICTORIA FEL</x:t>
  </x:si>
  <x:si>
    <x:t xml:space="preserve">10515124</x:t>
  </x:si>
  <x:si>
    <x:t xml:space="preserve">0035336</x:t>
  </x:si>
  <x:si>
    <x:t xml:space="preserve">990072135</x:t>
  </x:si>
  <x:si>
    <x:t xml:space="preserve">94768</x:t>
  </x:si>
  <x:si>
    <x:t xml:space="preserve">108805</x:t>
  </x:si>
  <x:si>
    <x:t xml:space="preserve">6638</x:t>
  </x:si>
  <x:si>
    <x:t xml:space="preserve">BO-6638</x:t>
  </x:si>
  <x:si>
    <x:t xml:space="preserve">JIMENEZ SOSA PAULA</x:t>
  </x:si>
  <x:si>
    <x:t xml:space="preserve">33324952</x:t>
  </x:si>
  <x:si>
    <x:t xml:space="preserve">0074659</x:t>
  </x:si>
  <x:si>
    <x:t xml:space="preserve">932494908</x:t>
  </x:si>
  <x:si>
    <x:t xml:space="preserve">94788</x:t>
  </x:si>
  <x:si>
    <x:t xml:space="preserve">108809</x:t>
  </x:si>
  <x:si>
    <x:t xml:space="preserve">6640</x:t>
  </x:si>
  <x:si>
    <x:t xml:space="preserve">BO-6640</x:t>
  </x:si>
  <x:si>
    <x:t xml:space="preserve">CAMACHO TORRES ZACARIAS</x:t>
  </x:si>
  <x:si>
    <x:t xml:space="preserve">06943709</x:t>
  </x:si>
  <x:si>
    <x:t xml:space="preserve">0074660</x:t>
  </x:si>
  <x:si>
    <x:t xml:space="preserve">969197974</x:t>
  </x:si>
  <x:si>
    <x:t xml:space="preserve">94791</x:t>
  </x:si>
  <x:si>
    <x:t xml:space="preserve">108828</x:t>
  </x:si>
  <x:si>
    <x:t xml:space="preserve">677</x:t>
  </x:si>
  <x:si>
    <x:t xml:space="preserve">BO-677</x:t>
  </x:si>
  <x:si>
    <x:t xml:space="preserve">YAÑEZ CHUMBIAUCA CARMEN ROSA</x:t>
  </x:si>
  <x:si>
    <x:t xml:space="preserve">06134096</x:t>
  </x:si>
  <x:si>
    <x:t xml:space="preserve">0059771</x:t>
  </x:si>
  <x:si>
    <x:t xml:space="preserve">999978719</x:t>
  </x:si>
  <x:si>
    <x:t xml:space="preserve">94809</x:t>
  </x:si>
  <x:si>
    <x:t xml:space="preserve">108841</x:t>
  </x:si>
  <x:si>
    <x:t xml:space="preserve">4956</x:t>
  </x:si>
  <x:si>
    <x:t xml:space="preserve">BO-4956</x:t>
  </x:si>
  <x:si>
    <x:t xml:space="preserve">ZETA MEL JENNIFFER JACKELINNE</x:t>
  </x:si>
  <x:si>
    <x:t xml:space="preserve">43795973</x:t>
  </x:si>
  <x:si>
    <x:t xml:space="preserve">0074665</x:t>
  </x:si>
  <x:si>
    <x:t xml:space="preserve">980531832</x:t>
  </x:si>
  <x:si>
    <x:t xml:space="preserve">94814</x:t>
  </x:si>
  <x:si>
    <x:t xml:space="preserve">108844</x:t>
  </x:si>
  <x:si>
    <x:t xml:space="preserve">6646</x:t>
  </x:si>
  <x:si>
    <x:t xml:space="preserve">BO-6646</x:t>
  </x:si>
  <x:si>
    <x:t xml:space="preserve">SICHA MALDONADO AURELIA</x:t>
  </x:si>
  <x:si>
    <x:t xml:space="preserve">09316262</x:t>
  </x:si>
  <x:si>
    <x:t xml:space="preserve">0074662</x:t>
  </x:si>
  <x:si>
    <x:t xml:space="preserve">912229041</x:t>
  </x:si>
  <x:si>
    <x:t xml:space="preserve">94816</x:t>
  </x:si>
  <x:si>
    <x:t xml:space="preserve">108895</x:t>
  </x:si>
  <x:si>
    <x:t xml:space="preserve">6653</x:t>
  </x:si>
  <x:si>
    <x:t xml:space="preserve">BO-6653</x:t>
  </x:si>
  <x:si>
    <x:t xml:space="preserve">CARHUAS ZEVALLOS DE SOSA EUGRACIA</x:t>
  </x:si>
  <x:si>
    <x:t xml:space="preserve">10656308</x:t>
  </x:si>
  <x:si>
    <x:t xml:space="preserve">0039700</x:t>
  </x:si>
  <x:si>
    <x:t xml:space="preserve">972900016</x:t>
  </x:si>
  <x:si>
    <x:t xml:space="preserve">94853</x:t>
  </x:si>
  <x:si>
    <x:t xml:space="preserve">108899</x:t>
  </x:si>
  <x:si>
    <x:t xml:space="preserve">6656</x:t>
  </x:si>
  <x:si>
    <x:t xml:space="preserve">BO-6656</x:t>
  </x:si>
  <x:si>
    <x:t xml:space="preserve">HUANCA SOTO VILMA ELENA</x:t>
  </x:si>
  <x:si>
    <x:t xml:space="preserve">29591602</x:t>
  </x:si>
  <x:si>
    <x:t xml:space="preserve">0074683</x:t>
  </x:si>
  <x:si>
    <x:t xml:space="preserve">934077074</x:t>
  </x:si>
  <x:si>
    <x:t xml:space="preserve">94856</x:t>
  </x:si>
  <x:si>
    <x:t xml:space="preserve">108900</x:t>
  </x:si>
  <x:si>
    <x:t xml:space="preserve">6657</x:t>
  </x:si>
  <x:si>
    <x:t xml:space="preserve">BO-6657</x:t>
  </x:si>
  <x:si>
    <x:t xml:space="preserve">GONZALES DIAZ FLOR DE MARIA</x:t>
  </x:si>
  <x:si>
    <x:t xml:space="preserve">18167802</x:t>
  </x:si>
  <x:si>
    <x:t xml:space="preserve">0074594</x:t>
  </x:si>
  <x:si>
    <x:t xml:space="preserve">969902425</x:t>
  </x:si>
  <x:si>
    <x:t xml:space="preserve">94858</x:t>
  </x:si>
  <x:si>
    <x:t xml:space="preserve">108904</x:t>
  </x:si>
  <x:si>
    <x:t xml:space="preserve">6658</x:t>
  </x:si>
  <x:si>
    <x:t xml:space="preserve">BO-6658</x:t>
  </x:si>
  <x:si>
    <x:t xml:space="preserve">GONZALES LOPEZ DODITH</x:t>
  </x:si>
  <x:si>
    <x:t xml:space="preserve">22962666</x:t>
  </x:si>
  <x:si>
    <x:t xml:space="preserve">0074685</x:t>
  </x:si>
  <x:si>
    <x:t xml:space="preserve">991682385</x:t>
  </x:si>
  <x:si>
    <x:t xml:space="preserve">94860</x:t>
  </x:si>
  <x:si>
    <x:t xml:space="preserve">108943</x:t>
  </x:si>
  <x:si>
    <x:t xml:space="preserve">4973</x:t>
  </x:si>
  <x:si>
    <x:t xml:space="preserve">BO-4973</x:t>
  </x:si>
  <x:si>
    <x:t xml:space="preserve">LEON ALFARO FELIPE LEOVIGILDO</x:t>
  </x:si>
  <x:si>
    <x:t xml:space="preserve">06087395</x:t>
  </x:si>
  <x:si>
    <x:t xml:space="preserve">0074706</x:t>
  </x:si>
  <x:si>
    <x:t xml:space="preserve">994395210</x:t>
  </x:si>
  <x:si>
    <x:t xml:space="preserve">94892</x:t>
  </x:si>
  <x:si>
    <x:t xml:space="preserve">2504</x:t>
  </x:si>
  <x:si>
    <x:t xml:space="preserve">NC-4973</x:t>
  </x:si>
  <x:si>
    <x:t xml:space="preserve">109052</x:t>
  </x:si>
  <x:si>
    <x:t xml:space="preserve">12887</x:t>
  </x:si>
  <x:si>
    <x:t xml:space="preserve">BO-12887</x:t>
  </x:si>
  <x:si>
    <x:t xml:space="preserve">VILCHEZ CASTRO PORFIRIA</x:t>
  </x:si>
  <x:si>
    <x:t xml:space="preserve">21110329</x:t>
  </x:si>
  <x:si>
    <x:t xml:space="preserve">0074749</x:t>
  </x:si>
  <x:si>
    <x:t xml:space="preserve">949533549</x:t>
  </x:si>
  <x:si>
    <x:t xml:space="preserve">94977</x:t>
  </x:si>
  <x:si>
    <x:t xml:space="preserve">109057</x:t>
  </x:si>
  <x:si>
    <x:t xml:space="preserve">6668</x:t>
  </x:si>
  <x:si>
    <x:t xml:space="preserve">BO-6668</x:t>
  </x:si>
  <x:si>
    <x:t xml:space="preserve">94867</x:t>
  </x:si>
  <x:si>
    <x:t xml:space="preserve">CICLOFOTOCOAGULACION  </x:t>
  </x:si>
  <x:si>
    <x:t xml:space="preserve">109059</x:t>
  </x:si>
  <x:si>
    <x:t xml:space="preserve">648</x:t>
  </x:si>
  <x:si>
    <x:t xml:space="preserve">FA-648</x:t>
  </x:si>
  <x:si>
    <x:t xml:space="preserve">94983</x:t>
  </x:si>
  <x:si>
    <x:t xml:space="preserve">109060</x:t>
  </x:si>
  <x:si>
    <x:t xml:space="preserve">12888</x:t>
  </x:si>
  <x:si>
    <x:t xml:space="preserve">BO-12888</x:t>
  </x:si>
  <x:si>
    <x:t xml:space="preserve">CABANILLAS GUARNIZ MAGNA ROSA</x:t>
  </x:si>
  <x:si>
    <x:t xml:space="preserve">07810131</x:t>
  </x:si>
  <x:si>
    <x:t xml:space="preserve">0074755</x:t>
  </x:si>
  <x:si>
    <x:t xml:space="preserve">999795662</x:t>
  </x:si>
  <x:si>
    <x:t xml:space="preserve">94985</x:t>
  </x:si>
  <x:si>
    <x:t xml:space="preserve">109062</x:t>
  </x:si>
  <x:si>
    <x:t xml:space="preserve">6669</x:t>
  </x:si>
  <x:si>
    <x:t xml:space="preserve">BO-6669</x:t>
  </x:si>
  <x:si>
    <x:t xml:space="preserve">CHIROQUE GONZALES JUAN ALBERTO</x:t>
  </x:si>
  <x:si>
    <x:t xml:space="preserve">15603502</x:t>
  </x:si>
  <x:si>
    <x:t xml:space="preserve">0057121</x:t>
  </x:si>
  <x:si>
    <x:t xml:space="preserve">945882132</x:t>
  </x:si>
  <x:si>
    <x:t xml:space="preserve">94990</x:t>
  </x:si>
  <x:si>
    <x:t xml:space="preserve">109073</x:t>
  </x:si>
  <x:si>
    <x:t xml:space="preserve">12891</x:t>
  </x:si>
  <x:si>
    <x:t xml:space="preserve">BO-12891</x:t>
  </x:si>
  <x:si>
    <x:t xml:space="preserve">VASQUEZ ROJAS WALTER</x:t>
  </x:si>
  <x:si>
    <x:t xml:space="preserve">09939737</x:t>
  </x:si>
  <x:si>
    <x:t xml:space="preserve">LUNA MAGGI</x:t>
  </x:si>
  <x:si>
    <x:t xml:space="preserve">0074758</x:t>
  </x:si>
  <x:si>
    <x:t xml:space="preserve">998963245</x:t>
  </x:si>
  <x:si>
    <x:t xml:space="preserve">95001</x:t>
  </x:si>
  <x:si>
    <x:t xml:space="preserve">109122</x:t>
  </x:si>
  <x:si>
    <x:t xml:space="preserve">651</x:t>
  </x:si>
  <x:si>
    <x:t xml:space="preserve">FA-651</x:t>
  </x:si>
  <x:si>
    <x:t xml:space="preserve">94900</x:t>
  </x:si>
  <x:si>
    <x:t xml:space="preserve">109123</x:t>
  </x:si>
  <x:si>
    <x:t xml:space="preserve">652</x:t>
  </x:si>
  <x:si>
    <x:t xml:space="preserve">FA-652</x:t>
  </x:si>
  <x:si>
    <x:t xml:space="preserve">GRANDE ESPINOZA ANA MARIA</x:t>
  </x:si>
  <x:si>
    <x:t xml:space="preserve">09396234</x:t>
  </x:si>
  <x:si>
    <x:t xml:space="preserve">0074663</x:t>
  </x:si>
  <x:si>
    <x:t xml:space="preserve">94899</x:t>
  </x:si>
  <x:si>
    <x:t xml:space="preserve">109125</x:t>
  </x:si>
  <x:si>
    <x:t xml:space="preserve">653</x:t>
  </x:si>
  <x:si>
    <x:t xml:space="preserve">FA-653</x:t>
  </x:si>
  <x:si>
    <x:t xml:space="preserve">ARTICA SALCEDO ANGELA RUBY</x:t>
  </x:si>
  <x:si>
    <x:t xml:space="preserve">76808241</x:t>
  </x:si>
  <x:si>
    <x:t xml:space="preserve">0074270</x:t>
  </x:si>
  <x:si>
    <x:t xml:space="preserve">94237</x:t>
  </x:si>
  <x:si>
    <x:t xml:space="preserve">109126</x:t>
  </x:si>
  <x:si>
    <x:t xml:space="preserve">654</x:t>
  </x:si>
  <x:si>
    <x:t xml:space="preserve">FA-654</x:t>
  </x:si>
  <x:si>
    <x:t xml:space="preserve">95040</x:t>
  </x:si>
  <x:si>
    <x:t xml:space="preserve">109138</x:t>
  </x:si>
  <x:si>
    <x:t xml:space="preserve">1155</x:t>
  </x:si>
  <x:si>
    <x:t xml:space="preserve">FA-1155</x:t>
  </x:si>
  <x:si>
    <x:t xml:space="preserve">RIVAS LOPEZ GABRIELA</x:t>
  </x:si>
  <x:si>
    <x:t xml:space="preserve">75546732</x:t>
  </x:si>
  <x:si>
    <x:t xml:space="preserve">0074733</x:t>
  </x:si>
  <x:si>
    <x:t xml:space="preserve">95025</x:t>
  </x:si>
  <x:si>
    <x:t xml:space="preserve">109219</x:t>
  </x:si>
  <x:si>
    <x:t xml:space="preserve">655</x:t>
  </x:si>
  <x:si>
    <x:t xml:space="preserve">FA-655</x:t>
  </x:si>
  <x:si>
    <x:t xml:space="preserve">95105</x:t>
  </x:si>
  <x:si>
    <x:t xml:space="preserve">109221</x:t>
  </x:si>
  <x:si>
    <x:t xml:space="preserve">656</x:t>
  </x:si>
  <x:si>
    <x:t xml:space="preserve">FA-656</x:t>
  </x:si>
  <x:si>
    <x:t xml:space="preserve">94906</x:t>
  </x:si>
  <x:si>
    <x:t xml:space="preserve">109243</x:t>
  </x:si>
  <x:si>
    <x:t xml:space="preserve">6685</x:t>
  </x:si>
  <x:si>
    <x:t xml:space="preserve">BO-6685</x:t>
  </x:si>
  <x:si>
    <x:t xml:space="preserve">TORRES POVIS JORGE EDUARDO</x:t>
  </x:si>
  <x:si>
    <x:t xml:space="preserve">07650246</x:t>
  </x:si>
  <x:si>
    <x:t xml:space="preserve">0074828</x:t>
  </x:si>
  <x:si>
    <x:t xml:space="preserve">953906910</x:t>
  </x:si>
  <x:si>
    <x:t xml:space="preserve">95116</x:t>
  </x:si>
  <x:si>
    <x:t xml:space="preserve">109349</x:t>
  </x:si>
  <x:si>
    <x:t xml:space="preserve">5029</x:t>
  </x:si>
  <x:si>
    <x:t xml:space="preserve">BO-5029</x:t>
  </x:si>
  <x:si>
    <x:t xml:space="preserve">LUCAS VARGAS MARYORI BRAYIT</x:t>
  </x:si>
  <x:si>
    <x:t xml:space="preserve">74526831</x:t>
  </x:si>
  <x:si>
    <x:t xml:space="preserve">0074857</x:t>
  </x:si>
  <x:si>
    <x:t xml:space="preserve">910088155</x:t>
  </x:si>
  <x:si>
    <x:t xml:space="preserve">95205</x:t>
  </x:si>
  <x:si>
    <x:t xml:space="preserve">109352</x:t>
  </x:si>
  <x:si>
    <x:t xml:space="preserve">12950</x:t>
  </x:si>
  <x:si>
    <x:t xml:space="preserve">BO-12950</x:t>
  </x:si>
  <x:si>
    <x:t xml:space="preserve">CARDENAS RAMIREZ VICTORIA EUSTAQUIA</x:t>
  </x:si>
  <x:si>
    <x:t xml:space="preserve">06282971</x:t>
  </x:si>
  <x:si>
    <x:t xml:space="preserve">0053305</x:t>
  </x:si>
  <x:si>
    <x:t xml:space="preserve">986843273</x:t>
  </x:si>
  <x:si>
    <x:t xml:space="preserve">95206</x:t>
  </x:si>
  <x:si>
    <x:t xml:space="preserve">109402</x:t>
  </x:si>
  <x:si>
    <x:t xml:space="preserve">5035</x:t>
  </x:si>
  <x:si>
    <x:t xml:space="preserve">BO-5035</x:t>
  </x:si>
  <x:si>
    <x:t xml:space="preserve">TRUJILLO ESPINOZA AGUSTIN</x:t>
  </x:si>
  <x:si>
    <x:t xml:space="preserve">32283126</x:t>
  </x:si>
  <x:si>
    <x:t xml:space="preserve">0074877</x:t>
  </x:si>
  <x:si>
    <x:t xml:space="preserve">931742908</x:t>
  </x:si>
  <x:si>
    <x:t xml:space="preserve">95240</x:t>
  </x:si>
  <x:si>
    <x:t xml:space="preserve">109481</x:t>
  </x:si>
  <x:si>
    <x:t xml:space="preserve">1156</x:t>
  </x:si>
  <x:si>
    <x:t xml:space="preserve">FA-1156</x:t>
  </x:si>
  <x:si>
    <x:t xml:space="preserve">DEL VALLE RODRIGUEZ NERIALIS</x:t>
  </x:si>
  <x:si>
    <x:t xml:space="preserve">179346857</x:t>
  </x:si>
  <x:si>
    <x:t xml:space="preserve">SOTOMAYOR MAGUIÑA EFREN</x:t>
  </x:si>
  <x:si>
    <x:t xml:space="preserve">0074858</x:t>
  </x:si>
  <x:si>
    <x:t xml:space="preserve">967897928</x:t>
  </x:si>
  <x:si>
    <x:t xml:space="preserve">INSTITUTO DE OJOS MULTIVISION SOCIEDAD ANONIMA</x:t>
  </x:si>
  <x:si>
    <x:t xml:space="preserve">95277</x:t>
  </x:si>
  <x:si>
    <x:t xml:space="preserve">REPORTE DE FACTURACIÓN Y CATEGORIZACIÓN MÉDICO/INSTITUCIÓN</x:t>
  </x:si>
  <x:si>
    <x:t xml:space="preserve">Filtro de Mes</x:t>
  </x:si>
  <x:si>
    <x:t xml:space="preserve">S/.</x:t>
  </x:si>
  <x:si>
    <x:t xml:space="preserve">Mes</x:t>
  </x:si>
  <x:si>
    <x:t xml:space="preserve">TODOS</x:t>
  </x:si>
  <x:si>
    <x:t xml:space="preserve">REPORTE DE MÉDICOS Y CATEGORIZACIÓN</x:t>
  </x:si>
  <x:si>
    <x:t xml:space="preserve">REPORTE DE INSTITUCIONES Y CATEGORIZACIÓN</x:t>
  </x:si>
  <x:si>
    <x:t xml:space="preserve">FACTURACIÓN</x:t>
  </x:si>
  <x:si>
    <x:t xml:space="preserve">CATEGORÍA</x:t>
  </x:si>
  <x:si>
    <x:t xml:space="preserve">OCTUBRE</x:t>
  </x:si>
  <x:si>
    <x:t xml:space="preserve">SETIEMBRE</x:t>
  </x:si>
  <x:si>
    <x:t xml:space="preserve">AGOSTO</x:t>
  </x:si>
  <x:si>
    <x:t xml:space="preserve">JULIO</x:t>
  </x:si>
  <x:si>
    <x:t xml:space="preserve">DETALLE</x:t>
  </x:si>
  <x:si>
    <x:t xml:space="preserve">#</x:t>
  </x:si>
  <x:si>
    <x:t xml:space="preserve">%</x:t>
  </x:si>
  <x:si>
    <x:t xml:space="preserve">AAA</x:t>
  </x:si>
  <x:si>
    <x:t xml:space="preserve">AA</x:t>
  </x:si>
  <x:si>
    <x:t xml:space="preserve">A</x:t>
  </x:si>
  <x:si>
    <x:t xml:space="preserve">Total</x:t>
  </x:si>
  <x:si>
    <x:t xml:space="preserve">Sin Categoría</x:t>
  </x:si>
  <x:si>
    <x:t xml:space="preserve">Etiquetas de fila</x:t>
  </x:si>
  <x:si>
    <x:t xml:space="preserve">S/. Imp.</x:t>
  </x:si>
  <x:si>
    <x:t xml:space="preserve"># Cant.</x:t>
  </x:si>
  <x:si>
    <x:t xml:space="preserve">Total general</x:t>
  </x:si>
</x:sst>
</file>

<file path=xl/styles.xml><?xml version="1.0" encoding="utf-8"?>
<x:styleSheet xmlns:x="http://schemas.openxmlformats.org/spreadsheetml/2006/main">
  <x:numFmts count="1">
    <x:numFmt numFmtId="44" formatCode="_-&quot;S/&quot;\ * #,##0.00_-;\-&quot;S/&quot;\ * #,##0.00_-;_-&quot;S/&quot;\ * &quot;-&quot;??_-;_-@_-"/>
  </x:numFmts>
  <x:fonts count="11">
    <x:font>
      <x:sz val="11"/>
      <x:color theme="1"/>
      <x:name val="Aptos Narrow"/>
    </x:font>
    <x:font>
      <x:sz val="11"/>
      <x:color theme="1"/>
      <x:name val="Aptos Narrow"/>
    </x:font>
    <x:font>
      <x:b/>
      <x:sz val="11"/>
      <x:color theme="0"/>
      <x:name val="Aptos Narrow"/>
    </x:font>
    <x:font>
      <x:sz val="8"/>
      <x:name val="Aptos Narrow"/>
    </x:font>
    <x:font>
      <x:b/>
      <x:sz val="11"/>
      <x:color theme="9" tint="0.59999"/>
      <x:name val="Aptos Narrow"/>
    </x:font>
    <x:font>
      <x:b/>
      <x:sz val="16"/>
      <x:color theme="9" tint="0.59999"/>
      <x:name val="Aptos Narrow"/>
    </x:font>
    <x:font>
      <x:b/>
      <x:sz val="11"/>
      <x:color theme="1"/>
      <x:name val="Aptos Narrow"/>
    </x:font>
    <x:font>
      <x:b/>
      <x:sz val="14"/>
      <x:color theme="1"/>
      <x:name val="Aptos Narrow"/>
    </x:font>
    <x:font>
      <x:b/>
      <x:sz val="14"/>
      <x:color theme="0"/>
      <x:name val="Aptos Narrow"/>
    </x:font>
    <x:font>
      <x:b/>
      <x:sz val="11"/>
      <x:color rgb="FFFFFFFF"/>
      <x:name val="Aptos Narrow"/>
    </x:font>
    <x:font>
      <x:b/>
      <x:sz val="11"/>
      <x:color rgb="FF134534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theme="6"/>
      </x:patternFill>
    </x:fill>
    <x:fill>
      <x:patternFill patternType="solid">
        <x:fgColor theme="6" tint="-0.49998"/>
      </x:patternFill>
    </x:fill>
    <x:fill>
      <x:patternFill patternType="solid">
        <x:fgColor rgb="FF176B52"/>
      </x:patternFill>
    </x:fill>
    <x:fill>
      <x:patternFill patternType="solid">
        <x:fgColor rgb="FFDDEFE5"/>
      </x:patternFill>
    </x:fill>
  </x:fills>
  <x:borders count="62">
    <x:border/>
    <x:border>
      <x:left style="thin">
        <x:color theme="6" tint="0.39998"/>
      </x:left>
      <x:top style="thin">
        <x:color theme="6" tint="0.39998"/>
      </x:top>
      <x:bottom style="thin">
        <x:color theme="6" tint="0.39998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medium">
        <x:color indexed="64"/>
      </x:left>
    </x:border>
    <x:border>
      <x:right style="thin">
        <x:color indexed="64"/>
      </x:right>
      <x:bottom style="thin">
        <x:color indexed="64"/>
      </x:bottom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bottom style="thin">
        <x:color indexed="64"/>
      </x:bottom>
    </x:border>
    <x:border>
      <x:left style="thin">
        <x:color indexed="64"/>
      </x:left>
      <x:top style="thin">
        <x:color indexed="64"/>
      </x:top>
      <x:bottom style="thin">
        <x:color indexed="64"/>
      </x:bottom>
    </x:border>
    <x:border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bottom style="medium">
        <x:color indexed="64"/>
      </x:bottom>
    </x:border>
    <x:border>
      <x:right style="thin">
        <x:color indexed="64"/>
      </x:right>
      <x:top style="thin">
        <x:color indexed="64"/>
      </x:top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left style="thin">
        <x:color indexed="64"/>
      </x:left>
      <x:top style="thin">
        <x:color indexed="64"/>
      </x:top>
    </x:border>
    <x:border>
      <x:right style="thin">
        <x:color indexed="64"/>
      </x:right>
    </x:border>
    <x:border>
      <x:left style="thin">
        <x:color indexed="64"/>
      </x:left>
      <x:right style="thin">
        <x:color indexed="64"/>
      </x:right>
    </x:border>
    <x:border>
      <x:left style="thin">
        <x:color indexed="64"/>
      </x:left>
    </x:border>
    <x:border>
      <x:right style="thin">
        <x:color indexed="64"/>
      </x:right>
      <x:top style="thin">
        <x:color theme="6" tint="0.39998"/>
      </x:top>
    </x:border>
    <x:border>
      <x:left style="thin">
        <x:color indexed="64"/>
      </x:left>
      <x:right style="thin">
        <x:color indexed="64"/>
      </x:right>
      <x:top style="thin">
        <x:color theme="6" tint="0.39998"/>
      </x:top>
    </x:border>
    <x:border>
      <x:left style="thin">
        <x:color indexed="64"/>
      </x:left>
      <x:top style="thin">
        <x:color theme="6" tint="0.39998"/>
      </x:top>
    </x:border>
    <x:border>
      <x:top style="thin">
        <x:color theme="9" tint="0.39998"/>
      </x:top>
      <x:bottom style="thin">
        <x:color theme="9" tint="0.39998"/>
      </x:bottom>
    </x:border>
    <x:border>
      <x:top style="thin">
        <x:color theme="9" tint="0.39998"/>
      </x:top>
    </x:border>
    <x:border/>
    <x:border>
      <x:left style="thin">
        <x:color theme="6" tint="0.39998"/>
      </x:left>
      <x:top style="thin">
        <x:color theme="6" tint="0.39998"/>
      </x:top>
      <x:bottom style="thin">
        <x:color theme="6" tint="0.39998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</x:border>
    <x:border>
      <x:right style="thin">
        <x:color indexed="64"/>
      </x:right>
      <x:bottom style="thin">
        <x:color indexed="64"/>
      </x:bottom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bottom style="thin">
        <x:color indexed="64"/>
      </x:bottom>
    </x:border>
    <x:border>
      <x:left style="thin">
        <x:color indexed="64"/>
      </x:left>
      <x:top style="thin">
        <x:color indexed="64"/>
      </x:top>
      <x:bottom style="thin">
        <x:color indexed="64"/>
      </x:bottom>
    </x:border>
    <x:border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bottom style="medium">
        <x:color indexed="64"/>
      </x:bottom>
    </x:border>
    <x:border>
      <x:right style="thin">
        <x:color indexed="64"/>
      </x:right>
      <x:top style="thin">
        <x:color indexed="64"/>
      </x:top>
    </x:border>
    <x:border>
      <x:left style="thin">
        <x:color indexed="64"/>
      </x:left>
      <x:top style="thin">
        <x:color indexed="64"/>
      </x:top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thin">
        <x:color theme="6" tint="0.39998"/>
      </x:top>
    </x:border>
    <x:border>
      <x:left style="thin">
        <x:color indexed="64"/>
      </x:left>
      <x:right style="thin">
        <x:color indexed="64"/>
      </x:right>
      <x:top style="thin">
        <x:color theme="6" tint="0.39998"/>
      </x:top>
    </x:border>
    <x:border>
      <x:left style="thin">
        <x:color indexed="64"/>
      </x:left>
      <x:top style="thin">
        <x:color theme="6" tint="0.39998"/>
      </x:top>
    </x:border>
    <x:border>
      <x:right style="thin">
        <x:color indexed="64"/>
      </x:right>
    </x:border>
    <x:border>
      <x:left style="thin">
        <x:color indexed="64"/>
      </x:left>
      <x:right style="thin">
        <x:color indexed="64"/>
      </x:right>
    </x:border>
    <x:border>
      <x:left style="thin">
        <x:color indexed="64"/>
      </x:left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</x:border>
    <x:border>
      <x:top style="thin">
        <x:color theme="9" tint="0.39998"/>
      </x:top>
      <x:bottom style="thin">
        <x:color theme="9" tint="0.39998"/>
      </x:bottom>
    </x:border>
    <x:border>
      <x:top style="thin">
        <x:color theme="9" tint="0.39998"/>
      </x:top>
    </x:border>
    <x:border>
      <x:left style="medium">
        <x:color indexed="64"/>
      </x:left>
    </x:border>
  </x:borders>
  <x:cellStyleXfs count="3">
    <x:xf numFmtId="0" fontId="0" fillId="0" borderId="0"/>
    <x:xf numFmtId="44" fontId="1" fillId="0" borderId="0" applyFont="0" applyFill="0" applyBorder="0" applyAlignment="0" applyProtection="0"/>
    <x:xf numFmtId="9" fontId="1" fillId="0" borderId="0" applyFont="0" applyFill="0" applyBorder="0" applyAlignment="0" applyProtection="0"/>
  </x:cellStyleXfs>
  <x:cellXfs count="129">
    <x:xf numFmtId="0" fontId="0" fillId="0" borderId="0" xfId="0"/>
    <x:xf numFmtId="14" fontId="0" fillId="0" borderId="0" xfId="0" applyNumberFormat="1"/>
    <x:xf numFmtId="44" fontId="0" fillId="0" borderId="0" xfId="1" applyFont="1"/>
    <x:xf numFmtId="0" fontId="4" fillId="3" borderId="0" xfId="0" applyFont="1" applyFill="1" applyAlignment="1">
      <x:alignment horizontal="center"/>
    </x:xf>
    <x:xf numFmtId="0" fontId="2" fillId="2" borderId="1" xfId="0" applyFont="1" applyFill="1" applyBorder="1" applyAlignment="1">
      <x:alignment horizontal="center"/>
    </x:xf>
    <x:xf numFmtId="44" fontId="2" fillId="2" borderId="1" xfId="1" applyFont="1" applyFill="1" applyBorder="1" applyAlignment="1">
      <x:alignment horizontal="center"/>
    </x:xf>
    <x:xf numFmtId="0" fontId="6" fillId="0" borderId="0" xfId="0" applyFont="1" applyAlignment="1">
      <x:alignment horizontal="center"/>
    </x:xf>
    <x:xf numFmtId="0" fontId="0" fillId="0" borderId="7" xfId="0" applyBorder="1"/>
    <x:xf numFmtId="0" fontId="0" fillId="0" borderId="10" xfId="0" applyBorder="1"/>
    <x:xf numFmtId="0" fontId="7" fillId="0" borderId="0" xfId="0" applyFont="1"/>
    <x:xf numFmtId="0" fontId="0" fillId="0" borderId="13" xfId="0" applyBorder="1"/>
    <x:xf numFmtId="0" fontId="0" fillId="0" borderId="14" xfId="0" applyBorder="1"/>
    <x:xf numFmtId="0" fontId="0" fillId="0" borderId="15" xfId="0" applyBorder="1"/>
    <x:xf numFmtId="0" fontId="0" fillId="0" borderId="16" xfId="0" applyBorder="1"/>
    <x:xf numFmtId="0" fontId="6" fillId="0" borderId="17" xfId="0" applyFont="1" applyBorder="1" applyAlignment="1">
      <x:alignment horizontal="center"/>
    </x:xf>
    <x:xf numFmtId="0" fontId="6" fillId="0" borderId="18" xfId="0" applyFont="1" applyBorder="1" applyAlignment="1">
      <x:alignment horizontal="center"/>
    </x:xf>
    <x:xf numFmtId="0" fontId="6" fillId="0" borderId="19" xfId="0" applyFont="1" applyBorder="1" applyAlignment="1">
      <x:alignment horizontal="center"/>
    </x:xf>
    <x:xf numFmtId="0" fontId="0" fillId="0" borderId="20" xfId="0" applyBorder="1"/>
    <x:xf numFmtId="0" fontId="0" fillId="0" borderId="22" xfId="0" applyBorder="1"/>
    <x:xf numFmtId="44" fontId="0" fillId="0" borderId="11" xfId="1" applyFont="1" applyBorder="1"/>
    <x:xf numFmtId="44" fontId="0" fillId="0" borderId="2" xfId="1" applyFont="1" applyBorder="1"/>
    <x:xf numFmtId="44" fontId="0" fillId="0" borderId="21" xfId="1" applyFont="1" applyBorder="1"/>
    <x:xf numFmtId="44" fontId="0" fillId="0" borderId="2" xfId="1" applyFont="1" applyFill="1" applyBorder="1"/>
    <x:xf numFmtId="0" fontId="2" fillId="0" borderId="17" xfId="0" applyFont="1" applyBorder="1" applyAlignment="1">
      <x:alignment horizontal="center"/>
    </x:xf>
    <x:xf numFmtId="0" fontId="2" fillId="0" borderId="18" xfId="0" applyFont="1" applyBorder="1" applyAlignment="1">
      <x:alignment horizontal="center"/>
    </x:xf>
    <x:xf numFmtId="0" fontId="2" fillId="0" borderId="19" xfId="0" applyFont="1" applyBorder="1" applyAlignment="1">
      <x:alignment horizontal="center"/>
    </x:xf>
    <x:xf numFmtId="44" fontId="1" fillId="0" borderId="2" xfId="1" applyFont="1" applyFill="1" applyBorder="1"/>
    <x:xf numFmtId="0" fontId="0" fillId="0" borderId="6" xfId="0" applyBorder="1"/>
    <x:xf numFmtId="0" fontId="6" fillId="0" borderId="26" xfId="0" applyFont="1" applyBorder="1" applyAlignment="1">
      <x:alignment horizontal="center"/>
    </x:xf>
    <x:xf numFmtId="44" fontId="6" fillId="0" borderId="27" xfId="1" applyFont="1" applyFill="1" applyBorder="1" applyAlignment="1">
      <x:alignment horizontal="center"/>
    </x:xf>
    <x:xf numFmtId="0" fontId="6" fillId="0" borderId="28" xfId="0" applyFont="1" applyBorder="1" applyAlignment="1">
      <x:alignment horizontal="center"/>
    </x:xf>
    <x:xf numFmtId="0" fontId="2" fillId="0" borderId="23" xfId="0" applyFont="1" applyBorder="1" applyAlignment="1">
      <x:alignment horizontal="center"/>
    </x:xf>
    <x:xf numFmtId="0" fontId="2" fillId="0" borderId="24" xfId="0" applyFont="1" applyBorder="1" applyAlignment="1">
      <x:alignment horizontal="center"/>
    </x:xf>
    <x:xf numFmtId="0" fontId="2" fillId="0" borderId="25" xfId="0" applyFont="1" applyBorder="1" applyAlignment="1">
      <x:alignment horizontal="center"/>
    </x:xf>
    <x:xf numFmtId="0" fontId="0" fillId="0" borderId="2" xfId="0" applyBorder="1"/>
    <x:xf numFmtId="0" fontId="0" fillId="0" borderId="3" xfId="0" applyBorder="1"/>
    <x:xf numFmtId="44" fontId="1" fillId="0" borderId="4" xfId="1" applyFont="1" applyFill="1" applyBorder="1"/>
    <x:xf numFmtId="0" fontId="0" fillId="0" borderId="4" xfId="0" applyBorder="1"/>
    <x:xf numFmtId="9" fontId="1" fillId="0" borderId="5" xfId="2" applyFont="1" applyBorder="1"/>
    <x:xf numFmtId="9" fontId="1" fillId="0" borderId="7" xfId="0" applyNumberFormat="1" applyFont="1" applyBorder="1"/>
    <x:xf numFmtId="0" fontId="6" fillId="0" borderId="8" xfId="0" applyFont="1" applyBorder="1" applyAlignment="1">
      <x:alignment horizontal="center"/>
    </x:xf>
    <x:xf numFmtId="44" fontId="6" fillId="0" borderId="9" xfId="1" applyFont="1" applyFill="1" applyBorder="1" applyAlignment="1">
      <x:alignment horizontal="center"/>
    </x:xf>
    <x:xf numFmtId="0" fontId="6" fillId="0" borderId="9" xfId="0" applyFont="1" applyBorder="1" applyAlignment="1">
      <x:alignment horizontal="center"/>
    </x:xf>
    <x:xf numFmtId="9" fontId="1" fillId="0" borderId="10" xfId="0" applyNumberFormat="1" applyFont="1" applyBorder="1"/>
    <x:xf numFmtId="0" fontId="0" fillId="0" borderId="29" xfId="0" applyBorder="1"/>
    <x:xf numFmtId="0" fontId="6" fillId="0" borderId="23" xfId="0" applyFont="1" applyBorder="1" applyAlignment="1">
      <x:alignment horizontal="center"/>
    </x:xf>
    <x:xf numFmtId="0" fontId="6" fillId="0" borderId="24" xfId="0" applyFont="1" applyBorder="1" applyAlignment="1">
      <x:alignment horizontal="center"/>
    </x:xf>
    <x:xf numFmtId="0" fontId="6" fillId="0" borderId="25" xfId="0" applyFont="1" applyBorder="1" applyAlignment="1">
      <x:alignment horizontal="center"/>
    </x:xf>
    <x:xf numFmtId="44" fontId="0" fillId="0" borderId="4" xfId="1" applyFont="1" applyBorder="1"/>
    <x:xf numFmtId="0" fontId="0" fillId="0" borderId="5" xfId="0" applyBorder="1"/>
    <x:xf numFmtId="0" fontId="0" fillId="0" borderId="8" xfId="0" applyBorder="1"/>
    <x:xf numFmtId="44" fontId="0" fillId="0" borderId="9" xfId="1" applyFont="1" applyBorder="1"/>
    <x:xf numFmtId="9" fontId="1" fillId="0" borderId="5" xfId="2" applyFont="1" applyFill="1" applyBorder="1"/>
    <x:xf numFmtId="0" fontId="0" fillId="0" borderId="30" xfId="0" applyBorder="1"/>
    <x:xf numFmtId="44" fontId="0" fillId="0" borderId="0" xfId="1" applyFont="1" applyBorder="1"/>
    <x:xf numFmtId="0" fontId="0" fillId="0" borderId="0" xfId="0"/>
    <x:xf numFmtId="0" fontId="0" fillId="0" borderId="0" xfId="0" applyAlignment="1">
      <x:alignment horizontal="left"/>
    </x:xf>
    <x:xf numFmtId="0" fontId="0" fillId="0" borderId="0" xfId="0" applyAlignment="1">
      <x:alignment horizontal="center"/>
    </x:xf>
    <x:xf numFmtId="44" fontId="0" fillId="0" borderId="0" xfId="0" applyNumberFormat="1"/>
    <x:xf numFmtId="0" fontId="4" fillId="3" borderId="0" xfId="0" applyFont="1" applyFill="1" applyAlignment="1">
      <x:alignment horizontal="center"/>
    </x:xf>
    <x:xf numFmtId="0" fontId="5" fillId="3" borderId="0" xfId="0" applyFont="1" applyFill="1" applyAlignment="1">
      <x:alignment horizontal="center"/>
    </x:xf>
    <x:xf numFmtId="0" fontId="8" fillId="3" borderId="12" xfId="0" applyFont="1" applyFill="1" applyBorder="1" applyAlignment="1">
      <x:alignment horizontal="center"/>
    </x:xf>
    <x:xf numFmtId="0" fontId="8" fillId="3" borderId="0" xfId="0" applyFont="1" applyFill="1" applyAlignment="1">
      <x:alignment horizontal="center"/>
    </x:xf>
    <x:xf numFmtId="0" fontId="0" fillId="0" borderId="31" xfId="0" applyNumberFormat="1" applyFont="1" applyFill="1" applyBorder="1"/>
    <x:xf numFmtId="14" fontId="0" fillId="0" borderId="31" xfId="0" applyNumberFormat="1" applyFont="1" applyFill="1" applyBorder="1"/>
    <x:xf numFmtId="44" fontId="0" fillId="0" borderId="31" xfId="0" applyNumberFormat="1" applyFont="1" applyFill="1" applyBorder="1"/>
    <x:xf numFmtId="0" fontId="4" fillId="3" borderId="31" xfId="0" applyNumberFormat="1" applyFont="1" applyFill="1" applyBorder="1" applyAlignment="1">
      <x:alignment horizontal="center"/>
    </x:xf>
    <x:xf numFmtId="0" fontId="2" fillId="2" borderId="32" xfId="0" applyNumberFormat="1" applyFont="1" applyFill="1" applyBorder="1" applyAlignment="1">
      <x:alignment horizontal="center"/>
    </x:xf>
    <x:xf numFmtId="44" fontId="2" fillId="2" borderId="32" xfId="0" applyNumberFormat="1" applyFont="1" applyFill="1" applyBorder="1" applyAlignment="1">
      <x:alignment horizontal="center"/>
    </x:xf>
    <x:xf numFmtId="0" fontId="6" fillId="0" borderId="31" xfId="0" applyNumberFormat="1" applyFont="1" applyFill="1" applyBorder="1" applyAlignment="1">
      <x:alignment horizontal="center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7" fillId="0" borderId="31" xfId="0" applyNumberFormat="1" applyFont="1" applyFill="1" applyBorder="1"/>
    <x:xf numFmtId="0" fontId="0" fillId="0" borderId="35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6" fillId="0" borderId="39" xfId="0" applyNumberFormat="1" applyFont="1" applyFill="1" applyBorder="1" applyAlignment="1">
      <x:alignment horizontal="center"/>
    </x:xf>
    <x:xf numFmtId="0" fontId="6" fillId="0" borderId="40" xfId="0" applyNumberFormat="1" applyFont="1" applyFill="1" applyBorder="1" applyAlignment="1">
      <x:alignment horizontal="center"/>
    </x:xf>
    <x:xf numFmtId="0" fontId="6" fillId="0" borderId="41" xfId="0" applyNumberFormat="1" applyFont="1" applyFill="1" applyBorder="1" applyAlignment="1">
      <x:alignment horizontal="center"/>
    </x:xf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44" fontId="0" fillId="0" borderId="44" xfId="0" applyNumberFormat="1" applyFont="1" applyFill="1" applyBorder="1"/>
    <x:xf numFmtId="44" fontId="0" fillId="0" borderId="45" xfId="0" applyNumberFormat="1" applyFont="1" applyFill="1" applyBorder="1"/>
    <x:xf numFmtId="44" fontId="0" fillId="0" borderId="46" xfId="0" applyNumberFormat="1" applyFont="1" applyFill="1" applyBorder="1"/>
    <x:xf numFmtId="0" fontId="2" fillId="0" borderId="39" xfId="0" applyNumberFormat="1" applyFont="1" applyFill="1" applyBorder="1" applyAlignment="1">
      <x:alignment horizontal="center"/>
    </x:xf>
    <x:xf numFmtId="0" fontId="2" fillId="0" borderId="40" xfId="0" applyNumberFormat="1" applyFont="1" applyFill="1" applyBorder="1" applyAlignment="1">
      <x:alignment horizontal="center"/>
    </x:xf>
    <x:xf numFmtId="0" fontId="2" fillId="0" borderId="41" xfId="0" applyNumberFormat="1" applyFont="1" applyFill="1" applyBorder="1" applyAlignment="1">
      <x:alignment horizontal="center"/>
    </x:xf>
    <x:xf numFmtId="0" fontId="0" fillId="0" borderId="47" xfId="0" applyNumberFormat="1" applyFont="1" applyFill="1" applyBorder="1"/>
    <x:xf numFmtId="0" fontId="6" fillId="0" borderId="48" xfId="0" applyNumberFormat="1" applyFont="1" applyFill="1" applyBorder="1" applyAlignment="1">
      <x:alignment horizontal="center"/>
    </x:xf>
    <x:xf numFmtId="44" fontId="6" fillId="0" borderId="49" xfId="0" applyNumberFormat="1" applyFont="1" applyFill="1" applyBorder="1" applyAlignment="1">
      <x:alignment horizontal="center"/>
    </x:xf>
    <x:xf numFmtId="0" fontId="6" fillId="0" borderId="50" xfId="0" applyNumberFormat="1" applyFont="1" applyFill="1" applyBorder="1" applyAlignment="1">
      <x:alignment horizontal="center"/>
    </x:xf>
    <x:xf numFmtId="0" fontId="2" fillId="0" borderId="51" xfId="0" applyNumberFormat="1" applyFont="1" applyFill="1" applyBorder="1" applyAlignment="1">
      <x:alignment horizontal="center"/>
    </x:xf>
    <x:xf numFmtId="0" fontId="2" fillId="0" borderId="52" xfId="0" applyNumberFormat="1" applyFont="1" applyFill="1" applyBorder="1" applyAlignment="1">
      <x:alignment horizontal="center"/>
    </x:xf>
    <x:xf numFmtId="0" fontId="2" fillId="0" borderId="53" xfId="0" applyNumberFormat="1" applyFont="1" applyFill="1" applyBorder="1" applyAlignment="1">
      <x:alignment horizontal="center"/>
    </x:xf>
    <x:xf numFmtId="0" fontId="0" fillId="0" borderId="45" xfId="0" applyNumberFormat="1" applyFont="1" applyFill="1" applyBorder="1"/>
    <x:xf numFmtId="0" fontId="0" fillId="0" borderId="54" xfId="0" applyNumberFormat="1" applyFont="1" applyFill="1" applyBorder="1"/>
    <x:xf numFmtId="44" fontId="0" fillId="0" borderId="55" xfId="0" applyNumberFormat="1" applyFont="1" applyFill="1" applyBorder="1"/>
    <x:xf numFmtId="0" fontId="0" fillId="0" borderId="55" xfId="0" applyNumberFormat="1" applyFont="1" applyFill="1" applyBorder="1"/>
    <x:xf numFmtId="9" fontId="0" fillId="0" borderId="56" xfId="0" applyNumberFormat="1" applyFont="1" applyFill="1" applyBorder="1"/>
    <x:xf numFmtId="9" fontId="0" fillId="0" borderId="33" xfId="0" applyNumberFormat="1" applyFont="1" applyFill="1" applyBorder="1"/>
    <x:xf numFmtId="0" fontId="6" fillId="0" borderId="57" xfId="0" applyNumberFormat="1" applyFont="1" applyFill="1" applyBorder="1" applyAlignment="1">
      <x:alignment horizontal="center"/>
    </x:xf>
    <x:xf numFmtId="44" fontId="6" fillId="0" borderId="58" xfId="0" applyNumberFormat="1" applyFont="1" applyFill="1" applyBorder="1" applyAlignment="1">
      <x:alignment horizontal="center"/>
    </x:xf>
    <x:xf numFmtId="0" fontId="6" fillId="0" borderId="58" xfId="0" applyNumberFormat="1" applyFont="1" applyFill="1" applyBorder="1" applyAlignment="1">
      <x:alignment horizontal="center"/>
    </x:xf>
    <x:xf numFmtId="9" fontId="0" fillId="0" borderId="34" xfId="0" applyNumberFormat="1" applyFont="1" applyFill="1" applyBorder="1"/>
    <x:xf numFmtId="0" fontId="0" fillId="0" borderId="59" xfId="0" applyNumberFormat="1" applyFont="1" applyFill="1" applyBorder="1"/>
    <x:xf numFmtId="0" fontId="6" fillId="0" borderId="51" xfId="0" applyNumberFormat="1" applyFont="1" applyFill="1" applyBorder="1" applyAlignment="1">
      <x:alignment horizontal="center"/>
    </x:xf>
    <x:xf numFmtId="0" fontId="6" fillId="0" borderId="52" xfId="0" applyNumberFormat="1" applyFont="1" applyFill="1" applyBorder="1" applyAlignment="1">
      <x:alignment horizontal="center"/>
    </x:xf>
    <x:xf numFmtId="0" fontId="6" fillId="0" borderId="53" xfId="0" applyNumberFormat="1" applyFont="1" applyFill="1" applyBorder="1" applyAlignment="1">
      <x:alignment horizontal="center"/>
    </x:xf>
    <x:xf numFmtId="0" fontId="0" fillId="0" borderId="56" xfId="0" applyNumberFormat="1" applyFont="1" applyFill="1" applyBorder="1"/>
    <x:xf numFmtId="0" fontId="0" fillId="0" borderId="57" xfId="0" applyNumberFormat="1" applyFont="1" applyFill="1" applyBorder="1"/>
    <x:xf numFmtId="44" fontId="0" fillId="0" borderId="58" xfId="0" applyNumberFormat="1" applyFont="1" applyFill="1" applyBorder="1"/>
    <x:xf numFmtId="0" fontId="0" fillId="0" borderId="60" xfId="0" applyNumberFormat="1" applyFont="1" applyFill="1" applyBorder="1"/>
    <x:xf numFmtId="0" fontId="0" fillId="0" borderId="31" xfId="0" applyNumberFormat="1" applyFont="1" applyFill="1" applyBorder="1" applyAlignment="1">
      <x:alignment horizontal="left"/>
    </x:xf>
    <x:xf numFmtId="0" fontId="0" fillId="0" borderId="31" xfId="0" applyNumberFormat="1" applyFont="1" applyFill="1" applyBorder="1" applyAlignment="1">
      <x:alignment horizontal="center"/>
    </x:xf>
    <x:xf numFmtId="0" fontId="5" fillId="3" borderId="31" xfId="0" applyNumberFormat="1" applyFont="1" applyFill="1" applyBorder="1" applyAlignment="1">
      <x:alignment horizontal="center"/>
    </x:xf>
    <x:xf numFmtId="0" fontId="8" fillId="3" borderId="61" xfId="0" applyNumberFormat="1" applyFont="1" applyFill="1" applyBorder="1" applyAlignment="1">
      <x:alignment horizontal="center"/>
    </x:xf>
    <x:xf numFmtId="0" fontId="8" fillId="3" borderId="3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9" fillId="4" borderId="0" xfId="0" applyNumberFormat="1" applyFont="1" applyFill="1" applyBorder="1"/>
    <x:xf numFmtId="0" fontId="0" fillId="4" borderId="31" xfId="0" applyNumberFormat="1" applyFont="1" applyFill="1" applyBorder="1"/>
    <x:xf numFmtId="0" fontId="9" fillId="4" borderId="31" xfId="0" applyNumberFormat="1" applyFont="1" applyFill="1" applyBorder="1"/>
    <x:xf numFmtId="0" fontId="0" fillId="5" borderId="0" xfId="0" applyNumberFormat="1" applyFont="1" applyFill="1" applyBorder="1"/>
    <x:xf numFmtId="0" fontId="10" fillId="5" borderId="0" xfId="0" applyNumberFormat="1" applyFont="1" applyFill="1" applyBorder="1"/>
    <x:xf numFmtId="0" fontId="0" fillId="5" borderId="31" xfId="0" applyNumberFormat="1" applyFont="1" applyFill="1" applyBorder="1"/>
    <x:xf numFmtId="0" fontId="10" fillId="5" borderId="31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</x:cellXfs>
  <x:cellStyles count="3">
    <x:cellStyle name="Moneda" xfId="1"/>
    <x:cellStyle name="Normal" xfId="0"/>
    <x:cellStyle name="Porcentaje" xfId="2"/>
  </x:cellStyles>
  <x:dxfs count="159">
    <x:dxf>
      <x:numFmt numFmtId="19" formatCode="d/mm/yyyy"/>
    </x:dxf>
    <x:dxf>
      <x:numFmt numFmtId="34" formatCode="_-&quot;S/&quot;\ * #,##0.00_-;\-&quot;S/&quot;\ * #,##0.00_-;_-&quot;S/&quot;\ * &quot;-&quot;??_-;_-@_-"/>
    </x:dxf>
    <x:dxf/>
    <x:dxf>
      <x:font>
        <x:u val="none"/>
        <x:sz val="11"/>
        <x:color theme="1"/>
        <x:name val="Aptos Narrow"/>
        <x:family val="2"/>
        <x:scheme val="minor"/>
      </x:font>
      <x:numFmt numFmtId="13" formatCode="0%"/>
      <x:border>
        <x:left style="thin">
          <x:color indexed="64"/>
        </x:left>
        <x:right style="medium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u val="none"/>
        <x:sz val="11"/>
        <x:color theme="1"/>
        <x:name val="Aptos Narrow"/>
        <x:family val="2"/>
        <x:scheme val="minor"/>
      </x:font>
      <x:fill>
        <x:patternFill patternType="solid">
          <x:bgColor indexed="65"/>
        </x:patternFill>
      </x:fill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u val="none"/>
        <x:sz val="11"/>
        <x:color theme="1"/>
        <x:name val="Aptos Narrow"/>
        <x:family val="2"/>
        <x:scheme val="minor"/>
      </x:font>
      <x:numFmt numFmtId="34" formatCode="_-&quot;S/&quot;\ * #,##0.00_-;\-&quot;S/&quot;\ * #,##0.00_-;_-&quot;S/&quot;\ * &quot;-&quot;??_-;_-@_-"/>
      <x:fill>
        <x:patternFill patternType="solid">
          <x:bgColor indexed="65"/>
        </x:patternFill>
      </x:fill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u val="none"/>
        <x:sz val="11"/>
        <x:color theme="1"/>
        <x:name val="Aptos Narrow"/>
        <x:family val="2"/>
        <x:scheme val="minor"/>
      </x:font>
      <x:fill>
        <x:patternFill patternType="solid">
          <x:bgColor indexed="65"/>
        </x:patternFill>
      </x:fill>
      <x:border>
        <x:left style="medium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medium">
          <x:color indexed="64"/>
        </x:left>
        <x:right style="medium">
          <x:color indexed="64"/>
        </x:right>
        <x:top style="medium">
          <x:color indexed="64"/>
        </x:top>
        <x:bottom style="thin">
          <x:color indexed="64"/>
        </x:bottom>
      </x:border>
    </x:dxf>
    <x:dxf/>
    <x:dxf>
      <x:border>
        <x:bottom style="medium">
          <x:color indexed="64"/>
        </x:bottom>
      </x:border>
    </x:dxf>
    <x:dxf>
      <x:font>
        <x:b/>
        <x:u val="none"/>
        <x:sz val="11"/>
        <x:color theme="0"/>
        <x:name val="Aptos Narrow"/>
        <x:family val="2"/>
        <x:scheme val="minor"/>
      </x:font>
      <x:fill>
        <x:patternFill patternType="solid">
          <x:bgColor indexed="65"/>
        </x:patternFill>
      </x:fill>
      <x:border>
        <x:left style="thin">
          <x:color indexed="64"/>
        </x:left>
        <x:right style="thin">
          <x:color indexed="64"/>
        </x:right>
        <x:top/>
        <x:bottom/>
      </x:border>
    </x:dxf>
    <x:dxf>
      <x:border>
        <x:left style="thin">
          <x:color indexed="64"/>
        </x:left>
        <x:right/>
        <x:top style="thin">
          <x:color indexed="64"/>
        </x:top>
        <x:bottom style="thin">
          <x:color indexed="64"/>
        </x:bottom>
      </x:border>
    </x:dxf>
    <x:dxf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/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medium">
          <x:color indexed="64"/>
        </x:left>
        <x:right style="medium">
          <x:color indexed="64"/>
        </x:right>
        <x:top style="medium">
          <x:color indexed="64"/>
        </x:top>
        <x:bottom style="medium">
          <x:color indexed="64"/>
        </x:bottom>
      </x:border>
    </x:dxf>
    <x:dxf>
      <x:border>
        <x:bottom style="medium">
          <x:color indexed="64"/>
        </x:bottom>
      </x:border>
    </x:dxf>
    <x:dxf>
      <x:font>
        <x:b/>
        <x:u val="none"/>
        <x:sz val="11"/>
        <x:color theme="1"/>
        <x:name val="Aptos Narrow"/>
        <x:family val="2"/>
        <x:scheme val="minor"/>
      </x:font>
      <x:border>
        <x:left style="thin">
          <x:color indexed="64"/>
        </x:left>
        <x:right style="thin">
          <x:color indexed="64"/>
        </x:right>
        <x:top/>
        <x:bottom/>
      </x:border>
    </x:dxf>
    <x:dxf>
      <x:font>
        <x:u val="none"/>
        <x:sz val="11"/>
        <x:color theme="1"/>
        <x:name val="Aptos Narrow"/>
        <x:family val="2"/>
        <x:scheme val="minor"/>
      </x:font>
      <x:numFmt numFmtId="13" formatCode="0%"/>
      <x:border>
        <x:left style="thin">
          <x:color indexed="64"/>
        </x:left>
        <x:right style="medium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u val="none"/>
        <x:sz val="11"/>
        <x:color theme="1"/>
        <x:name val="Aptos Narrow"/>
        <x:family val="2"/>
        <x:scheme val="minor"/>
      </x:font>
      <x:fill>
        <x:patternFill patternType="solid">
          <x:bgColor indexed="65"/>
        </x:patternFill>
      </x:fill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u val="none"/>
        <x:sz val="11"/>
        <x:color theme="1"/>
        <x:name val="Aptos Narrow"/>
        <x:family val="2"/>
        <x:scheme val="minor"/>
      </x:font>
      <x:numFmt numFmtId="34" formatCode="_-&quot;S/&quot;\ * #,##0.00_-;\-&quot;S/&quot;\ * #,##0.00_-;_-&quot;S/&quot;\ * &quot;-&quot;??_-;_-@_-"/>
      <x:fill>
        <x:patternFill patternType="solid">
          <x:bgColor indexed="65"/>
        </x:patternFill>
      </x:fill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u val="none"/>
        <x:sz val="11"/>
        <x:color theme="1"/>
        <x:name val="Aptos Narrow"/>
        <x:family val="2"/>
        <x:scheme val="minor"/>
      </x:font>
      <x:fill>
        <x:patternFill patternType="solid">
          <x:bgColor indexed="65"/>
        </x:patternFill>
      </x:fill>
      <x:border>
        <x:left style="medium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medium">
          <x:color indexed="64"/>
        </x:left>
        <x:right style="medium">
          <x:color indexed="64"/>
        </x:right>
        <x:top style="medium">
          <x:color indexed="64"/>
        </x:top>
        <x:bottom style="thin">
          <x:color indexed="64"/>
        </x:bottom>
      </x:border>
    </x:dxf>
    <x:dxf/>
    <x:dxf>
      <x:border>
        <x:bottom style="medium">
          <x:color indexed="64"/>
        </x:bottom>
      </x:border>
    </x:dxf>
    <x:dxf>
      <x:font>
        <x:b/>
        <x:u val="none"/>
        <x:sz val="11"/>
        <x:color theme="0"/>
        <x:name val="Aptos Narrow"/>
        <x:family val="2"/>
        <x:scheme val="minor"/>
      </x:font>
      <x:fill>
        <x:patternFill patternType="solid">
          <x:bgColor indexed="65"/>
        </x:patternFill>
      </x:fill>
      <x:border>
        <x:left style="thin">
          <x:color indexed="64"/>
        </x:left>
        <x:right style="thin">
          <x:color indexed="64"/>
        </x:right>
        <x:top/>
        <x:bottom/>
      </x:border>
    </x:dxf>
    <x:dxf>
      <x:border>
        <x:left style="thin">
          <x:color indexed="64"/>
        </x:left>
        <x:right/>
        <x:top style="thin">
          <x:color indexed="64"/>
        </x:top>
        <x:bottom style="thin">
          <x:color indexed="64"/>
        </x:bottom>
      </x:border>
    </x:dxf>
    <x:dxf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/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medium">
          <x:color indexed="64"/>
        </x:left>
        <x:right style="medium">
          <x:color indexed="64"/>
        </x:right>
        <x:top style="medium">
          <x:color indexed="64"/>
        </x:top>
        <x:bottom style="medium">
          <x:color indexed="64"/>
        </x:bottom>
      </x:border>
    </x:dxf>
    <x:dxf>
      <x:border>
        <x:bottom style="medium">
          <x:color indexed="64"/>
        </x:bottom>
      </x:border>
    </x:dxf>
    <x:dxf>
      <x:font>
        <x:b/>
        <x:u val="none"/>
        <x:sz val="11"/>
        <x:color theme="1"/>
        <x:name val="Aptos Narrow"/>
        <x:family val="2"/>
        <x:scheme val="minor"/>
      </x:font>
      <x:border>
        <x:left style="thin">
          <x:color indexed="64"/>
        </x:left>
        <x:right style="thin">
          <x:color indexed="64"/>
        </x:right>
        <x:top/>
        <x:bottom/>
      </x:border>
    </x:dxf>
    <x:dxf>
      <x:font>
        <x:u val="none"/>
        <x:sz val="11"/>
        <x:color theme="1"/>
        <x:name val="Aptos Narrow"/>
        <x:family val="2"/>
        <x:scheme val="minor"/>
      </x:font>
      <x:numFmt numFmtId="13" formatCode="0%"/>
      <x:border>
        <x:left style="thin">
          <x:color indexed="64"/>
        </x:left>
        <x:right style="medium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u val="none"/>
        <x:sz val="11"/>
        <x:color theme="1"/>
        <x:name val="Aptos Narrow"/>
        <x:family val="2"/>
        <x:scheme val="minor"/>
      </x:font>
      <x:fill>
        <x:patternFill patternType="solid">
          <x:bgColor indexed="65"/>
        </x:patternFill>
      </x:fill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u val="none"/>
        <x:sz val="11"/>
        <x:color theme="1"/>
        <x:name val="Aptos Narrow"/>
        <x:family val="2"/>
        <x:scheme val="minor"/>
      </x:font>
      <x:numFmt numFmtId="34" formatCode="_-&quot;S/&quot;\ * #,##0.00_-;\-&quot;S/&quot;\ * #,##0.00_-;_-&quot;S/&quot;\ * &quot;-&quot;??_-;_-@_-"/>
      <x:fill>
        <x:patternFill patternType="solid">
          <x:bgColor indexed="65"/>
        </x:patternFill>
      </x:fill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u val="none"/>
        <x:sz val="11"/>
        <x:color theme="1"/>
        <x:name val="Aptos Narrow"/>
        <x:family val="2"/>
        <x:scheme val="minor"/>
      </x:font>
      <x:fill>
        <x:patternFill patternType="solid">
          <x:bgColor indexed="65"/>
        </x:patternFill>
      </x:fill>
      <x:border>
        <x:left style="medium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medium">
          <x:color indexed="64"/>
        </x:left>
        <x:right style="medium">
          <x:color indexed="64"/>
        </x:right>
        <x:top style="medium">
          <x:color indexed="64"/>
        </x:top>
        <x:bottom style="thin">
          <x:color indexed="64"/>
        </x:bottom>
      </x:border>
    </x:dxf>
    <x:dxf/>
    <x:dxf>
      <x:border>
        <x:bottom style="medium">
          <x:color indexed="64"/>
        </x:bottom>
      </x:border>
    </x:dxf>
    <x:dxf>
      <x:font>
        <x:b/>
        <x:u val="none"/>
        <x:sz val="11"/>
        <x:color theme="0"/>
        <x:name val="Aptos Narrow"/>
        <x:family val="2"/>
        <x:scheme val="minor"/>
      </x:font>
      <x:fill>
        <x:patternFill patternType="solid">
          <x:bgColor indexed="65"/>
        </x:patternFill>
      </x:fill>
      <x:border>
        <x:left style="thin">
          <x:color indexed="64"/>
        </x:left>
        <x:right style="thin">
          <x:color indexed="64"/>
        </x:right>
        <x:top/>
        <x:bottom/>
      </x:border>
    </x:dxf>
    <x:dxf>
      <x:border>
        <x:left style="thin">
          <x:color indexed="64"/>
        </x:left>
        <x:right/>
        <x:top style="thin">
          <x:color indexed="64"/>
        </x:top>
        <x:bottom style="thin">
          <x:color indexed="64"/>
        </x:bottom>
      </x:border>
    </x:dxf>
    <x:dxf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/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medium">
          <x:color indexed="64"/>
        </x:left>
        <x:right style="medium">
          <x:color indexed="64"/>
        </x:right>
        <x:top style="medium">
          <x:color indexed="64"/>
        </x:top>
        <x:bottom style="medium">
          <x:color indexed="64"/>
        </x:bottom>
      </x:border>
    </x:dxf>
    <x:dxf>
      <x:border>
        <x:bottom style="medium">
          <x:color indexed="64"/>
        </x:bottom>
      </x:border>
    </x:dxf>
    <x:dxf>
      <x:font>
        <x:b/>
        <x:u val="none"/>
        <x:sz val="11"/>
        <x:color theme="1"/>
        <x:name val="Aptos Narrow"/>
        <x:family val="2"/>
        <x:scheme val="minor"/>
      </x:font>
      <x:border>
        <x:left style="thin">
          <x:color indexed="64"/>
        </x:left>
        <x:right style="thin">
          <x:color indexed="64"/>
        </x:right>
        <x:top/>
        <x:bottom/>
      </x:border>
    </x:dxf>
    <x:dxf>
      <x:border>
        <x:left/>
        <x:right/>
        <x:top style="thin">
          <x:color theme="9" tint="0.39998"/>
        </x:top>
        <x:bottom style="thin">
          <x:color theme="9" tint="0.39998"/>
        </x:bottom>
      </x:border>
    </x:dxf>
    <x:dxf>
      <x:border>
        <x:left style="medium">
          <x:color indexed="64"/>
        </x:left>
        <x:right style="medium">
          <x:color indexed="64"/>
        </x:right>
        <x:top style="medium">
          <x:color indexed="64"/>
        </x:top>
        <x:bottom style="medium">
          <x:color indexed="64"/>
        </x:bottom>
      </x:border>
    </x:dxf>
    <x:dxf>
      <x:border>
        <x:bottom style="medium">
          <x:color indexed="64"/>
        </x:bottom>
      </x:border>
    </x:dxf>
    <x:dxf>
      <x:font>
        <x:b/>
        <x:u val="none"/>
        <x:sz val="11"/>
        <x:color theme="1"/>
        <x:name val="Aptos Narrow"/>
        <x:family val="2"/>
        <x:scheme val="minor"/>
      </x:font>
      <x:border>
        <x:left style="thin">
          <x:color indexed="64"/>
        </x:left>
        <x:right style="thin">
          <x:color indexed="64"/>
        </x:right>
        <x:top/>
        <x:bottom/>
      </x:border>
    </x:dxf>
    <x:dxf>
      <x:font>
        <x:u val="none"/>
        <x:sz val="11"/>
        <x:color theme="1"/>
        <x:name val="Aptos Narrow"/>
        <x:family val="2"/>
        <x:scheme val="minor"/>
      </x:font>
      <x:numFmt numFmtId="13" formatCode="0%"/>
      <x:border>
        <x:left style="thin">
          <x:color indexed="64"/>
        </x:left>
        <x:right style="medium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u val="none"/>
        <x:sz val="11"/>
        <x:color theme="1"/>
        <x:name val="Aptos Narrow"/>
        <x:family val="2"/>
        <x:scheme val="minor"/>
      </x:font>
      <x:fill>
        <x:patternFill patternType="solid">
          <x:bgColor indexed="65"/>
        </x:patternFill>
      </x:fill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u val="none"/>
        <x:sz val="11"/>
        <x:color theme="1"/>
        <x:name val="Aptos Narrow"/>
        <x:family val="2"/>
        <x:scheme val="minor"/>
      </x:font>
      <x:numFmt numFmtId="34" formatCode="_-&quot;S/&quot;\ * #,##0.00_-;\-&quot;S/&quot;\ * #,##0.00_-;_-&quot;S/&quot;\ * &quot;-&quot;??_-;_-@_-"/>
      <x:fill>
        <x:patternFill patternType="solid">
          <x:bgColor indexed="65"/>
        </x:patternFill>
      </x:fill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u val="none"/>
        <x:sz val="11"/>
        <x:color theme="1"/>
        <x:name val="Aptos Narrow"/>
        <x:family val="2"/>
        <x:scheme val="minor"/>
      </x:font>
      <x:fill>
        <x:patternFill patternType="solid">
          <x:bgColor indexed="65"/>
        </x:patternFill>
      </x:fill>
      <x:border>
        <x:left style="medium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medium">
          <x:color indexed="64"/>
        </x:left>
        <x:right style="medium">
          <x:color indexed="64"/>
        </x:right>
        <x:top style="medium">
          <x:color indexed="64"/>
        </x:top>
        <x:bottom style="thin">
          <x:color indexed="64"/>
        </x:bottom>
      </x:border>
    </x:dxf>
    <x:dxf/>
    <x:dxf>
      <x:border>
        <x:bottom style="medium">
          <x:color indexed="64"/>
        </x:bottom>
      </x:border>
    </x:dxf>
    <x:dxf>
      <x:font>
        <x:b/>
        <x:u val="none"/>
        <x:sz val="11"/>
        <x:color theme="0"/>
        <x:name val="Aptos Narrow"/>
        <x:family val="2"/>
        <x:scheme val="minor"/>
      </x:font>
      <x:fill>
        <x:patternFill patternType="solid">
          <x:bgColor indexed="65"/>
        </x:patternFill>
      </x:fill>
      <x:border>
        <x:left style="thin">
          <x:color indexed="64"/>
        </x:left>
        <x:right style="thin">
          <x:color indexed="64"/>
        </x:right>
        <x:top/>
        <x:bottom/>
      </x:border>
    </x:dxf>
    <x:dxf>
      <x:numFmt numFmtId="13" formatCode="0%"/>
      <x:fill>
        <x:patternFill>
          <x:bgColor auto="1"/>
        </x:patternFill>
      </x:fill>
    </x:dxf>
    <x:dxf>
      <x:fill>
        <x:patternFill>
          <x:bgColor auto="1"/>
        </x:patternFill>
      </x:fill>
    </x:dxf>
    <x:dxf>
      <x:fill>
        <x:patternFill>
          <x:bgColor auto="1"/>
        </x:patternFill>
      </x:fill>
    </x:dxf>
    <x:dxf>
      <x:fill>
        <x:patternFill>
          <x:bgColor auto="1"/>
        </x:patternFill>
      </x:fill>
    </x:dxf>
    <x:dxf>
      <x:border>
        <x:left style="medium">
          <x:color indexed="64"/>
        </x:left>
        <x:right style="medium">
          <x:color indexed="64"/>
        </x:right>
        <x:top style="medium">
          <x:color indexed="64"/>
        </x:top>
        <x:bottom style="thin">
          <x:color indexed="64"/>
        </x:bottom>
      </x:border>
    </x:dxf>
    <x:dxf>
      <x:fill>
        <x:patternFill>
          <x:bgColor auto="1"/>
        </x:patternFill>
      </x:fill>
    </x:dxf>
    <x:dxf>
      <x:border>
        <x:bottom style="medium">
          <x:color indexed="64"/>
        </x:bottom>
      </x:border>
    </x:dxf>
    <x:dxf>
      <x:font>
        <x:b/>
        <x:u val="none"/>
        <x:sz val="11"/>
        <x:color theme="0"/>
        <x:name val="Aptos Narrow"/>
        <x:family val="2"/>
        <x:scheme val="minor"/>
      </x:font>
      <x:fill>
        <x:patternFill patternType="solid">
          <x:bgColor auto="1"/>
        </x:patternFill>
      </x:fill>
      <x:border>
        <x:left style="thin">
          <x:color indexed="64"/>
        </x:left>
        <x:right style="thin">
          <x:color indexed="64"/>
        </x:right>
        <x:top/>
        <x:bottom/>
      </x:border>
    </x:dxf>
    <x:dxf>
      <x:font>
        <x:b/>
        <x:u val="none"/>
        <x:sz val="14"/>
        <x:color theme="1"/>
        <x:name val="Aptos Narrow"/>
        <x:family val="2"/>
        <x:scheme val="minor"/>
      </x:font>
      <x:numFmt numFmtId="13" formatCode="0%"/>
      <x:border>
        <x:left style="thin">
          <x:color indexed="64"/>
        </x:left>
        <x:right style="medium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u val="none"/>
        <x:sz val="11"/>
        <x:color theme="1"/>
        <x:name val="Aptos Narrow"/>
        <x:family val="2"/>
        <x:scheme val="minor"/>
      </x:font>
      <x:fill>
        <x:patternFill patternType="solid">
          <x:bgColor indexed="65"/>
        </x:patternFill>
      </x:fill>
      <x:border>
        <x:left style="thin">
          <x:color indexed="64"/>
        </x:left>
        <x:right/>
        <x:top style="thin">
          <x:color indexed="64"/>
        </x:top>
        <x:bottom style="thin">
          <x:color indexed="64"/>
        </x:bottom>
      </x:border>
    </x:dxf>
    <x:dxf>
      <x:font>
        <x:u val="none"/>
        <x:sz val="11"/>
        <x:color theme="1"/>
        <x:name val="Aptos Narrow"/>
        <x:family val="2"/>
        <x:scheme val="minor"/>
      </x:font>
      <x:numFmt numFmtId="34" formatCode="_-&quot;S/&quot;\ * #,##0.00_-;\-&quot;S/&quot;\ * #,##0.00_-;_-&quot;S/&quot;\ * &quot;-&quot;??_-;_-@_-"/>
      <x:fill>
        <x:patternFill patternType="solid">
          <x:bgColor indexed="65"/>
        </x:patternFill>
      </x:fill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u val="none"/>
        <x:sz val="11"/>
        <x:color theme="1"/>
        <x:name val="Aptos Narrow"/>
        <x:family val="2"/>
        <x:scheme val="minor"/>
      </x:font>
      <x:fill>
        <x:patternFill patternType="solid">
          <x:bgColor indexed="65"/>
        </x:patternFill>
      </x:fill>
      <x:border>
        <x:left/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medium">
          <x:color indexed="64"/>
        </x:left>
        <x:right style="medium">
          <x:color indexed="64"/>
        </x:right>
        <x:top style="medium">
          <x:color indexed="64"/>
        </x:top>
        <x:bottom style="thin">
          <x:color indexed="64"/>
        </x:bottom>
      </x:border>
    </x:dxf>
    <x:dxf>
      <x:border>
        <x:bottom style="medium">
          <x:color indexed="64"/>
        </x:bottom>
      </x:border>
    </x:dxf>
    <x:dxf>
      <x:font>
        <x:b/>
        <x:u val="none"/>
        <x:sz val="11"/>
        <x:color theme="0"/>
        <x:name val="Aptos Narrow"/>
        <x:family val="2"/>
        <x:scheme val="minor"/>
      </x:font>
      <x:fill>
        <x:patternFill patternType="solid">
          <x:bgColor auto="1"/>
        </x:patternFill>
      </x:fill>
      <x:border>
        <x:left style="thin">
          <x:color indexed="64"/>
        </x:left>
        <x:right style="thin">
          <x:color indexed="64"/>
        </x:right>
        <x:top/>
        <x:bottom/>
      </x:border>
    </x:dxf>
    <x:dxf>
      <x:font>
        <x:u val="none"/>
        <x:sz val="11"/>
        <x:color theme="1"/>
        <x:name val="Aptos Narrow"/>
        <x:family val="2"/>
        <x:scheme val="minor"/>
      </x:font>
      <x:numFmt numFmtId="13" formatCode="0%"/>
      <x:border>
        <x:left style="thin">
          <x:color indexed="64"/>
        </x:left>
        <x:right style="medium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u val="none"/>
        <x:sz val="11"/>
        <x:color theme="1"/>
        <x:name val="Aptos Narrow"/>
        <x:family val="2"/>
        <x:scheme val="minor"/>
      </x:font>
      <x:fill>
        <x:patternFill patternType="solid">
          <x:bgColor indexed="65"/>
        </x:patternFill>
      </x:fill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u val="none"/>
        <x:sz val="11"/>
        <x:color theme="1"/>
        <x:name val="Aptos Narrow"/>
        <x:family val="2"/>
        <x:scheme val="minor"/>
      </x:font>
      <x:numFmt numFmtId="34" formatCode="_-&quot;S/&quot;\ * #,##0.00_-;\-&quot;S/&quot;\ * #,##0.00_-;_-&quot;S/&quot;\ * &quot;-&quot;??_-;_-@_-"/>
      <x:fill>
        <x:patternFill patternType="solid">
          <x:bgColor indexed="65"/>
        </x:patternFill>
      </x:fill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u val="none"/>
        <x:sz val="11"/>
        <x:color theme="1"/>
        <x:name val="Aptos Narrow"/>
        <x:family val="2"/>
        <x:scheme val="minor"/>
      </x:font>
      <x:fill>
        <x:patternFill patternType="solid">
          <x:bgColor indexed="65"/>
        </x:patternFill>
      </x:fill>
      <x:border>
        <x:left style="medium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medium">
          <x:color indexed="64"/>
        </x:left>
        <x:right style="medium">
          <x:color indexed="64"/>
        </x:right>
        <x:top style="medium">
          <x:color indexed="64"/>
        </x:top>
        <x:bottom style="thin">
          <x:color indexed="64"/>
        </x:bottom>
      </x:border>
    </x:dxf>
    <x:dxf/>
    <x:dxf>
      <x:border>
        <x:bottom style="medium">
          <x:color indexed="64"/>
        </x:bottom>
      </x:border>
    </x:dxf>
    <x:dxf>
      <x:font>
        <x:b/>
        <x:u val="none"/>
        <x:sz val="11"/>
        <x:color theme="0"/>
        <x:name val="Aptos Narrow"/>
        <x:family val="2"/>
        <x:scheme val="minor"/>
      </x:font>
      <x:fill>
        <x:patternFill patternType="solid">
          <x:bgColor indexed="65"/>
        </x:patternFill>
      </x:fill>
      <x:border>
        <x:left style="thin">
          <x:color indexed="64"/>
        </x:left>
        <x:right style="thin">
          <x:color indexed="64"/>
        </x:right>
        <x:top/>
        <x:bottom/>
      </x:border>
    </x:dxf>
    <x:dxf>
      <x:border>
        <x:left style="thin">
          <x:color indexed="64"/>
        </x:left>
        <x:right style="medium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medium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medium">
          <x:color indexed="64"/>
        </x:left>
        <x:right style="medium">
          <x:color indexed="64"/>
        </x:right>
        <x:top style="medium">
          <x:color indexed="64"/>
        </x:top>
        <x:bottom style="medium">
          <x:color indexed="64"/>
        </x:bottom>
      </x:border>
    </x:dxf>
    <x:dxf>
      <x:border>
        <x:bottom style="medium">
          <x:color indexed="64"/>
        </x:bottom>
      </x:border>
    </x:dxf>
    <x:dxf>
      <x:font>
        <x:b/>
        <x:u val="none"/>
        <x:sz val="11"/>
        <x:color theme="1"/>
        <x:name val="Aptos Narrow"/>
        <x:family val="2"/>
        <x:scheme val="minor"/>
      </x:font>
      <x:border>
        <x:left style="thin">
          <x:color indexed="64"/>
        </x:left>
        <x:right style="thin">
          <x:color indexed="64"/>
        </x:right>
        <x:top/>
        <x:bottom/>
      </x:border>
    </x:dxf>
    <x:dxf>
      <x:border>
        <x:left style="thin">
          <x:color indexed="64"/>
        </x:left>
        <x:right/>
        <x:top style="thin">
          <x:color indexed="64"/>
        </x:top>
        <x:bottom style="thin">
          <x:color indexed="64"/>
        </x:bottom>
      </x:border>
    </x:dxf>
    <x:dxf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/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medium">
          <x:color indexed="64"/>
        </x:left>
        <x:right style="medium">
          <x:color indexed="64"/>
        </x:right>
        <x:top style="medium">
          <x:color indexed="64"/>
        </x:top>
        <x:bottom style="medium">
          <x:color indexed="64"/>
        </x:bottom>
      </x:border>
    </x:dxf>
    <x:dxf>
      <x:border>
        <x:bottom style="medium">
          <x:color indexed="64"/>
        </x:bottom>
      </x:border>
    </x:dxf>
    <x:dxf>
      <x:font>
        <x:b/>
        <x:u val="none"/>
        <x:sz val="11"/>
        <x:color theme="1"/>
        <x:name val="Aptos Narrow"/>
        <x:family val="2"/>
        <x:scheme val="minor"/>
      </x:font>
      <x:border>
        <x:left style="thin">
          <x:color indexed="64"/>
        </x:left>
        <x:right style="thin">
          <x:color indexed="64"/>
        </x:right>
        <x:top/>
        <x:bottom/>
      </x:border>
    </x:dxf>
    <x:dxf>
      <x:border>
        <x:left style="thin">
          <x:color indexed="64"/>
        </x:left>
        <x:right/>
        <x:top style="thin">
          <x:color indexed="64"/>
        </x:top>
        <x:bottom style="thin">
          <x:color indexed="64"/>
        </x:bottom>
      </x:border>
    </x:dxf>
    <x:dxf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/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medium">
          <x:color indexed="64"/>
        </x:left>
        <x:right style="medium">
          <x:color indexed="64"/>
        </x:right>
        <x:top style="medium">
          <x:color indexed="64"/>
        </x:top>
        <x:bottom style="medium">
          <x:color indexed="64"/>
        </x:bottom>
      </x:border>
    </x:dxf>
    <x:dxf>
      <x:border>
        <x:bottom style="medium">
          <x:color indexed="64"/>
        </x:bottom>
      </x:border>
    </x:dxf>
    <x:dxf>
      <x:font>
        <x:b/>
        <x:u val="none"/>
        <x:sz val="11"/>
        <x:color theme="1"/>
        <x:name val="Aptos Narrow"/>
        <x:family val="2"/>
        <x:scheme val="minor"/>
      </x:font>
      <x:border>
        <x:left style="thin">
          <x:color indexed="64"/>
        </x:left>
        <x:right style="thin">
          <x:color indexed="64"/>
        </x:right>
        <x:top/>
        <x:bottom/>
      </x:border>
    </x:dxf>
    <x:dxf>
      <x:numFmt numFmtId="0" formatCode="General"/>
    </x:dxf>
    <x:dxf>
      <x:border>
        <x:left/>
        <x:right/>
        <x:top style="thin">
          <x:color theme="9" tint="0.39998"/>
        </x:top>
        <x:bottom style="thin">
          <x:color theme="9" tint="0.39998"/>
        </x:bottom>
      </x:border>
    </x:dxf>
    <x:dxf>
      <x:numFmt numFmtId="0" formatCode="General"/>
    </x:dxf>
    <x:dxf>
      <x:font>
        <x:u val="none"/>
        <x:sz val="11"/>
        <x:color theme="1"/>
        <x:name val="Aptos Narrow"/>
        <x:family val="2"/>
        <x:scheme val="minor"/>
      </x:font>
    </x:dxf>
    <x:dxf>
      <x:fill>
        <x:patternFill patternType="solid">
          <x:bgColor auto="1"/>
        </x:patternFill>
      </x:fill>
      <x:border>
        <x:left/>
        <x:right/>
        <x:top style="thin">
          <x:color theme="9" tint="0.39998"/>
        </x:top>
        <x:bottom style="thin">
          <x:color theme="9" tint="0.39998"/>
        </x:bottom>
      </x:border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19" formatCode="d/mm/yyyy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  <x:dxf>
      <x:numFmt numFmtId="0" formatCode="General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b1ea6080ed46b5" /><Relationship Type="http://schemas.openxmlformats.org/officeDocument/2006/relationships/theme" Target="/xl/theme/theme1.xml" Id="R08fceae4dcb443df" /><Relationship Type="http://schemas.openxmlformats.org/officeDocument/2006/relationships/sheetMetadata" Target="/xl/metadata1.xml" Id="R4784625da6f64745" /><Relationship Type="http://schemas.openxmlformats.org/officeDocument/2006/relationships/sharedStrings" Target="/xl/sharedStrings.xml" Id="R4ab202f660ef46e2" /><Relationship Type="http://schemas.openxmlformats.org/officeDocument/2006/relationships/pivotCacheDefinition" Target="/pivotCache/pivotCacheDefinition1.xml" Id="Ra673589674ac41be" /><Relationship Type="http://schemas.openxmlformats.org/officeDocument/2006/relationships/worksheet" Target="/xl/worksheets/sheet1.xml" Id="Re77207ca951146ce" /><Relationship Type="http://schemas.openxmlformats.org/officeDocument/2006/relationships/worksheet" Target="/xl/worksheets/sheet2.xml" Id="R138e3ad30654450b" /><Relationship Type="http://schemas.openxmlformats.org/officeDocument/2006/relationships/worksheet" Target="/xl/worksheets/sheet3.xml" Id="R4c49459381df40d8" /><Relationship Type="http://schemas.openxmlformats.org/officeDocument/2006/relationships/worksheet" Target="/xl/worksheets/sheet4.xml" Id="Ra29806ade8284ec5" /><Relationship Type="http://schemas.openxmlformats.org/officeDocument/2006/relationships/worksheet" Target="/xl/worksheets/sheet5.xml" Id="Re920ea339aa445a4" /><Relationship Type="http://schemas.openxmlformats.org/officeDocument/2006/relationships/worksheet" Target="/xl/worksheets/sheet6.xml" Id="Rcd94e3accf1d437b" /><Relationship Type="http://schemas.openxmlformats.org/officeDocument/2006/relationships/worksheet" Target="/xl/worksheets/sheet7.xml" Id="Ra31a847d041d4db3" /><Relationship Type="http://schemas.openxmlformats.org/officeDocument/2006/relationships/worksheet" Target="/xl/worksheets/sheet8.xml" Id="R6e4d53f4b30141aa" /><Relationship Type="http://schemas.openxmlformats.org/officeDocument/2006/relationships/worksheet" Target="/xl/worksheets/sheet9.xml" Id="R4220c9e60c1b4bab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e640f68eea5845a2" /></Relationships>
</file>

<file path=xl/pivotTables/pivotTable.xml><?xml version="1.0" encoding="utf-8"?>
<x:pivotTableDefinition xmlns:x="http://schemas.openxmlformats.org/spreadsheetml/2006/main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x:location ref="A3:C33" firstHeaderRow="0" firstDataRow="1" firstDataCol="1" rowPageCount="1" colPageCount="1"/>
  <x:pivotFields count="30">
    <x:pivotField numFmtId="14" showAll="0"/>
    <x:pivotField axis="axisPage" showAll="0">
      <x:items count="5">
        <x:item x="0"/>
        <x:item x="1"/>
        <x:item x="2"/>
        <x:item x="3"/>
        <x:item t="default"/>
      </x:items>
    </x:pivotField>
    <x:pivotField showAll="0"/>
    <x:pivotField showAll="0"/>
    <x:pivotField showAll="0"/>
    <x:pivotField showAll="0"/>
    <x:pivotField showAll="0"/>
    <x:pivotField showAll="0"/>
    <x:pivotField showAll="0"/>
    <x:pivotField showAll="0"/>
    <x:pivotField showAll="0"/>
    <x:pivotField showAll="0"/>
    <x:pivotField showAll="0"/>
    <x:pivotField showAll="0"/>
    <x:pivotField showAll="0"/>
    <x:pivotField showAll="0"/>
    <x:pivotField axis="axisRow" dataField="1" showAll="0" sortType="descending">
      <x:items count="45">
        <x:item x="21"/>
        <x:item x="7"/>
        <x:item x="4"/>
        <x:item x="40"/>
        <x:item x="25"/>
        <x:item x="9"/>
        <x:item x="34"/>
        <x:item x="23"/>
        <x:item x="24"/>
        <x:item x="29"/>
        <x:item x="37"/>
        <x:item x="36"/>
        <x:item x="1"/>
        <x:item x="15"/>
        <x:item x="28"/>
        <x:item x="41"/>
        <x:item x="10"/>
        <x:item x="6"/>
        <x:item x="18"/>
        <x:item x="16"/>
        <x:item x="20"/>
        <x:item x="30"/>
        <x:item x="8"/>
        <x:item x="39"/>
        <x:item x="31"/>
        <x:item x="35"/>
        <x:item x="0"/>
        <x:item x="2"/>
        <x:item x="42"/>
        <x:item x="43"/>
        <x:item x="38"/>
        <x:item x="17"/>
        <x:item x="5"/>
        <x:item x="27"/>
        <x:item x="14"/>
        <x:item x="26"/>
        <x:item x="32"/>
        <x:item x="19"/>
        <x:item x="12"/>
        <x:item x="3"/>
        <x:item x="13"/>
        <x:item x="22"/>
        <x:item x="33"/>
        <x:item x="11"/>
        <x:item t="default"/>
      </x:items>
      <x:autoSortScope>
        <x:pivotArea dataOnly="0" outline="0" fieldPosition="0">
          <x:references count="1">
            <x:reference field="4294967294" count="1" selected="0">
              <x:x v="0"/>
            </x:reference>
          </x:references>
        </x:pivotArea>
      </x:autoSortScope>
    </x:pivotField>
    <x:pivotField showAll="0"/>
    <x:pivotField showAll="0"/>
    <x:pivotField showAll="0"/>
    <x:pivotField showAll="0"/>
    <x:pivotField showAll="0"/>
    <x:pivotField showAll="0"/>
    <x:pivotField dataField="1" showAll="0"/>
    <x:pivotField showAll="0"/>
    <x:pivotField showAll="0"/>
    <x:pivotField showAll="0"/>
    <x:pivotField showAll="0"/>
    <x:pivotField showAll="0"/>
    <x:pivotField showAll="0"/>
  </x:pivotFields>
  <x:rowFields count="1">
    <x:field x="16"/>
  </x:rowFields>
  <x:rowItems count="30">
    <x:i>
      <x:x v="16"/>
    </x:i>
    <x:i>
      <x:x v="12"/>
    </x:i>
    <x:i>
      <x:x v="27"/>
    </x:i>
    <x:i>
      <x:x v="2"/>
    </x:i>
    <x:i>
      <x:x v="38"/>
    </x:i>
    <x:i>
      <x:x v="26"/>
    </x:i>
    <x:i>
      <x:x v="1"/>
    </x:i>
    <x:i>
      <x:x v="22"/>
    </x:i>
    <x:i>
      <x:x v="23"/>
    </x:i>
    <x:i>
      <x:x v="7"/>
    </x:i>
    <x:i>
      <x:x/>
    </x:i>
    <x:i>
      <x:x v="15"/>
    </x:i>
    <x:i>
      <x:x v="11"/>
    </x:i>
    <x:i>
      <x:x v="34"/>
    </x:i>
    <x:i>
      <x:x v="41"/>
    </x:i>
    <x:i>
      <x:x v="39"/>
    </x:i>
    <x:i>
      <x:x v="32"/>
    </x:i>
    <x:i>
      <x:x v="8"/>
    </x:i>
    <x:i>
      <x:x v="13"/>
    </x:i>
    <x:i>
      <x:x v="29"/>
    </x:i>
    <x:i>
      <x:x v="28"/>
    </x:i>
    <x:i>
      <x:x v="17"/>
    </x:i>
    <x:i>
      <x:x v="42"/>
    </x:i>
    <x:i>
      <x:x v="20"/>
    </x:i>
    <x:i>
      <x:x v="31"/>
    </x:i>
    <x:i>
      <x:x v="18"/>
    </x:i>
    <x:i>
      <x:x v="19"/>
    </x:i>
    <x:i>
      <x:x v="37"/>
    </x:i>
    <x:i>
      <x:x v="5"/>
    </x:i>
    <x:i t="grand">
      <x:x/>
    </x:i>
  </x:rowItems>
  <x:colFields count="1">
    <x:field x="-2"/>
  </x:colFields>
  <x:colItems count="2">
    <x:i>
      <x:x/>
    </x:i>
    <x:i i="1">
      <x:x v="1"/>
    </x:i>
  </x:colItems>
  <x:pageFields count="1">
    <x:pageField fld="1" item="3" hier="-1"/>
  </x:pageFields>
  <x:dataFields count="2">
    <x:dataField name="S/. Imp." fld="23" baseField="0" baseItem="0" numFmtId="44"/>
    <x:dataField name="# Cant." fld="16" subtotal="count" baseField="0" baseItem="0"/>
  </x:dataFields>
  <x:formats count="2">
    <x:format dxfId="2">
      <x:pivotArea dataOnly="0" labelOnly="1" outline="0" fieldPosition="0">
        <x:references count="1">
          <x:reference field="4294967294" count="2">
            <x:x v="0"/>
            <x:x v="1"/>
          </x:reference>
        </x:references>
      </x:pivotArea>
    </x:format>
    <x:format dxfId="1">
      <x:pivotArea outline="0" collapsedLevelsAreSubtotals="1" fieldPosition="0">
        <x:references count="1">
          <x:reference field="4294967294" count="1" selected="0">
            <x:x v="0"/>
          </x:reference>
        </x:references>
      </x:pivotArea>
    </x:format>
  </x:formats>
  <x:pivotTableStyleInfo name="PivotStyleLight16" showRowHeaders="1" showColHeaders="1" showRowStripes="0" showColStripes="0" showLastColumn="1"/>
  <x:extLst xmlns:x="http://schemas.openxmlformats.org/spreadsheetml/2006/main">
    <x:ext xmlns:x14="http://schemas.microsoft.com/office/spreadsheetml/2009/9/main" uri="{962EF5D1-5CA2-4c93-8EF4-DBF5C05439D2}">
      <x14:pivotTableDefinition xmlns:xm="http://schemas.microsoft.com/office/excel/2006/main" hideValuesRow="1"/>
    </x:ext>
    <x:ext xmlns:xpdl="http://schemas.microsoft.com/office/spreadsheetml/2016/pivotdefaultlayout" uri="{747A6164-185A-40DC-8AA5-F01512510D54}">
      <xpdl:pivotTableDefinition16/>
    </x:ext>
  </x:extLst>
</x:pivotTableDefinition>
</file>

<file path=xl/tables/table1.xml><?xml version="1.0" encoding="utf-8"?>
<x:table xmlns:x="http://schemas.openxmlformats.org/spreadsheetml/2006/main" id="3" name="Médicos" displayName="Médicos" ref="A1:AB588" totalsRowShown="0">
  <x:autoFilter ref="A1:AB588"/>
  <x:tableColumns count="28">
    <x:tableColumn id="1" name="FECHA" dataDxfId="133"/>
    <x:tableColumn id="2" name="INVNUM" dataDxfId="132"/>
    <x:tableColumn id="3" name="COMPROBANTE" dataDxfId="131"/>
    <x:tableColumn id="4" name="FACTURA" dataDxfId="130"/>
    <x:tableColumn id="5" name="TIPO PAGO" dataDxfId="129"/>
    <x:tableColumn id="6" name="# DOC" dataDxfId="128"/>
    <x:tableColumn id="7" name="PACIENTE" dataDxfId="127"/>
    <x:tableColumn id="8" name="DNI" dataDxfId="126"/>
    <x:tableColumn id="9" name="MEDICO" dataDxfId="125"/>
    <x:tableColumn id="10" name="INSTITUCIÓN" dataDxfId="124"/>
    <x:tableColumn id="11" name="CARTERA" dataDxfId="123"/>
    <x:tableColumn id="12" name="HISTORIA" dataDxfId="122"/>
    <x:tableColumn id="13" name="TELEFONO" dataDxfId="121"/>
    <x:tableColumn id="14" name="RAZON SOCIAL" dataDxfId="120"/>
    <x:tableColumn id="15" name="PREFACTURA" dataDxfId="119"/>
    <x:tableColumn id="16" name="DESCRIPCION" dataDxfId="118"/>
    <x:tableColumn id="17" name="CANTIDAD"/>
    <x:tableColumn id="18" name="DESCRIP PLAN" dataDxfId="117"/>
    <x:tableColumn id="19" name="CONTRATANTE" dataDxfId="116"/>
    <x:tableColumn id="20" name="ASEGURADORA" dataDxfId="115"/>
    <x:tableColumn id="21" name="SEDEXX" dataDxfId="114"/>
    <x:tableColumn id="22" name="FACTURADOR" dataDxfId="113"/>
    <x:tableColumn id="23" name="FAC TOTAL"/>
    <x:tableColumn id="24" name="CENTRO_COSTO" dataDxfId="112"/>
    <x:tableColumn id="25" name="CONVENIO" dataDxfId="111"/>
    <x:tableColumn id="26" name="SEDE" dataDxfId="110"/>
    <x:tableColumn id="27" name="CELULAR"/>
    <x:tableColumn id="28" name="CUENTA BANCARIA" dataDxfId="109"/>
  </x:tableColumns>
  <x:tableStyleInfo name="TableStyleMedium7" showFirstColumn="0" showLastColumn="0" showRowStripes="1" showColumnStripes="0"/>
</x:table>
</file>

<file path=xl/tables/table2.xml><?xml version="1.0" encoding="utf-8"?>
<x:table xmlns:x="http://schemas.openxmlformats.org/spreadsheetml/2006/main" id="2" name="Cuentas1" displayName="Cuentas1" ref="A1:G308" totalsRowShown="0">
  <x:tableColumns count="7">
    <x:tableColumn id="1" name="Médico" dataDxfId="108"/>
    <x:tableColumn id="2" name="Celular"/>
    <x:tableColumn id="3" name="Banco" dataDxfId="107"/>
    <x:tableColumn id="4" name="# Cuenta" dataDxfId="106"/>
    <x:tableColumn id="5" name="# CCI" dataDxfId="105"/>
    <x:tableColumn id="6" name="Institución" dataDxfId="104"/>
    <x:tableColumn id="7" name="Columna1"/>
  </x:tableColumns>
  <x:tableStyleInfo name="TableStyleMedium7" showFirstColumn="0" showLastColumn="0" showRowStripes="1" showColumnStripes="0"/>
</x:table>
</file>

<file path=xl/tables/table3.xml><?xml version="1.0" encoding="utf-8"?>
<x:table xmlns:x="http://schemas.openxmlformats.org/spreadsheetml/2006/main" id="7" name="Bonos2" displayName="Bonos2" ref="A1:B18" totalsRowShown="0">
  <x:autoFilter ref="A1:B18"/>
  <x:tableColumns count="2">
    <x:tableColumn id="1" name="Servicios" dataDxfId="103"/>
    <x:tableColumn id="2" name="Precio Bono"/>
  </x:tableColumns>
  <x:tableStyleInfo name="TableStyleMedium7" showFirstColumn="0" showLastColumn="0" showRowStripes="1" showColumnStripes="0"/>
</x:table>
</file>

<file path=xl/tables/table4.xml><?xml version="1.0" encoding="utf-8"?>
<x:table xmlns:x="http://schemas.openxmlformats.org/spreadsheetml/2006/main" id="1" name="Ventas_Precisa" displayName="Ventas_Precisa" ref="A1:AD830" totalsRowShown="0">
  <x:sortState ref="A2:AD830">
    <x:sortCondition ref="A1:A830"/>
  </x:sortState>
  <x:tableColumns count="30">
    <x:tableColumn id="1" name="FECHA" dataDxfId="0"/>
    <x:tableColumn id="29" name="MES" dataDxfId="158"/>
    <x:tableColumn id="2" name="INVNUM" dataDxfId="157"/>
    <x:tableColumn id="3" name="COMPROBANTE" dataDxfId="156"/>
    <x:tableColumn id="4" name="FACTURA" dataDxfId="155"/>
    <x:tableColumn id="5" name="TIPO PAGO" dataDxfId="154"/>
    <x:tableColumn id="6" name="# DOC" dataDxfId="153"/>
    <x:tableColumn id="7" name="PACIENTE" dataDxfId="152"/>
    <x:tableColumn id="9" name="DNI" dataDxfId="151"/>
    <x:tableColumn id="8" name="MEDICO" dataDxfId="150"/>
    <x:tableColumn id="25" name="INSTITUCIÓN" dataDxfId="149"/>
    <x:tableColumn id="26" name="CARTERA" dataDxfId="148"/>
    <x:tableColumn id="10" name="HISTORIA" dataDxfId="147"/>
    <x:tableColumn id="11" name="TELEFONO" dataDxfId="146"/>
    <x:tableColumn id="12" name="RAZON SOCIAL" dataDxfId="145"/>
    <x:tableColumn id="13" name="PREFACTURA" dataDxfId="144"/>
    <x:tableColumn id="14" name="DESCRIPCION" dataDxfId="143"/>
    <x:tableColumn id="15" name="CANTIDAD"/>
    <x:tableColumn id="16" name="DESCRIP PLAN" dataDxfId="142"/>
    <x:tableColumn id="17" name="CONTRATANTE" dataDxfId="141"/>
    <x:tableColumn id="18" name="ASEGURADORA" dataDxfId="140"/>
    <x:tableColumn id="19" name="SEDEXX" dataDxfId="139"/>
    <x:tableColumn id="20" name="FACTURADOR" dataDxfId="138"/>
    <x:tableColumn id="21" name="FAC TOTAL"/>
    <x:tableColumn id="22" name="CENTRO_COSTO" dataDxfId="137"/>
    <x:tableColumn id="23" name="CONVENIO" dataDxfId="136"/>
    <x:tableColumn id="24" name="SEDE" dataDxfId="135"/>
    <x:tableColumn id="27" name="CELULAR"/>
    <x:tableColumn id="28" name="CUENTA BANCARIA" dataDxfId="134"/>
    <x:tableColumn id="30" name="Bono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Tabla5" displayName="Tabla5" ref="A7:C106" totalsRowShown="0">
  <x:tableColumns count="3">
    <x:tableColumn id="1" name="MEDICO" dataDxfId="102"/>
    <x:tableColumn id="2" name="FACTURACIÓN" dataDxfId="101">
      <x:calculatedColumnFormula>+IF($B$4="TODOS",SUMIFS(Base_Precisa!X:X,Base_Precisa!J:J,Cálculo_Categorías!A8),SUMIFS(Base_Precisa!X:X,Base_Precisa!J:J,Cálculo_Categorías!A8,Base_Precisa!B:B,Cálculo_Categorías!$B$4))</x:calculatedColumnFormula>
    </x:tableColumn>
    <x:tableColumn id="3" name="CATEGORÍA" dataDxfId="100">
      <x:calculatedColumnFormula array="1">+_xlfn.IFS(Tabla5[[#This Row],[FACTURACIÓN]]&lt;500,"A",Tabla5[[#This Row],[FACTURACIÓN]]&lt;1000,"AA",Tabla5[[#This Row],[FACTURACIÓN]]&gt;=1000,"AAA")</x:calculatedColumnFormula>
    </x:tableColumn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9" name="Tabla9" displayName="Tabla9" ref="E7:G45" totalsRowShown="0">
  <x:tableColumns count="3">
    <x:tableColumn id="1" name="INSTITUCIÓN" dataDxfId="99"/>
    <x:tableColumn id="2" name="FACTURACIÓN">
      <x:calculatedColumnFormula>+IF($F$4="TODOS",SUMIFS(Base_Precisa!X:X,Base_Precisa!K:K,Cálculo_Categorías!E8),SUMIFS(Base_Precisa!X:X,Base_Precisa!K:K,Cálculo_Categorías!E8,Base_Precisa!B:B,Cálculo_Categorías!$F$4))</x:calculatedColumnFormula>
    </x:tableColumn>
    <x:tableColumn id="3" name="CATEGORÍA" dataDxfId="98">
      <x:calculatedColumnFormula array="1">+_xlfn.IFS(Tabla9[[#This Row],[FACTURACIÓN]]&lt;200,"Sin Categoría",Tabla9[[#This Row],[FACTURACIÓN]]&lt;500,"A",Tabla9[[#This Row],[FACTURACIÓN]]&lt;1000,"AA",Tabla9[[#This Row],[FACTURACIÓN]]&gt;=1000,"AAA")</x:calculatedColumnFormula>
    </x:tableColumn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4" name="Tabla4" displayName="Tabla4" ref="F7:H48" totalsRowShown="0" headerRowBorderDxfId="96">
  <x:autoFilter ref="F7:H48"/>
  <x:sortState ref="F8:H34">
    <x:sortCondition descending="1" ref="G7:G34"/>
  </x:sortState>
  <x:tableColumns count="3">
    <x:tableColumn id="1" name="MEDICO" dataDxfId="94"/>
    <x:tableColumn id="2" name="FACTURACIÓN" dataDxfId="93"/>
    <x:tableColumn id="3" name="CATEGORÍA" dataDxfId="92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6" name="Tabla6" displayName="Tabla6" ref="K7:M68" totalsRowShown="0" headerRowBorderDxfId="90">
  <x:autoFilter ref="K7:M68"/>
  <x:sortState ref="K8:M68">
    <x:sortCondition descending="1" ref="L7:L68"/>
  </x:sortState>
  <x:tableColumns count="3">
    <x:tableColumn id="1" name="MEDICO" dataDxfId="88"/>
    <x:tableColumn id="2" name="FACTURACIÓN" dataDxfId="87"/>
    <x:tableColumn id="3" name="CATEGORÍA" dataDxfId="86"/>
  </x:tableColumns>
  <x:tableStyleInfo name="TableStyleMedium4" showFirstColumn="0" showLastColumn="0" showRowStripes="1" showColumnStripes="0"/>
</x:table>
</file>

<file path=xl/tables/table9.xml><?xml version="1.0" encoding="utf-8"?>
<x:table xmlns:x="http://schemas.openxmlformats.org/spreadsheetml/2006/main" id="8" name="Tabla8" displayName="Tabla8" ref="P8:R41" totalsRowShown="0" headerRowBorderDxfId="84">
  <x:autoFilter ref="P8:R41"/>
  <x:sortState ref="P9:R41">
    <x:sortCondition descending="1" ref="Q8:Q41"/>
  </x:sortState>
  <x:tableColumns count="3">
    <x:tableColumn id="1" name="MEDICO" dataDxfId="82"/>
    <x:tableColumn id="2" name="FACTURACIÓN" dataDxfId="81"/>
    <x:tableColumn id="3" name="CATEGORÍA" dataDxfId="80"/>
  </x:tableColumns>
  <x:tableStyleInfo name="TableStyleMedium4" showFirstColumn="0" showLastColumn="0" showRowStripes="1" showColumnStripes="0"/>
</x:table>
</file>

<file path=xl/tables/table10.xml><?xml version="1.0" encoding="utf-8"?>
<x:table xmlns:x="http://schemas.openxmlformats.org/spreadsheetml/2006/main" id="10" name="Tabla10" displayName="Tabla10" ref="F2:I6" totalsRowShown="0" dataDxfId="77" headerRowBorderDxfId="78">
  <x:autoFilter ref="F2:I6"/>
  <x:tableColumns count="4">
    <x:tableColumn id="1" name="DETALLE" dataDxfId="75"/>
    <x:tableColumn id="2" name="S/." dataDxfId="74"/>
    <x:tableColumn id="3" name="#" dataDxfId="73"/>
    <x:tableColumn id="4" name="%" dataDxfId="72">
      <x:calculatedColumnFormula>H3/$H$6</x:calculatedColumnFormula>
    </x:tableColumn>
  </x:tableColumns>
  <x:tableStyleInfo name="TableStyleMedium4" showFirstColumn="0" showLastColumn="0" showRowStripes="1" showColumnStripes="0"/>
</x:table>
</file>

<file path=xl/tables/table11.xml><?xml version="1.0" encoding="utf-8"?>
<x:table xmlns:x="http://schemas.openxmlformats.org/spreadsheetml/2006/main" id="11" name="Tabla11" displayName="Tabla11" ref="K2:N6" totalsRowShown="0" headerRowBorderDxfId="70">
  <x:autoFilter ref="K2:N6"/>
  <x:tableColumns count="4">
    <x:tableColumn id="1" name="DETALLE" dataDxfId="68"/>
    <x:tableColumn id="2" name="S/." dataDxfId="67"/>
    <x:tableColumn id="3" name="#" dataDxfId="66"/>
    <x:tableColumn id="4" name="%" dataDxfId="65">
      <x:calculatedColumnFormula>M3/$M$6</x:calculatedColumnFormula>
    </x:tableColumn>
  </x:tableColumns>
  <x:tableStyleInfo name="TableStyleMedium4" showFirstColumn="0" showLastColumn="0" showRowStripes="1" showColumnStripes="0"/>
</x:table>
</file>

<file path=xl/tables/table12.xml><?xml version="1.0" encoding="utf-8"?>
<x:table xmlns:x="http://schemas.openxmlformats.org/spreadsheetml/2006/main" id="12" name="Tabla12" displayName="Tabla12" ref="P2:S7" totalsRowShown="0" dataDxfId="62" headerRowBorderDxfId="63">
  <x:autoFilter ref="P2:S7"/>
  <x:tableColumns count="4">
    <x:tableColumn id="1" name="DETALLE" dataDxfId="60"/>
    <x:tableColumn id="2" name="S/." dataDxfId="59"/>
    <x:tableColumn id="3" name="#" dataDxfId="58"/>
    <x:tableColumn id="4" name="%" dataDxfId="57">
      <x:calculatedColumnFormula>R3/$R$7</x:calculatedColumnFormula>
    </x:tableColumn>
  </x:tableColumns>
  <x:tableStyleInfo name="TableStyleMedium4" showFirstColumn="0" showLastColumn="0" showRowStripes="1" showColumnStripes="0"/>
</x:table>
</file>

<file path=xl/tables/table13.xml><?xml version="1.0" encoding="utf-8"?>
<x:table xmlns:x="http://schemas.openxmlformats.org/spreadsheetml/2006/main" id="19" name="Tabla1020" displayName="Tabla1020" ref="A2:D6" totalsRowShown="0" dataDxfId="54" headerRowBorderDxfId="55">
  <x:autoFilter ref="A2:D6"/>
  <x:tableColumns count="4">
    <x:tableColumn id="1" name="DETALLE" dataDxfId="52"/>
    <x:tableColumn id="2" name="S/." dataDxfId="51"/>
    <x:tableColumn id="3" name="#" dataDxfId="50"/>
    <x:tableColumn id="4" name="%" dataDxfId="49">
      <x:calculatedColumnFormula>C3/$H$6</x:calculatedColumnFormula>
    </x:tableColumn>
  </x:tableColumns>
  <x:tableStyleInfo name="TableStyleMedium4" showFirstColumn="0" showLastColumn="0" showRowStripes="1" showColumnStripes="0"/>
</x:table>
</file>

<file path=xl/tables/table14.xml><?xml version="1.0" encoding="utf-8"?>
<x:table xmlns:x="http://schemas.openxmlformats.org/spreadsheetml/2006/main" id="20" name="Tabla421" displayName="Tabla421" ref="A7:C17" totalsRowShown="0" headerRowBorderDxfId="47">
  <x:autoFilter ref="A7:C17"/>
  <x:sortState ref="A8:C8">
    <x:sortCondition descending="1" ref="B7:B8"/>
  </x:sortState>
  <x:tableColumns count="3">
    <x:tableColumn id="1" name="MEDICO" dataDxfId="45"/>
    <x:tableColumn id="2" name="FACTURACIÓN"/>
    <x:tableColumn id="3" name="CATEGORÍA"/>
  </x:tableColumns>
  <x:tableStyleInfo name="TableStyleMedium4" showFirstColumn="0" showLastColumn="0" showRowStripes="1" showColumnStripes="0"/>
</x:table>
</file>

<file path=xl/tables/table15.xml><?xml version="1.0" encoding="utf-8"?>
<x:table xmlns:x="http://schemas.openxmlformats.org/spreadsheetml/2006/main" id="13" name="Tabla414" displayName="Tabla414" ref="A8:C20" totalsRowShown="0" headerRowBorderDxfId="43">
  <x:autoFilter ref="A8:C20"/>
  <x:sortState ref="A9:C20">
    <x:sortCondition descending="1" ref="B8:B20"/>
  </x:sortState>
  <x:tableColumns count="3">
    <x:tableColumn id="1" name="MEDICO" dataDxfId="41"/>
    <x:tableColumn id="2" name="FACTURACIÓN" dataDxfId="40"/>
    <x:tableColumn id="3" name="CATEGORÍA" dataDxfId="39"/>
  </x:tableColumns>
  <x:tableStyleInfo name="TableStyleMedium4" showFirstColumn="0" showLastColumn="0" showRowStripes="1" showColumnStripes="0"/>
</x:table>
</file>

<file path=xl/tables/table16.xml><?xml version="1.0" encoding="utf-8"?>
<x:table xmlns:x="http://schemas.openxmlformats.org/spreadsheetml/2006/main" id="14" name="Tabla1015" displayName="Tabla1015" ref="A2:D7" totalsRowShown="0" dataDxfId="36" headerRowBorderDxfId="37">
  <x:autoFilter ref="A2:D7"/>
  <x:tableColumns count="4">
    <x:tableColumn id="1" name="DETALLE" dataDxfId="34"/>
    <x:tableColumn id="2" name="S/." dataDxfId="33"/>
    <x:tableColumn id="3" name="#" dataDxfId="32"/>
    <x:tableColumn id="4" name="%" dataDxfId="31">
      <x:calculatedColumnFormula>C3/$C$7</x:calculatedColumnFormula>
    </x:tableColumn>
  </x:tableColumns>
  <x:tableStyleInfo name="TableStyleMedium4" showFirstColumn="0" showLastColumn="0" showRowStripes="1" showColumnStripes="0"/>
</x:table>
</file>

<file path=xl/tables/table17.xml><?xml version="1.0" encoding="utf-8"?>
<x:table xmlns:x="http://schemas.openxmlformats.org/spreadsheetml/2006/main" id="15" name="Tabla41416" displayName="Tabla41416" ref="F8:H37" totalsRowShown="0" headerRowBorderDxfId="29">
  <x:autoFilter ref="F8:H37"/>
  <x:sortState ref="F9:H37">
    <x:sortCondition descending="1" ref="G8:G37"/>
  </x:sortState>
  <x:tableColumns count="3">
    <x:tableColumn id="1" name="MEDICO" dataDxfId="27"/>
    <x:tableColumn id="2" name="FACTURACIÓN" dataDxfId="26"/>
    <x:tableColumn id="3" name="CATEGORÍA" dataDxfId="25"/>
  </x:tableColumns>
  <x:tableStyleInfo name="TableStyleMedium4" showFirstColumn="0" showLastColumn="0" showRowStripes="1" showColumnStripes="0"/>
</x:table>
</file>

<file path=xl/tables/table18.xml><?xml version="1.0" encoding="utf-8"?>
<x:table xmlns:x="http://schemas.openxmlformats.org/spreadsheetml/2006/main" id="16" name="Tabla101517" displayName="Tabla101517" ref="F2:I7" totalsRowShown="0" dataDxfId="22" headerRowBorderDxfId="23">
  <x:autoFilter ref="F2:I7"/>
  <x:tableColumns count="4">
    <x:tableColumn id="1" name="DETALLE" dataDxfId="20"/>
    <x:tableColumn id="2" name="S/." dataDxfId="19"/>
    <x:tableColumn id="3" name="#" dataDxfId="18"/>
    <x:tableColumn id="4" name="%" dataDxfId="17">
      <x:calculatedColumnFormula>H3/$H$7</x:calculatedColumnFormula>
    </x:tableColumn>
  </x:tableColumns>
  <x:tableStyleInfo name="TableStyleMedium4" showFirstColumn="0" showLastColumn="0" showRowStripes="1" showColumnStripes="0"/>
</x:table>
</file>

<file path=xl/tables/table19.xml><?xml version="1.0" encoding="utf-8"?>
<x:table xmlns:x="http://schemas.openxmlformats.org/spreadsheetml/2006/main" id="17" name="Tabla41418" displayName="Tabla41418" ref="K8:M25" totalsRowShown="0" headerRowBorderDxfId="15">
  <x:autoFilter ref="K8:M25"/>
  <x:sortState ref="K9:M25">
    <x:sortCondition descending="1" ref="L8:L25"/>
  </x:sortState>
  <x:tableColumns count="3">
    <x:tableColumn id="1" name="MEDICO" dataDxfId="13"/>
    <x:tableColumn id="2" name="FACTURACIÓN" dataDxfId="12"/>
    <x:tableColumn id="3" name="CATEGORÍA" dataDxfId="11"/>
  </x:tableColumns>
  <x:tableStyleInfo name="TableStyleMedium4" showFirstColumn="0" showLastColumn="0" showRowStripes="1" showColumnStripes="0"/>
</x:table>
</file>

<file path=xl/tables/table20.xml><?xml version="1.0" encoding="utf-8"?>
<x:table xmlns:x="http://schemas.openxmlformats.org/spreadsheetml/2006/main" id="18" name="Tabla101519" displayName="Tabla101519" ref="K2:N7" totalsRowShown="0" dataDxfId="8" headerRowBorderDxfId="9">
  <x:autoFilter ref="K2:N7"/>
  <x:tableColumns count="4">
    <x:tableColumn id="1" name="DETALLE" dataDxfId="6"/>
    <x:tableColumn id="2" name="S/." dataDxfId="5"/>
    <x:tableColumn id="3" name="#" dataDxfId="4"/>
    <x:tableColumn id="4" name="%" dataDxfId="3">
      <x:calculatedColumnFormula>M3/$M$7</x:calculatedColumnFormula>
    </x:tableColumn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204ebc48e9a47a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5c1824bc1914ea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5571ef302034b9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72b4d6da6744a2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da5823291334969" /><Relationship Type="http://schemas.openxmlformats.org/officeDocument/2006/relationships/table" Target="/xl/tables/table6.xml" Id="R1b4a7e33c3d54dd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7.xml" Id="Ra93a5aa0702246b6" /><Relationship Type="http://schemas.openxmlformats.org/officeDocument/2006/relationships/table" Target="/xl/tables/table8.xml" Id="R031d8807f5414236" /><Relationship Type="http://schemas.openxmlformats.org/officeDocument/2006/relationships/table" Target="/xl/tables/table9.xml" Id="Re0afad2132e04e3e" /><Relationship Type="http://schemas.openxmlformats.org/officeDocument/2006/relationships/table" Target="/xl/tables/table10.xml" Id="Rbc806fa93fe94660" /><Relationship Type="http://schemas.openxmlformats.org/officeDocument/2006/relationships/table" Target="/xl/tables/table11.xml" Id="R4441e00411f5486f" /><Relationship Type="http://schemas.openxmlformats.org/officeDocument/2006/relationships/table" Target="/xl/tables/table12.xml" Id="R8e958541ab6d4857" /><Relationship Type="http://schemas.openxmlformats.org/officeDocument/2006/relationships/table" Target="/xl/tables/table13.xml" Id="R8017a6e7494d43cd" /><Relationship Type="http://schemas.openxmlformats.org/officeDocument/2006/relationships/table" Target="/xl/tables/table14.xml" Id="R375059034ce046c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5.xml" Id="R2875db259bff49a7" /><Relationship Type="http://schemas.openxmlformats.org/officeDocument/2006/relationships/table" Target="/xl/tables/table16.xml" Id="Rf770ef98176d458c" /><Relationship Type="http://schemas.openxmlformats.org/officeDocument/2006/relationships/table" Target="/xl/tables/table17.xml" Id="R17f8257089864e4a" /><Relationship Type="http://schemas.openxmlformats.org/officeDocument/2006/relationships/table" Target="/xl/tables/table18.xml" Id="R1f809472cc384796" /><Relationship Type="http://schemas.openxmlformats.org/officeDocument/2006/relationships/table" Target="/xl/tables/table19.xml" Id="R6b2d53c4bfc54842" /><Relationship Type="http://schemas.openxmlformats.org/officeDocument/2006/relationships/table" Target="/xl/tables/table20.xml" Id="Rdd7ced784734449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c1006e66c20c4012" /></Relationships>
</file>

<file path=xl/worksheets/sheet1.xml><?xml version="1.0" encoding="utf-8"?>
<x:worksheet xmlns:x="http://schemas.openxmlformats.org/spreadsheetml/2006/main">
  <x:sheetFormatPr baseColWidth="10" defaultRowHeight="14.399999618530273"/>
  <x:cols>
    <x:col min="1" max="1" width="10.33203125" customWidth="1"/>
    <x:col min="2" max="2" width="10.21875" customWidth="1"/>
    <x:col min="3" max="3" width="16.21875" customWidth="1"/>
    <x:col min="4" max="4" width="10.88671875" customWidth="1"/>
    <x:col min="5" max="5" width="12.33203125" customWidth="1"/>
    <x:col min="6" max="6" width="9.21875" customWidth="1"/>
    <x:col min="7" max="7" width="43.44140625" customWidth="1"/>
    <x:col min="8" max="8" width="10" customWidth="1"/>
    <x:col min="9" max="9" width="40.88671875" customWidth="1"/>
    <x:col min="10" max="10" width="33.88671875" customWidth="1"/>
    <x:col min="11" max="11" width="10.77734375" customWidth="1"/>
    <x:col min="12" max="12" width="11.21875" customWidth="1"/>
    <x:col min="13" max="13" width="17.109375" customWidth="1"/>
    <x:col min="14" max="14" width="48.88671875" customWidth="1"/>
    <x:col min="15" max="15" width="14.109375" customWidth="1"/>
    <x:col min="16" max="16" width="41.33203125" customWidth="1"/>
    <x:col min="17" max="17" width="11.88671875" customWidth="1"/>
    <x:col min="18" max="18" width="15.33203125" customWidth="1"/>
    <x:col min="19" max="20" width="39.88671875" customWidth="1"/>
    <x:col min="21" max="21" width="9.77734375" customWidth="1"/>
    <x:col min="22" max="22" width="14.5546875" customWidth="1"/>
    <x:col min="23" max="23" width="12" customWidth="1"/>
    <x:col min="24" max="24" width="18.109375" customWidth="1"/>
    <x:col min="25" max="25" width="15.21875" customWidth="1"/>
    <x:col min="26" max="26" width="7.88671875" customWidth="1"/>
    <x:col min="27" max="27" width="10.6640625" customWidth="1"/>
    <x:col min="28" max="28" width="20.7773437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t="s">
        <x:v>16</x:v>
      </x:c>
      <x:c r="R1" t="s">
        <x:v>17</x:v>
      </x:c>
      <x:c r="S1" t="s">
        <x:v>18</x:v>
      </x:c>
      <x:c r="T1" t="s">
        <x:v>19</x:v>
      </x:c>
      <x:c r="U1" t="s">
        <x:v>20</x:v>
      </x:c>
      <x:c r="V1" t="s">
        <x:v>21</x:v>
      </x:c>
      <x:c r="W1" t="s">
        <x:v>22</x:v>
      </x:c>
      <x:c r="X1" t="s">
        <x:v>23</x:v>
      </x:c>
      <x:c r="Y1" t="s">
        <x:v>24</x:v>
      </x:c>
      <x:c r="Z1" t="s">
        <x:v>25</x:v>
      </x:c>
      <x:c r="AA1" t="s">
        <x:v>26</x:v>
      </x:c>
      <x:c r="AB1" t="s">
        <x:v>27</x:v>
      </x:c>
    </x:row>
    <x:row r="2">
      <x:c r="A2" s="1">
        <x:v>46174</x:v>
      </x:c>
      <x:c r="B2" t="s">
        <x:v>28</x:v>
      </x:c>
      <x:c r="C2" t="s">
        <x:v>29</x:v>
      </x:c>
      <x:c r="D2" t="s">
        <x:v>30</x:v>
      </x:c>
      <x:c r="E2" t="s">
        <x:v>31</x:v>
      </x:c>
      <x:c r="F2" t="s">
        <x:v>32</x:v>
      </x:c>
      <x:c r="G2" t="s">
        <x:v>33</x:v>
      </x:c>
      <x:c r="H2" t="s">
        <x:v>34</x:v>
      </x:c>
      <x:c r="I2" t="s">
        <x:v>35</x:v>
      </x:c>
      <x:c r="J2" t="s">
        <x:v>36</x:v>
      </x:c>
      <x:c r="K2" t="s">
        <x:v>37</x:v>
      </x:c>
      <x:c r="L2" t="s">
        <x:v>38</x:v>
      </x:c>
      <x:c r="M2" t="s">
        <x:v>39</x:v>
      </x:c>
      <x:c r="N2" t="s">
        <x:v>33</x:v>
      </x:c>
      <x:c r="O2" t="s">
        <x:v>40</x:v>
      </x:c>
      <x:c r="P2" t="s">
        <x:v>41</x:v>
      </x:c>
      <x:c r="Q2">
        <x:v>1</x:v>
      </x:c>
      <x:c r="R2" t="s">
        <x:v>42</x:v>
      </x:c>
      <x:c r="S2" t="s">
        <x:v>43</x:v>
      </x:c>
      <x:c r="T2" t="s">
        <x:v>44</x:v>
      </x:c>
      <x:c r="U2" t="s">
        <x:v>45</x:v>
      </x:c>
      <x:c r="V2" t="s">
        <x:v>46</x:v>
      </x:c>
      <x:c r="W2">
        <x:v>186.44</x:v>
      </x:c>
      <x:c r="X2" t="s">
        <x:v>47</x:v>
      </x:c>
      <x:c r="Y2" t="s">
        <x:v>48</x:v>
      </x:c>
      <x:c r="Z2" t="s">
        <x:v>49</x:v>
      </x:c>
      <x:c r="AA2">
        <x:v>999996347</x:v>
      </x:c>
      <x:c r="AB2" t="s">
        <x:v>50</x:v>
      </x:c>
    </x:row>
    <x:row r="3">
      <x:c r="A3" s="1">
        <x:v>46190</x:v>
      </x:c>
      <x:c r="B3" t="s">
        <x:v>51</x:v>
      </x:c>
      <x:c r="C3" t="s">
        <x:v>29</x:v>
      </x:c>
      <x:c r="D3" t="s">
        <x:v>52</x:v>
      </x:c>
      <x:c r="E3" t="s">
        <x:v>31</x:v>
      </x:c>
      <x:c r="F3" t="s">
        <x:v>53</x:v>
      </x:c>
      <x:c r="G3" t="s">
        <x:v>54</x:v>
      </x:c>
      <x:c r="H3" t="s">
        <x:v>55</x:v>
      </x:c>
      <x:c r="I3" t="s">
        <x:v>35</x:v>
      </x:c>
      <x:c r="J3" t="s">
        <x:v>36</x:v>
      </x:c>
      <x:c r="K3" t="s">
        <x:v>37</x:v>
      </x:c>
      <x:c r="L3" t="s">
        <x:v>56</x:v>
      </x:c>
      <x:c r="M3" t="s">
        <x:v>57</x:v>
      </x:c>
      <x:c r="N3" t="s">
        <x:v>54</x:v>
      </x:c>
      <x:c r="O3" t="s">
        <x:v>58</x:v>
      </x:c>
      <x:c r="P3" t="s">
        <x:v>59</x:v>
      </x:c>
      <x:c r="Q3">
        <x:v>1</x:v>
      </x:c>
      <x:c r="R3" t="s">
        <x:v>42</x:v>
      </x:c>
      <x:c r="S3" t="s">
        <x:v>44</x:v>
      </x:c>
      <x:c r="T3" t="s">
        <x:v>44</x:v>
      </x:c>
      <x:c r="U3" t="s">
        <x:v>45</x:v>
      </x:c>
      <x:c r="V3" t="s">
        <x:v>60</x:v>
      </x:c>
      <x:c r="W3">
        <x:v>101.69</x:v>
      </x:c>
      <x:c r="X3" t="s">
        <x:v>61</x:v>
      </x:c>
      <x:c r="Y3" t="s">
        <x:v>48</x:v>
      </x:c>
      <x:c r="Z3" t="s">
        <x:v>49</x:v>
      </x:c>
      <x:c r="AA3">
        <x:v>999996347</x:v>
      </x:c>
      <x:c r="AB3" t="s">
        <x:v>50</x:v>
      </x:c>
    </x:row>
    <x:row r="4">
      <x:c r="A4" s="1">
        <x:v>46210</x:v>
      </x:c>
      <x:c r="B4" t="s">
        <x:v>62</x:v>
      </x:c>
      <x:c r="C4" t="s">
        <x:v>29</x:v>
      </x:c>
      <x:c r="D4" t="s">
        <x:v>63</x:v>
      </x:c>
      <x:c r="E4" t="s">
        <x:v>31</x:v>
      </x:c>
      <x:c r="F4" t="s">
        <x:v>64</x:v>
      </x:c>
      <x:c r="G4" t="s">
        <x:v>65</x:v>
      </x:c>
      <x:c r="H4" t="s">
        <x:v>66</x:v>
      </x:c>
      <x:c r="I4" t="s">
        <x:v>35</x:v>
      </x:c>
      <x:c r="J4" t="s">
        <x:v>36</x:v>
      </x:c>
      <x:c r="K4" t="s">
        <x:v>37</x:v>
      </x:c>
      <x:c r="L4" t="s">
        <x:v>67</x:v>
      </x:c>
      <x:c r="M4" t="s">
        <x:v>68</x:v>
      </x:c>
      <x:c r="N4" t="s">
        <x:v>65</x:v>
      </x:c>
      <x:c r="O4" t="s">
        <x:v>69</x:v>
      </x:c>
      <x:c r="P4" t="s">
        <x:v>41</x:v>
      </x:c>
      <x:c r="Q4">
        <x:v>1</x:v>
      </x:c>
      <x:c r="R4" t="s">
        <x:v>70</x:v>
      </x:c>
      <x:c r="S4" t="s">
        <x:v>43</x:v>
      </x:c>
      <x:c r="T4" t="s">
        <x:v>44</x:v>
      </x:c>
      <x:c r="U4" t="s">
        <x:v>71</x:v>
      </x:c>
      <x:c r="V4" t="s">
        <x:v>72</x:v>
      </x:c>
      <x:c r="W4">
        <x:v>186.44</x:v>
      </x:c>
      <x:c r="X4" t="s">
        <x:v>47</x:v>
      </x:c>
      <x:c r="Y4" t="s">
        <x:v>48</x:v>
      </x:c>
      <x:c r="Z4" t="s">
        <x:v>73</x:v>
      </x:c>
      <x:c r="AA4">
        <x:v>999996347</x:v>
      </x:c>
      <x:c r="AB4" t="s">
        <x:v>50</x:v>
      </x:c>
    </x:row>
    <x:row r="5">
      <x:c r="A5" s="1">
        <x:v>46210</x:v>
      </x:c>
      <x:c r="B5" t="s">
        <x:v>74</x:v>
      </x:c>
      <x:c r="C5" t="s">
        <x:v>29</x:v>
      </x:c>
      <x:c r="D5" t="s">
        <x:v>75</x:v>
      </x:c>
      <x:c r="E5" t="s">
        <x:v>31</x:v>
      </x:c>
      <x:c r="F5" t="s">
        <x:v>76</x:v>
      </x:c>
      <x:c r="G5" t="s">
        <x:v>77</x:v>
      </x:c>
      <x:c r="H5" t="s">
        <x:v>78</x:v>
      </x:c>
      <x:c r="I5" t="s">
        <x:v>35</x:v>
      </x:c>
      <x:c r="J5" t="s">
        <x:v>36</x:v>
      </x:c>
      <x:c r="K5" t="s">
        <x:v>37</x:v>
      </x:c>
      <x:c r="L5" t="s">
        <x:v>79</x:v>
      </x:c>
      <x:c r="M5" t="s">
        <x:v>80</x:v>
      </x:c>
      <x:c r="N5" t="s">
        <x:v>77</x:v>
      </x:c>
      <x:c r="O5" t="s">
        <x:v>81</x:v>
      </x:c>
      <x:c r="P5" t="s">
        <x:v>59</x:v>
      </x:c>
      <x:c r="Q5">
        <x:v>1</x:v>
      </x:c>
      <x:c r="R5" t="s">
        <x:v>42</x:v>
      </x:c>
      <x:c r="S5" t="s">
        <x:v>44</x:v>
      </x:c>
      <x:c r="T5" t="s">
        <x:v>44</x:v>
      </x:c>
      <x:c r="U5" t="s">
        <x:v>45</x:v>
      </x:c>
      <x:c r="V5" t="s">
        <x:v>60</x:v>
      </x:c>
      <x:c r="W5">
        <x:v>101.69</x:v>
      </x:c>
      <x:c r="X5" t="s">
        <x:v>61</x:v>
      </x:c>
      <x:c r="Y5" t="s">
        <x:v>48</x:v>
      </x:c>
      <x:c r="Z5" t="s">
        <x:v>49</x:v>
      </x:c>
      <x:c r="AA5">
        <x:v>999996347</x:v>
      </x:c>
      <x:c r="AB5" t="s">
        <x:v>50</x:v>
      </x:c>
    </x:row>
    <x:row r="6">
      <x:c r="A6" s="1">
        <x:v>46174</x:v>
      </x:c>
      <x:c r="B6" t="s">
        <x:v>82</x:v>
      </x:c>
      <x:c r="C6" t="s">
        <x:v>29</x:v>
      </x:c>
      <x:c r="D6" t="s">
        <x:v>83</x:v>
      </x:c>
      <x:c r="E6" t="s">
        <x:v>31</x:v>
      </x:c>
      <x:c r="F6" t="s">
        <x:v>84</x:v>
      </x:c>
      <x:c r="G6" t="s">
        <x:v>85</x:v>
      </x:c>
      <x:c r="H6" t="s">
        <x:v>86</x:v>
      </x:c>
      <x:c r="I6" t="s">
        <x:v>87</x:v>
      </x:c>
      <x:c r="K6" t="s">
        <x:v>37</x:v>
      </x:c>
      <x:c r="L6" t="s">
        <x:v>88</x:v>
      </x:c>
      <x:c r="M6" t="s">
        <x:v>89</x:v>
      </x:c>
      <x:c r="N6" t="s">
        <x:v>85</x:v>
      </x:c>
      <x:c r="O6" t="s">
        <x:v>90</x:v>
      </x:c>
      <x:c r="P6" t="s">
        <x:v>91</x:v>
      </x:c>
      <x:c r="Q6">
        <x:v>1</x:v>
      </x:c>
      <x:c r="R6" t="s">
        <x:v>42</x:v>
      </x:c>
      <x:c r="S6" t="s">
        <x:v>43</x:v>
      </x:c>
      <x:c r="T6" t="s">
        <x:v>44</x:v>
      </x:c>
      <x:c r="U6" t="s">
        <x:v>45</x:v>
      </x:c>
      <x:c r="V6" t="s">
        <x:v>46</x:v>
      </x:c>
      <x:c r="W6">
        <x:v>135.59</x:v>
      </x:c>
      <x:c r="X6" t="s">
        <x:v>47</x:v>
      </x:c>
      <x:c r="Y6" t="s">
        <x:v>48</x:v>
      </x:c>
      <x:c r="Z6" t="s">
        <x:v>49</x:v>
      </x:c>
    </x:row>
    <x:row r="7">
      <x:c r="A7" s="1">
        <x:v>46174</x:v>
      </x:c>
      <x:c r="B7" t="s">
        <x:v>92</x:v>
      </x:c>
      <x:c r="C7" t="s">
        <x:v>29</x:v>
      </x:c>
      <x:c r="D7" t="s">
        <x:v>93</x:v>
      </x:c>
      <x:c r="E7" t="s">
        <x:v>31</x:v>
      </x:c>
      <x:c r="F7" t="s">
        <x:v>94</x:v>
      </x:c>
      <x:c r="G7" t="s">
        <x:v>95</x:v>
      </x:c>
      <x:c r="H7" t="s">
        <x:v>96</x:v>
      </x:c>
      <x:c r="I7" t="s">
        <x:v>97</x:v>
      </x:c>
      <x:c r="J7" t="s">
        <x:v>98</x:v>
      </x:c>
      <x:c r="K7" t="s">
        <x:v>37</x:v>
      </x:c>
      <x:c r="L7" t="s">
        <x:v>99</x:v>
      </x:c>
      <x:c r="M7" t="s">
        <x:v>100</x:v>
      </x:c>
      <x:c r="N7" t="s">
        <x:v>95</x:v>
      </x:c>
      <x:c r="O7" t="s">
        <x:v>101</x:v>
      </x:c>
      <x:c r="P7" t="s">
        <x:v>102</x:v>
      </x:c>
      <x:c r="Q7">
        <x:v>1</x:v>
      </x:c>
      <x:c r="R7" t="s">
        <x:v>42</x:v>
      </x:c>
      <x:c r="S7" t="s">
        <x:v>43</x:v>
      </x:c>
      <x:c r="T7" t="s">
        <x:v>44</x:v>
      </x:c>
      <x:c r="U7" t="s">
        <x:v>45</x:v>
      </x:c>
      <x:c r="V7" t="s">
        <x:v>60</x:v>
      </x:c>
      <x:c r="W7">
        <x:v>186.44</x:v>
      </x:c>
      <x:c r="X7" t="s">
        <x:v>47</x:v>
      </x:c>
      <x:c r="Y7" t="s">
        <x:v>48</x:v>
      </x:c>
      <x:c r="Z7" t="s">
        <x:v>49</x:v>
      </x:c>
      <x:c r="AA7">
        <x:v>964328569</x:v>
      </x:c>
      <x:c r="AB7" t="s">
        <x:v>103</x:v>
      </x:c>
    </x:row>
    <x:row r="8">
      <x:c r="A8" s="1">
        <x:v>46174</x:v>
      </x:c>
      <x:c r="B8" t="s">
        <x:v>104</x:v>
      </x:c>
      <x:c r="C8" t="s">
        <x:v>29</x:v>
      </x:c>
      <x:c r="D8" t="s">
        <x:v>105</x:v>
      </x:c>
      <x:c r="E8" t="s">
        <x:v>31</x:v>
      </x:c>
      <x:c r="F8" t="s">
        <x:v>106</x:v>
      </x:c>
      <x:c r="G8" t="s">
        <x:v>107</x:v>
      </x:c>
      <x:c r="H8" t="s">
        <x:v>108</x:v>
      </x:c>
      <x:c r="I8" t="s">
        <x:v>97</x:v>
      </x:c>
      <x:c r="J8" t="s">
        <x:v>98</x:v>
      </x:c>
      <x:c r="K8" t="s">
        <x:v>37</x:v>
      </x:c>
      <x:c r="L8" t="s">
        <x:v>109</x:v>
      </x:c>
      <x:c r="M8" t="s">
        <x:v>110</x:v>
      </x:c>
      <x:c r="N8" t="s">
        <x:v>107</x:v>
      </x:c>
      <x:c r="O8" t="s">
        <x:v>111</x:v>
      </x:c>
      <x:c r="P8" t="s">
        <x:v>41</x:v>
      </x:c>
      <x:c r="Q8">
        <x:v>1</x:v>
      </x:c>
      <x:c r="R8" t="s">
        <x:v>42</x:v>
      </x:c>
      <x:c r="S8" t="s">
        <x:v>43</x:v>
      </x:c>
      <x:c r="T8" t="s">
        <x:v>44</x:v>
      </x:c>
      <x:c r="U8" t="s">
        <x:v>45</x:v>
      </x:c>
      <x:c r="V8" t="s">
        <x:v>60</x:v>
      </x:c>
      <x:c r="W8">
        <x:v>186.44</x:v>
      </x:c>
      <x:c r="X8" t="s">
        <x:v>47</x:v>
      </x:c>
      <x:c r="Y8" t="s">
        <x:v>48</x:v>
      </x:c>
      <x:c r="Z8" t="s">
        <x:v>49</x:v>
      </x:c>
      <x:c r="AA8">
        <x:v>964328569</x:v>
      </x:c>
      <x:c r="AB8" t="s">
        <x:v>103</x:v>
      </x:c>
    </x:row>
    <x:row r="9">
      <x:c r="A9" s="1">
        <x:v>46174</x:v>
      </x:c>
      <x:c r="B9" t="s">
        <x:v>112</x:v>
      </x:c>
      <x:c r="C9" t="s">
        <x:v>29</x:v>
      </x:c>
      <x:c r="D9" t="s">
        <x:v>113</x:v>
      </x:c>
      <x:c r="E9" t="s">
        <x:v>31</x:v>
      </x:c>
      <x:c r="F9" t="s">
        <x:v>114</x:v>
      </x:c>
      <x:c r="G9" t="s">
        <x:v>115</x:v>
      </x:c>
      <x:c r="H9" t="s">
        <x:v>116</x:v>
      </x:c>
      <x:c r="I9" t="s">
        <x:v>117</x:v>
      </x:c>
      <x:c r="J9" t="s">
        <x:v>118</x:v>
      </x:c>
      <x:c r="K9" t="s">
        <x:v>37</x:v>
      </x:c>
      <x:c r="L9" t="s">
        <x:v>119</x:v>
      </x:c>
      <x:c r="M9" t="s">
        <x:v>120</x:v>
      </x:c>
      <x:c r="N9" t="s">
        <x:v>115</x:v>
      </x:c>
      <x:c r="O9" t="s">
        <x:v>121</x:v>
      </x:c>
      <x:c r="P9" t="s">
        <x:v>91</x:v>
      </x:c>
      <x:c r="Q9">
        <x:v>1</x:v>
      </x:c>
      <x:c r="R9" t="s">
        <x:v>42</x:v>
      </x:c>
      <x:c r="S9" t="s">
        <x:v>43</x:v>
      </x:c>
      <x:c r="T9" t="s">
        <x:v>44</x:v>
      </x:c>
      <x:c r="U9" t="s">
        <x:v>45</x:v>
      </x:c>
      <x:c r="V9" t="s">
        <x:v>60</x:v>
      </x:c>
      <x:c r="W9">
        <x:v>135.59</x:v>
      </x:c>
      <x:c r="X9" t="s">
        <x:v>47</x:v>
      </x:c>
      <x:c r="Y9" t="s">
        <x:v>48</x:v>
      </x:c>
      <x:c r="Z9" t="s">
        <x:v>49</x:v>
      </x:c>
      <x:c r="AA9">
        <x:v>945319366</x:v>
      </x:c>
      <x:c r="AB9" t="s">
        <x:v>122</x:v>
      </x:c>
    </x:row>
    <x:row r="10">
      <x:c r="A10" s="1">
        <x:v>46204</x:v>
      </x:c>
      <x:c r="B10" t="s">
        <x:v>123</x:v>
      </x:c>
      <x:c r="C10" t="s">
        <x:v>29</x:v>
      </x:c>
      <x:c r="D10" t="s">
        <x:v>124</x:v>
      </x:c>
      <x:c r="E10" t="s">
        <x:v>31</x:v>
      </x:c>
      <x:c r="F10" t="s">
        <x:v>125</x:v>
      </x:c>
      <x:c r="G10" t="s">
        <x:v>126</x:v>
      </x:c>
      <x:c r="H10" t="s">
        <x:v>127</x:v>
      </x:c>
      <x:c r="I10" t="s">
        <x:v>117</x:v>
      </x:c>
      <x:c r="J10" t="s">
        <x:v>118</x:v>
      </x:c>
      <x:c r="K10" t="s">
        <x:v>37</x:v>
      </x:c>
      <x:c r="L10" t="s">
        <x:v>128</x:v>
      </x:c>
      <x:c r="M10" t="s">
        <x:v>129</x:v>
      </x:c>
      <x:c r="N10" t="s">
        <x:v>126</x:v>
      </x:c>
      <x:c r="O10" t="s">
        <x:v>130</x:v>
      </x:c>
      <x:c r="P10" t="s">
        <x:v>131</x:v>
      </x:c>
      <x:c r="Q10">
        <x:v>1</x:v>
      </x:c>
      <x:c r="R10" t="s">
        <x:v>42</x:v>
      </x:c>
      <x:c r="S10" t="s">
        <x:v>44</x:v>
      </x:c>
      <x:c r="T10" t="s">
        <x:v>44</x:v>
      </x:c>
      <x:c r="U10" t="s">
        <x:v>45</x:v>
      </x:c>
      <x:c r="V10" t="s">
        <x:v>60</x:v>
      </x:c>
      <x:c r="W10">
        <x:v>152.54</x:v>
      </x:c>
      <x:c r="X10" t="s">
        <x:v>47</x:v>
      </x:c>
      <x:c r="Y10" t="s">
        <x:v>48</x:v>
      </x:c>
      <x:c r="Z10" t="s">
        <x:v>49</x:v>
      </x:c>
      <x:c r="AA10">
        <x:v>945319366</x:v>
      </x:c>
      <x:c r="AB10" t="s">
        <x:v>122</x:v>
      </x:c>
    </x:row>
    <x:row r="11">
      <x:c r="A11" s="1">
        <x:v>46174</x:v>
      </x:c>
      <x:c r="B11" t="s">
        <x:v>132</x:v>
      </x:c>
      <x:c r="C11" t="s">
        <x:v>29</x:v>
      </x:c>
      <x:c r="D11" t="s">
        <x:v>133</x:v>
      </x:c>
      <x:c r="E11" t="s">
        <x:v>31</x:v>
      </x:c>
      <x:c r="F11" t="s">
        <x:v>134</x:v>
      </x:c>
      <x:c r="G11" t="s">
        <x:v>135</x:v>
      </x:c>
      <x:c r="H11" t="s">
        <x:v>136</x:v>
      </x:c>
      <x:c r="I11" t="s">
        <x:v>137</x:v>
      </x:c>
      <x:c r="J11" t="s">
        <x:v>138</x:v>
      </x:c>
      <x:c r="K11" t="s">
        <x:v>37</x:v>
      </x:c>
      <x:c r="L11" t="s">
        <x:v>139</x:v>
      </x:c>
      <x:c r="M11" t="s">
        <x:v>140</x:v>
      </x:c>
      <x:c r="N11" t="s">
        <x:v>135</x:v>
      </x:c>
      <x:c r="O11" t="s">
        <x:v>141</x:v>
      </x:c>
      <x:c r="P11" t="s">
        <x:v>91</x:v>
      </x:c>
      <x:c r="Q11">
        <x:v>1</x:v>
      </x:c>
      <x:c r="R11" t="s">
        <x:v>70</x:v>
      </x:c>
      <x:c r="S11" t="s">
        <x:v>43</x:v>
      </x:c>
      <x:c r="T11" t="s">
        <x:v>44</x:v>
      </x:c>
      <x:c r="U11" t="s">
        <x:v>71</x:v>
      </x:c>
      <x:c r="V11" t="s">
        <x:v>72</x:v>
      </x:c>
      <x:c r="W11">
        <x:v>135.59</x:v>
      </x:c>
      <x:c r="X11" t="s">
        <x:v>47</x:v>
      </x:c>
      <x:c r="Y11" t="s">
        <x:v>48</x:v>
      </x:c>
      <x:c r="Z11" t="s">
        <x:v>73</x:v>
      </x:c>
      <x:c r="AA11">
        <x:v>987407712</x:v>
      </x:c>
      <x:c r="AB11" t="s">
        <x:v>142</x:v>
      </x:c>
    </x:row>
    <x:row r="12">
      <x:c r="A12" s="1">
        <x:v>46177</x:v>
      </x:c>
      <x:c r="B12" t="s">
        <x:v>143</x:v>
      </x:c>
      <x:c r="C12" t="s">
        <x:v>29</x:v>
      </x:c>
      <x:c r="D12" t="s">
        <x:v>144</x:v>
      </x:c>
      <x:c r="E12" t="s">
        <x:v>31</x:v>
      </x:c>
      <x:c r="F12" t="s">
        <x:v>145</x:v>
      </x:c>
      <x:c r="G12" t="s">
        <x:v>146</x:v>
      </x:c>
      <x:c r="H12" t="s">
        <x:v>147</x:v>
      </x:c>
      <x:c r="I12" t="s">
        <x:v>137</x:v>
      </x:c>
      <x:c r="J12" t="s">
        <x:v>138</x:v>
      </x:c>
      <x:c r="K12" t="s">
        <x:v>37</x:v>
      </x:c>
      <x:c r="L12" t="s">
        <x:v>148</x:v>
      </x:c>
      <x:c r="M12" t="s">
        <x:v>149</x:v>
      </x:c>
      <x:c r="N12" t="s">
        <x:v>146</x:v>
      </x:c>
      <x:c r="O12" t="s">
        <x:v>150</x:v>
      </x:c>
      <x:c r="P12" t="s">
        <x:v>41</x:v>
      </x:c>
      <x:c r="Q12">
        <x:v>1</x:v>
      </x:c>
      <x:c r="R12" t="s">
        <x:v>42</x:v>
      </x:c>
      <x:c r="S12" t="s">
        <x:v>43</x:v>
      </x:c>
      <x:c r="T12" t="s">
        <x:v>44</x:v>
      </x:c>
      <x:c r="U12" t="s">
        <x:v>45</x:v>
      </x:c>
      <x:c r="V12" t="s">
        <x:v>46</x:v>
      </x:c>
      <x:c r="W12">
        <x:v>186.44</x:v>
      </x:c>
      <x:c r="X12" t="s">
        <x:v>47</x:v>
      </x:c>
      <x:c r="Y12" t="s">
        <x:v>48</x:v>
      </x:c>
      <x:c r="Z12" t="s">
        <x:v>49</x:v>
      </x:c>
      <x:c r="AA12">
        <x:v>987407712</x:v>
      </x:c>
      <x:c r="AB12" t="s">
        <x:v>142</x:v>
      </x:c>
    </x:row>
    <x:row r="13">
      <x:c r="A13" s="1">
        <x:v>46189</x:v>
      </x:c>
      <x:c r="B13" t="s">
        <x:v>151</x:v>
      </x:c>
      <x:c r="C13" t="s">
        <x:v>29</x:v>
      </x:c>
      <x:c r="D13" t="s">
        <x:v>152</x:v>
      </x:c>
      <x:c r="E13" t="s">
        <x:v>31</x:v>
      </x:c>
      <x:c r="F13" t="s">
        <x:v>153</x:v>
      </x:c>
      <x:c r="G13" t="s">
        <x:v>154</x:v>
      </x:c>
      <x:c r="H13" t="s">
        <x:v>155</x:v>
      </x:c>
      <x:c r="I13" t="s">
        <x:v>137</x:v>
      </x:c>
      <x:c r="J13" t="s">
        <x:v>138</x:v>
      </x:c>
      <x:c r="K13" t="s">
        <x:v>37</x:v>
      </x:c>
      <x:c r="L13" t="s">
        <x:v>156</x:v>
      </x:c>
      <x:c r="M13" t="s">
        <x:v>157</x:v>
      </x:c>
      <x:c r="N13" t="s">
        <x:v>154</x:v>
      </x:c>
      <x:c r="O13" t="s">
        <x:v>158</x:v>
      </x:c>
      <x:c r="P13" t="s">
        <x:v>159</x:v>
      </x:c>
      <x:c r="Q13">
        <x:v>1</x:v>
      </x:c>
      <x:c r="R13" t="s">
        <x:v>42</x:v>
      </x:c>
      <x:c r="S13" t="s">
        <x:v>44</x:v>
      </x:c>
      <x:c r="T13" t="s">
        <x:v>44</x:v>
      </x:c>
      <x:c r="U13" t="s">
        <x:v>45</x:v>
      </x:c>
      <x:c r="V13" t="s">
        <x:v>60</x:v>
      </x:c>
      <x:c r="W13">
        <x:v>152.54</x:v>
      </x:c>
      <x:c r="X13" t="s">
        <x:v>47</x:v>
      </x:c>
      <x:c r="Y13" t="s">
        <x:v>48</x:v>
      </x:c>
      <x:c r="Z13" t="s">
        <x:v>49</x:v>
      </x:c>
      <x:c r="AA13">
        <x:v>987407712</x:v>
      </x:c>
      <x:c r="AB13" t="s">
        <x:v>142</x:v>
      </x:c>
    </x:row>
    <x:row r="14">
      <x:c r="A14" s="1">
        <x:v>46189</x:v>
      </x:c>
      <x:c r="B14" t="s">
        <x:v>151</x:v>
      </x:c>
      <x:c r="C14" t="s">
        <x:v>29</x:v>
      </x:c>
      <x:c r="D14" t="s">
        <x:v>152</x:v>
      </x:c>
      <x:c r="E14" t="s">
        <x:v>31</x:v>
      </x:c>
      <x:c r="F14" t="s">
        <x:v>153</x:v>
      </x:c>
      <x:c r="G14" t="s">
        <x:v>154</x:v>
      </x:c>
      <x:c r="H14" t="s">
        <x:v>155</x:v>
      </x:c>
      <x:c r="I14" t="s">
        <x:v>137</x:v>
      </x:c>
      <x:c r="J14" t="s">
        <x:v>138</x:v>
      </x:c>
      <x:c r="K14" t="s">
        <x:v>37</x:v>
      </x:c>
      <x:c r="L14" t="s">
        <x:v>156</x:v>
      </x:c>
      <x:c r="M14" t="s">
        <x:v>157</x:v>
      </x:c>
      <x:c r="N14" t="s">
        <x:v>154</x:v>
      </x:c>
      <x:c r="O14" t="s">
        <x:v>158</x:v>
      </x:c>
      <x:c r="P14" t="s">
        <x:v>102</x:v>
      </x:c>
      <x:c r="Q14">
        <x:v>1</x:v>
      </x:c>
      <x:c r="R14" t="s">
        <x:v>42</x:v>
      </x:c>
      <x:c r="S14" t="s">
        <x:v>44</x:v>
      </x:c>
      <x:c r="T14" t="s">
        <x:v>44</x:v>
      </x:c>
      <x:c r="U14" t="s">
        <x:v>45</x:v>
      </x:c>
      <x:c r="V14" t="s">
        <x:v>60</x:v>
      </x:c>
      <x:c r="W14">
        <x:v>186.44</x:v>
      </x:c>
      <x:c r="X14" t="s">
        <x:v>47</x:v>
      </x:c>
      <x:c r="Y14" t="s">
        <x:v>48</x:v>
      </x:c>
      <x:c r="Z14" t="s">
        <x:v>49</x:v>
      </x:c>
      <x:c r="AA14">
        <x:v>987407712</x:v>
      </x:c>
      <x:c r="AB14" t="s">
        <x:v>142</x:v>
      </x:c>
    </x:row>
    <x:row r="15">
      <x:c r="A15" s="1">
        <x:v>46189</x:v>
      </x:c>
      <x:c r="B15" t="s">
        <x:v>151</x:v>
      </x:c>
      <x:c r="C15" t="s">
        <x:v>29</x:v>
      </x:c>
      <x:c r="D15" t="s">
        <x:v>152</x:v>
      </x:c>
      <x:c r="E15" t="s">
        <x:v>31</x:v>
      </x:c>
      <x:c r="F15" t="s">
        <x:v>153</x:v>
      </x:c>
      <x:c r="G15" t="s">
        <x:v>154</x:v>
      </x:c>
      <x:c r="H15" t="s">
        <x:v>155</x:v>
      </x:c>
      <x:c r="I15" t="s">
        <x:v>137</x:v>
      </x:c>
      <x:c r="J15" t="s">
        <x:v>138</x:v>
      </x:c>
      <x:c r="K15" t="s">
        <x:v>37</x:v>
      </x:c>
      <x:c r="L15" t="s">
        <x:v>156</x:v>
      </x:c>
      <x:c r="M15" t="s">
        <x:v>157</x:v>
      </x:c>
      <x:c r="N15" t="s">
        <x:v>154</x:v>
      </x:c>
      <x:c r="O15" t="s">
        <x:v>158</x:v>
      </x:c>
      <x:c r="P15" t="s">
        <x:v>160</x:v>
      </x:c>
      <x:c r="Q15">
        <x:v>1</x:v>
      </x:c>
      <x:c r="R15" t="s">
        <x:v>42</x:v>
      </x:c>
      <x:c r="S15" t="s">
        <x:v>44</x:v>
      </x:c>
      <x:c r="T15" t="s">
        <x:v>44</x:v>
      </x:c>
      <x:c r="U15" t="s">
        <x:v>45</x:v>
      </x:c>
      <x:c r="V15" t="s">
        <x:v>60</x:v>
      </x:c>
      <x:c r="W15">
        <x:v>135.59</x:v>
      </x:c>
      <x:c r="X15" t="s">
        <x:v>47</x:v>
      </x:c>
      <x:c r="Y15" t="s">
        <x:v>48</x:v>
      </x:c>
      <x:c r="Z15" t="s">
        <x:v>49</x:v>
      </x:c>
      <x:c r="AA15">
        <x:v>987407712</x:v>
      </x:c>
      <x:c r="AB15" t="s">
        <x:v>142</x:v>
      </x:c>
    </x:row>
    <x:row r="16">
      <x:c r="A16" s="1">
        <x:v>46190</x:v>
      </x:c>
      <x:c r="B16" t="s">
        <x:v>161</x:v>
      </x:c>
      <x:c r="C16" t="s">
        <x:v>29</x:v>
      </x:c>
      <x:c r="D16" t="s">
        <x:v>162</x:v>
      </x:c>
      <x:c r="E16" t="s">
        <x:v>31</x:v>
      </x:c>
      <x:c r="F16" t="s">
        <x:v>163</x:v>
      </x:c>
      <x:c r="G16" t="s">
        <x:v>164</x:v>
      </x:c>
      <x:c r="H16" t="s">
        <x:v>165</x:v>
      </x:c>
      <x:c r="I16" t="s">
        <x:v>137</x:v>
      </x:c>
      <x:c r="J16" t="s">
        <x:v>138</x:v>
      </x:c>
      <x:c r="K16" t="s">
        <x:v>37</x:v>
      </x:c>
      <x:c r="L16" t="s">
        <x:v>166</x:v>
      </x:c>
      <x:c r="M16" t="s">
        <x:v>167</x:v>
      </x:c>
      <x:c r="N16" t="s">
        <x:v>164</x:v>
      </x:c>
      <x:c r="O16" t="s">
        <x:v>168</x:v>
      </x:c>
      <x:c r="P16" t="s">
        <x:v>102</x:v>
      </x:c>
      <x:c r="Q16">
        <x:v>1</x:v>
      </x:c>
      <x:c r="R16" t="s">
        <x:v>42</x:v>
      </x:c>
      <x:c r="S16" t="s">
        <x:v>44</x:v>
      </x:c>
      <x:c r="T16" t="s">
        <x:v>44</x:v>
      </x:c>
      <x:c r="U16" t="s">
        <x:v>45</x:v>
      </x:c>
      <x:c r="V16" t="s">
        <x:v>60</x:v>
      </x:c>
      <x:c r="W16">
        <x:v>186.44</x:v>
      </x:c>
      <x:c r="X16" t="s">
        <x:v>47</x:v>
      </x:c>
      <x:c r="Y16" t="s">
        <x:v>48</x:v>
      </x:c>
      <x:c r="Z16" t="s">
        <x:v>49</x:v>
      </x:c>
      <x:c r="AA16">
        <x:v>987407712</x:v>
      </x:c>
      <x:c r="AB16" t="s">
        <x:v>142</x:v>
      </x:c>
    </x:row>
    <x:row r="17">
      <x:c r="A17" s="1">
        <x:v>46197</x:v>
      </x:c>
      <x:c r="B17" t="s">
        <x:v>169</x:v>
      </x:c>
      <x:c r="C17" t="s">
        <x:v>29</x:v>
      </x:c>
      <x:c r="D17" t="s">
        <x:v>170</x:v>
      </x:c>
      <x:c r="E17" t="s">
        <x:v>31</x:v>
      </x:c>
      <x:c r="F17" t="s">
        <x:v>171</x:v>
      </x:c>
      <x:c r="G17" t="s">
        <x:v>172</x:v>
      </x:c>
      <x:c r="H17" t="s">
        <x:v>173</x:v>
      </x:c>
      <x:c r="I17" t="s">
        <x:v>137</x:v>
      </x:c>
      <x:c r="J17" t="s">
        <x:v>138</x:v>
      </x:c>
      <x:c r="K17" t="s">
        <x:v>37</x:v>
      </x:c>
      <x:c r="L17" t="s">
        <x:v>174</x:v>
      </x:c>
      <x:c r="M17" t="s">
        <x:v>175</x:v>
      </x:c>
      <x:c r="N17" t="s">
        <x:v>172</x:v>
      </x:c>
      <x:c r="O17" t="s">
        <x:v>176</x:v>
      </x:c>
      <x:c r="P17" t="s">
        <x:v>102</x:v>
      </x:c>
      <x:c r="Q17">
        <x:v>1</x:v>
      </x:c>
      <x:c r="R17" t="s">
        <x:v>42</x:v>
      </x:c>
      <x:c r="S17" t="s">
        <x:v>44</x:v>
      </x:c>
      <x:c r="T17" t="s">
        <x:v>44</x:v>
      </x:c>
      <x:c r="U17" t="s">
        <x:v>45</x:v>
      </x:c>
      <x:c r="V17" t="s">
        <x:v>60</x:v>
      </x:c>
      <x:c r="W17">
        <x:v>186.44</x:v>
      </x:c>
      <x:c r="X17" t="s">
        <x:v>47</x:v>
      </x:c>
      <x:c r="Y17" t="s">
        <x:v>48</x:v>
      </x:c>
      <x:c r="Z17" t="s">
        <x:v>49</x:v>
      </x:c>
      <x:c r="AA17">
        <x:v>987407712</x:v>
      </x:c>
      <x:c r="AB17" t="s">
        <x:v>142</x:v>
      </x:c>
    </x:row>
    <x:row r="18">
      <x:c r="A18" s="1">
        <x:v>46198</x:v>
      </x:c>
      <x:c r="B18" t="s">
        <x:v>177</x:v>
      </x:c>
      <x:c r="C18" t="s">
        <x:v>29</x:v>
      </x:c>
      <x:c r="D18" t="s">
        <x:v>178</x:v>
      </x:c>
      <x:c r="E18" t="s">
        <x:v>31</x:v>
      </x:c>
      <x:c r="F18" t="s">
        <x:v>179</x:v>
      </x:c>
      <x:c r="G18" t="s">
        <x:v>180</x:v>
      </x:c>
      <x:c r="H18" t="s">
        <x:v>181</x:v>
      </x:c>
      <x:c r="I18" t="s">
        <x:v>137</x:v>
      </x:c>
      <x:c r="J18" t="s">
        <x:v>138</x:v>
      </x:c>
      <x:c r="K18" t="s">
        <x:v>37</x:v>
      </x:c>
      <x:c r="L18" t="s">
        <x:v>182</x:v>
      </x:c>
      <x:c r="M18" t="s">
        <x:v>183</x:v>
      </x:c>
      <x:c r="N18" t="s">
        <x:v>180</x:v>
      </x:c>
      <x:c r="O18" t="s">
        <x:v>184</x:v>
      </x:c>
      <x:c r="P18" t="s">
        <x:v>91</x:v>
      </x:c>
      <x:c r="Q18">
        <x:v>1</x:v>
      </x:c>
      <x:c r="R18" t="s">
        <x:v>70</x:v>
      </x:c>
      <x:c r="S18" t="s">
        <x:v>43</x:v>
      </x:c>
      <x:c r="T18" t="s">
        <x:v>44</x:v>
      </x:c>
      <x:c r="U18" t="s">
        <x:v>71</x:v>
      </x:c>
      <x:c r="V18" t="s">
        <x:v>185</x:v>
      </x:c>
      <x:c r="W18">
        <x:v>135.59</x:v>
      </x:c>
      <x:c r="X18" t="s">
        <x:v>47</x:v>
      </x:c>
      <x:c r="Y18" t="s">
        <x:v>48</x:v>
      </x:c>
      <x:c r="Z18" t="s">
        <x:v>73</x:v>
      </x:c>
      <x:c r="AA18">
        <x:v>987407712</x:v>
      </x:c>
      <x:c r="AB18" t="s">
        <x:v>142</x:v>
      </x:c>
    </x:row>
    <x:row r="19">
      <x:c r="A19" s="1">
        <x:v>46206</x:v>
      </x:c>
      <x:c r="B19" t="s">
        <x:v>186</x:v>
      </x:c>
      <x:c r="C19" t="s">
        <x:v>29</x:v>
      </x:c>
      <x:c r="D19" t="s">
        <x:v>187</x:v>
      </x:c>
      <x:c r="E19" t="s">
        <x:v>31</x:v>
      </x:c>
      <x:c r="F19" t="s">
        <x:v>188</x:v>
      </x:c>
      <x:c r="G19" t="s">
        <x:v>189</x:v>
      </x:c>
      <x:c r="H19" t="s">
        <x:v>190</x:v>
      </x:c>
      <x:c r="I19" t="s">
        <x:v>137</x:v>
      </x:c>
      <x:c r="J19" t="s">
        <x:v>138</x:v>
      </x:c>
      <x:c r="K19" t="s">
        <x:v>37</x:v>
      </x:c>
      <x:c r="L19" t="s">
        <x:v>191</x:v>
      </x:c>
      <x:c r="M19" t="s">
        <x:v>192</x:v>
      </x:c>
      <x:c r="N19" t="s">
        <x:v>189</x:v>
      </x:c>
      <x:c r="O19" t="s">
        <x:v>193</x:v>
      </x:c>
      <x:c r="P19" t="s">
        <x:v>102</x:v>
      </x:c>
      <x:c r="Q19">
        <x:v>1</x:v>
      </x:c>
      <x:c r="R19" t="s">
        <x:v>42</x:v>
      </x:c>
      <x:c r="S19" t="s">
        <x:v>44</x:v>
      </x:c>
      <x:c r="T19" t="s">
        <x:v>44</x:v>
      </x:c>
      <x:c r="U19" t="s">
        <x:v>45</x:v>
      </x:c>
      <x:c r="V19" t="s">
        <x:v>60</x:v>
      </x:c>
      <x:c r="W19">
        <x:v>186.44</x:v>
      </x:c>
      <x:c r="X19" t="s">
        <x:v>47</x:v>
      </x:c>
      <x:c r="Y19" t="s">
        <x:v>48</x:v>
      </x:c>
      <x:c r="Z19" t="s">
        <x:v>49</x:v>
      </x:c>
      <x:c r="AA19">
        <x:v>987407712</x:v>
      </x:c>
      <x:c r="AB19" t="s">
        <x:v>142</x:v>
      </x:c>
    </x:row>
    <x:row r="20">
      <x:c r="A20" s="1">
        <x:v>46210</x:v>
      </x:c>
      <x:c r="B20" t="s">
        <x:v>194</x:v>
      </x:c>
      <x:c r="C20" t="s">
        <x:v>29</x:v>
      </x:c>
      <x:c r="D20" t="s">
        <x:v>195</x:v>
      </x:c>
      <x:c r="E20" t="s">
        <x:v>31</x:v>
      </x:c>
      <x:c r="F20" t="s">
        <x:v>196</x:v>
      </x:c>
      <x:c r="G20" t="s">
        <x:v>197</x:v>
      </x:c>
      <x:c r="H20" t="s">
        <x:v>198</x:v>
      </x:c>
      <x:c r="I20" t="s">
        <x:v>137</x:v>
      </x:c>
      <x:c r="J20" t="s">
        <x:v>138</x:v>
      </x:c>
      <x:c r="K20" t="s">
        <x:v>37</x:v>
      </x:c>
      <x:c r="L20" t="s">
        <x:v>199</x:v>
      </x:c>
      <x:c r="M20" t="s">
        <x:v>200</x:v>
      </x:c>
      <x:c r="N20" t="s">
        <x:v>197</x:v>
      </x:c>
      <x:c r="O20" t="s">
        <x:v>201</x:v>
      </x:c>
      <x:c r="P20" t="s">
        <x:v>202</x:v>
      </x:c>
      <x:c r="Q20">
        <x:v>1</x:v>
      </x:c>
      <x:c r="R20" t="s">
        <x:v>42</x:v>
      </x:c>
      <x:c r="S20" t="s">
        <x:v>44</x:v>
      </x:c>
      <x:c r="T20" t="s">
        <x:v>44</x:v>
      </x:c>
      <x:c r="U20" t="s">
        <x:v>45</x:v>
      </x:c>
      <x:c r="V20" t="s">
        <x:v>60</x:v>
      </x:c>
      <x:c r="W20">
        <x:v>152.54</x:v>
      </x:c>
      <x:c r="X20" t="s">
        <x:v>47</x:v>
      </x:c>
      <x:c r="Y20" t="s">
        <x:v>48</x:v>
      </x:c>
      <x:c r="Z20" t="s">
        <x:v>49</x:v>
      </x:c>
      <x:c r="AA20">
        <x:v>987407712</x:v>
      </x:c>
      <x:c r="AB20" t="s">
        <x:v>142</x:v>
      </x:c>
    </x:row>
    <x:row r="21">
      <x:c r="A21" s="1">
        <x:v>46210</x:v>
      </x:c>
      <x:c r="B21" t="s">
        <x:v>194</x:v>
      </x:c>
      <x:c r="C21" t="s">
        <x:v>29</x:v>
      </x:c>
      <x:c r="D21" t="s">
        <x:v>195</x:v>
      </x:c>
      <x:c r="E21" t="s">
        <x:v>31</x:v>
      </x:c>
      <x:c r="F21" t="s">
        <x:v>196</x:v>
      </x:c>
      <x:c r="G21" t="s">
        <x:v>197</x:v>
      </x:c>
      <x:c r="H21" t="s">
        <x:v>198</x:v>
      </x:c>
      <x:c r="I21" t="s">
        <x:v>137</x:v>
      </x:c>
      <x:c r="J21" t="s">
        <x:v>138</x:v>
      </x:c>
      <x:c r="K21" t="s">
        <x:v>37</x:v>
      </x:c>
      <x:c r="L21" t="s">
        <x:v>199</x:v>
      </x:c>
      <x:c r="M21" t="s">
        <x:v>200</x:v>
      </x:c>
      <x:c r="N21" t="s">
        <x:v>197</x:v>
      </x:c>
      <x:c r="O21" t="s">
        <x:v>201</x:v>
      </x:c>
      <x:c r="P21" t="s">
        <x:v>203</x:v>
      </x:c>
      <x:c r="Q21">
        <x:v>1</x:v>
      </x:c>
      <x:c r="R21" t="s">
        <x:v>42</x:v>
      </x:c>
      <x:c r="S21" t="s">
        <x:v>44</x:v>
      </x:c>
      <x:c r="T21" t="s">
        <x:v>44</x:v>
      </x:c>
      <x:c r="U21" t="s">
        <x:v>45</x:v>
      </x:c>
      <x:c r="V21" t="s">
        <x:v>60</x:v>
      </x:c>
      <x:c r="W21">
        <x:v>135.59</x:v>
      </x:c>
      <x:c r="X21" t="s">
        <x:v>47</x:v>
      </x:c>
      <x:c r="Y21" t="s">
        <x:v>48</x:v>
      </x:c>
      <x:c r="Z21" t="s">
        <x:v>49</x:v>
      </x:c>
      <x:c r="AA21">
        <x:v>987407712</x:v>
      </x:c>
      <x:c r="AB21" t="s">
        <x:v>142</x:v>
      </x:c>
    </x:row>
    <x:row r="22">
      <x:c r="A22" s="1">
        <x:v>46175</x:v>
      </x:c>
      <x:c r="B22" t="s">
        <x:v>204</x:v>
      </x:c>
      <x:c r="C22" t="s">
        <x:v>29</x:v>
      </x:c>
      <x:c r="D22" t="s">
        <x:v>205</x:v>
      </x:c>
      <x:c r="E22" t="s">
        <x:v>31</x:v>
      </x:c>
      <x:c r="F22" t="s">
        <x:v>206</x:v>
      </x:c>
      <x:c r="G22" t="s">
        <x:v>207</x:v>
      </x:c>
      <x:c r="H22" t="s">
        <x:v>208</x:v>
      </x:c>
      <x:c r="I22" t="s">
        <x:v>209</x:v>
      </x:c>
      <x:c r="J22" t="s">
        <x:v>210</x:v>
      </x:c>
      <x:c r="K22" t="s">
        <x:v>37</x:v>
      </x:c>
      <x:c r="L22" t="s">
        <x:v>211</x:v>
      </x:c>
      <x:c r="M22" t="s">
        <x:v>212</x:v>
      </x:c>
      <x:c r="N22" t="s">
        <x:v>207</x:v>
      </x:c>
      <x:c r="O22" t="s">
        <x:v>213</x:v>
      </x:c>
      <x:c r="P22" t="s">
        <x:v>214</x:v>
      </x:c>
      <x:c r="Q22">
        <x:v>1</x:v>
      </x:c>
      <x:c r="R22" t="s">
        <x:v>42</x:v>
      </x:c>
      <x:c r="S22" t="s">
        <x:v>43</x:v>
      </x:c>
      <x:c r="T22" t="s">
        <x:v>44</x:v>
      </x:c>
      <x:c r="U22" t="s">
        <x:v>45</x:v>
      </x:c>
      <x:c r="V22" t="s">
        <x:v>46</x:v>
      </x:c>
      <x:c r="W22">
        <x:v>254.24</x:v>
      </x:c>
      <x:c r="X22" t="s">
        <x:v>61</x:v>
      </x:c>
      <x:c r="Y22" t="s">
        <x:v>48</x:v>
      </x:c>
      <x:c r="Z22" t="s">
        <x:v>49</x:v>
      </x:c>
    </x:row>
    <x:row r="23">
      <x:c r="A23" s="1">
        <x:v>46198</x:v>
      </x:c>
      <x:c r="B23" t="s">
        <x:v>215</x:v>
      </x:c>
      <x:c r="C23" t="s">
        <x:v>29</x:v>
      </x:c>
      <x:c r="D23" t="s">
        <x:v>216</x:v>
      </x:c>
      <x:c r="E23" t="s">
        <x:v>31</x:v>
      </x:c>
      <x:c r="F23" t="s">
        <x:v>217</x:v>
      </x:c>
      <x:c r="G23" t="s">
        <x:v>218</x:v>
      </x:c>
      <x:c r="H23" t="s">
        <x:v>219</x:v>
      </x:c>
      <x:c r="I23" t="s">
        <x:v>209</x:v>
      </x:c>
      <x:c r="J23" t="s">
        <x:v>210</x:v>
      </x:c>
      <x:c r="K23" t="s">
        <x:v>37</x:v>
      </x:c>
      <x:c r="L23" t="s">
        <x:v>220</x:v>
      </x:c>
      <x:c r="M23" t="s">
        <x:v>221</x:v>
      </x:c>
      <x:c r="N23" t="s">
        <x:v>218</x:v>
      </x:c>
      <x:c r="O23" t="s">
        <x:v>222</x:v>
      </x:c>
      <x:c r="P23" t="s">
        <x:v>59</x:v>
      </x:c>
      <x:c r="Q23">
        <x:v>1</x:v>
      </x:c>
      <x:c r="R23" t="s">
        <x:v>42</x:v>
      </x:c>
      <x:c r="S23" t="s">
        <x:v>44</x:v>
      </x:c>
      <x:c r="T23" t="s">
        <x:v>44</x:v>
      </x:c>
      <x:c r="U23" t="s">
        <x:v>45</x:v>
      </x:c>
      <x:c r="V23" t="s">
        <x:v>60</x:v>
      </x:c>
      <x:c r="W23">
        <x:v>101.69</x:v>
      </x:c>
      <x:c r="X23" t="s">
        <x:v>61</x:v>
      </x:c>
      <x:c r="Y23" t="s">
        <x:v>48</x:v>
      </x:c>
      <x:c r="Z23" t="s">
        <x:v>49</x:v>
      </x:c>
    </x:row>
    <x:row r="24">
      <x:c r="A24" s="1">
        <x:v>46176</x:v>
      </x:c>
      <x:c r="B24" t="s">
        <x:v>223</x:v>
      </x:c>
      <x:c r="C24" t="s">
        <x:v>29</x:v>
      </x:c>
      <x:c r="D24" t="s">
        <x:v>224</x:v>
      </x:c>
      <x:c r="E24" t="s">
        <x:v>31</x:v>
      </x:c>
      <x:c r="F24" t="s">
        <x:v>225</x:v>
      </x:c>
      <x:c r="G24" t="s">
        <x:v>226</x:v>
      </x:c>
      <x:c r="H24" t="s">
        <x:v>227</x:v>
      </x:c>
      <x:c r="I24" t="s">
        <x:v>228</x:v>
      </x:c>
      <x:c r="K24" t="s">
        <x:v>37</x:v>
      </x:c>
      <x:c r="L24" t="s">
        <x:v>229</x:v>
      </x:c>
      <x:c r="M24" t="s">
        <x:v>230</x:v>
      </x:c>
      <x:c r="N24" t="s">
        <x:v>226</x:v>
      </x:c>
      <x:c r="O24" t="s">
        <x:v>231</x:v>
      </x:c>
      <x:c r="P24" t="s">
        <x:v>160</x:v>
      </x:c>
      <x:c r="Q24">
        <x:v>1</x:v>
      </x:c>
      <x:c r="R24" t="s">
        <x:v>42</x:v>
      </x:c>
      <x:c r="S24" t="s">
        <x:v>43</x:v>
      </x:c>
      <x:c r="T24" t="s">
        <x:v>44</x:v>
      </x:c>
      <x:c r="U24" t="s">
        <x:v>45</x:v>
      </x:c>
      <x:c r="V24" t="s">
        <x:v>46</x:v>
      </x:c>
      <x:c r="W24">
        <x:v>135.59</x:v>
      </x:c>
      <x:c r="X24" t="s">
        <x:v>47</x:v>
      </x:c>
      <x:c r="Y24" t="s">
        <x:v>48</x:v>
      </x:c>
      <x:c r="Z24" t="s">
        <x:v>49</x:v>
      </x:c>
    </x:row>
    <x:row r="25">
      <x:c r="A25" s="1">
        <x:v>46176</x:v>
      </x:c>
      <x:c r="B25" t="s">
        <x:v>232</x:v>
      </x:c>
      <x:c r="C25" t="s">
        <x:v>29</x:v>
      </x:c>
      <x:c r="D25" t="s">
        <x:v>233</x:v>
      </x:c>
      <x:c r="E25" t="s">
        <x:v>31</x:v>
      </x:c>
      <x:c r="F25" t="s">
        <x:v>234</x:v>
      </x:c>
      <x:c r="G25" t="s">
        <x:v>235</x:v>
      </x:c>
      <x:c r="H25" t="s">
        <x:v>236</x:v>
      </x:c>
      <x:c r="I25" t="s">
        <x:v>237</x:v>
      </x:c>
      <x:c r="K25" t="s">
        <x:v>37</x:v>
      </x:c>
      <x:c r="L25" t="s">
        <x:v>238</x:v>
      </x:c>
      <x:c r="M25" t="s">
        <x:v>239</x:v>
      </x:c>
      <x:c r="N25" t="s">
        <x:v>235</x:v>
      </x:c>
      <x:c r="O25" t="s">
        <x:v>240</x:v>
      </x:c>
      <x:c r="P25" t="s">
        <x:v>41</x:v>
      </x:c>
      <x:c r="Q25">
        <x:v>1</x:v>
      </x:c>
      <x:c r="R25" t="s">
        <x:v>42</x:v>
      </x:c>
      <x:c r="S25" t="s">
        <x:v>43</x:v>
      </x:c>
      <x:c r="T25" t="s">
        <x:v>44</x:v>
      </x:c>
      <x:c r="U25" t="s">
        <x:v>45</x:v>
      </x:c>
      <x:c r="V25" t="s">
        <x:v>60</x:v>
      </x:c>
      <x:c r="W25">
        <x:v>186.44</x:v>
      </x:c>
      <x:c r="X25" t="s">
        <x:v>47</x:v>
      </x:c>
      <x:c r="Y25" t="s">
        <x:v>48</x:v>
      </x:c>
      <x:c r="Z25" t="s">
        <x:v>49</x:v>
      </x:c>
    </x:row>
    <x:row r="26">
      <x:c r="A26" s="1">
        <x:v>46176</x:v>
      </x:c>
      <x:c r="B26" t="s">
        <x:v>232</x:v>
      </x:c>
      <x:c r="C26" t="s">
        <x:v>29</x:v>
      </x:c>
      <x:c r="D26" t="s">
        <x:v>233</x:v>
      </x:c>
      <x:c r="E26" t="s">
        <x:v>31</x:v>
      </x:c>
      <x:c r="F26" t="s">
        <x:v>234</x:v>
      </x:c>
      <x:c r="G26" t="s">
        <x:v>235</x:v>
      </x:c>
      <x:c r="H26" t="s">
        <x:v>236</x:v>
      </x:c>
      <x:c r="I26" t="s">
        <x:v>237</x:v>
      </x:c>
      <x:c r="K26" t="s">
        <x:v>37</x:v>
      </x:c>
      <x:c r="L26" t="s">
        <x:v>238</x:v>
      </x:c>
      <x:c r="M26" t="s">
        <x:v>239</x:v>
      </x:c>
      <x:c r="N26" t="s">
        <x:v>235</x:v>
      </x:c>
      <x:c r="O26" t="s">
        <x:v>240</x:v>
      </x:c>
      <x:c r="P26" t="s">
        <x:v>102</x:v>
      </x:c>
      <x:c r="Q26">
        <x:v>1</x:v>
      </x:c>
      <x:c r="R26" t="s">
        <x:v>42</x:v>
      </x:c>
      <x:c r="S26" t="s">
        <x:v>43</x:v>
      </x:c>
      <x:c r="T26" t="s">
        <x:v>44</x:v>
      </x:c>
      <x:c r="U26" t="s">
        <x:v>45</x:v>
      </x:c>
      <x:c r="V26" t="s">
        <x:v>60</x:v>
      </x:c>
      <x:c r="W26">
        <x:v>186.44</x:v>
      </x:c>
      <x:c r="X26" t="s">
        <x:v>47</x:v>
      </x:c>
      <x:c r="Y26" t="s">
        <x:v>48</x:v>
      </x:c>
      <x:c r="Z26" t="s">
        <x:v>49</x:v>
      </x:c>
    </x:row>
    <x:row r="27">
      <x:c r="A27" s="1">
        <x:v>46176</x:v>
      </x:c>
      <x:c r="B27" t="s">
        <x:v>241</x:v>
      </x:c>
      <x:c r="C27" t="s">
        <x:v>29</x:v>
      </x:c>
      <x:c r="D27" t="s">
        <x:v>242</x:v>
      </x:c>
      <x:c r="E27" t="s">
        <x:v>31</x:v>
      </x:c>
      <x:c r="F27" t="s">
        <x:v>243</x:v>
      </x:c>
      <x:c r="G27" t="s">
        <x:v>244</x:v>
      </x:c>
      <x:c r="H27" t="s">
        <x:v>245</x:v>
      </x:c>
      <x:c r="I27" t="s">
        <x:v>237</x:v>
      </x:c>
      <x:c r="K27" t="s">
        <x:v>37</x:v>
      </x:c>
      <x:c r="L27" t="s">
        <x:v>246</x:v>
      </x:c>
      <x:c r="M27" t="s">
        <x:v>247</x:v>
      </x:c>
      <x:c r="N27" t="s">
        <x:v>244</x:v>
      </x:c>
      <x:c r="O27" t="s">
        <x:v>248</x:v>
      </x:c>
      <x:c r="P27" t="s">
        <x:v>41</x:v>
      </x:c>
      <x:c r="Q27">
        <x:v>1</x:v>
      </x:c>
      <x:c r="R27" t="s">
        <x:v>42</x:v>
      </x:c>
      <x:c r="S27" t="s">
        <x:v>43</x:v>
      </x:c>
      <x:c r="T27" t="s">
        <x:v>44</x:v>
      </x:c>
      <x:c r="U27" t="s">
        <x:v>45</x:v>
      </x:c>
      <x:c r="V27" t="s">
        <x:v>60</x:v>
      </x:c>
      <x:c r="W27">
        <x:v>186.44</x:v>
      </x:c>
      <x:c r="X27" t="s">
        <x:v>47</x:v>
      </x:c>
      <x:c r="Y27" t="s">
        <x:v>48</x:v>
      </x:c>
      <x:c r="Z27" t="s">
        <x:v>49</x:v>
      </x:c>
    </x:row>
    <x:row r="28">
      <x:c r="A28" s="1">
        <x:v>46176</x:v>
      </x:c>
      <x:c r="B28" t="s">
        <x:v>241</x:v>
      </x:c>
      <x:c r="C28" t="s">
        <x:v>29</x:v>
      </x:c>
      <x:c r="D28" t="s">
        <x:v>242</x:v>
      </x:c>
      <x:c r="E28" t="s">
        <x:v>31</x:v>
      </x:c>
      <x:c r="F28" t="s">
        <x:v>243</x:v>
      </x:c>
      <x:c r="G28" t="s">
        <x:v>244</x:v>
      </x:c>
      <x:c r="H28" t="s">
        <x:v>245</x:v>
      </x:c>
      <x:c r="I28" t="s">
        <x:v>237</x:v>
      </x:c>
      <x:c r="K28" t="s">
        <x:v>37</x:v>
      </x:c>
      <x:c r="L28" t="s">
        <x:v>246</x:v>
      </x:c>
      <x:c r="M28" t="s">
        <x:v>247</x:v>
      </x:c>
      <x:c r="N28" t="s">
        <x:v>244</x:v>
      </x:c>
      <x:c r="O28" t="s">
        <x:v>248</x:v>
      </x:c>
      <x:c r="P28" t="s">
        <x:v>102</x:v>
      </x:c>
      <x:c r="Q28">
        <x:v>1</x:v>
      </x:c>
      <x:c r="R28" t="s">
        <x:v>42</x:v>
      </x:c>
      <x:c r="S28" t="s">
        <x:v>43</x:v>
      </x:c>
      <x:c r="T28" t="s">
        <x:v>44</x:v>
      </x:c>
      <x:c r="U28" t="s">
        <x:v>45</x:v>
      </x:c>
      <x:c r="V28" t="s">
        <x:v>60</x:v>
      </x:c>
      <x:c r="W28">
        <x:v>186.44</x:v>
      </x:c>
      <x:c r="X28" t="s">
        <x:v>47</x:v>
      </x:c>
      <x:c r="Y28" t="s">
        <x:v>48</x:v>
      </x:c>
      <x:c r="Z28" t="s">
        <x:v>49</x:v>
      </x:c>
    </x:row>
    <x:row r="29">
      <x:c r="A29" s="1">
        <x:v>46212</x:v>
      </x:c>
      <x:c r="B29" t="s">
        <x:v>249</x:v>
      </x:c>
      <x:c r="C29" t="s">
        <x:v>29</x:v>
      </x:c>
      <x:c r="D29" t="s">
        <x:v>250</x:v>
      </x:c>
      <x:c r="E29" t="s">
        <x:v>31</x:v>
      </x:c>
      <x:c r="F29" t="s">
        <x:v>251</x:v>
      </x:c>
      <x:c r="G29" t="s">
        <x:v>252</x:v>
      </x:c>
      <x:c r="H29" t="s">
        <x:v>253</x:v>
      </x:c>
      <x:c r="I29" t="s">
        <x:v>237</x:v>
      </x:c>
      <x:c r="K29" t="s">
        <x:v>37</x:v>
      </x:c>
      <x:c r="L29" t="s">
        <x:v>254</x:v>
      </x:c>
      <x:c r="M29" t="s">
        <x:v>255</x:v>
      </x:c>
      <x:c r="N29" t="s">
        <x:v>252</x:v>
      </x:c>
      <x:c r="O29" t="s">
        <x:v>256</x:v>
      </x:c>
      <x:c r="P29" t="s">
        <x:v>41</x:v>
      </x:c>
      <x:c r="Q29">
        <x:v>1</x:v>
      </x:c>
      <x:c r="R29" t="s">
        <x:v>42</x:v>
      </x:c>
      <x:c r="S29" t="s">
        <x:v>44</x:v>
      </x:c>
      <x:c r="T29" t="s">
        <x:v>44</x:v>
      </x:c>
      <x:c r="U29" t="s">
        <x:v>45</x:v>
      </x:c>
      <x:c r="V29" t="s">
        <x:v>46</x:v>
      </x:c>
      <x:c r="W29">
        <x:v>186.44</x:v>
      </x:c>
      <x:c r="X29" t="s">
        <x:v>47</x:v>
      </x:c>
      <x:c r="Y29" t="s">
        <x:v>48</x:v>
      </x:c>
      <x:c r="Z29" t="s">
        <x:v>49</x:v>
      </x:c>
    </x:row>
    <x:row r="30">
      <x:c r="A30" s="1">
        <x:v>46212</x:v>
      </x:c>
      <x:c r="B30" t="s">
        <x:v>249</x:v>
      </x:c>
      <x:c r="C30" t="s">
        <x:v>29</x:v>
      </x:c>
      <x:c r="D30" t="s">
        <x:v>250</x:v>
      </x:c>
      <x:c r="E30" t="s">
        <x:v>31</x:v>
      </x:c>
      <x:c r="F30" t="s">
        <x:v>251</x:v>
      </x:c>
      <x:c r="G30" t="s">
        <x:v>252</x:v>
      </x:c>
      <x:c r="H30" t="s">
        <x:v>253</x:v>
      </x:c>
      <x:c r="I30" t="s">
        <x:v>237</x:v>
      </x:c>
      <x:c r="K30" t="s">
        <x:v>37</x:v>
      </x:c>
      <x:c r="L30" t="s">
        <x:v>254</x:v>
      </x:c>
      <x:c r="M30" t="s">
        <x:v>255</x:v>
      </x:c>
      <x:c r="N30" t="s">
        <x:v>252</x:v>
      </x:c>
      <x:c r="O30" t="s">
        <x:v>256</x:v>
      </x:c>
      <x:c r="P30" t="s">
        <x:v>102</x:v>
      </x:c>
      <x:c r="Q30">
        <x:v>1</x:v>
      </x:c>
      <x:c r="R30" t="s">
        <x:v>42</x:v>
      </x:c>
      <x:c r="S30" t="s">
        <x:v>44</x:v>
      </x:c>
      <x:c r="T30" t="s">
        <x:v>44</x:v>
      </x:c>
      <x:c r="U30" t="s">
        <x:v>45</x:v>
      </x:c>
      <x:c r="V30" t="s">
        <x:v>46</x:v>
      </x:c>
      <x:c r="W30">
        <x:v>186.44</x:v>
      </x:c>
      <x:c r="X30" t="s">
        <x:v>47</x:v>
      </x:c>
      <x:c r="Y30" t="s">
        <x:v>48</x:v>
      </x:c>
      <x:c r="Z30" t="s">
        <x:v>49</x:v>
      </x:c>
    </x:row>
    <x:row r="31">
      <x:c r="A31" s="1">
        <x:v>46176</x:v>
      </x:c>
      <x:c r="B31" t="s">
        <x:v>257</x:v>
      </x:c>
      <x:c r="C31" t="s">
        <x:v>29</x:v>
      </x:c>
      <x:c r="D31" t="s">
        <x:v>258</x:v>
      </x:c>
      <x:c r="E31" t="s">
        <x:v>31</x:v>
      </x:c>
      <x:c r="F31" t="s">
        <x:v>259</x:v>
      </x:c>
      <x:c r="G31" t="s">
        <x:v>260</x:v>
      </x:c>
      <x:c r="H31" t="s">
        <x:v>261</x:v>
      </x:c>
      <x:c r="I31" t="s">
        <x:v>262</x:v>
      </x:c>
      <x:c r="J31" t="s">
        <x:v>263</x:v>
      </x:c>
      <x:c r="K31" t="s">
        <x:v>37</x:v>
      </x:c>
      <x:c r="L31" t="s">
        <x:v>264</x:v>
      </x:c>
      <x:c r="M31" t="s">
        <x:v>265</x:v>
      </x:c>
      <x:c r="N31" t="s">
        <x:v>260</x:v>
      </x:c>
      <x:c r="O31" t="s">
        <x:v>266</x:v>
      </x:c>
      <x:c r="P31" t="s">
        <x:v>41</x:v>
      </x:c>
      <x:c r="Q31">
        <x:v>1</x:v>
      </x:c>
      <x:c r="R31" t="s">
        <x:v>42</x:v>
      </x:c>
      <x:c r="S31" t="s">
        <x:v>43</x:v>
      </x:c>
      <x:c r="T31" t="s">
        <x:v>44</x:v>
      </x:c>
      <x:c r="U31" t="s">
        <x:v>45</x:v>
      </x:c>
      <x:c r="V31" t="s">
        <x:v>60</x:v>
      </x:c>
      <x:c r="W31">
        <x:v>186.44</x:v>
      </x:c>
      <x:c r="X31" t="s">
        <x:v>47</x:v>
      </x:c>
      <x:c r="Y31" t="s">
        <x:v>48</x:v>
      </x:c>
      <x:c r="Z31" t="s">
        <x:v>49</x:v>
      </x:c>
      <x:c r="AA31">
        <x:v>981214114</x:v>
      </x:c>
      <x:c r="AB31" t="s">
        <x:v>267</x:v>
      </x:c>
    </x:row>
    <x:row r="32">
      <x:c r="A32" s="1">
        <x:v>46176</x:v>
      </x:c>
      <x:c r="B32" t="s">
        <x:v>257</x:v>
      </x:c>
      <x:c r="C32" t="s">
        <x:v>29</x:v>
      </x:c>
      <x:c r="D32" t="s">
        <x:v>258</x:v>
      </x:c>
      <x:c r="E32" t="s">
        <x:v>31</x:v>
      </x:c>
      <x:c r="F32" t="s">
        <x:v>259</x:v>
      </x:c>
      <x:c r="G32" t="s">
        <x:v>260</x:v>
      </x:c>
      <x:c r="H32" t="s">
        <x:v>261</x:v>
      </x:c>
      <x:c r="I32" t="s">
        <x:v>262</x:v>
      </x:c>
      <x:c r="J32" t="s">
        <x:v>263</x:v>
      </x:c>
      <x:c r="K32" t="s">
        <x:v>37</x:v>
      </x:c>
      <x:c r="L32" t="s">
        <x:v>264</x:v>
      </x:c>
      <x:c r="M32" t="s">
        <x:v>265</x:v>
      </x:c>
      <x:c r="N32" t="s">
        <x:v>260</x:v>
      </x:c>
      <x:c r="O32" t="s">
        <x:v>266</x:v>
      </x:c>
      <x:c r="P32" t="s">
        <x:v>159</x:v>
      </x:c>
      <x:c r="Q32">
        <x:v>1</x:v>
      </x:c>
      <x:c r="R32" t="s">
        <x:v>42</x:v>
      </x:c>
      <x:c r="S32" t="s">
        <x:v>43</x:v>
      </x:c>
      <x:c r="T32" t="s">
        <x:v>44</x:v>
      </x:c>
      <x:c r="U32" t="s">
        <x:v>45</x:v>
      </x:c>
      <x:c r="V32" t="s">
        <x:v>60</x:v>
      </x:c>
      <x:c r="W32">
        <x:v>152.54</x:v>
      </x:c>
      <x:c r="X32" t="s">
        <x:v>47</x:v>
      </x:c>
      <x:c r="Y32" t="s">
        <x:v>48</x:v>
      </x:c>
      <x:c r="Z32" t="s">
        <x:v>49</x:v>
      </x:c>
      <x:c r="AA32">
        <x:v>981214114</x:v>
      </x:c>
      <x:c r="AB32" t="s">
        <x:v>267</x:v>
      </x:c>
    </x:row>
    <x:row r="33">
      <x:c r="A33" s="1">
        <x:v>46177</x:v>
      </x:c>
      <x:c r="B33" t="s">
        <x:v>268</x:v>
      </x:c>
      <x:c r="C33" t="s">
        <x:v>269</x:v>
      </x:c>
      <x:c r="D33" t="s">
        <x:v>270</x:v>
      </x:c>
      <x:c r="E33" t="s">
        <x:v>31</x:v>
      </x:c>
      <x:c r="F33" t="s">
        <x:v>271</x:v>
      </x:c>
      <x:c r="G33" t="s">
        <x:v>272</x:v>
      </x:c>
      <x:c r="H33" t="s">
        <x:v>273</x:v>
      </x:c>
      <x:c r="I33" t="s">
        <x:v>274</x:v>
      </x:c>
      <x:c r="J33" t="s">
        <x:v>275</x:v>
      </x:c>
      <x:c r="K33" t="s">
        <x:v>37</x:v>
      </x:c>
      <x:c r="L33" t="s">
        <x:v>276</x:v>
      </x:c>
      <x:c r="M33" t="s">
        <x:v>277</x:v>
      </x:c>
      <x:c r="N33" t="s">
        <x:v>278</x:v>
      </x:c>
      <x:c r="O33" t="s">
        <x:v>279</x:v>
      </x:c>
      <x:c r="P33" t="s">
        <x:v>202</x:v>
      </x:c>
      <x:c r="Q33">
        <x:v>1</x:v>
      </x:c>
      <x:c r="R33" t="s">
        <x:v>42</x:v>
      </x:c>
      <x:c r="S33" t="s">
        <x:v>43</x:v>
      </x:c>
      <x:c r="T33" t="s">
        <x:v>44</x:v>
      </x:c>
      <x:c r="U33" t="s">
        <x:v>45</x:v>
      </x:c>
      <x:c r="V33" t="s">
        <x:v>60</x:v>
      </x:c>
      <x:c r="W33">
        <x:v>152.54</x:v>
      </x:c>
      <x:c r="X33" t="s">
        <x:v>47</x:v>
      </x:c>
      <x:c r="Y33" t="s">
        <x:v>48</x:v>
      </x:c>
      <x:c r="Z33" t="s">
        <x:v>49</x:v>
      </x:c>
      <x:c r="AA33">
        <x:v>950133748</x:v>
      </x:c>
      <x:c r="AB33" t="s">
        <x:v>280</x:v>
      </x:c>
    </x:row>
    <x:row r="34">
      <x:c r="A34" s="1">
        <x:v>46177</x:v>
      </x:c>
      <x:c r="B34" t="s">
        <x:v>268</x:v>
      </x:c>
      <x:c r="C34" t="s">
        <x:v>269</x:v>
      </x:c>
      <x:c r="D34" t="s">
        <x:v>270</x:v>
      </x:c>
      <x:c r="E34" t="s">
        <x:v>31</x:v>
      </x:c>
      <x:c r="F34" t="s">
        <x:v>271</x:v>
      </x:c>
      <x:c r="G34" t="s">
        <x:v>272</x:v>
      </x:c>
      <x:c r="H34" t="s">
        <x:v>273</x:v>
      </x:c>
      <x:c r="I34" t="s">
        <x:v>274</x:v>
      </x:c>
      <x:c r="J34" t="s">
        <x:v>275</x:v>
      </x:c>
      <x:c r="K34" t="s">
        <x:v>37</x:v>
      </x:c>
      <x:c r="L34" t="s">
        <x:v>276</x:v>
      </x:c>
      <x:c r="M34" t="s">
        <x:v>277</x:v>
      </x:c>
      <x:c r="N34" t="s">
        <x:v>278</x:v>
      </x:c>
      <x:c r="O34" t="s">
        <x:v>279</x:v>
      </x:c>
      <x:c r="P34" t="s">
        <x:v>203</x:v>
      </x:c>
      <x:c r="Q34">
        <x:v>1</x:v>
      </x:c>
      <x:c r="R34" t="s">
        <x:v>42</x:v>
      </x:c>
      <x:c r="S34" t="s">
        <x:v>43</x:v>
      </x:c>
      <x:c r="T34" t="s">
        <x:v>44</x:v>
      </x:c>
      <x:c r="U34" t="s">
        <x:v>45</x:v>
      </x:c>
      <x:c r="V34" t="s">
        <x:v>60</x:v>
      </x:c>
      <x:c r="W34">
        <x:v>135.59</x:v>
      </x:c>
      <x:c r="X34" t="s">
        <x:v>47</x:v>
      </x:c>
      <x:c r="Y34" t="s">
        <x:v>48</x:v>
      </x:c>
      <x:c r="Z34" t="s">
        <x:v>49</x:v>
      </x:c>
      <x:c r="AA34">
        <x:v>950133748</x:v>
      </x:c>
      <x:c r="AB34" t="s">
        <x:v>280</x:v>
      </x:c>
    </x:row>
    <x:row r="35">
      <x:c r="A35" s="1">
        <x:v>46177</x:v>
      </x:c>
      <x:c r="B35" t="s">
        <x:v>281</x:v>
      </x:c>
      <x:c r="C35" t="s">
        <x:v>269</x:v>
      </x:c>
      <x:c r="D35" t="s">
        <x:v>282</x:v>
      </x:c>
      <x:c r="E35" t="s">
        <x:v>31</x:v>
      </x:c>
      <x:c r="F35" t="s">
        <x:v>283</x:v>
      </x:c>
      <x:c r="G35" t="s">
        <x:v>284</x:v>
      </x:c>
      <x:c r="H35" t="s">
        <x:v>285</x:v>
      </x:c>
      <x:c r="I35" t="s">
        <x:v>274</x:v>
      </x:c>
      <x:c r="J35" t="s">
        <x:v>275</x:v>
      </x:c>
      <x:c r="K35" t="s">
        <x:v>37</x:v>
      </x:c>
      <x:c r="L35" t="s">
        <x:v>286</x:v>
      </x:c>
      <x:c r="M35" t="s">
        <x:v>287</x:v>
      </x:c>
      <x:c r="N35" t="s">
        <x:v>278</x:v>
      </x:c>
      <x:c r="O35" t="s">
        <x:v>288</x:v>
      </x:c>
      <x:c r="P35" t="s">
        <x:v>289</x:v>
      </x:c>
      <x:c r="Q35">
        <x:v>1</x:v>
      </x:c>
      <x:c r="R35" t="s">
        <x:v>42</x:v>
      </x:c>
      <x:c r="S35" t="s">
        <x:v>43</x:v>
      </x:c>
      <x:c r="T35" t="s">
        <x:v>44</x:v>
      </x:c>
      <x:c r="U35" t="s">
        <x:v>45</x:v>
      </x:c>
      <x:c r="V35" t="s">
        <x:v>46</x:v>
      </x:c>
      <x:c r="W35">
        <x:v>0</x:v>
      </x:c>
      <x:c r="X35" t="s">
        <x:v>290</x:v>
      </x:c>
      <x:c r="Y35" t="s">
        <x:v>48</x:v>
      </x:c>
      <x:c r="Z35" t="s">
        <x:v>49</x:v>
      </x:c>
      <x:c r="AA35">
        <x:v>950133748</x:v>
      </x:c>
      <x:c r="AB35" t="s">
        <x:v>280</x:v>
      </x:c>
    </x:row>
    <x:row r="36">
      <x:c r="A36" s="1">
        <x:v>46177</x:v>
      </x:c>
      <x:c r="B36" t="s">
        <x:v>281</x:v>
      </x:c>
      <x:c r="C36" t="s">
        <x:v>269</x:v>
      </x:c>
      <x:c r="D36" t="s">
        <x:v>282</x:v>
      </x:c>
      <x:c r="E36" t="s">
        <x:v>31</x:v>
      </x:c>
      <x:c r="F36" t="s">
        <x:v>283</x:v>
      </x:c>
      <x:c r="G36" t="s">
        <x:v>284</x:v>
      </x:c>
      <x:c r="H36" t="s">
        <x:v>285</x:v>
      </x:c>
      <x:c r="I36" t="s">
        <x:v>274</x:v>
      </x:c>
      <x:c r="J36" t="s">
        <x:v>275</x:v>
      </x:c>
      <x:c r="K36" t="s">
        <x:v>37</x:v>
      </x:c>
      <x:c r="L36" t="s">
        <x:v>286</x:v>
      </x:c>
      <x:c r="M36" t="s">
        <x:v>287</x:v>
      </x:c>
      <x:c r="N36" t="s">
        <x:v>278</x:v>
      </x:c>
      <x:c r="O36" t="s">
        <x:v>288</x:v>
      </x:c>
      <x:c r="P36" t="s">
        <x:v>291</x:v>
      </x:c>
      <x:c r="Q36">
        <x:v>1</x:v>
      </x:c>
      <x:c r="R36" t="s">
        <x:v>42</x:v>
      </x:c>
      <x:c r="S36" t="s">
        <x:v>43</x:v>
      </x:c>
      <x:c r="T36" t="s">
        <x:v>44</x:v>
      </x:c>
      <x:c r="U36" t="s">
        <x:v>45</x:v>
      </x:c>
      <x:c r="V36" t="s">
        <x:v>46</x:v>
      </x:c>
      <x:c r="W36">
        <x:v>1050.8499999999999</x:v>
      </x:c>
      <x:c r="X36" t="s">
        <x:v>290</x:v>
      </x:c>
      <x:c r="Y36" t="s">
        <x:v>48</x:v>
      </x:c>
      <x:c r="Z36" t="s">
        <x:v>49</x:v>
      </x:c>
      <x:c r="AA36">
        <x:v>950133748</x:v>
      </x:c>
      <x:c r="AB36" t="s">
        <x:v>280</x:v>
      </x:c>
    </x:row>
    <x:row r="37">
      <x:c r="A37" s="1">
        <x:v>46177</x:v>
      </x:c>
      <x:c r="B37" t="s">
        <x:v>292</x:v>
      </x:c>
      <x:c r="C37" t="s">
        <x:v>269</x:v>
      </x:c>
      <x:c r="D37" t="s">
        <x:v>293</x:v>
      </x:c>
      <x:c r="E37" t="s">
        <x:v>31</x:v>
      </x:c>
      <x:c r="F37" t="s">
        <x:v>294</x:v>
      </x:c>
      <x:c r="G37" t="s">
        <x:v>272</x:v>
      </x:c>
      <x:c r="H37" t="s">
        <x:v>273</x:v>
      </x:c>
      <x:c r="I37" t="s">
        <x:v>274</x:v>
      </x:c>
      <x:c r="J37" t="s">
        <x:v>275</x:v>
      </x:c>
      <x:c r="K37" t="s">
        <x:v>37</x:v>
      </x:c>
      <x:c r="L37" t="s">
        <x:v>276</x:v>
      </x:c>
      <x:c r="M37" t="s">
        <x:v>277</x:v>
      </x:c>
      <x:c r="N37" t="s">
        <x:v>278</x:v>
      </x:c>
      <x:c r="O37" t="s">
        <x:v>295</x:v>
      </x:c>
      <x:c r="P37" t="s">
        <x:v>289</x:v>
      </x:c>
      <x:c r="Q37">
        <x:v>1</x:v>
      </x:c>
      <x:c r="R37" t="s">
        <x:v>42</x:v>
      </x:c>
      <x:c r="S37" t="s">
        <x:v>43</x:v>
      </x:c>
      <x:c r="T37" t="s">
        <x:v>44</x:v>
      </x:c>
      <x:c r="U37" t="s">
        <x:v>45</x:v>
      </x:c>
      <x:c r="V37" t="s">
        <x:v>46</x:v>
      </x:c>
      <x:c r="W37">
        <x:v>0</x:v>
      </x:c>
      <x:c r="X37" t="s">
        <x:v>290</x:v>
      </x:c>
      <x:c r="Y37" t="s">
        <x:v>48</x:v>
      </x:c>
      <x:c r="Z37" t="s">
        <x:v>49</x:v>
      </x:c>
      <x:c r="AA37">
        <x:v>950133748</x:v>
      </x:c>
      <x:c r="AB37" t="s">
        <x:v>280</x:v>
      </x:c>
    </x:row>
    <x:row r="38">
      <x:c r="A38" s="1">
        <x:v>46177</x:v>
      </x:c>
      <x:c r="B38" t="s">
        <x:v>292</x:v>
      </x:c>
      <x:c r="C38" t="s">
        <x:v>269</x:v>
      </x:c>
      <x:c r="D38" t="s">
        <x:v>293</x:v>
      </x:c>
      <x:c r="E38" t="s">
        <x:v>31</x:v>
      </x:c>
      <x:c r="F38" t="s">
        <x:v>294</x:v>
      </x:c>
      <x:c r="G38" t="s">
        <x:v>272</x:v>
      </x:c>
      <x:c r="H38" t="s">
        <x:v>273</x:v>
      </x:c>
      <x:c r="I38" t="s">
        <x:v>274</x:v>
      </x:c>
      <x:c r="J38" t="s">
        <x:v>275</x:v>
      </x:c>
      <x:c r="K38" t="s">
        <x:v>37</x:v>
      </x:c>
      <x:c r="L38" t="s">
        <x:v>276</x:v>
      </x:c>
      <x:c r="M38" t="s">
        <x:v>277</x:v>
      </x:c>
      <x:c r="N38" t="s">
        <x:v>278</x:v>
      </x:c>
      <x:c r="O38" t="s">
        <x:v>295</x:v>
      </x:c>
      <x:c r="P38" t="s">
        <x:v>291</x:v>
      </x:c>
      <x:c r="Q38">
        <x:v>1</x:v>
      </x:c>
      <x:c r="R38" t="s">
        <x:v>42</x:v>
      </x:c>
      <x:c r="S38" t="s">
        <x:v>43</x:v>
      </x:c>
      <x:c r="T38" t="s">
        <x:v>44</x:v>
      </x:c>
      <x:c r="U38" t="s">
        <x:v>45</x:v>
      </x:c>
      <x:c r="V38" t="s">
        <x:v>46</x:v>
      </x:c>
      <x:c r="W38">
        <x:v>1050.8499999999999</x:v>
      </x:c>
      <x:c r="X38" t="s">
        <x:v>290</x:v>
      </x:c>
      <x:c r="Y38" t="s">
        <x:v>48</x:v>
      </x:c>
      <x:c r="Z38" t="s">
        <x:v>49</x:v>
      </x:c>
      <x:c r="AA38">
        <x:v>950133748</x:v>
      </x:c>
      <x:c r="AB38" t="s">
        <x:v>280</x:v>
      </x:c>
    </x:row>
    <x:row r="39">
      <x:c r="A39" s="1">
        <x:v>46182</x:v>
      </x:c>
      <x:c r="B39" t="s">
        <x:v>296</x:v>
      </x:c>
      <x:c r="C39" t="s">
        <x:v>269</x:v>
      </x:c>
      <x:c r="D39" t="s">
        <x:v>297</x:v>
      </x:c>
      <x:c r="E39" t="s">
        <x:v>31</x:v>
      </x:c>
      <x:c r="F39" t="s">
        <x:v>298</x:v>
      </x:c>
      <x:c r="G39" t="s">
        <x:v>299</x:v>
      </x:c>
      <x:c r="H39" t="s">
        <x:v>300</x:v>
      </x:c>
      <x:c r="I39" t="s">
        <x:v>274</x:v>
      </x:c>
      <x:c r="J39" t="s">
        <x:v>275</x:v>
      </x:c>
      <x:c r="K39" t="s">
        <x:v>37</x:v>
      </x:c>
      <x:c r="L39" t="s">
        <x:v>301</x:v>
      </x:c>
      <x:c r="M39" t="s">
        <x:v>302</x:v>
      </x:c>
      <x:c r="N39" t="s">
        <x:v>278</x:v>
      </x:c>
      <x:c r="O39" t="s">
        <x:v>303</x:v>
      </x:c>
      <x:c r="P39" t="s">
        <x:v>289</x:v>
      </x:c>
      <x:c r="Q39">
        <x:v>1</x:v>
      </x:c>
      <x:c r="R39" t="s">
        <x:v>42</x:v>
      </x:c>
      <x:c r="S39" t="s">
        <x:v>43</x:v>
      </x:c>
      <x:c r="T39" t="s">
        <x:v>44</x:v>
      </x:c>
      <x:c r="U39" t="s">
        <x:v>45</x:v>
      </x:c>
      <x:c r="V39" t="s">
        <x:v>46</x:v>
      </x:c>
      <x:c r="W39">
        <x:v>0</x:v>
      </x:c>
      <x:c r="X39" t="s">
        <x:v>290</x:v>
      </x:c>
      <x:c r="Y39" t="s">
        <x:v>48</x:v>
      </x:c>
      <x:c r="Z39" t="s">
        <x:v>49</x:v>
      </x:c>
      <x:c r="AA39">
        <x:v>950133748</x:v>
      </x:c>
      <x:c r="AB39" t="s">
        <x:v>280</x:v>
      </x:c>
    </x:row>
    <x:row r="40">
      <x:c r="A40" s="1">
        <x:v>46182</x:v>
      </x:c>
      <x:c r="B40" t="s">
        <x:v>296</x:v>
      </x:c>
      <x:c r="C40" t="s">
        <x:v>269</x:v>
      </x:c>
      <x:c r="D40" t="s">
        <x:v>297</x:v>
      </x:c>
      <x:c r="E40" t="s">
        <x:v>31</x:v>
      </x:c>
      <x:c r="F40" t="s">
        <x:v>298</x:v>
      </x:c>
      <x:c r="G40" t="s">
        <x:v>299</x:v>
      </x:c>
      <x:c r="H40" t="s">
        <x:v>300</x:v>
      </x:c>
      <x:c r="I40" t="s">
        <x:v>274</x:v>
      </x:c>
      <x:c r="J40" t="s">
        <x:v>275</x:v>
      </x:c>
      <x:c r="K40" t="s">
        <x:v>37</x:v>
      </x:c>
      <x:c r="L40" t="s">
        <x:v>301</x:v>
      </x:c>
      <x:c r="M40" t="s">
        <x:v>302</x:v>
      </x:c>
      <x:c r="N40" t="s">
        <x:v>278</x:v>
      </x:c>
      <x:c r="O40" t="s">
        <x:v>303</x:v>
      </x:c>
      <x:c r="P40" t="s">
        <x:v>291</x:v>
      </x:c>
      <x:c r="Q40">
        <x:v>1</x:v>
      </x:c>
      <x:c r="R40" t="s">
        <x:v>42</x:v>
      </x:c>
      <x:c r="S40" t="s">
        <x:v>43</x:v>
      </x:c>
      <x:c r="T40" t="s">
        <x:v>44</x:v>
      </x:c>
      <x:c r="U40" t="s">
        <x:v>45</x:v>
      </x:c>
      <x:c r="V40" t="s">
        <x:v>46</x:v>
      </x:c>
      <x:c r="W40">
        <x:v>1050.8499999999999</x:v>
      </x:c>
      <x:c r="X40" t="s">
        <x:v>290</x:v>
      </x:c>
      <x:c r="Y40" t="s">
        <x:v>48</x:v>
      </x:c>
      <x:c r="Z40" t="s">
        <x:v>49</x:v>
      </x:c>
      <x:c r="AA40">
        <x:v>950133748</x:v>
      </x:c>
      <x:c r="AB40" t="s">
        <x:v>280</x:v>
      </x:c>
    </x:row>
    <x:row r="41">
      <x:c r="A41" s="1">
        <x:v>46182</x:v>
      </x:c>
      <x:c r="B41" t="s">
        <x:v>304</x:v>
      </x:c>
      <x:c r="C41" t="s">
        <x:v>269</x:v>
      </x:c>
      <x:c r="D41" t="s">
        <x:v>305</x:v>
      </x:c>
      <x:c r="E41" t="s">
        <x:v>31</x:v>
      </x:c>
      <x:c r="F41" t="s">
        <x:v>306</x:v>
      </x:c>
      <x:c r="G41" t="s">
        <x:v>307</x:v>
      </x:c>
      <x:c r="H41" t="s">
        <x:v>308</x:v>
      </x:c>
      <x:c r="I41" t="s">
        <x:v>274</x:v>
      </x:c>
      <x:c r="J41" t="s">
        <x:v>275</x:v>
      </x:c>
      <x:c r="K41" t="s">
        <x:v>37</x:v>
      </x:c>
      <x:c r="L41" t="s">
        <x:v>309</x:v>
      </x:c>
      <x:c r="M41" t="s">
        <x:v>310</x:v>
      </x:c>
      <x:c r="N41" t="s">
        <x:v>278</x:v>
      </x:c>
      <x:c r="O41" t="s">
        <x:v>311</x:v>
      </x:c>
      <x:c r="P41" t="s">
        <x:v>289</x:v>
      </x:c>
      <x:c r="Q41">
        <x:v>1</x:v>
      </x:c>
      <x:c r="R41" t="s">
        <x:v>42</x:v>
      </x:c>
      <x:c r="S41" t="s">
        <x:v>43</x:v>
      </x:c>
      <x:c r="T41" t="s">
        <x:v>44</x:v>
      </x:c>
      <x:c r="U41" t="s">
        <x:v>45</x:v>
      </x:c>
      <x:c r="V41" t="s">
        <x:v>46</x:v>
      </x:c>
      <x:c r="W41">
        <x:v>0</x:v>
      </x:c>
      <x:c r="X41" t="s">
        <x:v>290</x:v>
      </x:c>
      <x:c r="Y41" t="s">
        <x:v>48</x:v>
      </x:c>
      <x:c r="Z41" t="s">
        <x:v>49</x:v>
      </x:c>
      <x:c r="AA41">
        <x:v>950133748</x:v>
      </x:c>
      <x:c r="AB41" t="s">
        <x:v>280</x:v>
      </x:c>
    </x:row>
    <x:row r="42">
      <x:c r="A42" s="1">
        <x:v>46182</x:v>
      </x:c>
      <x:c r="B42" t="s">
        <x:v>304</x:v>
      </x:c>
      <x:c r="C42" t="s">
        <x:v>269</x:v>
      </x:c>
      <x:c r="D42" t="s">
        <x:v>305</x:v>
      </x:c>
      <x:c r="E42" t="s">
        <x:v>31</x:v>
      </x:c>
      <x:c r="F42" t="s">
        <x:v>306</x:v>
      </x:c>
      <x:c r="G42" t="s">
        <x:v>307</x:v>
      </x:c>
      <x:c r="H42" t="s">
        <x:v>308</x:v>
      </x:c>
      <x:c r="I42" t="s">
        <x:v>274</x:v>
      </x:c>
      <x:c r="J42" t="s">
        <x:v>275</x:v>
      </x:c>
      <x:c r="K42" t="s">
        <x:v>37</x:v>
      </x:c>
      <x:c r="L42" t="s">
        <x:v>309</x:v>
      </x:c>
      <x:c r="M42" t="s">
        <x:v>310</x:v>
      </x:c>
      <x:c r="N42" t="s">
        <x:v>278</x:v>
      </x:c>
      <x:c r="O42" t="s">
        <x:v>311</x:v>
      </x:c>
      <x:c r="P42" t="s">
        <x:v>291</x:v>
      </x:c>
      <x:c r="Q42">
        <x:v>1</x:v>
      </x:c>
      <x:c r="R42" t="s">
        <x:v>42</x:v>
      </x:c>
      <x:c r="S42" t="s">
        <x:v>43</x:v>
      </x:c>
      <x:c r="T42" t="s">
        <x:v>44</x:v>
      </x:c>
      <x:c r="U42" t="s">
        <x:v>45</x:v>
      </x:c>
      <x:c r="V42" t="s">
        <x:v>46</x:v>
      </x:c>
      <x:c r="W42">
        <x:v>1050.8499999999999</x:v>
      </x:c>
      <x:c r="X42" t="s">
        <x:v>290</x:v>
      </x:c>
      <x:c r="Y42" t="s">
        <x:v>48</x:v>
      </x:c>
      <x:c r="Z42" t="s">
        <x:v>49</x:v>
      </x:c>
      <x:c r="AA42">
        <x:v>950133748</x:v>
      </x:c>
      <x:c r="AB42" t="s">
        <x:v>280</x:v>
      </x:c>
    </x:row>
    <x:row r="43">
      <x:c r="A43" s="1">
        <x:v>46191</x:v>
      </x:c>
      <x:c r="B43" t="s">
        <x:v>312</x:v>
      </x:c>
      <x:c r="C43" t="s">
        <x:v>29</x:v>
      </x:c>
      <x:c r="D43" t="s">
        <x:v>313</x:v>
      </x:c>
      <x:c r="E43" t="s">
        <x:v>31</x:v>
      </x:c>
      <x:c r="F43" t="s">
        <x:v>314</x:v>
      </x:c>
      <x:c r="G43" t="s">
        <x:v>315</x:v>
      </x:c>
      <x:c r="H43" t="s">
        <x:v>316</x:v>
      </x:c>
      <x:c r="I43" t="s">
        <x:v>274</x:v>
      </x:c>
      <x:c r="J43" t="s">
        <x:v>275</x:v>
      </x:c>
      <x:c r="K43" t="s">
        <x:v>37</x:v>
      </x:c>
      <x:c r="L43" t="s">
        <x:v>317</x:v>
      </x:c>
      <x:c r="M43" t="s">
        <x:v>318</x:v>
      </x:c>
      <x:c r="N43" t="s">
        <x:v>315</x:v>
      </x:c>
      <x:c r="O43" t="s">
        <x:v>319</x:v>
      </x:c>
      <x:c r="P43" t="s">
        <x:v>202</x:v>
      </x:c>
      <x:c r="Q43">
        <x:v>1</x:v>
      </x:c>
      <x:c r="R43" t="s">
        <x:v>42</x:v>
      </x:c>
      <x:c r="S43" t="s">
        <x:v>44</x:v>
      </x:c>
      <x:c r="T43" t="s">
        <x:v>44</x:v>
      </x:c>
      <x:c r="U43" t="s">
        <x:v>45</x:v>
      </x:c>
      <x:c r="V43" t="s">
        <x:v>46</x:v>
      </x:c>
      <x:c r="W43">
        <x:v>42.37</x:v>
      </x:c>
      <x:c r="X43" t="s">
        <x:v>47</x:v>
      </x:c>
      <x:c r="Y43" t="s">
        <x:v>48</x:v>
      </x:c>
      <x:c r="Z43" t="s">
        <x:v>49</x:v>
      </x:c>
      <x:c r="AA43">
        <x:v>950133748</x:v>
      </x:c>
      <x:c r="AB43" t="s">
        <x:v>280</x:v>
      </x:c>
    </x:row>
    <x:row r="44">
      <x:c r="A44" s="1">
        <x:v>46191</x:v>
      </x:c>
      <x:c r="B44" t="s">
        <x:v>312</x:v>
      </x:c>
      <x:c r="C44" t="s">
        <x:v>29</x:v>
      </x:c>
      <x:c r="D44" t="s">
        <x:v>313</x:v>
      </x:c>
      <x:c r="E44" t="s">
        <x:v>31</x:v>
      </x:c>
      <x:c r="F44" t="s">
        <x:v>314</x:v>
      </x:c>
      <x:c r="G44" t="s">
        <x:v>315</x:v>
      </x:c>
      <x:c r="H44" t="s">
        <x:v>316</x:v>
      </x:c>
      <x:c r="I44" t="s">
        <x:v>274</x:v>
      </x:c>
      <x:c r="J44" t="s">
        <x:v>275</x:v>
      </x:c>
      <x:c r="K44" t="s">
        <x:v>37</x:v>
      </x:c>
      <x:c r="L44" t="s">
        <x:v>317</x:v>
      </x:c>
      <x:c r="M44" t="s">
        <x:v>318</x:v>
      </x:c>
      <x:c r="N44" t="s">
        <x:v>315</x:v>
      </x:c>
      <x:c r="O44" t="s">
        <x:v>319</x:v>
      </x:c>
      <x:c r="P44" t="s">
        <x:v>203</x:v>
      </x:c>
      <x:c r="Q44">
        <x:v>1</x:v>
      </x:c>
      <x:c r="R44" t="s">
        <x:v>42</x:v>
      </x:c>
      <x:c r="S44" t="s">
        <x:v>44</x:v>
      </x:c>
      <x:c r="T44" t="s">
        <x:v>44</x:v>
      </x:c>
      <x:c r="U44" t="s">
        <x:v>45</x:v>
      </x:c>
      <x:c r="V44" t="s">
        <x:v>46</x:v>
      </x:c>
      <x:c r="W44">
        <x:v>42.37</x:v>
      </x:c>
      <x:c r="X44" t="s">
        <x:v>47</x:v>
      </x:c>
      <x:c r="Y44" t="s">
        <x:v>48</x:v>
      </x:c>
      <x:c r="Z44" t="s">
        <x:v>49</x:v>
      </x:c>
      <x:c r="AA44">
        <x:v>950133748</x:v>
      </x:c>
      <x:c r="AB44" t="s">
        <x:v>280</x:v>
      </x:c>
    </x:row>
    <x:row r="45">
      <x:c r="A45" s="1">
        <x:v>46197</x:v>
      </x:c>
      <x:c r="B45" t="s">
        <x:v>320</x:v>
      </x:c>
      <x:c r="C45" t="s">
        <x:v>269</x:v>
      </x:c>
      <x:c r="D45" t="s">
        <x:v>321</x:v>
      </x:c>
      <x:c r="E45" t="s">
        <x:v>31</x:v>
      </x:c>
      <x:c r="F45" t="s">
        <x:v>322</x:v>
      </x:c>
      <x:c r="G45" t="s">
        <x:v>323</x:v>
      </x:c>
      <x:c r="H45" t="s">
        <x:v>324</x:v>
      </x:c>
      <x:c r="I45" t="s">
        <x:v>274</x:v>
      </x:c>
      <x:c r="J45" t="s">
        <x:v>275</x:v>
      </x:c>
      <x:c r="K45" t="s">
        <x:v>37</x:v>
      </x:c>
      <x:c r="L45" t="s">
        <x:v>325</x:v>
      </x:c>
      <x:c r="M45" t="s">
        <x:v>326</x:v>
      </x:c>
      <x:c r="N45" t="s">
        <x:v>278</x:v>
      </x:c>
      <x:c r="O45" t="s">
        <x:v>327</x:v>
      </x:c>
      <x:c r="P45" t="s">
        <x:v>289</x:v>
      </x:c>
      <x:c r="Q45">
        <x:v>1</x:v>
      </x:c>
      <x:c r="R45" t="s">
        <x:v>42</x:v>
      </x:c>
      <x:c r="S45" t="s">
        <x:v>44</x:v>
      </x:c>
      <x:c r="T45" t="s">
        <x:v>44</x:v>
      </x:c>
      <x:c r="U45" t="s">
        <x:v>45</x:v>
      </x:c>
      <x:c r="V45" t="s">
        <x:v>60</x:v>
      </x:c>
      <x:c r="W45">
        <x:v>0</x:v>
      </x:c>
      <x:c r="X45" t="s">
        <x:v>290</x:v>
      </x:c>
      <x:c r="Y45" t="s">
        <x:v>48</x:v>
      </x:c>
      <x:c r="Z45" t="s">
        <x:v>49</x:v>
      </x:c>
      <x:c r="AA45">
        <x:v>950133748</x:v>
      </x:c>
      <x:c r="AB45" t="s">
        <x:v>280</x:v>
      </x:c>
    </x:row>
    <x:row r="46">
      <x:c r="A46" s="1">
        <x:v>46197</x:v>
      </x:c>
      <x:c r="B46" t="s">
        <x:v>320</x:v>
      </x:c>
      <x:c r="C46" t="s">
        <x:v>269</x:v>
      </x:c>
      <x:c r="D46" t="s">
        <x:v>321</x:v>
      </x:c>
      <x:c r="E46" t="s">
        <x:v>31</x:v>
      </x:c>
      <x:c r="F46" t="s">
        <x:v>322</x:v>
      </x:c>
      <x:c r="G46" t="s">
        <x:v>323</x:v>
      </x:c>
      <x:c r="H46" t="s">
        <x:v>324</x:v>
      </x:c>
      <x:c r="I46" t="s">
        <x:v>274</x:v>
      </x:c>
      <x:c r="J46" t="s">
        <x:v>275</x:v>
      </x:c>
      <x:c r="K46" t="s">
        <x:v>37</x:v>
      </x:c>
      <x:c r="L46" t="s">
        <x:v>325</x:v>
      </x:c>
      <x:c r="M46" t="s">
        <x:v>326</x:v>
      </x:c>
      <x:c r="N46" t="s">
        <x:v>278</x:v>
      </x:c>
      <x:c r="O46" t="s">
        <x:v>327</x:v>
      </x:c>
      <x:c r="P46" t="s">
        <x:v>291</x:v>
      </x:c>
      <x:c r="Q46">
        <x:v>1</x:v>
      </x:c>
      <x:c r="R46" t="s">
        <x:v>42</x:v>
      </x:c>
      <x:c r="S46" t="s">
        <x:v>44</x:v>
      </x:c>
      <x:c r="T46" t="s">
        <x:v>44</x:v>
      </x:c>
      <x:c r="U46" t="s">
        <x:v>45</x:v>
      </x:c>
      <x:c r="V46" t="s">
        <x:v>60</x:v>
      </x:c>
      <x:c r="W46">
        <x:v>3211.86</x:v>
      </x:c>
      <x:c r="X46" t="s">
        <x:v>290</x:v>
      </x:c>
      <x:c r="Y46" t="s">
        <x:v>48</x:v>
      </x:c>
      <x:c r="Z46" t="s">
        <x:v>49</x:v>
      </x:c>
      <x:c r="AA46">
        <x:v>950133748</x:v>
      </x:c>
      <x:c r="AB46" t="s">
        <x:v>280</x:v>
      </x:c>
    </x:row>
    <x:row r="47">
      <x:c r="A47" s="1">
        <x:v>46239</x:v>
      </x:c>
      <x:c r="B47" t="s">
        <x:v>328</x:v>
      </x:c>
      <x:c r="C47" t="s">
        <x:v>269</x:v>
      </x:c>
      <x:c r="D47" t="s">
        <x:v>329</x:v>
      </x:c>
      <x:c r="E47" t="s">
        <x:v>31</x:v>
      </x:c>
      <x:c r="F47" t="s">
        <x:v>330</x:v>
      </x:c>
      <x:c r="G47" t="s">
        <x:v>331</x:v>
      </x:c>
      <x:c r="H47" t="s">
        <x:v>332</x:v>
      </x:c>
      <x:c r="I47" t="s">
        <x:v>274</x:v>
      </x:c>
      <x:c r="J47" t="s">
        <x:v>275</x:v>
      </x:c>
      <x:c r="K47" t="s">
        <x:v>37</x:v>
      </x:c>
      <x:c r="L47" t="s">
        <x:v>333</x:v>
      </x:c>
      <x:c r="M47" t="s">
        <x:v>334</x:v>
      </x:c>
      <x:c r="N47" t="s">
        <x:v>278</x:v>
      </x:c>
      <x:c r="O47" t="s">
        <x:v>335</x:v>
      </x:c>
      <x:c r="P47" t="s">
        <x:v>289</x:v>
      </x:c>
      <x:c r="Q47">
        <x:v>1</x:v>
      </x:c>
      <x:c r="R47" t="s">
        <x:v>42</x:v>
      </x:c>
      <x:c r="S47" t="s">
        <x:v>44</x:v>
      </x:c>
      <x:c r="T47" t="s">
        <x:v>44</x:v>
      </x:c>
      <x:c r="U47" t="s">
        <x:v>45</x:v>
      </x:c>
      <x:c r="V47" t="s">
        <x:v>46</x:v>
      </x:c>
      <x:c r="W47">
        <x:v>0</x:v>
      </x:c>
      <x:c r="X47" t="s">
        <x:v>290</x:v>
      </x:c>
      <x:c r="Y47" t="s">
        <x:v>48</x:v>
      </x:c>
      <x:c r="Z47" t="s">
        <x:v>49</x:v>
      </x:c>
      <x:c r="AA47">
        <x:v>950133748</x:v>
      </x:c>
      <x:c r="AB47" t="s">
        <x:v>280</x:v>
      </x:c>
    </x:row>
    <x:row r="48">
      <x:c r="A48" s="1">
        <x:v>46239</x:v>
      </x:c>
      <x:c r="B48" t="s">
        <x:v>328</x:v>
      </x:c>
      <x:c r="C48" t="s">
        <x:v>269</x:v>
      </x:c>
      <x:c r="D48" t="s">
        <x:v>329</x:v>
      </x:c>
      <x:c r="E48" t="s">
        <x:v>31</x:v>
      </x:c>
      <x:c r="F48" t="s">
        <x:v>330</x:v>
      </x:c>
      <x:c r="G48" t="s">
        <x:v>331</x:v>
      </x:c>
      <x:c r="H48" t="s">
        <x:v>332</x:v>
      </x:c>
      <x:c r="I48" t="s">
        <x:v>274</x:v>
      </x:c>
      <x:c r="J48" t="s">
        <x:v>275</x:v>
      </x:c>
      <x:c r="K48" t="s">
        <x:v>37</x:v>
      </x:c>
      <x:c r="L48" t="s">
        <x:v>333</x:v>
      </x:c>
      <x:c r="M48" t="s">
        <x:v>334</x:v>
      </x:c>
      <x:c r="N48" t="s">
        <x:v>278</x:v>
      </x:c>
      <x:c r="O48" t="s">
        <x:v>335</x:v>
      </x:c>
      <x:c r="P48" t="s">
        <x:v>291</x:v>
      </x:c>
      <x:c r="Q48">
        <x:v>1</x:v>
      </x:c>
      <x:c r="R48" t="s">
        <x:v>42</x:v>
      </x:c>
      <x:c r="S48" t="s">
        <x:v>44</x:v>
      </x:c>
      <x:c r="T48" t="s">
        <x:v>44</x:v>
      </x:c>
      <x:c r="U48" t="s">
        <x:v>45</x:v>
      </x:c>
      <x:c r="V48" t="s">
        <x:v>46</x:v>
      </x:c>
      <x:c r="W48">
        <x:v>1050.8499999999999</x:v>
      </x:c>
      <x:c r="X48" t="s">
        <x:v>290</x:v>
      </x:c>
      <x:c r="Y48" t="s">
        <x:v>48</x:v>
      </x:c>
      <x:c r="Z48" t="s">
        <x:v>49</x:v>
      </x:c>
      <x:c r="AA48">
        <x:v>950133748</x:v>
      </x:c>
      <x:c r="AB48" t="s">
        <x:v>280</x:v>
      </x:c>
    </x:row>
    <x:row r="49">
      <x:c r="A49" s="1">
        <x:v>46239</x:v>
      </x:c>
      <x:c r="B49" t="s">
        <x:v>336</x:v>
      </x:c>
      <x:c r="C49" t="s">
        <x:v>269</x:v>
      </x:c>
      <x:c r="D49" t="s">
        <x:v>337</x:v>
      </x:c>
      <x:c r="E49" t="s">
        <x:v>31</x:v>
      </x:c>
      <x:c r="F49" t="s">
        <x:v>338</x:v>
      </x:c>
      <x:c r="G49" t="s">
        <x:v>331</x:v>
      </x:c>
      <x:c r="H49" t="s">
        <x:v>332</x:v>
      </x:c>
      <x:c r="I49" t="s">
        <x:v>274</x:v>
      </x:c>
      <x:c r="J49" t="s">
        <x:v>275</x:v>
      </x:c>
      <x:c r="K49" t="s">
        <x:v>37</x:v>
      </x:c>
      <x:c r="L49" t="s">
        <x:v>333</x:v>
      </x:c>
      <x:c r="M49" t="s">
        <x:v>334</x:v>
      </x:c>
      <x:c r="N49" t="s">
        <x:v>278</x:v>
      </x:c>
      <x:c r="O49" t="s">
        <x:v>339</x:v>
      </x:c>
      <x:c r="P49" t="s">
        <x:v>202</x:v>
      </x:c>
      <x:c r="Q49">
        <x:v>1</x:v>
      </x:c>
      <x:c r="R49" t="s">
        <x:v>42</x:v>
      </x:c>
      <x:c r="S49" t="s">
        <x:v>44</x:v>
      </x:c>
      <x:c r="T49" t="s">
        <x:v>44</x:v>
      </x:c>
      <x:c r="U49" t="s">
        <x:v>45</x:v>
      </x:c>
      <x:c r="V49" t="s">
        <x:v>60</x:v>
      </x:c>
      <x:c r="W49">
        <x:v>152.54</x:v>
      </x:c>
      <x:c r="X49" t="s">
        <x:v>47</x:v>
      </x:c>
      <x:c r="Y49" t="s">
        <x:v>48</x:v>
      </x:c>
      <x:c r="Z49" t="s">
        <x:v>49</x:v>
      </x:c>
      <x:c r="AA49">
        <x:v>950133748</x:v>
      </x:c>
      <x:c r="AB49" t="s">
        <x:v>280</x:v>
      </x:c>
    </x:row>
    <x:row r="50">
      <x:c r="A50" s="1">
        <x:v>46177</x:v>
      </x:c>
      <x:c r="B50" t="s">
        <x:v>340</x:v>
      </x:c>
      <x:c r="C50" t="s">
        <x:v>29</x:v>
      </x:c>
      <x:c r="D50" t="s">
        <x:v>341</x:v>
      </x:c>
      <x:c r="E50" t="s">
        <x:v>31</x:v>
      </x:c>
      <x:c r="F50" t="s">
        <x:v>342</x:v>
      </x:c>
      <x:c r="G50" t="s">
        <x:v>343</x:v>
      </x:c>
      <x:c r="H50" t="s">
        <x:v>344</x:v>
      </x:c>
      <x:c r="I50" t="s">
        <x:v>345</x:v>
      </x:c>
      <x:c r="J50" t="s">
        <x:v>346</x:v>
      </x:c>
      <x:c r="K50" t="s">
        <x:v>37</x:v>
      </x:c>
      <x:c r="L50" t="s">
        <x:v>347</x:v>
      </x:c>
      <x:c r="M50" t="s">
        <x:v>348</x:v>
      </x:c>
      <x:c r="N50" t="s">
        <x:v>343</x:v>
      </x:c>
      <x:c r="O50" t="s">
        <x:v>349</x:v>
      </x:c>
      <x:c r="P50" t="s">
        <x:v>350</x:v>
      </x:c>
      <x:c r="Q50">
        <x:v>1</x:v>
      </x:c>
      <x:c r="R50" t="s">
        <x:v>42</x:v>
      </x:c>
      <x:c r="S50" t="s">
        <x:v>43</x:v>
      </x:c>
      <x:c r="T50" t="s">
        <x:v>44</x:v>
      </x:c>
      <x:c r="U50" t="s">
        <x:v>45</x:v>
      </x:c>
      <x:c r="V50" t="s">
        <x:v>60</x:v>
      </x:c>
      <x:c r="W50">
        <x:v>169.49</x:v>
      </x:c>
      <x:c r="X50" t="s">
        <x:v>47</x:v>
      </x:c>
      <x:c r="Y50" t="s">
        <x:v>48</x:v>
      </x:c>
      <x:c r="Z50" t="s">
        <x:v>49</x:v>
      </x:c>
      <x:c r="AA50">
        <x:v>966697811</x:v>
      </x:c>
      <x:c r="AB50" t="s">
        <x:v>351</x:v>
      </x:c>
    </x:row>
    <x:row r="51">
      <x:c r="A51" s="1">
        <x:v>46177</x:v>
      </x:c>
      <x:c r="B51" t="s">
        <x:v>340</x:v>
      </x:c>
      <x:c r="C51" t="s">
        <x:v>29</x:v>
      </x:c>
      <x:c r="D51" t="s">
        <x:v>341</x:v>
      </x:c>
      <x:c r="E51" t="s">
        <x:v>31</x:v>
      </x:c>
      <x:c r="F51" t="s">
        <x:v>342</x:v>
      </x:c>
      <x:c r="G51" t="s">
        <x:v>343</x:v>
      </x:c>
      <x:c r="H51" t="s">
        <x:v>344</x:v>
      </x:c>
      <x:c r="I51" t="s">
        <x:v>345</x:v>
      </x:c>
      <x:c r="J51" t="s">
        <x:v>346</x:v>
      </x:c>
      <x:c r="K51" t="s">
        <x:v>37</x:v>
      </x:c>
      <x:c r="L51" t="s">
        <x:v>347</x:v>
      </x:c>
      <x:c r="M51" t="s">
        <x:v>348</x:v>
      </x:c>
      <x:c r="N51" t="s">
        <x:v>343</x:v>
      </x:c>
      <x:c r="O51" t="s">
        <x:v>349</x:v>
      </x:c>
      <x:c r="P51" t="s">
        <x:v>41</x:v>
      </x:c>
      <x:c r="Q51">
        <x:v>1</x:v>
      </x:c>
      <x:c r="R51" t="s">
        <x:v>42</x:v>
      </x:c>
      <x:c r="S51" t="s">
        <x:v>43</x:v>
      </x:c>
      <x:c r="T51" t="s">
        <x:v>44</x:v>
      </x:c>
      <x:c r="U51" t="s">
        <x:v>45</x:v>
      </x:c>
      <x:c r="V51" t="s">
        <x:v>60</x:v>
      </x:c>
      <x:c r="W51">
        <x:v>186.44</x:v>
      </x:c>
      <x:c r="X51" t="s">
        <x:v>47</x:v>
      </x:c>
      <x:c r="Y51" t="s">
        <x:v>48</x:v>
      </x:c>
      <x:c r="Z51" t="s">
        <x:v>49</x:v>
      </x:c>
      <x:c r="AA51">
        <x:v>966697811</x:v>
      </x:c>
      <x:c r="AB51" t="s">
        <x:v>351</x:v>
      </x:c>
    </x:row>
    <x:row r="52">
      <x:c r="A52" s="1">
        <x:v>46177</x:v>
      </x:c>
      <x:c r="B52" t="s">
        <x:v>340</x:v>
      </x:c>
      <x:c r="C52" t="s">
        <x:v>29</x:v>
      </x:c>
      <x:c r="D52" t="s">
        <x:v>341</x:v>
      </x:c>
      <x:c r="E52" t="s">
        <x:v>31</x:v>
      </x:c>
      <x:c r="F52" t="s">
        <x:v>342</x:v>
      </x:c>
      <x:c r="G52" t="s">
        <x:v>343</x:v>
      </x:c>
      <x:c r="H52" t="s">
        <x:v>344</x:v>
      </x:c>
      <x:c r="I52" t="s">
        <x:v>345</x:v>
      </x:c>
      <x:c r="J52" t="s">
        <x:v>346</x:v>
      </x:c>
      <x:c r="K52" t="s">
        <x:v>37</x:v>
      </x:c>
      <x:c r="L52" t="s">
        <x:v>347</x:v>
      </x:c>
      <x:c r="M52" t="s">
        <x:v>348</x:v>
      </x:c>
      <x:c r="N52" t="s">
        <x:v>343</x:v>
      </x:c>
      <x:c r="O52" t="s">
        <x:v>349</x:v>
      </x:c>
      <x:c r="P52" t="s">
        <x:v>102</x:v>
      </x:c>
      <x:c r="Q52">
        <x:v>1</x:v>
      </x:c>
      <x:c r="R52" t="s">
        <x:v>42</x:v>
      </x:c>
      <x:c r="S52" t="s">
        <x:v>43</x:v>
      </x:c>
      <x:c r="T52" t="s">
        <x:v>44</x:v>
      </x:c>
      <x:c r="U52" t="s">
        <x:v>45</x:v>
      </x:c>
      <x:c r="V52" t="s">
        <x:v>60</x:v>
      </x:c>
      <x:c r="W52">
        <x:v>186.44</x:v>
      </x:c>
      <x:c r="X52" t="s">
        <x:v>47</x:v>
      </x:c>
      <x:c r="Y52" t="s">
        <x:v>48</x:v>
      </x:c>
      <x:c r="Z52" t="s">
        <x:v>49</x:v>
      </x:c>
      <x:c r="AA52">
        <x:v>966697811</x:v>
      </x:c>
      <x:c r="AB52" t="s">
        <x:v>351</x:v>
      </x:c>
    </x:row>
    <x:row r="53">
      <x:c r="A53" s="1">
        <x:v>46189</x:v>
      </x:c>
      <x:c r="B53" t="s">
        <x:v>352</x:v>
      </x:c>
      <x:c r="C53" t="s">
        <x:v>29</x:v>
      </x:c>
      <x:c r="D53" t="s">
        <x:v>353</x:v>
      </x:c>
      <x:c r="E53" t="s">
        <x:v>31</x:v>
      </x:c>
      <x:c r="F53" t="s">
        <x:v>354</x:v>
      </x:c>
      <x:c r="G53" t="s">
        <x:v>355</x:v>
      </x:c>
      <x:c r="H53" t="s">
        <x:v>356</x:v>
      </x:c>
      <x:c r="I53" t="s">
        <x:v>345</x:v>
      </x:c>
      <x:c r="J53" t="s">
        <x:v>346</x:v>
      </x:c>
      <x:c r="K53" t="s">
        <x:v>37</x:v>
      </x:c>
      <x:c r="L53" t="s">
        <x:v>357</x:v>
      </x:c>
      <x:c r="M53" t="s">
        <x:v>358</x:v>
      </x:c>
      <x:c r="N53" t="s">
        <x:v>355</x:v>
      </x:c>
      <x:c r="O53" t="s">
        <x:v>359</x:v>
      </x:c>
      <x:c r="P53" t="s">
        <x:v>102</x:v>
      </x:c>
      <x:c r="Q53">
        <x:v>1</x:v>
      </x:c>
      <x:c r="R53" t="s">
        <x:v>42</x:v>
      </x:c>
      <x:c r="S53" t="s">
        <x:v>44</x:v>
      </x:c>
      <x:c r="T53" t="s">
        <x:v>44</x:v>
      </x:c>
      <x:c r="U53" t="s">
        <x:v>45</x:v>
      </x:c>
      <x:c r="V53" t="s">
        <x:v>60</x:v>
      </x:c>
      <x:c r="W53">
        <x:v>186.44</x:v>
      </x:c>
      <x:c r="X53" t="s">
        <x:v>47</x:v>
      </x:c>
      <x:c r="Y53" t="s">
        <x:v>48</x:v>
      </x:c>
      <x:c r="Z53" t="s">
        <x:v>49</x:v>
      </x:c>
      <x:c r="AA53">
        <x:v>966697811</x:v>
      </x:c>
      <x:c r="AB53" t="s">
        <x:v>351</x:v>
      </x:c>
    </x:row>
    <x:row r="54">
      <x:c r="A54" s="1">
        <x:v>46197</x:v>
      </x:c>
      <x:c r="B54" t="s">
        <x:v>360</x:v>
      </x:c>
      <x:c r="C54" t="s">
        <x:v>269</x:v>
      </x:c>
      <x:c r="D54" t="s">
        <x:v>361</x:v>
      </x:c>
      <x:c r="E54" t="s">
        <x:v>31</x:v>
      </x:c>
      <x:c r="F54" t="s">
        <x:v>362</x:v>
      </x:c>
      <x:c r="G54" t="s">
        <x:v>363</x:v>
      </x:c>
      <x:c r="H54" t="s">
        <x:v>364</x:v>
      </x:c>
      <x:c r="I54" t="s">
        <x:v>365</x:v>
      </x:c>
      <x:c r="J54" t="s">
        <x:v>366</x:v>
      </x:c>
      <x:c r="K54" t="s">
        <x:v>37</x:v>
      </x:c>
      <x:c r="L54" t="s">
        <x:v>367</x:v>
      </x:c>
      <x:c r="M54" t="s">
        <x:v>368</x:v>
      </x:c>
      <x:c r="N54" t="s">
        <x:v>369</x:v>
      </x:c>
      <x:c r="O54" t="s">
        <x:v>370</x:v>
      </x:c>
      <x:c r="P54" t="s">
        <x:v>289</x:v>
      </x:c>
      <x:c r="Q54">
        <x:v>1</x:v>
      </x:c>
      <x:c r="R54" t="s">
        <x:v>42</x:v>
      </x:c>
      <x:c r="S54" t="s">
        <x:v>44</x:v>
      </x:c>
      <x:c r="T54" t="s">
        <x:v>44</x:v>
      </x:c>
      <x:c r="U54" t="s">
        <x:v>45</x:v>
      </x:c>
      <x:c r="V54" t="s">
        <x:v>60</x:v>
      </x:c>
      <x:c r="W54">
        <x:v>0</x:v>
      </x:c>
      <x:c r="X54" t="s">
        <x:v>290</x:v>
      </x:c>
      <x:c r="Y54" t="s">
        <x:v>48</x:v>
      </x:c>
      <x:c r="Z54" t="s">
        <x:v>49</x:v>
      </x:c>
      <x:c r="AA54">
        <x:v>976922608</x:v>
      </x:c>
      <x:c r="AB54" t="s">
        <x:v>371</x:v>
      </x:c>
    </x:row>
    <x:row r="55">
      <x:c r="A55" s="1">
        <x:v>46197</x:v>
      </x:c>
      <x:c r="B55" t="s">
        <x:v>360</x:v>
      </x:c>
      <x:c r="C55" t="s">
        <x:v>269</x:v>
      </x:c>
      <x:c r="D55" t="s">
        <x:v>361</x:v>
      </x:c>
      <x:c r="E55" t="s">
        <x:v>31</x:v>
      </x:c>
      <x:c r="F55" t="s">
        <x:v>362</x:v>
      </x:c>
      <x:c r="G55" t="s">
        <x:v>363</x:v>
      </x:c>
      <x:c r="H55" t="s">
        <x:v>364</x:v>
      </x:c>
      <x:c r="I55" t="s">
        <x:v>365</x:v>
      </x:c>
      <x:c r="J55" t="s">
        <x:v>366</x:v>
      </x:c>
      <x:c r="K55" t="s">
        <x:v>37</x:v>
      </x:c>
      <x:c r="L55" t="s">
        <x:v>367</x:v>
      </x:c>
      <x:c r="M55" t="s">
        <x:v>368</x:v>
      </x:c>
      <x:c r="N55" t="s">
        <x:v>369</x:v>
      </x:c>
      <x:c r="O55" t="s">
        <x:v>370</x:v>
      </x:c>
      <x:c r="P55" t="s">
        <x:v>372</x:v>
      </x:c>
      <x:c r="Q55">
        <x:v>1</x:v>
      </x:c>
      <x:c r="R55" t="s">
        <x:v>42</x:v>
      </x:c>
      <x:c r="S55" t="s">
        <x:v>44</x:v>
      </x:c>
      <x:c r="T55" t="s">
        <x:v>44</x:v>
      </x:c>
      <x:c r="U55" t="s">
        <x:v>45</x:v>
      </x:c>
      <x:c r="V55" t="s">
        <x:v>60</x:v>
      </x:c>
      <x:c r="W55">
        <x:v>550.85</x:v>
      </x:c>
      <x:c r="X55" t="s">
        <x:v>290</x:v>
      </x:c>
      <x:c r="Y55" t="s">
        <x:v>48</x:v>
      </x:c>
      <x:c r="Z55" t="s">
        <x:v>49</x:v>
      </x:c>
      <x:c r="AA55">
        <x:v>976922608</x:v>
      </x:c>
      <x:c r="AB55" t="s">
        <x:v>371</x:v>
      </x:c>
    </x:row>
    <x:row r="56">
      <x:c r="A56" s="1">
        <x:v>46197</x:v>
      </x:c>
      <x:c r="B56" t="s">
        <x:v>373</x:v>
      </x:c>
      <x:c r="C56" t="s">
        <x:v>269</x:v>
      </x:c>
      <x:c r="D56" t="s">
        <x:v>374</x:v>
      </x:c>
      <x:c r="E56" t="s">
        <x:v>31</x:v>
      </x:c>
      <x:c r="F56" t="s">
        <x:v>375</x:v>
      </x:c>
      <x:c r="G56" t="s">
        <x:v>363</x:v>
      </x:c>
      <x:c r="H56" t="s">
        <x:v>364</x:v>
      </x:c>
      <x:c r="I56" t="s">
        <x:v>365</x:v>
      </x:c>
      <x:c r="J56" t="s">
        <x:v>366</x:v>
      </x:c>
      <x:c r="K56" t="s">
        <x:v>37</x:v>
      </x:c>
      <x:c r="L56" t="s">
        <x:v>367</x:v>
      </x:c>
      <x:c r="M56" t="s">
        <x:v>368</x:v>
      </x:c>
      <x:c r="N56" t="s">
        <x:v>369</x:v>
      </x:c>
      <x:c r="O56" t="s">
        <x:v>376</x:v>
      </x:c>
      <x:c r="P56" t="s">
        <x:v>131</x:v>
      </x:c>
      <x:c r="Q56">
        <x:v>1</x:v>
      </x:c>
      <x:c r="R56" t="s">
        <x:v>42</x:v>
      </x:c>
      <x:c r="S56" t="s">
        <x:v>44</x:v>
      </x:c>
      <x:c r="T56" t="s">
        <x:v>44</x:v>
      </x:c>
      <x:c r="U56" t="s">
        <x:v>45</x:v>
      </x:c>
      <x:c r="V56" t="s">
        <x:v>60</x:v>
      </x:c>
      <x:c r="W56">
        <x:v>152.54</x:v>
      </x:c>
      <x:c r="X56" t="s">
        <x:v>47</x:v>
      </x:c>
      <x:c r="Y56" t="s">
        <x:v>48</x:v>
      </x:c>
      <x:c r="Z56" t="s">
        <x:v>49</x:v>
      </x:c>
      <x:c r="AA56">
        <x:v>976922608</x:v>
      </x:c>
      <x:c r="AB56" t="s">
        <x:v>371</x:v>
      </x:c>
    </x:row>
    <x:row r="57">
      <x:c r="A57" s="1">
        <x:v>46197</x:v>
      </x:c>
      <x:c r="B57" t="s">
        <x:v>377</x:v>
      </x:c>
      <x:c r="C57" t="s">
        <x:v>269</x:v>
      </x:c>
      <x:c r="D57" t="s">
        <x:v>378</x:v>
      </x:c>
      <x:c r="E57" t="s">
        <x:v>31</x:v>
      </x:c>
      <x:c r="F57" t="s">
        <x:v>379</x:v>
      </x:c>
      <x:c r="G57" t="s">
        <x:v>363</x:v>
      </x:c>
      <x:c r="H57" t="s">
        <x:v>364</x:v>
      </x:c>
      <x:c r="I57" t="s">
        <x:v>365</x:v>
      </x:c>
      <x:c r="J57" t="s">
        <x:v>366</x:v>
      </x:c>
      <x:c r="K57" t="s">
        <x:v>37</x:v>
      </x:c>
      <x:c r="L57" t="s">
        <x:v>367</x:v>
      </x:c>
      <x:c r="M57" t="s">
        <x:v>368</x:v>
      </x:c>
      <x:c r="N57" t="s">
        <x:v>369</x:v>
      </x:c>
      <x:c r="O57" t="s">
        <x:v>380</x:v>
      </x:c>
      <x:c r="P57" t="s">
        <x:v>381</x:v>
      </x:c>
      <x:c r="Q57">
        <x:v>1</x:v>
      </x:c>
      <x:c r="R57" t="s">
        <x:v>42</x:v>
      </x:c>
      <x:c r="S57" t="s">
        <x:v>44</x:v>
      </x:c>
      <x:c r="T57" t="s">
        <x:v>44</x:v>
      </x:c>
      <x:c r="U57" t="s">
        <x:v>45</x:v>
      </x:c>
      <x:c r="V57" t="s">
        <x:v>60</x:v>
      </x:c>
      <x:c r="W57">
        <x:v>33.9</x:v>
      </x:c>
      <x:c r="X57" t="s">
        <x:v>47</x:v>
      </x:c>
      <x:c r="Y57" t="s">
        <x:v>48</x:v>
      </x:c>
      <x:c r="Z57" t="s">
        <x:v>49</x:v>
      </x:c>
      <x:c r="AA57">
        <x:v>976922608</x:v>
      </x:c>
      <x:c r="AB57" t="s">
        <x:v>371</x:v>
      </x:c>
    </x:row>
    <x:row r="58">
      <x:c r="A58" s="1">
        <x:v>46239</x:v>
      </x:c>
      <x:c r="B58" t="s">
        <x:v>382</x:v>
      </x:c>
      <x:c r="C58" t="s">
        <x:v>269</x:v>
      </x:c>
      <x:c r="D58" t="s">
        <x:v>383</x:v>
      </x:c>
      <x:c r="E58" t="s">
        <x:v>31</x:v>
      </x:c>
      <x:c r="F58" t="s">
        <x:v>384</x:v>
      </x:c>
      <x:c r="G58" t="s">
        <x:v>385</x:v>
      </x:c>
      <x:c r="H58" t="s">
        <x:v>386</x:v>
      </x:c>
      <x:c r="I58" t="s">
        <x:v>365</x:v>
      </x:c>
      <x:c r="J58" t="s">
        <x:v>366</x:v>
      </x:c>
      <x:c r="K58" t="s">
        <x:v>37</x:v>
      </x:c>
      <x:c r="L58" t="s">
        <x:v>387</x:v>
      </x:c>
      <x:c r="M58" t="s">
        <x:v>388</x:v>
      </x:c>
      <x:c r="N58" t="s">
        <x:v>369</x:v>
      </x:c>
      <x:c r="O58" t="s">
        <x:v>389</x:v>
      </x:c>
      <x:c r="P58" t="s">
        <x:v>289</x:v>
      </x:c>
      <x:c r="Q58">
        <x:v>1</x:v>
      </x:c>
      <x:c r="R58" t="s">
        <x:v>42</x:v>
      </x:c>
      <x:c r="S58" t="s">
        <x:v>44</x:v>
      </x:c>
      <x:c r="T58" t="s">
        <x:v>44</x:v>
      </x:c>
      <x:c r="U58" t="s">
        <x:v>45</x:v>
      </x:c>
      <x:c r="V58" t="s">
        <x:v>60</x:v>
      </x:c>
      <x:c r="W58">
        <x:v>0</x:v>
      </x:c>
      <x:c r="X58" t="s">
        <x:v>290</x:v>
      </x:c>
      <x:c r="Y58" t="s">
        <x:v>48</x:v>
      </x:c>
      <x:c r="Z58" t="s">
        <x:v>49</x:v>
      </x:c>
      <x:c r="AA58">
        <x:v>976922608</x:v>
      </x:c>
      <x:c r="AB58" t="s">
        <x:v>371</x:v>
      </x:c>
    </x:row>
    <x:row r="59">
      <x:c r="A59" s="1">
        <x:v>46239</x:v>
      </x:c>
      <x:c r="B59" t="s">
        <x:v>382</x:v>
      </x:c>
      <x:c r="C59" t="s">
        <x:v>269</x:v>
      </x:c>
      <x:c r="D59" t="s">
        <x:v>383</x:v>
      </x:c>
      <x:c r="E59" t="s">
        <x:v>31</x:v>
      </x:c>
      <x:c r="F59" t="s">
        <x:v>384</x:v>
      </x:c>
      <x:c r="G59" t="s">
        <x:v>385</x:v>
      </x:c>
      <x:c r="H59" t="s">
        <x:v>386</x:v>
      </x:c>
      <x:c r="I59" t="s">
        <x:v>365</x:v>
      </x:c>
      <x:c r="J59" t="s">
        <x:v>366</x:v>
      </x:c>
      <x:c r="K59" t="s">
        <x:v>37</x:v>
      </x:c>
      <x:c r="L59" t="s">
        <x:v>387</x:v>
      </x:c>
      <x:c r="M59" t="s">
        <x:v>388</x:v>
      </x:c>
      <x:c r="N59" t="s">
        <x:v>369</x:v>
      </x:c>
      <x:c r="O59" t="s">
        <x:v>389</x:v>
      </x:c>
      <x:c r="P59" t="s">
        <x:v>390</x:v>
      </x:c>
      <x:c r="Q59">
        <x:v>1</x:v>
      </x:c>
      <x:c r="R59" t="s">
        <x:v>42</x:v>
      </x:c>
      <x:c r="S59" t="s">
        <x:v>44</x:v>
      </x:c>
      <x:c r="T59" t="s">
        <x:v>44</x:v>
      </x:c>
      <x:c r="U59" t="s">
        <x:v>45</x:v>
      </x:c>
      <x:c r="V59" t="s">
        <x:v>60</x:v>
      </x:c>
      <x:c r="W59">
        <x:v>550.85</x:v>
      </x:c>
      <x:c r="X59" t="s">
        <x:v>290</x:v>
      </x:c>
      <x:c r="Y59" t="s">
        <x:v>48</x:v>
      </x:c>
      <x:c r="Z59" t="s">
        <x:v>49</x:v>
      </x:c>
      <x:c r="AA59">
        <x:v>976922608</x:v>
      </x:c>
      <x:c r="AB59" t="s">
        <x:v>371</x:v>
      </x:c>
    </x:row>
    <x:row r="60">
      <x:c r="A60" s="1">
        <x:v>46239</x:v>
      </x:c>
      <x:c r="B60" t="s">
        <x:v>391</x:v>
      </x:c>
      <x:c r="C60" t="s">
        <x:v>269</x:v>
      </x:c>
      <x:c r="D60" t="s">
        <x:v>392</x:v>
      </x:c>
      <x:c r="E60" t="s">
        <x:v>31</x:v>
      </x:c>
      <x:c r="F60" t="s">
        <x:v>393</x:v>
      </x:c>
      <x:c r="G60" t="s">
        <x:v>385</x:v>
      </x:c>
      <x:c r="H60" t="s">
        <x:v>386</x:v>
      </x:c>
      <x:c r="I60" t="s">
        <x:v>365</x:v>
      </x:c>
      <x:c r="J60" t="s">
        <x:v>366</x:v>
      </x:c>
      <x:c r="K60" t="s">
        <x:v>37</x:v>
      </x:c>
      <x:c r="L60" t="s">
        <x:v>387</x:v>
      </x:c>
      <x:c r="M60" t="s">
        <x:v>388</x:v>
      </x:c>
      <x:c r="N60" t="s">
        <x:v>369</x:v>
      </x:c>
      <x:c r="O60" t="s">
        <x:v>394</x:v>
      </x:c>
      <x:c r="P60" t="s">
        <x:v>131</x:v>
      </x:c>
      <x:c r="Q60">
        <x:v>1</x:v>
      </x:c>
      <x:c r="R60" t="s">
        <x:v>42</x:v>
      </x:c>
      <x:c r="S60" t="s">
        <x:v>44</x:v>
      </x:c>
      <x:c r="T60" t="s">
        <x:v>44</x:v>
      </x:c>
      <x:c r="U60" t="s">
        <x:v>45</x:v>
      </x:c>
      <x:c r="V60" t="s">
        <x:v>60</x:v>
      </x:c>
      <x:c r="W60">
        <x:v>152.54</x:v>
      </x:c>
      <x:c r="X60" t="s">
        <x:v>47</x:v>
      </x:c>
      <x:c r="Y60" t="s">
        <x:v>48</x:v>
      </x:c>
      <x:c r="Z60" t="s">
        <x:v>49</x:v>
      </x:c>
      <x:c r="AA60">
        <x:v>976922608</x:v>
      </x:c>
      <x:c r="AB60" t="s">
        <x:v>371</x:v>
      </x:c>
    </x:row>
    <x:row r="61">
      <x:c r="A61" s="1">
        <x:v>46239</x:v>
      </x:c>
      <x:c r="B61" t="s">
        <x:v>395</x:v>
      </x:c>
      <x:c r="C61" t="s">
        <x:v>29</x:v>
      </x:c>
      <x:c r="D61" t="s">
        <x:v>396</x:v>
      </x:c>
      <x:c r="E61" t="s">
        <x:v>31</x:v>
      </x:c>
      <x:c r="F61" t="s">
        <x:v>397</x:v>
      </x:c>
      <x:c r="G61" t="s">
        <x:v>385</x:v>
      </x:c>
      <x:c r="H61" t="s">
        <x:v>386</x:v>
      </x:c>
      <x:c r="I61" t="s">
        <x:v>365</x:v>
      </x:c>
      <x:c r="J61" t="s">
        <x:v>366</x:v>
      </x:c>
      <x:c r="K61" t="s">
        <x:v>37</x:v>
      </x:c>
      <x:c r="L61" t="s">
        <x:v>387</x:v>
      </x:c>
      <x:c r="M61" t="s">
        <x:v>388</x:v>
      </x:c>
      <x:c r="N61" t="s">
        <x:v>369</x:v>
      </x:c>
      <x:c r="O61" t="s">
        <x:v>398</x:v>
      </x:c>
      <x:c r="P61" t="s">
        <x:v>381</x:v>
      </x:c>
      <x:c r="Q61">
        <x:v>1</x:v>
      </x:c>
      <x:c r="R61" t="s">
        <x:v>42</x:v>
      </x:c>
      <x:c r="S61" t="s">
        <x:v>44</x:v>
      </x:c>
      <x:c r="T61" t="s">
        <x:v>44</x:v>
      </x:c>
      <x:c r="U61" t="s">
        <x:v>45</x:v>
      </x:c>
      <x:c r="V61" t="s">
        <x:v>60</x:v>
      </x:c>
      <x:c r="W61">
        <x:v>33.9</x:v>
      </x:c>
      <x:c r="X61" t="s">
        <x:v>47</x:v>
      </x:c>
      <x:c r="Y61" t="s">
        <x:v>48</x:v>
      </x:c>
      <x:c r="Z61" t="s">
        <x:v>49</x:v>
      </x:c>
      <x:c r="AA61">
        <x:v>976922608</x:v>
      </x:c>
      <x:c r="AB61" t="s">
        <x:v>371</x:v>
      </x:c>
    </x:row>
    <x:row r="62">
      <x:c r="A62" s="1">
        <x:v>46239</x:v>
      </x:c>
      <x:c r="B62" t="s">
        <x:v>399</x:v>
      </x:c>
      <x:c r="C62" t="s">
        <x:v>400</x:v>
      </x:c>
      <x:c r="D62" t="s">
        <x:v>396</x:v>
      </x:c>
      <x:c r="E62" t="s">
        <x:v>401</x:v>
      </x:c>
      <x:c r="F62" t="s">
        <x:v>402</x:v>
      </x:c>
      <x:c r="G62" t="s">
        <x:v>385</x:v>
      </x:c>
      <x:c r="H62" t="s">
        <x:v>386</x:v>
      </x:c>
      <x:c r="I62" t="s">
        <x:v>365</x:v>
      </x:c>
      <x:c r="J62" t="s">
        <x:v>366</x:v>
      </x:c>
      <x:c r="K62" t="s">
        <x:v>401</x:v>
      </x:c>
      <x:c r="L62" t="s">
        <x:v>387</x:v>
      </x:c>
      <x:c r="M62" t="s">
        <x:v>388</x:v>
      </x:c>
      <x:c r="N62" t="s">
        <x:v>369</x:v>
      </x:c>
      <x:c r="O62" t="s">
        <x:v>398</x:v>
      </x:c>
      <x:c r="P62" t="s">
        <x:v>381</x:v>
      </x:c>
      <x:c r="Q62">
        <x:v>1</x:v>
      </x:c>
      <x:c r="R62" t="s">
        <x:v>42</x:v>
      </x:c>
      <x:c r="S62" t="s">
        <x:v>44</x:v>
      </x:c>
      <x:c r="T62" t="s">
        <x:v>44</x:v>
      </x:c>
      <x:c r="U62" t="s">
        <x:v>45</x:v>
      </x:c>
      <x:c r="V62" t="s">
        <x:v>60</x:v>
      </x:c>
      <x:c r="W62">
        <x:v>-33.9</x:v>
      </x:c>
      <x:c r="X62" t="s">
        <x:v>47</x:v>
      </x:c>
      <x:c r="Y62" t="s">
        <x:v>48</x:v>
      </x:c>
      <x:c r="Z62" t="s">
        <x:v>49</x:v>
      </x:c>
      <x:c r="AA62">
        <x:v>976922608</x:v>
      </x:c>
      <x:c r="AB62" t="s">
        <x:v>371</x:v>
      </x:c>
    </x:row>
    <x:row r="63">
      <x:c r="A63" s="1">
        <x:v>46239</x:v>
      </x:c>
      <x:c r="B63" t="s">
        <x:v>403</x:v>
      </x:c>
      <x:c r="C63" t="s">
        <x:v>269</x:v>
      </x:c>
      <x:c r="D63" t="s">
        <x:v>404</x:v>
      </x:c>
      <x:c r="E63" t="s">
        <x:v>31</x:v>
      </x:c>
      <x:c r="F63" t="s">
        <x:v>405</x:v>
      </x:c>
      <x:c r="G63" t="s">
        <x:v>385</x:v>
      </x:c>
      <x:c r="H63" t="s">
        <x:v>386</x:v>
      </x:c>
      <x:c r="I63" t="s">
        <x:v>365</x:v>
      </x:c>
      <x:c r="J63" t="s">
        <x:v>366</x:v>
      </x:c>
      <x:c r="K63" t="s">
        <x:v>37</x:v>
      </x:c>
      <x:c r="L63" t="s">
        <x:v>387</x:v>
      </x:c>
      <x:c r="M63" t="s">
        <x:v>388</x:v>
      </x:c>
      <x:c r="N63" t="s">
        <x:v>369</x:v>
      </x:c>
      <x:c r="O63" t="s">
        <x:v>406</x:v>
      </x:c>
      <x:c r="P63" t="s">
        <x:v>381</x:v>
      </x:c>
      <x:c r="Q63">
        <x:v>1</x:v>
      </x:c>
      <x:c r="R63" t="s">
        <x:v>42</x:v>
      </x:c>
      <x:c r="S63" t="s">
        <x:v>44</x:v>
      </x:c>
      <x:c r="T63" t="s">
        <x:v>44</x:v>
      </x:c>
      <x:c r="U63" t="s">
        <x:v>45</x:v>
      </x:c>
      <x:c r="V63" t="s">
        <x:v>60</x:v>
      </x:c>
      <x:c r="W63">
        <x:v>33.9</x:v>
      </x:c>
      <x:c r="X63" t="s">
        <x:v>47</x:v>
      </x:c>
      <x:c r="Y63" t="s">
        <x:v>48</x:v>
      </x:c>
      <x:c r="Z63" t="s">
        <x:v>49</x:v>
      </x:c>
      <x:c r="AA63">
        <x:v>976922608</x:v>
      </x:c>
      <x:c r="AB63" t="s">
        <x:v>371</x:v>
      </x:c>
    </x:row>
    <x:row r="64">
      <x:c r="A64" s="1">
        <x:v>46237</x:v>
      </x:c>
      <x:c r="B64" t="s">
        <x:v>407</x:v>
      </x:c>
      <x:c r="C64" t="s">
        <x:v>29</x:v>
      </x:c>
      <x:c r="D64" t="s">
        <x:v>408</x:v>
      </x:c>
      <x:c r="E64" t="s">
        <x:v>31</x:v>
      </x:c>
      <x:c r="F64" t="s">
        <x:v>409</x:v>
      </x:c>
      <x:c r="G64" t="s">
        <x:v>410</x:v>
      </x:c>
      <x:c r="H64" t="s">
        <x:v>411</x:v>
      </x:c>
      <x:c r="I64" t="s">
        <x:v>412</x:v>
      </x:c>
      <x:c r="J64" t="s">
        <x:v>413</x:v>
      </x:c>
      <x:c r="K64" t="s">
        <x:v>37</x:v>
      </x:c>
      <x:c r="L64" t="s">
        <x:v>414</x:v>
      </x:c>
      <x:c r="M64" t="s">
        <x:v>415</x:v>
      </x:c>
      <x:c r="N64" t="s">
        <x:v>410</x:v>
      </x:c>
      <x:c r="O64" t="s">
        <x:v>416</x:v>
      </x:c>
      <x:c r="P64" t="s">
        <x:v>91</x:v>
      </x:c>
      <x:c r="Q64">
        <x:v>1</x:v>
      </x:c>
      <x:c r="R64" t="s">
        <x:v>42</x:v>
      </x:c>
      <x:c r="S64" t="s">
        <x:v>44</x:v>
      </x:c>
      <x:c r="T64" t="s">
        <x:v>44</x:v>
      </x:c>
      <x:c r="U64" t="s">
        <x:v>45</x:v>
      </x:c>
      <x:c r="V64" t="s">
        <x:v>46</x:v>
      </x:c>
      <x:c r="W64">
        <x:v>135.59</x:v>
      </x:c>
      <x:c r="X64" t="s">
        <x:v>47</x:v>
      </x:c>
      <x:c r="Y64" t="s">
        <x:v>48</x:v>
      </x:c>
      <x:c r="Z64" t="s">
        <x:v>49</x:v>
      </x:c>
      <x:c r="AA64">
        <x:v>982673362</x:v>
      </x:c>
      <x:c r="AB64" t="s">
        <x:v>417</x:v>
      </x:c>
    </x:row>
    <x:row r="65">
      <x:c r="A65" s="1">
        <x:v>46238</x:v>
      </x:c>
      <x:c r="B65" t="s">
        <x:v>418</x:v>
      </x:c>
      <x:c r="C65" t="s">
        <x:v>29</x:v>
      </x:c>
      <x:c r="D65" t="s">
        <x:v>419</x:v>
      </x:c>
      <x:c r="E65" t="s">
        <x:v>31</x:v>
      </x:c>
      <x:c r="F65" t="s">
        <x:v>420</x:v>
      </x:c>
      <x:c r="G65" t="s">
        <x:v>421</x:v>
      </x:c>
      <x:c r="H65" t="s">
        <x:v>422</x:v>
      </x:c>
      <x:c r="I65" t="s">
        <x:v>412</x:v>
      </x:c>
      <x:c r="J65" t="s">
        <x:v>413</x:v>
      </x:c>
      <x:c r="K65" t="s">
        <x:v>37</x:v>
      </x:c>
      <x:c r="L65" t="s">
        <x:v>423</x:v>
      </x:c>
      <x:c r="M65" t="s">
        <x:v>424</x:v>
      </x:c>
      <x:c r="N65" t="s">
        <x:v>421</x:v>
      </x:c>
      <x:c r="O65" t="s">
        <x:v>425</x:v>
      </x:c>
      <x:c r="P65" t="s">
        <x:v>102</x:v>
      </x:c>
      <x:c r="Q65">
        <x:v>1</x:v>
      </x:c>
      <x:c r="R65" t="s">
        <x:v>70</x:v>
      </x:c>
      <x:c r="S65" t="s">
        <x:v>43</x:v>
      </x:c>
      <x:c r="T65" t="s">
        <x:v>44</x:v>
      </x:c>
      <x:c r="U65" t="s">
        <x:v>71</x:v>
      </x:c>
      <x:c r="V65" t="s">
        <x:v>72</x:v>
      </x:c>
      <x:c r="W65">
        <x:v>186.44</x:v>
      </x:c>
      <x:c r="X65" t="s">
        <x:v>47</x:v>
      </x:c>
      <x:c r="Y65" t="s">
        <x:v>48</x:v>
      </x:c>
      <x:c r="Z65" t="s">
        <x:v>73</x:v>
      </x:c>
      <x:c r="AA65">
        <x:v>982673362</x:v>
      </x:c>
      <x:c r="AB65" t="s">
        <x:v>417</x:v>
      </x:c>
    </x:row>
    <x:row r="66">
      <x:c r="A66" s="1">
        <x:v>46238</x:v>
      </x:c>
      <x:c r="B66" t="s">
        <x:v>418</x:v>
      </x:c>
      <x:c r="C66" t="s">
        <x:v>29</x:v>
      </x:c>
      <x:c r="D66" t="s">
        <x:v>419</x:v>
      </x:c>
      <x:c r="E66" t="s">
        <x:v>31</x:v>
      </x:c>
      <x:c r="F66" t="s">
        <x:v>420</x:v>
      </x:c>
      <x:c r="G66" t="s">
        <x:v>421</x:v>
      </x:c>
      <x:c r="H66" t="s">
        <x:v>422</x:v>
      </x:c>
      <x:c r="I66" t="s">
        <x:v>412</x:v>
      </x:c>
      <x:c r="J66" t="s">
        <x:v>413</x:v>
      </x:c>
      <x:c r="K66" t="s">
        <x:v>37</x:v>
      </x:c>
      <x:c r="L66" t="s">
        <x:v>423</x:v>
      </x:c>
      <x:c r="M66" t="s">
        <x:v>424</x:v>
      </x:c>
      <x:c r="N66" t="s">
        <x:v>421</x:v>
      </x:c>
      <x:c r="O66" t="s">
        <x:v>425</x:v>
      </x:c>
      <x:c r="P66" t="s">
        <x:v>160</x:v>
      </x:c>
      <x:c r="Q66">
        <x:v>1</x:v>
      </x:c>
      <x:c r="R66" t="s">
        <x:v>70</x:v>
      </x:c>
      <x:c r="S66" t="s">
        <x:v>43</x:v>
      </x:c>
      <x:c r="T66" t="s">
        <x:v>44</x:v>
      </x:c>
      <x:c r="U66" t="s">
        <x:v>71</x:v>
      </x:c>
      <x:c r="V66" t="s">
        <x:v>72</x:v>
      </x:c>
      <x:c r="W66">
        <x:v>135.59</x:v>
      </x:c>
      <x:c r="X66" t="s">
        <x:v>47</x:v>
      </x:c>
      <x:c r="Y66" t="s">
        <x:v>48</x:v>
      </x:c>
      <x:c r="Z66" t="s">
        <x:v>73</x:v>
      </x:c>
      <x:c r="AA66">
        <x:v>982673362</x:v>
      </x:c>
      <x:c r="AB66" t="s">
        <x:v>417</x:v>
      </x:c>
    </x:row>
    <x:row r="67">
      <x:c r="A67" s="1">
        <x:v>46242</x:v>
      </x:c>
      <x:c r="B67" t="s">
        <x:v>426</x:v>
      </x:c>
      <x:c r="C67" t="s">
        <x:v>29</x:v>
      </x:c>
      <x:c r="D67" t="s">
        <x:v>427</x:v>
      </x:c>
      <x:c r="E67" t="s">
        <x:v>31</x:v>
      </x:c>
      <x:c r="F67" t="s">
        <x:v>428</x:v>
      </x:c>
      <x:c r="G67" t="s">
        <x:v>410</x:v>
      </x:c>
      <x:c r="H67" t="s">
        <x:v>411</x:v>
      </x:c>
      <x:c r="I67" t="s">
        <x:v>412</x:v>
      </x:c>
      <x:c r="J67" t="s">
        <x:v>413</x:v>
      </x:c>
      <x:c r="K67" t="s">
        <x:v>37</x:v>
      </x:c>
      <x:c r="L67" t="s">
        <x:v>414</x:v>
      </x:c>
      <x:c r="M67" t="s">
        <x:v>415</x:v>
      </x:c>
      <x:c r="N67" t="s">
        <x:v>410</x:v>
      </x:c>
      <x:c r="O67" t="s">
        <x:v>429</x:v>
      </x:c>
      <x:c r="P67" t="s">
        <x:v>41</x:v>
      </x:c>
      <x:c r="Q67">
        <x:v>1</x:v>
      </x:c>
      <x:c r="R67" t="s">
        <x:v>42</x:v>
      </x:c>
      <x:c r="S67" t="s">
        <x:v>44</x:v>
      </x:c>
      <x:c r="T67" t="s">
        <x:v>44</x:v>
      </x:c>
      <x:c r="U67" t="s">
        <x:v>45</x:v>
      </x:c>
      <x:c r="V67" t="s">
        <x:v>60</x:v>
      </x:c>
      <x:c r="W67">
        <x:v>186.44</x:v>
      </x:c>
      <x:c r="X67" t="s">
        <x:v>47</x:v>
      </x:c>
      <x:c r="Y67" t="s">
        <x:v>48</x:v>
      </x:c>
      <x:c r="Z67" t="s">
        <x:v>49</x:v>
      </x:c>
      <x:c r="AA67">
        <x:v>982673362</x:v>
      </x:c>
      <x:c r="AB67" t="s">
        <x:v>417</x:v>
      </x:c>
    </x:row>
    <x:row r="68">
      <x:c r="A68" s="1">
        <x:v>46242</x:v>
      </x:c>
      <x:c r="B68" t="s">
        <x:v>426</x:v>
      </x:c>
      <x:c r="C68" t="s">
        <x:v>29</x:v>
      </x:c>
      <x:c r="D68" t="s">
        <x:v>427</x:v>
      </x:c>
      <x:c r="E68" t="s">
        <x:v>31</x:v>
      </x:c>
      <x:c r="F68" t="s">
        <x:v>428</x:v>
      </x:c>
      <x:c r="G68" t="s">
        <x:v>410</x:v>
      </x:c>
      <x:c r="H68" t="s">
        <x:v>411</x:v>
      </x:c>
      <x:c r="I68" t="s">
        <x:v>412</x:v>
      </x:c>
      <x:c r="J68" t="s">
        <x:v>413</x:v>
      </x:c>
      <x:c r="K68" t="s">
        <x:v>37</x:v>
      </x:c>
      <x:c r="L68" t="s">
        <x:v>414</x:v>
      </x:c>
      <x:c r="M68" t="s">
        <x:v>415</x:v>
      </x:c>
      <x:c r="N68" t="s">
        <x:v>410</x:v>
      </x:c>
      <x:c r="O68" t="s">
        <x:v>429</x:v>
      </x:c>
      <x:c r="P68" t="s">
        <x:v>102</x:v>
      </x:c>
      <x:c r="Q68">
        <x:v>1</x:v>
      </x:c>
      <x:c r="R68" t="s">
        <x:v>42</x:v>
      </x:c>
      <x:c r="S68" t="s">
        <x:v>44</x:v>
      </x:c>
      <x:c r="T68" t="s">
        <x:v>44</x:v>
      </x:c>
      <x:c r="U68" t="s">
        <x:v>45</x:v>
      </x:c>
      <x:c r="V68" t="s">
        <x:v>60</x:v>
      </x:c>
      <x:c r="W68">
        <x:v>186.44</x:v>
      </x:c>
      <x:c r="X68" t="s">
        <x:v>47</x:v>
      </x:c>
      <x:c r="Y68" t="s">
        <x:v>48</x:v>
      </x:c>
      <x:c r="Z68" t="s">
        <x:v>49</x:v>
      </x:c>
      <x:c r="AA68">
        <x:v>982673362</x:v>
      </x:c>
      <x:c r="AB68" t="s">
        <x:v>417</x:v>
      </x:c>
    </x:row>
    <x:row r="69">
      <x:c r="A69" s="1">
        <x:v>46177</x:v>
      </x:c>
      <x:c r="B69" t="s">
        <x:v>430</x:v>
      </x:c>
      <x:c r="C69" t="s">
        <x:v>29</x:v>
      </x:c>
      <x:c r="D69" t="s">
        <x:v>431</x:v>
      </x:c>
      <x:c r="E69" t="s">
        <x:v>31</x:v>
      </x:c>
      <x:c r="F69" t="s">
        <x:v>432</x:v>
      </x:c>
      <x:c r="G69" t="s">
        <x:v>433</x:v>
      </x:c>
      <x:c r="H69" t="s">
        <x:v>434</x:v>
      </x:c>
      <x:c r="I69" t="s">
        <x:v>435</x:v>
      </x:c>
      <x:c r="J69" t="s">
        <x:v>436</x:v>
      </x:c>
      <x:c r="K69" t="s">
        <x:v>37</x:v>
      </x:c>
      <x:c r="L69" t="s">
        <x:v>437</x:v>
      </x:c>
      <x:c r="M69" t="s">
        <x:v>438</x:v>
      </x:c>
      <x:c r="N69" t="s">
        <x:v>433</x:v>
      </x:c>
      <x:c r="O69" t="s">
        <x:v>439</x:v>
      </x:c>
      <x:c r="P69" t="s">
        <x:v>41</x:v>
      </x:c>
      <x:c r="Q69">
        <x:v>1</x:v>
      </x:c>
      <x:c r="R69" t="s">
        <x:v>70</x:v>
      </x:c>
      <x:c r="S69" t="s">
        <x:v>43</x:v>
      </x:c>
      <x:c r="T69" t="s">
        <x:v>44</x:v>
      </x:c>
      <x:c r="U69" t="s">
        <x:v>71</x:v>
      </x:c>
      <x:c r="V69" t="s">
        <x:v>185</x:v>
      </x:c>
      <x:c r="W69">
        <x:v>186.44</x:v>
      </x:c>
      <x:c r="X69" t="s">
        <x:v>47</x:v>
      </x:c>
      <x:c r="Y69" t="s">
        <x:v>48</x:v>
      </x:c>
      <x:c r="Z69" t="s">
        <x:v>73</x:v>
      </x:c>
      <x:c r="AA69">
        <x:v>992903716</x:v>
      </x:c>
      <x:c r="AB69" t="s">
        <x:v>440</x:v>
      </x:c>
    </x:row>
    <x:row r="70">
      <x:c r="A70" s="1">
        <x:v>46177</x:v>
      </x:c>
      <x:c r="B70" t="s">
        <x:v>430</x:v>
      </x:c>
      <x:c r="C70" t="s">
        <x:v>29</x:v>
      </x:c>
      <x:c r="D70" t="s">
        <x:v>431</x:v>
      </x:c>
      <x:c r="E70" t="s">
        <x:v>31</x:v>
      </x:c>
      <x:c r="F70" t="s">
        <x:v>432</x:v>
      </x:c>
      <x:c r="G70" t="s">
        <x:v>433</x:v>
      </x:c>
      <x:c r="H70" t="s">
        <x:v>434</x:v>
      </x:c>
      <x:c r="I70" t="s">
        <x:v>435</x:v>
      </x:c>
      <x:c r="J70" t="s">
        <x:v>436</x:v>
      </x:c>
      <x:c r="K70" t="s">
        <x:v>37</x:v>
      </x:c>
      <x:c r="L70" t="s">
        <x:v>437</x:v>
      </x:c>
      <x:c r="M70" t="s">
        <x:v>438</x:v>
      </x:c>
      <x:c r="N70" t="s">
        <x:v>433</x:v>
      </x:c>
      <x:c r="O70" t="s">
        <x:v>439</x:v>
      </x:c>
      <x:c r="P70" t="s">
        <x:v>102</x:v>
      </x:c>
      <x:c r="Q70">
        <x:v>1</x:v>
      </x:c>
      <x:c r="R70" t="s">
        <x:v>70</x:v>
      </x:c>
      <x:c r="S70" t="s">
        <x:v>43</x:v>
      </x:c>
      <x:c r="T70" t="s">
        <x:v>44</x:v>
      </x:c>
      <x:c r="U70" t="s">
        <x:v>71</x:v>
      </x:c>
      <x:c r="V70" t="s">
        <x:v>185</x:v>
      </x:c>
      <x:c r="W70">
        <x:v>186.44</x:v>
      </x:c>
      <x:c r="X70" t="s">
        <x:v>47</x:v>
      </x:c>
      <x:c r="Y70" t="s">
        <x:v>48</x:v>
      </x:c>
      <x:c r="Z70" t="s">
        <x:v>73</x:v>
      </x:c>
      <x:c r="AA70">
        <x:v>992903716</x:v>
      </x:c>
      <x:c r="AB70" t="s">
        <x:v>440</x:v>
      </x:c>
    </x:row>
    <x:row r="71">
      <x:c r="A71" s="1">
        <x:v>46179</x:v>
      </x:c>
      <x:c r="B71" t="s">
        <x:v>441</x:v>
      </x:c>
      <x:c r="C71" t="s">
        <x:v>29</x:v>
      </x:c>
      <x:c r="D71" t="s">
        <x:v>442</x:v>
      </x:c>
      <x:c r="E71" t="s">
        <x:v>31</x:v>
      </x:c>
      <x:c r="F71" t="s">
        <x:v>443</x:v>
      </x:c>
      <x:c r="G71" t="s">
        <x:v>444</x:v>
      </x:c>
      <x:c r="H71" t="s">
        <x:v>445</x:v>
      </x:c>
      <x:c r="I71" t="s">
        <x:v>435</x:v>
      </x:c>
      <x:c r="J71" t="s">
        <x:v>436</x:v>
      </x:c>
      <x:c r="K71" t="s">
        <x:v>37</x:v>
      </x:c>
      <x:c r="L71" t="s">
        <x:v>446</x:v>
      </x:c>
      <x:c r="M71" t="s">
        <x:v>447</x:v>
      </x:c>
      <x:c r="N71" t="s">
        <x:v>444</x:v>
      </x:c>
      <x:c r="O71" t="s">
        <x:v>448</x:v>
      </x:c>
      <x:c r="P71" t="s">
        <x:v>41</x:v>
      </x:c>
      <x:c r="Q71">
        <x:v>1</x:v>
      </x:c>
      <x:c r="R71" t="s">
        <x:v>70</x:v>
      </x:c>
      <x:c r="S71" t="s">
        <x:v>43</x:v>
      </x:c>
      <x:c r="T71" t="s">
        <x:v>44</x:v>
      </x:c>
      <x:c r="U71" t="s">
        <x:v>71</x:v>
      </x:c>
      <x:c r="V71" t="s">
        <x:v>185</x:v>
      </x:c>
      <x:c r="W71">
        <x:v>186.44</x:v>
      </x:c>
      <x:c r="X71" t="s">
        <x:v>47</x:v>
      </x:c>
      <x:c r="Y71" t="s">
        <x:v>48</x:v>
      </x:c>
      <x:c r="Z71" t="s">
        <x:v>73</x:v>
      </x:c>
      <x:c r="AA71">
        <x:v>992903716</x:v>
      </x:c>
      <x:c r="AB71" t="s">
        <x:v>440</x:v>
      </x:c>
    </x:row>
    <x:row r="72">
      <x:c r="A72" s="1">
        <x:v>46191</x:v>
      </x:c>
      <x:c r="B72" t="s">
        <x:v>449</x:v>
      </x:c>
      <x:c r="C72" t="s">
        <x:v>29</x:v>
      </x:c>
      <x:c r="D72" t="s">
        <x:v>450</x:v>
      </x:c>
      <x:c r="E72" t="s">
        <x:v>31</x:v>
      </x:c>
      <x:c r="F72" t="s">
        <x:v>451</x:v>
      </x:c>
      <x:c r="G72" t="s">
        <x:v>452</x:v>
      </x:c>
      <x:c r="H72" t="s">
        <x:v>453</x:v>
      </x:c>
      <x:c r="I72" t="s">
        <x:v>435</x:v>
      </x:c>
      <x:c r="J72" t="s">
        <x:v>436</x:v>
      </x:c>
      <x:c r="K72" t="s">
        <x:v>37</x:v>
      </x:c>
      <x:c r="L72" t="s">
        <x:v>454</x:v>
      </x:c>
      <x:c r="M72" t="s">
        <x:v>455</x:v>
      </x:c>
      <x:c r="N72" t="s">
        <x:v>452</x:v>
      </x:c>
      <x:c r="O72" t="s">
        <x:v>456</x:v>
      </x:c>
      <x:c r="P72" t="s">
        <x:v>41</x:v>
      </x:c>
      <x:c r="Q72">
        <x:v>1</x:v>
      </x:c>
      <x:c r="R72" t="s">
        <x:v>70</x:v>
      </x:c>
      <x:c r="S72" t="s">
        <x:v>43</x:v>
      </x:c>
      <x:c r="T72" t="s">
        <x:v>44</x:v>
      </x:c>
      <x:c r="U72" t="s">
        <x:v>71</x:v>
      </x:c>
      <x:c r="V72" t="s">
        <x:v>72</x:v>
      </x:c>
      <x:c r="W72">
        <x:v>186.44</x:v>
      </x:c>
      <x:c r="X72" t="s">
        <x:v>47</x:v>
      </x:c>
      <x:c r="Y72" t="s">
        <x:v>48</x:v>
      </x:c>
      <x:c r="Z72" t="s">
        <x:v>73</x:v>
      </x:c>
      <x:c r="AA72">
        <x:v>992903716</x:v>
      </x:c>
      <x:c r="AB72" t="s">
        <x:v>440</x:v>
      </x:c>
    </x:row>
    <x:row r="73">
      <x:c r="A73" s="1">
        <x:v>46206</x:v>
      </x:c>
      <x:c r="B73" t="s">
        <x:v>457</x:v>
      </x:c>
      <x:c r="C73" t="s">
        <x:v>29</x:v>
      </x:c>
      <x:c r="D73" t="s">
        <x:v>458</x:v>
      </x:c>
      <x:c r="E73" t="s">
        <x:v>31</x:v>
      </x:c>
      <x:c r="F73" t="s">
        <x:v>459</x:v>
      </x:c>
      <x:c r="G73" t="s">
        <x:v>460</x:v>
      </x:c>
      <x:c r="H73" t="s">
        <x:v>461</x:v>
      </x:c>
      <x:c r="I73" t="s">
        <x:v>435</x:v>
      </x:c>
      <x:c r="J73" t="s">
        <x:v>436</x:v>
      </x:c>
      <x:c r="K73" t="s">
        <x:v>37</x:v>
      </x:c>
      <x:c r="L73" t="s">
        <x:v>462</x:v>
      </x:c>
      <x:c r="M73" t="s">
        <x:v>463</x:v>
      </x:c>
      <x:c r="N73" t="s">
        <x:v>460</x:v>
      </x:c>
      <x:c r="O73" t="s">
        <x:v>464</x:v>
      </x:c>
      <x:c r="P73" t="s">
        <x:v>102</x:v>
      </x:c>
      <x:c r="Q73">
        <x:v>1</x:v>
      </x:c>
      <x:c r="R73" t="s">
        <x:v>42</x:v>
      </x:c>
      <x:c r="S73" t="s">
        <x:v>44</x:v>
      </x:c>
      <x:c r="T73" t="s">
        <x:v>44</x:v>
      </x:c>
      <x:c r="U73" t="s">
        <x:v>71</x:v>
      </x:c>
      <x:c r="V73" t="s">
        <x:v>185</x:v>
      </x:c>
      <x:c r="W73">
        <x:v>186.44</x:v>
      </x:c>
      <x:c r="X73" t="s">
        <x:v>47</x:v>
      </x:c>
      <x:c r="Y73" t="s">
        <x:v>48</x:v>
      </x:c>
      <x:c r="Z73" t="s">
        <x:v>73</x:v>
      </x:c>
      <x:c r="AA73">
        <x:v>992903716</x:v>
      </x:c>
      <x:c r="AB73" t="s">
        <x:v>440</x:v>
      </x:c>
    </x:row>
    <x:row r="74">
      <x:c r="A74" s="1">
        <x:v>46206</x:v>
      </x:c>
      <x:c r="B74" t="s">
        <x:v>457</x:v>
      </x:c>
      <x:c r="C74" t="s">
        <x:v>29</x:v>
      </x:c>
      <x:c r="D74" t="s">
        <x:v>458</x:v>
      </x:c>
      <x:c r="E74" t="s">
        <x:v>31</x:v>
      </x:c>
      <x:c r="F74" t="s">
        <x:v>459</x:v>
      </x:c>
      <x:c r="G74" t="s">
        <x:v>460</x:v>
      </x:c>
      <x:c r="H74" t="s">
        <x:v>461</x:v>
      </x:c>
      <x:c r="I74" t="s">
        <x:v>435</x:v>
      </x:c>
      <x:c r="J74" t="s">
        <x:v>436</x:v>
      </x:c>
      <x:c r="K74" t="s">
        <x:v>37</x:v>
      </x:c>
      <x:c r="L74" t="s">
        <x:v>462</x:v>
      </x:c>
      <x:c r="M74" t="s">
        <x:v>463</x:v>
      </x:c>
      <x:c r="N74" t="s">
        <x:v>460</x:v>
      </x:c>
      <x:c r="O74" t="s">
        <x:v>464</x:v>
      </x:c>
      <x:c r="P74" t="s">
        <x:v>160</x:v>
      </x:c>
      <x:c r="Q74">
        <x:v>1</x:v>
      </x:c>
      <x:c r="R74" t="s">
        <x:v>42</x:v>
      </x:c>
      <x:c r="S74" t="s">
        <x:v>44</x:v>
      </x:c>
      <x:c r="T74" t="s">
        <x:v>44</x:v>
      </x:c>
      <x:c r="U74" t="s">
        <x:v>71</x:v>
      </x:c>
      <x:c r="V74" t="s">
        <x:v>185</x:v>
      </x:c>
      <x:c r="W74">
        <x:v>135.59</x:v>
      </x:c>
      <x:c r="X74" t="s">
        <x:v>47</x:v>
      </x:c>
      <x:c r="Y74" t="s">
        <x:v>48</x:v>
      </x:c>
      <x:c r="Z74" t="s">
        <x:v>73</x:v>
      </x:c>
      <x:c r="AA74">
        <x:v>992903716</x:v>
      </x:c>
      <x:c r="AB74" t="s">
        <x:v>440</x:v>
      </x:c>
    </x:row>
    <x:row r="75">
      <x:c r="A75" s="1">
        <x:v>46206</x:v>
      </x:c>
      <x:c r="B75" t="s">
        <x:v>457</x:v>
      </x:c>
      <x:c r="C75" t="s">
        <x:v>29</x:v>
      </x:c>
      <x:c r="D75" t="s">
        <x:v>458</x:v>
      </x:c>
      <x:c r="E75" t="s">
        <x:v>31</x:v>
      </x:c>
      <x:c r="F75" t="s">
        <x:v>459</x:v>
      </x:c>
      <x:c r="G75" t="s">
        <x:v>460</x:v>
      </x:c>
      <x:c r="H75" t="s">
        <x:v>461</x:v>
      </x:c>
      <x:c r="I75" t="s">
        <x:v>435</x:v>
      </x:c>
      <x:c r="J75" t="s">
        <x:v>436</x:v>
      </x:c>
      <x:c r="K75" t="s">
        <x:v>37</x:v>
      </x:c>
      <x:c r="L75" t="s">
        <x:v>462</x:v>
      </x:c>
      <x:c r="M75" t="s">
        <x:v>463</x:v>
      </x:c>
      <x:c r="N75" t="s">
        <x:v>460</x:v>
      </x:c>
      <x:c r="O75" t="s">
        <x:v>464</x:v>
      </x:c>
      <x:c r="P75" t="s">
        <x:v>159</x:v>
      </x:c>
      <x:c r="Q75">
        <x:v>1</x:v>
      </x:c>
      <x:c r="R75" t="s">
        <x:v>42</x:v>
      </x:c>
      <x:c r="S75" t="s">
        <x:v>44</x:v>
      </x:c>
      <x:c r="T75" t="s">
        <x:v>44</x:v>
      </x:c>
      <x:c r="U75" t="s">
        <x:v>71</x:v>
      </x:c>
      <x:c r="V75" t="s">
        <x:v>185</x:v>
      </x:c>
      <x:c r="W75">
        <x:v>152.54</x:v>
      </x:c>
      <x:c r="X75" t="s">
        <x:v>47</x:v>
      </x:c>
      <x:c r="Y75" t="s">
        <x:v>48</x:v>
      </x:c>
      <x:c r="Z75" t="s">
        <x:v>73</x:v>
      </x:c>
      <x:c r="AA75">
        <x:v>992903716</x:v>
      </x:c>
      <x:c r="AB75" t="s">
        <x:v>440</x:v>
      </x:c>
    </x:row>
    <x:row r="76">
      <x:c r="A76" s="1">
        <x:v>46244</x:v>
      </x:c>
      <x:c r="B76" t="s">
        <x:v>465</x:v>
      </x:c>
      <x:c r="C76" t="s">
        <x:v>29</x:v>
      </x:c>
      <x:c r="D76" t="s">
        <x:v>466</x:v>
      </x:c>
      <x:c r="E76" t="s">
        <x:v>31</x:v>
      </x:c>
      <x:c r="F76" t="s">
        <x:v>467</x:v>
      </x:c>
      <x:c r="G76" t="s">
        <x:v>468</x:v>
      </x:c>
      <x:c r="H76" t="s">
        <x:v>469</x:v>
      </x:c>
      <x:c r="I76" t="s">
        <x:v>435</x:v>
      </x:c>
      <x:c r="J76" t="s">
        <x:v>436</x:v>
      </x:c>
      <x:c r="K76" t="s">
        <x:v>37</x:v>
      </x:c>
      <x:c r="L76" t="s">
        <x:v>470</x:v>
      </x:c>
      <x:c r="M76" t="s">
        <x:v>471</x:v>
      </x:c>
      <x:c r="N76" t="s">
        <x:v>468</x:v>
      </x:c>
      <x:c r="O76" t="s">
        <x:v>472</x:v>
      </x:c>
      <x:c r="P76" t="s">
        <x:v>91</x:v>
      </x:c>
      <x:c r="Q76">
        <x:v>1</x:v>
      </x:c>
      <x:c r="R76" t="s">
        <x:v>70</x:v>
      </x:c>
      <x:c r="S76" t="s">
        <x:v>43</x:v>
      </x:c>
      <x:c r="T76" t="s">
        <x:v>44</x:v>
      </x:c>
      <x:c r="U76" t="s">
        <x:v>71</x:v>
      </x:c>
      <x:c r="V76" t="s">
        <x:v>72</x:v>
      </x:c>
      <x:c r="W76">
        <x:v>135.59</x:v>
      </x:c>
      <x:c r="X76" t="s">
        <x:v>47</x:v>
      </x:c>
      <x:c r="Y76" t="s">
        <x:v>48</x:v>
      </x:c>
      <x:c r="Z76" t="s">
        <x:v>73</x:v>
      </x:c>
      <x:c r="AA76">
        <x:v>992903716</x:v>
      </x:c>
      <x:c r="AB76" t="s">
        <x:v>440</x:v>
      </x:c>
    </x:row>
    <x:row r="77">
      <x:c r="A77" s="1">
        <x:v>46178</x:v>
      </x:c>
      <x:c r="B77" t="s">
        <x:v>473</x:v>
      </x:c>
      <x:c r="C77" t="s">
        <x:v>400</x:v>
      </x:c>
      <x:c r="D77" t="s">
        <x:v>474</x:v>
      </x:c>
      <x:c r="E77" t="s">
        <x:v>401</x:v>
      </x:c>
      <x:c r="F77" t="s">
        <x:v>475</x:v>
      </x:c>
      <x:c r="G77" t="s">
        <x:v>476</x:v>
      </x:c>
      <x:c r="H77" t="s">
        <x:v>477</x:v>
      </x:c>
      <x:c r="I77" t="s">
        <x:v>478</x:v>
      </x:c>
      <x:c r="J77" t="s">
        <x:v>210</x:v>
      </x:c>
      <x:c r="K77" t="s">
        <x:v>401</x:v>
      </x:c>
      <x:c r="L77" t="s">
        <x:v>479</x:v>
      </x:c>
      <x:c r="M77" t="s">
        <x:v>480</x:v>
      </x:c>
      <x:c r="N77" t="s">
        <x:v>476</x:v>
      </x:c>
      <x:c r="O77" t="s">
        <x:v>481</x:v>
      </x:c>
      <x:c r="P77" t="s">
        <x:v>482</x:v>
      </x:c>
      <x:c r="Q77">
        <x:v>2</x:v>
      </x:c>
      <x:c r="R77" t="s">
        <x:v>42</x:v>
      </x:c>
      <x:c r="S77" t="s">
        <x:v>43</x:v>
      </x:c>
      <x:c r="T77" t="s">
        <x:v>44</x:v>
      </x:c>
      <x:c r="U77" t="s">
        <x:v>45</x:v>
      </x:c>
      <x:c r="V77" t="s">
        <x:v>46</x:v>
      </x:c>
      <x:c r="W77">
        <x:v>-203.39</x:v>
      </x:c>
      <x:c r="X77" t="s">
        <x:v>61</x:v>
      </x:c>
      <x:c r="Y77" t="s">
        <x:v>48</x:v>
      </x:c>
      <x:c r="Z77" t="s">
        <x:v>49</x:v>
      </x:c>
      <x:c r="AA77">
        <x:v>982536223</x:v>
      </x:c>
      <x:c r="AB77" t="s">
        <x:v>483</x:v>
      </x:c>
    </x:row>
    <x:row r="78">
      <x:c r="A78" s="1">
        <x:v>46178</x:v>
      </x:c>
      <x:c r="B78" t="s">
        <x:v>484</x:v>
      </x:c>
      <x:c r="C78" t="s">
        <x:v>269</x:v>
      </x:c>
      <x:c r="D78" t="s">
        <x:v>485</x:v>
      </x:c>
      <x:c r="E78" t="s">
        <x:v>31</x:v>
      </x:c>
      <x:c r="F78" t="s">
        <x:v>486</x:v>
      </x:c>
      <x:c r="G78" t="s">
        <x:v>476</x:v>
      </x:c>
      <x:c r="H78" t="s">
        <x:v>477</x:v>
      </x:c>
      <x:c r="I78" t="s">
        <x:v>478</x:v>
      </x:c>
      <x:c r="J78" t="s">
        <x:v>210</x:v>
      </x:c>
      <x:c r="K78" t="s">
        <x:v>37</x:v>
      </x:c>
      <x:c r="L78" t="s">
        <x:v>479</x:v>
      </x:c>
      <x:c r="M78" t="s">
        <x:v>480</x:v>
      </x:c>
      <x:c r="N78" t="s">
        <x:v>487</x:v>
      </x:c>
      <x:c r="O78" t="s">
        <x:v>488</x:v>
      </x:c>
      <x:c r="P78" t="s">
        <x:v>482</x:v>
      </x:c>
      <x:c r="Q78">
        <x:v>2</x:v>
      </x:c>
      <x:c r="R78" t="s">
        <x:v>42</x:v>
      </x:c>
      <x:c r="S78" t="s">
        <x:v>43</x:v>
      </x:c>
      <x:c r="T78" t="s">
        <x:v>44</x:v>
      </x:c>
      <x:c r="U78" t="s">
        <x:v>45</x:v>
      </x:c>
      <x:c r="V78" t="s">
        <x:v>46</x:v>
      </x:c>
      <x:c r="W78">
        <x:v>203.39</x:v>
      </x:c>
      <x:c r="X78" t="s">
        <x:v>61</x:v>
      </x:c>
      <x:c r="Y78" t="s">
        <x:v>48</x:v>
      </x:c>
      <x:c r="Z78" t="s">
        <x:v>49</x:v>
      </x:c>
      <x:c r="AA78">
        <x:v>982536223</x:v>
      </x:c>
      <x:c r="AB78" t="s">
        <x:v>483</x:v>
      </x:c>
    </x:row>
    <x:row r="79">
      <x:c r="A79" s="1">
        <x:v>46178</x:v>
      </x:c>
      <x:c r="B79" t="s">
        <x:v>473</x:v>
      </x:c>
      <x:c r="C79" t="s">
        <x:v>29</x:v>
      </x:c>
      <x:c r="D79" t="s">
        <x:v>474</x:v>
      </x:c>
      <x:c r="E79" t="s">
        <x:v>401</x:v>
      </x:c>
      <x:c r="F79" t="s">
        <x:v>489</x:v>
      </x:c>
      <x:c r="G79" t="s">
        <x:v>476</x:v>
      </x:c>
      <x:c r="H79" t="s">
        <x:v>477</x:v>
      </x:c>
      <x:c r="I79" t="s">
        <x:v>478</x:v>
      </x:c>
      <x:c r="J79" t="s">
        <x:v>210</x:v>
      </x:c>
      <x:c r="K79" t="s">
        <x:v>401</x:v>
      </x:c>
      <x:c r="L79" t="s">
        <x:v>479</x:v>
      </x:c>
      <x:c r="M79" t="s">
        <x:v>480</x:v>
      </x:c>
      <x:c r="N79" t="s">
        <x:v>476</x:v>
      </x:c>
      <x:c r="O79" t="s">
        <x:v>481</x:v>
      </x:c>
      <x:c r="P79" t="s">
        <x:v>482</x:v>
      </x:c>
      <x:c r="Q79">
        <x:v>2</x:v>
      </x:c>
      <x:c r="R79" t="s">
        <x:v>42</x:v>
      </x:c>
      <x:c r="S79" t="s">
        <x:v>43</x:v>
      </x:c>
      <x:c r="T79" t="s">
        <x:v>44</x:v>
      </x:c>
      <x:c r="U79" t="s">
        <x:v>45</x:v>
      </x:c>
      <x:c r="V79" t="s">
        <x:v>46</x:v>
      </x:c>
      <x:c r="W79">
        <x:v>203.39</x:v>
      </x:c>
      <x:c r="X79" t="s">
        <x:v>61</x:v>
      </x:c>
      <x:c r="Y79" t="s">
        <x:v>48</x:v>
      </x:c>
      <x:c r="Z79" t="s">
        <x:v>49</x:v>
      </x:c>
      <x:c r="AA79">
        <x:v>982536223</x:v>
      </x:c>
      <x:c r="AB79" t="s">
        <x:v>483</x:v>
      </x:c>
    </x:row>
    <x:row r="80">
      <x:c r="A80" s="1">
        <x:v>46193</x:v>
      </x:c>
      <x:c r="B80" t="s">
        <x:v>490</x:v>
      </x:c>
      <x:c r="C80" t="s">
        <x:v>269</x:v>
      </x:c>
      <x:c r="D80" t="s">
        <x:v>491</x:v>
      </x:c>
      <x:c r="E80" t="s">
        <x:v>31</x:v>
      </x:c>
      <x:c r="F80" t="s">
        <x:v>492</x:v>
      </x:c>
      <x:c r="G80" t="s">
        <x:v>493</x:v>
      </x:c>
      <x:c r="H80" t="s">
        <x:v>494</x:v>
      </x:c>
      <x:c r="I80" t="s">
        <x:v>478</x:v>
      </x:c>
      <x:c r="J80" t="s">
        <x:v>210</x:v>
      </x:c>
      <x:c r="K80" t="s">
        <x:v>37</x:v>
      </x:c>
      <x:c r="L80" t="s">
        <x:v>495</x:v>
      </x:c>
      <x:c r="M80" t="s">
        <x:v>496</x:v>
      </x:c>
      <x:c r="N80" t="s">
        <x:v>487</x:v>
      </x:c>
      <x:c r="O80" t="s">
        <x:v>497</x:v>
      </x:c>
      <x:c r="P80" t="s">
        <x:v>59</x:v>
      </x:c>
      <x:c r="Q80">
        <x:v>2</x:v>
      </x:c>
      <x:c r="R80" t="s">
        <x:v>42</x:v>
      </x:c>
      <x:c r="S80" t="s">
        <x:v>44</x:v>
      </x:c>
      <x:c r="T80" t="s">
        <x:v>44</x:v>
      </x:c>
      <x:c r="U80" t="s">
        <x:v>45</x:v>
      </x:c>
      <x:c r="V80" t="s">
        <x:v>60</x:v>
      </x:c>
      <x:c r="W80">
        <x:v>203.39</x:v>
      </x:c>
      <x:c r="X80" t="s">
        <x:v>61</x:v>
      </x:c>
      <x:c r="Y80" t="s">
        <x:v>48</x:v>
      </x:c>
      <x:c r="Z80" t="s">
        <x:v>49</x:v>
      </x:c>
      <x:c r="AA80">
        <x:v>982536223</x:v>
      </x:c>
      <x:c r="AB80" t="s">
        <x:v>483</x:v>
      </x:c>
    </x:row>
    <x:row r="81">
      <x:c r="A81" s="1">
        <x:v>46178</x:v>
      </x:c>
      <x:c r="B81" t="s">
        <x:v>498</x:v>
      </x:c>
      <x:c r="C81" t="s">
        <x:v>29</x:v>
      </x:c>
      <x:c r="D81" t="s">
        <x:v>499</x:v>
      </x:c>
      <x:c r="E81" t="s">
        <x:v>31</x:v>
      </x:c>
      <x:c r="F81" t="s">
        <x:v>500</x:v>
      </x:c>
      <x:c r="G81" t="s">
        <x:v>501</x:v>
      </x:c>
      <x:c r="H81" t="s">
        <x:v>502</x:v>
      </x:c>
      <x:c r="I81" t="s">
        <x:v>503</x:v>
      </x:c>
      <x:c r="K81" t="s">
        <x:v>37</x:v>
      </x:c>
      <x:c r="L81" t="s">
        <x:v>504</x:v>
      </x:c>
      <x:c r="M81" t="s">
        <x:v>505</x:v>
      </x:c>
      <x:c r="N81" t="s">
        <x:v>501</x:v>
      </x:c>
      <x:c r="O81" t="s">
        <x:v>506</x:v>
      </x:c>
      <x:c r="P81" t="s">
        <x:v>102</x:v>
      </x:c>
      <x:c r="Q81">
        <x:v>1</x:v>
      </x:c>
      <x:c r="R81" t="s">
        <x:v>42</x:v>
      </x:c>
      <x:c r="S81" t="s">
        <x:v>43</x:v>
      </x:c>
      <x:c r="T81" t="s">
        <x:v>44</x:v>
      </x:c>
      <x:c r="U81" t="s">
        <x:v>45</x:v>
      </x:c>
      <x:c r="V81" t="s">
        <x:v>46</x:v>
      </x:c>
      <x:c r="W81">
        <x:v>186.44</x:v>
      </x:c>
      <x:c r="X81" t="s">
        <x:v>47</x:v>
      </x:c>
      <x:c r="Y81" t="s">
        <x:v>48</x:v>
      </x:c>
      <x:c r="Z81" t="s">
        <x:v>49</x:v>
      </x:c>
    </x:row>
    <x:row r="82">
      <x:c r="A82" s="1">
        <x:v>46178</x:v>
      </x:c>
      <x:c r="B82" t="s">
        <x:v>507</x:v>
      </x:c>
      <x:c r="C82" t="s">
        <x:v>269</x:v>
      </x:c>
      <x:c r="D82" t="s">
        <x:v>508</x:v>
      </x:c>
      <x:c r="E82" t="s">
        <x:v>31</x:v>
      </x:c>
      <x:c r="F82" t="s">
        <x:v>509</x:v>
      </x:c>
      <x:c r="G82" t="s">
        <x:v>510</x:v>
      </x:c>
      <x:c r="H82" t="s">
        <x:v>511</x:v>
      </x:c>
      <x:c r="K82" t="s">
        <x:v>37</x:v>
      </x:c>
      <x:c r="L82" t="s">
        <x:v>512</x:v>
      </x:c>
      <x:c r="M82" t="s">
        <x:v>513</x:v>
      </x:c>
      <x:c r="N82" t="s">
        <x:v>487</x:v>
      </x:c>
      <x:c r="O82" t="s">
        <x:v>514</x:v>
      </x:c>
      <x:c r="P82" t="s">
        <x:v>482</x:v>
      </x:c>
      <x:c r="Q82">
        <x:v>2</x:v>
      </x:c>
      <x:c r="R82" t="s">
        <x:v>42</x:v>
      </x:c>
      <x:c r="S82" t="s">
        <x:v>43</x:v>
      </x:c>
      <x:c r="T82" t="s">
        <x:v>44</x:v>
      </x:c>
      <x:c r="U82" t="s">
        <x:v>45</x:v>
      </x:c>
      <x:c r="V82" t="s">
        <x:v>46</x:v>
      </x:c>
      <x:c r="W82">
        <x:v>203.39</x:v>
      </x:c>
      <x:c r="X82" t="s">
        <x:v>61</x:v>
      </x:c>
      <x:c r="Y82" t="s">
        <x:v>48</x:v>
      </x:c>
      <x:c r="Z82" t="s">
        <x:v>49</x:v>
      </x:c>
    </x:row>
    <x:row r="83">
      <x:c r="A83" s="1">
        <x:v>46192</x:v>
      </x:c>
      <x:c r="B83" t="s">
        <x:v>515</x:v>
      </x:c>
      <x:c r="C83" t="s">
        <x:v>29</x:v>
      </x:c>
      <x:c r="D83" t="s">
        <x:v>516</x:v>
      </x:c>
      <x:c r="E83" t="s">
        <x:v>31</x:v>
      </x:c>
      <x:c r="F83" t="s">
        <x:v>517</x:v>
      </x:c>
      <x:c r="G83" t="s">
        <x:v>518</x:v>
      </x:c>
      <x:c r="H83" t="s">
        <x:v>519</x:v>
      </x:c>
      <x:c r="K83" t="s">
        <x:v>37</x:v>
      </x:c>
      <x:c r="L83" t="s">
        <x:v>520</x:v>
      </x:c>
      <x:c r="M83" t="s">
        <x:v>521</x:v>
      </x:c>
      <x:c r="N83" t="s">
        <x:v>518</x:v>
      </x:c>
      <x:c r="O83" t="s">
        <x:v>522</x:v>
      </x:c>
      <x:c r="P83" t="s">
        <x:v>160</x:v>
      </x:c>
      <x:c r="Q83">
        <x:v>1</x:v>
      </x:c>
      <x:c r="R83" t="s">
        <x:v>70</x:v>
      </x:c>
      <x:c r="S83" t="s">
        <x:v>43</x:v>
      </x:c>
      <x:c r="T83" t="s">
        <x:v>44</x:v>
      </x:c>
      <x:c r="U83" t="s">
        <x:v>71</x:v>
      </x:c>
      <x:c r="V83" t="s">
        <x:v>72</x:v>
      </x:c>
      <x:c r="W83">
        <x:v>135.59</x:v>
      </x:c>
      <x:c r="X83" t="s">
        <x:v>47</x:v>
      </x:c>
      <x:c r="Y83" t="s">
        <x:v>48</x:v>
      </x:c>
      <x:c r="Z83" t="s">
        <x:v>73</x:v>
      </x:c>
    </x:row>
    <x:row r="84">
      <x:c r="A84" s="1">
        <x:v>46192</x:v>
      </x:c>
      <x:c r="B84" t="s">
        <x:v>515</x:v>
      </x:c>
      <x:c r="C84" t="s">
        <x:v>29</x:v>
      </x:c>
      <x:c r="D84" t="s">
        <x:v>516</x:v>
      </x:c>
      <x:c r="E84" t="s">
        <x:v>31</x:v>
      </x:c>
      <x:c r="F84" t="s">
        <x:v>517</x:v>
      </x:c>
      <x:c r="G84" t="s">
        <x:v>518</x:v>
      </x:c>
      <x:c r="H84" t="s">
        <x:v>519</x:v>
      </x:c>
      <x:c r="K84" t="s">
        <x:v>37</x:v>
      </x:c>
      <x:c r="L84" t="s">
        <x:v>520</x:v>
      </x:c>
      <x:c r="M84" t="s">
        <x:v>521</x:v>
      </x:c>
      <x:c r="N84" t="s">
        <x:v>518</x:v>
      </x:c>
      <x:c r="O84" t="s">
        <x:v>522</x:v>
      </x:c>
      <x:c r="P84" t="s">
        <x:v>159</x:v>
      </x:c>
      <x:c r="Q84">
        <x:v>1</x:v>
      </x:c>
      <x:c r="R84" t="s">
        <x:v>70</x:v>
      </x:c>
      <x:c r="S84" t="s">
        <x:v>43</x:v>
      </x:c>
      <x:c r="T84" t="s">
        <x:v>44</x:v>
      </x:c>
      <x:c r="U84" t="s">
        <x:v>71</x:v>
      </x:c>
      <x:c r="V84" t="s">
        <x:v>72</x:v>
      </x:c>
      <x:c r="W84">
        <x:v>152.54</x:v>
      </x:c>
      <x:c r="X84" t="s">
        <x:v>47</x:v>
      </x:c>
      <x:c r="Y84" t="s">
        <x:v>48</x:v>
      </x:c>
      <x:c r="Z84" t="s">
        <x:v>73</x:v>
      </x:c>
    </x:row>
    <x:row r="85">
      <x:c r="A85" s="1">
        <x:v>46192</x:v>
      </x:c>
      <x:c r="B85" t="s">
        <x:v>515</x:v>
      </x:c>
      <x:c r="C85" t="s">
        <x:v>29</x:v>
      </x:c>
      <x:c r="D85" t="s">
        <x:v>516</x:v>
      </x:c>
      <x:c r="E85" t="s">
        <x:v>31</x:v>
      </x:c>
      <x:c r="F85" t="s">
        <x:v>517</x:v>
      </x:c>
      <x:c r="G85" t="s">
        <x:v>518</x:v>
      </x:c>
      <x:c r="H85" t="s">
        <x:v>519</x:v>
      </x:c>
      <x:c r="K85" t="s">
        <x:v>37</x:v>
      </x:c>
      <x:c r="L85" t="s">
        <x:v>520</x:v>
      </x:c>
      <x:c r="M85" t="s">
        <x:v>521</x:v>
      </x:c>
      <x:c r="N85" t="s">
        <x:v>518</x:v>
      </x:c>
      <x:c r="O85" t="s">
        <x:v>522</x:v>
      </x:c>
      <x:c r="P85" t="s">
        <x:v>102</x:v>
      </x:c>
      <x:c r="Q85">
        <x:v>1</x:v>
      </x:c>
      <x:c r="R85" t="s">
        <x:v>70</x:v>
      </x:c>
      <x:c r="S85" t="s">
        <x:v>43</x:v>
      </x:c>
      <x:c r="T85" t="s">
        <x:v>44</x:v>
      </x:c>
      <x:c r="U85" t="s">
        <x:v>71</x:v>
      </x:c>
      <x:c r="V85" t="s">
        <x:v>72</x:v>
      </x:c>
      <x:c r="W85">
        <x:v>186.44</x:v>
      </x:c>
      <x:c r="X85" t="s">
        <x:v>47</x:v>
      </x:c>
      <x:c r="Y85" t="s">
        <x:v>48</x:v>
      </x:c>
      <x:c r="Z85" t="s">
        <x:v>73</x:v>
      </x:c>
    </x:row>
    <x:row r="86">
      <x:c r="A86" s="1">
        <x:v>46196</x:v>
      </x:c>
      <x:c r="B86" t="s">
        <x:v>523</x:v>
      </x:c>
      <x:c r="C86" t="s">
        <x:v>29</x:v>
      </x:c>
      <x:c r="D86" t="s">
        <x:v>524</x:v>
      </x:c>
      <x:c r="E86" t="s">
        <x:v>31</x:v>
      </x:c>
      <x:c r="F86" t="s">
        <x:v>525</x:v>
      </x:c>
      <x:c r="G86" t="s">
        <x:v>526</x:v>
      </x:c>
      <x:c r="H86" t="s">
        <x:v>527</x:v>
      </x:c>
      <x:c r="K86" t="s">
        <x:v>37</x:v>
      </x:c>
      <x:c r="L86" t="s">
        <x:v>528</x:v>
      </x:c>
      <x:c r="M86" t="s">
        <x:v>529</x:v>
      </x:c>
      <x:c r="N86" t="s">
        <x:v>526</x:v>
      </x:c>
      <x:c r="O86" t="s">
        <x:v>530</x:v>
      </x:c>
      <x:c r="P86" t="s">
        <x:v>531</x:v>
      </x:c>
      <x:c r="Q86">
        <x:v>1</x:v>
      </x:c>
      <x:c r="R86" t="s">
        <x:v>42</x:v>
      </x:c>
      <x:c r="S86" t="s">
        <x:v>44</x:v>
      </x:c>
      <x:c r="T86" t="s">
        <x:v>44</x:v>
      </x:c>
      <x:c r="U86" t="s">
        <x:v>532</x:v>
      </x:c>
      <x:c r="V86" t="s">
        <x:v>533</x:v>
      </x:c>
      <x:c r="W86">
        <x:v>0.21</x:v>
      </x:c>
      <x:c r="X86" t="s">
        <x:v>534</x:v>
      </x:c>
      <x:c r="Y86" t="s">
        <x:v>48</x:v>
      </x:c>
      <x:c r="Z86" t="s">
        <x:v>535</x:v>
      </x:c>
    </x:row>
    <x:row r="87">
      <x:c r="A87" s="1">
        <x:v>46196</x:v>
      </x:c>
      <x:c r="B87" t="s">
        <x:v>523</x:v>
      </x:c>
      <x:c r="C87" t="s">
        <x:v>29</x:v>
      </x:c>
      <x:c r="D87" t="s">
        <x:v>524</x:v>
      </x:c>
      <x:c r="E87" t="s">
        <x:v>31</x:v>
      </x:c>
      <x:c r="F87" t="s">
        <x:v>525</x:v>
      </x:c>
      <x:c r="G87" t="s">
        <x:v>526</x:v>
      </x:c>
      <x:c r="H87" t="s">
        <x:v>527</x:v>
      </x:c>
      <x:c r="K87" t="s">
        <x:v>37</x:v>
      </x:c>
      <x:c r="L87" t="s">
        <x:v>528</x:v>
      </x:c>
      <x:c r="M87" t="s">
        <x:v>529</x:v>
      </x:c>
      <x:c r="N87" t="s">
        <x:v>526</x:v>
      </x:c>
      <x:c r="O87" t="s">
        <x:v>530</x:v>
      </x:c>
      <x:c r="P87" t="s">
        <x:v>536</x:v>
      </x:c>
      <x:c r="Q87">
        <x:v>1</x:v>
      </x:c>
      <x:c r="R87" t="s">
        <x:v>42</x:v>
      </x:c>
      <x:c r="S87" t="s">
        <x:v>44</x:v>
      </x:c>
      <x:c r="T87" t="s">
        <x:v>44</x:v>
      </x:c>
      <x:c r="U87" t="s">
        <x:v>532</x:v>
      </x:c>
      <x:c r="V87" t="s">
        <x:v>533</x:v>
      </x:c>
      <x:c r="W87">
        <x:v>0.68</x:v>
      </x:c>
      <x:c r="X87" t="s">
        <x:v>534</x:v>
      </x:c>
      <x:c r="Y87" t="s">
        <x:v>48</x:v>
      </x:c>
      <x:c r="Z87" t="s">
        <x:v>535</x:v>
      </x:c>
    </x:row>
    <x:row r="88">
      <x:c r="A88" s="1">
        <x:v>46196</x:v>
      </x:c>
      <x:c r="B88" t="s">
        <x:v>523</x:v>
      </x:c>
      <x:c r="C88" t="s">
        <x:v>29</x:v>
      </x:c>
      <x:c r="D88" t="s">
        <x:v>524</x:v>
      </x:c>
      <x:c r="E88" t="s">
        <x:v>31</x:v>
      </x:c>
      <x:c r="F88" t="s">
        <x:v>525</x:v>
      </x:c>
      <x:c r="G88" t="s">
        <x:v>526</x:v>
      </x:c>
      <x:c r="H88" t="s">
        <x:v>527</x:v>
      </x:c>
      <x:c r="K88" t="s">
        <x:v>37</x:v>
      </x:c>
      <x:c r="L88" t="s">
        <x:v>528</x:v>
      </x:c>
      <x:c r="M88" t="s">
        <x:v>529</x:v>
      </x:c>
      <x:c r="N88" t="s">
        <x:v>526</x:v>
      </x:c>
      <x:c r="O88" t="s">
        <x:v>530</x:v>
      </x:c>
      <x:c r="P88" t="s">
        <x:v>537</x:v>
      </x:c>
      <x:c r="Q88">
        <x:v>1</x:v>
      </x:c>
      <x:c r="R88" t="s">
        <x:v>42</x:v>
      </x:c>
      <x:c r="S88" t="s">
        <x:v>44</x:v>
      </x:c>
      <x:c r="T88" t="s">
        <x:v>44</x:v>
      </x:c>
      <x:c r="U88" t="s">
        <x:v>532</x:v>
      </x:c>
      <x:c r="V88" t="s">
        <x:v>533</x:v>
      </x:c>
      <x:c r="W88">
        <x:v>0.42</x:v>
      </x:c>
      <x:c r="X88" t="s">
        <x:v>534</x:v>
      </x:c>
      <x:c r="Y88" t="s">
        <x:v>48</x:v>
      </x:c>
      <x:c r="Z88" t="s">
        <x:v>535</x:v>
      </x:c>
    </x:row>
    <x:row r="89">
      <x:c r="A89" s="1">
        <x:v>46203</x:v>
      </x:c>
      <x:c r="B89" t="s">
        <x:v>538</x:v>
      </x:c>
      <x:c r="C89" t="s">
        <x:v>29</x:v>
      </x:c>
      <x:c r="D89" t="s">
        <x:v>539</x:v>
      </x:c>
      <x:c r="E89" t="s">
        <x:v>31</x:v>
      </x:c>
      <x:c r="F89" t="s">
        <x:v>540</x:v>
      </x:c>
      <x:c r="G89" t="s">
        <x:v>541</x:v>
      </x:c>
      <x:c r="H89" t="s">
        <x:v>542</x:v>
      </x:c>
      <x:c r="K89" t="s">
        <x:v>37</x:v>
      </x:c>
      <x:c r="L89" t="s">
        <x:v>543</x:v>
      </x:c>
      <x:c r="M89" t="s">
        <x:v>544</x:v>
      </x:c>
      <x:c r="N89" t="s">
        <x:v>541</x:v>
      </x:c>
      <x:c r="O89" t="s">
        <x:v>545</x:v>
      </x:c>
      <x:c r="P89" t="s">
        <x:v>102</x:v>
      </x:c>
      <x:c r="Q89">
        <x:v>1</x:v>
      </x:c>
      <x:c r="R89" t="s">
        <x:v>70</x:v>
      </x:c>
      <x:c r="S89" t="s">
        <x:v>43</x:v>
      </x:c>
      <x:c r="T89" t="s">
        <x:v>44</x:v>
      </x:c>
      <x:c r="U89" t="s">
        <x:v>71</x:v>
      </x:c>
      <x:c r="V89" t="s">
        <x:v>72</x:v>
      </x:c>
      <x:c r="W89">
        <x:v>186.44</x:v>
      </x:c>
      <x:c r="X89" t="s">
        <x:v>47</x:v>
      </x:c>
      <x:c r="Y89" t="s">
        <x:v>48</x:v>
      </x:c>
      <x:c r="Z89" t="s">
        <x:v>73</x:v>
      </x:c>
    </x:row>
    <x:row r="90">
      <x:c r="A90" s="1">
        <x:v>46206</x:v>
      </x:c>
      <x:c r="B90" t="s">
        <x:v>546</x:v>
      </x:c>
      <x:c r="C90" t="s">
        <x:v>269</x:v>
      </x:c>
      <x:c r="D90" t="s">
        <x:v>547</x:v>
      </x:c>
      <x:c r="E90" t="s">
        <x:v>31</x:v>
      </x:c>
      <x:c r="F90" t="s">
        <x:v>548</x:v>
      </x:c>
      <x:c r="G90" t="s">
        <x:v>549</x:v>
      </x:c>
      <x:c r="H90" t="s">
        <x:v>550</x:v>
      </x:c>
      <x:c r="K90" t="s">
        <x:v>37</x:v>
      </x:c>
      <x:c r="L90" t="s">
        <x:v>551</x:v>
      </x:c>
      <x:c r="M90" t="s">
        <x:v>552</x:v>
      </x:c>
      <x:c r="N90" t="s">
        <x:v>553</x:v>
      </x:c>
      <x:c r="O90" t="s">
        <x:v>554</x:v>
      </x:c>
      <x:c r="P90" t="s">
        <x:v>289</x:v>
      </x:c>
      <x:c r="Q90">
        <x:v>1</x:v>
      </x:c>
      <x:c r="R90" t="s">
        <x:v>42</x:v>
      </x:c>
      <x:c r="S90" t="s">
        <x:v>44</x:v>
      </x:c>
      <x:c r="T90" t="s">
        <x:v>44</x:v>
      </x:c>
      <x:c r="U90" t="s">
        <x:v>45</x:v>
      </x:c>
      <x:c r="V90" t="s">
        <x:v>46</x:v>
      </x:c>
      <x:c r="W90">
        <x:v>0</x:v>
      </x:c>
      <x:c r="X90" t="s">
        <x:v>290</x:v>
      </x:c>
      <x:c r="Y90" t="s">
        <x:v>48</x:v>
      </x:c>
      <x:c r="Z90" t="s">
        <x:v>49</x:v>
      </x:c>
    </x:row>
    <x:row r="91">
      <x:c r="A91" s="1">
        <x:v>46206</x:v>
      </x:c>
      <x:c r="B91" t="s">
        <x:v>546</x:v>
      </x:c>
      <x:c r="C91" t="s">
        <x:v>269</x:v>
      </x:c>
      <x:c r="D91" t="s">
        <x:v>547</x:v>
      </x:c>
      <x:c r="E91" t="s">
        <x:v>31</x:v>
      </x:c>
      <x:c r="F91" t="s">
        <x:v>548</x:v>
      </x:c>
      <x:c r="G91" t="s">
        <x:v>549</x:v>
      </x:c>
      <x:c r="H91" t="s">
        <x:v>550</x:v>
      </x:c>
      <x:c r="K91" t="s">
        <x:v>37</x:v>
      </x:c>
      <x:c r="L91" t="s">
        <x:v>551</x:v>
      </x:c>
      <x:c r="M91" t="s">
        <x:v>552</x:v>
      </x:c>
      <x:c r="N91" t="s">
        <x:v>553</x:v>
      </x:c>
      <x:c r="O91" t="s">
        <x:v>554</x:v>
      </x:c>
      <x:c r="P91" t="s">
        <x:v>555</x:v>
      </x:c>
      <x:c r="Q91">
        <x:v>1</x:v>
      </x:c>
      <x:c r="R91" t="s">
        <x:v>42</x:v>
      </x:c>
      <x:c r="S91" t="s">
        <x:v>44</x:v>
      </x:c>
      <x:c r="T91" t="s">
        <x:v>44</x:v>
      </x:c>
      <x:c r="U91" t="s">
        <x:v>45</x:v>
      </x:c>
      <x:c r="V91" t="s">
        <x:v>46</x:v>
      </x:c>
      <x:c r="W91">
        <x:v>847.46</x:v>
      </x:c>
      <x:c r="X91" t="s">
        <x:v>290</x:v>
      </x:c>
      <x:c r="Y91" t="s">
        <x:v>48</x:v>
      </x:c>
      <x:c r="Z91" t="s">
        <x:v>49</x:v>
      </x:c>
    </x:row>
    <x:row r="92">
      <x:c r="A92" s="1">
        <x:v>46211</x:v>
      </x:c>
      <x:c r="B92" t="s">
        <x:v>556</x:v>
      </x:c>
      <x:c r="C92" t="s">
        <x:v>29</x:v>
      </x:c>
      <x:c r="D92" t="s">
        <x:v>557</x:v>
      </x:c>
      <x:c r="E92" t="s">
        <x:v>31</x:v>
      </x:c>
      <x:c r="F92" t="s">
        <x:v>558</x:v>
      </x:c>
      <x:c r="G92" t="s">
        <x:v>559</x:v>
      </x:c>
      <x:c r="H92" t="s">
        <x:v>560</x:v>
      </x:c>
      <x:c r="K92" t="s">
        <x:v>37</x:v>
      </x:c>
      <x:c r="L92" t="s">
        <x:v>561</x:v>
      </x:c>
      <x:c r="M92" t="s">
        <x:v>562</x:v>
      </x:c>
      <x:c r="N92" t="s">
        <x:v>559</x:v>
      </x:c>
      <x:c r="O92" t="s">
        <x:v>563</x:v>
      </x:c>
      <x:c r="P92" t="s">
        <x:v>91</x:v>
      </x:c>
      <x:c r="Q92">
        <x:v>1</x:v>
      </x:c>
      <x:c r="R92" t="s">
        <x:v>42</x:v>
      </x:c>
      <x:c r="S92" t="s">
        <x:v>44</x:v>
      </x:c>
      <x:c r="T92" t="s">
        <x:v>44</x:v>
      </x:c>
      <x:c r="U92" t="s">
        <x:v>71</x:v>
      </x:c>
      <x:c r="V92" t="s">
        <x:v>185</x:v>
      </x:c>
      <x:c r="W92">
        <x:v>135.59</x:v>
      </x:c>
      <x:c r="X92" t="s">
        <x:v>47</x:v>
      </x:c>
      <x:c r="Y92" t="s">
        <x:v>48</x:v>
      </x:c>
      <x:c r="Z92" t="s">
        <x:v>73</x:v>
      </x:c>
    </x:row>
    <x:row r="93">
      <x:c r="A93" s="1">
        <x:v>46211</x:v>
      </x:c>
      <x:c r="B93" t="s">
        <x:v>564</x:v>
      </x:c>
      <x:c r="C93" t="s">
        <x:v>29</x:v>
      </x:c>
      <x:c r="D93" t="s">
        <x:v>565</x:v>
      </x:c>
      <x:c r="E93" t="s">
        <x:v>31</x:v>
      </x:c>
      <x:c r="F93" t="s">
        <x:v>566</x:v>
      </x:c>
      <x:c r="G93" t="s">
        <x:v>567</x:v>
      </x:c>
      <x:c r="H93" t="s">
        <x:v>568</x:v>
      </x:c>
      <x:c r="K93" t="s">
        <x:v>37</x:v>
      </x:c>
      <x:c r="L93" t="s">
        <x:v>569</x:v>
      </x:c>
      <x:c r="M93" t="s">
        <x:v>570</x:v>
      </x:c>
      <x:c r="N93" t="s">
        <x:v>567</x:v>
      </x:c>
      <x:c r="O93" t="s">
        <x:v>571</x:v>
      </x:c>
      <x:c r="P93" t="s">
        <x:v>91</x:v>
      </x:c>
      <x:c r="Q93">
        <x:v>1</x:v>
      </x:c>
      <x:c r="R93" t="s">
        <x:v>42</x:v>
      </x:c>
      <x:c r="S93" t="s">
        <x:v>44</x:v>
      </x:c>
      <x:c r="T93" t="s">
        <x:v>44</x:v>
      </x:c>
      <x:c r="U93" t="s">
        <x:v>71</x:v>
      </x:c>
      <x:c r="V93" t="s">
        <x:v>185</x:v>
      </x:c>
      <x:c r="W93">
        <x:v>135.59</x:v>
      </x:c>
      <x:c r="X93" t="s">
        <x:v>47</x:v>
      </x:c>
      <x:c r="Y93" t="s">
        <x:v>48</x:v>
      </x:c>
      <x:c r="Z93" t="s">
        <x:v>73</x:v>
      </x:c>
    </x:row>
    <x:row r="94">
      <x:c r="A94" s="1">
        <x:v>46212</x:v>
      </x:c>
      <x:c r="B94" t="s">
        <x:v>572</x:v>
      </x:c>
      <x:c r="C94" t="s">
        <x:v>29</x:v>
      </x:c>
      <x:c r="D94" t="s">
        <x:v>573</x:v>
      </x:c>
      <x:c r="E94" t="s">
        <x:v>31</x:v>
      </x:c>
      <x:c r="F94" t="s">
        <x:v>574</x:v>
      </x:c>
      <x:c r="G94" t="s">
        <x:v>575</x:v>
      </x:c>
      <x:c r="H94" t="s">
        <x:v>576</x:v>
      </x:c>
      <x:c r="K94" t="s">
        <x:v>37</x:v>
      </x:c>
      <x:c r="L94" t="s">
        <x:v>577</x:v>
      </x:c>
      <x:c r="M94" t="s">
        <x:v>578</x:v>
      </x:c>
      <x:c r="N94" t="s">
        <x:v>575</x:v>
      </x:c>
      <x:c r="O94" t="s">
        <x:v>579</x:v>
      </x:c>
      <x:c r="P94" t="s">
        <x:v>160</x:v>
      </x:c>
      <x:c r="Q94">
        <x:v>1</x:v>
      </x:c>
      <x:c r="R94" t="s">
        <x:v>70</x:v>
      </x:c>
      <x:c r="S94" t="s">
        <x:v>43</x:v>
      </x:c>
      <x:c r="T94" t="s">
        <x:v>44</x:v>
      </x:c>
      <x:c r="U94" t="s">
        <x:v>71</x:v>
      </x:c>
      <x:c r="V94" t="s">
        <x:v>72</x:v>
      </x:c>
      <x:c r="W94">
        <x:v>135.59</x:v>
      </x:c>
      <x:c r="X94" t="s">
        <x:v>47</x:v>
      </x:c>
      <x:c r="Y94" t="s">
        <x:v>48</x:v>
      </x:c>
      <x:c r="Z94" t="s">
        <x:v>73</x:v>
      </x:c>
    </x:row>
    <x:row r="95">
      <x:c r="A95" s="1">
        <x:v>46212</x:v>
      </x:c>
      <x:c r="B95" t="s">
        <x:v>580</x:v>
      </x:c>
      <x:c r="C95" t="s">
        <x:v>29</x:v>
      </x:c>
      <x:c r="D95" t="s">
        <x:v>581</x:v>
      </x:c>
      <x:c r="E95" t="s">
        <x:v>31</x:v>
      </x:c>
      <x:c r="F95" t="s">
        <x:v>582</x:v>
      </x:c>
      <x:c r="G95" t="s">
        <x:v>583</x:v>
      </x:c>
      <x:c r="H95" t="s">
        <x:v>584</x:v>
      </x:c>
      <x:c r="K95" t="s">
        <x:v>37</x:v>
      </x:c>
      <x:c r="L95" t="s">
        <x:v>585</x:v>
      </x:c>
      <x:c r="M95" t="s">
        <x:v>586</x:v>
      </x:c>
      <x:c r="N95" t="s">
        <x:v>583</x:v>
      </x:c>
      <x:c r="O95" t="s">
        <x:v>587</x:v>
      </x:c>
      <x:c r="P95" t="s">
        <x:v>131</x:v>
      </x:c>
      <x:c r="Q95">
        <x:v>1</x:v>
      </x:c>
      <x:c r="R95" t="s">
        <x:v>42</x:v>
      </x:c>
      <x:c r="S95" t="s">
        <x:v>44</x:v>
      </x:c>
      <x:c r="T95" t="s">
        <x:v>44</x:v>
      </x:c>
      <x:c r="U95" t="s">
        <x:v>71</x:v>
      </x:c>
      <x:c r="V95" t="s">
        <x:v>185</x:v>
      </x:c>
      <x:c r="W95">
        <x:v>152.54</x:v>
      </x:c>
      <x:c r="X95" t="s">
        <x:v>47</x:v>
      </x:c>
      <x:c r="Y95" t="s">
        <x:v>48</x:v>
      </x:c>
      <x:c r="Z95" t="s">
        <x:v>73</x:v>
      </x:c>
    </x:row>
    <x:row r="96">
      <x:c r="A96" s="1">
        <x:v>46213</x:v>
      </x:c>
      <x:c r="B96" t="s">
        <x:v>588</x:v>
      </x:c>
      <x:c r="C96" t="s">
        <x:v>29</x:v>
      </x:c>
      <x:c r="D96" t="s">
        <x:v>589</x:v>
      </x:c>
      <x:c r="E96" t="s">
        <x:v>31</x:v>
      </x:c>
      <x:c r="F96" t="s">
        <x:v>590</x:v>
      </x:c>
      <x:c r="G96" t="s">
        <x:v>591</x:v>
      </x:c>
      <x:c r="H96" t="s">
        <x:v>592</x:v>
      </x:c>
      <x:c r="K96" t="s">
        <x:v>37</x:v>
      </x:c>
      <x:c r="L96" t="s">
        <x:v>593</x:v>
      </x:c>
      <x:c r="M96" t="s">
        <x:v>594</x:v>
      </x:c>
      <x:c r="N96" t="s">
        <x:v>591</x:v>
      </x:c>
      <x:c r="O96" t="s">
        <x:v>595</x:v>
      </x:c>
      <x:c r="P96" t="s">
        <x:v>160</x:v>
      </x:c>
      <x:c r="Q96">
        <x:v>1</x:v>
      </x:c>
      <x:c r="R96" t="s">
        <x:v>70</x:v>
      </x:c>
      <x:c r="S96" t="s">
        <x:v>43</x:v>
      </x:c>
      <x:c r="T96" t="s">
        <x:v>44</x:v>
      </x:c>
      <x:c r="U96" t="s">
        <x:v>71</x:v>
      </x:c>
      <x:c r="V96" t="s">
        <x:v>72</x:v>
      </x:c>
      <x:c r="W96">
        <x:v>135.59</x:v>
      </x:c>
      <x:c r="X96" t="s">
        <x:v>47</x:v>
      </x:c>
      <x:c r="Y96" t="s">
        <x:v>48</x:v>
      </x:c>
      <x:c r="Z96" t="s">
        <x:v>73</x:v>
      </x:c>
    </x:row>
    <x:row r="97">
      <x:c r="A97" s="1">
        <x:v>46214</x:v>
      </x:c>
      <x:c r="B97" t="s">
        <x:v>596</x:v>
      </x:c>
      <x:c r="C97" t="s">
        <x:v>29</x:v>
      </x:c>
      <x:c r="D97" t="s">
        <x:v>597</x:v>
      </x:c>
      <x:c r="E97" t="s">
        <x:v>31</x:v>
      </x:c>
      <x:c r="F97" t="s">
        <x:v>598</x:v>
      </x:c>
      <x:c r="G97" t="s">
        <x:v>599</x:v>
      </x:c>
      <x:c r="H97" t="s">
        <x:v>600</x:v>
      </x:c>
      <x:c r="K97" t="s">
        <x:v>37</x:v>
      </x:c>
      <x:c r="L97" t="s">
        <x:v>601</x:v>
      </x:c>
      <x:c r="M97" t="s">
        <x:v>602</x:v>
      </x:c>
      <x:c r="N97" t="s">
        <x:v>599</x:v>
      </x:c>
      <x:c r="O97" t="s">
        <x:v>603</x:v>
      </x:c>
      <x:c r="P97" t="s">
        <x:v>91</x:v>
      </x:c>
      <x:c r="Q97">
        <x:v>1</x:v>
      </x:c>
      <x:c r="R97" t="s">
        <x:v>70</x:v>
      </x:c>
      <x:c r="S97" t="s">
        <x:v>43</x:v>
      </x:c>
      <x:c r="T97" t="s">
        <x:v>44</x:v>
      </x:c>
      <x:c r="U97" t="s">
        <x:v>71</x:v>
      </x:c>
      <x:c r="V97" t="s">
        <x:v>72</x:v>
      </x:c>
      <x:c r="W97">
        <x:v>135.59</x:v>
      </x:c>
      <x:c r="X97" t="s">
        <x:v>47</x:v>
      </x:c>
      <x:c r="Y97" t="s">
        <x:v>48</x:v>
      </x:c>
      <x:c r="Z97" t="s">
        <x:v>73</x:v>
      </x:c>
    </x:row>
    <x:row r="98">
      <x:c r="A98" s="1">
        <x:v>46214</x:v>
      </x:c>
      <x:c r="B98" t="s">
        <x:v>596</x:v>
      </x:c>
      <x:c r="C98" t="s">
        <x:v>29</x:v>
      </x:c>
      <x:c r="D98" t="s">
        <x:v>597</x:v>
      </x:c>
      <x:c r="E98" t="s">
        <x:v>31</x:v>
      </x:c>
      <x:c r="F98" t="s">
        <x:v>598</x:v>
      </x:c>
      <x:c r="G98" t="s">
        <x:v>599</x:v>
      </x:c>
      <x:c r="H98" t="s">
        <x:v>600</x:v>
      </x:c>
      <x:c r="K98" t="s">
        <x:v>37</x:v>
      </x:c>
      <x:c r="L98" t="s">
        <x:v>601</x:v>
      </x:c>
      <x:c r="M98" t="s">
        <x:v>602</x:v>
      </x:c>
      <x:c r="N98" t="s">
        <x:v>599</x:v>
      </x:c>
      <x:c r="O98" t="s">
        <x:v>603</x:v>
      </x:c>
      <x:c r="P98" t="s">
        <x:v>102</x:v>
      </x:c>
      <x:c r="Q98">
        <x:v>1</x:v>
      </x:c>
      <x:c r="R98" t="s">
        <x:v>70</x:v>
      </x:c>
      <x:c r="S98" t="s">
        <x:v>43</x:v>
      </x:c>
      <x:c r="T98" t="s">
        <x:v>44</x:v>
      </x:c>
      <x:c r="U98" t="s">
        <x:v>71</x:v>
      </x:c>
      <x:c r="V98" t="s">
        <x:v>72</x:v>
      </x:c>
      <x:c r="W98">
        <x:v>186.44</x:v>
      </x:c>
      <x:c r="X98" t="s">
        <x:v>47</x:v>
      </x:c>
      <x:c r="Y98" t="s">
        <x:v>48</x:v>
      </x:c>
      <x:c r="Z98" t="s">
        <x:v>73</x:v>
      </x:c>
    </x:row>
    <x:row r="99">
      <x:c r="A99" s="1">
        <x:v>46239</x:v>
      </x:c>
      <x:c r="B99" t="s">
        <x:v>604</x:v>
      </x:c>
      <x:c r="C99" t="s">
        <x:v>269</x:v>
      </x:c>
      <x:c r="D99" t="s">
        <x:v>605</x:v>
      </x:c>
      <x:c r="E99" t="s">
        <x:v>31</x:v>
      </x:c>
      <x:c r="F99" t="s">
        <x:v>606</x:v>
      </x:c>
      <x:c r="G99" t="s">
        <x:v>607</x:v>
      </x:c>
      <x:c r="H99" t="s">
        <x:v>608</x:v>
      </x:c>
      <x:c r="K99" t="s">
        <x:v>37</x:v>
      </x:c>
      <x:c r="L99" t="s">
        <x:v>609</x:v>
      </x:c>
      <x:c r="M99" t="s">
        <x:v>610</x:v>
      </x:c>
      <x:c r="N99" t="s">
        <x:v>278</x:v>
      </x:c>
      <x:c r="O99" t="s">
        <x:v>611</x:v>
      </x:c>
      <x:c r="P99" t="s">
        <x:v>214</x:v>
      </x:c>
      <x:c r="Q99">
        <x:v>1</x:v>
      </x:c>
      <x:c r="R99" t="s">
        <x:v>42</x:v>
      </x:c>
      <x:c r="S99" t="s">
        <x:v>44</x:v>
      </x:c>
      <x:c r="T99" t="s">
        <x:v>44</x:v>
      </x:c>
      <x:c r="U99" t="s">
        <x:v>45</x:v>
      </x:c>
      <x:c r="V99" t="s">
        <x:v>60</x:v>
      </x:c>
      <x:c r="W99">
        <x:v>254.24</x:v>
      </x:c>
      <x:c r="X99" t="s">
        <x:v>61</x:v>
      </x:c>
      <x:c r="Y99" t="s">
        <x:v>48</x:v>
      </x:c>
      <x:c r="Z99" t="s">
        <x:v>49</x:v>
      </x:c>
    </x:row>
    <x:row r="100">
      <x:c r="A100" s="1">
        <x:v>46245</x:v>
      </x:c>
      <x:c r="B100" t="s">
        <x:v>612</x:v>
      </x:c>
      <x:c r="C100" t="s">
        <x:v>29</x:v>
      </x:c>
      <x:c r="D100" t="s">
        <x:v>613</x:v>
      </x:c>
      <x:c r="E100" t="s">
        <x:v>31</x:v>
      </x:c>
      <x:c r="F100" t="s">
        <x:v>614</x:v>
      </x:c>
      <x:c r="G100" t="s">
        <x:v>615</x:v>
      </x:c>
      <x:c r="H100" t="s">
        <x:v>616</x:v>
      </x:c>
      <x:c r="K100" t="s">
        <x:v>37</x:v>
      </x:c>
      <x:c r="L100" t="s">
        <x:v>617</x:v>
      </x:c>
      <x:c r="M100" t="s">
        <x:v>618</x:v>
      </x:c>
      <x:c r="N100" t="s">
        <x:v>615</x:v>
      </x:c>
      <x:c r="O100" t="s">
        <x:v>619</x:v>
      </x:c>
      <x:c r="P100" t="s">
        <x:v>620</x:v>
      </x:c>
      <x:c r="Q100">
        <x:v>1</x:v>
      </x:c>
      <x:c r="R100" t="s">
        <x:v>42</x:v>
      </x:c>
      <x:c r="S100" t="s">
        <x:v>44</x:v>
      </x:c>
      <x:c r="T100" t="s">
        <x:v>44</x:v>
      </x:c>
      <x:c r="U100" t="s">
        <x:v>45</x:v>
      </x:c>
      <x:c r="V100" t="s">
        <x:v>46</x:v>
      </x:c>
      <x:c r="W100">
        <x:v>12.71</x:v>
      </x:c>
      <x:c r="X100" t="s">
        <x:v>621</x:v>
      </x:c>
      <x:c r="Y100" t="s">
        <x:v>48</x:v>
      </x:c>
      <x:c r="Z100" t="s">
        <x:v>49</x:v>
      </x:c>
    </x:row>
    <x:row r="101">
      <x:c r="A101" s="1">
        <x:v>46245</x:v>
      </x:c>
      <x:c r="B101" t="s">
        <x:v>612</x:v>
      </x:c>
      <x:c r="C101" t="s">
        <x:v>29</x:v>
      </x:c>
      <x:c r="D101" t="s">
        <x:v>613</x:v>
      </x:c>
      <x:c r="E101" t="s">
        <x:v>31</x:v>
      </x:c>
      <x:c r="F101" t="s">
        <x:v>614</x:v>
      </x:c>
      <x:c r="G101" t="s">
        <x:v>615</x:v>
      </x:c>
      <x:c r="H101" t="s">
        <x:v>616</x:v>
      </x:c>
      <x:c r="K101" t="s">
        <x:v>37</x:v>
      </x:c>
      <x:c r="L101" t="s">
        <x:v>617</x:v>
      </x:c>
      <x:c r="M101" t="s">
        <x:v>618</x:v>
      </x:c>
      <x:c r="N101" t="s">
        <x:v>615</x:v>
      </x:c>
      <x:c r="O101" t="s">
        <x:v>619</x:v>
      </x:c>
      <x:c r="P101" t="s">
        <x:v>622</x:v>
      </x:c>
      <x:c r="Q101">
        <x:v>1</x:v>
      </x:c>
      <x:c r="R101" t="s">
        <x:v>42</x:v>
      </x:c>
      <x:c r="S101" t="s">
        <x:v>44</x:v>
      </x:c>
      <x:c r="T101" t="s">
        <x:v>44</x:v>
      </x:c>
      <x:c r="U101" t="s">
        <x:v>45</x:v>
      </x:c>
      <x:c r="V101" t="s">
        <x:v>46</x:v>
      </x:c>
      <x:c r="W101">
        <x:v>21.19</x:v>
      </x:c>
      <x:c r="X101" t="s">
        <x:v>621</x:v>
      </x:c>
      <x:c r="Y101" t="s">
        <x:v>48</x:v>
      </x:c>
      <x:c r="Z101" t="s">
        <x:v>49</x:v>
      </x:c>
    </x:row>
    <x:row r="102">
      <x:c r="A102" s="1">
        <x:v>46245</x:v>
      </x:c>
      <x:c r="B102" t="s">
        <x:v>612</x:v>
      </x:c>
      <x:c r="C102" t="s">
        <x:v>29</x:v>
      </x:c>
      <x:c r="D102" t="s">
        <x:v>613</x:v>
      </x:c>
      <x:c r="E102" t="s">
        <x:v>31</x:v>
      </x:c>
      <x:c r="F102" t="s">
        <x:v>614</x:v>
      </x:c>
      <x:c r="G102" t="s">
        <x:v>615</x:v>
      </x:c>
      <x:c r="H102" t="s">
        <x:v>616</x:v>
      </x:c>
      <x:c r="K102" t="s">
        <x:v>37</x:v>
      </x:c>
      <x:c r="L102" t="s">
        <x:v>617</x:v>
      </x:c>
      <x:c r="M102" t="s">
        <x:v>618</x:v>
      </x:c>
      <x:c r="N102" t="s">
        <x:v>615</x:v>
      </x:c>
      <x:c r="O102" t="s">
        <x:v>619</x:v>
      </x:c>
      <x:c r="P102" t="s">
        <x:v>623</x:v>
      </x:c>
      <x:c r="Q102">
        <x:v>1</x:v>
      </x:c>
      <x:c r="R102" t="s">
        <x:v>42</x:v>
      </x:c>
      <x:c r="S102" t="s">
        <x:v>44</x:v>
      </x:c>
      <x:c r="T102" t="s">
        <x:v>44</x:v>
      </x:c>
      <x:c r="U102" t="s">
        <x:v>45</x:v>
      </x:c>
      <x:c r="V102" t="s">
        <x:v>46</x:v>
      </x:c>
      <x:c r="W102">
        <x:v>12.71</x:v>
      </x:c>
      <x:c r="X102" t="s">
        <x:v>621</x:v>
      </x:c>
      <x:c r="Y102" t="s">
        <x:v>48</x:v>
      </x:c>
      <x:c r="Z102" t="s">
        <x:v>49</x:v>
      </x:c>
    </x:row>
    <x:row r="103">
      <x:c r="A103" s="1">
        <x:v>46245</x:v>
      </x:c>
      <x:c r="B103" t="s">
        <x:v>612</x:v>
      </x:c>
      <x:c r="C103" t="s">
        <x:v>29</x:v>
      </x:c>
      <x:c r="D103" t="s">
        <x:v>613</x:v>
      </x:c>
      <x:c r="E103" t="s">
        <x:v>31</x:v>
      </x:c>
      <x:c r="F103" t="s">
        <x:v>614</x:v>
      </x:c>
      <x:c r="G103" t="s">
        <x:v>615</x:v>
      </x:c>
      <x:c r="H103" t="s">
        <x:v>616</x:v>
      </x:c>
      <x:c r="K103" t="s">
        <x:v>37</x:v>
      </x:c>
      <x:c r="L103" t="s">
        <x:v>617</x:v>
      </x:c>
      <x:c r="M103" t="s">
        <x:v>618</x:v>
      </x:c>
      <x:c r="N103" t="s">
        <x:v>615</x:v>
      </x:c>
      <x:c r="O103" t="s">
        <x:v>619</x:v>
      </x:c>
      <x:c r="P103" t="s">
        <x:v>624</x:v>
      </x:c>
      <x:c r="Q103">
        <x:v>1</x:v>
      </x:c>
      <x:c r="R103" t="s">
        <x:v>42</x:v>
      </x:c>
      <x:c r="S103" t="s">
        <x:v>44</x:v>
      </x:c>
      <x:c r="T103" t="s">
        <x:v>44</x:v>
      </x:c>
      <x:c r="U103" t="s">
        <x:v>45</x:v>
      </x:c>
      <x:c r="V103" t="s">
        <x:v>46</x:v>
      </x:c>
      <x:c r="W103">
        <x:v>12.71</x:v>
      </x:c>
      <x:c r="X103" t="s">
        <x:v>621</x:v>
      </x:c>
      <x:c r="Y103" t="s">
        <x:v>48</x:v>
      </x:c>
      <x:c r="Z103" t="s">
        <x:v>49</x:v>
      </x:c>
    </x:row>
    <x:row r="104">
      <x:c r="A104" s="1">
        <x:v>46179</x:v>
      </x:c>
      <x:c r="B104" t="s">
        <x:v>625</x:v>
      </x:c>
      <x:c r="C104" t="s">
        <x:v>29</x:v>
      </x:c>
      <x:c r="D104" t="s">
        <x:v>626</x:v>
      </x:c>
      <x:c r="E104" t="s">
        <x:v>31</x:v>
      </x:c>
      <x:c r="F104" t="s">
        <x:v>627</x:v>
      </x:c>
      <x:c r="G104" t="s">
        <x:v>628</x:v>
      </x:c>
      <x:c r="H104" t="s">
        <x:v>629</x:v>
      </x:c>
      <x:c r="I104" t="s">
        <x:v>630</x:v>
      </x:c>
      <x:c r="J104" t="s">
        <x:v>631</x:v>
      </x:c>
      <x:c r="K104" t="s">
        <x:v>37</x:v>
      </x:c>
      <x:c r="L104" t="s">
        <x:v>632</x:v>
      </x:c>
      <x:c r="M104" t="s">
        <x:v>633</x:v>
      </x:c>
      <x:c r="N104" t="s">
        <x:v>628</x:v>
      </x:c>
      <x:c r="O104" t="s">
        <x:v>634</x:v>
      </x:c>
      <x:c r="P104" t="s">
        <x:v>131</x:v>
      </x:c>
      <x:c r="Q104">
        <x:v>1</x:v>
      </x:c>
      <x:c r="R104" t="s">
        <x:v>42</x:v>
      </x:c>
      <x:c r="S104" t="s">
        <x:v>43</x:v>
      </x:c>
      <x:c r="T104" t="s">
        <x:v>44</x:v>
      </x:c>
      <x:c r="U104" t="s">
        <x:v>45</x:v>
      </x:c>
      <x:c r="V104" t="s">
        <x:v>60</x:v>
      </x:c>
      <x:c r="W104">
        <x:v>152.54</x:v>
      </x:c>
      <x:c r="X104" t="s">
        <x:v>47</x:v>
      </x:c>
      <x:c r="Y104" t="s">
        <x:v>48</x:v>
      </x:c>
      <x:c r="Z104" t="s">
        <x:v>49</x:v>
      </x:c>
      <x:c r="AA104">
        <x:v>978789268</x:v>
      </x:c>
      <x:c r="AB104" t="s">
        <x:v>635</x:v>
      </x:c>
    </x:row>
    <x:row r="105">
      <x:c r="A105" s="1">
        <x:v>46239</x:v>
      </x:c>
      <x:c r="B105" t="s">
        <x:v>636</x:v>
      </x:c>
      <x:c r="C105" t="s">
        <x:v>29</x:v>
      </x:c>
      <x:c r="D105" t="s">
        <x:v>637</x:v>
      </x:c>
      <x:c r="E105" t="s">
        <x:v>31</x:v>
      </x:c>
      <x:c r="F105" t="s">
        <x:v>638</x:v>
      </x:c>
      <x:c r="G105" t="s">
        <x:v>639</x:v>
      </x:c>
      <x:c r="H105" t="s">
        <x:v>640</x:v>
      </x:c>
      <x:c r="I105" t="s">
        <x:v>630</x:v>
      </x:c>
      <x:c r="J105" t="s">
        <x:v>631</x:v>
      </x:c>
      <x:c r="K105" t="s">
        <x:v>37</x:v>
      </x:c>
      <x:c r="L105" t="s">
        <x:v>641</x:v>
      </x:c>
      <x:c r="M105" t="s">
        <x:v>610</x:v>
      </x:c>
      <x:c r="N105" t="s">
        <x:v>639</x:v>
      </x:c>
      <x:c r="O105" t="s">
        <x:v>642</x:v>
      </x:c>
      <x:c r="P105" t="s">
        <x:v>643</x:v>
      </x:c>
      <x:c r="Q105">
        <x:v>1</x:v>
      </x:c>
      <x:c r="R105" t="s">
        <x:v>42</x:v>
      </x:c>
      <x:c r="S105" t="s">
        <x:v>44</x:v>
      </x:c>
      <x:c r="T105" t="s">
        <x:v>44</x:v>
      </x:c>
      <x:c r="U105" t="s">
        <x:v>45</x:v>
      </x:c>
      <x:c r="V105" t="s">
        <x:v>46</x:v>
      </x:c>
      <x:c r="W105">
        <x:v>84.75</x:v>
      </x:c>
      <x:c r="X105" t="s">
        <x:v>47</x:v>
      </x:c>
      <x:c r="Y105" t="s">
        <x:v>48</x:v>
      </x:c>
      <x:c r="Z105" t="s">
        <x:v>49</x:v>
      </x:c>
      <x:c r="AA105">
        <x:v>978789268</x:v>
      </x:c>
      <x:c r="AB105" t="s">
        <x:v>635</x:v>
      </x:c>
    </x:row>
    <x:row r="106">
      <x:c r="A106" s="1">
        <x:v>46239</x:v>
      </x:c>
      <x:c r="B106" t="s">
        <x:v>644</x:v>
      </x:c>
      <x:c r="C106" t="s">
        <x:v>29</x:v>
      </x:c>
      <x:c r="D106" t="s">
        <x:v>645</x:v>
      </x:c>
      <x:c r="E106" t="s">
        <x:v>31</x:v>
      </x:c>
      <x:c r="F106" t="s">
        <x:v>646</x:v>
      </x:c>
      <x:c r="G106" t="s">
        <x:v>639</x:v>
      </x:c>
      <x:c r="H106" t="s">
        <x:v>640</x:v>
      </x:c>
      <x:c r="I106" t="s">
        <x:v>630</x:v>
      </x:c>
      <x:c r="J106" t="s">
        <x:v>631</x:v>
      </x:c>
      <x:c r="K106" t="s">
        <x:v>37</x:v>
      </x:c>
      <x:c r="L106" t="s">
        <x:v>641</x:v>
      </x:c>
      <x:c r="M106" t="s">
        <x:v>610</x:v>
      </x:c>
      <x:c r="N106" t="s">
        <x:v>639</x:v>
      </x:c>
      <x:c r="O106" t="s">
        <x:v>647</x:v>
      </x:c>
      <x:c r="P106" t="s">
        <x:v>289</x:v>
      </x:c>
      <x:c r="Q106">
        <x:v>1</x:v>
      </x:c>
      <x:c r="R106" t="s">
        <x:v>42</x:v>
      </x:c>
      <x:c r="S106" t="s">
        <x:v>44</x:v>
      </x:c>
      <x:c r="T106" t="s">
        <x:v>44</x:v>
      </x:c>
      <x:c r="U106" t="s">
        <x:v>45</x:v>
      </x:c>
      <x:c r="V106" t="s">
        <x:v>46</x:v>
      </x:c>
      <x:c r="W106">
        <x:v>0</x:v>
      </x:c>
      <x:c r="X106" t="s">
        <x:v>290</x:v>
      </x:c>
      <x:c r="Y106" t="s">
        <x:v>48</x:v>
      </x:c>
      <x:c r="Z106" t="s">
        <x:v>49</x:v>
      </x:c>
      <x:c r="AA106">
        <x:v>978789268</x:v>
      </x:c>
      <x:c r="AB106" t="s">
        <x:v>635</x:v>
      </x:c>
    </x:row>
    <x:row r="107">
      <x:c r="A107" s="1">
        <x:v>46239</x:v>
      </x:c>
      <x:c r="B107" t="s">
        <x:v>644</x:v>
      </x:c>
      <x:c r="C107" t="s">
        <x:v>29</x:v>
      </x:c>
      <x:c r="D107" t="s">
        <x:v>645</x:v>
      </x:c>
      <x:c r="E107" t="s">
        <x:v>31</x:v>
      </x:c>
      <x:c r="F107" t="s">
        <x:v>646</x:v>
      </x:c>
      <x:c r="G107" t="s">
        <x:v>639</x:v>
      </x:c>
      <x:c r="H107" t="s">
        <x:v>640</x:v>
      </x:c>
      <x:c r="I107" t="s">
        <x:v>630</x:v>
      </x:c>
      <x:c r="J107" t="s">
        <x:v>631</x:v>
      </x:c>
      <x:c r="K107" t="s">
        <x:v>37</x:v>
      </x:c>
      <x:c r="L107" t="s">
        <x:v>641</x:v>
      </x:c>
      <x:c r="M107" t="s">
        <x:v>610</x:v>
      </x:c>
      <x:c r="N107" t="s">
        <x:v>639</x:v>
      </x:c>
      <x:c r="O107" t="s">
        <x:v>647</x:v>
      </x:c>
      <x:c r="P107" t="s">
        <x:v>291</x:v>
      </x:c>
      <x:c r="Q107">
        <x:v>1</x:v>
      </x:c>
      <x:c r="R107" t="s">
        <x:v>42</x:v>
      </x:c>
      <x:c r="S107" t="s">
        <x:v>44</x:v>
      </x:c>
      <x:c r="T107" t="s">
        <x:v>44</x:v>
      </x:c>
      <x:c r="U107" t="s">
        <x:v>45</x:v>
      </x:c>
      <x:c r="V107" t="s">
        <x:v>46</x:v>
      </x:c>
      <x:c r="W107">
        <x:v>1050.8499999999999</x:v>
      </x:c>
      <x:c r="X107" t="s">
        <x:v>290</x:v>
      </x:c>
      <x:c r="Y107" t="s">
        <x:v>48</x:v>
      </x:c>
      <x:c r="Z107" t="s">
        <x:v>49</x:v>
      </x:c>
      <x:c r="AA107">
        <x:v>978789268</x:v>
      </x:c>
      <x:c r="AB107" t="s">
        <x:v>635</x:v>
      </x:c>
    </x:row>
    <x:row r="108">
      <x:c r="A108" s="1">
        <x:v>46179</x:v>
      </x:c>
      <x:c r="B108" t="s">
        <x:v>648</x:v>
      </x:c>
      <x:c r="C108" t="s">
        <x:v>29</x:v>
      </x:c>
      <x:c r="D108" t="s">
        <x:v>649</x:v>
      </x:c>
      <x:c r="E108" t="s">
        <x:v>31</x:v>
      </x:c>
      <x:c r="F108" t="s">
        <x:v>650</x:v>
      </x:c>
      <x:c r="G108" t="s">
        <x:v>651</x:v>
      </x:c>
      <x:c r="H108" t="s">
        <x:v>652</x:v>
      </x:c>
      <x:c r="I108" t="s">
        <x:v>653</x:v>
      </x:c>
      <x:c r="J108" t="s">
        <x:v>654</x:v>
      </x:c>
      <x:c r="K108" t="s">
        <x:v>37</x:v>
      </x:c>
      <x:c r="L108" t="s">
        <x:v>655</x:v>
      </x:c>
      <x:c r="M108" t="s">
        <x:v>656</x:v>
      </x:c>
      <x:c r="N108" t="s">
        <x:v>651</x:v>
      </x:c>
      <x:c r="O108" t="s">
        <x:v>657</x:v>
      </x:c>
      <x:c r="P108" t="s">
        <x:v>160</x:v>
      </x:c>
      <x:c r="Q108">
        <x:v>1</x:v>
      </x:c>
      <x:c r="R108" t="s">
        <x:v>42</x:v>
      </x:c>
      <x:c r="S108" t="s">
        <x:v>43</x:v>
      </x:c>
      <x:c r="T108" t="s">
        <x:v>44</x:v>
      </x:c>
      <x:c r="U108" t="s">
        <x:v>45</x:v>
      </x:c>
      <x:c r="V108" t="s">
        <x:v>60</x:v>
      </x:c>
      <x:c r="W108">
        <x:v>135.59</x:v>
      </x:c>
      <x:c r="X108" t="s">
        <x:v>47</x:v>
      </x:c>
      <x:c r="Y108" t="s">
        <x:v>48</x:v>
      </x:c>
      <x:c r="Z108" t="s">
        <x:v>49</x:v>
      </x:c>
      <x:c r="AA108">
        <x:v>987552890</x:v>
      </x:c>
      <x:c r="AB108" t="s">
        <x:v>658</x:v>
      </x:c>
    </x:row>
    <x:row r="109">
      <x:c r="A109" s="1">
        <x:v>46179</x:v>
      </x:c>
      <x:c r="B109" t="s">
        <x:v>648</x:v>
      </x:c>
      <x:c r="C109" t="s">
        <x:v>29</x:v>
      </x:c>
      <x:c r="D109" t="s">
        <x:v>649</x:v>
      </x:c>
      <x:c r="E109" t="s">
        <x:v>31</x:v>
      </x:c>
      <x:c r="F109" t="s">
        <x:v>650</x:v>
      </x:c>
      <x:c r="G109" t="s">
        <x:v>651</x:v>
      </x:c>
      <x:c r="H109" t="s">
        <x:v>652</x:v>
      </x:c>
      <x:c r="I109" t="s">
        <x:v>653</x:v>
      </x:c>
      <x:c r="J109" t="s">
        <x:v>654</x:v>
      </x:c>
      <x:c r="K109" t="s">
        <x:v>37</x:v>
      </x:c>
      <x:c r="L109" t="s">
        <x:v>655</x:v>
      </x:c>
      <x:c r="M109" t="s">
        <x:v>656</x:v>
      </x:c>
      <x:c r="N109" t="s">
        <x:v>651</x:v>
      </x:c>
      <x:c r="O109" t="s">
        <x:v>657</x:v>
      </x:c>
      <x:c r="P109" t="s">
        <x:v>159</x:v>
      </x:c>
      <x:c r="Q109">
        <x:v>1</x:v>
      </x:c>
      <x:c r="R109" t="s">
        <x:v>42</x:v>
      </x:c>
      <x:c r="S109" t="s">
        <x:v>43</x:v>
      </x:c>
      <x:c r="T109" t="s">
        <x:v>44</x:v>
      </x:c>
      <x:c r="U109" t="s">
        <x:v>45</x:v>
      </x:c>
      <x:c r="V109" t="s">
        <x:v>60</x:v>
      </x:c>
      <x:c r="W109">
        <x:v>152.54</x:v>
      </x:c>
      <x:c r="X109" t="s">
        <x:v>47</x:v>
      </x:c>
      <x:c r="Y109" t="s">
        <x:v>48</x:v>
      </x:c>
      <x:c r="Z109" t="s">
        <x:v>49</x:v>
      </x:c>
      <x:c r="AA109">
        <x:v>987552890</x:v>
      </x:c>
      <x:c r="AB109" t="s">
        <x:v>658</x:v>
      </x:c>
    </x:row>
    <x:row r="110">
      <x:c r="A110" s="1">
        <x:v>46179</x:v>
      </x:c>
      <x:c r="B110" t="s">
        <x:v>648</x:v>
      </x:c>
      <x:c r="C110" t="s">
        <x:v>29</x:v>
      </x:c>
      <x:c r="D110" t="s">
        <x:v>649</x:v>
      </x:c>
      <x:c r="E110" t="s">
        <x:v>31</x:v>
      </x:c>
      <x:c r="F110" t="s">
        <x:v>650</x:v>
      </x:c>
      <x:c r="G110" t="s">
        <x:v>651</x:v>
      </x:c>
      <x:c r="H110" t="s">
        <x:v>652</x:v>
      </x:c>
      <x:c r="I110" t="s">
        <x:v>653</x:v>
      </x:c>
      <x:c r="J110" t="s">
        <x:v>654</x:v>
      </x:c>
      <x:c r="K110" t="s">
        <x:v>37</x:v>
      </x:c>
      <x:c r="L110" t="s">
        <x:v>655</x:v>
      </x:c>
      <x:c r="M110" t="s">
        <x:v>656</x:v>
      </x:c>
      <x:c r="N110" t="s">
        <x:v>651</x:v>
      </x:c>
      <x:c r="O110" t="s">
        <x:v>657</x:v>
      </x:c>
      <x:c r="P110" t="s">
        <x:v>102</x:v>
      </x:c>
      <x:c r="Q110">
        <x:v>1</x:v>
      </x:c>
      <x:c r="R110" t="s">
        <x:v>42</x:v>
      </x:c>
      <x:c r="S110" t="s">
        <x:v>43</x:v>
      </x:c>
      <x:c r="T110" t="s">
        <x:v>44</x:v>
      </x:c>
      <x:c r="U110" t="s">
        <x:v>45</x:v>
      </x:c>
      <x:c r="V110" t="s">
        <x:v>60</x:v>
      </x:c>
      <x:c r="W110">
        <x:v>186.44</x:v>
      </x:c>
      <x:c r="X110" t="s">
        <x:v>47</x:v>
      </x:c>
      <x:c r="Y110" t="s">
        <x:v>48</x:v>
      </x:c>
      <x:c r="Z110" t="s">
        <x:v>49</x:v>
      </x:c>
      <x:c r="AA110">
        <x:v>987552890</x:v>
      </x:c>
      <x:c r="AB110" t="s">
        <x:v>658</x:v>
      </x:c>
    </x:row>
    <x:row r="111">
      <x:c r="A111" s="1">
        <x:v>46185</x:v>
      </x:c>
      <x:c r="B111" t="s">
        <x:v>659</x:v>
      </x:c>
      <x:c r="C111" t="s">
        <x:v>29</x:v>
      </x:c>
      <x:c r="D111" t="s">
        <x:v>660</x:v>
      </x:c>
      <x:c r="E111" t="s">
        <x:v>31</x:v>
      </x:c>
      <x:c r="F111" t="s">
        <x:v>661</x:v>
      </x:c>
      <x:c r="G111" t="s">
        <x:v>662</x:v>
      </x:c>
      <x:c r="H111" t="s">
        <x:v>663</x:v>
      </x:c>
      <x:c r="I111" t="s">
        <x:v>664</x:v>
      </x:c>
      <x:c r="J111" t="s">
        <x:v>36</x:v>
      </x:c>
      <x:c r="K111" t="s">
        <x:v>37</x:v>
      </x:c>
      <x:c r="L111" t="s">
        <x:v>665</x:v>
      </x:c>
      <x:c r="M111" t="s">
        <x:v>666</x:v>
      </x:c>
      <x:c r="N111" t="s">
        <x:v>662</x:v>
      </x:c>
      <x:c r="O111" t="s">
        <x:v>667</x:v>
      </x:c>
      <x:c r="P111" t="s">
        <x:v>482</x:v>
      </x:c>
      <x:c r="Q111">
        <x:v>2</x:v>
      </x:c>
      <x:c r="R111" t="s">
        <x:v>42</x:v>
      </x:c>
      <x:c r="S111" t="s">
        <x:v>43</x:v>
      </x:c>
      <x:c r="T111" t="s">
        <x:v>44</x:v>
      </x:c>
      <x:c r="U111" t="s">
        <x:v>45</x:v>
      </x:c>
      <x:c r="V111" t="s">
        <x:v>60</x:v>
      </x:c>
      <x:c r="W111">
        <x:v>203.39</x:v>
      </x:c>
      <x:c r="X111" t="s">
        <x:v>61</x:v>
      </x:c>
      <x:c r="Y111" t="s">
        <x:v>48</x:v>
      </x:c>
      <x:c r="Z111" t="s">
        <x:v>49</x:v>
      </x:c>
      <x:c r="AA111">
        <x:v>997145685</x:v>
      </x:c>
      <x:c r="AB111" t="s">
        <x:v>668</x:v>
      </x:c>
    </x:row>
    <x:row r="112">
      <x:c r="A112" s="1">
        <x:v>46188</x:v>
      </x:c>
      <x:c r="B112" t="s">
        <x:v>669</x:v>
      </x:c>
      <x:c r="C112" t="s">
        <x:v>29</x:v>
      </x:c>
      <x:c r="D112" t="s">
        <x:v>670</x:v>
      </x:c>
      <x:c r="E112" t="s">
        <x:v>31</x:v>
      </x:c>
      <x:c r="F112" t="s">
        <x:v>671</x:v>
      </x:c>
      <x:c r="G112" t="s">
        <x:v>672</x:v>
      </x:c>
      <x:c r="H112" t="s">
        <x:v>673</x:v>
      </x:c>
      <x:c r="I112" t="s">
        <x:v>664</x:v>
      </x:c>
      <x:c r="J112" t="s">
        <x:v>36</x:v>
      </x:c>
      <x:c r="K112" t="s">
        <x:v>37</x:v>
      </x:c>
      <x:c r="L112" t="s">
        <x:v>674</x:v>
      </x:c>
      <x:c r="M112" t="s">
        <x:v>675</x:v>
      </x:c>
      <x:c r="N112" t="s">
        <x:v>672</x:v>
      </x:c>
      <x:c r="O112" t="s">
        <x:v>676</x:v>
      </x:c>
      <x:c r="P112" t="s">
        <x:v>202</x:v>
      </x:c>
      <x:c r="Q112">
        <x:v>1</x:v>
      </x:c>
      <x:c r="R112" t="s">
        <x:v>42</x:v>
      </x:c>
      <x:c r="S112" t="s">
        <x:v>43</x:v>
      </x:c>
      <x:c r="T112" t="s">
        <x:v>44</x:v>
      </x:c>
      <x:c r="U112" t="s">
        <x:v>45</x:v>
      </x:c>
      <x:c r="V112" t="s">
        <x:v>46</x:v>
      </x:c>
      <x:c r="W112">
        <x:v>152.54</x:v>
      </x:c>
      <x:c r="X112" t="s">
        <x:v>47</x:v>
      </x:c>
      <x:c r="Y112" t="s">
        <x:v>48</x:v>
      </x:c>
      <x:c r="Z112" t="s">
        <x:v>49</x:v>
      </x:c>
      <x:c r="AA112">
        <x:v>997145685</x:v>
      </x:c>
      <x:c r="AB112" t="s">
        <x:v>668</x:v>
      </x:c>
    </x:row>
    <x:row r="113">
      <x:c r="A113" s="1">
        <x:v>46206</x:v>
      </x:c>
      <x:c r="B113" t="s">
        <x:v>677</x:v>
      </x:c>
      <x:c r="C113" t="s">
        <x:v>29</x:v>
      </x:c>
      <x:c r="D113" t="s">
        <x:v>678</x:v>
      </x:c>
      <x:c r="E113" t="s">
        <x:v>31</x:v>
      </x:c>
      <x:c r="F113" t="s">
        <x:v>679</x:v>
      </x:c>
      <x:c r="G113" t="s">
        <x:v>680</x:v>
      </x:c>
      <x:c r="H113" t="s">
        <x:v>681</x:v>
      </x:c>
      <x:c r="I113" t="s">
        <x:v>664</x:v>
      </x:c>
      <x:c r="J113" t="s">
        <x:v>36</x:v>
      </x:c>
      <x:c r="K113" t="s">
        <x:v>37</x:v>
      </x:c>
      <x:c r="L113" t="s">
        <x:v>682</x:v>
      </x:c>
      <x:c r="M113" t="s">
        <x:v>683</x:v>
      </x:c>
      <x:c r="N113" t="s">
        <x:v>680</x:v>
      </x:c>
      <x:c r="O113" t="s">
        <x:v>684</x:v>
      </x:c>
      <x:c r="P113" t="s">
        <x:v>202</x:v>
      </x:c>
      <x:c r="Q113">
        <x:v>1</x:v>
      </x:c>
      <x:c r="R113" t="s">
        <x:v>42</x:v>
      </x:c>
      <x:c r="S113" t="s">
        <x:v>44</x:v>
      </x:c>
      <x:c r="T113" t="s">
        <x:v>44</x:v>
      </x:c>
      <x:c r="U113" t="s">
        <x:v>45</x:v>
      </x:c>
      <x:c r="V113" t="s">
        <x:v>46</x:v>
      </x:c>
      <x:c r="W113">
        <x:v>152.54</x:v>
      </x:c>
      <x:c r="X113" t="s">
        <x:v>47</x:v>
      </x:c>
      <x:c r="Y113" t="s">
        <x:v>48</x:v>
      </x:c>
      <x:c r="Z113" t="s">
        <x:v>49</x:v>
      </x:c>
      <x:c r="AA113">
        <x:v>997145685</x:v>
      </x:c>
      <x:c r="AB113" t="s">
        <x:v>668</x:v>
      </x:c>
    </x:row>
    <x:row r="114">
      <x:c r="A114" s="1">
        <x:v>46211</x:v>
      </x:c>
      <x:c r="B114" t="s">
        <x:v>685</x:v>
      </x:c>
      <x:c r="C114" t="s">
        <x:v>29</x:v>
      </x:c>
      <x:c r="D114" t="s">
        <x:v>686</x:v>
      </x:c>
      <x:c r="E114" t="s">
        <x:v>31</x:v>
      </x:c>
      <x:c r="F114" t="s">
        <x:v>687</x:v>
      </x:c>
      <x:c r="G114" t="s">
        <x:v>688</x:v>
      </x:c>
      <x:c r="H114" t="s">
        <x:v>689</x:v>
      </x:c>
      <x:c r="I114" t="s">
        <x:v>664</x:v>
      </x:c>
      <x:c r="J114" t="s">
        <x:v>36</x:v>
      </x:c>
      <x:c r="K114" t="s">
        <x:v>37</x:v>
      </x:c>
      <x:c r="L114" t="s">
        <x:v>690</x:v>
      </x:c>
      <x:c r="M114" t="s">
        <x:v>691</x:v>
      </x:c>
      <x:c r="N114" t="s">
        <x:v>688</x:v>
      </x:c>
      <x:c r="O114" t="s">
        <x:v>692</x:v>
      </x:c>
      <x:c r="P114" t="s">
        <x:v>102</x:v>
      </x:c>
      <x:c r="Q114">
        <x:v>1</x:v>
      </x:c>
      <x:c r="R114" t="s">
        <x:v>42</x:v>
      </x:c>
      <x:c r="S114" t="s">
        <x:v>44</x:v>
      </x:c>
      <x:c r="T114" t="s">
        <x:v>44</x:v>
      </x:c>
      <x:c r="U114" t="s">
        <x:v>45</x:v>
      </x:c>
      <x:c r="V114" t="s">
        <x:v>60</x:v>
      </x:c>
      <x:c r="W114">
        <x:v>186.44</x:v>
      </x:c>
      <x:c r="X114" t="s">
        <x:v>47</x:v>
      </x:c>
      <x:c r="Y114" t="s">
        <x:v>48</x:v>
      </x:c>
      <x:c r="Z114" t="s">
        <x:v>49</x:v>
      </x:c>
      <x:c r="AA114">
        <x:v>997145685</x:v>
      </x:c>
      <x:c r="AB114" t="s">
        <x:v>668</x:v>
      </x:c>
    </x:row>
    <x:row r="115">
      <x:c r="A115" s="1">
        <x:v>46244</x:v>
      </x:c>
      <x:c r="B115" t="s">
        <x:v>693</x:v>
      </x:c>
      <x:c r="C115" t="s">
        <x:v>29</x:v>
      </x:c>
      <x:c r="D115" t="s">
        <x:v>694</x:v>
      </x:c>
      <x:c r="E115" t="s">
        <x:v>31</x:v>
      </x:c>
      <x:c r="F115" t="s">
        <x:v>695</x:v>
      </x:c>
      <x:c r="G115" t="s">
        <x:v>696</x:v>
      </x:c>
      <x:c r="H115" t="s">
        <x:v>697</x:v>
      </x:c>
      <x:c r="I115" t="s">
        <x:v>664</x:v>
      </x:c>
      <x:c r="J115" t="s">
        <x:v>36</x:v>
      </x:c>
      <x:c r="K115" t="s">
        <x:v>37</x:v>
      </x:c>
      <x:c r="L115" t="s">
        <x:v>698</x:v>
      </x:c>
      <x:c r="M115" t="s">
        <x:v>699</x:v>
      </x:c>
      <x:c r="N115" t="s">
        <x:v>696</x:v>
      </x:c>
      <x:c r="O115" t="s">
        <x:v>700</x:v>
      </x:c>
      <x:c r="P115" t="s">
        <x:v>202</x:v>
      </x:c>
      <x:c r="Q115">
        <x:v>1</x:v>
      </x:c>
      <x:c r="R115" t="s">
        <x:v>42</x:v>
      </x:c>
      <x:c r="S115" t="s">
        <x:v>44</x:v>
      </x:c>
      <x:c r="T115" t="s">
        <x:v>44</x:v>
      </x:c>
      <x:c r="U115" t="s">
        <x:v>45</x:v>
      </x:c>
      <x:c r="V115" t="s">
        <x:v>60</x:v>
      </x:c>
      <x:c r="W115">
        <x:v>152.54</x:v>
      </x:c>
      <x:c r="X115" t="s">
        <x:v>47</x:v>
      </x:c>
      <x:c r="Y115" t="s">
        <x:v>48</x:v>
      </x:c>
      <x:c r="Z115" t="s">
        <x:v>49</x:v>
      </x:c>
      <x:c r="AA115">
        <x:v>997145685</x:v>
      </x:c>
      <x:c r="AB115" t="s">
        <x:v>668</x:v>
      </x:c>
    </x:row>
    <x:row r="116">
      <x:c r="A116" s="1">
        <x:v>46206</x:v>
      </x:c>
      <x:c r="B116" t="s">
        <x:v>701</x:v>
      </x:c>
      <x:c r="C116" t="s">
        <x:v>29</x:v>
      </x:c>
      <x:c r="D116" t="s">
        <x:v>702</x:v>
      </x:c>
      <x:c r="E116" t="s">
        <x:v>31</x:v>
      </x:c>
      <x:c r="F116" t="s">
        <x:v>703</x:v>
      </x:c>
      <x:c r="G116" t="s">
        <x:v>704</x:v>
      </x:c>
      <x:c r="H116" t="s">
        <x:v>705</x:v>
      </x:c>
      <x:c r="I116" t="s">
        <x:v>706</x:v>
      </x:c>
      <x:c r="J116" t="s">
        <x:v>707</x:v>
      </x:c>
      <x:c r="K116" t="s">
        <x:v>37</x:v>
      </x:c>
      <x:c r="L116" t="s">
        <x:v>708</x:v>
      </x:c>
      <x:c r="M116" t="s">
        <x:v>709</x:v>
      </x:c>
      <x:c r="N116" t="s">
        <x:v>704</x:v>
      </x:c>
      <x:c r="O116" t="s">
        <x:v>710</x:v>
      </x:c>
      <x:c r="P116" t="s">
        <x:v>160</x:v>
      </x:c>
      <x:c r="Q116">
        <x:v>1</x:v>
      </x:c>
      <x:c r="R116" t="s">
        <x:v>42</x:v>
      </x:c>
      <x:c r="S116" t="s">
        <x:v>44</x:v>
      </x:c>
      <x:c r="T116" t="s">
        <x:v>44</x:v>
      </x:c>
      <x:c r="U116" t="s">
        <x:v>45</x:v>
      </x:c>
      <x:c r="V116" t="s">
        <x:v>60</x:v>
      </x:c>
      <x:c r="W116">
        <x:v>135.59</x:v>
      </x:c>
      <x:c r="X116" t="s">
        <x:v>47</x:v>
      </x:c>
      <x:c r="Y116" t="s">
        <x:v>48</x:v>
      </x:c>
      <x:c r="Z116" t="s">
        <x:v>49</x:v>
      </x:c>
      <x:c r="AA116">
        <x:v>998418895</x:v>
      </x:c>
      <x:c r="AB116" t="s">
        <x:v>711</x:v>
      </x:c>
    </x:row>
    <x:row r="117">
      <x:c r="A117" s="1">
        <x:v>46206</x:v>
      </x:c>
      <x:c r="B117" t="s">
        <x:v>701</x:v>
      </x:c>
      <x:c r="C117" t="s">
        <x:v>29</x:v>
      </x:c>
      <x:c r="D117" t="s">
        <x:v>702</x:v>
      </x:c>
      <x:c r="E117" t="s">
        <x:v>31</x:v>
      </x:c>
      <x:c r="F117" t="s">
        <x:v>703</x:v>
      </x:c>
      <x:c r="G117" t="s">
        <x:v>704</x:v>
      </x:c>
      <x:c r="H117" t="s">
        <x:v>705</x:v>
      </x:c>
      <x:c r="I117" t="s">
        <x:v>706</x:v>
      </x:c>
      <x:c r="J117" t="s">
        <x:v>707</x:v>
      </x:c>
      <x:c r="K117" t="s">
        <x:v>37</x:v>
      </x:c>
      <x:c r="L117" t="s">
        <x:v>708</x:v>
      </x:c>
      <x:c r="M117" t="s">
        <x:v>709</x:v>
      </x:c>
      <x:c r="N117" t="s">
        <x:v>704</x:v>
      </x:c>
      <x:c r="O117" t="s">
        <x:v>710</x:v>
      </x:c>
      <x:c r="P117" t="s">
        <x:v>159</x:v>
      </x:c>
      <x:c r="Q117">
        <x:v>1</x:v>
      </x:c>
      <x:c r="R117" t="s">
        <x:v>42</x:v>
      </x:c>
      <x:c r="S117" t="s">
        <x:v>44</x:v>
      </x:c>
      <x:c r="T117" t="s">
        <x:v>44</x:v>
      </x:c>
      <x:c r="U117" t="s">
        <x:v>45</x:v>
      </x:c>
      <x:c r="V117" t="s">
        <x:v>60</x:v>
      </x:c>
      <x:c r="W117">
        <x:v>152.54</x:v>
      </x:c>
      <x:c r="X117" t="s">
        <x:v>47</x:v>
      </x:c>
      <x:c r="Y117" t="s">
        <x:v>48</x:v>
      </x:c>
      <x:c r="Z117" t="s">
        <x:v>49</x:v>
      </x:c>
      <x:c r="AA117">
        <x:v>998418895</x:v>
      </x:c>
      <x:c r="AB117" t="s">
        <x:v>711</x:v>
      </x:c>
    </x:row>
    <x:row r="118">
      <x:c r="A118" s="1">
        <x:v>46206</x:v>
      </x:c>
      <x:c r="B118" t="s">
        <x:v>701</x:v>
      </x:c>
      <x:c r="C118" t="s">
        <x:v>29</x:v>
      </x:c>
      <x:c r="D118" t="s">
        <x:v>702</x:v>
      </x:c>
      <x:c r="E118" t="s">
        <x:v>31</x:v>
      </x:c>
      <x:c r="F118" t="s">
        <x:v>703</x:v>
      </x:c>
      <x:c r="G118" t="s">
        <x:v>704</x:v>
      </x:c>
      <x:c r="H118" t="s">
        <x:v>705</x:v>
      </x:c>
      <x:c r="I118" t="s">
        <x:v>706</x:v>
      </x:c>
      <x:c r="J118" t="s">
        <x:v>707</x:v>
      </x:c>
      <x:c r="K118" t="s">
        <x:v>37</x:v>
      </x:c>
      <x:c r="L118" t="s">
        <x:v>708</x:v>
      </x:c>
      <x:c r="M118" t="s">
        <x:v>709</x:v>
      </x:c>
      <x:c r="N118" t="s">
        <x:v>704</x:v>
      </x:c>
      <x:c r="O118" t="s">
        <x:v>710</x:v>
      </x:c>
      <x:c r="P118" t="s">
        <x:v>102</x:v>
      </x:c>
      <x:c r="Q118">
        <x:v>1</x:v>
      </x:c>
      <x:c r="R118" t="s">
        <x:v>42</x:v>
      </x:c>
      <x:c r="S118" t="s">
        <x:v>44</x:v>
      </x:c>
      <x:c r="T118" t="s">
        <x:v>44</x:v>
      </x:c>
      <x:c r="U118" t="s">
        <x:v>45</x:v>
      </x:c>
      <x:c r="V118" t="s">
        <x:v>60</x:v>
      </x:c>
      <x:c r="W118">
        <x:v>186.44</x:v>
      </x:c>
      <x:c r="X118" t="s">
        <x:v>47</x:v>
      </x:c>
      <x:c r="Y118" t="s">
        <x:v>48</x:v>
      </x:c>
      <x:c r="Z118" t="s">
        <x:v>49</x:v>
      </x:c>
      <x:c r="AA118">
        <x:v>998418895</x:v>
      </x:c>
      <x:c r="AB118" t="s">
        <x:v>711</x:v>
      </x:c>
    </x:row>
    <x:row r="119">
      <x:c r="A119" s="1">
        <x:v>46179</x:v>
      </x:c>
      <x:c r="B119" t="s">
        <x:v>712</x:v>
      </x:c>
      <x:c r="C119" t="s">
        <x:v>29</x:v>
      </x:c>
      <x:c r="D119" t="s">
        <x:v>713</x:v>
      </x:c>
      <x:c r="E119" t="s">
        <x:v>31</x:v>
      </x:c>
      <x:c r="F119" t="s">
        <x:v>714</x:v>
      </x:c>
      <x:c r="G119" t="s">
        <x:v>715</x:v>
      </x:c>
      <x:c r="H119" t="s">
        <x:v>716</x:v>
      </x:c>
      <x:c r="I119" t="s">
        <x:v>717</x:v>
      </x:c>
      <x:c r="J119" t="s">
        <x:v>718</x:v>
      </x:c>
      <x:c r="K119" t="s">
        <x:v>37</x:v>
      </x:c>
      <x:c r="L119" t="s">
        <x:v>719</x:v>
      </x:c>
      <x:c r="M119" t="s">
        <x:v>720</x:v>
      </x:c>
      <x:c r="N119" t="s">
        <x:v>715</x:v>
      </x:c>
      <x:c r="O119" t="s">
        <x:v>721</x:v>
      </x:c>
      <x:c r="P119" t="s">
        <x:v>102</x:v>
      </x:c>
      <x:c r="Q119">
        <x:v>1</x:v>
      </x:c>
      <x:c r="R119" t="s">
        <x:v>70</x:v>
      </x:c>
      <x:c r="S119" t="s">
        <x:v>43</x:v>
      </x:c>
      <x:c r="T119" t="s">
        <x:v>44</x:v>
      </x:c>
      <x:c r="U119" t="s">
        <x:v>71</x:v>
      </x:c>
      <x:c r="V119" t="s">
        <x:v>185</x:v>
      </x:c>
      <x:c r="W119">
        <x:v>186.44</x:v>
      </x:c>
      <x:c r="X119" t="s">
        <x:v>47</x:v>
      </x:c>
      <x:c r="Y119" t="s">
        <x:v>48</x:v>
      </x:c>
      <x:c r="Z119" t="s">
        <x:v>73</x:v>
      </x:c>
      <x:c r="AA119">
        <x:v>955356636</x:v>
      </x:c>
      <x:c r="AB119" t="s">
        <x:v>722</x:v>
      </x:c>
    </x:row>
    <x:row r="120">
      <x:c r="A120" s="1">
        <x:v>46183</x:v>
      </x:c>
      <x:c r="B120" t="s">
        <x:v>723</x:v>
      </x:c>
      <x:c r="C120" t="s">
        <x:v>29</x:v>
      </x:c>
      <x:c r="D120" t="s">
        <x:v>724</x:v>
      </x:c>
      <x:c r="E120" t="s">
        <x:v>31</x:v>
      </x:c>
      <x:c r="F120" t="s">
        <x:v>725</x:v>
      </x:c>
      <x:c r="G120" t="s">
        <x:v>180</x:v>
      </x:c>
      <x:c r="H120" t="s">
        <x:v>181</x:v>
      </x:c>
      <x:c r="I120" t="s">
        <x:v>717</x:v>
      </x:c>
      <x:c r="J120" t="s">
        <x:v>718</x:v>
      </x:c>
      <x:c r="K120" t="s">
        <x:v>37</x:v>
      </x:c>
      <x:c r="L120" t="s">
        <x:v>182</x:v>
      </x:c>
      <x:c r="M120" t="s">
        <x:v>183</x:v>
      </x:c>
      <x:c r="N120" t="s">
        <x:v>180</x:v>
      </x:c>
      <x:c r="O120" t="s">
        <x:v>726</x:v>
      </x:c>
      <x:c r="P120" t="s">
        <x:v>91</x:v>
      </x:c>
      <x:c r="Q120">
        <x:v>1</x:v>
      </x:c>
      <x:c r="R120" t="s">
        <x:v>70</x:v>
      </x:c>
      <x:c r="S120" t="s">
        <x:v>43</x:v>
      </x:c>
      <x:c r="T120" t="s">
        <x:v>44</x:v>
      </x:c>
      <x:c r="U120" t="s">
        <x:v>71</x:v>
      </x:c>
      <x:c r="V120" t="s">
        <x:v>72</x:v>
      </x:c>
      <x:c r="W120">
        <x:v>135.59</x:v>
      </x:c>
      <x:c r="X120" t="s">
        <x:v>47</x:v>
      </x:c>
      <x:c r="Y120" t="s">
        <x:v>48</x:v>
      </x:c>
      <x:c r="Z120" t="s">
        <x:v>73</x:v>
      </x:c>
      <x:c r="AA120">
        <x:v>955356636</x:v>
      </x:c>
      <x:c r="AB120" t="s">
        <x:v>722</x:v>
      </x:c>
    </x:row>
    <x:row r="121">
      <x:c r="A121" s="1">
        <x:v>46195</x:v>
      </x:c>
      <x:c r="B121" t="s">
        <x:v>727</x:v>
      </x:c>
      <x:c r="C121" t="s">
        <x:v>29</x:v>
      </x:c>
      <x:c r="D121" t="s">
        <x:v>728</x:v>
      </x:c>
      <x:c r="E121" t="s">
        <x:v>31</x:v>
      </x:c>
      <x:c r="F121" t="s">
        <x:v>729</x:v>
      </x:c>
      <x:c r="G121" t="s">
        <x:v>730</x:v>
      </x:c>
      <x:c r="H121" t="s">
        <x:v>731</x:v>
      </x:c>
      <x:c r="I121" t="s">
        <x:v>717</x:v>
      </x:c>
      <x:c r="J121" t="s">
        <x:v>718</x:v>
      </x:c>
      <x:c r="K121" t="s">
        <x:v>37</x:v>
      </x:c>
      <x:c r="L121" t="s">
        <x:v>732</x:v>
      </x:c>
      <x:c r="M121" t="s">
        <x:v>733</x:v>
      </x:c>
      <x:c r="N121" t="s">
        <x:v>730</x:v>
      </x:c>
      <x:c r="O121" t="s">
        <x:v>734</x:v>
      </x:c>
      <x:c r="P121" t="s">
        <x:v>102</x:v>
      </x:c>
      <x:c r="Q121">
        <x:v>1</x:v>
      </x:c>
      <x:c r="R121" t="s">
        <x:v>42</x:v>
      </x:c>
      <x:c r="S121" t="s">
        <x:v>44</x:v>
      </x:c>
      <x:c r="T121" t="s">
        <x:v>44</x:v>
      </x:c>
      <x:c r="U121" t="s">
        <x:v>45</x:v>
      </x:c>
      <x:c r="V121" t="s">
        <x:v>60</x:v>
      </x:c>
      <x:c r="W121">
        <x:v>186.44</x:v>
      </x:c>
      <x:c r="X121" t="s">
        <x:v>47</x:v>
      </x:c>
      <x:c r="Y121" t="s">
        <x:v>48</x:v>
      </x:c>
      <x:c r="Z121" t="s">
        <x:v>49</x:v>
      </x:c>
      <x:c r="AA121">
        <x:v>955356636</x:v>
      </x:c>
      <x:c r="AB121" t="s">
        <x:v>722</x:v>
      </x:c>
    </x:row>
    <x:row r="122">
      <x:c r="A122" s="1">
        <x:v>46197</x:v>
      </x:c>
      <x:c r="B122" t="s">
        <x:v>735</x:v>
      </x:c>
      <x:c r="C122" t="s">
        <x:v>29</x:v>
      </x:c>
      <x:c r="D122" t="s">
        <x:v>736</x:v>
      </x:c>
      <x:c r="E122" t="s">
        <x:v>31</x:v>
      </x:c>
      <x:c r="F122" t="s">
        <x:v>737</x:v>
      </x:c>
      <x:c r="G122" t="s">
        <x:v>738</x:v>
      </x:c>
      <x:c r="H122" t="s">
        <x:v>739</x:v>
      </x:c>
      <x:c r="I122" t="s">
        <x:v>717</x:v>
      </x:c>
      <x:c r="J122" t="s">
        <x:v>718</x:v>
      </x:c>
      <x:c r="K122" t="s">
        <x:v>37</x:v>
      </x:c>
      <x:c r="L122" t="s">
        <x:v>740</x:v>
      </x:c>
      <x:c r="M122" t="s">
        <x:v>741</x:v>
      </x:c>
      <x:c r="N122" t="s">
        <x:v>738</x:v>
      </x:c>
      <x:c r="O122" t="s">
        <x:v>742</x:v>
      </x:c>
      <x:c r="P122" t="s">
        <x:v>102</x:v>
      </x:c>
      <x:c r="Q122">
        <x:v>1</x:v>
      </x:c>
      <x:c r="R122" t="s">
        <x:v>70</x:v>
      </x:c>
      <x:c r="S122" t="s">
        <x:v>43</x:v>
      </x:c>
      <x:c r="T122" t="s">
        <x:v>44</x:v>
      </x:c>
      <x:c r="U122" t="s">
        <x:v>71</x:v>
      </x:c>
      <x:c r="V122" t="s">
        <x:v>185</x:v>
      </x:c>
      <x:c r="W122">
        <x:v>186.44</x:v>
      </x:c>
      <x:c r="X122" t="s">
        <x:v>47</x:v>
      </x:c>
      <x:c r="Y122" t="s">
        <x:v>48</x:v>
      </x:c>
      <x:c r="Z122" t="s">
        <x:v>73</x:v>
      </x:c>
      <x:c r="AA122">
        <x:v>955356636</x:v>
      </x:c>
      <x:c r="AB122" t="s">
        <x:v>722</x:v>
      </x:c>
    </x:row>
    <x:row r="123">
      <x:c r="A123" s="1">
        <x:v>46197</x:v>
      </x:c>
      <x:c r="B123" t="s">
        <x:v>735</x:v>
      </x:c>
      <x:c r="C123" t="s">
        <x:v>29</x:v>
      </x:c>
      <x:c r="D123" t="s">
        <x:v>736</x:v>
      </x:c>
      <x:c r="E123" t="s">
        <x:v>31</x:v>
      </x:c>
      <x:c r="F123" t="s">
        <x:v>737</x:v>
      </x:c>
      <x:c r="G123" t="s">
        <x:v>738</x:v>
      </x:c>
      <x:c r="H123" t="s">
        <x:v>739</x:v>
      </x:c>
      <x:c r="I123" t="s">
        <x:v>717</x:v>
      </x:c>
      <x:c r="J123" t="s">
        <x:v>718</x:v>
      </x:c>
      <x:c r="K123" t="s">
        <x:v>37</x:v>
      </x:c>
      <x:c r="L123" t="s">
        <x:v>740</x:v>
      </x:c>
      <x:c r="M123" t="s">
        <x:v>741</x:v>
      </x:c>
      <x:c r="N123" t="s">
        <x:v>738</x:v>
      </x:c>
      <x:c r="O123" t="s">
        <x:v>742</x:v>
      </x:c>
      <x:c r="P123" t="s">
        <x:v>160</x:v>
      </x:c>
      <x:c r="Q123">
        <x:v>1</x:v>
      </x:c>
      <x:c r="R123" t="s">
        <x:v>70</x:v>
      </x:c>
      <x:c r="S123" t="s">
        <x:v>43</x:v>
      </x:c>
      <x:c r="T123" t="s">
        <x:v>44</x:v>
      </x:c>
      <x:c r="U123" t="s">
        <x:v>71</x:v>
      </x:c>
      <x:c r="V123" t="s">
        <x:v>185</x:v>
      </x:c>
      <x:c r="W123">
        <x:v>135.59</x:v>
      </x:c>
      <x:c r="X123" t="s">
        <x:v>47</x:v>
      </x:c>
      <x:c r="Y123" t="s">
        <x:v>48</x:v>
      </x:c>
      <x:c r="Z123" t="s">
        <x:v>73</x:v>
      </x:c>
      <x:c r="AA123">
        <x:v>955356636</x:v>
      </x:c>
      <x:c r="AB123" t="s">
        <x:v>722</x:v>
      </x:c>
    </x:row>
    <x:row r="124">
      <x:c r="A124" s="1">
        <x:v>46206</x:v>
      </x:c>
      <x:c r="B124" t="s">
        <x:v>743</x:v>
      </x:c>
      <x:c r="C124" t="s">
        <x:v>29</x:v>
      </x:c>
      <x:c r="D124" t="s">
        <x:v>744</x:v>
      </x:c>
      <x:c r="E124" t="s">
        <x:v>31</x:v>
      </x:c>
      <x:c r="F124" t="s">
        <x:v>745</x:v>
      </x:c>
      <x:c r="G124" t="s">
        <x:v>746</x:v>
      </x:c>
      <x:c r="H124" t="s">
        <x:v>747</x:v>
      </x:c>
      <x:c r="I124" t="s">
        <x:v>717</x:v>
      </x:c>
      <x:c r="J124" t="s">
        <x:v>718</x:v>
      </x:c>
      <x:c r="K124" t="s">
        <x:v>37</x:v>
      </x:c>
      <x:c r="L124" t="s">
        <x:v>748</x:v>
      </x:c>
      <x:c r="M124" t="s">
        <x:v>749</x:v>
      </x:c>
      <x:c r="N124" t="s">
        <x:v>746</x:v>
      </x:c>
      <x:c r="O124" t="s">
        <x:v>750</x:v>
      </x:c>
      <x:c r="P124" t="s">
        <x:v>41</x:v>
      </x:c>
      <x:c r="Q124">
        <x:v>1</x:v>
      </x:c>
      <x:c r="R124" t="s">
        <x:v>70</x:v>
      </x:c>
      <x:c r="S124" t="s">
        <x:v>43</x:v>
      </x:c>
      <x:c r="T124" t="s">
        <x:v>44</x:v>
      </x:c>
      <x:c r="U124" t="s">
        <x:v>71</x:v>
      </x:c>
      <x:c r="V124" t="s">
        <x:v>72</x:v>
      </x:c>
      <x:c r="W124">
        <x:v>186.44</x:v>
      </x:c>
      <x:c r="X124" t="s">
        <x:v>47</x:v>
      </x:c>
      <x:c r="Y124" t="s">
        <x:v>48</x:v>
      </x:c>
      <x:c r="Z124" t="s">
        <x:v>73</x:v>
      </x:c>
      <x:c r="AA124">
        <x:v>955356636</x:v>
      </x:c>
      <x:c r="AB124" t="s">
        <x:v>722</x:v>
      </x:c>
    </x:row>
    <x:row r="125">
      <x:c r="A125" s="1">
        <x:v>46206</x:v>
      </x:c>
      <x:c r="B125" t="s">
        <x:v>751</x:v>
      </x:c>
      <x:c r="C125" t="s">
        <x:v>29</x:v>
      </x:c>
      <x:c r="D125" t="s">
        <x:v>752</x:v>
      </x:c>
      <x:c r="E125" t="s">
        <x:v>31</x:v>
      </x:c>
      <x:c r="F125" t="s">
        <x:v>753</x:v>
      </x:c>
      <x:c r="G125" t="s">
        <x:v>754</x:v>
      </x:c>
      <x:c r="H125" t="s">
        <x:v>755</x:v>
      </x:c>
      <x:c r="I125" t="s">
        <x:v>717</x:v>
      </x:c>
      <x:c r="J125" t="s">
        <x:v>718</x:v>
      </x:c>
      <x:c r="K125" t="s">
        <x:v>37</x:v>
      </x:c>
      <x:c r="L125" t="s">
        <x:v>756</x:v>
      </x:c>
      <x:c r="M125" t="s">
        <x:v>757</x:v>
      </x:c>
      <x:c r="N125" t="s">
        <x:v>754</x:v>
      </x:c>
      <x:c r="O125" t="s">
        <x:v>758</x:v>
      </x:c>
      <x:c r="P125" t="s">
        <x:v>41</x:v>
      </x:c>
      <x:c r="Q125">
        <x:v>1</x:v>
      </x:c>
      <x:c r="R125" t="s">
        <x:v>70</x:v>
      </x:c>
      <x:c r="S125" t="s">
        <x:v>43</x:v>
      </x:c>
      <x:c r="T125" t="s">
        <x:v>44</x:v>
      </x:c>
      <x:c r="U125" t="s">
        <x:v>71</x:v>
      </x:c>
      <x:c r="V125" t="s">
        <x:v>72</x:v>
      </x:c>
      <x:c r="W125">
        <x:v>186.44</x:v>
      </x:c>
      <x:c r="X125" t="s">
        <x:v>47</x:v>
      </x:c>
      <x:c r="Y125" t="s">
        <x:v>48</x:v>
      </x:c>
      <x:c r="Z125" t="s">
        <x:v>73</x:v>
      </x:c>
      <x:c r="AA125">
        <x:v>955356636</x:v>
      </x:c>
      <x:c r="AB125" t="s">
        <x:v>722</x:v>
      </x:c>
    </x:row>
    <x:row r="126">
      <x:c r="A126" s="1">
        <x:v>46206</x:v>
      </x:c>
      <x:c r="B126" t="s">
        <x:v>751</x:v>
      </x:c>
      <x:c r="C126" t="s">
        <x:v>29</x:v>
      </x:c>
      <x:c r="D126" t="s">
        <x:v>752</x:v>
      </x:c>
      <x:c r="E126" t="s">
        <x:v>31</x:v>
      </x:c>
      <x:c r="F126" t="s">
        <x:v>753</x:v>
      </x:c>
      <x:c r="G126" t="s">
        <x:v>754</x:v>
      </x:c>
      <x:c r="H126" t="s">
        <x:v>755</x:v>
      </x:c>
      <x:c r="I126" t="s">
        <x:v>717</x:v>
      </x:c>
      <x:c r="J126" t="s">
        <x:v>718</x:v>
      </x:c>
      <x:c r="K126" t="s">
        <x:v>37</x:v>
      </x:c>
      <x:c r="L126" t="s">
        <x:v>756</x:v>
      </x:c>
      <x:c r="M126" t="s">
        <x:v>757</x:v>
      </x:c>
      <x:c r="N126" t="s">
        <x:v>754</x:v>
      </x:c>
      <x:c r="O126" t="s">
        <x:v>758</x:v>
      </x:c>
      <x:c r="P126" t="s">
        <x:v>102</x:v>
      </x:c>
      <x:c r="Q126">
        <x:v>1</x:v>
      </x:c>
      <x:c r="R126" t="s">
        <x:v>70</x:v>
      </x:c>
      <x:c r="S126" t="s">
        <x:v>43</x:v>
      </x:c>
      <x:c r="T126" t="s">
        <x:v>44</x:v>
      </x:c>
      <x:c r="U126" t="s">
        <x:v>71</x:v>
      </x:c>
      <x:c r="V126" t="s">
        <x:v>72</x:v>
      </x:c>
      <x:c r="W126">
        <x:v>186.44</x:v>
      </x:c>
      <x:c r="X126" t="s">
        <x:v>47</x:v>
      </x:c>
      <x:c r="Y126" t="s">
        <x:v>48</x:v>
      </x:c>
      <x:c r="Z126" t="s">
        <x:v>73</x:v>
      </x:c>
      <x:c r="AA126">
        <x:v>955356636</x:v>
      </x:c>
      <x:c r="AB126" t="s">
        <x:v>722</x:v>
      </x:c>
    </x:row>
    <x:row r="127">
      <x:c r="A127" s="1">
        <x:v>46182</x:v>
      </x:c>
      <x:c r="B127" t="s">
        <x:v>759</x:v>
      </x:c>
      <x:c r="C127" t="s">
        <x:v>269</x:v>
      </x:c>
      <x:c r="D127" t="s">
        <x:v>760</x:v>
      </x:c>
      <x:c r="E127" t="s">
        <x:v>31</x:v>
      </x:c>
      <x:c r="F127" t="s">
        <x:v>761</x:v>
      </x:c>
      <x:c r="G127" t="s">
        <x:v>762</x:v>
      </x:c>
      <x:c r="H127" t="s">
        <x:v>763</x:v>
      </x:c>
      <x:c r="I127" t="s">
        <x:v>764</x:v>
      </x:c>
      <x:c r="J127" t="s">
        <x:v>210</x:v>
      </x:c>
      <x:c r="K127" t="s">
        <x:v>37</x:v>
      </x:c>
      <x:c r="L127" t="s">
        <x:v>765</x:v>
      </x:c>
      <x:c r="M127" t="s">
        <x:v>766</x:v>
      </x:c>
      <x:c r="N127" t="s">
        <x:v>767</x:v>
      </x:c>
      <x:c r="O127" t="s">
        <x:v>768</x:v>
      </x:c>
      <x:c r="P127" t="s">
        <x:v>769</x:v>
      </x:c>
      <x:c r="Q127">
        <x:v>1</x:v>
      </x:c>
      <x:c r="R127" t="s">
        <x:v>42</x:v>
      </x:c>
      <x:c r="S127" t="s">
        <x:v>43</x:v>
      </x:c>
      <x:c r="T127" t="s">
        <x:v>44</x:v>
      </x:c>
      <x:c r="U127" t="s">
        <x:v>45</x:v>
      </x:c>
      <x:c r="V127" t="s">
        <x:v>60</x:v>
      </x:c>
      <x:c r="W127">
        <x:v>169.49</x:v>
      </x:c>
      <x:c r="X127" t="s">
        <x:v>61</x:v>
      </x:c>
      <x:c r="Y127" t="s">
        <x:v>48</x:v>
      </x:c>
      <x:c r="Z127" t="s">
        <x:v>49</x:v>
      </x:c>
      <x:c r="AA127">
        <x:v>969791876</x:v>
      </x:c>
      <x:c r="AB127" t="s">
        <x:v>770</x:v>
      </x:c>
    </x:row>
    <x:row r="128">
      <x:c r="A128" s="1">
        <x:v>46182</x:v>
      </x:c>
      <x:c r="B128" t="s">
        <x:v>771</x:v>
      </x:c>
      <x:c r="C128" t="s">
        <x:v>29</x:v>
      </x:c>
      <x:c r="D128" t="s">
        <x:v>772</x:v>
      </x:c>
      <x:c r="E128" t="s">
        <x:v>31</x:v>
      </x:c>
      <x:c r="F128" t="s">
        <x:v>773</x:v>
      </x:c>
      <x:c r="G128" t="s">
        <x:v>774</x:v>
      </x:c>
      <x:c r="H128" t="s">
        <x:v>775</x:v>
      </x:c>
      <x:c r="I128" t="s">
        <x:v>776</x:v>
      </x:c>
      <x:c r="J128" t="s">
        <x:v>777</x:v>
      </x:c>
      <x:c r="K128" t="s">
        <x:v>37</x:v>
      </x:c>
      <x:c r="L128" t="s">
        <x:v>778</x:v>
      </x:c>
      <x:c r="M128" t="s">
        <x:v>779</x:v>
      </x:c>
      <x:c r="N128" t="s">
        <x:v>774</x:v>
      </x:c>
      <x:c r="O128" t="s">
        <x:v>780</x:v>
      </x:c>
      <x:c r="P128" t="s">
        <x:v>643</x:v>
      </x:c>
      <x:c r="Q128">
        <x:v>1</x:v>
      </x:c>
      <x:c r="R128" t="s">
        <x:v>42</x:v>
      </x:c>
      <x:c r="S128" t="s">
        <x:v>43</x:v>
      </x:c>
      <x:c r="T128" t="s">
        <x:v>44</x:v>
      </x:c>
      <x:c r="U128" t="s">
        <x:v>45</x:v>
      </x:c>
      <x:c r="V128" t="s">
        <x:v>46</x:v>
      </x:c>
      <x:c r="W128">
        <x:v>84.75</x:v>
      </x:c>
      <x:c r="X128" t="s">
        <x:v>47</x:v>
      </x:c>
      <x:c r="Y128" t="s">
        <x:v>48</x:v>
      </x:c>
      <x:c r="Z128" t="s">
        <x:v>49</x:v>
      </x:c>
    </x:row>
    <x:row r="129">
      <x:c r="A129" s="1">
        <x:v>46182</x:v>
      </x:c>
      <x:c r="B129" t="s">
        <x:v>781</x:v>
      </x:c>
      <x:c r="C129" t="s">
        <x:v>29</x:v>
      </x:c>
      <x:c r="D129" t="s">
        <x:v>782</x:v>
      </x:c>
      <x:c r="E129" t="s">
        <x:v>31</x:v>
      </x:c>
      <x:c r="F129" t="s">
        <x:v>783</x:v>
      </x:c>
      <x:c r="G129" t="s">
        <x:v>784</x:v>
      </x:c>
      <x:c r="H129" t="s">
        <x:v>785</x:v>
      </x:c>
      <x:c r="I129" t="s">
        <x:v>776</x:v>
      </x:c>
      <x:c r="J129" t="s">
        <x:v>777</x:v>
      </x:c>
      <x:c r="K129" t="s">
        <x:v>37</x:v>
      </x:c>
      <x:c r="L129" t="s">
        <x:v>786</x:v>
      </x:c>
      <x:c r="M129" t="s">
        <x:v>787</x:v>
      </x:c>
      <x:c r="N129" t="s">
        <x:v>784</x:v>
      </x:c>
      <x:c r="O129" t="s">
        <x:v>788</x:v>
      </x:c>
      <x:c r="P129" t="s">
        <x:v>643</x:v>
      </x:c>
      <x:c r="Q129">
        <x:v>1</x:v>
      </x:c>
      <x:c r="R129" t="s">
        <x:v>42</x:v>
      </x:c>
      <x:c r="S129" t="s">
        <x:v>43</x:v>
      </x:c>
      <x:c r="T129" t="s">
        <x:v>44</x:v>
      </x:c>
      <x:c r="U129" t="s">
        <x:v>45</x:v>
      </x:c>
      <x:c r="V129" t="s">
        <x:v>60</x:v>
      </x:c>
      <x:c r="W129">
        <x:v>84.75</x:v>
      </x:c>
      <x:c r="X129" t="s">
        <x:v>47</x:v>
      </x:c>
      <x:c r="Y129" t="s">
        <x:v>48</x:v>
      </x:c>
      <x:c r="Z129" t="s">
        <x:v>49</x:v>
      </x:c>
    </x:row>
    <x:row r="130">
      <x:c r="A130" s="1">
        <x:v>46182</x:v>
      </x:c>
      <x:c r="B130" t="s">
        <x:v>789</x:v>
      </x:c>
      <x:c r="C130" t="s">
        <x:v>29</x:v>
      </x:c>
      <x:c r="D130" t="s">
        <x:v>790</x:v>
      </x:c>
      <x:c r="E130" t="s">
        <x:v>31</x:v>
      </x:c>
      <x:c r="F130" t="s">
        <x:v>791</x:v>
      </x:c>
      <x:c r="G130" t="s">
        <x:v>792</x:v>
      </x:c>
      <x:c r="H130" t="s">
        <x:v>793</x:v>
      </x:c>
      <x:c r="I130" t="s">
        <x:v>776</x:v>
      </x:c>
      <x:c r="J130" t="s">
        <x:v>777</x:v>
      </x:c>
      <x:c r="K130" t="s">
        <x:v>37</x:v>
      </x:c>
      <x:c r="L130" t="s">
        <x:v>794</x:v>
      </x:c>
      <x:c r="M130" t="s">
        <x:v>795</x:v>
      </x:c>
      <x:c r="N130" t="s">
        <x:v>792</x:v>
      </x:c>
      <x:c r="O130" t="s">
        <x:v>796</x:v>
      </x:c>
      <x:c r="P130" t="s">
        <x:v>643</x:v>
      </x:c>
      <x:c r="Q130">
        <x:v>1</x:v>
      </x:c>
      <x:c r="R130" t="s">
        <x:v>42</x:v>
      </x:c>
      <x:c r="S130" t="s">
        <x:v>43</x:v>
      </x:c>
      <x:c r="T130" t="s">
        <x:v>44</x:v>
      </x:c>
      <x:c r="U130" t="s">
        <x:v>45</x:v>
      </x:c>
      <x:c r="V130" t="s">
        <x:v>46</x:v>
      </x:c>
      <x:c r="W130">
        <x:v>84.75</x:v>
      </x:c>
      <x:c r="X130" t="s">
        <x:v>47</x:v>
      </x:c>
      <x:c r="Y130" t="s">
        <x:v>48</x:v>
      </x:c>
      <x:c r="Z130" t="s">
        <x:v>49</x:v>
      </x:c>
    </x:row>
    <x:row r="131">
      <x:c r="A131" s="1">
        <x:v>46182</x:v>
      </x:c>
      <x:c r="B131" t="s">
        <x:v>797</x:v>
      </x:c>
      <x:c r="C131" t="s">
        <x:v>269</x:v>
      </x:c>
      <x:c r="D131" t="s">
        <x:v>798</x:v>
      </x:c>
      <x:c r="E131" t="s">
        <x:v>31</x:v>
      </x:c>
      <x:c r="F131" t="s">
        <x:v>799</x:v>
      </x:c>
      <x:c r="G131" t="s">
        <x:v>774</x:v>
      </x:c>
      <x:c r="H131" t="s">
        <x:v>775</x:v>
      </x:c>
      <x:c r="I131" t="s">
        <x:v>776</x:v>
      </x:c>
      <x:c r="J131" t="s">
        <x:v>777</x:v>
      </x:c>
      <x:c r="K131" t="s">
        <x:v>37</x:v>
      </x:c>
      <x:c r="L131" t="s">
        <x:v>778</x:v>
      </x:c>
      <x:c r="M131" t="s">
        <x:v>779</x:v>
      </x:c>
      <x:c r="N131" t="s">
        <x:v>800</x:v>
      </x:c>
      <x:c r="O131" t="s">
        <x:v>801</x:v>
      </x:c>
      <x:c r="P131" t="s">
        <x:v>289</x:v>
      </x:c>
      <x:c r="Q131">
        <x:v>1</x:v>
      </x:c>
      <x:c r="R131" t="s">
        <x:v>42</x:v>
      </x:c>
      <x:c r="S131" t="s">
        <x:v>43</x:v>
      </x:c>
      <x:c r="T131" t="s">
        <x:v>44</x:v>
      </x:c>
      <x:c r="U131" t="s">
        <x:v>45</x:v>
      </x:c>
      <x:c r="V131" t="s">
        <x:v>46</x:v>
      </x:c>
      <x:c r="W131">
        <x:v>0</x:v>
      </x:c>
      <x:c r="X131" t="s">
        <x:v>290</x:v>
      </x:c>
      <x:c r="Y131" t="s">
        <x:v>48</x:v>
      </x:c>
      <x:c r="Z131" t="s">
        <x:v>49</x:v>
      </x:c>
    </x:row>
    <x:row r="132">
      <x:c r="A132" s="1">
        <x:v>46182</x:v>
      </x:c>
      <x:c r="B132" t="s">
        <x:v>797</x:v>
      </x:c>
      <x:c r="C132" t="s">
        <x:v>269</x:v>
      </x:c>
      <x:c r="D132" t="s">
        <x:v>798</x:v>
      </x:c>
      <x:c r="E132" t="s">
        <x:v>31</x:v>
      </x:c>
      <x:c r="F132" t="s">
        <x:v>799</x:v>
      </x:c>
      <x:c r="G132" t="s">
        <x:v>774</x:v>
      </x:c>
      <x:c r="H132" t="s">
        <x:v>775</x:v>
      </x:c>
      <x:c r="I132" t="s">
        <x:v>776</x:v>
      </x:c>
      <x:c r="J132" t="s">
        <x:v>777</x:v>
      </x:c>
      <x:c r="K132" t="s">
        <x:v>37</x:v>
      </x:c>
      <x:c r="L132" t="s">
        <x:v>778</x:v>
      </x:c>
      <x:c r="M132" t="s">
        <x:v>779</x:v>
      </x:c>
      <x:c r="N132" t="s">
        <x:v>800</x:v>
      </x:c>
      <x:c r="O132" t="s">
        <x:v>801</x:v>
      </x:c>
      <x:c r="P132" t="s">
        <x:v>291</x:v>
      </x:c>
      <x:c r="Q132">
        <x:v>1</x:v>
      </x:c>
      <x:c r="R132" t="s">
        <x:v>42</x:v>
      </x:c>
      <x:c r="S132" t="s">
        <x:v>43</x:v>
      </x:c>
      <x:c r="T132" t="s">
        <x:v>44</x:v>
      </x:c>
      <x:c r="U132" t="s">
        <x:v>45</x:v>
      </x:c>
      <x:c r="V132" t="s">
        <x:v>46</x:v>
      </x:c>
      <x:c r="W132">
        <x:v>1525.42</x:v>
      </x:c>
      <x:c r="X132" t="s">
        <x:v>290</x:v>
      </x:c>
      <x:c r="Y132" t="s">
        <x:v>48</x:v>
      </x:c>
      <x:c r="Z132" t="s">
        <x:v>49</x:v>
      </x:c>
    </x:row>
    <x:row r="133">
      <x:c r="A133" s="1">
        <x:v>46182</x:v>
      </x:c>
      <x:c r="B133" t="s">
        <x:v>802</x:v>
      </x:c>
      <x:c r="C133" t="s">
        <x:v>269</x:v>
      </x:c>
      <x:c r="D133" t="s">
        <x:v>803</x:v>
      </x:c>
      <x:c r="E133" t="s">
        <x:v>31</x:v>
      </x:c>
      <x:c r="F133" t="s">
        <x:v>804</x:v>
      </x:c>
      <x:c r="G133" t="s">
        <x:v>792</x:v>
      </x:c>
      <x:c r="H133" t="s">
        <x:v>793</x:v>
      </x:c>
      <x:c r="I133" t="s">
        <x:v>776</x:v>
      </x:c>
      <x:c r="J133" t="s">
        <x:v>777</x:v>
      </x:c>
      <x:c r="K133" t="s">
        <x:v>37</x:v>
      </x:c>
      <x:c r="L133" t="s">
        <x:v>794</x:v>
      </x:c>
      <x:c r="M133" t="s">
        <x:v>795</x:v>
      </x:c>
      <x:c r="N133" t="s">
        <x:v>800</x:v>
      </x:c>
      <x:c r="O133" t="s">
        <x:v>805</x:v>
      </x:c>
      <x:c r="P133" t="s">
        <x:v>289</x:v>
      </x:c>
      <x:c r="Q133">
        <x:v>1</x:v>
      </x:c>
      <x:c r="R133" t="s">
        <x:v>42</x:v>
      </x:c>
      <x:c r="S133" t="s">
        <x:v>43</x:v>
      </x:c>
      <x:c r="T133" t="s">
        <x:v>44</x:v>
      </x:c>
      <x:c r="U133" t="s">
        <x:v>45</x:v>
      </x:c>
      <x:c r="V133" t="s">
        <x:v>46</x:v>
      </x:c>
      <x:c r="W133">
        <x:v>0</x:v>
      </x:c>
      <x:c r="X133" t="s">
        <x:v>290</x:v>
      </x:c>
      <x:c r="Y133" t="s">
        <x:v>48</x:v>
      </x:c>
      <x:c r="Z133" t="s">
        <x:v>49</x:v>
      </x:c>
    </x:row>
    <x:row r="134">
      <x:c r="A134" s="1">
        <x:v>46182</x:v>
      </x:c>
      <x:c r="B134" t="s">
        <x:v>802</x:v>
      </x:c>
      <x:c r="C134" t="s">
        <x:v>269</x:v>
      </x:c>
      <x:c r="D134" t="s">
        <x:v>803</x:v>
      </x:c>
      <x:c r="E134" t="s">
        <x:v>31</x:v>
      </x:c>
      <x:c r="F134" t="s">
        <x:v>804</x:v>
      </x:c>
      <x:c r="G134" t="s">
        <x:v>792</x:v>
      </x:c>
      <x:c r="H134" t="s">
        <x:v>793</x:v>
      </x:c>
      <x:c r="I134" t="s">
        <x:v>776</x:v>
      </x:c>
      <x:c r="J134" t="s">
        <x:v>777</x:v>
      </x:c>
      <x:c r="K134" t="s">
        <x:v>37</x:v>
      </x:c>
      <x:c r="L134" t="s">
        <x:v>794</x:v>
      </x:c>
      <x:c r="M134" t="s">
        <x:v>795</x:v>
      </x:c>
      <x:c r="N134" t="s">
        <x:v>800</x:v>
      </x:c>
      <x:c r="O134" t="s">
        <x:v>805</x:v>
      </x:c>
      <x:c r="P134" t="s">
        <x:v>291</x:v>
      </x:c>
      <x:c r="Q134">
        <x:v>1</x:v>
      </x:c>
      <x:c r="R134" t="s">
        <x:v>42</x:v>
      </x:c>
      <x:c r="S134" t="s">
        <x:v>43</x:v>
      </x:c>
      <x:c r="T134" t="s">
        <x:v>44</x:v>
      </x:c>
      <x:c r="U134" t="s">
        <x:v>45</x:v>
      </x:c>
      <x:c r="V134" t="s">
        <x:v>46</x:v>
      </x:c>
      <x:c r="W134">
        <x:v>1525.42</x:v>
      </x:c>
      <x:c r="X134" t="s">
        <x:v>290</x:v>
      </x:c>
      <x:c r="Y134" t="s">
        <x:v>48</x:v>
      </x:c>
      <x:c r="Z134" t="s">
        <x:v>49</x:v>
      </x:c>
    </x:row>
    <x:row r="135">
      <x:c r="A135" s="1">
        <x:v>46182</x:v>
      </x:c>
      <x:c r="B135" t="s">
        <x:v>806</x:v>
      </x:c>
      <x:c r="C135" t="s">
        <x:v>269</x:v>
      </x:c>
      <x:c r="D135" t="s">
        <x:v>807</x:v>
      </x:c>
      <x:c r="E135" t="s">
        <x:v>31</x:v>
      </x:c>
      <x:c r="F135" t="s">
        <x:v>808</x:v>
      </x:c>
      <x:c r="G135" t="s">
        <x:v>784</x:v>
      </x:c>
      <x:c r="H135" t="s">
        <x:v>785</x:v>
      </x:c>
      <x:c r="I135" t="s">
        <x:v>776</x:v>
      </x:c>
      <x:c r="J135" t="s">
        <x:v>777</x:v>
      </x:c>
      <x:c r="K135" t="s">
        <x:v>37</x:v>
      </x:c>
      <x:c r="L135" t="s">
        <x:v>786</x:v>
      </x:c>
      <x:c r="M135" t="s">
        <x:v>787</x:v>
      </x:c>
      <x:c r="N135" t="s">
        <x:v>800</x:v>
      </x:c>
      <x:c r="O135" t="s">
        <x:v>809</x:v>
      </x:c>
      <x:c r="P135" t="s">
        <x:v>289</x:v>
      </x:c>
      <x:c r="Q135">
        <x:v>1</x:v>
      </x:c>
      <x:c r="R135" t="s">
        <x:v>42</x:v>
      </x:c>
      <x:c r="S135" t="s">
        <x:v>43</x:v>
      </x:c>
      <x:c r="T135" t="s">
        <x:v>44</x:v>
      </x:c>
      <x:c r="U135" t="s">
        <x:v>45</x:v>
      </x:c>
      <x:c r="V135" t="s">
        <x:v>60</x:v>
      </x:c>
      <x:c r="W135">
        <x:v>0</x:v>
      </x:c>
      <x:c r="X135" t="s">
        <x:v>290</x:v>
      </x:c>
      <x:c r="Y135" t="s">
        <x:v>48</x:v>
      </x:c>
      <x:c r="Z135" t="s">
        <x:v>49</x:v>
      </x:c>
    </x:row>
    <x:row r="136">
      <x:c r="A136" s="1">
        <x:v>46182</x:v>
      </x:c>
      <x:c r="B136" t="s">
        <x:v>806</x:v>
      </x:c>
      <x:c r="C136" t="s">
        <x:v>269</x:v>
      </x:c>
      <x:c r="D136" t="s">
        <x:v>807</x:v>
      </x:c>
      <x:c r="E136" t="s">
        <x:v>31</x:v>
      </x:c>
      <x:c r="F136" t="s">
        <x:v>808</x:v>
      </x:c>
      <x:c r="G136" t="s">
        <x:v>784</x:v>
      </x:c>
      <x:c r="H136" t="s">
        <x:v>785</x:v>
      </x:c>
      <x:c r="I136" t="s">
        <x:v>776</x:v>
      </x:c>
      <x:c r="J136" t="s">
        <x:v>777</x:v>
      </x:c>
      <x:c r="K136" t="s">
        <x:v>37</x:v>
      </x:c>
      <x:c r="L136" t="s">
        <x:v>786</x:v>
      </x:c>
      <x:c r="M136" t="s">
        <x:v>787</x:v>
      </x:c>
      <x:c r="N136" t="s">
        <x:v>800</x:v>
      </x:c>
      <x:c r="O136" t="s">
        <x:v>809</x:v>
      </x:c>
      <x:c r="P136" t="s">
        <x:v>291</x:v>
      </x:c>
      <x:c r="Q136">
        <x:v>1</x:v>
      </x:c>
      <x:c r="R136" t="s">
        <x:v>42</x:v>
      </x:c>
      <x:c r="S136" t="s">
        <x:v>43</x:v>
      </x:c>
      <x:c r="T136" t="s">
        <x:v>44</x:v>
      </x:c>
      <x:c r="U136" t="s">
        <x:v>45</x:v>
      </x:c>
      <x:c r="V136" t="s">
        <x:v>60</x:v>
      </x:c>
      <x:c r="W136">
        <x:v>762.71</x:v>
      </x:c>
      <x:c r="X136" t="s">
        <x:v>290</x:v>
      </x:c>
      <x:c r="Y136" t="s">
        <x:v>48</x:v>
      </x:c>
      <x:c r="Z136" t="s">
        <x:v>49</x:v>
      </x:c>
    </x:row>
    <x:row r="137">
      <x:c r="A137" s="1">
        <x:v>46184</x:v>
      </x:c>
      <x:c r="B137" t="s">
        <x:v>810</x:v>
      </x:c>
      <x:c r="C137" t="s">
        <x:v>29</x:v>
      </x:c>
      <x:c r="D137" t="s">
        <x:v>811</x:v>
      </x:c>
      <x:c r="E137" t="s">
        <x:v>31</x:v>
      </x:c>
      <x:c r="F137" t="s">
        <x:v>812</x:v>
      </x:c>
      <x:c r="G137" t="s">
        <x:v>813</x:v>
      </x:c>
      <x:c r="H137" t="s">
        <x:v>814</x:v>
      </x:c>
      <x:c r="I137" t="s">
        <x:v>776</x:v>
      </x:c>
      <x:c r="J137" t="s">
        <x:v>777</x:v>
      </x:c>
      <x:c r="K137" t="s">
        <x:v>37</x:v>
      </x:c>
      <x:c r="L137" t="s">
        <x:v>815</x:v>
      </x:c>
      <x:c r="M137" t="s">
        <x:v>816</x:v>
      </x:c>
      <x:c r="N137" t="s">
        <x:v>813</x:v>
      </x:c>
      <x:c r="O137" t="s">
        <x:v>817</x:v>
      </x:c>
      <x:c r="P137" t="s">
        <x:v>643</x:v>
      </x:c>
      <x:c r="Q137">
        <x:v>1</x:v>
      </x:c>
      <x:c r="R137" t="s">
        <x:v>42</x:v>
      </x:c>
      <x:c r="S137" t="s">
        <x:v>43</x:v>
      </x:c>
      <x:c r="T137" t="s">
        <x:v>44</x:v>
      </x:c>
      <x:c r="U137" t="s">
        <x:v>45</x:v>
      </x:c>
      <x:c r="V137" t="s">
        <x:v>46</x:v>
      </x:c>
      <x:c r="W137">
        <x:v>84.75</x:v>
      </x:c>
      <x:c r="X137" t="s">
        <x:v>47</x:v>
      </x:c>
      <x:c r="Y137" t="s">
        <x:v>48</x:v>
      </x:c>
      <x:c r="Z137" t="s">
        <x:v>49</x:v>
      </x:c>
    </x:row>
    <x:row r="138">
      <x:c r="A138" s="1">
        <x:v>46184</x:v>
      </x:c>
      <x:c r="B138" t="s">
        <x:v>818</x:v>
      </x:c>
      <x:c r="C138" t="s">
        <x:v>29</x:v>
      </x:c>
      <x:c r="D138" t="s">
        <x:v>819</x:v>
      </x:c>
      <x:c r="E138" t="s">
        <x:v>31</x:v>
      </x:c>
      <x:c r="F138" t="s">
        <x:v>820</x:v>
      </x:c>
      <x:c r="G138" t="s">
        <x:v>821</x:v>
      </x:c>
      <x:c r="H138" t="s">
        <x:v>822</x:v>
      </x:c>
      <x:c r="I138" t="s">
        <x:v>776</x:v>
      </x:c>
      <x:c r="J138" t="s">
        <x:v>777</x:v>
      </x:c>
      <x:c r="K138" t="s">
        <x:v>37</x:v>
      </x:c>
      <x:c r="L138" t="s">
        <x:v>823</x:v>
      </x:c>
      <x:c r="M138" t="s">
        <x:v>824</x:v>
      </x:c>
      <x:c r="N138" t="s">
        <x:v>821</x:v>
      </x:c>
      <x:c r="O138" t="s">
        <x:v>825</x:v>
      </x:c>
      <x:c r="P138" t="s">
        <x:v>643</x:v>
      </x:c>
      <x:c r="Q138">
        <x:v>1</x:v>
      </x:c>
      <x:c r="R138" t="s">
        <x:v>42</x:v>
      </x:c>
      <x:c r="S138" t="s">
        <x:v>43</x:v>
      </x:c>
      <x:c r="T138" t="s">
        <x:v>44</x:v>
      </x:c>
      <x:c r="U138" t="s">
        <x:v>45</x:v>
      </x:c>
      <x:c r="V138" t="s">
        <x:v>60</x:v>
      </x:c>
      <x:c r="W138">
        <x:v>84.75</x:v>
      </x:c>
      <x:c r="X138" t="s">
        <x:v>47</x:v>
      </x:c>
      <x:c r="Y138" t="s">
        <x:v>48</x:v>
      </x:c>
      <x:c r="Z138" t="s">
        <x:v>49</x:v>
      </x:c>
    </x:row>
    <x:row r="139">
      <x:c r="A139" s="1">
        <x:v>46184</x:v>
      </x:c>
      <x:c r="B139" t="s">
        <x:v>826</x:v>
      </x:c>
      <x:c r="C139" t="s">
        <x:v>29</x:v>
      </x:c>
      <x:c r="D139" t="s">
        <x:v>827</x:v>
      </x:c>
      <x:c r="E139" t="s">
        <x:v>31</x:v>
      </x:c>
      <x:c r="F139" t="s">
        <x:v>828</x:v>
      </x:c>
      <x:c r="G139" t="s">
        <x:v>821</x:v>
      </x:c>
      <x:c r="H139" t="s">
        <x:v>822</x:v>
      </x:c>
      <x:c r="I139" t="s">
        <x:v>776</x:v>
      </x:c>
      <x:c r="J139" t="s">
        <x:v>777</x:v>
      </x:c>
      <x:c r="K139" t="s">
        <x:v>37</x:v>
      </x:c>
      <x:c r="L139" t="s">
        <x:v>823</x:v>
      </x:c>
      <x:c r="M139" t="s">
        <x:v>824</x:v>
      </x:c>
      <x:c r="N139" t="s">
        <x:v>821</x:v>
      </x:c>
      <x:c r="O139" t="s">
        <x:v>829</x:v>
      </x:c>
      <x:c r="P139" t="s">
        <x:v>830</x:v>
      </x:c>
      <x:c r="Q139">
        <x:v>1</x:v>
      </x:c>
      <x:c r="R139" t="s">
        <x:v>42</x:v>
      </x:c>
      <x:c r="S139" t="s">
        <x:v>43</x:v>
      </x:c>
      <x:c r="T139" t="s">
        <x:v>44</x:v>
      </x:c>
      <x:c r="U139" t="s">
        <x:v>45</x:v>
      </x:c>
      <x:c r="V139" t="s">
        <x:v>60</x:v>
      </x:c>
      <x:c r="W139">
        <x:v>127.12</x:v>
      </x:c>
      <x:c r="X139" t="s">
        <x:v>47</x:v>
      </x:c>
      <x:c r="Y139" t="s">
        <x:v>48</x:v>
      </x:c>
      <x:c r="Z139" t="s">
        <x:v>49</x:v>
      </x:c>
    </x:row>
    <x:row r="140">
      <x:c r="A140" s="1">
        <x:v>46184</x:v>
      </x:c>
      <x:c r="B140" t="s">
        <x:v>831</x:v>
      </x:c>
      <x:c r="C140" t="s">
        <x:v>29</x:v>
      </x:c>
      <x:c r="D140" t="s">
        <x:v>832</x:v>
      </x:c>
      <x:c r="E140" t="s">
        <x:v>31</x:v>
      </x:c>
      <x:c r="F140" t="s">
        <x:v>833</x:v>
      </x:c>
      <x:c r="G140" t="s">
        <x:v>821</x:v>
      </x:c>
      <x:c r="H140" t="s">
        <x:v>822</x:v>
      </x:c>
      <x:c r="I140" t="s">
        <x:v>776</x:v>
      </x:c>
      <x:c r="J140" t="s">
        <x:v>777</x:v>
      </x:c>
      <x:c r="K140" t="s">
        <x:v>37</x:v>
      </x:c>
      <x:c r="L140" t="s">
        <x:v>823</x:v>
      </x:c>
      <x:c r="M140" t="s">
        <x:v>824</x:v>
      </x:c>
      <x:c r="N140" t="s">
        <x:v>821</x:v>
      </x:c>
      <x:c r="O140" t="s">
        <x:v>834</x:v>
      </x:c>
      <x:c r="P140" t="s">
        <x:v>620</x:v>
      </x:c>
      <x:c r="Q140">
        <x:v>1</x:v>
      </x:c>
      <x:c r="R140" t="s">
        <x:v>42</x:v>
      </x:c>
      <x:c r="S140" t="s">
        <x:v>43</x:v>
      </x:c>
      <x:c r="T140" t="s">
        <x:v>44</x:v>
      </x:c>
      <x:c r="U140" t="s">
        <x:v>45</x:v>
      </x:c>
      <x:c r="V140" t="s">
        <x:v>60</x:v>
      </x:c>
      <x:c r="W140">
        <x:v>12.71</x:v>
      </x:c>
      <x:c r="X140" t="s">
        <x:v>621</x:v>
      </x:c>
      <x:c r="Y140" t="s">
        <x:v>48</x:v>
      </x:c>
      <x:c r="Z140" t="s">
        <x:v>49</x:v>
      </x:c>
    </x:row>
    <x:row r="141">
      <x:c r="A141" s="1">
        <x:v>46184</x:v>
      </x:c>
      <x:c r="B141" t="s">
        <x:v>831</x:v>
      </x:c>
      <x:c r="C141" t="s">
        <x:v>29</x:v>
      </x:c>
      <x:c r="D141" t="s">
        <x:v>832</x:v>
      </x:c>
      <x:c r="E141" t="s">
        <x:v>31</x:v>
      </x:c>
      <x:c r="F141" t="s">
        <x:v>833</x:v>
      </x:c>
      <x:c r="G141" t="s">
        <x:v>821</x:v>
      </x:c>
      <x:c r="H141" t="s">
        <x:v>822</x:v>
      </x:c>
      <x:c r="I141" t="s">
        <x:v>776</x:v>
      </x:c>
      <x:c r="J141" t="s">
        <x:v>777</x:v>
      </x:c>
      <x:c r="K141" t="s">
        <x:v>37</x:v>
      </x:c>
      <x:c r="L141" t="s">
        <x:v>823</x:v>
      </x:c>
      <x:c r="M141" t="s">
        <x:v>824</x:v>
      </x:c>
      <x:c r="N141" t="s">
        <x:v>821</x:v>
      </x:c>
      <x:c r="O141" t="s">
        <x:v>834</x:v>
      </x:c>
      <x:c r="P141" t="s">
        <x:v>622</x:v>
      </x:c>
      <x:c r="Q141">
        <x:v>1</x:v>
      </x:c>
      <x:c r="R141" t="s">
        <x:v>42</x:v>
      </x:c>
      <x:c r="S141" t="s">
        <x:v>43</x:v>
      </x:c>
      <x:c r="T141" t="s">
        <x:v>44</x:v>
      </x:c>
      <x:c r="U141" t="s">
        <x:v>45</x:v>
      </x:c>
      <x:c r="V141" t="s">
        <x:v>60</x:v>
      </x:c>
      <x:c r="W141">
        <x:v>21.19</x:v>
      </x:c>
      <x:c r="X141" t="s">
        <x:v>621</x:v>
      </x:c>
      <x:c r="Y141" t="s">
        <x:v>48</x:v>
      </x:c>
      <x:c r="Z141" t="s">
        <x:v>49</x:v>
      </x:c>
    </x:row>
    <x:row r="142">
      <x:c r="A142" s="1">
        <x:v>46184</x:v>
      </x:c>
      <x:c r="B142" t="s">
        <x:v>831</x:v>
      </x:c>
      <x:c r="C142" t="s">
        <x:v>29</x:v>
      </x:c>
      <x:c r="D142" t="s">
        <x:v>832</x:v>
      </x:c>
      <x:c r="E142" t="s">
        <x:v>31</x:v>
      </x:c>
      <x:c r="F142" t="s">
        <x:v>833</x:v>
      </x:c>
      <x:c r="G142" t="s">
        <x:v>821</x:v>
      </x:c>
      <x:c r="H142" t="s">
        <x:v>822</x:v>
      </x:c>
      <x:c r="I142" t="s">
        <x:v>776</x:v>
      </x:c>
      <x:c r="J142" t="s">
        <x:v>777</x:v>
      </x:c>
      <x:c r="K142" t="s">
        <x:v>37</x:v>
      </x:c>
      <x:c r="L142" t="s">
        <x:v>823</x:v>
      </x:c>
      <x:c r="M142" t="s">
        <x:v>824</x:v>
      </x:c>
      <x:c r="N142" t="s">
        <x:v>821</x:v>
      </x:c>
      <x:c r="O142" t="s">
        <x:v>834</x:v>
      </x:c>
      <x:c r="P142" t="s">
        <x:v>623</x:v>
      </x:c>
      <x:c r="Q142">
        <x:v>1</x:v>
      </x:c>
      <x:c r="R142" t="s">
        <x:v>42</x:v>
      </x:c>
      <x:c r="S142" t="s">
        <x:v>43</x:v>
      </x:c>
      <x:c r="T142" t="s">
        <x:v>44</x:v>
      </x:c>
      <x:c r="U142" t="s">
        <x:v>45</x:v>
      </x:c>
      <x:c r="V142" t="s">
        <x:v>60</x:v>
      </x:c>
      <x:c r="W142">
        <x:v>12.71</x:v>
      </x:c>
      <x:c r="X142" t="s">
        <x:v>621</x:v>
      </x:c>
      <x:c r="Y142" t="s">
        <x:v>48</x:v>
      </x:c>
      <x:c r="Z142" t="s">
        <x:v>49</x:v>
      </x:c>
    </x:row>
    <x:row r="143">
      <x:c r="A143" s="1">
        <x:v>46184</x:v>
      </x:c>
      <x:c r="B143" t="s">
        <x:v>831</x:v>
      </x:c>
      <x:c r="C143" t="s">
        <x:v>29</x:v>
      </x:c>
      <x:c r="D143" t="s">
        <x:v>832</x:v>
      </x:c>
      <x:c r="E143" t="s">
        <x:v>31</x:v>
      </x:c>
      <x:c r="F143" t="s">
        <x:v>833</x:v>
      </x:c>
      <x:c r="G143" t="s">
        <x:v>821</x:v>
      </x:c>
      <x:c r="H143" t="s">
        <x:v>822</x:v>
      </x:c>
      <x:c r="I143" t="s">
        <x:v>776</x:v>
      </x:c>
      <x:c r="J143" t="s">
        <x:v>777</x:v>
      </x:c>
      <x:c r="K143" t="s">
        <x:v>37</x:v>
      </x:c>
      <x:c r="L143" t="s">
        <x:v>823</x:v>
      </x:c>
      <x:c r="M143" t="s">
        <x:v>824</x:v>
      </x:c>
      <x:c r="N143" t="s">
        <x:v>821</x:v>
      </x:c>
      <x:c r="O143" t="s">
        <x:v>834</x:v>
      </x:c>
      <x:c r="P143" t="s">
        <x:v>624</x:v>
      </x:c>
      <x:c r="Q143">
        <x:v>1</x:v>
      </x:c>
      <x:c r="R143" t="s">
        <x:v>42</x:v>
      </x:c>
      <x:c r="S143" t="s">
        <x:v>43</x:v>
      </x:c>
      <x:c r="T143" t="s">
        <x:v>44</x:v>
      </x:c>
      <x:c r="U143" t="s">
        <x:v>45</x:v>
      </x:c>
      <x:c r="V143" t="s">
        <x:v>60</x:v>
      </x:c>
      <x:c r="W143">
        <x:v>12.71</x:v>
      </x:c>
      <x:c r="X143" t="s">
        <x:v>621</x:v>
      </x:c>
      <x:c r="Y143" t="s">
        <x:v>48</x:v>
      </x:c>
      <x:c r="Z143" t="s">
        <x:v>49</x:v>
      </x:c>
    </x:row>
    <x:row r="144">
      <x:c r="A144" s="1">
        <x:v>46184</x:v>
      </x:c>
      <x:c r="B144" t="s">
        <x:v>831</x:v>
      </x:c>
      <x:c r="C144" t="s">
        <x:v>29</x:v>
      </x:c>
      <x:c r="D144" t="s">
        <x:v>832</x:v>
      </x:c>
      <x:c r="E144" t="s">
        <x:v>31</x:v>
      </x:c>
      <x:c r="F144" t="s">
        <x:v>833</x:v>
      </x:c>
      <x:c r="G144" t="s">
        <x:v>821</x:v>
      </x:c>
      <x:c r="H144" t="s">
        <x:v>822</x:v>
      </x:c>
      <x:c r="I144" t="s">
        <x:v>776</x:v>
      </x:c>
      <x:c r="J144" t="s">
        <x:v>777</x:v>
      </x:c>
      <x:c r="K144" t="s">
        <x:v>37</x:v>
      </x:c>
      <x:c r="L144" t="s">
        <x:v>823</x:v>
      </x:c>
      <x:c r="M144" t="s">
        <x:v>824</x:v>
      </x:c>
      <x:c r="N144" t="s">
        <x:v>821</x:v>
      </x:c>
      <x:c r="O144" t="s">
        <x:v>834</x:v>
      </x:c>
      <x:c r="P144" t="s">
        <x:v>835</x:v>
      </x:c>
      <x:c r="Q144">
        <x:v>1</x:v>
      </x:c>
      <x:c r="R144" t="s">
        <x:v>42</x:v>
      </x:c>
      <x:c r="S144" t="s">
        <x:v>43</x:v>
      </x:c>
      <x:c r="T144" t="s">
        <x:v>44</x:v>
      </x:c>
      <x:c r="U144" t="s">
        <x:v>45</x:v>
      </x:c>
      <x:c r="V144" t="s">
        <x:v>60</x:v>
      </x:c>
      <x:c r="W144">
        <x:v>50.85</x:v>
      </x:c>
      <x:c r="X144" t="s">
        <x:v>621</x:v>
      </x:c>
      <x:c r="Y144" t="s">
        <x:v>48</x:v>
      </x:c>
      <x:c r="Z144" t="s">
        <x:v>49</x:v>
      </x:c>
    </x:row>
    <x:row r="145">
      <x:c r="A145" s="1">
        <x:v>46184</x:v>
      </x:c>
      <x:c r="B145" t="s">
        <x:v>836</x:v>
      </x:c>
      <x:c r="C145" t="s">
        <x:v>29</x:v>
      </x:c>
      <x:c r="D145" t="s">
        <x:v>837</x:v>
      </x:c>
      <x:c r="E145" t="s">
        <x:v>31</x:v>
      </x:c>
      <x:c r="F145" t="s">
        <x:v>838</x:v>
      </x:c>
      <x:c r="G145" t="s">
        <x:v>839</x:v>
      </x:c>
      <x:c r="H145" t="s">
        <x:v>840</x:v>
      </x:c>
      <x:c r="I145" t="s">
        <x:v>776</x:v>
      </x:c>
      <x:c r="J145" t="s">
        <x:v>777</x:v>
      </x:c>
      <x:c r="K145" t="s">
        <x:v>37</x:v>
      </x:c>
      <x:c r="L145" t="s">
        <x:v>841</x:v>
      </x:c>
      <x:c r="M145" t="s">
        <x:v>842</x:v>
      </x:c>
      <x:c r="N145" t="s">
        <x:v>839</x:v>
      </x:c>
      <x:c r="O145" t="s">
        <x:v>843</x:v>
      </x:c>
      <x:c r="P145" t="s">
        <x:v>620</x:v>
      </x:c>
      <x:c r="Q145">
        <x:v>1</x:v>
      </x:c>
      <x:c r="R145" t="s">
        <x:v>42</x:v>
      </x:c>
      <x:c r="S145" t="s">
        <x:v>43</x:v>
      </x:c>
      <x:c r="T145" t="s">
        <x:v>44</x:v>
      </x:c>
      <x:c r="U145" t="s">
        <x:v>45</x:v>
      </x:c>
      <x:c r="V145" t="s">
        <x:v>60</x:v>
      </x:c>
      <x:c r="W145">
        <x:v>12.71</x:v>
      </x:c>
      <x:c r="X145" t="s">
        <x:v>621</x:v>
      </x:c>
      <x:c r="Y145" t="s">
        <x:v>48</x:v>
      </x:c>
      <x:c r="Z145" t="s">
        <x:v>49</x:v>
      </x:c>
    </x:row>
    <x:row r="146">
      <x:c r="A146" s="1">
        <x:v>46184</x:v>
      </x:c>
      <x:c r="B146" t="s">
        <x:v>836</x:v>
      </x:c>
      <x:c r="C146" t="s">
        <x:v>29</x:v>
      </x:c>
      <x:c r="D146" t="s">
        <x:v>837</x:v>
      </x:c>
      <x:c r="E146" t="s">
        <x:v>31</x:v>
      </x:c>
      <x:c r="F146" t="s">
        <x:v>838</x:v>
      </x:c>
      <x:c r="G146" t="s">
        <x:v>839</x:v>
      </x:c>
      <x:c r="H146" t="s">
        <x:v>840</x:v>
      </x:c>
      <x:c r="I146" t="s">
        <x:v>776</x:v>
      </x:c>
      <x:c r="J146" t="s">
        <x:v>777</x:v>
      </x:c>
      <x:c r="K146" t="s">
        <x:v>37</x:v>
      </x:c>
      <x:c r="L146" t="s">
        <x:v>841</x:v>
      </x:c>
      <x:c r="M146" t="s">
        <x:v>842</x:v>
      </x:c>
      <x:c r="N146" t="s">
        <x:v>839</x:v>
      </x:c>
      <x:c r="O146" t="s">
        <x:v>843</x:v>
      </x:c>
      <x:c r="P146" t="s">
        <x:v>622</x:v>
      </x:c>
      <x:c r="Q146">
        <x:v>1</x:v>
      </x:c>
      <x:c r="R146" t="s">
        <x:v>42</x:v>
      </x:c>
      <x:c r="S146" t="s">
        <x:v>43</x:v>
      </x:c>
      <x:c r="T146" t="s">
        <x:v>44</x:v>
      </x:c>
      <x:c r="U146" t="s">
        <x:v>45</x:v>
      </x:c>
      <x:c r="V146" t="s">
        <x:v>60</x:v>
      </x:c>
      <x:c r="W146">
        <x:v>21.19</x:v>
      </x:c>
      <x:c r="X146" t="s">
        <x:v>621</x:v>
      </x:c>
      <x:c r="Y146" t="s">
        <x:v>48</x:v>
      </x:c>
      <x:c r="Z146" t="s">
        <x:v>49</x:v>
      </x:c>
    </x:row>
    <x:row r="147">
      <x:c r="A147" s="1">
        <x:v>46184</x:v>
      </x:c>
      <x:c r="B147" t="s">
        <x:v>836</x:v>
      </x:c>
      <x:c r="C147" t="s">
        <x:v>29</x:v>
      </x:c>
      <x:c r="D147" t="s">
        <x:v>837</x:v>
      </x:c>
      <x:c r="E147" t="s">
        <x:v>31</x:v>
      </x:c>
      <x:c r="F147" t="s">
        <x:v>838</x:v>
      </x:c>
      <x:c r="G147" t="s">
        <x:v>839</x:v>
      </x:c>
      <x:c r="H147" t="s">
        <x:v>840</x:v>
      </x:c>
      <x:c r="I147" t="s">
        <x:v>776</x:v>
      </x:c>
      <x:c r="J147" t="s">
        <x:v>777</x:v>
      </x:c>
      <x:c r="K147" t="s">
        <x:v>37</x:v>
      </x:c>
      <x:c r="L147" t="s">
        <x:v>841</x:v>
      </x:c>
      <x:c r="M147" t="s">
        <x:v>842</x:v>
      </x:c>
      <x:c r="N147" t="s">
        <x:v>839</x:v>
      </x:c>
      <x:c r="O147" t="s">
        <x:v>843</x:v>
      </x:c>
      <x:c r="P147" t="s">
        <x:v>623</x:v>
      </x:c>
      <x:c r="Q147">
        <x:v>1</x:v>
      </x:c>
      <x:c r="R147" t="s">
        <x:v>42</x:v>
      </x:c>
      <x:c r="S147" t="s">
        <x:v>43</x:v>
      </x:c>
      <x:c r="T147" t="s">
        <x:v>44</x:v>
      </x:c>
      <x:c r="U147" t="s">
        <x:v>45</x:v>
      </x:c>
      <x:c r="V147" t="s">
        <x:v>60</x:v>
      </x:c>
      <x:c r="W147">
        <x:v>12.71</x:v>
      </x:c>
      <x:c r="X147" t="s">
        <x:v>621</x:v>
      </x:c>
      <x:c r="Y147" t="s">
        <x:v>48</x:v>
      </x:c>
      <x:c r="Z147" t="s">
        <x:v>49</x:v>
      </x:c>
    </x:row>
    <x:row r="148">
      <x:c r="A148" s="1">
        <x:v>46184</x:v>
      </x:c>
      <x:c r="B148" t="s">
        <x:v>836</x:v>
      </x:c>
      <x:c r="C148" t="s">
        <x:v>29</x:v>
      </x:c>
      <x:c r="D148" t="s">
        <x:v>837</x:v>
      </x:c>
      <x:c r="E148" t="s">
        <x:v>31</x:v>
      </x:c>
      <x:c r="F148" t="s">
        <x:v>838</x:v>
      </x:c>
      <x:c r="G148" t="s">
        <x:v>839</x:v>
      </x:c>
      <x:c r="H148" t="s">
        <x:v>840</x:v>
      </x:c>
      <x:c r="I148" t="s">
        <x:v>776</x:v>
      </x:c>
      <x:c r="J148" t="s">
        <x:v>777</x:v>
      </x:c>
      <x:c r="K148" t="s">
        <x:v>37</x:v>
      </x:c>
      <x:c r="L148" t="s">
        <x:v>841</x:v>
      </x:c>
      <x:c r="M148" t="s">
        <x:v>842</x:v>
      </x:c>
      <x:c r="N148" t="s">
        <x:v>839</x:v>
      </x:c>
      <x:c r="O148" t="s">
        <x:v>843</x:v>
      </x:c>
      <x:c r="P148" t="s">
        <x:v>624</x:v>
      </x:c>
      <x:c r="Q148">
        <x:v>1</x:v>
      </x:c>
      <x:c r="R148" t="s">
        <x:v>42</x:v>
      </x:c>
      <x:c r="S148" t="s">
        <x:v>43</x:v>
      </x:c>
      <x:c r="T148" t="s">
        <x:v>44</x:v>
      </x:c>
      <x:c r="U148" t="s">
        <x:v>45</x:v>
      </x:c>
      <x:c r="V148" t="s">
        <x:v>60</x:v>
      </x:c>
      <x:c r="W148">
        <x:v>12.71</x:v>
      </x:c>
      <x:c r="X148" t="s">
        <x:v>621</x:v>
      </x:c>
      <x:c r="Y148" t="s">
        <x:v>48</x:v>
      </x:c>
      <x:c r="Z148" t="s">
        <x:v>49</x:v>
      </x:c>
    </x:row>
    <x:row r="149">
      <x:c r="A149" s="1">
        <x:v>46184</x:v>
      </x:c>
      <x:c r="B149" t="s">
        <x:v>836</x:v>
      </x:c>
      <x:c r="C149" t="s">
        <x:v>29</x:v>
      </x:c>
      <x:c r="D149" t="s">
        <x:v>837</x:v>
      </x:c>
      <x:c r="E149" t="s">
        <x:v>31</x:v>
      </x:c>
      <x:c r="F149" t="s">
        <x:v>838</x:v>
      </x:c>
      <x:c r="G149" t="s">
        <x:v>839</x:v>
      </x:c>
      <x:c r="H149" t="s">
        <x:v>840</x:v>
      </x:c>
      <x:c r="I149" t="s">
        <x:v>776</x:v>
      </x:c>
      <x:c r="J149" t="s">
        <x:v>777</x:v>
      </x:c>
      <x:c r="K149" t="s">
        <x:v>37</x:v>
      </x:c>
      <x:c r="L149" t="s">
        <x:v>841</x:v>
      </x:c>
      <x:c r="M149" t="s">
        <x:v>842</x:v>
      </x:c>
      <x:c r="N149" t="s">
        <x:v>839</x:v>
      </x:c>
      <x:c r="O149" t="s">
        <x:v>843</x:v>
      </x:c>
      <x:c r="P149" t="s">
        <x:v>835</x:v>
      </x:c>
      <x:c r="Q149">
        <x:v>1</x:v>
      </x:c>
      <x:c r="R149" t="s">
        <x:v>42</x:v>
      </x:c>
      <x:c r="S149" t="s">
        <x:v>43</x:v>
      </x:c>
      <x:c r="T149" t="s">
        <x:v>44</x:v>
      </x:c>
      <x:c r="U149" t="s">
        <x:v>45</x:v>
      </x:c>
      <x:c r="V149" t="s">
        <x:v>60</x:v>
      </x:c>
      <x:c r="W149">
        <x:v>50.85</x:v>
      </x:c>
      <x:c r="X149" t="s">
        <x:v>621</x:v>
      </x:c>
      <x:c r="Y149" t="s">
        <x:v>48</x:v>
      </x:c>
      <x:c r="Z149" t="s">
        <x:v>49</x:v>
      </x:c>
    </x:row>
    <x:row r="150">
      <x:c r="A150" s="1">
        <x:v>46184</x:v>
      </x:c>
      <x:c r="B150" t="s">
        <x:v>844</x:v>
      </x:c>
      <x:c r="C150" t="s">
        <x:v>29</x:v>
      </x:c>
      <x:c r="D150" t="s">
        <x:v>845</x:v>
      </x:c>
      <x:c r="E150" t="s">
        <x:v>31</x:v>
      </x:c>
      <x:c r="F150" t="s">
        <x:v>846</x:v>
      </x:c>
      <x:c r="G150" t="s">
        <x:v>839</x:v>
      </x:c>
      <x:c r="H150" t="s">
        <x:v>840</x:v>
      </x:c>
      <x:c r="I150" t="s">
        <x:v>776</x:v>
      </x:c>
      <x:c r="J150" t="s">
        <x:v>777</x:v>
      </x:c>
      <x:c r="K150" t="s">
        <x:v>37</x:v>
      </x:c>
      <x:c r="L150" t="s">
        <x:v>841</x:v>
      </x:c>
      <x:c r="M150" t="s">
        <x:v>842</x:v>
      </x:c>
      <x:c r="N150" t="s">
        <x:v>839</x:v>
      </x:c>
      <x:c r="O150" t="s">
        <x:v>847</x:v>
      </x:c>
      <x:c r="P150" t="s">
        <x:v>830</x:v>
      </x:c>
      <x:c r="Q150">
        <x:v>1</x:v>
      </x:c>
      <x:c r="R150" t="s">
        <x:v>42</x:v>
      </x:c>
      <x:c r="S150" t="s">
        <x:v>43</x:v>
      </x:c>
      <x:c r="T150" t="s">
        <x:v>44</x:v>
      </x:c>
      <x:c r="U150" t="s">
        <x:v>45</x:v>
      </x:c>
      <x:c r="V150" t="s">
        <x:v>60</x:v>
      </x:c>
      <x:c r="W150">
        <x:v>127.12</x:v>
      </x:c>
      <x:c r="X150" t="s">
        <x:v>47</x:v>
      </x:c>
      <x:c r="Y150" t="s">
        <x:v>48</x:v>
      </x:c>
      <x:c r="Z150" t="s">
        <x:v>49</x:v>
      </x:c>
    </x:row>
    <x:row r="151">
      <x:c r="A151" s="1">
        <x:v>46184</x:v>
      </x:c>
      <x:c r="B151" t="s">
        <x:v>848</x:v>
      </x:c>
      <x:c r="C151" t="s">
        <x:v>29</x:v>
      </x:c>
      <x:c r="D151" t="s">
        <x:v>849</x:v>
      </x:c>
      <x:c r="E151" t="s">
        <x:v>31</x:v>
      </x:c>
      <x:c r="F151" t="s">
        <x:v>850</x:v>
      </x:c>
      <x:c r="G151" t="s">
        <x:v>851</x:v>
      </x:c>
      <x:c r="H151" t="s">
        <x:v>852</x:v>
      </x:c>
      <x:c r="I151" t="s">
        <x:v>776</x:v>
      </x:c>
      <x:c r="J151" t="s">
        <x:v>777</x:v>
      </x:c>
      <x:c r="K151" t="s">
        <x:v>37</x:v>
      </x:c>
      <x:c r="L151" t="s">
        <x:v>853</x:v>
      </x:c>
      <x:c r="M151" t="s">
        <x:v>854</x:v>
      </x:c>
      <x:c r="N151" t="s">
        <x:v>851</x:v>
      </x:c>
      <x:c r="O151" t="s">
        <x:v>855</x:v>
      </x:c>
      <x:c r="P151" t="s">
        <x:v>643</x:v>
      </x:c>
      <x:c r="Q151">
        <x:v>1</x:v>
      </x:c>
      <x:c r="R151" t="s">
        <x:v>42</x:v>
      </x:c>
      <x:c r="S151" t="s">
        <x:v>43</x:v>
      </x:c>
      <x:c r="T151" t="s">
        <x:v>44</x:v>
      </x:c>
      <x:c r="U151" t="s">
        <x:v>45</x:v>
      </x:c>
      <x:c r="V151" t="s">
        <x:v>46</x:v>
      </x:c>
      <x:c r="W151">
        <x:v>84.75</x:v>
      </x:c>
      <x:c r="X151" t="s">
        <x:v>47</x:v>
      </x:c>
      <x:c r="Y151" t="s">
        <x:v>48</x:v>
      </x:c>
      <x:c r="Z151" t="s">
        <x:v>49</x:v>
      </x:c>
    </x:row>
    <x:row r="152">
      <x:c r="A152" s="1">
        <x:v>46184</x:v>
      </x:c>
      <x:c r="B152" t="s">
        <x:v>856</x:v>
      </x:c>
      <x:c r="C152" t="s">
        <x:v>29</x:v>
      </x:c>
      <x:c r="D152" t="s">
        <x:v>857</x:v>
      </x:c>
      <x:c r="E152" t="s">
        <x:v>31</x:v>
      </x:c>
      <x:c r="F152" t="s">
        <x:v>858</x:v>
      </x:c>
      <x:c r="G152" t="s">
        <x:v>839</x:v>
      </x:c>
      <x:c r="H152" t="s">
        <x:v>840</x:v>
      </x:c>
      <x:c r="I152" t="s">
        <x:v>776</x:v>
      </x:c>
      <x:c r="J152" t="s">
        <x:v>777</x:v>
      </x:c>
      <x:c r="K152" t="s">
        <x:v>37</x:v>
      </x:c>
      <x:c r="L152" t="s">
        <x:v>841</x:v>
      </x:c>
      <x:c r="M152" t="s">
        <x:v>842</x:v>
      </x:c>
      <x:c r="N152" t="s">
        <x:v>839</x:v>
      </x:c>
      <x:c r="O152" t="s">
        <x:v>859</x:v>
      </x:c>
      <x:c r="P152" t="s">
        <x:v>643</x:v>
      </x:c>
      <x:c r="Q152">
        <x:v>1</x:v>
      </x:c>
      <x:c r="R152" t="s">
        <x:v>42</x:v>
      </x:c>
      <x:c r="S152" t="s">
        <x:v>43</x:v>
      </x:c>
      <x:c r="T152" t="s">
        <x:v>44</x:v>
      </x:c>
      <x:c r="U152" t="s">
        <x:v>45</x:v>
      </x:c>
      <x:c r="V152" t="s">
        <x:v>60</x:v>
      </x:c>
      <x:c r="W152">
        <x:v>84.75</x:v>
      </x:c>
      <x:c r="X152" t="s">
        <x:v>47</x:v>
      </x:c>
      <x:c r="Y152" t="s">
        <x:v>48</x:v>
      </x:c>
      <x:c r="Z152" t="s">
        <x:v>49</x:v>
      </x:c>
    </x:row>
    <x:row r="153">
      <x:c r="A153" s="1">
        <x:v>46185</x:v>
      </x:c>
      <x:c r="B153" t="s">
        <x:v>860</x:v>
      </x:c>
      <x:c r="C153" t="s">
        <x:v>269</x:v>
      </x:c>
      <x:c r="D153" t="s">
        <x:v>861</x:v>
      </x:c>
      <x:c r="E153" t="s">
        <x:v>31</x:v>
      </x:c>
      <x:c r="F153" t="s">
        <x:v>862</x:v>
      </x:c>
      <x:c r="G153" t="s">
        <x:v>839</x:v>
      </x:c>
      <x:c r="H153" t="s">
        <x:v>840</x:v>
      </x:c>
      <x:c r="I153" t="s">
        <x:v>776</x:v>
      </x:c>
      <x:c r="J153" t="s">
        <x:v>777</x:v>
      </x:c>
      <x:c r="K153" t="s">
        <x:v>37</x:v>
      </x:c>
      <x:c r="L153" t="s">
        <x:v>841</x:v>
      </x:c>
      <x:c r="M153" t="s">
        <x:v>842</x:v>
      </x:c>
      <x:c r="N153" t="s">
        <x:v>800</x:v>
      </x:c>
      <x:c r="O153" t="s">
        <x:v>863</x:v>
      </x:c>
      <x:c r="P153" t="s">
        <x:v>289</x:v>
      </x:c>
      <x:c r="Q153">
        <x:v>1</x:v>
      </x:c>
      <x:c r="R153" t="s">
        <x:v>42</x:v>
      </x:c>
      <x:c r="S153" t="s">
        <x:v>43</x:v>
      </x:c>
      <x:c r="T153" t="s">
        <x:v>44</x:v>
      </x:c>
      <x:c r="U153" t="s">
        <x:v>45</x:v>
      </x:c>
      <x:c r="V153" t="s">
        <x:v>60</x:v>
      </x:c>
      <x:c r="W153">
        <x:v>0</x:v>
      </x:c>
      <x:c r="X153" t="s">
        <x:v>290</x:v>
      </x:c>
      <x:c r="Y153" t="s">
        <x:v>48</x:v>
      </x:c>
      <x:c r="Z153" t="s">
        <x:v>49</x:v>
      </x:c>
    </x:row>
    <x:row r="154">
      <x:c r="A154" s="1">
        <x:v>46185</x:v>
      </x:c>
      <x:c r="B154" t="s">
        <x:v>860</x:v>
      </x:c>
      <x:c r="C154" t="s">
        <x:v>269</x:v>
      </x:c>
      <x:c r="D154" t="s">
        <x:v>861</x:v>
      </x:c>
      <x:c r="E154" t="s">
        <x:v>31</x:v>
      </x:c>
      <x:c r="F154" t="s">
        <x:v>862</x:v>
      </x:c>
      <x:c r="G154" t="s">
        <x:v>839</x:v>
      </x:c>
      <x:c r="H154" t="s">
        <x:v>840</x:v>
      </x:c>
      <x:c r="I154" t="s">
        <x:v>776</x:v>
      </x:c>
      <x:c r="J154" t="s">
        <x:v>777</x:v>
      </x:c>
      <x:c r="K154" t="s">
        <x:v>37</x:v>
      </x:c>
      <x:c r="L154" t="s">
        <x:v>841</x:v>
      </x:c>
      <x:c r="M154" t="s">
        <x:v>842</x:v>
      </x:c>
      <x:c r="N154" t="s">
        <x:v>800</x:v>
      </x:c>
      <x:c r="O154" t="s">
        <x:v>863</x:v>
      </x:c>
      <x:c r="P154" t="s">
        <x:v>291</x:v>
      </x:c>
      <x:c r="Q154">
        <x:v>1</x:v>
      </x:c>
      <x:c r="R154" t="s">
        <x:v>42</x:v>
      </x:c>
      <x:c r="S154" t="s">
        <x:v>43</x:v>
      </x:c>
      <x:c r="T154" t="s">
        <x:v>44</x:v>
      </x:c>
      <x:c r="U154" t="s">
        <x:v>45</x:v>
      </x:c>
      <x:c r="V154" t="s">
        <x:v>60</x:v>
      </x:c>
      <x:c r="W154">
        <x:v>762.71</x:v>
      </x:c>
      <x:c r="X154" t="s">
        <x:v>290</x:v>
      </x:c>
      <x:c r="Y154" t="s">
        <x:v>48</x:v>
      </x:c>
      <x:c r="Z154" t="s">
        <x:v>49</x:v>
      </x:c>
    </x:row>
    <x:row r="155">
      <x:c r="A155" s="1">
        <x:v>46185</x:v>
      </x:c>
      <x:c r="B155" t="s">
        <x:v>864</x:v>
      </x:c>
      <x:c r="C155" t="s">
        <x:v>269</x:v>
      </x:c>
      <x:c r="D155" t="s">
        <x:v>865</x:v>
      </x:c>
      <x:c r="E155" t="s">
        <x:v>31</x:v>
      </x:c>
      <x:c r="F155" t="s">
        <x:v>866</x:v>
      </x:c>
      <x:c r="G155" t="s">
        <x:v>821</x:v>
      </x:c>
      <x:c r="H155" t="s">
        <x:v>822</x:v>
      </x:c>
      <x:c r="I155" t="s">
        <x:v>776</x:v>
      </x:c>
      <x:c r="J155" t="s">
        <x:v>777</x:v>
      </x:c>
      <x:c r="K155" t="s">
        <x:v>37</x:v>
      </x:c>
      <x:c r="L155" t="s">
        <x:v>823</x:v>
      </x:c>
      <x:c r="M155" t="s">
        <x:v>824</x:v>
      </x:c>
      <x:c r="N155" t="s">
        <x:v>800</x:v>
      </x:c>
      <x:c r="O155" t="s">
        <x:v>867</x:v>
      </x:c>
      <x:c r="P155" t="s">
        <x:v>289</x:v>
      </x:c>
      <x:c r="Q155">
        <x:v>1</x:v>
      </x:c>
      <x:c r="R155" t="s">
        <x:v>42</x:v>
      </x:c>
      <x:c r="S155" t="s">
        <x:v>43</x:v>
      </x:c>
      <x:c r="T155" t="s">
        <x:v>44</x:v>
      </x:c>
      <x:c r="U155" t="s">
        <x:v>45</x:v>
      </x:c>
      <x:c r="V155" t="s">
        <x:v>60</x:v>
      </x:c>
      <x:c r="W155">
        <x:v>0</x:v>
      </x:c>
      <x:c r="X155" t="s">
        <x:v>290</x:v>
      </x:c>
      <x:c r="Y155" t="s">
        <x:v>48</x:v>
      </x:c>
      <x:c r="Z155" t="s">
        <x:v>49</x:v>
      </x:c>
    </x:row>
    <x:row r="156">
      <x:c r="A156" s="1">
        <x:v>46185</x:v>
      </x:c>
      <x:c r="B156" t="s">
        <x:v>864</x:v>
      </x:c>
      <x:c r="C156" t="s">
        <x:v>269</x:v>
      </x:c>
      <x:c r="D156" t="s">
        <x:v>865</x:v>
      </x:c>
      <x:c r="E156" t="s">
        <x:v>31</x:v>
      </x:c>
      <x:c r="F156" t="s">
        <x:v>866</x:v>
      </x:c>
      <x:c r="G156" t="s">
        <x:v>821</x:v>
      </x:c>
      <x:c r="H156" t="s">
        <x:v>822</x:v>
      </x:c>
      <x:c r="I156" t="s">
        <x:v>776</x:v>
      </x:c>
      <x:c r="J156" t="s">
        <x:v>777</x:v>
      </x:c>
      <x:c r="K156" t="s">
        <x:v>37</x:v>
      </x:c>
      <x:c r="L156" t="s">
        <x:v>823</x:v>
      </x:c>
      <x:c r="M156" t="s">
        <x:v>824</x:v>
      </x:c>
      <x:c r="N156" t="s">
        <x:v>800</x:v>
      </x:c>
      <x:c r="O156" t="s">
        <x:v>867</x:v>
      </x:c>
      <x:c r="P156" t="s">
        <x:v>291</x:v>
      </x:c>
      <x:c r="Q156">
        <x:v>1</x:v>
      </x:c>
      <x:c r="R156" t="s">
        <x:v>42</x:v>
      </x:c>
      <x:c r="S156" t="s">
        <x:v>43</x:v>
      </x:c>
      <x:c r="T156" t="s">
        <x:v>44</x:v>
      </x:c>
      <x:c r="U156" t="s">
        <x:v>45</x:v>
      </x:c>
      <x:c r="V156" t="s">
        <x:v>60</x:v>
      </x:c>
      <x:c r="W156">
        <x:v>1525.42</x:v>
      </x:c>
      <x:c r="X156" t="s">
        <x:v>290</x:v>
      </x:c>
      <x:c r="Y156" t="s">
        <x:v>48</x:v>
      </x:c>
      <x:c r="Z156" t="s">
        <x:v>49</x:v>
      </x:c>
    </x:row>
    <x:row r="157">
      <x:c r="A157" s="1">
        <x:v>46189</x:v>
      </x:c>
      <x:c r="B157" t="s">
        <x:v>868</x:v>
      </x:c>
      <x:c r="C157" t="s">
        <x:v>29</x:v>
      </x:c>
      <x:c r="D157" t="s">
        <x:v>869</x:v>
      </x:c>
      <x:c r="E157" t="s">
        <x:v>31</x:v>
      </x:c>
      <x:c r="F157" t="s">
        <x:v>870</x:v>
      </x:c>
      <x:c r="G157" t="s">
        <x:v>871</x:v>
      </x:c>
      <x:c r="H157" t="s">
        <x:v>872</x:v>
      </x:c>
      <x:c r="I157" t="s">
        <x:v>776</x:v>
      </x:c>
      <x:c r="J157" t="s">
        <x:v>777</x:v>
      </x:c>
      <x:c r="K157" t="s">
        <x:v>37</x:v>
      </x:c>
      <x:c r="L157" t="s">
        <x:v>873</x:v>
      </x:c>
      <x:c r="M157" t="s">
        <x:v>874</x:v>
      </x:c>
      <x:c r="N157" t="s">
        <x:v>871</x:v>
      </x:c>
      <x:c r="O157" t="s">
        <x:v>875</x:v>
      </x:c>
      <x:c r="P157" t="s">
        <x:v>202</x:v>
      </x:c>
      <x:c r="Q157">
        <x:v>1</x:v>
      </x:c>
      <x:c r="R157" t="s">
        <x:v>42</x:v>
      </x:c>
      <x:c r="S157" t="s">
        <x:v>44</x:v>
      </x:c>
      <x:c r="T157" t="s">
        <x:v>44</x:v>
      </x:c>
      <x:c r="U157" t="s">
        <x:v>45</x:v>
      </x:c>
      <x:c r="V157" t="s">
        <x:v>60</x:v>
      </x:c>
      <x:c r="W157">
        <x:v>42.37</x:v>
      </x:c>
      <x:c r="X157" t="s">
        <x:v>47</x:v>
      </x:c>
      <x:c r="Y157" t="s">
        <x:v>48</x:v>
      </x:c>
      <x:c r="Z157" t="s">
        <x:v>49</x:v>
      </x:c>
    </x:row>
    <x:row r="158">
      <x:c r="A158" s="1">
        <x:v>46189</x:v>
      </x:c>
      <x:c r="B158" t="s">
        <x:v>868</x:v>
      </x:c>
      <x:c r="C158" t="s">
        <x:v>29</x:v>
      </x:c>
      <x:c r="D158" t="s">
        <x:v>869</x:v>
      </x:c>
      <x:c r="E158" t="s">
        <x:v>31</x:v>
      </x:c>
      <x:c r="F158" t="s">
        <x:v>870</x:v>
      </x:c>
      <x:c r="G158" t="s">
        <x:v>871</x:v>
      </x:c>
      <x:c r="H158" t="s">
        <x:v>872</x:v>
      </x:c>
      <x:c r="I158" t="s">
        <x:v>776</x:v>
      </x:c>
      <x:c r="J158" t="s">
        <x:v>777</x:v>
      </x:c>
      <x:c r="K158" t="s">
        <x:v>37</x:v>
      </x:c>
      <x:c r="L158" t="s">
        <x:v>873</x:v>
      </x:c>
      <x:c r="M158" t="s">
        <x:v>874</x:v>
      </x:c>
      <x:c r="N158" t="s">
        <x:v>871</x:v>
      </x:c>
      <x:c r="O158" t="s">
        <x:v>875</x:v>
      </x:c>
      <x:c r="P158" t="s">
        <x:v>203</x:v>
      </x:c>
      <x:c r="Q158">
        <x:v>1</x:v>
      </x:c>
      <x:c r="R158" t="s">
        <x:v>42</x:v>
      </x:c>
      <x:c r="S158" t="s">
        <x:v>44</x:v>
      </x:c>
      <x:c r="T158" t="s">
        <x:v>44</x:v>
      </x:c>
      <x:c r="U158" t="s">
        <x:v>45</x:v>
      </x:c>
      <x:c r="V158" t="s">
        <x:v>60</x:v>
      </x:c>
      <x:c r="W158">
        <x:v>42.37</x:v>
      </x:c>
      <x:c r="X158" t="s">
        <x:v>47</x:v>
      </x:c>
      <x:c r="Y158" t="s">
        <x:v>48</x:v>
      </x:c>
      <x:c r="Z158" t="s">
        <x:v>49</x:v>
      </x:c>
    </x:row>
    <x:row r="159">
      <x:c r="A159" s="1">
        <x:v>46190</x:v>
      </x:c>
      <x:c r="B159" t="s">
        <x:v>876</x:v>
      </x:c>
      <x:c r="C159" t="s">
        <x:v>269</x:v>
      </x:c>
      <x:c r="D159" t="s">
        <x:v>877</x:v>
      </x:c>
      <x:c r="E159" t="s">
        <x:v>31</x:v>
      </x:c>
      <x:c r="F159" t="s">
        <x:v>878</x:v>
      </x:c>
      <x:c r="G159" t="s">
        <x:v>851</x:v>
      </x:c>
      <x:c r="H159" t="s">
        <x:v>852</x:v>
      </x:c>
      <x:c r="I159" t="s">
        <x:v>776</x:v>
      </x:c>
      <x:c r="J159" t="s">
        <x:v>777</x:v>
      </x:c>
      <x:c r="K159" t="s">
        <x:v>37</x:v>
      </x:c>
      <x:c r="L159" t="s">
        <x:v>853</x:v>
      </x:c>
      <x:c r="M159" t="s">
        <x:v>854</x:v>
      </x:c>
      <x:c r="N159" t="s">
        <x:v>800</x:v>
      </x:c>
      <x:c r="O159" t="s">
        <x:v>879</x:v>
      </x:c>
      <x:c r="P159" t="s">
        <x:v>289</x:v>
      </x:c>
      <x:c r="Q159">
        <x:v>1</x:v>
      </x:c>
      <x:c r="R159" t="s">
        <x:v>42</x:v>
      </x:c>
      <x:c r="S159" t="s">
        <x:v>43</x:v>
      </x:c>
      <x:c r="T159" t="s">
        <x:v>44</x:v>
      </x:c>
      <x:c r="U159" t="s">
        <x:v>45</x:v>
      </x:c>
      <x:c r="V159" t="s">
        <x:v>60</x:v>
      </x:c>
      <x:c r="W159">
        <x:v>0</x:v>
      </x:c>
      <x:c r="X159" t="s">
        <x:v>290</x:v>
      </x:c>
      <x:c r="Y159" t="s">
        <x:v>48</x:v>
      </x:c>
      <x:c r="Z159" t="s">
        <x:v>49</x:v>
      </x:c>
    </x:row>
    <x:row r="160">
      <x:c r="A160" s="1">
        <x:v>46190</x:v>
      </x:c>
      <x:c r="B160" t="s">
        <x:v>876</x:v>
      </x:c>
      <x:c r="C160" t="s">
        <x:v>269</x:v>
      </x:c>
      <x:c r="D160" t="s">
        <x:v>877</x:v>
      </x:c>
      <x:c r="E160" t="s">
        <x:v>31</x:v>
      </x:c>
      <x:c r="F160" t="s">
        <x:v>878</x:v>
      </x:c>
      <x:c r="G160" t="s">
        <x:v>851</x:v>
      </x:c>
      <x:c r="H160" t="s">
        <x:v>852</x:v>
      </x:c>
      <x:c r="I160" t="s">
        <x:v>776</x:v>
      </x:c>
      <x:c r="J160" t="s">
        <x:v>777</x:v>
      </x:c>
      <x:c r="K160" t="s">
        <x:v>37</x:v>
      </x:c>
      <x:c r="L160" t="s">
        <x:v>853</x:v>
      </x:c>
      <x:c r="M160" t="s">
        <x:v>854</x:v>
      </x:c>
      <x:c r="N160" t="s">
        <x:v>800</x:v>
      </x:c>
      <x:c r="O160" t="s">
        <x:v>879</x:v>
      </x:c>
      <x:c r="P160" t="s">
        <x:v>291</x:v>
      </x:c>
      <x:c r="Q160">
        <x:v>1</x:v>
      </x:c>
      <x:c r="R160" t="s">
        <x:v>42</x:v>
      </x:c>
      <x:c r="S160" t="s">
        <x:v>43</x:v>
      </x:c>
      <x:c r="T160" t="s">
        <x:v>44</x:v>
      </x:c>
      <x:c r="U160" t="s">
        <x:v>45</x:v>
      </x:c>
      <x:c r="V160" t="s">
        <x:v>60</x:v>
      </x:c>
      <x:c r="W160">
        <x:v>762.71</x:v>
      </x:c>
      <x:c r="X160" t="s">
        <x:v>290</x:v>
      </x:c>
      <x:c r="Y160" t="s">
        <x:v>48</x:v>
      </x:c>
      <x:c r="Z160" t="s">
        <x:v>49</x:v>
      </x:c>
    </x:row>
    <x:row r="161">
      <x:c r="A161" s="1">
        <x:v>46190</x:v>
      </x:c>
      <x:c r="B161" t="s">
        <x:v>880</x:v>
      </x:c>
      <x:c r="C161" t="s">
        <x:v>269</x:v>
      </x:c>
      <x:c r="D161" t="s">
        <x:v>881</x:v>
      </x:c>
      <x:c r="E161" t="s">
        <x:v>31</x:v>
      </x:c>
      <x:c r="F161" t="s">
        <x:v>882</x:v>
      </x:c>
      <x:c r="G161" t="s">
        <x:v>871</x:v>
      </x:c>
      <x:c r="H161" t="s">
        <x:v>872</x:v>
      </x:c>
      <x:c r="I161" t="s">
        <x:v>776</x:v>
      </x:c>
      <x:c r="J161" t="s">
        <x:v>777</x:v>
      </x:c>
      <x:c r="K161" t="s">
        <x:v>37</x:v>
      </x:c>
      <x:c r="L161" t="s">
        <x:v>873</x:v>
      </x:c>
      <x:c r="M161" t="s">
        <x:v>874</x:v>
      </x:c>
      <x:c r="N161" t="s">
        <x:v>800</x:v>
      </x:c>
      <x:c r="O161" t="s">
        <x:v>883</x:v>
      </x:c>
      <x:c r="P161" t="s">
        <x:v>289</x:v>
      </x:c>
      <x:c r="Q161">
        <x:v>1</x:v>
      </x:c>
      <x:c r="R161" t="s">
        <x:v>42</x:v>
      </x:c>
      <x:c r="S161" t="s">
        <x:v>43</x:v>
      </x:c>
      <x:c r="T161" t="s">
        <x:v>44</x:v>
      </x:c>
      <x:c r="U161" t="s">
        <x:v>45</x:v>
      </x:c>
      <x:c r="V161" t="s">
        <x:v>60</x:v>
      </x:c>
      <x:c r="W161">
        <x:v>0</x:v>
      </x:c>
      <x:c r="X161" t="s">
        <x:v>290</x:v>
      </x:c>
      <x:c r="Y161" t="s">
        <x:v>48</x:v>
      </x:c>
      <x:c r="Z161" t="s">
        <x:v>49</x:v>
      </x:c>
    </x:row>
    <x:row r="162">
      <x:c r="A162" s="1">
        <x:v>46190</x:v>
      </x:c>
      <x:c r="B162" t="s">
        <x:v>880</x:v>
      </x:c>
      <x:c r="C162" t="s">
        <x:v>269</x:v>
      </x:c>
      <x:c r="D162" t="s">
        <x:v>881</x:v>
      </x:c>
      <x:c r="E162" t="s">
        <x:v>31</x:v>
      </x:c>
      <x:c r="F162" t="s">
        <x:v>882</x:v>
      </x:c>
      <x:c r="G162" t="s">
        <x:v>871</x:v>
      </x:c>
      <x:c r="H162" t="s">
        <x:v>872</x:v>
      </x:c>
      <x:c r="I162" t="s">
        <x:v>776</x:v>
      </x:c>
      <x:c r="J162" t="s">
        <x:v>777</x:v>
      </x:c>
      <x:c r="K162" t="s">
        <x:v>37</x:v>
      </x:c>
      <x:c r="L162" t="s">
        <x:v>873</x:v>
      </x:c>
      <x:c r="M162" t="s">
        <x:v>874</x:v>
      </x:c>
      <x:c r="N162" t="s">
        <x:v>800</x:v>
      </x:c>
      <x:c r="O162" t="s">
        <x:v>883</x:v>
      </x:c>
      <x:c r="P162" t="s">
        <x:v>372</x:v>
      </x:c>
      <x:c r="Q162">
        <x:v>1</x:v>
      </x:c>
      <x:c r="R162" t="s">
        <x:v>42</x:v>
      </x:c>
      <x:c r="S162" t="s">
        <x:v>43</x:v>
      </x:c>
      <x:c r="T162" t="s">
        <x:v>44</x:v>
      </x:c>
      <x:c r="U162" t="s">
        <x:v>45</x:v>
      </x:c>
      <x:c r="V162" t="s">
        <x:v>60</x:v>
      </x:c>
      <x:c r="W162">
        <x:v>550.85</x:v>
      </x:c>
      <x:c r="X162" t="s">
        <x:v>290</x:v>
      </x:c>
      <x:c r="Y162" t="s">
        <x:v>48</x:v>
      </x:c>
      <x:c r="Z162" t="s">
        <x:v>49</x:v>
      </x:c>
    </x:row>
    <x:row r="163">
      <x:c r="A163" s="1">
        <x:v>46191</x:v>
      </x:c>
      <x:c r="B163" t="s">
        <x:v>884</x:v>
      </x:c>
      <x:c r="C163" t="s">
        <x:v>29</x:v>
      </x:c>
      <x:c r="D163" t="s">
        <x:v>885</x:v>
      </x:c>
      <x:c r="E163" t="s">
        <x:v>31</x:v>
      </x:c>
      <x:c r="F163" t="s">
        <x:v>886</x:v>
      </x:c>
      <x:c r="G163" t="s">
        <x:v>315</x:v>
      </x:c>
      <x:c r="H163" t="s">
        <x:v>316</x:v>
      </x:c>
      <x:c r="I163" t="s">
        <x:v>776</x:v>
      </x:c>
      <x:c r="J163" t="s">
        <x:v>777</x:v>
      </x:c>
      <x:c r="K163" t="s">
        <x:v>37</x:v>
      </x:c>
      <x:c r="L163" t="s">
        <x:v>317</x:v>
      </x:c>
      <x:c r="M163" t="s">
        <x:v>318</x:v>
      </x:c>
      <x:c r="N163" t="s">
        <x:v>315</x:v>
      </x:c>
      <x:c r="O163" t="s">
        <x:v>887</x:v>
      </x:c>
      <x:c r="P163" t="s">
        <x:v>620</x:v>
      </x:c>
      <x:c r="Q163">
        <x:v>1</x:v>
      </x:c>
      <x:c r="R163" t="s">
        <x:v>42</x:v>
      </x:c>
      <x:c r="S163" t="s">
        <x:v>44</x:v>
      </x:c>
      <x:c r="T163" t="s">
        <x:v>44</x:v>
      </x:c>
      <x:c r="U163" t="s">
        <x:v>45</x:v>
      </x:c>
      <x:c r="V163" t="s">
        <x:v>46</x:v>
      </x:c>
      <x:c r="W163">
        <x:v>12.71</x:v>
      </x:c>
      <x:c r="X163" t="s">
        <x:v>621</x:v>
      </x:c>
      <x:c r="Y163" t="s">
        <x:v>48</x:v>
      </x:c>
      <x:c r="Z163" t="s">
        <x:v>49</x:v>
      </x:c>
    </x:row>
    <x:row r="164">
      <x:c r="A164" s="1">
        <x:v>46191</x:v>
      </x:c>
      <x:c r="B164" t="s">
        <x:v>884</x:v>
      </x:c>
      <x:c r="C164" t="s">
        <x:v>29</x:v>
      </x:c>
      <x:c r="D164" t="s">
        <x:v>885</x:v>
      </x:c>
      <x:c r="E164" t="s">
        <x:v>31</x:v>
      </x:c>
      <x:c r="F164" t="s">
        <x:v>886</x:v>
      </x:c>
      <x:c r="G164" t="s">
        <x:v>315</x:v>
      </x:c>
      <x:c r="H164" t="s">
        <x:v>316</x:v>
      </x:c>
      <x:c r="I164" t="s">
        <x:v>776</x:v>
      </x:c>
      <x:c r="J164" t="s">
        <x:v>777</x:v>
      </x:c>
      <x:c r="K164" t="s">
        <x:v>37</x:v>
      </x:c>
      <x:c r="L164" t="s">
        <x:v>317</x:v>
      </x:c>
      <x:c r="M164" t="s">
        <x:v>318</x:v>
      </x:c>
      <x:c r="N164" t="s">
        <x:v>315</x:v>
      </x:c>
      <x:c r="O164" t="s">
        <x:v>887</x:v>
      </x:c>
      <x:c r="P164" t="s">
        <x:v>622</x:v>
      </x:c>
      <x:c r="Q164">
        <x:v>1</x:v>
      </x:c>
      <x:c r="R164" t="s">
        <x:v>42</x:v>
      </x:c>
      <x:c r="S164" t="s">
        <x:v>44</x:v>
      </x:c>
      <x:c r="T164" t="s">
        <x:v>44</x:v>
      </x:c>
      <x:c r="U164" t="s">
        <x:v>45</x:v>
      </x:c>
      <x:c r="V164" t="s">
        <x:v>46</x:v>
      </x:c>
      <x:c r="W164">
        <x:v>21.19</x:v>
      </x:c>
      <x:c r="X164" t="s">
        <x:v>621</x:v>
      </x:c>
      <x:c r="Y164" t="s">
        <x:v>48</x:v>
      </x:c>
      <x:c r="Z164" t="s">
        <x:v>49</x:v>
      </x:c>
    </x:row>
    <x:row r="165">
      <x:c r="A165" s="1">
        <x:v>46191</x:v>
      </x:c>
      <x:c r="B165" t="s">
        <x:v>884</x:v>
      </x:c>
      <x:c r="C165" t="s">
        <x:v>29</x:v>
      </x:c>
      <x:c r="D165" t="s">
        <x:v>885</x:v>
      </x:c>
      <x:c r="E165" t="s">
        <x:v>31</x:v>
      </x:c>
      <x:c r="F165" t="s">
        <x:v>886</x:v>
      </x:c>
      <x:c r="G165" t="s">
        <x:v>315</x:v>
      </x:c>
      <x:c r="H165" t="s">
        <x:v>316</x:v>
      </x:c>
      <x:c r="I165" t="s">
        <x:v>776</x:v>
      </x:c>
      <x:c r="J165" t="s">
        <x:v>777</x:v>
      </x:c>
      <x:c r="K165" t="s">
        <x:v>37</x:v>
      </x:c>
      <x:c r="L165" t="s">
        <x:v>317</x:v>
      </x:c>
      <x:c r="M165" t="s">
        <x:v>318</x:v>
      </x:c>
      <x:c r="N165" t="s">
        <x:v>315</x:v>
      </x:c>
      <x:c r="O165" t="s">
        <x:v>887</x:v>
      </x:c>
      <x:c r="P165" t="s">
        <x:v>623</x:v>
      </x:c>
      <x:c r="Q165">
        <x:v>1</x:v>
      </x:c>
      <x:c r="R165" t="s">
        <x:v>42</x:v>
      </x:c>
      <x:c r="S165" t="s">
        <x:v>44</x:v>
      </x:c>
      <x:c r="T165" t="s">
        <x:v>44</x:v>
      </x:c>
      <x:c r="U165" t="s">
        <x:v>45</x:v>
      </x:c>
      <x:c r="V165" t="s">
        <x:v>46</x:v>
      </x:c>
      <x:c r="W165">
        <x:v>12.71</x:v>
      </x:c>
      <x:c r="X165" t="s">
        <x:v>621</x:v>
      </x:c>
      <x:c r="Y165" t="s">
        <x:v>48</x:v>
      </x:c>
      <x:c r="Z165" t="s">
        <x:v>49</x:v>
      </x:c>
    </x:row>
    <x:row r="166">
      <x:c r="A166" s="1">
        <x:v>46191</x:v>
      </x:c>
      <x:c r="B166" t="s">
        <x:v>884</x:v>
      </x:c>
      <x:c r="C166" t="s">
        <x:v>29</x:v>
      </x:c>
      <x:c r="D166" t="s">
        <x:v>885</x:v>
      </x:c>
      <x:c r="E166" t="s">
        <x:v>31</x:v>
      </x:c>
      <x:c r="F166" t="s">
        <x:v>886</x:v>
      </x:c>
      <x:c r="G166" t="s">
        <x:v>315</x:v>
      </x:c>
      <x:c r="H166" t="s">
        <x:v>316</x:v>
      </x:c>
      <x:c r="I166" t="s">
        <x:v>776</x:v>
      </x:c>
      <x:c r="J166" t="s">
        <x:v>777</x:v>
      </x:c>
      <x:c r="K166" t="s">
        <x:v>37</x:v>
      </x:c>
      <x:c r="L166" t="s">
        <x:v>317</x:v>
      </x:c>
      <x:c r="M166" t="s">
        <x:v>318</x:v>
      </x:c>
      <x:c r="N166" t="s">
        <x:v>315</x:v>
      </x:c>
      <x:c r="O166" t="s">
        <x:v>887</x:v>
      </x:c>
      <x:c r="P166" t="s">
        <x:v>624</x:v>
      </x:c>
      <x:c r="Q166">
        <x:v>1</x:v>
      </x:c>
      <x:c r="R166" t="s">
        <x:v>42</x:v>
      </x:c>
      <x:c r="S166" t="s">
        <x:v>44</x:v>
      </x:c>
      <x:c r="T166" t="s">
        <x:v>44</x:v>
      </x:c>
      <x:c r="U166" t="s">
        <x:v>45</x:v>
      </x:c>
      <x:c r="V166" t="s">
        <x:v>46</x:v>
      </x:c>
      <x:c r="W166">
        <x:v>12.71</x:v>
      </x:c>
      <x:c r="X166" t="s">
        <x:v>621</x:v>
      </x:c>
      <x:c r="Y166" t="s">
        <x:v>48</x:v>
      </x:c>
      <x:c r="Z166" t="s">
        <x:v>49</x:v>
      </x:c>
    </x:row>
    <x:row r="167">
      <x:c r="A167" s="1">
        <x:v>46191</x:v>
      </x:c>
      <x:c r="B167" t="s">
        <x:v>884</x:v>
      </x:c>
      <x:c r="C167" t="s">
        <x:v>29</x:v>
      </x:c>
      <x:c r="D167" t="s">
        <x:v>885</x:v>
      </x:c>
      <x:c r="E167" t="s">
        <x:v>31</x:v>
      </x:c>
      <x:c r="F167" t="s">
        <x:v>886</x:v>
      </x:c>
      <x:c r="G167" t="s">
        <x:v>315</x:v>
      </x:c>
      <x:c r="H167" t="s">
        <x:v>316</x:v>
      </x:c>
      <x:c r="I167" t="s">
        <x:v>776</x:v>
      </x:c>
      <x:c r="J167" t="s">
        <x:v>777</x:v>
      </x:c>
      <x:c r="K167" t="s">
        <x:v>37</x:v>
      </x:c>
      <x:c r="L167" t="s">
        <x:v>317</x:v>
      </x:c>
      <x:c r="M167" t="s">
        <x:v>318</x:v>
      </x:c>
      <x:c r="N167" t="s">
        <x:v>315</x:v>
      </x:c>
      <x:c r="O167" t="s">
        <x:v>887</x:v>
      </x:c>
      <x:c r="P167" t="s">
        <x:v>835</x:v>
      </x:c>
      <x:c r="Q167">
        <x:v>1</x:v>
      </x:c>
      <x:c r="R167" t="s">
        <x:v>42</x:v>
      </x:c>
      <x:c r="S167" t="s">
        <x:v>44</x:v>
      </x:c>
      <x:c r="T167" t="s">
        <x:v>44</x:v>
      </x:c>
      <x:c r="U167" t="s">
        <x:v>45</x:v>
      </x:c>
      <x:c r="V167" t="s">
        <x:v>46</x:v>
      </x:c>
      <x:c r="W167">
        <x:v>50.85</x:v>
      </x:c>
      <x:c r="X167" t="s">
        <x:v>621</x:v>
      </x:c>
      <x:c r="Y167" t="s">
        <x:v>48</x:v>
      </x:c>
      <x:c r="Z167" t="s">
        <x:v>49</x:v>
      </x:c>
    </x:row>
    <x:row r="168">
      <x:c r="A168" s="1">
        <x:v>46191</x:v>
      </x:c>
      <x:c r="B168" t="s">
        <x:v>888</x:v>
      </x:c>
      <x:c r="C168" t="s">
        <x:v>29</x:v>
      </x:c>
      <x:c r="D168" t="s">
        <x:v>889</x:v>
      </x:c>
      <x:c r="E168" t="s">
        <x:v>31</x:v>
      </x:c>
      <x:c r="F168" t="s">
        <x:v>890</x:v>
      </x:c>
      <x:c r="G168" t="s">
        <x:v>315</x:v>
      </x:c>
      <x:c r="H168" t="s">
        <x:v>316</x:v>
      </x:c>
      <x:c r="I168" t="s">
        <x:v>776</x:v>
      </x:c>
      <x:c r="J168" t="s">
        <x:v>777</x:v>
      </x:c>
      <x:c r="K168" t="s">
        <x:v>37</x:v>
      </x:c>
      <x:c r="L168" t="s">
        <x:v>317</x:v>
      </x:c>
      <x:c r="M168" t="s">
        <x:v>318</x:v>
      </x:c>
      <x:c r="N168" t="s">
        <x:v>315</x:v>
      </x:c>
      <x:c r="O168" t="s">
        <x:v>891</x:v>
      </x:c>
      <x:c r="P168" t="s">
        <x:v>830</x:v>
      </x:c>
      <x:c r="Q168">
        <x:v>1</x:v>
      </x:c>
      <x:c r="R168" t="s">
        <x:v>42</x:v>
      </x:c>
      <x:c r="S168" t="s">
        <x:v>44</x:v>
      </x:c>
      <x:c r="T168" t="s">
        <x:v>44</x:v>
      </x:c>
      <x:c r="U168" t="s">
        <x:v>45</x:v>
      </x:c>
      <x:c r="V168" t="s">
        <x:v>46</x:v>
      </x:c>
      <x:c r="W168">
        <x:v>127.12</x:v>
      </x:c>
      <x:c r="X168" t="s">
        <x:v>47</x:v>
      </x:c>
      <x:c r="Y168" t="s">
        <x:v>48</x:v>
      </x:c>
      <x:c r="Z168" t="s">
        <x:v>49</x:v>
      </x:c>
    </x:row>
    <x:row r="169">
      <x:c r="A169" s="1">
        <x:v>46191</x:v>
      </x:c>
      <x:c r="B169" t="s">
        <x:v>892</x:v>
      </x:c>
      <x:c r="C169" t="s">
        <x:v>269</x:v>
      </x:c>
      <x:c r="D169" t="s">
        <x:v>893</x:v>
      </x:c>
      <x:c r="E169" t="s">
        <x:v>31</x:v>
      </x:c>
      <x:c r="F169" t="s">
        <x:v>894</x:v>
      </x:c>
      <x:c r="G169" t="s">
        <x:v>315</x:v>
      </x:c>
      <x:c r="H169" t="s">
        <x:v>316</x:v>
      </x:c>
      <x:c r="I169" t="s">
        <x:v>776</x:v>
      </x:c>
      <x:c r="J169" t="s">
        <x:v>777</x:v>
      </x:c>
      <x:c r="K169" t="s">
        <x:v>37</x:v>
      </x:c>
      <x:c r="L169" t="s">
        <x:v>317</x:v>
      </x:c>
      <x:c r="M169" t="s">
        <x:v>318</x:v>
      </x:c>
      <x:c r="N169" t="s">
        <x:v>800</x:v>
      </x:c>
      <x:c r="O169" t="s">
        <x:v>895</x:v>
      </x:c>
      <x:c r="P169" t="s">
        <x:v>289</x:v>
      </x:c>
      <x:c r="Q169">
        <x:v>1</x:v>
      </x:c>
      <x:c r="R169" t="s">
        <x:v>42</x:v>
      </x:c>
      <x:c r="S169" t="s">
        <x:v>44</x:v>
      </x:c>
      <x:c r="T169" t="s">
        <x:v>44</x:v>
      </x:c>
      <x:c r="U169" t="s">
        <x:v>45</x:v>
      </x:c>
      <x:c r="V169" t="s">
        <x:v>46</x:v>
      </x:c>
      <x:c r="W169">
        <x:v>0</x:v>
      </x:c>
      <x:c r="X169" t="s">
        <x:v>290</x:v>
      </x:c>
      <x:c r="Y169" t="s">
        <x:v>48</x:v>
      </x:c>
      <x:c r="Z169" t="s">
        <x:v>49</x:v>
      </x:c>
    </x:row>
    <x:row r="170">
      <x:c r="A170" s="1">
        <x:v>46191</x:v>
      </x:c>
      <x:c r="B170" t="s">
        <x:v>892</x:v>
      </x:c>
      <x:c r="C170" t="s">
        <x:v>269</x:v>
      </x:c>
      <x:c r="D170" t="s">
        <x:v>893</x:v>
      </x:c>
      <x:c r="E170" t="s">
        <x:v>31</x:v>
      </x:c>
      <x:c r="F170" t="s">
        <x:v>894</x:v>
      </x:c>
      <x:c r="G170" t="s">
        <x:v>315</x:v>
      </x:c>
      <x:c r="H170" t="s">
        <x:v>316</x:v>
      </x:c>
      <x:c r="I170" t="s">
        <x:v>776</x:v>
      </x:c>
      <x:c r="J170" t="s">
        <x:v>777</x:v>
      </x:c>
      <x:c r="K170" t="s">
        <x:v>37</x:v>
      </x:c>
      <x:c r="L170" t="s">
        <x:v>317</x:v>
      </x:c>
      <x:c r="M170" t="s">
        <x:v>318</x:v>
      </x:c>
      <x:c r="N170" t="s">
        <x:v>800</x:v>
      </x:c>
      <x:c r="O170" t="s">
        <x:v>895</x:v>
      </x:c>
      <x:c r="P170" t="s">
        <x:v>291</x:v>
      </x:c>
      <x:c r="Q170">
        <x:v>1</x:v>
      </x:c>
      <x:c r="R170" t="s">
        <x:v>42</x:v>
      </x:c>
      <x:c r="S170" t="s">
        <x:v>44</x:v>
      </x:c>
      <x:c r="T170" t="s">
        <x:v>44</x:v>
      </x:c>
      <x:c r="U170" t="s">
        <x:v>45</x:v>
      </x:c>
      <x:c r="V170" t="s">
        <x:v>46</x:v>
      </x:c>
      <x:c r="W170">
        <x:v>762.71</x:v>
      </x:c>
      <x:c r="X170" t="s">
        <x:v>290</x:v>
      </x:c>
      <x:c r="Y170" t="s">
        <x:v>48</x:v>
      </x:c>
      <x:c r="Z170" t="s">
        <x:v>49</x:v>
      </x:c>
    </x:row>
    <x:row r="171">
      <x:c r="A171" s="1">
        <x:v>46196</x:v>
      </x:c>
      <x:c r="B171" t="s">
        <x:v>896</x:v>
      </x:c>
      <x:c r="C171" t="s">
        <x:v>29</x:v>
      </x:c>
      <x:c r="D171" t="s">
        <x:v>897</x:v>
      </x:c>
      <x:c r="E171" t="s">
        <x:v>31</x:v>
      </x:c>
      <x:c r="F171" t="s">
        <x:v>898</x:v>
      </x:c>
      <x:c r="G171" t="s">
        <x:v>899</x:v>
      </x:c>
      <x:c r="H171" t="s">
        <x:v>900</x:v>
      </x:c>
      <x:c r="I171" t="s">
        <x:v>776</x:v>
      </x:c>
      <x:c r="J171" t="s">
        <x:v>777</x:v>
      </x:c>
      <x:c r="K171" t="s">
        <x:v>37</x:v>
      </x:c>
      <x:c r="L171" t="s">
        <x:v>901</x:v>
      </x:c>
      <x:c r="M171" t="s">
        <x:v>902</x:v>
      </x:c>
      <x:c r="N171" t="s">
        <x:v>899</x:v>
      </x:c>
      <x:c r="O171" t="s">
        <x:v>903</x:v>
      </x:c>
      <x:c r="P171" t="s">
        <x:v>830</x:v>
      </x:c>
      <x:c r="Q171">
        <x:v>1</x:v>
      </x:c>
      <x:c r="R171" t="s">
        <x:v>42</x:v>
      </x:c>
      <x:c r="S171" t="s">
        <x:v>44</x:v>
      </x:c>
      <x:c r="T171" t="s">
        <x:v>44</x:v>
      </x:c>
      <x:c r="U171" t="s">
        <x:v>45</x:v>
      </x:c>
      <x:c r="V171" t="s">
        <x:v>60</x:v>
      </x:c>
      <x:c r="W171">
        <x:v>127.12</x:v>
      </x:c>
      <x:c r="X171" t="s">
        <x:v>47</x:v>
      </x:c>
      <x:c r="Y171" t="s">
        <x:v>48</x:v>
      </x:c>
      <x:c r="Z171" t="s">
        <x:v>49</x:v>
      </x:c>
    </x:row>
    <x:row r="172">
      <x:c r="A172" s="1">
        <x:v>46196</x:v>
      </x:c>
      <x:c r="B172" t="s">
        <x:v>904</x:v>
      </x:c>
      <x:c r="C172" t="s">
        <x:v>29</x:v>
      </x:c>
      <x:c r="D172" t="s">
        <x:v>905</x:v>
      </x:c>
      <x:c r="E172" t="s">
        <x:v>31</x:v>
      </x:c>
      <x:c r="F172" t="s">
        <x:v>906</x:v>
      </x:c>
      <x:c r="G172" t="s">
        <x:v>899</x:v>
      </x:c>
      <x:c r="H172" t="s">
        <x:v>900</x:v>
      </x:c>
      <x:c r="I172" t="s">
        <x:v>776</x:v>
      </x:c>
      <x:c r="J172" t="s">
        <x:v>777</x:v>
      </x:c>
      <x:c r="K172" t="s">
        <x:v>37</x:v>
      </x:c>
      <x:c r="L172" t="s">
        <x:v>901</x:v>
      </x:c>
      <x:c r="M172" t="s">
        <x:v>902</x:v>
      </x:c>
      <x:c r="N172" t="s">
        <x:v>899</x:v>
      </x:c>
      <x:c r="O172" t="s">
        <x:v>907</x:v>
      </x:c>
      <x:c r="P172" t="s">
        <x:v>620</x:v>
      </x:c>
      <x:c r="Q172">
        <x:v>1</x:v>
      </x:c>
      <x:c r="R172" t="s">
        <x:v>42</x:v>
      </x:c>
      <x:c r="S172" t="s">
        <x:v>44</x:v>
      </x:c>
      <x:c r="T172" t="s">
        <x:v>44</x:v>
      </x:c>
      <x:c r="U172" t="s">
        <x:v>45</x:v>
      </x:c>
      <x:c r="V172" t="s">
        <x:v>60</x:v>
      </x:c>
      <x:c r="W172">
        <x:v>12.71</x:v>
      </x:c>
      <x:c r="X172" t="s">
        <x:v>621</x:v>
      </x:c>
      <x:c r="Y172" t="s">
        <x:v>48</x:v>
      </x:c>
      <x:c r="Z172" t="s">
        <x:v>49</x:v>
      </x:c>
    </x:row>
    <x:row r="173">
      <x:c r="A173" s="1">
        <x:v>46196</x:v>
      </x:c>
      <x:c r="B173" t="s">
        <x:v>904</x:v>
      </x:c>
      <x:c r="C173" t="s">
        <x:v>29</x:v>
      </x:c>
      <x:c r="D173" t="s">
        <x:v>905</x:v>
      </x:c>
      <x:c r="E173" t="s">
        <x:v>31</x:v>
      </x:c>
      <x:c r="F173" t="s">
        <x:v>906</x:v>
      </x:c>
      <x:c r="G173" t="s">
        <x:v>899</x:v>
      </x:c>
      <x:c r="H173" t="s">
        <x:v>900</x:v>
      </x:c>
      <x:c r="I173" t="s">
        <x:v>776</x:v>
      </x:c>
      <x:c r="J173" t="s">
        <x:v>777</x:v>
      </x:c>
      <x:c r="K173" t="s">
        <x:v>37</x:v>
      </x:c>
      <x:c r="L173" t="s">
        <x:v>901</x:v>
      </x:c>
      <x:c r="M173" t="s">
        <x:v>902</x:v>
      </x:c>
      <x:c r="N173" t="s">
        <x:v>899</x:v>
      </x:c>
      <x:c r="O173" t="s">
        <x:v>907</x:v>
      </x:c>
      <x:c r="P173" t="s">
        <x:v>622</x:v>
      </x:c>
      <x:c r="Q173">
        <x:v>1</x:v>
      </x:c>
      <x:c r="R173" t="s">
        <x:v>42</x:v>
      </x:c>
      <x:c r="S173" t="s">
        <x:v>44</x:v>
      </x:c>
      <x:c r="T173" t="s">
        <x:v>44</x:v>
      </x:c>
      <x:c r="U173" t="s">
        <x:v>45</x:v>
      </x:c>
      <x:c r="V173" t="s">
        <x:v>60</x:v>
      </x:c>
      <x:c r="W173">
        <x:v>21.19</x:v>
      </x:c>
      <x:c r="X173" t="s">
        <x:v>621</x:v>
      </x:c>
      <x:c r="Y173" t="s">
        <x:v>48</x:v>
      </x:c>
      <x:c r="Z173" t="s">
        <x:v>49</x:v>
      </x:c>
    </x:row>
    <x:row r="174">
      <x:c r="A174" s="1">
        <x:v>46196</x:v>
      </x:c>
      <x:c r="B174" t="s">
        <x:v>904</x:v>
      </x:c>
      <x:c r="C174" t="s">
        <x:v>29</x:v>
      </x:c>
      <x:c r="D174" t="s">
        <x:v>905</x:v>
      </x:c>
      <x:c r="E174" t="s">
        <x:v>31</x:v>
      </x:c>
      <x:c r="F174" t="s">
        <x:v>906</x:v>
      </x:c>
      <x:c r="G174" t="s">
        <x:v>899</x:v>
      </x:c>
      <x:c r="H174" t="s">
        <x:v>900</x:v>
      </x:c>
      <x:c r="I174" t="s">
        <x:v>776</x:v>
      </x:c>
      <x:c r="J174" t="s">
        <x:v>777</x:v>
      </x:c>
      <x:c r="K174" t="s">
        <x:v>37</x:v>
      </x:c>
      <x:c r="L174" t="s">
        <x:v>901</x:v>
      </x:c>
      <x:c r="M174" t="s">
        <x:v>902</x:v>
      </x:c>
      <x:c r="N174" t="s">
        <x:v>899</x:v>
      </x:c>
      <x:c r="O174" t="s">
        <x:v>907</x:v>
      </x:c>
      <x:c r="P174" t="s">
        <x:v>623</x:v>
      </x:c>
      <x:c r="Q174">
        <x:v>1</x:v>
      </x:c>
      <x:c r="R174" t="s">
        <x:v>42</x:v>
      </x:c>
      <x:c r="S174" t="s">
        <x:v>44</x:v>
      </x:c>
      <x:c r="T174" t="s">
        <x:v>44</x:v>
      </x:c>
      <x:c r="U174" t="s">
        <x:v>45</x:v>
      </x:c>
      <x:c r="V174" t="s">
        <x:v>60</x:v>
      </x:c>
      <x:c r="W174">
        <x:v>12.71</x:v>
      </x:c>
      <x:c r="X174" t="s">
        <x:v>621</x:v>
      </x:c>
      <x:c r="Y174" t="s">
        <x:v>48</x:v>
      </x:c>
      <x:c r="Z174" t="s">
        <x:v>49</x:v>
      </x:c>
    </x:row>
    <x:row r="175">
      <x:c r="A175" s="1">
        <x:v>46196</x:v>
      </x:c>
      <x:c r="B175" t="s">
        <x:v>904</x:v>
      </x:c>
      <x:c r="C175" t="s">
        <x:v>29</x:v>
      </x:c>
      <x:c r="D175" t="s">
        <x:v>905</x:v>
      </x:c>
      <x:c r="E175" t="s">
        <x:v>31</x:v>
      </x:c>
      <x:c r="F175" t="s">
        <x:v>906</x:v>
      </x:c>
      <x:c r="G175" t="s">
        <x:v>899</x:v>
      </x:c>
      <x:c r="H175" t="s">
        <x:v>900</x:v>
      </x:c>
      <x:c r="I175" t="s">
        <x:v>776</x:v>
      </x:c>
      <x:c r="J175" t="s">
        <x:v>777</x:v>
      </x:c>
      <x:c r="K175" t="s">
        <x:v>37</x:v>
      </x:c>
      <x:c r="L175" t="s">
        <x:v>901</x:v>
      </x:c>
      <x:c r="M175" t="s">
        <x:v>902</x:v>
      </x:c>
      <x:c r="N175" t="s">
        <x:v>899</x:v>
      </x:c>
      <x:c r="O175" t="s">
        <x:v>907</x:v>
      </x:c>
      <x:c r="P175" t="s">
        <x:v>624</x:v>
      </x:c>
      <x:c r="Q175">
        <x:v>1</x:v>
      </x:c>
      <x:c r="R175" t="s">
        <x:v>42</x:v>
      </x:c>
      <x:c r="S175" t="s">
        <x:v>44</x:v>
      </x:c>
      <x:c r="T175" t="s">
        <x:v>44</x:v>
      </x:c>
      <x:c r="U175" t="s">
        <x:v>45</x:v>
      </x:c>
      <x:c r="V175" t="s">
        <x:v>60</x:v>
      </x:c>
      <x:c r="W175">
        <x:v>12.71</x:v>
      </x:c>
      <x:c r="X175" t="s">
        <x:v>621</x:v>
      </x:c>
      <x:c r="Y175" t="s">
        <x:v>48</x:v>
      </x:c>
      <x:c r="Z175" t="s">
        <x:v>49</x:v>
      </x:c>
    </x:row>
    <x:row r="176">
      <x:c r="A176" s="1">
        <x:v>46196</x:v>
      </x:c>
      <x:c r="B176" t="s">
        <x:v>904</x:v>
      </x:c>
      <x:c r="C176" t="s">
        <x:v>29</x:v>
      </x:c>
      <x:c r="D176" t="s">
        <x:v>905</x:v>
      </x:c>
      <x:c r="E176" t="s">
        <x:v>31</x:v>
      </x:c>
      <x:c r="F176" t="s">
        <x:v>906</x:v>
      </x:c>
      <x:c r="G176" t="s">
        <x:v>899</x:v>
      </x:c>
      <x:c r="H176" t="s">
        <x:v>900</x:v>
      </x:c>
      <x:c r="I176" t="s">
        <x:v>776</x:v>
      </x:c>
      <x:c r="J176" t="s">
        <x:v>777</x:v>
      </x:c>
      <x:c r="K176" t="s">
        <x:v>37</x:v>
      </x:c>
      <x:c r="L176" t="s">
        <x:v>901</x:v>
      </x:c>
      <x:c r="M176" t="s">
        <x:v>902</x:v>
      </x:c>
      <x:c r="N176" t="s">
        <x:v>899</x:v>
      </x:c>
      <x:c r="O176" t="s">
        <x:v>907</x:v>
      </x:c>
      <x:c r="P176" t="s">
        <x:v>835</x:v>
      </x:c>
      <x:c r="Q176">
        <x:v>1</x:v>
      </x:c>
      <x:c r="R176" t="s">
        <x:v>42</x:v>
      </x:c>
      <x:c r="S176" t="s">
        <x:v>44</x:v>
      </x:c>
      <x:c r="T176" t="s">
        <x:v>44</x:v>
      </x:c>
      <x:c r="U176" t="s">
        <x:v>45</x:v>
      </x:c>
      <x:c r="V176" t="s">
        <x:v>60</x:v>
      </x:c>
      <x:c r="W176">
        <x:v>50.85</x:v>
      </x:c>
      <x:c r="X176" t="s">
        <x:v>621</x:v>
      </x:c>
      <x:c r="Y176" t="s">
        <x:v>48</x:v>
      </x:c>
      <x:c r="Z176" t="s">
        <x:v>49</x:v>
      </x:c>
    </x:row>
    <x:row r="177">
      <x:c r="A177" s="1">
        <x:v>46196</x:v>
      </x:c>
      <x:c r="B177" t="s">
        <x:v>908</x:v>
      </x:c>
      <x:c r="C177" t="s">
        <x:v>29</x:v>
      </x:c>
      <x:c r="D177" t="s">
        <x:v>909</x:v>
      </x:c>
      <x:c r="E177" t="s">
        <x:v>31</x:v>
      </x:c>
      <x:c r="F177" t="s">
        <x:v>910</x:v>
      </x:c>
      <x:c r="G177" t="s">
        <x:v>899</x:v>
      </x:c>
      <x:c r="H177" t="s">
        <x:v>900</x:v>
      </x:c>
      <x:c r="I177" t="s">
        <x:v>776</x:v>
      </x:c>
      <x:c r="J177" t="s">
        <x:v>777</x:v>
      </x:c>
      <x:c r="K177" t="s">
        <x:v>37</x:v>
      </x:c>
      <x:c r="L177" t="s">
        <x:v>901</x:v>
      </x:c>
      <x:c r="M177" t="s">
        <x:v>902</x:v>
      </x:c>
      <x:c r="N177" t="s">
        <x:v>899</x:v>
      </x:c>
      <x:c r="O177" t="s">
        <x:v>911</x:v>
      </x:c>
      <x:c r="P177" t="s">
        <x:v>202</x:v>
      </x:c>
      <x:c r="Q177">
        <x:v>1</x:v>
      </x:c>
      <x:c r="R177" t="s">
        <x:v>42</x:v>
      </x:c>
      <x:c r="S177" t="s">
        <x:v>44</x:v>
      </x:c>
      <x:c r="T177" t="s">
        <x:v>44</x:v>
      </x:c>
      <x:c r="U177" t="s">
        <x:v>45</x:v>
      </x:c>
      <x:c r="V177" t="s">
        <x:v>60</x:v>
      </x:c>
      <x:c r="W177">
        <x:v>42.37</x:v>
      </x:c>
      <x:c r="X177" t="s">
        <x:v>47</x:v>
      </x:c>
      <x:c r="Y177" t="s">
        <x:v>48</x:v>
      </x:c>
      <x:c r="Z177" t="s">
        <x:v>49</x:v>
      </x:c>
    </x:row>
    <x:row r="178">
      <x:c r="A178" s="1">
        <x:v>46196</x:v>
      </x:c>
      <x:c r="B178" t="s">
        <x:v>908</x:v>
      </x:c>
      <x:c r="C178" t="s">
        <x:v>29</x:v>
      </x:c>
      <x:c r="D178" t="s">
        <x:v>909</x:v>
      </x:c>
      <x:c r="E178" t="s">
        <x:v>31</x:v>
      </x:c>
      <x:c r="F178" t="s">
        <x:v>910</x:v>
      </x:c>
      <x:c r="G178" t="s">
        <x:v>899</x:v>
      </x:c>
      <x:c r="H178" t="s">
        <x:v>900</x:v>
      </x:c>
      <x:c r="I178" t="s">
        <x:v>776</x:v>
      </x:c>
      <x:c r="J178" t="s">
        <x:v>777</x:v>
      </x:c>
      <x:c r="K178" t="s">
        <x:v>37</x:v>
      </x:c>
      <x:c r="L178" t="s">
        <x:v>901</x:v>
      </x:c>
      <x:c r="M178" t="s">
        <x:v>902</x:v>
      </x:c>
      <x:c r="N178" t="s">
        <x:v>899</x:v>
      </x:c>
      <x:c r="O178" t="s">
        <x:v>911</x:v>
      </x:c>
      <x:c r="P178" t="s">
        <x:v>203</x:v>
      </x:c>
      <x:c r="Q178">
        <x:v>1</x:v>
      </x:c>
      <x:c r="R178" t="s">
        <x:v>42</x:v>
      </x:c>
      <x:c r="S178" t="s">
        <x:v>44</x:v>
      </x:c>
      <x:c r="T178" t="s">
        <x:v>44</x:v>
      </x:c>
      <x:c r="U178" t="s">
        <x:v>45</x:v>
      </x:c>
      <x:c r="V178" t="s">
        <x:v>60</x:v>
      </x:c>
      <x:c r="W178">
        <x:v>42.37</x:v>
      </x:c>
      <x:c r="X178" t="s">
        <x:v>47</x:v>
      </x:c>
      <x:c r="Y178" t="s">
        <x:v>48</x:v>
      </x:c>
      <x:c r="Z178" t="s">
        <x:v>49</x:v>
      </x:c>
    </x:row>
    <x:row r="179">
      <x:c r="A179" s="1">
        <x:v>46196</x:v>
      </x:c>
      <x:c r="B179" t="s">
        <x:v>912</x:v>
      </x:c>
      <x:c r="C179" t="s">
        <x:v>29</x:v>
      </x:c>
      <x:c r="D179" t="s">
        <x:v>913</x:v>
      </x:c>
      <x:c r="E179" t="s">
        <x:v>31</x:v>
      </x:c>
      <x:c r="F179" t="s">
        <x:v>914</x:v>
      </x:c>
      <x:c r="G179" t="s">
        <x:v>915</x:v>
      </x:c>
      <x:c r="H179" t="s">
        <x:v>916</x:v>
      </x:c>
      <x:c r="I179" t="s">
        <x:v>776</x:v>
      </x:c>
      <x:c r="J179" t="s">
        <x:v>777</x:v>
      </x:c>
      <x:c r="K179" t="s">
        <x:v>37</x:v>
      </x:c>
      <x:c r="L179" t="s">
        <x:v>917</x:v>
      </x:c>
      <x:c r="M179" t="s">
        <x:v>918</x:v>
      </x:c>
      <x:c r="N179" t="s">
        <x:v>915</x:v>
      </x:c>
      <x:c r="O179" t="s">
        <x:v>919</x:v>
      </x:c>
      <x:c r="P179" t="s">
        <x:v>202</x:v>
      </x:c>
      <x:c r="Q179">
        <x:v>1</x:v>
      </x:c>
      <x:c r="R179" t="s">
        <x:v>42</x:v>
      </x:c>
      <x:c r="S179" t="s">
        <x:v>44</x:v>
      </x:c>
      <x:c r="T179" t="s">
        <x:v>44</x:v>
      </x:c>
      <x:c r="U179" t="s">
        <x:v>45</x:v>
      </x:c>
      <x:c r="V179" t="s">
        <x:v>60</x:v>
      </x:c>
      <x:c r="W179">
        <x:v>42.37</x:v>
      </x:c>
      <x:c r="X179" t="s">
        <x:v>47</x:v>
      </x:c>
      <x:c r="Y179" t="s">
        <x:v>48</x:v>
      </x:c>
      <x:c r="Z179" t="s">
        <x:v>49</x:v>
      </x:c>
    </x:row>
    <x:row r="180">
      <x:c r="A180" s="1">
        <x:v>46196</x:v>
      </x:c>
      <x:c r="B180" t="s">
        <x:v>912</x:v>
      </x:c>
      <x:c r="C180" t="s">
        <x:v>29</x:v>
      </x:c>
      <x:c r="D180" t="s">
        <x:v>913</x:v>
      </x:c>
      <x:c r="E180" t="s">
        <x:v>31</x:v>
      </x:c>
      <x:c r="F180" t="s">
        <x:v>914</x:v>
      </x:c>
      <x:c r="G180" t="s">
        <x:v>915</x:v>
      </x:c>
      <x:c r="H180" t="s">
        <x:v>916</x:v>
      </x:c>
      <x:c r="I180" t="s">
        <x:v>776</x:v>
      </x:c>
      <x:c r="J180" t="s">
        <x:v>777</x:v>
      </x:c>
      <x:c r="K180" t="s">
        <x:v>37</x:v>
      </x:c>
      <x:c r="L180" t="s">
        <x:v>917</x:v>
      </x:c>
      <x:c r="M180" t="s">
        <x:v>918</x:v>
      </x:c>
      <x:c r="N180" t="s">
        <x:v>915</x:v>
      </x:c>
      <x:c r="O180" t="s">
        <x:v>919</x:v>
      </x:c>
      <x:c r="P180" t="s">
        <x:v>203</x:v>
      </x:c>
      <x:c r="Q180">
        <x:v>1</x:v>
      </x:c>
      <x:c r="R180" t="s">
        <x:v>42</x:v>
      </x:c>
      <x:c r="S180" t="s">
        <x:v>44</x:v>
      </x:c>
      <x:c r="T180" t="s">
        <x:v>44</x:v>
      </x:c>
      <x:c r="U180" t="s">
        <x:v>45</x:v>
      </x:c>
      <x:c r="V180" t="s">
        <x:v>60</x:v>
      </x:c>
      <x:c r="W180">
        <x:v>42.37</x:v>
      </x:c>
      <x:c r="X180" t="s">
        <x:v>47</x:v>
      </x:c>
      <x:c r="Y180" t="s">
        <x:v>48</x:v>
      </x:c>
      <x:c r="Z180" t="s">
        <x:v>49</x:v>
      </x:c>
    </x:row>
    <x:row r="181">
      <x:c r="A181" s="1">
        <x:v>46196</x:v>
      </x:c>
      <x:c r="B181" t="s">
        <x:v>920</x:v>
      </x:c>
      <x:c r="C181" t="s">
        <x:v>29</x:v>
      </x:c>
      <x:c r="D181" t="s">
        <x:v>921</x:v>
      </x:c>
      <x:c r="E181" t="s">
        <x:v>31</x:v>
      </x:c>
      <x:c r="F181" t="s">
        <x:v>922</x:v>
      </x:c>
      <x:c r="G181" t="s">
        <x:v>923</x:v>
      </x:c>
      <x:c r="H181" t="s">
        <x:v>924</x:v>
      </x:c>
      <x:c r="I181" t="s">
        <x:v>776</x:v>
      </x:c>
      <x:c r="J181" t="s">
        <x:v>777</x:v>
      </x:c>
      <x:c r="K181" t="s">
        <x:v>37</x:v>
      </x:c>
      <x:c r="L181" t="s">
        <x:v>925</x:v>
      </x:c>
      <x:c r="M181" t="s">
        <x:v>610</x:v>
      </x:c>
      <x:c r="N181" t="s">
        <x:v>923</x:v>
      </x:c>
      <x:c r="O181" t="s">
        <x:v>926</x:v>
      </x:c>
      <x:c r="P181" t="s">
        <x:v>202</x:v>
      </x:c>
      <x:c r="Q181">
        <x:v>1</x:v>
      </x:c>
      <x:c r="R181" t="s">
        <x:v>42</x:v>
      </x:c>
      <x:c r="S181" t="s">
        <x:v>44</x:v>
      </x:c>
      <x:c r="T181" t="s">
        <x:v>44</x:v>
      </x:c>
      <x:c r="U181" t="s">
        <x:v>45</x:v>
      </x:c>
      <x:c r="V181" t="s">
        <x:v>60</x:v>
      </x:c>
      <x:c r="W181">
        <x:v>42.37</x:v>
      </x:c>
      <x:c r="X181" t="s">
        <x:v>47</x:v>
      </x:c>
      <x:c r="Y181" t="s">
        <x:v>48</x:v>
      </x:c>
      <x:c r="Z181" t="s">
        <x:v>49</x:v>
      </x:c>
    </x:row>
    <x:row r="182">
      <x:c r="A182" s="1">
        <x:v>46196</x:v>
      </x:c>
      <x:c r="B182" t="s">
        <x:v>920</x:v>
      </x:c>
      <x:c r="C182" t="s">
        <x:v>29</x:v>
      </x:c>
      <x:c r="D182" t="s">
        <x:v>921</x:v>
      </x:c>
      <x:c r="E182" t="s">
        <x:v>31</x:v>
      </x:c>
      <x:c r="F182" t="s">
        <x:v>922</x:v>
      </x:c>
      <x:c r="G182" t="s">
        <x:v>923</x:v>
      </x:c>
      <x:c r="H182" t="s">
        <x:v>924</x:v>
      </x:c>
      <x:c r="I182" t="s">
        <x:v>776</x:v>
      </x:c>
      <x:c r="J182" t="s">
        <x:v>777</x:v>
      </x:c>
      <x:c r="K182" t="s">
        <x:v>37</x:v>
      </x:c>
      <x:c r="L182" t="s">
        <x:v>925</x:v>
      </x:c>
      <x:c r="M182" t="s">
        <x:v>610</x:v>
      </x:c>
      <x:c r="N182" t="s">
        <x:v>923</x:v>
      </x:c>
      <x:c r="O182" t="s">
        <x:v>926</x:v>
      </x:c>
      <x:c r="P182" t="s">
        <x:v>203</x:v>
      </x:c>
      <x:c r="Q182">
        <x:v>1</x:v>
      </x:c>
      <x:c r="R182" t="s">
        <x:v>42</x:v>
      </x:c>
      <x:c r="S182" t="s">
        <x:v>44</x:v>
      </x:c>
      <x:c r="T182" t="s">
        <x:v>44</x:v>
      </x:c>
      <x:c r="U182" t="s">
        <x:v>45</x:v>
      </x:c>
      <x:c r="V182" t="s">
        <x:v>60</x:v>
      </x:c>
      <x:c r="W182">
        <x:v>42.37</x:v>
      </x:c>
      <x:c r="X182" t="s">
        <x:v>47</x:v>
      </x:c>
      <x:c r="Y182" t="s">
        <x:v>48</x:v>
      </x:c>
      <x:c r="Z182" t="s">
        <x:v>49</x:v>
      </x:c>
    </x:row>
    <x:row r="183">
      <x:c r="A183" s="1">
        <x:v>46196</x:v>
      </x:c>
      <x:c r="B183" t="s">
        <x:v>927</x:v>
      </x:c>
      <x:c r="C183" t="s">
        <x:v>269</x:v>
      </x:c>
      <x:c r="D183" t="s">
        <x:v>928</x:v>
      </x:c>
      <x:c r="E183" t="s">
        <x:v>31</x:v>
      </x:c>
      <x:c r="F183" t="s">
        <x:v>929</x:v>
      </x:c>
      <x:c r="G183" t="s">
        <x:v>915</x:v>
      </x:c>
      <x:c r="H183" t="s">
        <x:v>916</x:v>
      </x:c>
      <x:c r="I183" t="s">
        <x:v>776</x:v>
      </x:c>
      <x:c r="J183" t="s">
        <x:v>777</x:v>
      </x:c>
      <x:c r="K183" t="s">
        <x:v>37</x:v>
      </x:c>
      <x:c r="L183" t="s">
        <x:v>917</x:v>
      </x:c>
      <x:c r="M183" t="s">
        <x:v>918</x:v>
      </x:c>
      <x:c r="N183" t="s">
        <x:v>800</x:v>
      </x:c>
      <x:c r="O183" t="s">
        <x:v>930</x:v>
      </x:c>
      <x:c r="P183" t="s">
        <x:v>289</x:v>
      </x:c>
      <x:c r="Q183">
        <x:v>1</x:v>
      </x:c>
      <x:c r="R183" t="s">
        <x:v>42</x:v>
      </x:c>
      <x:c r="S183" t="s">
        <x:v>44</x:v>
      </x:c>
      <x:c r="T183" t="s">
        <x:v>44</x:v>
      </x:c>
      <x:c r="U183" t="s">
        <x:v>45</x:v>
      </x:c>
      <x:c r="V183" t="s">
        <x:v>60</x:v>
      </x:c>
      <x:c r="W183">
        <x:v>0</x:v>
      </x:c>
      <x:c r="X183" t="s">
        <x:v>290</x:v>
      </x:c>
      <x:c r="Y183" t="s">
        <x:v>48</x:v>
      </x:c>
      <x:c r="Z183" t="s">
        <x:v>49</x:v>
      </x:c>
    </x:row>
    <x:row r="184">
      <x:c r="A184" s="1">
        <x:v>46196</x:v>
      </x:c>
      <x:c r="B184" t="s">
        <x:v>927</x:v>
      </x:c>
      <x:c r="C184" t="s">
        <x:v>269</x:v>
      </x:c>
      <x:c r="D184" t="s">
        <x:v>928</x:v>
      </x:c>
      <x:c r="E184" t="s">
        <x:v>31</x:v>
      </x:c>
      <x:c r="F184" t="s">
        <x:v>929</x:v>
      </x:c>
      <x:c r="G184" t="s">
        <x:v>915</x:v>
      </x:c>
      <x:c r="H184" t="s">
        <x:v>916</x:v>
      </x:c>
      <x:c r="I184" t="s">
        <x:v>776</x:v>
      </x:c>
      <x:c r="J184" t="s">
        <x:v>777</x:v>
      </x:c>
      <x:c r="K184" t="s">
        <x:v>37</x:v>
      </x:c>
      <x:c r="L184" t="s">
        <x:v>917</x:v>
      </x:c>
      <x:c r="M184" t="s">
        <x:v>918</x:v>
      </x:c>
      <x:c r="N184" t="s">
        <x:v>800</x:v>
      </x:c>
      <x:c r="O184" t="s">
        <x:v>930</x:v>
      </x:c>
      <x:c r="P184" t="s">
        <x:v>291</x:v>
      </x:c>
      <x:c r="Q184">
        <x:v>1</x:v>
      </x:c>
      <x:c r="R184" t="s">
        <x:v>42</x:v>
      </x:c>
      <x:c r="S184" t="s">
        <x:v>44</x:v>
      </x:c>
      <x:c r="T184" t="s">
        <x:v>44</x:v>
      </x:c>
      <x:c r="U184" t="s">
        <x:v>45</x:v>
      </x:c>
      <x:c r="V184" t="s">
        <x:v>60</x:v>
      </x:c>
      <x:c r="W184">
        <x:v>1525.42</x:v>
      </x:c>
      <x:c r="X184" t="s">
        <x:v>290</x:v>
      </x:c>
      <x:c r="Y184" t="s">
        <x:v>48</x:v>
      </x:c>
      <x:c r="Z184" t="s">
        <x:v>49</x:v>
      </x:c>
    </x:row>
    <x:row r="185">
      <x:c r="A185" s="1">
        <x:v>46196</x:v>
      </x:c>
      <x:c r="B185" t="s">
        <x:v>931</x:v>
      </x:c>
      <x:c r="C185" t="s">
        <x:v>269</x:v>
      </x:c>
      <x:c r="D185" t="s">
        <x:v>932</x:v>
      </x:c>
      <x:c r="E185" t="s">
        <x:v>31</x:v>
      </x:c>
      <x:c r="F185" t="s">
        <x:v>933</x:v>
      </x:c>
      <x:c r="G185" t="s">
        <x:v>923</x:v>
      </x:c>
      <x:c r="H185" t="s">
        <x:v>924</x:v>
      </x:c>
      <x:c r="I185" t="s">
        <x:v>776</x:v>
      </x:c>
      <x:c r="J185" t="s">
        <x:v>777</x:v>
      </x:c>
      <x:c r="K185" t="s">
        <x:v>37</x:v>
      </x:c>
      <x:c r="L185" t="s">
        <x:v>925</x:v>
      </x:c>
      <x:c r="M185" t="s">
        <x:v>610</x:v>
      </x:c>
      <x:c r="N185" t="s">
        <x:v>800</x:v>
      </x:c>
      <x:c r="O185" t="s">
        <x:v>934</x:v>
      </x:c>
      <x:c r="P185" t="s">
        <x:v>289</x:v>
      </x:c>
      <x:c r="Q185">
        <x:v>1</x:v>
      </x:c>
      <x:c r="R185" t="s">
        <x:v>42</x:v>
      </x:c>
      <x:c r="S185" t="s">
        <x:v>44</x:v>
      </x:c>
      <x:c r="T185" t="s">
        <x:v>44</x:v>
      </x:c>
      <x:c r="U185" t="s">
        <x:v>45</x:v>
      </x:c>
      <x:c r="V185" t="s">
        <x:v>60</x:v>
      </x:c>
      <x:c r="W185">
        <x:v>0</x:v>
      </x:c>
      <x:c r="X185" t="s">
        <x:v>290</x:v>
      </x:c>
      <x:c r="Y185" t="s">
        <x:v>48</x:v>
      </x:c>
      <x:c r="Z185" t="s">
        <x:v>49</x:v>
      </x:c>
    </x:row>
    <x:row r="186">
      <x:c r="A186" s="1">
        <x:v>46196</x:v>
      </x:c>
      <x:c r="B186" t="s">
        <x:v>931</x:v>
      </x:c>
      <x:c r="C186" t="s">
        <x:v>269</x:v>
      </x:c>
      <x:c r="D186" t="s">
        <x:v>932</x:v>
      </x:c>
      <x:c r="E186" t="s">
        <x:v>31</x:v>
      </x:c>
      <x:c r="F186" t="s">
        <x:v>933</x:v>
      </x:c>
      <x:c r="G186" t="s">
        <x:v>923</x:v>
      </x:c>
      <x:c r="H186" t="s">
        <x:v>924</x:v>
      </x:c>
      <x:c r="I186" t="s">
        <x:v>776</x:v>
      </x:c>
      <x:c r="J186" t="s">
        <x:v>777</x:v>
      </x:c>
      <x:c r="K186" t="s">
        <x:v>37</x:v>
      </x:c>
      <x:c r="L186" t="s">
        <x:v>925</x:v>
      </x:c>
      <x:c r="M186" t="s">
        <x:v>610</x:v>
      </x:c>
      <x:c r="N186" t="s">
        <x:v>800</x:v>
      </x:c>
      <x:c r="O186" t="s">
        <x:v>934</x:v>
      </x:c>
      <x:c r="P186" t="s">
        <x:v>291</x:v>
      </x:c>
      <x:c r="Q186">
        <x:v>1</x:v>
      </x:c>
      <x:c r="R186" t="s">
        <x:v>42</x:v>
      </x:c>
      <x:c r="S186" t="s">
        <x:v>44</x:v>
      </x:c>
      <x:c r="T186" t="s">
        <x:v>44</x:v>
      </x:c>
      <x:c r="U186" t="s">
        <x:v>45</x:v>
      </x:c>
      <x:c r="V186" t="s">
        <x:v>60</x:v>
      </x:c>
      <x:c r="W186">
        <x:v>1525.42</x:v>
      </x:c>
      <x:c r="X186" t="s">
        <x:v>290</x:v>
      </x:c>
      <x:c r="Y186" t="s">
        <x:v>48</x:v>
      </x:c>
      <x:c r="Z186" t="s">
        <x:v>49</x:v>
      </x:c>
    </x:row>
    <x:row r="187">
      <x:c r="A187" s="1">
        <x:v>46196</x:v>
      </x:c>
      <x:c r="B187" t="s">
        <x:v>935</x:v>
      </x:c>
      <x:c r="C187" t="s">
        <x:v>269</x:v>
      </x:c>
      <x:c r="D187" t="s">
        <x:v>936</x:v>
      </x:c>
      <x:c r="E187" t="s">
        <x:v>31</x:v>
      </x:c>
      <x:c r="F187" t="s">
        <x:v>937</x:v>
      </x:c>
      <x:c r="G187" t="s">
        <x:v>899</x:v>
      </x:c>
      <x:c r="H187" t="s">
        <x:v>900</x:v>
      </x:c>
      <x:c r="I187" t="s">
        <x:v>776</x:v>
      </x:c>
      <x:c r="J187" t="s">
        <x:v>777</x:v>
      </x:c>
      <x:c r="K187" t="s">
        <x:v>37</x:v>
      </x:c>
      <x:c r="L187" t="s">
        <x:v>901</x:v>
      </x:c>
      <x:c r="M187" t="s">
        <x:v>902</x:v>
      </x:c>
      <x:c r="N187" t="s">
        <x:v>800</x:v>
      </x:c>
      <x:c r="O187" t="s">
        <x:v>938</x:v>
      </x:c>
      <x:c r="P187" t="s">
        <x:v>289</x:v>
      </x:c>
      <x:c r="Q187">
        <x:v>1</x:v>
      </x:c>
      <x:c r="R187" t="s">
        <x:v>42</x:v>
      </x:c>
      <x:c r="S187" t="s">
        <x:v>44</x:v>
      </x:c>
      <x:c r="T187" t="s">
        <x:v>44</x:v>
      </x:c>
      <x:c r="U187" t="s">
        <x:v>45</x:v>
      </x:c>
      <x:c r="V187" t="s">
        <x:v>60</x:v>
      </x:c>
      <x:c r="W187">
        <x:v>0</x:v>
      </x:c>
      <x:c r="X187" t="s">
        <x:v>290</x:v>
      </x:c>
      <x:c r="Y187" t="s">
        <x:v>48</x:v>
      </x:c>
      <x:c r="Z187" t="s">
        <x:v>49</x:v>
      </x:c>
    </x:row>
    <x:row r="188">
      <x:c r="A188" s="1">
        <x:v>46196</x:v>
      </x:c>
      <x:c r="B188" t="s">
        <x:v>935</x:v>
      </x:c>
      <x:c r="C188" t="s">
        <x:v>269</x:v>
      </x:c>
      <x:c r="D188" t="s">
        <x:v>936</x:v>
      </x:c>
      <x:c r="E188" t="s">
        <x:v>31</x:v>
      </x:c>
      <x:c r="F188" t="s">
        <x:v>937</x:v>
      </x:c>
      <x:c r="G188" t="s">
        <x:v>899</x:v>
      </x:c>
      <x:c r="H188" t="s">
        <x:v>900</x:v>
      </x:c>
      <x:c r="I188" t="s">
        <x:v>776</x:v>
      </x:c>
      <x:c r="J188" t="s">
        <x:v>777</x:v>
      </x:c>
      <x:c r="K188" t="s">
        <x:v>37</x:v>
      </x:c>
      <x:c r="L188" t="s">
        <x:v>901</x:v>
      </x:c>
      <x:c r="M188" t="s">
        <x:v>902</x:v>
      </x:c>
      <x:c r="N188" t="s">
        <x:v>800</x:v>
      </x:c>
      <x:c r="O188" t="s">
        <x:v>938</x:v>
      </x:c>
      <x:c r="P188" t="s">
        <x:v>291</x:v>
      </x:c>
      <x:c r="Q188">
        <x:v>1</x:v>
      </x:c>
      <x:c r="R188" t="s">
        <x:v>42</x:v>
      </x:c>
      <x:c r="S188" t="s">
        <x:v>44</x:v>
      </x:c>
      <x:c r="T188" t="s">
        <x:v>44</x:v>
      </x:c>
      <x:c r="U188" t="s">
        <x:v>45</x:v>
      </x:c>
      <x:c r="V188" t="s">
        <x:v>60</x:v>
      </x:c>
      <x:c r="W188">
        <x:v>1525.42</x:v>
      </x:c>
      <x:c r="X188" t="s">
        <x:v>290</x:v>
      </x:c>
      <x:c r="Y188" t="s">
        <x:v>48</x:v>
      </x:c>
      <x:c r="Z188" t="s">
        <x:v>49</x:v>
      </x:c>
    </x:row>
    <x:row r="189">
      <x:c r="A189" s="1">
        <x:v>46205</x:v>
      </x:c>
      <x:c r="B189" t="s">
        <x:v>939</x:v>
      </x:c>
      <x:c r="C189" t="s">
        <x:v>29</x:v>
      </x:c>
      <x:c r="D189" t="s">
        <x:v>940</x:v>
      </x:c>
      <x:c r="E189" t="s">
        <x:v>31</x:v>
      </x:c>
      <x:c r="F189" t="s">
        <x:v>941</x:v>
      </x:c>
      <x:c r="G189" t="s">
        <x:v>942</x:v>
      </x:c>
      <x:c r="H189" t="s">
        <x:v>943</x:v>
      </x:c>
      <x:c r="I189" t="s">
        <x:v>776</x:v>
      </x:c>
      <x:c r="J189" t="s">
        <x:v>777</x:v>
      </x:c>
      <x:c r="K189" t="s">
        <x:v>37</x:v>
      </x:c>
      <x:c r="L189" t="s">
        <x:v>944</x:v>
      </x:c>
      <x:c r="M189" t="s">
        <x:v>945</x:v>
      </x:c>
      <x:c r="N189" t="s">
        <x:v>942</x:v>
      </x:c>
      <x:c r="O189" t="s">
        <x:v>946</x:v>
      </x:c>
      <x:c r="P189" t="s">
        <x:v>620</x:v>
      </x:c>
      <x:c r="Q189">
        <x:v>1</x:v>
      </x:c>
      <x:c r="R189" t="s">
        <x:v>42</x:v>
      </x:c>
      <x:c r="S189" t="s">
        <x:v>44</x:v>
      </x:c>
      <x:c r="T189" t="s">
        <x:v>44</x:v>
      </x:c>
      <x:c r="U189" t="s">
        <x:v>45</x:v>
      </x:c>
      <x:c r="V189" t="s">
        <x:v>46</x:v>
      </x:c>
      <x:c r="W189">
        <x:v>12.71</x:v>
      </x:c>
      <x:c r="X189" t="s">
        <x:v>621</x:v>
      </x:c>
      <x:c r="Y189" t="s">
        <x:v>48</x:v>
      </x:c>
      <x:c r="Z189" t="s">
        <x:v>49</x:v>
      </x:c>
    </x:row>
    <x:row r="190">
      <x:c r="A190" s="1">
        <x:v>46205</x:v>
      </x:c>
      <x:c r="B190" t="s">
        <x:v>939</x:v>
      </x:c>
      <x:c r="C190" t="s">
        <x:v>29</x:v>
      </x:c>
      <x:c r="D190" t="s">
        <x:v>940</x:v>
      </x:c>
      <x:c r="E190" t="s">
        <x:v>31</x:v>
      </x:c>
      <x:c r="F190" t="s">
        <x:v>941</x:v>
      </x:c>
      <x:c r="G190" t="s">
        <x:v>942</x:v>
      </x:c>
      <x:c r="H190" t="s">
        <x:v>943</x:v>
      </x:c>
      <x:c r="I190" t="s">
        <x:v>776</x:v>
      </x:c>
      <x:c r="J190" t="s">
        <x:v>777</x:v>
      </x:c>
      <x:c r="K190" t="s">
        <x:v>37</x:v>
      </x:c>
      <x:c r="L190" t="s">
        <x:v>944</x:v>
      </x:c>
      <x:c r="M190" t="s">
        <x:v>945</x:v>
      </x:c>
      <x:c r="N190" t="s">
        <x:v>942</x:v>
      </x:c>
      <x:c r="O190" t="s">
        <x:v>946</x:v>
      </x:c>
      <x:c r="P190" t="s">
        <x:v>622</x:v>
      </x:c>
      <x:c r="Q190">
        <x:v>1</x:v>
      </x:c>
      <x:c r="R190" t="s">
        <x:v>42</x:v>
      </x:c>
      <x:c r="S190" t="s">
        <x:v>44</x:v>
      </x:c>
      <x:c r="T190" t="s">
        <x:v>44</x:v>
      </x:c>
      <x:c r="U190" t="s">
        <x:v>45</x:v>
      </x:c>
      <x:c r="V190" t="s">
        <x:v>46</x:v>
      </x:c>
      <x:c r="W190">
        <x:v>21.19</x:v>
      </x:c>
      <x:c r="X190" t="s">
        <x:v>621</x:v>
      </x:c>
      <x:c r="Y190" t="s">
        <x:v>48</x:v>
      </x:c>
      <x:c r="Z190" t="s">
        <x:v>49</x:v>
      </x:c>
    </x:row>
    <x:row r="191">
      <x:c r="A191" s="1">
        <x:v>46205</x:v>
      </x:c>
      <x:c r="B191" t="s">
        <x:v>939</x:v>
      </x:c>
      <x:c r="C191" t="s">
        <x:v>29</x:v>
      </x:c>
      <x:c r="D191" t="s">
        <x:v>940</x:v>
      </x:c>
      <x:c r="E191" t="s">
        <x:v>31</x:v>
      </x:c>
      <x:c r="F191" t="s">
        <x:v>941</x:v>
      </x:c>
      <x:c r="G191" t="s">
        <x:v>942</x:v>
      </x:c>
      <x:c r="H191" t="s">
        <x:v>943</x:v>
      </x:c>
      <x:c r="I191" t="s">
        <x:v>776</x:v>
      </x:c>
      <x:c r="J191" t="s">
        <x:v>777</x:v>
      </x:c>
      <x:c r="K191" t="s">
        <x:v>37</x:v>
      </x:c>
      <x:c r="L191" t="s">
        <x:v>944</x:v>
      </x:c>
      <x:c r="M191" t="s">
        <x:v>945</x:v>
      </x:c>
      <x:c r="N191" t="s">
        <x:v>942</x:v>
      </x:c>
      <x:c r="O191" t="s">
        <x:v>946</x:v>
      </x:c>
      <x:c r="P191" t="s">
        <x:v>623</x:v>
      </x:c>
      <x:c r="Q191">
        <x:v>1</x:v>
      </x:c>
      <x:c r="R191" t="s">
        <x:v>42</x:v>
      </x:c>
      <x:c r="S191" t="s">
        <x:v>44</x:v>
      </x:c>
      <x:c r="T191" t="s">
        <x:v>44</x:v>
      </x:c>
      <x:c r="U191" t="s">
        <x:v>45</x:v>
      </x:c>
      <x:c r="V191" t="s">
        <x:v>46</x:v>
      </x:c>
      <x:c r="W191">
        <x:v>12.71</x:v>
      </x:c>
      <x:c r="X191" t="s">
        <x:v>621</x:v>
      </x:c>
      <x:c r="Y191" t="s">
        <x:v>48</x:v>
      </x:c>
      <x:c r="Z191" t="s">
        <x:v>49</x:v>
      </x:c>
    </x:row>
    <x:row r="192">
      <x:c r="A192" s="1">
        <x:v>46205</x:v>
      </x:c>
      <x:c r="B192" t="s">
        <x:v>939</x:v>
      </x:c>
      <x:c r="C192" t="s">
        <x:v>29</x:v>
      </x:c>
      <x:c r="D192" t="s">
        <x:v>940</x:v>
      </x:c>
      <x:c r="E192" t="s">
        <x:v>31</x:v>
      </x:c>
      <x:c r="F192" t="s">
        <x:v>941</x:v>
      </x:c>
      <x:c r="G192" t="s">
        <x:v>942</x:v>
      </x:c>
      <x:c r="H192" t="s">
        <x:v>943</x:v>
      </x:c>
      <x:c r="I192" t="s">
        <x:v>776</x:v>
      </x:c>
      <x:c r="J192" t="s">
        <x:v>777</x:v>
      </x:c>
      <x:c r="K192" t="s">
        <x:v>37</x:v>
      </x:c>
      <x:c r="L192" t="s">
        <x:v>944</x:v>
      </x:c>
      <x:c r="M192" t="s">
        <x:v>945</x:v>
      </x:c>
      <x:c r="N192" t="s">
        <x:v>942</x:v>
      </x:c>
      <x:c r="O192" t="s">
        <x:v>946</x:v>
      </x:c>
      <x:c r="P192" t="s">
        <x:v>624</x:v>
      </x:c>
      <x:c r="Q192">
        <x:v>1</x:v>
      </x:c>
      <x:c r="R192" t="s">
        <x:v>42</x:v>
      </x:c>
      <x:c r="S192" t="s">
        <x:v>44</x:v>
      </x:c>
      <x:c r="T192" t="s">
        <x:v>44</x:v>
      </x:c>
      <x:c r="U192" t="s">
        <x:v>45</x:v>
      </x:c>
      <x:c r="V192" t="s">
        <x:v>46</x:v>
      </x:c>
      <x:c r="W192">
        <x:v>12.71</x:v>
      </x:c>
      <x:c r="X192" t="s">
        <x:v>621</x:v>
      </x:c>
      <x:c r="Y192" t="s">
        <x:v>48</x:v>
      </x:c>
      <x:c r="Z192" t="s">
        <x:v>49</x:v>
      </x:c>
    </x:row>
    <x:row r="193">
      <x:c r="A193" s="1">
        <x:v>46205</x:v>
      </x:c>
      <x:c r="B193" t="s">
        <x:v>939</x:v>
      </x:c>
      <x:c r="C193" t="s">
        <x:v>29</x:v>
      </x:c>
      <x:c r="D193" t="s">
        <x:v>940</x:v>
      </x:c>
      <x:c r="E193" t="s">
        <x:v>31</x:v>
      </x:c>
      <x:c r="F193" t="s">
        <x:v>941</x:v>
      </x:c>
      <x:c r="G193" t="s">
        <x:v>942</x:v>
      </x:c>
      <x:c r="H193" t="s">
        <x:v>943</x:v>
      </x:c>
      <x:c r="I193" t="s">
        <x:v>776</x:v>
      </x:c>
      <x:c r="J193" t="s">
        <x:v>777</x:v>
      </x:c>
      <x:c r="K193" t="s">
        <x:v>37</x:v>
      </x:c>
      <x:c r="L193" t="s">
        <x:v>944</x:v>
      </x:c>
      <x:c r="M193" t="s">
        <x:v>945</x:v>
      </x:c>
      <x:c r="N193" t="s">
        <x:v>942</x:v>
      </x:c>
      <x:c r="O193" t="s">
        <x:v>946</x:v>
      </x:c>
      <x:c r="P193" t="s">
        <x:v>835</x:v>
      </x:c>
      <x:c r="Q193">
        <x:v>1</x:v>
      </x:c>
      <x:c r="R193" t="s">
        <x:v>42</x:v>
      </x:c>
      <x:c r="S193" t="s">
        <x:v>44</x:v>
      </x:c>
      <x:c r="T193" t="s">
        <x:v>44</x:v>
      </x:c>
      <x:c r="U193" t="s">
        <x:v>45</x:v>
      </x:c>
      <x:c r="V193" t="s">
        <x:v>46</x:v>
      </x:c>
      <x:c r="W193">
        <x:v>50.85</x:v>
      </x:c>
      <x:c r="X193" t="s">
        <x:v>621</x:v>
      </x:c>
      <x:c r="Y193" t="s">
        <x:v>48</x:v>
      </x:c>
      <x:c r="Z193" t="s">
        <x:v>49</x:v>
      </x:c>
    </x:row>
    <x:row r="194">
      <x:c r="A194" s="1">
        <x:v>46205</x:v>
      </x:c>
      <x:c r="B194" t="s">
        <x:v>947</x:v>
      </x:c>
      <x:c r="C194" t="s">
        <x:v>29</x:v>
      </x:c>
      <x:c r="D194" t="s">
        <x:v>948</x:v>
      </x:c>
      <x:c r="E194" t="s">
        <x:v>31</x:v>
      </x:c>
      <x:c r="F194" t="s">
        <x:v>949</x:v>
      </x:c>
      <x:c r="G194" t="s">
        <x:v>942</x:v>
      </x:c>
      <x:c r="H194" t="s">
        <x:v>943</x:v>
      </x:c>
      <x:c r="I194" t="s">
        <x:v>776</x:v>
      </x:c>
      <x:c r="J194" t="s">
        <x:v>777</x:v>
      </x:c>
      <x:c r="K194" t="s">
        <x:v>37</x:v>
      </x:c>
      <x:c r="L194" t="s">
        <x:v>944</x:v>
      </x:c>
      <x:c r="M194" t="s">
        <x:v>945</x:v>
      </x:c>
      <x:c r="N194" t="s">
        <x:v>942</x:v>
      </x:c>
      <x:c r="O194" t="s">
        <x:v>950</x:v>
      </x:c>
      <x:c r="P194" t="s">
        <x:v>202</x:v>
      </x:c>
      <x:c r="Q194">
        <x:v>1</x:v>
      </x:c>
      <x:c r="R194" t="s">
        <x:v>42</x:v>
      </x:c>
      <x:c r="S194" t="s">
        <x:v>44</x:v>
      </x:c>
      <x:c r="T194" t="s">
        <x:v>44</x:v>
      </x:c>
      <x:c r="U194" t="s">
        <x:v>45</x:v>
      </x:c>
      <x:c r="V194" t="s">
        <x:v>46</x:v>
      </x:c>
      <x:c r="W194">
        <x:v>42.37</x:v>
      </x:c>
      <x:c r="X194" t="s">
        <x:v>47</x:v>
      </x:c>
      <x:c r="Y194" t="s">
        <x:v>48</x:v>
      </x:c>
      <x:c r="Z194" t="s">
        <x:v>49</x:v>
      </x:c>
    </x:row>
    <x:row r="195">
      <x:c r="A195" s="1">
        <x:v>46205</x:v>
      </x:c>
      <x:c r="B195" t="s">
        <x:v>947</x:v>
      </x:c>
      <x:c r="C195" t="s">
        <x:v>29</x:v>
      </x:c>
      <x:c r="D195" t="s">
        <x:v>948</x:v>
      </x:c>
      <x:c r="E195" t="s">
        <x:v>31</x:v>
      </x:c>
      <x:c r="F195" t="s">
        <x:v>949</x:v>
      </x:c>
      <x:c r="G195" t="s">
        <x:v>942</x:v>
      </x:c>
      <x:c r="H195" t="s">
        <x:v>943</x:v>
      </x:c>
      <x:c r="I195" t="s">
        <x:v>776</x:v>
      </x:c>
      <x:c r="J195" t="s">
        <x:v>777</x:v>
      </x:c>
      <x:c r="K195" t="s">
        <x:v>37</x:v>
      </x:c>
      <x:c r="L195" t="s">
        <x:v>944</x:v>
      </x:c>
      <x:c r="M195" t="s">
        <x:v>945</x:v>
      </x:c>
      <x:c r="N195" t="s">
        <x:v>942</x:v>
      </x:c>
      <x:c r="O195" t="s">
        <x:v>950</x:v>
      </x:c>
      <x:c r="P195" t="s">
        <x:v>203</x:v>
      </x:c>
      <x:c r="Q195">
        <x:v>1</x:v>
      </x:c>
      <x:c r="R195" t="s">
        <x:v>42</x:v>
      </x:c>
      <x:c r="S195" t="s">
        <x:v>44</x:v>
      </x:c>
      <x:c r="T195" t="s">
        <x:v>44</x:v>
      </x:c>
      <x:c r="U195" t="s">
        <x:v>45</x:v>
      </x:c>
      <x:c r="V195" t="s">
        <x:v>46</x:v>
      </x:c>
      <x:c r="W195">
        <x:v>42.37</x:v>
      </x:c>
      <x:c r="X195" t="s">
        <x:v>47</x:v>
      </x:c>
      <x:c r="Y195" t="s">
        <x:v>48</x:v>
      </x:c>
      <x:c r="Z195" t="s">
        <x:v>49</x:v>
      </x:c>
    </x:row>
    <x:row r="196">
      <x:c r="A196" s="1">
        <x:v>46205</x:v>
      </x:c>
      <x:c r="B196" t="s">
        <x:v>951</x:v>
      </x:c>
      <x:c r="C196" t="s">
        <x:v>29</x:v>
      </x:c>
      <x:c r="D196" t="s">
        <x:v>952</x:v>
      </x:c>
      <x:c r="E196" t="s">
        <x:v>31</x:v>
      </x:c>
      <x:c r="F196" t="s">
        <x:v>953</x:v>
      </x:c>
      <x:c r="G196" t="s">
        <x:v>942</x:v>
      </x:c>
      <x:c r="H196" t="s">
        <x:v>943</x:v>
      </x:c>
      <x:c r="I196" t="s">
        <x:v>776</x:v>
      </x:c>
      <x:c r="J196" t="s">
        <x:v>777</x:v>
      </x:c>
      <x:c r="K196" t="s">
        <x:v>37</x:v>
      </x:c>
      <x:c r="L196" t="s">
        <x:v>944</x:v>
      </x:c>
      <x:c r="M196" t="s">
        <x:v>945</x:v>
      </x:c>
      <x:c r="N196" t="s">
        <x:v>942</x:v>
      </x:c>
      <x:c r="O196" t="s">
        <x:v>954</x:v>
      </x:c>
      <x:c r="P196" t="s">
        <x:v>830</x:v>
      </x:c>
      <x:c r="Q196">
        <x:v>1</x:v>
      </x:c>
      <x:c r="R196" t="s">
        <x:v>42</x:v>
      </x:c>
      <x:c r="S196" t="s">
        <x:v>44</x:v>
      </x:c>
      <x:c r="T196" t="s">
        <x:v>44</x:v>
      </x:c>
      <x:c r="U196" t="s">
        <x:v>45</x:v>
      </x:c>
      <x:c r="V196" t="s">
        <x:v>46</x:v>
      </x:c>
      <x:c r="W196">
        <x:v>127.12</x:v>
      </x:c>
      <x:c r="X196" t="s">
        <x:v>47</x:v>
      </x:c>
      <x:c r="Y196" t="s">
        <x:v>48</x:v>
      </x:c>
      <x:c r="Z196" t="s">
        <x:v>49</x:v>
      </x:c>
    </x:row>
    <x:row r="197">
      <x:c r="A197" s="1">
        <x:v>46205</x:v>
      </x:c>
      <x:c r="B197" t="s">
        <x:v>955</x:v>
      </x:c>
      <x:c r="C197" t="s">
        <x:v>29</x:v>
      </x:c>
      <x:c r="D197" t="s">
        <x:v>956</x:v>
      </x:c>
      <x:c r="E197" t="s">
        <x:v>31</x:v>
      </x:c>
      <x:c r="F197" t="s">
        <x:v>957</x:v>
      </x:c>
      <x:c r="G197" t="s">
        <x:v>958</x:v>
      </x:c>
      <x:c r="H197" t="s">
        <x:v>959</x:v>
      </x:c>
      <x:c r="I197" t="s">
        <x:v>776</x:v>
      </x:c>
      <x:c r="J197" t="s">
        <x:v>777</x:v>
      </x:c>
      <x:c r="K197" t="s">
        <x:v>37</x:v>
      </x:c>
      <x:c r="L197" t="s">
        <x:v>960</x:v>
      </x:c>
      <x:c r="M197" t="s">
        <x:v>961</x:v>
      </x:c>
      <x:c r="N197" t="s">
        <x:v>958</x:v>
      </x:c>
      <x:c r="O197" t="s">
        <x:v>962</x:v>
      </x:c>
      <x:c r="P197" t="s">
        <x:v>202</x:v>
      </x:c>
      <x:c r="Q197">
        <x:v>1</x:v>
      </x:c>
      <x:c r="R197" t="s">
        <x:v>42</x:v>
      </x:c>
      <x:c r="S197" t="s">
        <x:v>44</x:v>
      </x:c>
      <x:c r="T197" t="s">
        <x:v>44</x:v>
      </x:c>
      <x:c r="U197" t="s">
        <x:v>45</x:v>
      </x:c>
      <x:c r="V197" t="s">
        <x:v>60</x:v>
      </x:c>
      <x:c r="W197">
        <x:v>42.37</x:v>
      </x:c>
      <x:c r="X197" t="s">
        <x:v>47</x:v>
      </x:c>
      <x:c r="Y197" t="s">
        <x:v>48</x:v>
      </x:c>
      <x:c r="Z197" t="s">
        <x:v>49</x:v>
      </x:c>
    </x:row>
    <x:row r="198">
      <x:c r="A198" s="1">
        <x:v>46205</x:v>
      </x:c>
      <x:c r="B198" t="s">
        <x:v>955</x:v>
      </x:c>
      <x:c r="C198" t="s">
        <x:v>29</x:v>
      </x:c>
      <x:c r="D198" t="s">
        <x:v>956</x:v>
      </x:c>
      <x:c r="E198" t="s">
        <x:v>31</x:v>
      </x:c>
      <x:c r="F198" t="s">
        <x:v>957</x:v>
      </x:c>
      <x:c r="G198" t="s">
        <x:v>958</x:v>
      </x:c>
      <x:c r="H198" t="s">
        <x:v>959</x:v>
      </x:c>
      <x:c r="I198" t="s">
        <x:v>776</x:v>
      </x:c>
      <x:c r="J198" t="s">
        <x:v>777</x:v>
      </x:c>
      <x:c r="K198" t="s">
        <x:v>37</x:v>
      </x:c>
      <x:c r="L198" t="s">
        <x:v>960</x:v>
      </x:c>
      <x:c r="M198" t="s">
        <x:v>961</x:v>
      </x:c>
      <x:c r="N198" t="s">
        <x:v>958</x:v>
      </x:c>
      <x:c r="O198" t="s">
        <x:v>962</x:v>
      </x:c>
      <x:c r="P198" t="s">
        <x:v>203</x:v>
      </x:c>
      <x:c r="Q198">
        <x:v>1</x:v>
      </x:c>
      <x:c r="R198" t="s">
        <x:v>42</x:v>
      </x:c>
      <x:c r="S198" t="s">
        <x:v>44</x:v>
      </x:c>
      <x:c r="T198" t="s">
        <x:v>44</x:v>
      </x:c>
      <x:c r="U198" t="s">
        <x:v>45</x:v>
      </x:c>
      <x:c r="V198" t="s">
        <x:v>60</x:v>
      </x:c>
      <x:c r="W198">
        <x:v>42.37</x:v>
      </x:c>
      <x:c r="X198" t="s">
        <x:v>47</x:v>
      </x:c>
      <x:c r="Y198" t="s">
        <x:v>48</x:v>
      </x:c>
      <x:c r="Z198" t="s">
        <x:v>49</x:v>
      </x:c>
    </x:row>
    <x:row r="199">
      <x:c r="A199" s="1">
        <x:v>46205</x:v>
      </x:c>
      <x:c r="B199" t="s">
        <x:v>963</x:v>
      </x:c>
      <x:c r="C199" t="s">
        <x:v>29</x:v>
      </x:c>
      <x:c r="D199" t="s">
        <x:v>964</x:v>
      </x:c>
      <x:c r="E199" t="s">
        <x:v>31</x:v>
      </x:c>
      <x:c r="F199" t="s">
        <x:v>965</x:v>
      </x:c>
      <x:c r="G199" t="s">
        <x:v>966</x:v>
      </x:c>
      <x:c r="H199" t="s">
        <x:v>967</x:v>
      </x:c>
      <x:c r="I199" t="s">
        <x:v>776</x:v>
      </x:c>
      <x:c r="J199" t="s">
        <x:v>777</x:v>
      </x:c>
      <x:c r="K199" t="s">
        <x:v>37</x:v>
      </x:c>
      <x:c r="L199" t="s">
        <x:v>968</x:v>
      </x:c>
      <x:c r="M199" t="s">
        <x:v>969</x:v>
      </x:c>
      <x:c r="N199" t="s">
        <x:v>966</x:v>
      </x:c>
      <x:c r="O199" t="s">
        <x:v>970</x:v>
      </x:c>
      <x:c r="P199" t="s">
        <x:v>202</x:v>
      </x:c>
      <x:c r="Q199">
        <x:v>1</x:v>
      </x:c>
      <x:c r="R199" t="s">
        <x:v>42</x:v>
      </x:c>
      <x:c r="S199" t="s">
        <x:v>44</x:v>
      </x:c>
      <x:c r="T199" t="s">
        <x:v>44</x:v>
      </x:c>
      <x:c r="U199" t="s">
        <x:v>45</x:v>
      </x:c>
      <x:c r="V199" t="s">
        <x:v>46</x:v>
      </x:c>
      <x:c r="W199">
        <x:v>42.37</x:v>
      </x:c>
      <x:c r="X199" t="s">
        <x:v>47</x:v>
      </x:c>
      <x:c r="Y199" t="s">
        <x:v>48</x:v>
      </x:c>
      <x:c r="Z199" t="s">
        <x:v>49</x:v>
      </x:c>
    </x:row>
    <x:row r="200">
      <x:c r="A200" s="1">
        <x:v>46205</x:v>
      </x:c>
      <x:c r="B200" t="s">
        <x:v>963</x:v>
      </x:c>
      <x:c r="C200" t="s">
        <x:v>29</x:v>
      </x:c>
      <x:c r="D200" t="s">
        <x:v>964</x:v>
      </x:c>
      <x:c r="E200" t="s">
        <x:v>31</x:v>
      </x:c>
      <x:c r="F200" t="s">
        <x:v>965</x:v>
      </x:c>
      <x:c r="G200" t="s">
        <x:v>966</x:v>
      </x:c>
      <x:c r="H200" t="s">
        <x:v>967</x:v>
      </x:c>
      <x:c r="I200" t="s">
        <x:v>776</x:v>
      </x:c>
      <x:c r="J200" t="s">
        <x:v>777</x:v>
      </x:c>
      <x:c r="K200" t="s">
        <x:v>37</x:v>
      </x:c>
      <x:c r="L200" t="s">
        <x:v>968</x:v>
      </x:c>
      <x:c r="M200" t="s">
        <x:v>969</x:v>
      </x:c>
      <x:c r="N200" t="s">
        <x:v>966</x:v>
      </x:c>
      <x:c r="O200" t="s">
        <x:v>970</x:v>
      </x:c>
      <x:c r="P200" t="s">
        <x:v>203</x:v>
      </x:c>
      <x:c r="Q200">
        <x:v>1</x:v>
      </x:c>
      <x:c r="R200" t="s">
        <x:v>42</x:v>
      </x:c>
      <x:c r="S200" t="s">
        <x:v>44</x:v>
      </x:c>
      <x:c r="T200" t="s">
        <x:v>44</x:v>
      </x:c>
      <x:c r="U200" t="s">
        <x:v>45</x:v>
      </x:c>
      <x:c r="V200" t="s">
        <x:v>46</x:v>
      </x:c>
      <x:c r="W200">
        <x:v>42.37</x:v>
      </x:c>
      <x:c r="X200" t="s">
        <x:v>47</x:v>
      </x:c>
      <x:c r="Y200" t="s">
        <x:v>48</x:v>
      </x:c>
      <x:c r="Z200" t="s">
        <x:v>49</x:v>
      </x:c>
    </x:row>
    <x:row r="201">
      <x:c r="A201" s="1">
        <x:v>46206</x:v>
      </x:c>
      <x:c r="B201" t="s">
        <x:v>971</x:v>
      </x:c>
      <x:c r="C201" t="s">
        <x:v>269</x:v>
      </x:c>
      <x:c r="D201" t="s">
        <x:v>972</x:v>
      </x:c>
      <x:c r="E201" t="s">
        <x:v>31</x:v>
      </x:c>
      <x:c r="F201" t="s">
        <x:v>973</x:v>
      </x:c>
      <x:c r="G201" t="s">
        <x:v>966</x:v>
      </x:c>
      <x:c r="H201" t="s">
        <x:v>967</x:v>
      </x:c>
      <x:c r="I201" t="s">
        <x:v>776</x:v>
      </x:c>
      <x:c r="J201" t="s">
        <x:v>777</x:v>
      </x:c>
      <x:c r="K201" t="s">
        <x:v>37</x:v>
      </x:c>
      <x:c r="L201" t="s">
        <x:v>968</x:v>
      </x:c>
      <x:c r="M201" t="s">
        <x:v>969</x:v>
      </x:c>
      <x:c r="N201" t="s">
        <x:v>800</x:v>
      </x:c>
      <x:c r="O201" t="s">
        <x:v>974</x:v>
      </x:c>
      <x:c r="P201" t="s">
        <x:v>289</x:v>
      </x:c>
      <x:c r="Q201">
        <x:v>1</x:v>
      </x:c>
      <x:c r="R201" t="s">
        <x:v>42</x:v>
      </x:c>
      <x:c r="S201" t="s">
        <x:v>44</x:v>
      </x:c>
      <x:c r="T201" t="s">
        <x:v>44</x:v>
      </x:c>
      <x:c r="U201" t="s">
        <x:v>45</x:v>
      </x:c>
      <x:c r="V201" t="s">
        <x:v>46</x:v>
      </x:c>
      <x:c r="W201">
        <x:v>0</x:v>
      </x:c>
      <x:c r="X201" t="s">
        <x:v>290</x:v>
      </x:c>
      <x:c r="Y201" t="s">
        <x:v>48</x:v>
      </x:c>
      <x:c r="Z201" t="s">
        <x:v>49</x:v>
      </x:c>
    </x:row>
    <x:row r="202">
      <x:c r="A202" s="1">
        <x:v>46206</x:v>
      </x:c>
      <x:c r="B202" t="s">
        <x:v>971</x:v>
      </x:c>
      <x:c r="C202" t="s">
        <x:v>269</x:v>
      </x:c>
      <x:c r="D202" t="s">
        <x:v>972</x:v>
      </x:c>
      <x:c r="E202" t="s">
        <x:v>31</x:v>
      </x:c>
      <x:c r="F202" t="s">
        <x:v>973</x:v>
      </x:c>
      <x:c r="G202" t="s">
        <x:v>966</x:v>
      </x:c>
      <x:c r="H202" t="s">
        <x:v>967</x:v>
      </x:c>
      <x:c r="I202" t="s">
        <x:v>776</x:v>
      </x:c>
      <x:c r="J202" t="s">
        <x:v>777</x:v>
      </x:c>
      <x:c r="K202" t="s">
        <x:v>37</x:v>
      </x:c>
      <x:c r="L202" t="s">
        <x:v>968</x:v>
      </x:c>
      <x:c r="M202" t="s">
        <x:v>969</x:v>
      </x:c>
      <x:c r="N202" t="s">
        <x:v>800</x:v>
      </x:c>
      <x:c r="O202" t="s">
        <x:v>974</x:v>
      </x:c>
      <x:c r="P202" t="s">
        <x:v>975</x:v>
      </x:c>
      <x:c r="Q202">
        <x:v>1</x:v>
      </x:c>
      <x:c r="R202" t="s">
        <x:v>42</x:v>
      </x:c>
      <x:c r="S202" t="s">
        <x:v>44</x:v>
      </x:c>
      <x:c r="T202" t="s">
        <x:v>44</x:v>
      </x:c>
      <x:c r="U202" t="s">
        <x:v>45</x:v>
      </x:c>
      <x:c r="V202" t="s">
        <x:v>46</x:v>
      </x:c>
      <x:c r="W202">
        <x:v>1483.05</x:v>
      </x:c>
      <x:c r="X202" t="s">
        <x:v>290</x:v>
      </x:c>
      <x:c r="Y202" t="s">
        <x:v>48</x:v>
      </x:c>
      <x:c r="Z202" t="s">
        <x:v>49</x:v>
      </x:c>
    </x:row>
    <x:row r="203">
      <x:c r="A203" s="1">
        <x:v>46210</x:v>
      </x:c>
      <x:c r="B203" t="s">
        <x:v>976</x:v>
      </x:c>
      <x:c r="C203" t="s">
        <x:v>269</x:v>
      </x:c>
      <x:c r="D203" t="s">
        <x:v>977</x:v>
      </x:c>
      <x:c r="E203" t="s">
        <x:v>31</x:v>
      </x:c>
      <x:c r="F203" t="s">
        <x:v>978</x:v>
      </x:c>
      <x:c r="G203" t="s">
        <x:v>958</x:v>
      </x:c>
      <x:c r="H203" t="s">
        <x:v>959</x:v>
      </x:c>
      <x:c r="I203" t="s">
        <x:v>776</x:v>
      </x:c>
      <x:c r="J203" t="s">
        <x:v>777</x:v>
      </x:c>
      <x:c r="K203" t="s">
        <x:v>37</x:v>
      </x:c>
      <x:c r="L203" t="s">
        <x:v>960</x:v>
      </x:c>
      <x:c r="M203" t="s">
        <x:v>961</x:v>
      </x:c>
      <x:c r="N203" t="s">
        <x:v>800</x:v>
      </x:c>
      <x:c r="O203" t="s">
        <x:v>979</x:v>
      </x:c>
      <x:c r="P203" t="s">
        <x:v>289</x:v>
      </x:c>
      <x:c r="Q203">
        <x:v>1</x:v>
      </x:c>
      <x:c r="R203" t="s">
        <x:v>42</x:v>
      </x:c>
      <x:c r="S203" t="s">
        <x:v>44</x:v>
      </x:c>
      <x:c r="T203" t="s">
        <x:v>44</x:v>
      </x:c>
      <x:c r="U203" t="s">
        <x:v>45</x:v>
      </x:c>
      <x:c r="V203" t="s">
        <x:v>60</x:v>
      </x:c>
      <x:c r="W203">
        <x:v>0</x:v>
      </x:c>
      <x:c r="X203" t="s">
        <x:v>290</x:v>
      </x:c>
      <x:c r="Y203" t="s">
        <x:v>48</x:v>
      </x:c>
      <x:c r="Z203" t="s">
        <x:v>49</x:v>
      </x:c>
    </x:row>
    <x:row r="204">
      <x:c r="A204" s="1">
        <x:v>46210</x:v>
      </x:c>
      <x:c r="B204" t="s">
        <x:v>976</x:v>
      </x:c>
      <x:c r="C204" t="s">
        <x:v>269</x:v>
      </x:c>
      <x:c r="D204" t="s">
        <x:v>977</x:v>
      </x:c>
      <x:c r="E204" t="s">
        <x:v>31</x:v>
      </x:c>
      <x:c r="F204" t="s">
        <x:v>978</x:v>
      </x:c>
      <x:c r="G204" t="s">
        <x:v>958</x:v>
      </x:c>
      <x:c r="H204" t="s">
        <x:v>959</x:v>
      </x:c>
      <x:c r="I204" t="s">
        <x:v>776</x:v>
      </x:c>
      <x:c r="J204" t="s">
        <x:v>777</x:v>
      </x:c>
      <x:c r="K204" t="s">
        <x:v>37</x:v>
      </x:c>
      <x:c r="L204" t="s">
        <x:v>960</x:v>
      </x:c>
      <x:c r="M204" t="s">
        <x:v>961</x:v>
      </x:c>
      <x:c r="N204" t="s">
        <x:v>800</x:v>
      </x:c>
      <x:c r="O204" t="s">
        <x:v>979</x:v>
      </x:c>
      <x:c r="P204" t="s">
        <x:v>291</x:v>
      </x:c>
      <x:c r="Q204">
        <x:v>1</x:v>
      </x:c>
      <x:c r="R204" t="s">
        <x:v>42</x:v>
      </x:c>
      <x:c r="S204" t="s">
        <x:v>44</x:v>
      </x:c>
      <x:c r="T204" t="s">
        <x:v>44</x:v>
      </x:c>
      <x:c r="U204" t="s">
        <x:v>45</x:v>
      </x:c>
      <x:c r="V204" t="s">
        <x:v>60</x:v>
      </x:c>
      <x:c r="W204">
        <x:v>762.71</x:v>
      </x:c>
      <x:c r="X204" t="s">
        <x:v>290</x:v>
      </x:c>
      <x:c r="Y204" t="s">
        <x:v>48</x:v>
      </x:c>
      <x:c r="Z204" t="s">
        <x:v>49</x:v>
      </x:c>
    </x:row>
    <x:row r="205">
      <x:c r="A205" s="1">
        <x:v>46212</x:v>
      </x:c>
      <x:c r="B205" t="s">
        <x:v>980</x:v>
      </x:c>
      <x:c r="C205" t="s">
        <x:v>29</x:v>
      </x:c>
      <x:c r="D205" t="s">
        <x:v>981</x:v>
      </x:c>
      <x:c r="E205" t="s">
        <x:v>31</x:v>
      </x:c>
      <x:c r="F205" t="s">
        <x:v>982</x:v>
      </x:c>
      <x:c r="G205" t="s">
        <x:v>983</x:v>
      </x:c>
      <x:c r="H205" t="s">
        <x:v>984</x:v>
      </x:c>
      <x:c r="I205" t="s">
        <x:v>776</x:v>
      </x:c>
      <x:c r="J205" t="s">
        <x:v>777</x:v>
      </x:c>
      <x:c r="K205" t="s">
        <x:v>37</x:v>
      </x:c>
      <x:c r="L205" t="s">
        <x:v>985</x:v>
      </x:c>
      <x:c r="M205" t="s">
        <x:v>986</x:v>
      </x:c>
      <x:c r="N205" t="s">
        <x:v>983</x:v>
      </x:c>
      <x:c r="O205" t="s">
        <x:v>987</x:v>
      </x:c>
      <x:c r="P205" t="s">
        <x:v>623</x:v>
      </x:c>
      <x:c r="Q205">
        <x:v>1</x:v>
      </x:c>
      <x:c r="R205" t="s">
        <x:v>42</x:v>
      </x:c>
      <x:c r="S205" t="s">
        <x:v>44</x:v>
      </x:c>
      <x:c r="T205" t="s">
        <x:v>44</x:v>
      </x:c>
      <x:c r="U205" t="s">
        <x:v>45</x:v>
      </x:c>
      <x:c r="V205" t="s">
        <x:v>46</x:v>
      </x:c>
      <x:c r="W205">
        <x:v>12.71</x:v>
      </x:c>
      <x:c r="X205" t="s">
        <x:v>621</x:v>
      </x:c>
      <x:c r="Y205" t="s">
        <x:v>48</x:v>
      </x:c>
      <x:c r="Z205" t="s">
        <x:v>49</x:v>
      </x:c>
    </x:row>
    <x:row r="206">
      <x:c r="A206" s="1">
        <x:v>46212</x:v>
      </x:c>
      <x:c r="B206" t="s">
        <x:v>980</x:v>
      </x:c>
      <x:c r="C206" t="s">
        <x:v>29</x:v>
      </x:c>
      <x:c r="D206" t="s">
        <x:v>981</x:v>
      </x:c>
      <x:c r="E206" t="s">
        <x:v>31</x:v>
      </x:c>
      <x:c r="F206" t="s">
        <x:v>982</x:v>
      </x:c>
      <x:c r="G206" t="s">
        <x:v>983</x:v>
      </x:c>
      <x:c r="H206" t="s">
        <x:v>984</x:v>
      </x:c>
      <x:c r="I206" t="s">
        <x:v>776</x:v>
      </x:c>
      <x:c r="J206" t="s">
        <x:v>777</x:v>
      </x:c>
      <x:c r="K206" t="s">
        <x:v>37</x:v>
      </x:c>
      <x:c r="L206" t="s">
        <x:v>985</x:v>
      </x:c>
      <x:c r="M206" t="s">
        <x:v>986</x:v>
      </x:c>
      <x:c r="N206" t="s">
        <x:v>983</x:v>
      </x:c>
      <x:c r="O206" t="s">
        <x:v>987</x:v>
      </x:c>
      <x:c r="P206" t="s">
        <x:v>620</x:v>
      </x:c>
      <x:c r="Q206">
        <x:v>1</x:v>
      </x:c>
      <x:c r="R206" t="s">
        <x:v>42</x:v>
      </x:c>
      <x:c r="S206" t="s">
        <x:v>44</x:v>
      </x:c>
      <x:c r="T206" t="s">
        <x:v>44</x:v>
      </x:c>
      <x:c r="U206" t="s">
        <x:v>45</x:v>
      </x:c>
      <x:c r="V206" t="s">
        <x:v>46</x:v>
      </x:c>
      <x:c r="W206">
        <x:v>12.71</x:v>
      </x:c>
      <x:c r="X206" t="s">
        <x:v>621</x:v>
      </x:c>
      <x:c r="Y206" t="s">
        <x:v>48</x:v>
      </x:c>
      <x:c r="Z206" t="s">
        <x:v>49</x:v>
      </x:c>
    </x:row>
    <x:row r="207">
      <x:c r="A207" s="1">
        <x:v>46212</x:v>
      </x:c>
      <x:c r="B207" t="s">
        <x:v>980</x:v>
      </x:c>
      <x:c r="C207" t="s">
        <x:v>29</x:v>
      </x:c>
      <x:c r="D207" t="s">
        <x:v>981</x:v>
      </x:c>
      <x:c r="E207" t="s">
        <x:v>31</x:v>
      </x:c>
      <x:c r="F207" t="s">
        <x:v>982</x:v>
      </x:c>
      <x:c r="G207" t="s">
        <x:v>983</x:v>
      </x:c>
      <x:c r="H207" t="s">
        <x:v>984</x:v>
      </x:c>
      <x:c r="I207" t="s">
        <x:v>776</x:v>
      </x:c>
      <x:c r="J207" t="s">
        <x:v>777</x:v>
      </x:c>
      <x:c r="K207" t="s">
        <x:v>37</x:v>
      </x:c>
      <x:c r="L207" t="s">
        <x:v>985</x:v>
      </x:c>
      <x:c r="M207" t="s">
        <x:v>986</x:v>
      </x:c>
      <x:c r="N207" t="s">
        <x:v>983</x:v>
      </x:c>
      <x:c r="O207" t="s">
        <x:v>987</x:v>
      </x:c>
      <x:c r="P207" t="s">
        <x:v>835</x:v>
      </x:c>
      <x:c r="Q207">
        <x:v>1</x:v>
      </x:c>
      <x:c r="R207" t="s">
        <x:v>42</x:v>
      </x:c>
      <x:c r="S207" t="s">
        <x:v>44</x:v>
      </x:c>
      <x:c r="T207" t="s">
        <x:v>44</x:v>
      </x:c>
      <x:c r="U207" t="s">
        <x:v>45</x:v>
      </x:c>
      <x:c r="V207" t="s">
        <x:v>46</x:v>
      </x:c>
      <x:c r="W207">
        <x:v>50.85</x:v>
      </x:c>
      <x:c r="X207" t="s">
        <x:v>621</x:v>
      </x:c>
      <x:c r="Y207" t="s">
        <x:v>48</x:v>
      </x:c>
      <x:c r="Z207" t="s">
        <x:v>49</x:v>
      </x:c>
    </x:row>
    <x:row r="208">
      <x:c r="A208" s="1">
        <x:v>46212</x:v>
      </x:c>
      <x:c r="B208" t="s">
        <x:v>980</x:v>
      </x:c>
      <x:c r="C208" t="s">
        <x:v>29</x:v>
      </x:c>
      <x:c r="D208" t="s">
        <x:v>981</x:v>
      </x:c>
      <x:c r="E208" t="s">
        <x:v>31</x:v>
      </x:c>
      <x:c r="F208" t="s">
        <x:v>982</x:v>
      </x:c>
      <x:c r="G208" t="s">
        <x:v>983</x:v>
      </x:c>
      <x:c r="H208" t="s">
        <x:v>984</x:v>
      </x:c>
      <x:c r="I208" t="s">
        <x:v>776</x:v>
      </x:c>
      <x:c r="J208" t="s">
        <x:v>777</x:v>
      </x:c>
      <x:c r="K208" t="s">
        <x:v>37</x:v>
      </x:c>
      <x:c r="L208" t="s">
        <x:v>985</x:v>
      </x:c>
      <x:c r="M208" t="s">
        <x:v>986</x:v>
      </x:c>
      <x:c r="N208" t="s">
        <x:v>983</x:v>
      </x:c>
      <x:c r="O208" t="s">
        <x:v>987</x:v>
      </x:c>
      <x:c r="P208" t="s">
        <x:v>624</x:v>
      </x:c>
      <x:c r="Q208">
        <x:v>1</x:v>
      </x:c>
      <x:c r="R208" t="s">
        <x:v>42</x:v>
      </x:c>
      <x:c r="S208" t="s">
        <x:v>44</x:v>
      </x:c>
      <x:c r="T208" t="s">
        <x:v>44</x:v>
      </x:c>
      <x:c r="U208" t="s">
        <x:v>45</x:v>
      </x:c>
      <x:c r="V208" t="s">
        <x:v>46</x:v>
      </x:c>
      <x:c r="W208">
        <x:v>12.71</x:v>
      </x:c>
      <x:c r="X208" t="s">
        <x:v>621</x:v>
      </x:c>
      <x:c r="Y208" t="s">
        <x:v>48</x:v>
      </x:c>
      <x:c r="Z208" t="s">
        <x:v>49</x:v>
      </x:c>
    </x:row>
    <x:row r="209">
      <x:c r="A209" s="1">
        <x:v>46212</x:v>
      </x:c>
      <x:c r="B209" t="s">
        <x:v>980</x:v>
      </x:c>
      <x:c r="C209" t="s">
        <x:v>29</x:v>
      </x:c>
      <x:c r="D209" t="s">
        <x:v>981</x:v>
      </x:c>
      <x:c r="E209" t="s">
        <x:v>31</x:v>
      </x:c>
      <x:c r="F209" t="s">
        <x:v>982</x:v>
      </x:c>
      <x:c r="G209" t="s">
        <x:v>983</x:v>
      </x:c>
      <x:c r="H209" t="s">
        <x:v>984</x:v>
      </x:c>
      <x:c r="I209" t="s">
        <x:v>776</x:v>
      </x:c>
      <x:c r="J209" t="s">
        <x:v>777</x:v>
      </x:c>
      <x:c r="K209" t="s">
        <x:v>37</x:v>
      </x:c>
      <x:c r="L209" t="s">
        <x:v>985</x:v>
      </x:c>
      <x:c r="M209" t="s">
        <x:v>986</x:v>
      </x:c>
      <x:c r="N209" t="s">
        <x:v>983</x:v>
      </x:c>
      <x:c r="O209" t="s">
        <x:v>987</x:v>
      </x:c>
      <x:c r="P209" t="s">
        <x:v>622</x:v>
      </x:c>
      <x:c r="Q209">
        <x:v>1</x:v>
      </x:c>
      <x:c r="R209" t="s">
        <x:v>42</x:v>
      </x:c>
      <x:c r="S209" t="s">
        <x:v>44</x:v>
      </x:c>
      <x:c r="T209" t="s">
        <x:v>44</x:v>
      </x:c>
      <x:c r="U209" t="s">
        <x:v>45</x:v>
      </x:c>
      <x:c r="V209" t="s">
        <x:v>46</x:v>
      </x:c>
      <x:c r="W209">
        <x:v>21.19</x:v>
      </x:c>
      <x:c r="X209" t="s">
        <x:v>621</x:v>
      </x:c>
      <x:c r="Y209" t="s">
        <x:v>48</x:v>
      </x:c>
      <x:c r="Z209" t="s">
        <x:v>49</x:v>
      </x:c>
    </x:row>
    <x:row r="210">
      <x:c r="A210" s="1">
        <x:v>46212</x:v>
      </x:c>
      <x:c r="B210" t="s">
        <x:v>988</x:v>
      </x:c>
      <x:c r="C210" t="s">
        <x:v>29</x:v>
      </x:c>
      <x:c r="D210" t="s">
        <x:v>989</x:v>
      </x:c>
      <x:c r="E210" t="s">
        <x:v>31</x:v>
      </x:c>
      <x:c r="F210" t="s">
        <x:v>990</x:v>
      </x:c>
      <x:c r="G210" t="s">
        <x:v>983</x:v>
      </x:c>
      <x:c r="H210" t="s">
        <x:v>984</x:v>
      </x:c>
      <x:c r="I210" t="s">
        <x:v>776</x:v>
      </x:c>
      <x:c r="J210" t="s">
        <x:v>777</x:v>
      </x:c>
      <x:c r="K210" t="s">
        <x:v>37</x:v>
      </x:c>
      <x:c r="L210" t="s">
        <x:v>985</x:v>
      </x:c>
      <x:c r="M210" t="s">
        <x:v>986</x:v>
      </x:c>
      <x:c r="N210" t="s">
        <x:v>983</x:v>
      </x:c>
      <x:c r="O210" t="s">
        <x:v>991</x:v>
      </x:c>
      <x:c r="P210" t="s">
        <x:v>643</x:v>
      </x:c>
      <x:c r="Q210">
        <x:v>1</x:v>
      </x:c>
      <x:c r="R210" t="s">
        <x:v>42</x:v>
      </x:c>
      <x:c r="S210" t="s">
        <x:v>44</x:v>
      </x:c>
      <x:c r="T210" t="s">
        <x:v>44</x:v>
      </x:c>
      <x:c r="U210" t="s">
        <x:v>45</x:v>
      </x:c>
      <x:c r="V210" t="s">
        <x:v>46</x:v>
      </x:c>
      <x:c r="W210">
        <x:v>84.75</x:v>
      </x:c>
      <x:c r="X210" t="s">
        <x:v>47</x:v>
      </x:c>
      <x:c r="Y210" t="s">
        <x:v>48</x:v>
      </x:c>
      <x:c r="Z210" t="s">
        <x:v>49</x:v>
      </x:c>
    </x:row>
    <x:row r="211">
      <x:c r="A211" s="1">
        <x:v>46212</x:v>
      </x:c>
      <x:c r="B211" t="s">
        <x:v>992</x:v>
      </x:c>
      <x:c r="C211" t="s">
        <x:v>29</x:v>
      </x:c>
      <x:c r="D211" t="s">
        <x:v>993</x:v>
      </x:c>
      <x:c r="E211" t="s">
        <x:v>31</x:v>
      </x:c>
      <x:c r="F211" t="s">
        <x:v>994</x:v>
      </x:c>
      <x:c r="G211" t="s">
        <x:v>995</x:v>
      </x:c>
      <x:c r="H211" t="s">
        <x:v>996</x:v>
      </x:c>
      <x:c r="I211" t="s">
        <x:v>776</x:v>
      </x:c>
      <x:c r="J211" t="s">
        <x:v>777</x:v>
      </x:c>
      <x:c r="K211" t="s">
        <x:v>37</x:v>
      </x:c>
      <x:c r="L211" t="s">
        <x:v>997</x:v>
      </x:c>
      <x:c r="M211" t="s">
        <x:v>986</x:v>
      </x:c>
      <x:c r="N211" t="s">
        <x:v>995</x:v>
      </x:c>
      <x:c r="O211" t="s">
        <x:v>998</x:v>
      </x:c>
      <x:c r="P211" t="s">
        <x:v>643</x:v>
      </x:c>
      <x:c r="Q211">
        <x:v>1</x:v>
      </x:c>
      <x:c r="R211" t="s">
        <x:v>42</x:v>
      </x:c>
      <x:c r="S211" t="s">
        <x:v>44</x:v>
      </x:c>
      <x:c r="T211" t="s">
        <x:v>44</x:v>
      </x:c>
      <x:c r="U211" t="s">
        <x:v>45</x:v>
      </x:c>
      <x:c r="V211" t="s">
        <x:v>60</x:v>
      </x:c>
      <x:c r="W211">
        <x:v>84.75</x:v>
      </x:c>
      <x:c r="X211" t="s">
        <x:v>47</x:v>
      </x:c>
      <x:c r="Y211" t="s">
        <x:v>48</x:v>
      </x:c>
      <x:c r="Z211" t="s">
        <x:v>49</x:v>
      </x:c>
    </x:row>
    <x:row r="212">
      <x:c r="A212" s="1">
        <x:v>46212</x:v>
      </x:c>
      <x:c r="B212" t="s">
        <x:v>999</x:v>
      </x:c>
      <x:c r="C212" t="s">
        <x:v>29</x:v>
      </x:c>
      <x:c r="D212" t="s">
        <x:v>1000</x:v>
      </x:c>
      <x:c r="E212" t="s">
        <x:v>31</x:v>
      </x:c>
      <x:c r="F212" t="s">
        <x:v>1001</x:v>
      </x:c>
      <x:c r="G212" t="s">
        <x:v>983</x:v>
      </x:c>
      <x:c r="H212" t="s">
        <x:v>984</x:v>
      </x:c>
      <x:c r="I212" t="s">
        <x:v>776</x:v>
      </x:c>
      <x:c r="J212" t="s">
        <x:v>777</x:v>
      </x:c>
      <x:c r="K212" t="s">
        <x:v>37</x:v>
      </x:c>
      <x:c r="L212" t="s">
        <x:v>985</x:v>
      </x:c>
      <x:c r="M212" t="s">
        <x:v>986</x:v>
      </x:c>
      <x:c r="N212" t="s">
        <x:v>983</x:v>
      </x:c>
      <x:c r="O212" t="s">
        <x:v>1002</x:v>
      </x:c>
      <x:c r="P212" t="s">
        <x:v>830</x:v>
      </x:c>
      <x:c r="Q212">
        <x:v>1</x:v>
      </x:c>
      <x:c r="R212" t="s">
        <x:v>42</x:v>
      </x:c>
      <x:c r="S212" t="s">
        <x:v>44</x:v>
      </x:c>
      <x:c r="T212" t="s">
        <x:v>44</x:v>
      </x:c>
      <x:c r="U212" t="s">
        <x:v>45</x:v>
      </x:c>
      <x:c r="V212" t="s">
        <x:v>46</x:v>
      </x:c>
      <x:c r="W212">
        <x:v>127.12</x:v>
      </x:c>
      <x:c r="X212" t="s">
        <x:v>47</x:v>
      </x:c>
      <x:c r="Y212" t="s">
        <x:v>48</x:v>
      </x:c>
      <x:c r="Z212" t="s">
        <x:v>49</x:v>
      </x:c>
    </x:row>
    <x:row r="213">
      <x:c r="A213" s="1">
        <x:v>46213</x:v>
      </x:c>
      <x:c r="B213" t="s">
        <x:v>1003</x:v>
      </x:c>
      <x:c r="C213" t="s">
        <x:v>269</x:v>
      </x:c>
      <x:c r="D213" t="s">
        <x:v>1004</x:v>
      </x:c>
      <x:c r="E213" t="s">
        <x:v>31</x:v>
      </x:c>
      <x:c r="F213" t="s">
        <x:v>1005</x:v>
      </x:c>
      <x:c r="G213" t="s">
        <x:v>995</x:v>
      </x:c>
      <x:c r="H213" t="s">
        <x:v>996</x:v>
      </x:c>
      <x:c r="I213" t="s">
        <x:v>776</x:v>
      </x:c>
      <x:c r="J213" t="s">
        <x:v>777</x:v>
      </x:c>
      <x:c r="K213" t="s">
        <x:v>37</x:v>
      </x:c>
      <x:c r="L213" t="s">
        <x:v>997</x:v>
      </x:c>
      <x:c r="M213" t="s">
        <x:v>986</x:v>
      </x:c>
      <x:c r="N213" t="s">
        <x:v>800</x:v>
      </x:c>
      <x:c r="O213" t="s">
        <x:v>1006</x:v>
      </x:c>
      <x:c r="P213" t="s">
        <x:v>289</x:v>
      </x:c>
      <x:c r="Q213">
        <x:v>1</x:v>
      </x:c>
      <x:c r="R213" t="s">
        <x:v>42</x:v>
      </x:c>
      <x:c r="S213" t="s">
        <x:v>44</x:v>
      </x:c>
      <x:c r="T213" t="s">
        <x:v>44</x:v>
      </x:c>
      <x:c r="U213" t="s">
        <x:v>45</x:v>
      </x:c>
      <x:c r="V213" t="s">
        <x:v>60</x:v>
      </x:c>
      <x:c r="W213">
        <x:v>0</x:v>
      </x:c>
      <x:c r="X213" t="s">
        <x:v>290</x:v>
      </x:c>
      <x:c r="Y213" t="s">
        <x:v>48</x:v>
      </x:c>
      <x:c r="Z213" t="s">
        <x:v>49</x:v>
      </x:c>
    </x:row>
    <x:row r="214">
      <x:c r="A214" s="1">
        <x:v>46213</x:v>
      </x:c>
      <x:c r="B214" t="s">
        <x:v>1003</x:v>
      </x:c>
      <x:c r="C214" t="s">
        <x:v>269</x:v>
      </x:c>
      <x:c r="D214" t="s">
        <x:v>1004</x:v>
      </x:c>
      <x:c r="E214" t="s">
        <x:v>31</x:v>
      </x:c>
      <x:c r="F214" t="s">
        <x:v>1005</x:v>
      </x:c>
      <x:c r="G214" t="s">
        <x:v>995</x:v>
      </x:c>
      <x:c r="H214" t="s">
        <x:v>996</x:v>
      </x:c>
      <x:c r="I214" t="s">
        <x:v>776</x:v>
      </x:c>
      <x:c r="J214" t="s">
        <x:v>777</x:v>
      </x:c>
      <x:c r="K214" t="s">
        <x:v>37</x:v>
      </x:c>
      <x:c r="L214" t="s">
        <x:v>997</x:v>
      </x:c>
      <x:c r="M214" t="s">
        <x:v>986</x:v>
      </x:c>
      <x:c r="N214" t="s">
        <x:v>800</x:v>
      </x:c>
      <x:c r="O214" t="s">
        <x:v>1006</x:v>
      </x:c>
      <x:c r="P214" t="s">
        <x:v>291</x:v>
      </x:c>
      <x:c r="Q214">
        <x:v>1</x:v>
      </x:c>
      <x:c r="R214" t="s">
        <x:v>42</x:v>
      </x:c>
      <x:c r="S214" t="s">
        <x:v>44</x:v>
      </x:c>
      <x:c r="T214" t="s">
        <x:v>44</x:v>
      </x:c>
      <x:c r="U214" t="s">
        <x:v>45</x:v>
      </x:c>
      <x:c r="V214" t="s">
        <x:v>60</x:v>
      </x:c>
      <x:c r="W214">
        <x:v>762.71</x:v>
      </x:c>
      <x:c r="X214" t="s">
        <x:v>290</x:v>
      </x:c>
      <x:c r="Y214" t="s">
        <x:v>48</x:v>
      </x:c>
      <x:c r="Z214" t="s">
        <x:v>49</x:v>
      </x:c>
    </x:row>
    <x:row r="215">
      <x:c r="A215" s="1">
        <x:v>46213</x:v>
      </x:c>
      <x:c r="B215" t="s">
        <x:v>1007</x:v>
      </x:c>
      <x:c r="C215" t="s">
        <x:v>269</x:v>
      </x:c>
      <x:c r="D215" t="s">
        <x:v>1008</x:v>
      </x:c>
      <x:c r="E215" t="s">
        <x:v>31</x:v>
      </x:c>
      <x:c r="F215" t="s">
        <x:v>1009</x:v>
      </x:c>
      <x:c r="G215" t="s">
        <x:v>983</x:v>
      </x:c>
      <x:c r="H215" t="s">
        <x:v>984</x:v>
      </x:c>
      <x:c r="I215" t="s">
        <x:v>776</x:v>
      </x:c>
      <x:c r="J215" t="s">
        <x:v>777</x:v>
      </x:c>
      <x:c r="K215" t="s">
        <x:v>37</x:v>
      </x:c>
      <x:c r="L215" t="s">
        <x:v>985</x:v>
      </x:c>
      <x:c r="M215" t="s">
        <x:v>986</x:v>
      </x:c>
      <x:c r="N215" t="s">
        <x:v>800</x:v>
      </x:c>
      <x:c r="O215" t="s">
        <x:v>1010</x:v>
      </x:c>
      <x:c r="P215" t="s">
        <x:v>289</x:v>
      </x:c>
      <x:c r="Q215">
        <x:v>1</x:v>
      </x:c>
      <x:c r="R215" t="s">
        <x:v>42</x:v>
      </x:c>
      <x:c r="S215" t="s">
        <x:v>44</x:v>
      </x:c>
      <x:c r="T215" t="s">
        <x:v>44</x:v>
      </x:c>
      <x:c r="U215" t="s">
        <x:v>45</x:v>
      </x:c>
      <x:c r="V215" t="s">
        <x:v>60</x:v>
      </x:c>
      <x:c r="W215">
        <x:v>0</x:v>
      </x:c>
      <x:c r="X215" t="s">
        <x:v>290</x:v>
      </x:c>
      <x:c r="Y215" t="s">
        <x:v>48</x:v>
      </x:c>
      <x:c r="Z215" t="s">
        <x:v>49</x:v>
      </x:c>
    </x:row>
    <x:row r="216">
      <x:c r="A216" s="1">
        <x:v>46213</x:v>
      </x:c>
      <x:c r="B216" t="s">
        <x:v>1007</x:v>
      </x:c>
      <x:c r="C216" t="s">
        <x:v>269</x:v>
      </x:c>
      <x:c r="D216" t="s">
        <x:v>1008</x:v>
      </x:c>
      <x:c r="E216" t="s">
        <x:v>31</x:v>
      </x:c>
      <x:c r="F216" t="s">
        <x:v>1009</x:v>
      </x:c>
      <x:c r="G216" t="s">
        <x:v>983</x:v>
      </x:c>
      <x:c r="H216" t="s">
        <x:v>984</x:v>
      </x:c>
      <x:c r="I216" t="s">
        <x:v>776</x:v>
      </x:c>
      <x:c r="J216" t="s">
        <x:v>777</x:v>
      </x:c>
      <x:c r="K216" t="s">
        <x:v>37</x:v>
      </x:c>
      <x:c r="L216" t="s">
        <x:v>985</x:v>
      </x:c>
      <x:c r="M216" t="s">
        <x:v>986</x:v>
      </x:c>
      <x:c r="N216" t="s">
        <x:v>800</x:v>
      </x:c>
      <x:c r="O216" t="s">
        <x:v>1010</x:v>
      </x:c>
      <x:c r="P216" t="s">
        <x:v>291</x:v>
      </x:c>
      <x:c r="Q216">
        <x:v>1</x:v>
      </x:c>
      <x:c r="R216" t="s">
        <x:v>42</x:v>
      </x:c>
      <x:c r="S216" t="s">
        <x:v>44</x:v>
      </x:c>
      <x:c r="T216" t="s">
        <x:v>44</x:v>
      </x:c>
      <x:c r="U216" t="s">
        <x:v>45</x:v>
      </x:c>
      <x:c r="V216" t="s">
        <x:v>60</x:v>
      </x:c>
      <x:c r="W216">
        <x:v>762.71</x:v>
      </x:c>
      <x:c r="X216" t="s">
        <x:v>290</x:v>
      </x:c>
      <x:c r="Y216" t="s">
        <x:v>48</x:v>
      </x:c>
      <x:c r="Z216" t="s">
        <x:v>49</x:v>
      </x:c>
    </x:row>
    <x:row r="217">
      <x:c r="A217" s="1">
        <x:v>46237</x:v>
      </x:c>
      <x:c r="B217" t="s">
        <x:v>1011</x:v>
      </x:c>
      <x:c r="C217" t="s">
        <x:v>29</x:v>
      </x:c>
      <x:c r="D217" t="s">
        <x:v>1012</x:v>
      </x:c>
      <x:c r="E217" t="s">
        <x:v>31</x:v>
      </x:c>
      <x:c r="F217" t="s">
        <x:v>1013</x:v>
      </x:c>
      <x:c r="G217" t="s">
        <x:v>1014</x:v>
      </x:c>
      <x:c r="H217" t="s">
        <x:v>1015</x:v>
      </x:c>
      <x:c r="I217" t="s">
        <x:v>776</x:v>
      </x:c>
      <x:c r="J217" t="s">
        <x:v>777</x:v>
      </x:c>
      <x:c r="K217" t="s">
        <x:v>37</x:v>
      </x:c>
      <x:c r="L217" t="s">
        <x:v>1016</x:v>
      </x:c>
      <x:c r="M217" t="s">
        <x:v>1017</x:v>
      </x:c>
      <x:c r="N217" t="s">
        <x:v>1014</x:v>
      </x:c>
      <x:c r="O217" t="s">
        <x:v>1018</x:v>
      </x:c>
      <x:c r="P217" t="s">
        <x:v>620</x:v>
      </x:c>
      <x:c r="Q217">
        <x:v>1</x:v>
      </x:c>
      <x:c r="R217" t="s">
        <x:v>42</x:v>
      </x:c>
      <x:c r="S217" t="s">
        <x:v>44</x:v>
      </x:c>
      <x:c r="T217" t="s">
        <x:v>44</x:v>
      </x:c>
      <x:c r="U217" t="s">
        <x:v>45</x:v>
      </x:c>
      <x:c r="V217" t="s">
        <x:v>46</x:v>
      </x:c>
      <x:c r="W217">
        <x:v>12.71</x:v>
      </x:c>
      <x:c r="X217" t="s">
        <x:v>621</x:v>
      </x:c>
      <x:c r="Y217" t="s">
        <x:v>48</x:v>
      </x:c>
      <x:c r="Z217" t="s">
        <x:v>49</x:v>
      </x:c>
    </x:row>
    <x:row r="218">
      <x:c r="A218" s="1">
        <x:v>46237</x:v>
      </x:c>
      <x:c r="B218" t="s">
        <x:v>1011</x:v>
      </x:c>
      <x:c r="C218" t="s">
        <x:v>29</x:v>
      </x:c>
      <x:c r="D218" t="s">
        <x:v>1012</x:v>
      </x:c>
      <x:c r="E218" t="s">
        <x:v>31</x:v>
      </x:c>
      <x:c r="F218" t="s">
        <x:v>1013</x:v>
      </x:c>
      <x:c r="G218" t="s">
        <x:v>1014</x:v>
      </x:c>
      <x:c r="H218" t="s">
        <x:v>1015</x:v>
      </x:c>
      <x:c r="I218" t="s">
        <x:v>776</x:v>
      </x:c>
      <x:c r="J218" t="s">
        <x:v>777</x:v>
      </x:c>
      <x:c r="K218" t="s">
        <x:v>37</x:v>
      </x:c>
      <x:c r="L218" t="s">
        <x:v>1016</x:v>
      </x:c>
      <x:c r="M218" t="s">
        <x:v>1017</x:v>
      </x:c>
      <x:c r="N218" t="s">
        <x:v>1014</x:v>
      </x:c>
      <x:c r="O218" t="s">
        <x:v>1018</x:v>
      </x:c>
      <x:c r="P218" t="s">
        <x:v>622</x:v>
      </x:c>
      <x:c r="Q218">
        <x:v>1</x:v>
      </x:c>
      <x:c r="R218" t="s">
        <x:v>42</x:v>
      </x:c>
      <x:c r="S218" t="s">
        <x:v>44</x:v>
      </x:c>
      <x:c r="T218" t="s">
        <x:v>44</x:v>
      </x:c>
      <x:c r="U218" t="s">
        <x:v>45</x:v>
      </x:c>
      <x:c r="V218" t="s">
        <x:v>46</x:v>
      </x:c>
      <x:c r="W218">
        <x:v>21.19</x:v>
      </x:c>
      <x:c r="X218" t="s">
        <x:v>621</x:v>
      </x:c>
      <x:c r="Y218" t="s">
        <x:v>48</x:v>
      </x:c>
      <x:c r="Z218" t="s">
        <x:v>49</x:v>
      </x:c>
    </x:row>
    <x:row r="219">
      <x:c r="A219" s="1">
        <x:v>46237</x:v>
      </x:c>
      <x:c r="B219" t="s">
        <x:v>1011</x:v>
      </x:c>
      <x:c r="C219" t="s">
        <x:v>29</x:v>
      </x:c>
      <x:c r="D219" t="s">
        <x:v>1012</x:v>
      </x:c>
      <x:c r="E219" t="s">
        <x:v>31</x:v>
      </x:c>
      <x:c r="F219" t="s">
        <x:v>1013</x:v>
      </x:c>
      <x:c r="G219" t="s">
        <x:v>1014</x:v>
      </x:c>
      <x:c r="H219" t="s">
        <x:v>1015</x:v>
      </x:c>
      <x:c r="I219" t="s">
        <x:v>776</x:v>
      </x:c>
      <x:c r="J219" t="s">
        <x:v>777</x:v>
      </x:c>
      <x:c r="K219" t="s">
        <x:v>37</x:v>
      </x:c>
      <x:c r="L219" t="s">
        <x:v>1016</x:v>
      </x:c>
      <x:c r="M219" t="s">
        <x:v>1017</x:v>
      </x:c>
      <x:c r="N219" t="s">
        <x:v>1014</x:v>
      </x:c>
      <x:c r="O219" t="s">
        <x:v>1018</x:v>
      </x:c>
      <x:c r="P219" t="s">
        <x:v>623</x:v>
      </x:c>
      <x:c r="Q219">
        <x:v>1</x:v>
      </x:c>
      <x:c r="R219" t="s">
        <x:v>42</x:v>
      </x:c>
      <x:c r="S219" t="s">
        <x:v>44</x:v>
      </x:c>
      <x:c r="T219" t="s">
        <x:v>44</x:v>
      </x:c>
      <x:c r="U219" t="s">
        <x:v>45</x:v>
      </x:c>
      <x:c r="V219" t="s">
        <x:v>46</x:v>
      </x:c>
      <x:c r="W219">
        <x:v>12.71</x:v>
      </x:c>
      <x:c r="X219" t="s">
        <x:v>621</x:v>
      </x:c>
      <x:c r="Y219" t="s">
        <x:v>48</x:v>
      </x:c>
      <x:c r="Z219" t="s">
        <x:v>49</x:v>
      </x:c>
    </x:row>
    <x:row r="220">
      <x:c r="A220" s="1">
        <x:v>46237</x:v>
      </x:c>
      <x:c r="B220" t="s">
        <x:v>1011</x:v>
      </x:c>
      <x:c r="C220" t="s">
        <x:v>29</x:v>
      </x:c>
      <x:c r="D220" t="s">
        <x:v>1012</x:v>
      </x:c>
      <x:c r="E220" t="s">
        <x:v>31</x:v>
      </x:c>
      <x:c r="F220" t="s">
        <x:v>1013</x:v>
      </x:c>
      <x:c r="G220" t="s">
        <x:v>1014</x:v>
      </x:c>
      <x:c r="H220" t="s">
        <x:v>1015</x:v>
      </x:c>
      <x:c r="I220" t="s">
        <x:v>776</x:v>
      </x:c>
      <x:c r="J220" t="s">
        <x:v>777</x:v>
      </x:c>
      <x:c r="K220" t="s">
        <x:v>37</x:v>
      </x:c>
      <x:c r="L220" t="s">
        <x:v>1016</x:v>
      </x:c>
      <x:c r="M220" t="s">
        <x:v>1017</x:v>
      </x:c>
      <x:c r="N220" t="s">
        <x:v>1014</x:v>
      </x:c>
      <x:c r="O220" t="s">
        <x:v>1018</x:v>
      </x:c>
      <x:c r="P220" t="s">
        <x:v>624</x:v>
      </x:c>
      <x:c r="Q220">
        <x:v>1</x:v>
      </x:c>
      <x:c r="R220" t="s">
        <x:v>42</x:v>
      </x:c>
      <x:c r="S220" t="s">
        <x:v>44</x:v>
      </x:c>
      <x:c r="T220" t="s">
        <x:v>44</x:v>
      </x:c>
      <x:c r="U220" t="s">
        <x:v>45</x:v>
      </x:c>
      <x:c r="V220" t="s">
        <x:v>46</x:v>
      </x:c>
      <x:c r="W220">
        <x:v>12.71</x:v>
      </x:c>
      <x:c r="X220" t="s">
        <x:v>621</x:v>
      </x:c>
      <x:c r="Y220" t="s">
        <x:v>48</x:v>
      </x:c>
      <x:c r="Z220" t="s">
        <x:v>49</x:v>
      </x:c>
    </x:row>
    <x:row r="221">
      <x:c r="A221" s="1">
        <x:v>46237</x:v>
      </x:c>
      <x:c r="B221" t="s">
        <x:v>1011</x:v>
      </x:c>
      <x:c r="C221" t="s">
        <x:v>29</x:v>
      </x:c>
      <x:c r="D221" t="s">
        <x:v>1012</x:v>
      </x:c>
      <x:c r="E221" t="s">
        <x:v>31</x:v>
      </x:c>
      <x:c r="F221" t="s">
        <x:v>1013</x:v>
      </x:c>
      <x:c r="G221" t="s">
        <x:v>1014</x:v>
      </x:c>
      <x:c r="H221" t="s">
        <x:v>1015</x:v>
      </x:c>
      <x:c r="I221" t="s">
        <x:v>776</x:v>
      </x:c>
      <x:c r="J221" t="s">
        <x:v>777</x:v>
      </x:c>
      <x:c r="K221" t="s">
        <x:v>37</x:v>
      </x:c>
      <x:c r="L221" t="s">
        <x:v>1016</x:v>
      </x:c>
      <x:c r="M221" t="s">
        <x:v>1017</x:v>
      </x:c>
      <x:c r="N221" t="s">
        <x:v>1014</x:v>
      </x:c>
      <x:c r="O221" t="s">
        <x:v>1018</x:v>
      </x:c>
      <x:c r="P221" t="s">
        <x:v>835</x:v>
      </x:c>
      <x:c r="Q221">
        <x:v>1</x:v>
      </x:c>
      <x:c r="R221" t="s">
        <x:v>42</x:v>
      </x:c>
      <x:c r="S221" t="s">
        <x:v>44</x:v>
      </x:c>
      <x:c r="T221" t="s">
        <x:v>44</x:v>
      </x:c>
      <x:c r="U221" t="s">
        <x:v>45</x:v>
      </x:c>
      <x:c r="V221" t="s">
        <x:v>46</x:v>
      </x:c>
      <x:c r="W221">
        <x:v>50.85</x:v>
      </x:c>
      <x:c r="X221" t="s">
        <x:v>621</x:v>
      </x:c>
      <x:c r="Y221" t="s">
        <x:v>48</x:v>
      </x:c>
      <x:c r="Z221" t="s">
        <x:v>49</x:v>
      </x:c>
    </x:row>
    <x:row r="222">
      <x:c r="A222" s="1">
        <x:v>46237</x:v>
      </x:c>
      <x:c r="B222" t="s">
        <x:v>1019</x:v>
      </x:c>
      <x:c r="C222" t="s">
        <x:v>29</x:v>
      </x:c>
      <x:c r="D222" t="s">
        <x:v>1020</x:v>
      </x:c>
      <x:c r="E222" t="s">
        <x:v>31</x:v>
      </x:c>
      <x:c r="F222" t="s">
        <x:v>1021</x:v>
      </x:c>
      <x:c r="G222" t="s">
        <x:v>1014</x:v>
      </x:c>
      <x:c r="H222" t="s">
        <x:v>1015</x:v>
      </x:c>
      <x:c r="I222" t="s">
        <x:v>776</x:v>
      </x:c>
      <x:c r="J222" t="s">
        <x:v>777</x:v>
      </x:c>
      <x:c r="K222" t="s">
        <x:v>37</x:v>
      </x:c>
      <x:c r="L222" t="s">
        <x:v>1016</x:v>
      </x:c>
      <x:c r="M222" t="s">
        <x:v>1017</x:v>
      </x:c>
      <x:c r="N222" t="s">
        <x:v>1014</x:v>
      </x:c>
      <x:c r="O222" t="s">
        <x:v>1022</x:v>
      </x:c>
      <x:c r="P222" t="s">
        <x:v>830</x:v>
      </x:c>
      <x:c r="Q222">
        <x:v>1</x:v>
      </x:c>
      <x:c r="R222" t="s">
        <x:v>42</x:v>
      </x:c>
      <x:c r="S222" t="s">
        <x:v>44</x:v>
      </x:c>
      <x:c r="T222" t="s">
        <x:v>44</x:v>
      </x:c>
      <x:c r="U222" t="s">
        <x:v>45</x:v>
      </x:c>
      <x:c r="V222" t="s">
        <x:v>46</x:v>
      </x:c>
      <x:c r="W222">
        <x:v>127.12</x:v>
      </x:c>
      <x:c r="X222" t="s">
        <x:v>47</x:v>
      </x:c>
      <x:c r="Y222" t="s">
        <x:v>48</x:v>
      </x:c>
      <x:c r="Z222" t="s">
        <x:v>49</x:v>
      </x:c>
    </x:row>
    <x:row r="223">
      <x:c r="A223" s="1">
        <x:v>46237</x:v>
      </x:c>
      <x:c r="B223" t="s">
        <x:v>1023</x:v>
      </x:c>
      <x:c r="C223" t="s">
        <x:v>29</x:v>
      </x:c>
      <x:c r="D223" t="s">
        <x:v>1024</x:v>
      </x:c>
      <x:c r="E223" t="s">
        <x:v>31</x:v>
      </x:c>
      <x:c r="F223" t="s">
        <x:v>1025</x:v>
      </x:c>
      <x:c r="G223" t="s">
        <x:v>1014</x:v>
      </x:c>
      <x:c r="H223" t="s">
        <x:v>1015</x:v>
      </x:c>
      <x:c r="I223" t="s">
        <x:v>776</x:v>
      </x:c>
      <x:c r="J223" t="s">
        <x:v>777</x:v>
      </x:c>
      <x:c r="K223" t="s">
        <x:v>37</x:v>
      </x:c>
      <x:c r="L223" t="s">
        <x:v>1016</x:v>
      </x:c>
      <x:c r="M223" t="s">
        <x:v>1017</x:v>
      </x:c>
      <x:c r="N223" t="s">
        <x:v>1014</x:v>
      </x:c>
      <x:c r="O223" t="s">
        <x:v>1026</x:v>
      </x:c>
      <x:c r="P223" t="s">
        <x:v>643</x:v>
      </x:c>
      <x:c r="Q223">
        <x:v>1</x:v>
      </x:c>
      <x:c r="R223" t="s">
        <x:v>42</x:v>
      </x:c>
      <x:c r="S223" t="s">
        <x:v>44</x:v>
      </x:c>
      <x:c r="T223" t="s">
        <x:v>44</x:v>
      </x:c>
      <x:c r="U223" t="s">
        <x:v>45</x:v>
      </x:c>
      <x:c r="V223" t="s">
        <x:v>46</x:v>
      </x:c>
      <x:c r="W223">
        <x:v>84.75</x:v>
      </x:c>
      <x:c r="X223" t="s">
        <x:v>47</x:v>
      </x:c>
      <x:c r="Y223" t="s">
        <x:v>48</x:v>
      </x:c>
      <x:c r="Z223" t="s">
        <x:v>49</x:v>
      </x:c>
    </x:row>
    <x:row r="224">
      <x:c r="A224" s="1">
        <x:v>46238</x:v>
      </x:c>
      <x:c r="B224" t="s">
        <x:v>1027</x:v>
      </x:c>
      <x:c r="C224" t="s">
        <x:v>29</x:v>
      </x:c>
      <x:c r="D224" t="s">
        <x:v>1028</x:v>
      </x:c>
      <x:c r="E224" t="s">
        <x:v>31</x:v>
      </x:c>
      <x:c r="F224" t="s">
        <x:v>1029</x:v>
      </x:c>
      <x:c r="G224" t="s">
        <x:v>1030</x:v>
      </x:c>
      <x:c r="H224" t="s">
        <x:v>1031</x:v>
      </x:c>
      <x:c r="I224" t="s">
        <x:v>776</x:v>
      </x:c>
      <x:c r="J224" t="s">
        <x:v>777</x:v>
      </x:c>
      <x:c r="K224" t="s">
        <x:v>37</x:v>
      </x:c>
      <x:c r="L224" t="s">
        <x:v>1032</x:v>
      </x:c>
      <x:c r="M224" t="s">
        <x:v>1033</x:v>
      </x:c>
      <x:c r="N224" t="s">
        <x:v>1030</x:v>
      </x:c>
      <x:c r="O224" t="s">
        <x:v>1034</x:v>
      </x:c>
      <x:c r="P224" t="s">
        <x:v>830</x:v>
      </x:c>
      <x:c r="Q224">
        <x:v>1</x:v>
      </x:c>
      <x:c r="R224" t="s">
        <x:v>42</x:v>
      </x:c>
      <x:c r="S224" t="s">
        <x:v>44</x:v>
      </x:c>
      <x:c r="T224" t="s">
        <x:v>44</x:v>
      </x:c>
      <x:c r="U224" t="s">
        <x:v>45</x:v>
      </x:c>
      <x:c r="V224" t="s">
        <x:v>46</x:v>
      </x:c>
      <x:c r="W224">
        <x:v>127.12</x:v>
      </x:c>
      <x:c r="X224" t="s">
        <x:v>47</x:v>
      </x:c>
      <x:c r="Y224" t="s">
        <x:v>48</x:v>
      </x:c>
      <x:c r="Z224" t="s">
        <x:v>49</x:v>
      </x:c>
    </x:row>
    <x:row r="225">
      <x:c r="A225" s="1">
        <x:v>46238</x:v>
      </x:c>
      <x:c r="B225" t="s">
        <x:v>1035</x:v>
      </x:c>
      <x:c r="C225" t="s">
        <x:v>29</x:v>
      </x:c>
      <x:c r="D225" t="s">
        <x:v>1036</x:v>
      </x:c>
      <x:c r="E225" t="s">
        <x:v>31</x:v>
      </x:c>
      <x:c r="F225" t="s">
        <x:v>1037</x:v>
      </x:c>
      <x:c r="G225" t="s">
        <x:v>1030</x:v>
      </x:c>
      <x:c r="H225" t="s">
        <x:v>1031</x:v>
      </x:c>
      <x:c r="I225" t="s">
        <x:v>776</x:v>
      </x:c>
      <x:c r="J225" t="s">
        <x:v>777</x:v>
      </x:c>
      <x:c r="K225" t="s">
        <x:v>37</x:v>
      </x:c>
      <x:c r="L225" t="s">
        <x:v>1032</x:v>
      </x:c>
      <x:c r="M225" t="s">
        <x:v>1033</x:v>
      </x:c>
      <x:c r="N225" t="s">
        <x:v>1030</x:v>
      </x:c>
      <x:c r="O225" t="s">
        <x:v>1038</x:v>
      </x:c>
      <x:c r="P225" t="s">
        <x:v>620</x:v>
      </x:c>
      <x:c r="Q225">
        <x:v>1</x:v>
      </x:c>
      <x:c r="R225" t="s">
        <x:v>42</x:v>
      </x:c>
      <x:c r="S225" t="s">
        <x:v>44</x:v>
      </x:c>
      <x:c r="T225" t="s">
        <x:v>44</x:v>
      </x:c>
      <x:c r="U225" t="s">
        <x:v>45</x:v>
      </x:c>
      <x:c r="V225" t="s">
        <x:v>46</x:v>
      </x:c>
      <x:c r="W225">
        <x:v>12.71</x:v>
      </x:c>
      <x:c r="X225" t="s">
        <x:v>621</x:v>
      </x:c>
      <x:c r="Y225" t="s">
        <x:v>48</x:v>
      </x:c>
      <x:c r="Z225" t="s">
        <x:v>49</x:v>
      </x:c>
    </x:row>
    <x:row r="226">
      <x:c r="A226" s="1">
        <x:v>46238</x:v>
      </x:c>
      <x:c r="B226" t="s">
        <x:v>1035</x:v>
      </x:c>
      <x:c r="C226" t="s">
        <x:v>29</x:v>
      </x:c>
      <x:c r="D226" t="s">
        <x:v>1036</x:v>
      </x:c>
      <x:c r="E226" t="s">
        <x:v>31</x:v>
      </x:c>
      <x:c r="F226" t="s">
        <x:v>1037</x:v>
      </x:c>
      <x:c r="G226" t="s">
        <x:v>1030</x:v>
      </x:c>
      <x:c r="H226" t="s">
        <x:v>1031</x:v>
      </x:c>
      <x:c r="I226" t="s">
        <x:v>776</x:v>
      </x:c>
      <x:c r="J226" t="s">
        <x:v>777</x:v>
      </x:c>
      <x:c r="K226" t="s">
        <x:v>37</x:v>
      </x:c>
      <x:c r="L226" t="s">
        <x:v>1032</x:v>
      </x:c>
      <x:c r="M226" t="s">
        <x:v>1033</x:v>
      </x:c>
      <x:c r="N226" t="s">
        <x:v>1030</x:v>
      </x:c>
      <x:c r="O226" t="s">
        <x:v>1038</x:v>
      </x:c>
      <x:c r="P226" t="s">
        <x:v>622</x:v>
      </x:c>
      <x:c r="Q226">
        <x:v>1</x:v>
      </x:c>
      <x:c r="R226" t="s">
        <x:v>42</x:v>
      </x:c>
      <x:c r="S226" t="s">
        <x:v>44</x:v>
      </x:c>
      <x:c r="T226" t="s">
        <x:v>44</x:v>
      </x:c>
      <x:c r="U226" t="s">
        <x:v>45</x:v>
      </x:c>
      <x:c r="V226" t="s">
        <x:v>46</x:v>
      </x:c>
      <x:c r="W226">
        <x:v>21.19</x:v>
      </x:c>
      <x:c r="X226" t="s">
        <x:v>621</x:v>
      </x:c>
      <x:c r="Y226" t="s">
        <x:v>48</x:v>
      </x:c>
      <x:c r="Z226" t="s">
        <x:v>49</x:v>
      </x:c>
    </x:row>
    <x:row r="227">
      <x:c r="A227" s="1">
        <x:v>46238</x:v>
      </x:c>
      <x:c r="B227" t="s">
        <x:v>1035</x:v>
      </x:c>
      <x:c r="C227" t="s">
        <x:v>29</x:v>
      </x:c>
      <x:c r="D227" t="s">
        <x:v>1036</x:v>
      </x:c>
      <x:c r="E227" t="s">
        <x:v>31</x:v>
      </x:c>
      <x:c r="F227" t="s">
        <x:v>1037</x:v>
      </x:c>
      <x:c r="G227" t="s">
        <x:v>1030</x:v>
      </x:c>
      <x:c r="H227" t="s">
        <x:v>1031</x:v>
      </x:c>
      <x:c r="I227" t="s">
        <x:v>776</x:v>
      </x:c>
      <x:c r="J227" t="s">
        <x:v>777</x:v>
      </x:c>
      <x:c r="K227" t="s">
        <x:v>37</x:v>
      </x:c>
      <x:c r="L227" t="s">
        <x:v>1032</x:v>
      </x:c>
      <x:c r="M227" t="s">
        <x:v>1033</x:v>
      </x:c>
      <x:c r="N227" t="s">
        <x:v>1030</x:v>
      </x:c>
      <x:c r="O227" t="s">
        <x:v>1038</x:v>
      </x:c>
      <x:c r="P227" t="s">
        <x:v>623</x:v>
      </x:c>
      <x:c r="Q227">
        <x:v>1</x:v>
      </x:c>
      <x:c r="R227" t="s">
        <x:v>42</x:v>
      </x:c>
      <x:c r="S227" t="s">
        <x:v>44</x:v>
      </x:c>
      <x:c r="T227" t="s">
        <x:v>44</x:v>
      </x:c>
      <x:c r="U227" t="s">
        <x:v>45</x:v>
      </x:c>
      <x:c r="V227" t="s">
        <x:v>46</x:v>
      </x:c>
      <x:c r="W227">
        <x:v>12.71</x:v>
      </x:c>
      <x:c r="X227" t="s">
        <x:v>621</x:v>
      </x:c>
      <x:c r="Y227" t="s">
        <x:v>48</x:v>
      </x:c>
      <x:c r="Z227" t="s">
        <x:v>49</x:v>
      </x:c>
    </x:row>
    <x:row r="228">
      <x:c r="A228" s="1">
        <x:v>46238</x:v>
      </x:c>
      <x:c r="B228" t="s">
        <x:v>1035</x:v>
      </x:c>
      <x:c r="C228" t="s">
        <x:v>29</x:v>
      </x:c>
      <x:c r="D228" t="s">
        <x:v>1036</x:v>
      </x:c>
      <x:c r="E228" t="s">
        <x:v>31</x:v>
      </x:c>
      <x:c r="F228" t="s">
        <x:v>1037</x:v>
      </x:c>
      <x:c r="G228" t="s">
        <x:v>1030</x:v>
      </x:c>
      <x:c r="H228" t="s">
        <x:v>1031</x:v>
      </x:c>
      <x:c r="I228" t="s">
        <x:v>776</x:v>
      </x:c>
      <x:c r="J228" t="s">
        <x:v>777</x:v>
      </x:c>
      <x:c r="K228" t="s">
        <x:v>37</x:v>
      </x:c>
      <x:c r="L228" t="s">
        <x:v>1032</x:v>
      </x:c>
      <x:c r="M228" t="s">
        <x:v>1033</x:v>
      </x:c>
      <x:c r="N228" t="s">
        <x:v>1030</x:v>
      </x:c>
      <x:c r="O228" t="s">
        <x:v>1038</x:v>
      </x:c>
      <x:c r="P228" t="s">
        <x:v>624</x:v>
      </x:c>
      <x:c r="Q228">
        <x:v>1</x:v>
      </x:c>
      <x:c r="R228" t="s">
        <x:v>42</x:v>
      </x:c>
      <x:c r="S228" t="s">
        <x:v>44</x:v>
      </x:c>
      <x:c r="T228" t="s">
        <x:v>44</x:v>
      </x:c>
      <x:c r="U228" t="s">
        <x:v>45</x:v>
      </x:c>
      <x:c r="V228" t="s">
        <x:v>46</x:v>
      </x:c>
      <x:c r="W228">
        <x:v>12.71</x:v>
      </x:c>
      <x:c r="X228" t="s">
        <x:v>621</x:v>
      </x:c>
      <x:c r="Y228" t="s">
        <x:v>48</x:v>
      </x:c>
      <x:c r="Z228" t="s">
        <x:v>49</x:v>
      </x:c>
    </x:row>
    <x:row r="229">
      <x:c r="A229" s="1">
        <x:v>46238</x:v>
      </x:c>
      <x:c r="B229" t="s">
        <x:v>1035</x:v>
      </x:c>
      <x:c r="C229" t="s">
        <x:v>29</x:v>
      </x:c>
      <x:c r="D229" t="s">
        <x:v>1036</x:v>
      </x:c>
      <x:c r="E229" t="s">
        <x:v>31</x:v>
      </x:c>
      <x:c r="F229" t="s">
        <x:v>1037</x:v>
      </x:c>
      <x:c r="G229" t="s">
        <x:v>1030</x:v>
      </x:c>
      <x:c r="H229" t="s">
        <x:v>1031</x:v>
      </x:c>
      <x:c r="I229" t="s">
        <x:v>776</x:v>
      </x:c>
      <x:c r="J229" t="s">
        <x:v>777</x:v>
      </x:c>
      <x:c r="K229" t="s">
        <x:v>37</x:v>
      </x:c>
      <x:c r="L229" t="s">
        <x:v>1032</x:v>
      </x:c>
      <x:c r="M229" t="s">
        <x:v>1033</x:v>
      </x:c>
      <x:c r="N229" t="s">
        <x:v>1030</x:v>
      </x:c>
      <x:c r="O229" t="s">
        <x:v>1038</x:v>
      </x:c>
      <x:c r="P229" t="s">
        <x:v>835</x:v>
      </x:c>
      <x:c r="Q229">
        <x:v>1</x:v>
      </x:c>
      <x:c r="R229" t="s">
        <x:v>42</x:v>
      </x:c>
      <x:c r="S229" t="s">
        <x:v>44</x:v>
      </x:c>
      <x:c r="T229" t="s">
        <x:v>44</x:v>
      </x:c>
      <x:c r="U229" t="s">
        <x:v>45</x:v>
      </x:c>
      <x:c r="V229" t="s">
        <x:v>46</x:v>
      </x:c>
      <x:c r="W229">
        <x:v>50.85</x:v>
      </x:c>
      <x:c r="X229" t="s">
        <x:v>621</x:v>
      </x:c>
      <x:c r="Y229" t="s">
        <x:v>48</x:v>
      </x:c>
      <x:c r="Z229" t="s">
        <x:v>49</x:v>
      </x:c>
    </x:row>
    <x:row r="230">
      <x:c r="A230" s="1">
        <x:v>46238</x:v>
      </x:c>
      <x:c r="B230" t="s">
        <x:v>1039</x:v>
      </x:c>
      <x:c r="C230" t="s">
        <x:v>29</x:v>
      </x:c>
      <x:c r="D230" t="s">
        <x:v>1040</x:v>
      </x:c>
      <x:c r="E230" t="s">
        <x:v>31</x:v>
      </x:c>
      <x:c r="F230" t="s">
        <x:v>1041</x:v>
      </x:c>
      <x:c r="G230" t="s">
        <x:v>1030</x:v>
      </x:c>
      <x:c r="H230" t="s">
        <x:v>1031</x:v>
      </x:c>
      <x:c r="I230" t="s">
        <x:v>776</x:v>
      </x:c>
      <x:c r="J230" t="s">
        <x:v>777</x:v>
      </x:c>
      <x:c r="K230" t="s">
        <x:v>37</x:v>
      </x:c>
      <x:c r="L230" t="s">
        <x:v>1032</x:v>
      </x:c>
      <x:c r="M230" t="s">
        <x:v>1033</x:v>
      </x:c>
      <x:c r="N230" t="s">
        <x:v>1030</x:v>
      </x:c>
      <x:c r="O230" t="s">
        <x:v>1042</x:v>
      </x:c>
      <x:c r="P230" t="s">
        <x:v>643</x:v>
      </x:c>
      <x:c r="Q230">
        <x:v>1</x:v>
      </x:c>
      <x:c r="R230" t="s">
        <x:v>42</x:v>
      </x:c>
      <x:c r="S230" t="s">
        <x:v>44</x:v>
      </x:c>
      <x:c r="T230" t="s">
        <x:v>44</x:v>
      </x:c>
      <x:c r="U230" t="s">
        <x:v>45</x:v>
      </x:c>
      <x:c r="V230" t="s">
        <x:v>46</x:v>
      </x:c>
      <x:c r="W230">
        <x:v>84.75</x:v>
      </x:c>
      <x:c r="X230" t="s">
        <x:v>47</x:v>
      </x:c>
      <x:c r="Y230" t="s">
        <x:v>48</x:v>
      </x:c>
      <x:c r="Z230" t="s">
        <x:v>49</x:v>
      </x:c>
    </x:row>
    <x:row r="231">
      <x:c r="A231" s="1">
        <x:v>46241</x:v>
      </x:c>
      <x:c r="B231" t="s">
        <x:v>1043</x:v>
      </x:c>
      <x:c r="C231" t="s">
        <x:v>29</x:v>
      </x:c>
      <x:c r="D231" t="s">
        <x:v>1044</x:v>
      </x:c>
      <x:c r="E231" t="s">
        <x:v>31</x:v>
      </x:c>
      <x:c r="F231" t="s">
        <x:v>1045</x:v>
      </x:c>
      <x:c r="G231" t="s">
        <x:v>1046</x:v>
      </x:c>
      <x:c r="H231" t="s">
        <x:v>1047</x:v>
      </x:c>
      <x:c r="I231" t="s">
        <x:v>776</x:v>
      </x:c>
      <x:c r="J231" t="s">
        <x:v>777</x:v>
      </x:c>
      <x:c r="K231" t="s">
        <x:v>37</x:v>
      </x:c>
      <x:c r="L231" t="s">
        <x:v>1048</x:v>
      </x:c>
      <x:c r="M231" t="s">
        <x:v>1049</x:v>
      </x:c>
      <x:c r="N231" t="s">
        <x:v>1046</x:v>
      </x:c>
      <x:c r="O231" t="s">
        <x:v>1050</x:v>
      </x:c>
      <x:c r="P231" t="s">
        <x:v>91</x:v>
      </x:c>
      <x:c r="Q231">
        <x:v>1</x:v>
      </x:c>
      <x:c r="R231" t="s">
        <x:v>42</x:v>
      </x:c>
      <x:c r="S231" t="s">
        <x:v>44</x:v>
      </x:c>
      <x:c r="T231" t="s">
        <x:v>44</x:v>
      </x:c>
      <x:c r="U231" t="s">
        <x:v>45</x:v>
      </x:c>
      <x:c r="V231" t="s">
        <x:v>60</x:v>
      </x:c>
      <x:c r="W231">
        <x:v>135.59</x:v>
      </x:c>
      <x:c r="X231" t="s">
        <x:v>47</x:v>
      </x:c>
      <x:c r="Y231" t="s">
        <x:v>48</x:v>
      </x:c>
      <x:c r="Z231" t="s">
        <x:v>49</x:v>
      </x:c>
    </x:row>
    <x:row r="232">
      <x:c r="A232" s="1">
        <x:v>46185</x:v>
      </x:c>
      <x:c r="B232" t="s">
        <x:v>1051</x:v>
      </x:c>
      <x:c r="C232" t="s">
        <x:v>29</x:v>
      </x:c>
      <x:c r="D232" t="s">
        <x:v>1052</x:v>
      </x:c>
      <x:c r="E232" t="s">
        <x:v>31</x:v>
      </x:c>
      <x:c r="F232" t="s">
        <x:v>1053</x:v>
      </x:c>
      <x:c r="G232" t="s">
        <x:v>1054</x:v>
      </x:c>
      <x:c r="H232" t="s">
        <x:v>1055</x:v>
      </x:c>
      <x:c r="I232" t="s">
        <x:v>1056</x:v>
      </x:c>
      <x:c r="J232" t="s">
        <x:v>263</x:v>
      </x:c>
      <x:c r="K232" t="s">
        <x:v>37</x:v>
      </x:c>
      <x:c r="L232" t="s">
        <x:v>1057</x:v>
      </x:c>
      <x:c r="M232" t="s">
        <x:v>1058</x:v>
      </x:c>
      <x:c r="N232" t="s">
        <x:v>1054</x:v>
      </x:c>
      <x:c r="O232" t="s">
        <x:v>1059</x:v>
      </x:c>
      <x:c r="P232" t="s">
        <x:v>41</x:v>
      </x:c>
      <x:c r="Q232">
        <x:v>1</x:v>
      </x:c>
      <x:c r="R232" t="s">
        <x:v>42</x:v>
      </x:c>
      <x:c r="S232" t="s">
        <x:v>43</x:v>
      </x:c>
      <x:c r="T232" t="s">
        <x:v>44</x:v>
      </x:c>
      <x:c r="U232" t="s">
        <x:v>45</x:v>
      </x:c>
      <x:c r="V232" t="s">
        <x:v>60</x:v>
      </x:c>
      <x:c r="W232">
        <x:v>186.44</x:v>
      </x:c>
      <x:c r="X232" t="s">
        <x:v>47</x:v>
      </x:c>
      <x:c r="Y232" t="s">
        <x:v>48</x:v>
      </x:c>
      <x:c r="Z232" t="s">
        <x:v>49</x:v>
      </x:c>
      <x:c r="AA232">
        <x:v>947054605</x:v>
      </x:c>
      <x:c r="AB232" t="s">
        <x:v>1060</x:v>
      </x:c>
    </x:row>
    <x:row r="233">
      <x:c r="A233" s="1">
        <x:v>46184</x:v>
      </x:c>
      <x:c r="B233" t="s">
        <x:v>1061</x:v>
      </x:c>
      <x:c r="C233" t="s">
        <x:v>29</x:v>
      </x:c>
      <x:c r="D233" t="s">
        <x:v>1062</x:v>
      </x:c>
      <x:c r="E233" t="s">
        <x:v>31</x:v>
      </x:c>
      <x:c r="F233" t="s">
        <x:v>1063</x:v>
      </x:c>
      <x:c r="G233" t="s">
        <x:v>1064</x:v>
      </x:c>
      <x:c r="H233" t="s">
        <x:v>1065</x:v>
      </x:c>
      <x:c r="I233" t="s">
        <x:v>1066</x:v>
      </x:c>
      <x:c r="K233" t="s">
        <x:v>37</x:v>
      </x:c>
      <x:c r="L233" t="s">
        <x:v>1067</x:v>
      </x:c>
      <x:c r="M233" t="s">
        <x:v>1068</x:v>
      </x:c>
      <x:c r="N233" t="s">
        <x:v>1064</x:v>
      </x:c>
      <x:c r="O233" t="s">
        <x:v>1069</x:v>
      </x:c>
      <x:c r="P233" t="s">
        <x:v>91</x:v>
      </x:c>
      <x:c r="Q233">
        <x:v>1</x:v>
      </x:c>
      <x:c r="R233" t="s">
        <x:v>42</x:v>
      </x:c>
      <x:c r="S233" t="s">
        <x:v>43</x:v>
      </x:c>
      <x:c r="T233" t="s">
        <x:v>44</x:v>
      </x:c>
      <x:c r="U233" t="s">
        <x:v>45</x:v>
      </x:c>
      <x:c r="V233" t="s">
        <x:v>60</x:v>
      </x:c>
      <x:c r="W233">
        <x:v>135.59</x:v>
      </x:c>
      <x:c r="X233" t="s">
        <x:v>47</x:v>
      </x:c>
      <x:c r="Y233" t="s">
        <x:v>48</x:v>
      </x:c>
      <x:c r="Z233" t="s">
        <x:v>49</x:v>
      </x:c>
    </x:row>
    <x:row r="234">
      <x:c r="A234" s="1">
        <x:v>46185</x:v>
      </x:c>
      <x:c r="B234" t="s">
        <x:v>1070</x:v>
      </x:c>
      <x:c r="C234" t="s">
        <x:v>400</x:v>
      </x:c>
      <x:c r="D234" t="s">
        <x:v>1071</x:v>
      </x:c>
      <x:c r="E234" t="s">
        <x:v>401</x:v>
      </x:c>
      <x:c r="F234" t="s">
        <x:v>1072</x:v>
      </x:c>
      <x:c r="G234" t="s">
        <x:v>1073</x:v>
      </x:c>
      <x:c r="H234" t="s">
        <x:v>1074</x:v>
      </x:c>
      <x:c r="I234" t="s">
        <x:v>1075</x:v>
      </x:c>
      <x:c r="J234" t="s">
        <x:v>98</x:v>
      </x:c>
      <x:c r="K234" t="s">
        <x:v>401</x:v>
      </x:c>
      <x:c r="L234" t="s">
        <x:v>1076</x:v>
      </x:c>
      <x:c r="M234" t="s">
        <x:v>1077</x:v>
      </x:c>
      <x:c r="N234" t="s">
        <x:v>1073</x:v>
      </x:c>
      <x:c r="O234" t="s">
        <x:v>1078</x:v>
      </x:c>
      <x:c r="P234" t="s">
        <x:v>102</x:v>
      </x:c>
      <x:c r="Q234">
        <x:v>1</x:v>
      </x:c>
      <x:c r="R234" t="s">
        <x:v>42</x:v>
      </x:c>
      <x:c r="S234" t="s">
        <x:v>43</x:v>
      </x:c>
      <x:c r="T234" t="s">
        <x:v>44</x:v>
      </x:c>
      <x:c r="U234" t="s">
        <x:v>45</x:v>
      </x:c>
      <x:c r="V234" t="s">
        <x:v>60</x:v>
      </x:c>
      <x:c r="W234">
        <x:v>-186.44</x:v>
      </x:c>
      <x:c r="X234" t="s">
        <x:v>47</x:v>
      </x:c>
      <x:c r="Y234" t="s">
        <x:v>48</x:v>
      </x:c>
      <x:c r="Z234" t="s">
        <x:v>49</x:v>
      </x:c>
      <x:c r="AA234">
        <x:v>999986041</x:v>
      </x:c>
      <x:c r="AB234" t="s">
        <x:v>1079</x:v>
      </x:c>
    </x:row>
    <x:row r="235">
      <x:c r="A235" s="1">
        <x:v>46185</x:v>
      </x:c>
      <x:c r="B235" t="s">
        <x:v>1080</x:v>
      </x:c>
      <x:c r="C235" t="s">
        <x:v>269</x:v>
      </x:c>
      <x:c r="D235" t="s">
        <x:v>1081</x:v>
      </x:c>
      <x:c r="E235" t="s">
        <x:v>31</x:v>
      </x:c>
      <x:c r="F235" t="s">
        <x:v>1082</x:v>
      </x:c>
      <x:c r="G235" t="s">
        <x:v>1073</x:v>
      </x:c>
      <x:c r="H235" t="s">
        <x:v>1074</x:v>
      </x:c>
      <x:c r="I235" t="s">
        <x:v>1075</x:v>
      </x:c>
      <x:c r="J235" t="s">
        <x:v>98</x:v>
      </x:c>
      <x:c r="K235" t="s">
        <x:v>37</x:v>
      </x:c>
      <x:c r="L235" t="s">
        <x:v>1076</x:v>
      </x:c>
      <x:c r="M235" t="s">
        <x:v>1077</x:v>
      </x:c>
      <x:c r="N235" t="s">
        <x:v>1083</x:v>
      </x:c>
      <x:c r="O235" t="s">
        <x:v>1084</x:v>
      </x:c>
      <x:c r="P235" t="s">
        <x:v>102</x:v>
      </x:c>
      <x:c r="Q235">
        <x:v>1</x:v>
      </x:c>
      <x:c r="R235" t="s">
        <x:v>42</x:v>
      </x:c>
      <x:c r="S235" t="s">
        <x:v>43</x:v>
      </x:c>
      <x:c r="T235" t="s">
        <x:v>44</x:v>
      </x:c>
      <x:c r="U235" t="s">
        <x:v>45</x:v>
      </x:c>
      <x:c r="V235" t="s">
        <x:v>60</x:v>
      </x:c>
      <x:c r="W235">
        <x:v>186.44</x:v>
      </x:c>
      <x:c r="X235" t="s">
        <x:v>47</x:v>
      </x:c>
      <x:c r="Y235" t="s">
        <x:v>48</x:v>
      </x:c>
      <x:c r="Z235" t="s">
        <x:v>49</x:v>
      </x:c>
      <x:c r="AA235">
        <x:v>999986041</x:v>
      </x:c>
      <x:c r="AB235" t="s">
        <x:v>1079</x:v>
      </x:c>
    </x:row>
    <x:row r="236">
      <x:c r="A236" s="1">
        <x:v>46185</x:v>
      </x:c>
      <x:c r="B236" t="s">
        <x:v>1070</x:v>
      </x:c>
      <x:c r="C236" t="s">
        <x:v>29</x:v>
      </x:c>
      <x:c r="D236" t="s">
        <x:v>1071</x:v>
      </x:c>
      <x:c r="E236" t="s">
        <x:v>401</x:v>
      </x:c>
      <x:c r="F236" t="s">
        <x:v>1085</x:v>
      </x:c>
      <x:c r="G236" t="s">
        <x:v>1073</x:v>
      </x:c>
      <x:c r="H236" t="s">
        <x:v>1074</x:v>
      </x:c>
      <x:c r="I236" t="s">
        <x:v>1075</x:v>
      </x:c>
      <x:c r="J236" t="s">
        <x:v>98</x:v>
      </x:c>
      <x:c r="K236" t="s">
        <x:v>401</x:v>
      </x:c>
      <x:c r="L236" t="s">
        <x:v>1076</x:v>
      </x:c>
      <x:c r="M236" t="s">
        <x:v>1077</x:v>
      </x:c>
      <x:c r="N236" t="s">
        <x:v>1073</x:v>
      </x:c>
      <x:c r="O236" t="s">
        <x:v>1078</x:v>
      </x:c>
      <x:c r="P236" t="s">
        <x:v>102</x:v>
      </x:c>
      <x:c r="Q236">
        <x:v>1</x:v>
      </x:c>
      <x:c r="R236" t="s">
        <x:v>42</x:v>
      </x:c>
      <x:c r="S236" t="s">
        <x:v>43</x:v>
      </x:c>
      <x:c r="T236" t="s">
        <x:v>44</x:v>
      </x:c>
      <x:c r="U236" t="s">
        <x:v>45</x:v>
      </x:c>
      <x:c r="V236" t="s">
        <x:v>60</x:v>
      </x:c>
      <x:c r="W236">
        <x:v>186.44</x:v>
      </x:c>
      <x:c r="X236" t="s">
        <x:v>47</x:v>
      </x:c>
      <x:c r="Y236" t="s">
        <x:v>48</x:v>
      </x:c>
      <x:c r="Z236" t="s">
        <x:v>49</x:v>
      </x:c>
      <x:c r="AA236">
        <x:v>999986041</x:v>
      </x:c>
      <x:c r="AB236" t="s">
        <x:v>1079</x:v>
      </x:c>
    </x:row>
    <x:row r="237">
      <x:c r="A237" s="1">
        <x:v>46204</x:v>
      </x:c>
      <x:c r="B237" t="s">
        <x:v>1086</x:v>
      </x:c>
      <x:c r="C237" t="s">
        <x:v>29</x:v>
      </x:c>
      <x:c r="D237" t="s">
        <x:v>1087</x:v>
      </x:c>
      <x:c r="E237" t="s">
        <x:v>31</x:v>
      </x:c>
      <x:c r="F237" t="s">
        <x:v>1088</x:v>
      </x:c>
      <x:c r="G237" t="s">
        <x:v>1089</x:v>
      </x:c>
      <x:c r="H237" t="s">
        <x:v>1090</x:v>
      </x:c>
      <x:c r="I237" t="s">
        <x:v>1075</x:v>
      </x:c>
      <x:c r="J237" t="s">
        <x:v>98</x:v>
      </x:c>
      <x:c r="K237" t="s">
        <x:v>37</x:v>
      </x:c>
      <x:c r="L237" t="s">
        <x:v>1091</x:v>
      </x:c>
      <x:c r="M237" t="s">
        <x:v>1092</x:v>
      </x:c>
      <x:c r="N237" t="s">
        <x:v>1089</x:v>
      </x:c>
      <x:c r="O237" t="s">
        <x:v>1093</x:v>
      </x:c>
      <x:c r="P237" t="s">
        <x:v>202</x:v>
      </x:c>
      <x:c r="Q237">
        <x:v>1</x:v>
      </x:c>
      <x:c r="R237" t="s">
        <x:v>42</x:v>
      </x:c>
      <x:c r="S237" t="s">
        <x:v>44</x:v>
      </x:c>
      <x:c r="T237" t="s">
        <x:v>44</x:v>
      </x:c>
      <x:c r="U237" t="s">
        <x:v>45</x:v>
      </x:c>
      <x:c r="V237" t="s">
        <x:v>60</x:v>
      </x:c>
      <x:c r="W237">
        <x:v>152.54</x:v>
      </x:c>
      <x:c r="X237" t="s">
        <x:v>47</x:v>
      </x:c>
      <x:c r="Y237" t="s">
        <x:v>48</x:v>
      </x:c>
      <x:c r="Z237" t="s">
        <x:v>49</x:v>
      </x:c>
      <x:c r="AA237">
        <x:v>999986041</x:v>
      </x:c>
      <x:c r="AB237" t="s">
        <x:v>1079</x:v>
      </x:c>
    </x:row>
    <x:row r="238">
      <x:c r="A238" s="1">
        <x:v>46185</x:v>
      </x:c>
      <x:c r="B238" t="s">
        <x:v>1094</x:v>
      </x:c>
      <x:c r="C238" t="s">
        <x:v>29</x:v>
      </x:c>
      <x:c r="D238" t="s">
        <x:v>1095</x:v>
      </x:c>
      <x:c r="E238" t="s">
        <x:v>31</x:v>
      </x:c>
      <x:c r="F238" t="s">
        <x:v>1096</x:v>
      </x:c>
      <x:c r="G238" t="s">
        <x:v>1097</x:v>
      </x:c>
      <x:c r="H238" t="s">
        <x:v>1098</x:v>
      </x:c>
      <x:c r="I238" t="s">
        <x:v>1099</x:v>
      </x:c>
      <x:c r="J238" t="s">
        <x:v>1100</x:v>
      </x:c>
      <x:c r="K238" t="s">
        <x:v>37</x:v>
      </x:c>
      <x:c r="L238" t="s">
        <x:v>1101</x:v>
      </x:c>
      <x:c r="M238" t="s">
        <x:v>1102</x:v>
      </x:c>
      <x:c r="N238" t="s">
        <x:v>1097</x:v>
      </x:c>
      <x:c r="O238" t="s">
        <x:v>1103</x:v>
      </x:c>
      <x:c r="P238" t="s">
        <x:v>160</x:v>
      </x:c>
      <x:c r="Q238">
        <x:v>1</x:v>
      </x:c>
      <x:c r="R238" t="s">
        <x:v>42</x:v>
      </x:c>
      <x:c r="S238" t="s">
        <x:v>43</x:v>
      </x:c>
      <x:c r="T238" t="s">
        <x:v>44</x:v>
      </x:c>
      <x:c r="U238" t="s">
        <x:v>45</x:v>
      </x:c>
      <x:c r="V238" t="s">
        <x:v>46</x:v>
      </x:c>
      <x:c r="W238">
        <x:v>135.59</x:v>
      </x:c>
      <x:c r="X238" t="s">
        <x:v>47</x:v>
      </x:c>
      <x:c r="Y238" t="s">
        <x:v>48</x:v>
      </x:c>
      <x:c r="Z238" t="s">
        <x:v>49</x:v>
      </x:c>
      <x:c r="AB238" t="s">
        <x:v>1104</x:v>
      </x:c>
    </x:row>
    <x:row r="239">
      <x:c r="A239" s="1">
        <x:v>46185</x:v>
      </x:c>
      <x:c r="B239" t="s">
        <x:v>1105</x:v>
      </x:c>
      <x:c r="C239" t="s">
        <x:v>269</x:v>
      </x:c>
      <x:c r="D239" t="s">
        <x:v>1106</x:v>
      </x:c>
      <x:c r="E239" t="s">
        <x:v>31</x:v>
      </x:c>
      <x:c r="F239" t="s">
        <x:v>1107</x:v>
      </x:c>
      <x:c r="G239" t="s">
        <x:v>1108</x:v>
      </x:c>
      <x:c r="H239" t="s">
        <x:v>1109</x:v>
      </x:c>
      <x:c r="I239" t="s">
        <x:v>1110</x:v>
      </x:c>
      <x:c r="J239" t="s">
        <x:v>210</x:v>
      </x:c>
      <x:c r="K239" t="s">
        <x:v>37</x:v>
      </x:c>
      <x:c r="L239" t="s">
        <x:v>1111</x:v>
      </x:c>
      <x:c r="M239" t="s">
        <x:v>1112</x:v>
      </x:c>
      <x:c r="N239" t="s">
        <x:v>1113</x:v>
      </x:c>
      <x:c r="O239" t="s">
        <x:v>1114</x:v>
      </x:c>
      <x:c r="P239" t="s">
        <x:v>214</x:v>
      </x:c>
      <x:c r="Q239">
        <x:v>1</x:v>
      </x:c>
      <x:c r="R239" t="s">
        <x:v>42</x:v>
      </x:c>
      <x:c r="S239" t="s">
        <x:v>43</x:v>
      </x:c>
      <x:c r="T239" t="s">
        <x:v>44</x:v>
      </x:c>
      <x:c r="U239" t="s">
        <x:v>45</x:v>
      </x:c>
      <x:c r="V239" t="s">
        <x:v>60</x:v>
      </x:c>
      <x:c r="W239">
        <x:v>254.24</x:v>
      </x:c>
      <x:c r="X239" t="s">
        <x:v>61</x:v>
      </x:c>
      <x:c r="Y239" t="s">
        <x:v>48</x:v>
      </x:c>
      <x:c r="Z239" t="s">
        <x:v>49</x:v>
      </x:c>
      <x:c r="AA239">
        <x:v>970582106</x:v>
      </x:c>
      <x:c r="AB239" t="s">
        <x:v>1115</x:v>
      </x:c>
    </x:row>
    <x:row r="240">
      <x:c r="A240" s="1">
        <x:v>46197</x:v>
      </x:c>
      <x:c r="B240" t="s">
        <x:v>1116</x:v>
      </x:c>
      <x:c r="C240" t="s">
        <x:v>29</x:v>
      </x:c>
      <x:c r="D240" t="s">
        <x:v>1117</x:v>
      </x:c>
      <x:c r="E240" t="s">
        <x:v>31</x:v>
      </x:c>
      <x:c r="F240" t="s">
        <x:v>1118</x:v>
      </x:c>
      <x:c r="G240" t="s">
        <x:v>1119</x:v>
      </x:c>
      <x:c r="H240" t="s">
        <x:v>1120</x:v>
      </x:c>
      <x:c r="I240" t="s">
        <x:v>1121</x:v>
      </x:c>
      <x:c r="J240" t="s">
        <x:v>1122</x:v>
      </x:c>
      <x:c r="K240" t="s">
        <x:v>37</x:v>
      </x:c>
      <x:c r="L240" t="s">
        <x:v>1123</x:v>
      </x:c>
      <x:c r="M240" t="s">
        <x:v>1124</x:v>
      </x:c>
      <x:c r="N240" t="s">
        <x:v>1119</x:v>
      </x:c>
      <x:c r="O240" t="s">
        <x:v>1125</x:v>
      </x:c>
      <x:c r="P240" t="s">
        <x:v>202</x:v>
      </x:c>
      <x:c r="Q240">
        <x:v>1</x:v>
      </x:c>
      <x:c r="R240" t="s">
        <x:v>42</x:v>
      </x:c>
      <x:c r="S240" t="s">
        <x:v>44</x:v>
      </x:c>
      <x:c r="T240" t="s">
        <x:v>44</x:v>
      </x:c>
      <x:c r="U240" t="s">
        <x:v>45</x:v>
      </x:c>
      <x:c r="V240" t="s">
        <x:v>60</x:v>
      </x:c>
      <x:c r="W240">
        <x:v>42.37</x:v>
      </x:c>
      <x:c r="X240" t="s">
        <x:v>47</x:v>
      </x:c>
      <x:c r="Y240" t="s">
        <x:v>48</x:v>
      </x:c>
      <x:c r="Z240" t="s">
        <x:v>49</x:v>
      </x:c>
      <x:c r="AA240">
        <x:v>993540760</x:v>
      </x:c>
      <x:c r="AB240" t="s">
        <x:v>1126</x:v>
      </x:c>
    </x:row>
    <x:row r="241">
      <x:c r="A241" s="1">
        <x:v>46197</x:v>
      </x:c>
      <x:c r="B241" t="s">
        <x:v>1116</x:v>
      </x:c>
      <x:c r="C241" t="s">
        <x:v>29</x:v>
      </x:c>
      <x:c r="D241" t="s">
        <x:v>1117</x:v>
      </x:c>
      <x:c r="E241" t="s">
        <x:v>31</x:v>
      </x:c>
      <x:c r="F241" t="s">
        <x:v>1118</x:v>
      </x:c>
      <x:c r="G241" t="s">
        <x:v>1119</x:v>
      </x:c>
      <x:c r="H241" t="s">
        <x:v>1120</x:v>
      </x:c>
      <x:c r="I241" t="s">
        <x:v>1121</x:v>
      </x:c>
      <x:c r="J241" t="s">
        <x:v>1122</x:v>
      </x:c>
      <x:c r="K241" t="s">
        <x:v>37</x:v>
      </x:c>
      <x:c r="L241" t="s">
        <x:v>1123</x:v>
      </x:c>
      <x:c r="M241" t="s">
        <x:v>1124</x:v>
      </x:c>
      <x:c r="N241" t="s">
        <x:v>1119</x:v>
      </x:c>
      <x:c r="O241" t="s">
        <x:v>1125</x:v>
      </x:c>
      <x:c r="P241" t="s">
        <x:v>203</x:v>
      </x:c>
      <x:c r="Q241">
        <x:v>1</x:v>
      </x:c>
      <x:c r="R241" t="s">
        <x:v>42</x:v>
      </x:c>
      <x:c r="S241" t="s">
        <x:v>44</x:v>
      </x:c>
      <x:c r="T241" t="s">
        <x:v>44</x:v>
      </x:c>
      <x:c r="U241" t="s">
        <x:v>45</x:v>
      </x:c>
      <x:c r="V241" t="s">
        <x:v>60</x:v>
      </x:c>
      <x:c r="W241">
        <x:v>42.37</x:v>
      </x:c>
      <x:c r="X241" t="s">
        <x:v>47</x:v>
      </x:c>
      <x:c r="Y241" t="s">
        <x:v>48</x:v>
      </x:c>
      <x:c r="Z241" t="s">
        <x:v>49</x:v>
      </x:c>
      <x:c r="AA241">
        <x:v>993540760</x:v>
      </x:c>
      <x:c r="AB241" t="s">
        <x:v>1126</x:v>
      </x:c>
    </x:row>
    <x:row r="242">
      <x:c r="A242" s="1">
        <x:v>46197</x:v>
      </x:c>
      <x:c r="B242" t="s">
        <x:v>1127</x:v>
      </x:c>
      <x:c r="C242" t="s">
        <x:v>29</x:v>
      </x:c>
      <x:c r="D242" t="s">
        <x:v>1128</x:v>
      </x:c>
      <x:c r="E242" t="s">
        <x:v>31</x:v>
      </x:c>
      <x:c r="F242" t="s">
        <x:v>1129</x:v>
      </x:c>
      <x:c r="G242" t="s">
        <x:v>1119</x:v>
      </x:c>
      <x:c r="H242" t="s">
        <x:v>1120</x:v>
      </x:c>
      <x:c r="I242" t="s">
        <x:v>1121</x:v>
      </x:c>
      <x:c r="J242" t="s">
        <x:v>1122</x:v>
      </x:c>
      <x:c r="K242" t="s">
        <x:v>37</x:v>
      </x:c>
      <x:c r="L242" t="s">
        <x:v>1123</x:v>
      </x:c>
      <x:c r="M242" t="s">
        <x:v>1124</x:v>
      </x:c>
      <x:c r="N242" t="s">
        <x:v>1119</x:v>
      </x:c>
      <x:c r="O242" t="s">
        <x:v>1130</x:v>
      </x:c>
      <x:c r="P242" t="s">
        <x:v>620</x:v>
      </x:c>
      <x:c r="Q242">
        <x:v>1</x:v>
      </x:c>
      <x:c r="R242" t="s">
        <x:v>42</x:v>
      </x:c>
      <x:c r="S242" t="s">
        <x:v>44</x:v>
      </x:c>
      <x:c r="T242" t="s">
        <x:v>44</x:v>
      </x:c>
      <x:c r="U242" t="s">
        <x:v>45</x:v>
      </x:c>
      <x:c r="V242" t="s">
        <x:v>60</x:v>
      </x:c>
      <x:c r="W242">
        <x:v>12.71</x:v>
      </x:c>
      <x:c r="X242" t="s">
        <x:v>621</x:v>
      </x:c>
      <x:c r="Y242" t="s">
        <x:v>48</x:v>
      </x:c>
      <x:c r="Z242" t="s">
        <x:v>49</x:v>
      </x:c>
      <x:c r="AA242">
        <x:v>993540760</x:v>
      </x:c>
      <x:c r="AB242" t="s">
        <x:v>1126</x:v>
      </x:c>
    </x:row>
    <x:row r="243">
      <x:c r="A243" s="1">
        <x:v>46197</x:v>
      </x:c>
      <x:c r="B243" t="s">
        <x:v>1127</x:v>
      </x:c>
      <x:c r="C243" t="s">
        <x:v>29</x:v>
      </x:c>
      <x:c r="D243" t="s">
        <x:v>1128</x:v>
      </x:c>
      <x:c r="E243" t="s">
        <x:v>31</x:v>
      </x:c>
      <x:c r="F243" t="s">
        <x:v>1129</x:v>
      </x:c>
      <x:c r="G243" t="s">
        <x:v>1119</x:v>
      </x:c>
      <x:c r="H243" t="s">
        <x:v>1120</x:v>
      </x:c>
      <x:c r="I243" t="s">
        <x:v>1121</x:v>
      </x:c>
      <x:c r="J243" t="s">
        <x:v>1122</x:v>
      </x:c>
      <x:c r="K243" t="s">
        <x:v>37</x:v>
      </x:c>
      <x:c r="L243" t="s">
        <x:v>1123</x:v>
      </x:c>
      <x:c r="M243" t="s">
        <x:v>1124</x:v>
      </x:c>
      <x:c r="N243" t="s">
        <x:v>1119</x:v>
      </x:c>
      <x:c r="O243" t="s">
        <x:v>1130</x:v>
      </x:c>
      <x:c r="P243" t="s">
        <x:v>622</x:v>
      </x:c>
      <x:c r="Q243">
        <x:v>1</x:v>
      </x:c>
      <x:c r="R243" t="s">
        <x:v>42</x:v>
      </x:c>
      <x:c r="S243" t="s">
        <x:v>44</x:v>
      </x:c>
      <x:c r="T243" t="s">
        <x:v>44</x:v>
      </x:c>
      <x:c r="U243" t="s">
        <x:v>45</x:v>
      </x:c>
      <x:c r="V243" t="s">
        <x:v>60</x:v>
      </x:c>
      <x:c r="W243">
        <x:v>21.19</x:v>
      </x:c>
      <x:c r="X243" t="s">
        <x:v>621</x:v>
      </x:c>
      <x:c r="Y243" t="s">
        <x:v>48</x:v>
      </x:c>
      <x:c r="Z243" t="s">
        <x:v>49</x:v>
      </x:c>
      <x:c r="AA243">
        <x:v>993540760</x:v>
      </x:c>
      <x:c r="AB243" t="s">
        <x:v>1126</x:v>
      </x:c>
    </x:row>
    <x:row r="244">
      <x:c r="A244" s="1">
        <x:v>46197</x:v>
      </x:c>
      <x:c r="B244" t="s">
        <x:v>1127</x:v>
      </x:c>
      <x:c r="C244" t="s">
        <x:v>29</x:v>
      </x:c>
      <x:c r="D244" t="s">
        <x:v>1128</x:v>
      </x:c>
      <x:c r="E244" t="s">
        <x:v>31</x:v>
      </x:c>
      <x:c r="F244" t="s">
        <x:v>1129</x:v>
      </x:c>
      <x:c r="G244" t="s">
        <x:v>1119</x:v>
      </x:c>
      <x:c r="H244" t="s">
        <x:v>1120</x:v>
      </x:c>
      <x:c r="I244" t="s">
        <x:v>1121</x:v>
      </x:c>
      <x:c r="J244" t="s">
        <x:v>1122</x:v>
      </x:c>
      <x:c r="K244" t="s">
        <x:v>37</x:v>
      </x:c>
      <x:c r="L244" t="s">
        <x:v>1123</x:v>
      </x:c>
      <x:c r="M244" t="s">
        <x:v>1124</x:v>
      </x:c>
      <x:c r="N244" t="s">
        <x:v>1119</x:v>
      </x:c>
      <x:c r="O244" t="s">
        <x:v>1130</x:v>
      </x:c>
      <x:c r="P244" t="s">
        <x:v>623</x:v>
      </x:c>
      <x:c r="Q244">
        <x:v>1</x:v>
      </x:c>
      <x:c r="R244" t="s">
        <x:v>42</x:v>
      </x:c>
      <x:c r="S244" t="s">
        <x:v>44</x:v>
      </x:c>
      <x:c r="T244" t="s">
        <x:v>44</x:v>
      </x:c>
      <x:c r="U244" t="s">
        <x:v>45</x:v>
      </x:c>
      <x:c r="V244" t="s">
        <x:v>60</x:v>
      </x:c>
      <x:c r="W244">
        <x:v>12.71</x:v>
      </x:c>
      <x:c r="X244" t="s">
        <x:v>621</x:v>
      </x:c>
      <x:c r="Y244" t="s">
        <x:v>48</x:v>
      </x:c>
      <x:c r="Z244" t="s">
        <x:v>49</x:v>
      </x:c>
      <x:c r="AA244">
        <x:v>993540760</x:v>
      </x:c>
      <x:c r="AB244" t="s">
        <x:v>1126</x:v>
      </x:c>
    </x:row>
    <x:row r="245">
      <x:c r="A245" s="1">
        <x:v>46197</x:v>
      </x:c>
      <x:c r="B245" t="s">
        <x:v>1127</x:v>
      </x:c>
      <x:c r="C245" t="s">
        <x:v>29</x:v>
      </x:c>
      <x:c r="D245" t="s">
        <x:v>1128</x:v>
      </x:c>
      <x:c r="E245" t="s">
        <x:v>31</x:v>
      </x:c>
      <x:c r="F245" t="s">
        <x:v>1129</x:v>
      </x:c>
      <x:c r="G245" t="s">
        <x:v>1119</x:v>
      </x:c>
      <x:c r="H245" t="s">
        <x:v>1120</x:v>
      </x:c>
      <x:c r="I245" t="s">
        <x:v>1121</x:v>
      </x:c>
      <x:c r="J245" t="s">
        <x:v>1122</x:v>
      </x:c>
      <x:c r="K245" t="s">
        <x:v>37</x:v>
      </x:c>
      <x:c r="L245" t="s">
        <x:v>1123</x:v>
      </x:c>
      <x:c r="M245" t="s">
        <x:v>1124</x:v>
      </x:c>
      <x:c r="N245" t="s">
        <x:v>1119</x:v>
      </x:c>
      <x:c r="O245" t="s">
        <x:v>1130</x:v>
      </x:c>
      <x:c r="P245" t="s">
        <x:v>624</x:v>
      </x:c>
      <x:c r="Q245">
        <x:v>1</x:v>
      </x:c>
      <x:c r="R245" t="s">
        <x:v>42</x:v>
      </x:c>
      <x:c r="S245" t="s">
        <x:v>44</x:v>
      </x:c>
      <x:c r="T245" t="s">
        <x:v>44</x:v>
      </x:c>
      <x:c r="U245" t="s">
        <x:v>45</x:v>
      </x:c>
      <x:c r="V245" t="s">
        <x:v>60</x:v>
      </x:c>
      <x:c r="W245">
        <x:v>12.71</x:v>
      </x:c>
      <x:c r="X245" t="s">
        <x:v>621</x:v>
      </x:c>
      <x:c r="Y245" t="s">
        <x:v>48</x:v>
      </x:c>
      <x:c r="Z245" t="s">
        <x:v>49</x:v>
      </x:c>
      <x:c r="AA245">
        <x:v>993540760</x:v>
      </x:c>
      <x:c r="AB245" t="s">
        <x:v>1126</x:v>
      </x:c>
    </x:row>
    <x:row r="246">
      <x:c r="A246" s="1">
        <x:v>46197</x:v>
      </x:c>
      <x:c r="B246" t="s">
        <x:v>1127</x:v>
      </x:c>
      <x:c r="C246" t="s">
        <x:v>29</x:v>
      </x:c>
      <x:c r="D246" t="s">
        <x:v>1128</x:v>
      </x:c>
      <x:c r="E246" t="s">
        <x:v>31</x:v>
      </x:c>
      <x:c r="F246" t="s">
        <x:v>1129</x:v>
      </x:c>
      <x:c r="G246" t="s">
        <x:v>1119</x:v>
      </x:c>
      <x:c r="H246" t="s">
        <x:v>1120</x:v>
      </x:c>
      <x:c r="I246" t="s">
        <x:v>1121</x:v>
      </x:c>
      <x:c r="J246" t="s">
        <x:v>1122</x:v>
      </x:c>
      <x:c r="K246" t="s">
        <x:v>37</x:v>
      </x:c>
      <x:c r="L246" t="s">
        <x:v>1123</x:v>
      </x:c>
      <x:c r="M246" t="s">
        <x:v>1124</x:v>
      </x:c>
      <x:c r="N246" t="s">
        <x:v>1119</x:v>
      </x:c>
      <x:c r="O246" t="s">
        <x:v>1130</x:v>
      </x:c>
      <x:c r="P246" t="s">
        <x:v>835</x:v>
      </x:c>
      <x:c r="Q246">
        <x:v>1</x:v>
      </x:c>
      <x:c r="R246" t="s">
        <x:v>42</x:v>
      </x:c>
      <x:c r="S246" t="s">
        <x:v>44</x:v>
      </x:c>
      <x:c r="T246" t="s">
        <x:v>44</x:v>
      </x:c>
      <x:c r="U246" t="s">
        <x:v>45</x:v>
      </x:c>
      <x:c r="V246" t="s">
        <x:v>60</x:v>
      </x:c>
      <x:c r="W246">
        <x:v>50.85</x:v>
      </x:c>
      <x:c r="X246" t="s">
        <x:v>621</x:v>
      </x:c>
      <x:c r="Y246" t="s">
        <x:v>48</x:v>
      </x:c>
      <x:c r="Z246" t="s">
        <x:v>49</x:v>
      </x:c>
      <x:c r="AA246">
        <x:v>993540760</x:v>
      </x:c>
      <x:c r="AB246" t="s">
        <x:v>1126</x:v>
      </x:c>
    </x:row>
    <x:row r="247">
      <x:c r="A247" s="1">
        <x:v>46197</x:v>
      </x:c>
      <x:c r="B247" t="s">
        <x:v>1131</x:v>
      </x:c>
      <x:c r="C247" t="s">
        <x:v>29</x:v>
      </x:c>
      <x:c r="D247" t="s">
        <x:v>1132</x:v>
      </x:c>
      <x:c r="E247" t="s">
        <x:v>31</x:v>
      </x:c>
      <x:c r="F247" t="s">
        <x:v>1133</x:v>
      </x:c>
      <x:c r="G247" t="s">
        <x:v>1119</x:v>
      </x:c>
      <x:c r="H247" t="s">
        <x:v>1120</x:v>
      </x:c>
      <x:c r="I247" t="s">
        <x:v>1121</x:v>
      </x:c>
      <x:c r="J247" t="s">
        <x:v>1122</x:v>
      </x:c>
      <x:c r="K247" t="s">
        <x:v>37</x:v>
      </x:c>
      <x:c r="L247" t="s">
        <x:v>1123</x:v>
      </x:c>
      <x:c r="M247" t="s">
        <x:v>1124</x:v>
      </x:c>
      <x:c r="N247" t="s">
        <x:v>1119</x:v>
      </x:c>
      <x:c r="O247" t="s">
        <x:v>1134</x:v>
      </x:c>
      <x:c r="P247" t="s">
        <x:v>830</x:v>
      </x:c>
      <x:c r="Q247">
        <x:v>1</x:v>
      </x:c>
      <x:c r="R247" t="s">
        <x:v>42</x:v>
      </x:c>
      <x:c r="S247" t="s">
        <x:v>44</x:v>
      </x:c>
      <x:c r="T247" t="s">
        <x:v>44</x:v>
      </x:c>
      <x:c r="U247" t="s">
        <x:v>45</x:v>
      </x:c>
      <x:c r="V247" t="s">
        <x:v>60</x:v>
      </x:c>
      <x:c r="W247">
        <x:v>127.12</x:v>
      </x:c>
      <x:c r="X247" t="s">
        <x:v>47</x:v>
      </x:c>
      <x:c r="Y247" t="s">
        <x:v>48</x:v>
      </x:c>
      <x:c r="Z247" t="s">
        <x:v>49</x:v>
      </x:c>
      <x:c r="AA247">
        <x:v>993540760</x:v>
      </x:c>
      <x:c r="AB247" t="s">
        <x:v>1126</x:v>
      </x:c>
    </x:row>
    <x:row r="248">
      <x:c r="A248" s="1">
        <x:v>46214</x:v>
      </x:c>
      <x:c r="B248" t="s">
        <x:v>1135</x:v>
      </x:c>
      <x:c r="C248" t="s">
        <x:v>269</x:v>
      </x:c>
      <x:c r="D248" t="s">
        <x:v>1136</x:v>
      </x:c>
      <x:c r="E248" t="s">
        <x:v>31</x:v>
      </x:c>
      <x:c r="F248" t="s">
        <x:v>1137</x:v>
      </x:c>
      <x:c r="G248" t="s">
        <x:v>1119</x:v>
      </x:c>
      <x:c r="H248" t="s">
        <x:v>1120</x:v>
      </x:c>
      <x:c r="I248" t="s">
        <x:v>1121</x:v>
      </x:c>
      <x:c r="J248" t="s">
        <x:v>1122</x:v>
      </x:c>
      <x:c r="K248" t="s">
        <x:v>37</x:v>
      </x:c>
      <x:c r="L248" t="s">
        <x:v>1123</x:v>
      </x:c>
      <x:c r="M248" t="s">
        <x:v>1124</x:v>
      </x:c>
      <x:c r="N248" t="s">
        <x:v>553</x:v>
      </x:c>
      <x:c r="O248" t="s">
        <x:v>1138</x:v>
      </x:c>
      <x:c r="P248" t="s">
        <x:v>289</x:v>
      </x:c>
      <x:c r="Q248">
        <x:v>1</x:v>
      </x:c>
      <x:c r="R248" t="s">
        <x:v>42</x:v>
      </x:c>
      <x:c r="S248" t="s">
        <x:v>44</x:v>
      </x:c>
      <x:c r="T248" t="s">
        <x:v>44</x:v>
      </x:c>
      <x:c r="U248" t="s">
        <x:v>45</x:v>
      </x:c>
      <x:c r="V248" t="s">
        <x:v>46</x:v>
      </x:c>
      <x:c r="W248">
        <x:v>0</x:v>
      </x:c>
      <x:c r="X248" t="s">
        <x:v>290</x:v>
      </x:c>
      <x:c r="Y248" t="s">
        <x:v>48</x:v>
      </x:c>
      <x:c r="Z248" t="s">
        <x:v>49</x:v>
      </x:c>
      <x:c r="AA248">
        <x:v>993540760</x:v>
      </x:c>
      <x:c r="AB248" t="s">
        <x:v>1126</x:v>
      </x:c>
    </x:row>
    <x:row r="249">
      <x:c r="A249" s="1">
        <x:v>46214</x:v>
      </x:c>
      <x:c r="B249" t="s">
        <x:v>1135</x:v>
      </x:c>
      <x:c r="C249" t="s">
        <x:v>269</x:v>
      </x:c>
      <x:c r="D249" t="s">
        <x:v>1136</x:v>
      </x:c>
      <x:c r="E249" t="s">
        <x:v>31</x:v>
      </x:c>
      <x:c r="F249" t="s">
        <x:v>1137</x:v>
      </x:c>
      <x:c r="G249" t="s">
        <x:v>1119</x:v>
      </x:c>
      <x:c r="H249" t="s">
        <x:v>1120</x:v>
      </x:c>
      <x:c r="I249" t="s">
        <x:v>1121</x:v>
      </x:c>
      <x:c r="J249" t="s">
        <x:v>1122</x:v>
      </x:c>
      <x:c r="K249" t="s">
        <x:v>37</x:v>
      </x:c>
      <x:c r="L249" t="s">
        <x:v>1123</x:v>
      </x:c>
      <x:c r="M249" t="s">
        <x:v>1124</x:v>
      </x:c>
      <x:c r="N249" t="s">
        <x:v>553</x:v>
      </x:c>
      <x:c r="O249" t="s">
        <x:v>1138</x:v>
      </x:c>
      <x:c r="P249" t="s">
        <x:v>1139</x:v>
      </x:c>
      <x:c r="Q249">
        <x:v>1</x:v>
      </x:c>
      <x:c r="R249" t="s">
        <x:v>42</x:v>
      </x:c>
      <x:c r="S249" t="s">
        <x:v>44</x:v>
      </x:c>
      <x:c r="T249" t="s">
        <x:v>44</x:v>
      </x:c>
      <x:c r="U249" t="s">
        <x:v>45</x:v>
      </x:c>
      <x:c r="V249" t="s">
        <x:v>46</x:v>
      </x:c>
      <x:c r="W249">
        <x:v>550.85</x:v>
      </x:c>
      <x:c r="X249" t="s">
        <x:v>290</x:v>
      </x:c>
      <x:c r="Y249" t="s">
        <x:v>48</x:v>
      </x:c>
      <x:c r="Z249" t="s">
        <x:v>49</x:v>
      </x:c>
      <x:c r="AA249">
        <x:v>993540760</x:v>
      </x:c>
      <x:c r="AB249" t="s">
        <x:v>1126</x:v>
      </x:c>
    </x:row>
    <x:row r="250">
      <x:c r="A250" s="1">
        <x:v>46203</x:v>
      </x:c>
      <x:c r="B250" t="s">
        <x:v>1140</x:v>
      </x:c>
      <x:c r="C250" t="s">
        <x:v>269</x:v>
      </x:c>
      <x:c r="D250" t="s">
        <x:v>1141</x:v>
      </x:c>
      <x:c r="E250" t="s">
        <x:v>31</x:v>
      </x:c>
      <x:c r="F250" t="s">
        <x:v>1142</x:v>
      </x:c>
      <x:c r="G250" t="s">
        <x:v>1143</x:v>
      </x:c>
      <x:c r="H250" t="s">
        <x:v>1144</x:v>
      </x:c>
      <x:c r="I250" t="s">
        <x:v>1145</x:v>
      </x:c>
      <x:c r="J250" t="s">
        <x:v>366</x:v>
      </x:c>
      <x:c r="K250" t="s">
        <x:v>37</x:v>
      </x:c>
      <x:c r="L250" t="s">
        <x:v>1146</x:v>
      </x:c>
      <x:c r="M250" t="s">
        <x:v>1147</x:v>
      </x:c>
      <x:c r="N250" t="s">
        <x:v>1143</x:v>
      </x:c>
      <x:c r="O250" t="s">
        <x:v>1148</x:v>
      </x:c>
      <x:c r="P250" t="s">
        <x:v>41</x:v>
      </x:c>
      <x:c r="Q250">
        <x:v>1</x:v>
      </x:c>
      <x:c r="R250" t="s">
        <x:v>42</x:v>
      </x:c>
      <x:c r="S250" t="s">
        <x:v>44</x:v>
      </x:c>
      <x:c r="T250" t="s">
        <x:v>44</x:v>
      </x:c>
      <x:c r="U250" t="s">
        <x:v>45</x:v>
      </x:c>
      <x:c r="V250" t="s">
        <x:v>60</x:v>
      </x:c>
      <x:c r="W250">
        <x:v>186.44</x:v>
      </x:c>
      <x:c r="X250" t="s">
        <x:v>47</x:v>
      </x:c>
      <x:c r="Y250" t="s">
        <x:v>48</x:v>
      </x:c>
      <x:c r="Z250" t="s">
        <x:v>49</x:v>
      </x:c>
      <x:c r="AA250">
        <x:v>995833213</x:v>
      </x:c>
      <x:c r="AB250" t="s">
        <x:v>1149</x:v>
      </x:c>
    </x:row>
    <x:row r="251">
      <x:c r="A251" s="1">
        <x:v>46204</x:v>
      </x:c>
      <x:c r="B251" t="s">
        <x:v>1150</x:v>
      </x:c>
      <x:c r="C251" t="s">
        <x:v>29</x:v>
      </x:c>
      <x:c r="D251" t="s">
        <x:v>1151</x:v>
      </x:c>
      <x:c r="E251" t="s">
        <x:v>31</x:v>
      </x:c>
      <x:c r="F251" t="s">
        <x:v>1152</x:v>
      </x:c>
      <x:c r="G251" t="s">
        <x:v>1153</x:v>
      </x:c>
      <x:c r="H251" t="s">
        <x:v>1154</x:v>
      </x:c>
      <x:c r="I251" t="s">
        <x:v>1155</x:v>
      </x:c>
      <x:c r="J251" t="s">
        <x:v>1156</x:v>
      </x:c>
      <x:c r="K251" t="s">
        <x:v>37</x:v>
      </x:c>
      <x:c r="L251" t="s">
        <x:v>1157</x:v>
      </x:c>
      <x:c r="M251" t="s">
        <x:v>610</x:v>
      </x:c>
      <x:c r="N251" t="s">
        <x:v>1153</x:v>
      </x:c>
      <x:c r="O251" t="s">
        <x:v>1158</x:v>
      </x:c>
      <x:c r="P251" t="s">
        <x:v>1159</x:v>
      </x:c>
      <x:c r="Q251">
        <x:v>1</x:v>
      </x:c>
      <x:c r="R251" t="s">
        <x:v>42</x:v>
      </x:c>
      <x:c r="S251" t="s">
        <x:v>44</x:v>
      </x:c>
      <x:c r="T251" t="s">
        <x:v>44</x:v>
      </x:c>
      <x:c r="U251" t="s">
        <x:v>45</x:v>
      </x:c>
      <x:c r="V251" t="s">
        <x:v>60</x:v>
      </x:c>
      <x:c r="W251">
        <x:v>338.98</x:v>
      </x:c>
      <x:c r="X251" t="s">
        <x:v>47</x:v>
      </x:c>
      <x:c r="Y251" t="s">
        <x:v>48</x:v>
      </x:c>
      <x:c r="Z251" t="s">
        <x:v>49</x:v>
      </x:c>
      <x:c r="AA251">
        <x:v>995868651</x:v>
      </x:c>
      <x:c r="AB251" t="s">
        <x:v>1160</x:v>
      </x:c>
    </x:row>
    <x:row r="252">
      <x:c r="A252" s="1">
        <x:v>46188</x:v>
      </x:c>
      <x:c r="B252" t="s">
        <x:v>1161</x:v>
      </x:c>
      <x:c r="C252" t="s">
        <x:v>29</x:v>
      </x:c>
      <x:c r="D252" t="s">
        <x:v>1162</x:v>
      </x:c>
      <x:c r="E252" t="s">
        <x:v>31</x:v>
      </x:c>
      <x:c r="F252" t="s">
        <x:v>1163</x:v>
      </x:c>
      <x:c r="G252" t="s">
        <x:v>1164</x:v>
      </x:c>
      <x:c r="H252" t="s">
        <x:v>1165</x:v>
      </x:c>
      <x:c r="I252" t="s">
        <x:v>1166</x:v>
      </x:c>
      <x:c r="J252" t="s">
        <x:v>1167</x:v>
      </x:c>
      <x:c r="K252" t="s">
        <x:v>37</x:v>
      </x:c>
      <x:c r="L252" t="s">
        <x:v>1168</x:v>
      </x:c>
      <x:c r="M252" t="s">
        <x:v>1169</x:v>
      </x:c>
      <x:c r="N252" t="s">
        <x:v>1164</x:v>
      </x:c>
      <x:c r="O252" t="s">
        <x:v>1170</x:v>
      </x:c>
      <x:c r="P252" t="s">
        <x:v>1159</x:v>
      </x:c>
      <x:c r="Q252">
        <x:v>1</x:v>
      </x:c>
      <x:c r="R252" t="s">
        <x:v>42</x:v>
      </x:c>
      <x:c r="S252" t="s">
        <x:v>43</x:v>
      </x:c>
      <x:c r="T252" t="s">
        <x:v>44</x:v>
      </x:c>
      <x:c r="U252" t="s">
        <x:v>45</x:v>
      </x:c>
      <x:c r="V252" t="s">
        <x:v>60</x:v>
      </x:c>
      <x:c r="W252">
        <x:v>338.98</x:v>
      </x:c>
      <x:c r="X252" t="s">
        <x:v>47</x:v>
      </x:c>
      <x:c r="Y252" t="s">
        <x:v>48</x:v>
      </x:c>
      <x:c r="Z252" t="s">
        <x:v>49</x:v>
      </x:c>
      <x:c r="AA252">
        <x:v>978548687</x:v>
      </x:c>
      <x:c r="AB252" t="s">
        <x:v>1171</x:v>
      </x:c>
    </x:row>
    <x:row r="253">
      <x:c r="A253" s="1">
        <x:v>46242</x:v>
      </x:c>
      <x:c r="B253" t="s">
        <x:v>1172</x:v>
      </x:c>
      <x:c r="C253" t="s">
        <x:v>29</x:v>
      </x:c>
      <x:c r="D253" t="s">
        <x:v>1173</x:v>
      </x:c>
      <x:c r="E253" t="s">
        <x:v>31</x:v>
      </x:c>
      <x:c r="F253" t="s">
        <x:v>1174</x:v>
      </x:c>
      <x:c r="G253" t="s">
        <x:v>1175</x:v>
      </x:c>
      <x:c r="H253" t="s">
        <x:v>1176</x:v>
      </x:c>
      <x:c r="I253" t="s">
        <x:v>1166</x:v>
      </x:c>
      <x:c r="J253" t="s">
        <x:v>1167</x:v>
      </x:c>
      <x:c r="K253" t="s">
        <x:v>37</x:v>
      </x:c>
      <x:c r="L253" t="s">
        <x:v>1177</x:v>
      </x:c>
      <x:c r="M253" t="s">
        <x:v>1178</x:v>
      </x:c>
      <x:c r="N253" t="s">
        <x:v>1175</x:v>
      </x:c>
      <x:c r="O253" t="s">
        <x:v>1179</x:v>
      </x:c>
      <x:c r="P253" t="s">
        <x:v>1180</x:v>
      </x:c>
      <x:c r="Q253">
        <x:v>1</x:v>
      </x:c>
      <x:c r="R253" t="s">
        <x:v>42</x:v>
      </x:c>
      <x:c r="S253" t="s">
        <x:v>44</x:v>
      </x:c>
      <x:c r="T253" t="s">
        <x:v>44</x:v>
      </x:c>
      <x:c r="U253" t="s">
        <x:v>45</x:v>
      </x:c>
      <x:c r="V253" t="s">
        <x:v>60</x:v>
      </x:c>
      <x:c r="W253">
        <x:v>186.44</x:v>
      </x:c>
      <x:c r="X253" t="s">
        <x:v>47</x:v>
      </x:c>
      <x:c r="Y253" t="s">
        <x:v>48</x:v>
      </x:c>
      <x:c r="Z253" t="s">
        <x:v>49</x:v>
      </x:c>
      <x:c r="AA253">
        <x:v>978548687</x:v>
      </x:c>
      <x:c r="AB253" t="s">
        <x:v>1171</x:v>
      </x:c>
    </x:row>
    <x:row r="254">
      <x:c r="A254" s="1">
        <x:v>46189</x:v>
      </x:c>
      <x:c r="B254" t="s">
        <x:v>1181</x:v>
      </x:c>
      <x:c r="C254" t="s">
        <x:v>29</x:v>
      </x:c>
      <x:c r="D254" t="s">
        <x:v>1182</x:v>
      </x:c>
      <x:c r="E254" t="s">
        <x:v>31</x:v>
      </x:c>
      <x:c r="F254" t="s">
        <x:v>1183</x:v>
      </x:c>
      <x:c r="G254" t="s">
        <x:v>1184</x:v>
      </x:c>
      <x:c r="H254" t="s">
        <x:v>1185</x:v>
      </x:c>
      <x:c r="I254" t="s">
        <x:v>1186</x:v>
      </x:c>
      <x:c r="J254" t="s">
        <x:v>210</x:v>
      </x:c>
      <x:c r="K254" t="s">
        <x:v>37</x:v>
      </x:c>
      <x:c r="L254" t="s">
        <x:v>1187</x:v>
      </x:c>
      <x:c r="M254" t="s">
        <x:v>1188</x:v>
      </x:c>
      <x:c r="N254" t="s">
        <x:v>1184</x:v>
      </x:c>
      <x:c r="O254" t="s">
        <x:v>1189</x:v>
      </x:c>
      <x:c r="P254" t="s">
        <x:v>41</x:v>
      </x:c>
      <x:c r="Q254">
        <x:v>1</x:v>
      </x:c>
      <x:c r="R254" t="s">
        <x:v>42</x:v>
      </x:c>
      <x:c r="S254" t="s">
        <x:v>43</x:v>
      </x:c>
      <x:c r="T254" t="s">
        <x:v>44</x:v>
      </x:c>
      <x:c r="U254" t="s">
        <x:v>45</x:v>
      </x:c>
      <x:c r="V254" t="s">
        <x:v>60</x:v>
      </x:c>
      <x:c r="W254">
        <x:v>186.44</x:v>
      </x:c>
      <x:c r="X254" t="s">
        <x:v>47</x:v>
      </x:c>
      <x:c r="Y254" t="s">
        <x:v>48</x:v>
      </x:c>
      <x:c r="Z254" t="s">
        <x:v>49</x:v>
      </x:c>
      <x:c r="AA254">
        <x:v>981227454</x:v>
      </x:c>
      <x:c r="AB254" t="s">
        <x:v>1190</x:v>
      </x:c>
    </x:row>
    <x:row r="255">
      <x:c r="A255" s="1">
        <x:v>46241</x:v>
      </x:c>
      <x:c r="B255" t="s">
        <x:v>1191</x:v>
      </x:c>
      <x:c r="C255" t="s">
        <x:v>29</x:v>
      </x:c>
      <x:c r="D255" t="s">
        <x:v>1192</x:v>
      </x:c>
      <x:c r="E255" t="s">
        <x:v>31</x:v>
      </x:c>
      <x:c r="F255" t="s">
        <x:v>1193</x:v>
      </x:c>
      <x:c r="G255" t="s">
        <x:v>1194</x:v>
      </x:c>
      <x:c r="H255" t="s">
        <x:v>1195</x:v>
      </x:c>
      <x:c r="I255" t="s">
        <x:v>1186</x:v>
      </x:c>
      <x:c r="J255" t="s">
        <x:v>210</x:v>
      </x:c>
      <x:c r="K255" t="s">
        <x:v>37</x:v>
      </x:c>
      <x:c r="L255" t="s">
        <x:v>1196</x:v>
      </x:c>
      <x:c r="M255" t="s">
        <x:v>1197</x:v>
      </x:c>
      <x:c r="N255" t="s">
        <x:v>1194</x:v>
      </x:c>
      <x:c r="O255" t="s">
        <x:v>1198</x:v>
      </x:c>
      <x:c r="P255" t="s">
        <x:v>91</x:v>
      </x:c>
      <x:c r="Q255">
        <x:v>1</x:v>
      </x:c>
      <x:c r="R255" t="s">
        <x:v>42</x:v>
      </x:c>
      <x:c r="S255" t="s">
        <x:v>44</x:v>
      </x:c>
      <x:c r="T255" t="s">
        <x:v>44</x:v>
      </x:c>
      <x:c r="U255" t="s">
        <x:v>45</x:v>
      </x:c>
      <x:c r="V255" t="s">
        <x:v>60</x:v>
      </x:c>
      <x:c r="W255">
        <x:v>135.59</x:v>
      </x:c>
      <x:c r="X255" t="s">
        <x:v>47</x:v>
      </x:c>
      <x:c r="Y255" t="s">
        <x:v>48</x:v>
      </x:c>
      <x:c r="Z255" t="s">
        <x:v>49</x:v>
      </x:c>
      <x:c r="AA255">
        <x:v>981227454</x:v>
      </x:c>
      <x:c r="AB255" t="s">
        <x:v>1190</x:v>
      </x:c>
    </x:row>
    <x:row r="256">
      <x:c r="A256" s="1">
        <x:v>46189</x:v>
      </x:c>
      <x:c r="B256" t="s">
        <x:v>1199</x:v>
      </x:c>
      <x:c r="C256" t="s">
        <x:v>29</x:v>
      </x:c>
      <x:c r="D256" t="s">
        <x:v>1200</x:v>
      </x:c>
      <x:c r="E256" t="s">
        <x:v>31</x:v>
      </x:c>
      <x:c r="F256" t="s">
        <x:v>1201</x:v>
      </x:c>
      <x:c r="G256" t="s">
        <x:v>1202</x:v>
      </x:c>
      <x:c r="H256" t="s">
        <x:v>1203</x:v>
      </x:c>
      <x:c r="I256" t="s">
        <x:v>1204</x:v>
      </x:c>
      <x:c r="K256" t="s">
        <x:v>37</x:v>
      </x:c>
      <x:c r="L256" t="s">
        <x:v>1205</x:v>
      </x:c>
      <x:c r="M256" t="s">
        <x:v>1206</x:v>
      </x:c>
      <x:c r="N256" t="s">
        <x:v>1202</x:v>
      </x:c>
      <x:c r="O256" t="s">
        <x:v>1207</x:v>
      </x:c>
      <x:c r="P256" t="s">
        <x:v>160</x:v>
      </x:c>
      <x:c r="Q256">
        <x:v>1</x:v>
      </x:c>
      <x:c r="R256" t="s">
        <x:v>42</x:v>
      </x:c>
      <x:c r="S256" t="s">
        <x:v>44</x:v>
      </x:c>
      <x:c r="T256" t="s">
        <x:v>44</x:v>
      </x:c>
      <x:c r="U256" t="s">
        <x:v>45</x:v>
      </x:c>
      <x:c r="V256" t="s">
        <x:v>46</x:v>
      </x:c>
      <x:c r="W256">
        <x:v>135.59</x:v>
      </x:c>
      <x:c r="X256" t="s">
        <x:v>47</x:v>
      </x:c>
      <x:c r="Y256" t="s">
        <x:v>48</x:v>
      </x:c>
      <x:c r="Z256" t="s">
        <x:v>49</x:v>
      </x:c>
    </x:row>
    <x:row r="257">
      <x:c r="A257" s="1">
        <x:v>46190</x:v>
      </x:c>
      <x:c r="B257" t="s">
        <x:v>1208</x:v>
      </x:c>
      <x:c r="C257" t="s">
        <x:v>29</x:v>
      </x:c>
      <x:c r="D257" t="s">
        <x:v>1209</x:v>
      </x:c>
      <x:c r="E257" t="s">
        <x:v>31</x:v>
      </x:c>
      <x:c r="F257" t="s">
        <x:v>1210</x:v>
      </x:c>
      <x:c r="G257" t="s">
        <x:v>1211</x:v>
      </x:c>
      <x:c r="H257" t="s">
        <x:v>1212</x:v>
      </x:c>
      <x:c r="I257" t="s">
        <x:v>1213</x:v>
      </x:c>
      <x:c r="K257" t="s">
        <x:v>37</x:v>
      </x:c>
      <x:c r="L257" t="s">
        <x:v>1214</x:v>
      </x:c>
      <x:c r="M257" t="s">
        <x:v>1215</x:v>
      </x:c>
      <x:c r="N257" t="s">
        <x:v>1211</x:v>
      </x:c>
      <x:c r="O257" t="s">
        <x:v>1216</x:v>
      </x:c>
      <x:c r="P257" t="s">
        <x:v>289</x:v>
      </x:c>
      <x:c r="Q257">
        <x:v>1</x:v>
      </x:c>
      <x:c r="R257" t="s">
        <x:v>42</x:v>
      </x:c>
      <x:c r="S257" t="s">
        <x:v>44</x:v>
      </x:c>
      <x:c r="T257" t="s">
        <x:v>44</x:v>
      </x:c>
      <x:c r="U257" t="s">
        <x:v>45</x:v>
      </x:c>
      <x:c r="V257" t="s">
        <x:v>60</x:v>
      </x:c>
      <x:c r="W257">
        <x:v>0</x:v>
      </x:c>
      <x:c r="X257" t="s">
        <x:v>290</x:v>
      </x:c>
      <x:c r="Y257" t="s">
        <x:v>48</x:v>
      </x:c>
      <x:c r="Z257" t="s">
        <x:v>49</x:v>
      </x:c>
    </x:row>
    <x:row r="258">
      <x:c r="A258" s="1">
        <x:v>46190</x:v>
      </x:c>
      <x:c r="B258" t="s">
        <x:v>1208</x:v>
      </x:c>
      <x:c r="C258" t="s">
        <x:v>29</x:v>
      </x:c>
      <x:c r="D258" t="s">
        <x:v>1209</x:v>
      </x:c>
      <x:c r="E258" t="s">
        <x:v>31</x:v>
      </x:c>
      <x:c r="F258" t="s">
        <x:v>1210</x:v>
      </x:c>
      <x:c r="G258" t="s">
        <x:v>1211</x:v>
      </x:c>
      <x:c r="H258" t="s">
        <x:v>1212</x:v>
      </x:c>
      <x:c r="I258" t="s">
        <x:v>1213</x:v>
      </x:c>
      <x:c r="K258" t="s">
        <x:v>37</x:v>
      </x:c>
      <x:c r="L258" t="s">
        <x:v>1214</x:v>
      </x:c>
      <x:c r="M258" t="s">
        <x:v>1215</x:v>
      </x:c>
      <x:c r="N258" t="s">
        <x:v>1211</x:v>
      </x:c>
      <x:c r="O258" t="s">
        <x:v>1216</x:v>
      </x:c>
      <x:c r="P258" t="s">
        <x:v>1217</x:v>
      </x:c>
      <x:c r="Q258">
        <x:v>1</x:v>
      </x:c>
      <x:c r="R258" t="s">
        <x:v>42</x:v>
      </x:c>
      <x:c r="S258" t="s">
        <x:v>44</x:v>
      </x:c>
      <x:c r="T258" t="s">
        <x:v>44</x:v>
      </x:c>
      <x:c r="U258" t="s">
        <x:v>45</x:v>
      </x:c>
      <x:c r="V258" t="s">
        <x:v>60</x:v>
      </x:c>
      <x:c r="W258">
        <x:v>139.83000000000001</x:v>
      </x:c>
      <x:c r="X258" t="s">
        <x:v>290</x:v>
      </x:c>
      <x:c r="Y258" t="s">
        <x:v>48</x:v>
      </x:c>
      <x:c r="Z258" t="s">
        <x:v>49</x:v>
      </x:c>
    </x:row>
    <x:row r="259">
      <x:c r="A259" s="1">
        <x:v>46191</x:v>
      </x:c>
      <x:c r="B259" t="s">
        <x:v>1218</x:v>
      </x:c>
      <x:c r="C259" t="s">
        <x:v>29</x:v>
      </x:c>
      <x:c r="D259" t="s">
        <x:v>1219</x:v>
      </x:c>
      <x:c r="E259" t="s">
        <x:v>31</x:v>
      </x:c>
      <x:c r="F259" t="s">
        <x:v>1220</x:v>
      </x:c>
      <x:c r="G259" t="s">
        <x:v>1221</x:v>
      </x:c>
      <x:c r="H259" t="s">
        <x:v>1222</x:v>
      </x:c>
      <x:c r="I259" t="s">
        <x:v>1223</x:v>
      </x:c>
      <x:c r="J259" t="s">
        <x:v>1224</x:v>
      </x:c>
      <x:c r="K259" t="s">
        <x:v>37</x:v>
      </x:c>
      <x:c r="L259" t="s">
        <x:v>1225</x:v>
      </x:c>
      <x:c r="M259" t="s">
        <x:v>1226</x:v>
      </x:c>
      <x:c r="N259" t="s">
        <x:v>1221</x:v>
      </x:c>
      <x:c r="O259" t="s">
        <x:v>1227</x:v>
      </x:c>
      <x:c r="P259" t="s">
        <x:v>160</x:v>
      </x:c>
      <x:c r="Q259">
        <x:v>1</x:v>
      </x:c>
      <x:c r="R259" t="s">
        <x:v>42</x:v>
      </x:c>
      <x:c r="S259" t="s">
        <x:v>44</x:v>
      </x:c>
      <x:c r="T259" t="s">
        <x:v>44</x:v>
      </x:c>
      <x:c r="U259" t="s">
        <x:v>45</x:v>
      </x:c>
      <x:c r="V259" t="s">
        <x:v>46</x:v>
      </x:c>
      <x:c r="W259">
        <x:v>135.59</x:v>
      </x:c>
      <x:c r="X259" t="s">
        <x:v>47</x:v>
      </x:c>
      <x:c r="Y259" t="s">
        <x:v>48</x:v>
      </x:c>
      <x:c r="Z259" t="s">
        <x:v>49</x:v>
      </x:c>
      <x:c r="AA259">
        <x:v>986089286</x:v>
      </x:c>
      <x:c r="AB259" t="s">
        <x:v>1228</x:v>
      </x:c>
    </x:row>
    <x:row r="260">
      <x:c r="A260" s="1">
        <x:v>46239</x:v>
      </x:c>
      <x:c r="B260" t="s">
        <x:v>1229</x:v>
      </x:c>
      <x:c r="C260" t="s">
        <x:v>29</x:v>
      </x:c>
      <x:c r="D260" t="s">
        <x:v>1230</x:v>
      </x:c>
      <x:c r="E260" t="s">
        <x:v>31</x:v>
      </x:c>
      <x:c r="F260" t="s">
        <x:v>1231</x:v>
      </x:c>
      <x:c r="G260" t="s">
        <x:v>1232</x:v>
      </x:c>
      <x:c r="H260" t="s">
        <x:v>1233</x:v>
      </x:c>
      <x:c r="I260" t="s">
        <x:v>1234</x:v>
      </x:c>
      <x:c r="K260" t="s">
        <x:v>37</x:v>
      </x:c>
      <x:c r="L260" t="s">
        <x:v>1235</x:v>
      </x:c>
      <x:c r="M260" t="s">
        <x:v>1236</x:v>
      </x:c>
      <x:c r="N260" t="s">
        <x:v>1232</x:v>
      </x:c>
      <x:c r="O260" t="s">
        <x:v>1237</x:v>
      </x:c>
      <x:c r="P260" t="s">
        <x:v>160</x:v>
      </x:c>
      <x:c r="Q260">
        <x:v>1</x:v>
      </x:c>
      <x:c r="R260" t="s">
        <x:v>42</x:v>
      </x:c>
      <x:c r="S260" t="s">
        <x:v>44</x:v>
      </x:c>
      <x:c r="T260" t="s">
        <x:v>44</x:v>
      </x:c>
      <x:c r="U260" t="s">
        <x:v>45</x:v>
      </x:c>
      <x:c r="V260" t="s">
        <x:v>60</x:v>
      </x:c>
      <x:c r="W260">
        <x:v>135.59</x:v>
      </x:c>
      <x:c r="X260" t="s">
        <x:v>47</x:v>
      </x:c>
      <x:c r="Y260" t="s">
        <x:v>48</x:v>
      </x:c>
      <x:c r="Z260" t="s">
        <x:v>49</x:v>
      </x:c>
      <x:c r="AB260" t="s">
        <x:v>1238</x:v>
      </x:c>
    </x:row>
    <x:row r="261">
      <x:c r="A261" s="1">
        <x:v>46244</x:v>
      </x:c>
      <x:c r="B261" t="s">
        <x:v>1239</x:v>
      </x:c>
      <x:c r="C261" t="s">
        <x:v>29</x:v>
      </x:c>
      <x:c r="D261" t="s">
        <x:v>1240</x:v>
      </x:c>
      <x:c r="E261" t="s">
        <x:v>31</x:v>
      </x:c>
      <x:c r="F261" t="s">
        <x:v>1241</x:v>
      </x:c>
      <x:c r="G261" t="s">
        <x:v>1242</x:v>
      </x:c>
      <x:c r="H261" t="s">
        <x:v>1243</x:v>
      </x:c>
      <x:c r="I261" t="s">
        <x:v>1234</x:v>
      </x:c>
      <x:c r="K261" t="s">
        <x:v>37</x:v>
      </x:c>
      <x:c r="L261" t="s">
        <x:v>1244</x:v>
      </x:c>
      <x:c r="M261" t="s">
        <x:v>1245</x:v>
      </x:c>
      <x:c r="N261" t="s">
        <x:v>1242</x:v>
      </x:c>
      <x:c r="O261" t="s">
        <x:v>1246</x:v>
      </x:c>
      <x:c r="P261" t="s">
        <x:v>41</x:v>
      </x:c>
      <x:c r="Q261">
        <x:v>1</x:v>
      </x:c>
      <x:c r="R261" t="s">
        <x:v>42</x:v>
      </x:c>
      <x:c r="S261" t="s">
        <x:v>44</x:v>
      </x:c>
      <x:c r="T261" t="s">
        <x:v>44</x:v>
      </x:c>
      <x:c r="U261" t="s">
        <x:v>45</x:v>
      </x:c>
      <x:c r="V261" t="s">
        <x:v>60</x:v>
      </x:c>
      <x:c r="W261">
        <x:v>169.49</x:v>
      </x:c>
      <x:c r="X261" t="s">
        <x:v>47</x:v>
      </x:c>
      <x:c r="Y261" t="s">
        <x:v>48</x:v>
      </x:c>
      <x:c r="Z261" t="s">
        <x:v>49</x:v>
      </x:c>
      <x:c r="AB261" t="s">
        <x:v>1238</x:v>
      </x:c>
    </x:row>
    <x:row r="262">
      <x:c r="A262" s="1">
        <x:v>46198</x:v>
      </x:c>
      <x:c r="B262" t="s">
        <x:v>1247</x:v>
      </x:c>
      <x:c r="C262" t="s">
        <x:v>269</x:v>
      </x:c>
      <x:c r="D262" t="s">
        <x:v>1248</x:v>
      </x:c>
      <x:c r="E262" t="s">
        <x:v>31</x:v>
      </x:c>
      <x:c r="F262" t="s">
        <x:v>1249</x:v>
      </x:c>
      <x:c r="G262" t="s">
        <x:v>1250</x:v>
      </x:c>
      <x:c r="H262" t="s">
        <x:v>1251</x:v>
      </x:c>
      <x:c r="I262" t="s">
        <x:v>1252</x:v>
      </x:c>
      <x:c r="J262" t="s">
        <x:v>210</x:v>
      </x:c>
      <x:c r="K262" t="s">
        <x:v>37</x:v>
      </x:c>
      <x:c r="L262" t="s">
        <x:v>1253</x:v>
      </x:c>
      <x:c r="M262" t="s">
        <x:v>610</x:v>
      </x:c>
      <x:c r="N262" t="s">
        <x:v>1254</x:v>
      </x:c>
      <x:c r="O262" t="s">
        <x:v>1255</x:v>
      </x:c>
      <x:c r="P262" t="s">
        <x:v>289</x:v>
      </x:c>
      <x:c r="Q262">
        <x:v>1</x:v>
      </x:c>
      <x:c r="R262" t="s">
        <x:v>42</x:v>
      </x:c>
      <x:c r="S262" t="s">
        <x:v>44</x:v>
      </x:c>
      <x:c r="T262" t="s">
        <x:v>44</x:v>
      </x:c>
      <x:c r="U262" t="s">
        <x:v>45</x:v>
      </x:c>
      <x:c r="V262" t="s">
        <x:v>60</x:v>
      </x:c>
      <x:c r="W262">
        <x:v>0</x:v>
      </x:c>
      <x:c r="X262" t="s">
        <x:v>290</x:v>
      </x:c>
      <x:c r="Y262" t="s">
        <x:v>48</x:v>
      </x:c>
      <x:c r="Z262" t="s">
        <x:v>49</x:v>
      </x:c>
      <x:c r="AA262">
        <x:v>994872106</x:v>
      </x:c>
      <x:c r="AB262" t="s">
        <x:v>1256</x:v>
      </x:c>
    </x:row>
    <x:row r="263">
      <x:c r="A263" s="1">
        <x:v>46198</x:v>
      </x:c>
      <x:c r="B263" t="s">
        <x:v>1247</x:v>
      </x:c>
      <x:c r="C263" t="s">
        <x:v>269</x:v>
      </x:c>
      <x:c r="D263" t="s">
        <x:v>1248</x:v>
      </x:c>
      <x:c r="E263" t="s">
        <x:v>31</x:v>
      </x:c>
      <x:c r="F263" t="s">
        <x:v>1249</x:v>
      </x:c>
      <x:c r="G263" t="s">
        <x:v>1250</x:v>
      </x:c>
      <x:c r="H263" t="s">
        <x:v>1251</x:v>
      </x:c>
      <x:c r="I263" t="s">
        <x:v>1252</x:v>
      </x:c>
      <x:c r="J263" t="s">
        <x:v>210</x:v>
      </x:c>
      <x:c r="K263" t="s">
        <x:v>37</x:v>
      </x:c>
      <x:c r="L263" t="s">
        <x:v>1253</x:v>
      </x:c>
      <x:c r="M263" t="s">
        <x:v>610</x:v>
      </x:c>
      <x:c r="N263" t="s">
        <x:v>1254</x:v>
      </x:c>
      <x:c r="O263" t="s">
        <x:v>1255</x:v>
      </x:c>
      <x:c r="P263" t="s">
        <x:v>1257</x:v>
      </x:c>
      <x:c r="Q263">
        <x:v>1</x:v>
      </x:c>
      <x:c r="R263" t="s">
        <x:v>42</x:v>
      </x:c>
      <x:c r="S263" t="s">
        <x:v>44</x:v>
      </x:c>
      <x:c r="T263" t="s">
        <x:v>44</x:v>
      </x:c>
      <x:c r="U263" t="s">
        <x:v>45</x:v>
      </x:c>
      <x:c r="V263" t="s">
        <x:v>60</x:v>
      </x:c>
      <x:c r="W263">
        <x:v>139.83000000000001</x:v>
      </x:c>
      <x:c r="X263" t="s">
        <x:v>290</x:v>
      </x:c>
      <x:c r="Y263" t="s">
        <x:v>48</x:v>
      </x:c>
      <x:c r="Z263" t="s">
        <x:v>49</x:v>
      </x:c>
      <x:c r="AA263">
        <x:v>994872106</x:v>
      </x:c>
      <x:c r="AB263" t="s">
        <x:v>1256</x:v>
      </x:c>
    </x:row>
    <x:row r="264">
      <x:c r="A264" s="1">
        <x:v>46204</x:v>
      </x:c>
      <x:c r="B264" t="s">
        <x:v>1258</x:v>
      </x:c>
      <x:c r="C264" t="s">
        <x:v>269</x:v>
      </x:c>
      <x:c r="D264" t="s">
        <x:v>1259</x:v>
      </x:c>
      <x:c r="E264" t="s">
        <x:v>31</x:v>
      </x:c>
      <x:c r="F264" t="s">
        <x:v>1260</x:v>
      </x:c>
      <x:c r="G264" t="s">
        <x:v>1261</x:v>
      </x:c>
      <x:c r="H264" t="s">
        <x:v>1262</x:v>
      </x:c>
      <x:c r="I264" t="s">
        <x:v>1252</x:v>
      </x:c>
      <x:c r="J264" t="s">
        <x:v>210</x:v>
      </x:c>
      <x:c r="K264" t="s">
        <x:v>37</x:v>
      </x:c>
      <x:c r="L264" t="s">
        <x:v>1263</x:v>
      </x:c>
      <x:c r="M264" t="s">
        <x:v>610</x:v>
      </x:c>
      <x:c r="N264" t="s">
        <x:v>1254</x:v>
      </x:c>
      <x:c r="O264" t="s">
        <x:v>1264</x:v>
      </x:c>
      <x:c r="P264" t="s">
        <x:v>289</x:v>
      </x:c>
      <x:c r="Q264">
        <x:v>1</x:v>
      </x:c>
      <x:c r="R264" t="s">
        <x:v>42</x:v>
      </x:c>
      <x:c r="S264" t="s">
        <x:v>44</x:v>
      </x:c>
      <x:c r="T264" t="s">
        <x:v>44</x:v>
      </x:c>
      <x:c r="U264" t="s">
        <x:v>45</x:v>
      </x:c>
      <x:c r="V264" t="s">
        <x:v>60</x:v>
      </x:c>
      <x:c r="W264">
        <x:v>0</x:v>
      </x:c>
      <x:c r="X264" t="s">
        <x:v>290</x:v>
      </x:c>
      <x:c r="Y264" t="s">
        <x:v>48</x:v>
      </x:c>
      <x:c r="Z264" t="s">
        <x:v>49</x:v>
      </x:c>
      <x:c r="AA264">
        <x:v>994872106</x:v>
      </x:c>
      <x:c r="AB264" t="s">
        <x:v>1256</x:v>
      </x:c>
    </x:row>
    <x:row r="265">
      <x:c r="A265" s="1">
        <x:v>46204</x:v>
      </x:c>
      <x:c r="B265" t="s">
        <x:v>1258</x:v>
      </x:c>
      <x:c r="C265" t="s">
        <x:v>269</x:v>
      </x:c>
      <x:c r="D265" t="s">
        <x:v>1259</x:v>
      </x:c>
      <x:c r="E265" t="s">
        <x:v>31</x:v>
      </x:c>
      <x:c r="F265" t="s">
        <x:v>1260</x:v>
      </x:c>
      <x:c r="G265" t="s">
        <x:v>1261</x:v>
      </x:c>
      <x:c r="H265" t="s">
        <x:v>1262</x:v>
      </x:c>
      <x:c r="I265" t="s">
        <x:v>1252</x:v>
      </x:c>
      <x:c r="J265" t="s">
        <x:v>210</x:v>
      </x:c>
      <x:c r="K265" t="s">
        <x:v>37</x:v>
      </x:c>
      <x:c r="L265" t="s">
        <x:v>1263</x:v>
      </x:c>
      <x:c r="M265" t="s">
        <x:v>610</x:v>
      </x:c>
      <x:c r="N265" t="s">
        <x:v>1254</x:v>
      </x:c>
      <x:c r="O265" t="s">
        <x:v>1264</x:v>
      </x:c>
      <x:c r="P265" t="s">
        <x:v>1257</x:v>
      </x:c>
      <x:c r="Q265">
        <x:v>1</x:v>
      </x:c>
      <x:c r="R265" t="s">
        <x:v>42</x:v>
      </x:c>
      <x:c r="S265" t="s">
        <x:v>44</x:v>
      </x:c>
      <x:c r="T265" t="s">
        <x:v>44</x:v>
      </x:c>
      <x:c r="U265" t="s">
        <x:v>45</x:v>
      </x:c>
      <x:c r="V265" t="s">
        <x:v>60</x:v>
      </x:c>
      <x:c r="W265">
        <x:v>139.83000000000001</x:v>
      </x:c>
      <x:c r="X265" t="s">
        <x:v>290</x:v>
      </x:c>
      <x:c r="Y265" t="s">
        <x:v>48</x:v>
      </x:c>
      <x:c r="Z265" t="s">
        <x:v>49</x:v>
      </x:c>
      <x:c r="AA265">
        <x:v>994872106</x:v>
      </x:c>
      <x:c r="AB265" t="s">
        <x:v>1256</x:v>
      </x:c>
    </x:row>
    <x:row r="266">
      <x:c r="A266" s="1">
        <x:v>46206</x:v>
      </x:c>
      <x:c r="B266" t="s">
        <x:v>1265</x:v>
      </x:c>
      <x:c r="C266" t="s">
        <x:v>29</x:v>
      </x:c>
      <x:c r="D266" t="s">
        <x:v>1266</x:v>
      </x:c>
      <x:c r="E266" t="s">
        <x:v>31</x:v>
      </x:c>
      <x:c r="F266" t="s">
        <x:v>1267</x:v>
      </x:c>
      <x:c r="G266" t="s">
        <x:v>1268</x:v>
      </x:c>
      <x:c r="H266" t="s">
        <x:v>1269</x:v>
      </x:c>
      <x:c r="I266" t="s">
        <x:v>1252</x:v>
      </x:c>
      <x:c r="J266" t="s">
        <x:v>210</x:v>
      </x:c>
      <x:c r="K266" t="s">
        <x:v>37</x:v>
      </x:c>
      <x:c r="L266" t="s">
        <x:v>1270</x:v>
      </x:c>
      <x:c r="M266" t="s">
        <x:v>610</x:v>
      </x:c>
      <x:c r="N266" t="s">
        <x:v>1268</x:v>
      </x:c>
      <x:c r="O266" t="s">
        <x:v>1271</x:v>
      </x:c>
      <x:c r="P266" t="s">
        <x:v>289</x:v>
      </x:c>
      <x:c r="Q266">
        <x:v>1</x:v>
      </x:c>
      <x:c r="R266" t="s">
        <x:v>42</x:v>
      </x:c>
      <x:c r="S266" t="s">
        <x:v>44</x:v>
      </x:c>
      <x:c r="T266" t="s">
        <x:v>44</x:v>
      </x:c>
      <x:c r="U266" t="s">
        <x:v>45</x:v>
      </x:c>
      <x:c r="V266" t="s">
        <x:v>46</x:v>
      </x:c>
      <x:c r="W266">
        <x:v>0</x:v>
      </x:c>
      <x:c r="X266" t="s">
        <x:v>290</x:v>
      </x:c>
      <x:c r="Y266" t="s">
        <x:v>48</x:v>
      </x:c>
      <x:c r="Z266" t="s">
        <x:v>49</x:v>
      </x:c>
      <x:c r="AA266">
        <x:v>994872106</x:v>
      </x:c>
      <x:c r="AB266" t="s">
        <x:v>1256</x:v>
      </x:c>
    </x:row>
    <x:row r="267">
      <x:c r="A267" s="1">
        <x:v>46206</x:v>
      </x:c>
      <x:c r="B267" t="s">
        <x:v>1265</x:v>
      </x:c>
      <x:c r="C267" t="s">
        <x:v>29</x:v>
      </x:c>
      <x:c r="D267" t="s">
        <x:v>1266</x:v>
      </x:c>
      <x:c r="E267" t="s">
        <x:v>31</x:v>
      </x:c>
      <x:c r="F267" t="s">
        <x:v>1267</x:v>
      </x:c>
      <x:c r="G267" t="s">
        <x:v>1268</x:v>
      </x:c>
      <x:c r="H267" t="s">
        <x:v>1269</x:v>
      </x:c>
      <x:c r="I267" t="s">
        <x:v>1252</x:v>
      </x:c>
      <x:c r="J267" t="s">
        <x:v>210</x:v>
      </x:c>
      <x:c r="K267" t="s">
        <x:v>37</x:v>
      </x:c>
      <x:c r="L267" t="s">
        <x:v>1270</x:v>
      </x:c>
      <x:c r="M267" t="s">
        <x:v>610</x:v>
      </x:c>
      <x:c r="N267" t="s">
        <x:v>1268</x:v>
      </x:c>
      <x:c r="O267" t="s">
        <x:v>1271</x:v>
      </x:c>
      <x:c r="P267" t="s">
        <x:v>1217</x:v>
      </x:c>
      <x:c r="Q267">
        <x:v>1</x:v>
      </x:c>
      <x:c r="R267" t="s">
        <x:v>42</x:v>
      </x:c>
      <x:c r="S267" t="s">
        <x:v>44</x:v>
      </x:c>
      <x:c r="T267" t="s">
        <x:v>44</x:v>
      </x:c>
      <x:c r="U267" t="s">
        <x:v>45</x:v>
      </x:c>
      <x:c r="V267" t="s">
        <x:v>46</x:v>
      </x:c>
      <x:c r="W267">
        <x:v>139.83000000000001</x:v>
      </x:c>
      <x:c r="X267" t="s">
        <x:v>290</x:v>
      </x:c>
      <x:c r="Y267" t="s">
        <x:v>48</x:v>
      </x:c>
      <x:c r="Z267" t="s">
        <x:v>49</x:v>
      </x:c>
      <x:c r="AA267">
        <x:v>994872106</x:v>
      </x:c>
      <x:c r="AB267" t="s">
        <x:v>1256</x:v>
      </x:c>
    </x:row>
    <x:row r="268">
      <x:c r="A268" s="1">
        <x:v>46212</x:v>
      </x:c>
      <x:c r="B268" t="s">
        <x:v>1272</x:v>
      </x:c>
      <x:c r="C268" t="s">
        <x:v>269</x:v>
      </x:c>
      <x:c r="D268" t="s">
        <x:v>1273</x:v>
      </x:c>
      <x:c r="E268" t="s">
        <x:v>31</x:v>
      </x:c>
      <x:c r="F268" t="s">
        <x:v>1274</x:v>
      </x:c>
      <x:c r="G268" t="s">
        <x:v>1275</x:v>
      </x:c>
      <x:c r="H268" t="s">
        <x:v>1276</x:v>
      </x:c>
      <x:c r="I268" t="s">
        <x:v>1252</x:v>
      </x:c>
      <x:c r="J268" t="s">
        <x:v>210</x:v>
      </x:c>
      <x:c r="K268" t="s">
        <x:v>37</x:v>
      </x:c>
      <x:c r="L268" t="s">
        <x:v>1277</x:v>
      </x:c>
      <x:c r="M268" t="s">
        <x:v>610</x:v>
      </x:c>
      <x:c r="N268" t="s">
        <x:v>1254</x:v>
      </x:c>
      <x:c r="O268" t="s">
        <x:v>1278</x:v>
      </x:c>
      <x:c r="P268" t="s">
        <x:v>289</x:v>
      </x:c>
      <x:c r="Q268">
        <x:v>1</x:v>
      </x:c>
      <x:c r="R268" t="s">
        <x:v>42</x:v>
      </x:c>
      <x:c r="S268" t="s">
        <x:v>44</x:v>
      </x:c>
      <x:c r="T268" t="s">
        <x:v>44</x:v>
      </x:c>
      <x:c r="U268" t="s">
        <x:v>45</x:v>
      </x:c>
      <x:c r="V268" t="s">
        <x:v>46</x:v>
      </x:c>
      <x:c r="W268">
        <x:v>0</x:v>
      </x:c>
      <x:c r="X268" t="s">
        <x:v>290</x:v>
      </x:c>
      <x:c r="Y268" t="s">
        <x:v>48</x:v>
      </x:c>
      <x:c r="Z268" t="s">
        <x:v>49</x:v>
      </x:c>
      <x:c r="AA268">
        <x:v>994872106</x:v>
      </x:c>
      <x:c r="AB268" t="s">
        <x:v>1256</x:v>
      </x:c>
    </x:row>
    <x:row r="269">
      <x:c r="A269" s="1">
        <x:v>46212</x:v>
      </x:c>
      <x:c r="B269" t="s">
        <x:v>1272</x:v>
      </x:c>
      <x:c r="C269" t="s">
        <x:v>269</x:v>
      </x:c>
      <x:c r="D269" t="s">
        <x:v>1273</x:v>
      </x:c>
      <x:c r="E269" t="s">
        <x:v>31</x:v>
      </x:c>
      <x:c r="F269" t="s">
        <x:v>1274</x:v>
      </x:c>
      <x:c r="G269" t="s">
        <x:v>1275</x:v>
      </x:c>
      <x:c r="H269" t="s">
        <x:v>1276</x:v>
      </x:c>
      <x:c r="I269" t="s">
        <x:v>1252</x:v>
      </x:c>
      <x:c r="J269" t="s">
        <x:v>210</x:v>
      </x:c>
      <x:c r="K269" t="s">
        <x:v>37</x:v>
      </x:c>
      <x:c r="L269" t="s">
        <x:v>1277</x:v>
      </x:c>
      <x:c r="M269" t="s">
        <x:v>610</x:v>
      </x:c>
      <x:c r="N269" t="s">
        <x:v>1254</x:v>
      </x:c>
      <x:c r="O269" t="s">
        <x:v>1278</x:v>
      </x:c>
      <x:c r="P269" t="s">
        <x:v>1257</x:v>
      </x:c>
      <x:c r="Q269">
        <x:v>1</x:v>
      </x:c>
      <x:c r="R269" t="s">
        <x:v>42</x:v>
      </x:c>
      <x:c r="S269" t="s">
        <x:v>44</x:v>
      </x:c>
      <x:c r="T269" t="s">
        <x:v>44</x:v>
      </x:c>
      <x:c r="U269" t="s">
        <x:v>45</x:v>
      </x:c>
      <x:c r="V269" t="s">
        <x:v>46</x:v>
      </x:c>
      <x:c r="W269">
        <x:v>279.66000000000003</x:v>
      </x:c>
      <x:c r="X269" t="s">
        <x:v>290</x:v>
      </x:c>
      <x:c r="Y269" t="s">
        <x:v>48</x:v>
      </x:c>
      <x:c r="Z269" t="s">
        <x:v>49</x:v>
      </x:c>
      <x:c r="AA269">
        <x:v>994872106</x:v>
      </x:c>
      <x:c r="AB269" t="s">
        <x:v>1256</x:v>
      </x:c>
    </x:row>
    <x:row r="270">
      <x:c r="A270" s="1">
        <x:v>46244</x:v>
      </x:c>
      <x:c r="B270" t="s">
        <x:v>1279</x:v>
      </x:c>
      <x:c r="C270" t="s">
        <x:v>29</x:v>
      </x:c>
      <x:c r="D270" t="s">
        <x:v>1280</x:v>
      </x:c>
      <x:c r="E270" t="s">
        <x:v>31</x:v>
      </x:c>
      <x:c r="F270" t="s">
        <x:v>1281</x:v>
      </x:c>
      <x:c r="G270" t="s">
        <x:v>1282</x:v>
      </x:c>
      <x:c r="H270" t="s">
        <x:v>1283</x:v>
      </x:c>
      <x:c r="I270" t="s">
        <x:v>1284</x:v>
      </x:c>
      <x:c r="J270" t="s">
        <x:v>1100</x:v>
      </x:c>
      <x:c r="K270" t="s">
        <x:v>37</x:v>
      </x:c>
      <x:c r="L270" t="s">
        <x:v>1285</x:v>
      </x:c>
      <x:c r="M270" t="s">
        <x:v>1286</x:v>
      </x:c>
      <x:c r="N270" t="s">
        <x:v>1282</x:v>
      </x:c>
      <x:c r="O270" t="s">
        <x:v>1287</x:v>
      </x:c>
      <x:c r="P270" t="s">
        <x:v>160</x:v>
      </x:c>
      <x:c r="Q270">
        <x:v>1</x:v>
      </x:c>
      <x:c r="R270" t="s">
        <x:v>42</x:v>
      </x:c>
      <x:c r="S270" t="s">
        <x:v>44</x:v>
      </x:c>
      <x:c r="T270" t="s">
        <x:v>44</x:v>
      </x:c>
      <x:c r="U270" t="s">
        <x:v>532</x:v>
      </x:c>
      <x:c r="V270" t="s">
        <x:v>1288</x:v>
      </x:c>
      <x:c r="W270">
        <x:v>135.59</x:v>
      </x:c>
      <x:c r="X270" t="s">
        <x:v>47</x:v>
      </x:c>
      <x:c r="Y270" t="s">
        <x:v>48</x:v>
      </x:c>
      <x:c r="Z270" t="s">
        <x:v>535</x:v>
      </x:c>
      <x:c r="AA270">
        <x:v>983837511</x:v>
      </x:c>
      <x:c r="AB270" t="s">
        <x:v>1289</x:v>
      </x:c>
    </x:row>
    <x:row r="271">
      <x:c r="A271" s="1">
        <x:v>46195</x:v>
      </x:c>
      <x:c r="B271" t="s">
        <x:v>1290</x:v>
      </x:c>
      <x:c r="C271" t="s">
        <x:v>29</x:v>
      </x:c>
      <x:c r="D271" t="s">
        <x:v>1291</x:v>
      </x:c>
      <x:c r="E271" t="s">
        <x:v>31</x:v>
      </x:c>
      <x:c r="F271" t="s">
        <x:v>1292</x:v>
      </x:c>
      <x:c r="G271" t="s">
        <x:v>1293</x:v>
      </x:c>
      <x:c r="H271" t="s">
        <x:v>1294</x:v>
      </x:c>
      <x:c r="I271" t="s">
        <x:v>1295</x:v>
      </x:c>
      <x:c r="K271" t="s">
        <x:v>37</x:v>
      </x:c>
      <x:c r="L271" t="s">
        <x:v>1296</x:v>
      </x:c>
      <x:c r="M271" t="s">
        <x:v>1297</x:v>
      </x:c>
      <x:c r="N271" t="s">
        <x:v>1293</x:v>
      </x:c>
      <x:c r="O271" t="s">
        <x:v>1298</x:v>
      </x:c>
      <x:c r="P271" t="s">
        <x:v>160</x:v>
      </x:c>
      <x:c r="Q271">
        <x:v>1</x:v>
      </x:c>
      <x:c r="R271" t="s">
        <x:v>42</x:v>
      </x:c>
      <x:c r="S271" t="s">
        <x:v>44</x:v>
      </x:c>
      <x:c r="T271" t="s">
        <x:v>44</x:v>
      </x:c>
      <x:c r="U271" t="s">
        <x:v>45</x:v>
      </x:c>
      <x:c r="V271" t="s">
        <x:v>60</x:v>
      </x:c>
      <x:c r="W271">
        <x:v>135.59</x:v>
      </x:c>
      <x:c r="X271" t="s">
        <x:v>47</x:v>
      </x:c>
      <x:c r="Y271" t="s">
        <x:v>48</x:v>
      </x:c>
      <x:c r="Z271" t="s">
        <x:v>49</x:v>
      </x:c>
    </x:row>
    <x:row r="272">
      <x:c r="A272" s="1">
        <x:v>46244</x:v>
      </x:c>
      <x:c r="B272" t="s">
        <x:v>1299</x:v>
      </x:c>
      <x:c r="C272" t="s">
        <x:v>269</x:v>
      </x:c>
      <x:c r="D272" t="s">
        <x:v>1300</x:v>
      </x:c>
      <x:c r="E272" t="s">
        <x:v>31</x:v>
      </x:c>
      <x:c r="F272" t="s">
        <x:v>1301</x:v>
      </x:c>
      <x:c r="G272" t="s">
        <x:v>1302</x:v>
      </x:c>
      <x:c r="H272" t="s">
        <x:v>1303</x:v>
      </x:c>
      <x:c r="I272" t="s">
        <x:v>1304</x:v>
      </x:c>
      <x:c r="J272" t="s">
        <x:v>366</x:v>
      </x:c>
      <x:c r="K272" t="s">
        <x:v>37</x:v>
      </x:c>
      <x:c r="L272" t="s">
        <x:v>1305</x:v>
      </x:c>
      <x:c r="M272" t="s">
        <x:v>1306</x:v>
      </x:c>
      <x:c r="N272" t="s">
        <x:v>1307</x:v>
      </x:c>
      <x:c r="O272" t="s">
        <x:v>1308</x:v>
      </x:c>
      <x:c r="P272" t="s">
        <x:v>91</x:v>
      </x:c>
      <x:c r="Q272">
        <x:v>1</x:v>
      </x:c>
      <x:c r="R272" t="s">
        <x:v>42</x:v>
      </x:c>
      <x:c r="S272" t="s">
        <x:v>44</x:v>
      </x:c>
      <x:c r="T272" t="s">
        <x:v>44</x:v>
      </x:c>
      <x:c r="U272" t="s">
        <x:v>45</x:v>
      </x:c>
      <x:c r="V272" t="s">
        <x:v>46</x:v>
      </x:c>
      <x:c r="W272">
        <x:v>135.59</x:v>
      </x:c>
      <x:c r="X272" t="s">
        <x:v>47</x:v>
      </x:c>
      <x:c r="Y272" t="s">
        <x:v>48</x:v>
      </x:c>
      <x:c r="Z272" t="s">
        <x:v>49</x:v>
      </x:c>
      <x:c r="AA272">
        <x:v>980702810</x:v>
      </x:c>
      <x:c r="AB272" t="s">
        <x:v>1309</x:v>
      </x:c>
    </x:row>
    <x:row r="273">
      <x:c r="A273" s="1">
        <x:v>46209</x:v>
      </x:c>
      <x:c r="B273" t="s">
        <x:v>1310</x:v>
      </x:c>
      <x:c r="C273" t="s">
        <x:v>269</x:v>
      </x:c>
      <x:c r="D273" t="s">
        <x:v>1311</x:v>
      </x:c>
      <x:c r="E273" t="s">
        <x:v>31</x:v>
      </x:c>
      <x:c r="F273" t="s">
        <x:v>1312</x:v>
      </x:c>
      <x:c r="G273" t="s">
        <x:v>1313</x:v>
      </x:c>
      <x:c r="H273" t="s">
        <x:v>1314</x:v>
      </x:c>
      <x:c r="I273" t="s">
        <x:v>1315</x:v>
      </x:c>
      <x:c r="J273" t="s">
        <x:v>36</x:v>
      </x:c>
      <x:c r="K273" t="s">
        <x:v>37</x:v>
      </x:c>
      <x:c r="L273" t="s">
        <x:v>1316</x:v>
      </x:c>
      <x:c r="M273" t="s">
        <x:v>1317</x:v>
      </x:c>
      <x:c r="N273" t="s">
        <x:v>1318</x:v>
      </x:c>
      <x:c r="O273" t="s">
        <x:v>1319</x:v>
      </x:c>
      <x:c r="P273" t="s">
        <x:v>59</x:v>
      </x:c>
      <x:c r="Q273">
        <x:v>1</x:v>
      </x:c>
      <x:c r="R273" t="s">
        <x:v>42</x:v>
      </x:c>
      <x:c r="S273" t="s">
        <x:v>44</x:v>
      </x:c>
      <x:c r="T273" t="s">
        <x:v>44</x:v>
      </x:c>
      <x:c r="U273" t="s">
        <x:v>45</x:v>
      </x:c>
      <x:c r="V273" t="s">
        <x:v>46</x:v>
      </x:c>
      <x:c r="W273">
        <x:v>101.69</x:v>
      </x:c>
      <x:c r="X273" t="s">
        <x:v>61</x:v>
      </x:c>
      <x:c r="Y273" t="s">
        <x:v>48</x:v>
      </x:c>
      <x:c r="Z273" t="s">
        <x:v>49</x:v>
      </x:c>
      <x:c r="AA273">
        <x:v>993496032</x:v>
      </x:c>
      <x:c r="AB273" t="s">
        <x:v>1320</x:v>
      </x:c>
    </x:row>
    <x:row r="274">
      <x:c r="A274" s="1">
        <x:v>46204</x:v>
      </x:c>
      <x:c r="B274" t="s">
        <x:v>1321</x:v>
      </x:c>
      <x:c r="C274" t="s">
        <x:v>29</x:v>
      </x:c>
      <x:c r="D274" t="s">
        <x:v>1322</x:v>
      </x:c>
      <x:c r="E274" t="s">
        <x:v>31</x:v>
      </x:c>
      <x:c r="F274" t="s">
        <x:v>1323</x:v>
      </x:c>
      <x:c r="G274" t="s">
        <x:v>1324</x:v>
      </x:c>
      <x:c r="H274" t="s">
        <x:v>1325</x:v>
      </x:c>
      <x:c r="I274" t="s">
        <x:v>1326</x:v>
      </x:c>
      <x:c r="J274" t="s">
        <x:v>36</x:v>
      </x:c>
      <x:c r="K274" t="s">
        <x:v>37</x:v>
      </x:c>
      <x:c r="L274" t="s">
        <x:v>1327</x:v>
      </x:c>
      <x:c r="M274" t="s">
        <x:v>1328</x:v>
      </x:c>
      <x:c r="N274" t="s">
        <x:v>1324</x:v>
      </x:c>
      <x:c r="O274" t="s">
        <x:v>1329</x:v>
      </x:c>
      <x:c r="P274" t="s">
        <x:v>102</x:v>
      </x:c>
      <x:c r="Q274">
        <x:v>1</x:v>
      </x:c>
      <x:c r="R274" t="s">
        <x:v>42</x:v>
      </x:c>
      <x:c r="S274" t="s">
        <x:v>44</x:v>
      </x:c>
      <x:c r="T274" t="s">
        <x:v>44</x:v>
      </x:c>
      <x:c r="U274" t="s">
        <x:v>45</x:v>
      </x:c>
      <x:c r="V274" t="s">
        <x:v>60</x:v>
      </x:c>
      <x:c r="W274">
        <x:v>186.44</x:v>
      </x:c>
      <x:c r="X274" t="s">
        <x:v>47</x:v>
      </x:c>
      <x:c r="Y274" t="s">
        <x:v>48</x:v>
      </x:c>
      <x:c r="Z274" t="s">
        <x:v>49</x:v>
      </x:c>
      <x:c r="AA274">
        <x:v>999111362</x:v>
      </x:c>
      <x:c r="AB274" t="s">
        <x:v>1330</x:v>
      </x:c>
    </x:row>
    <x:row r="275">
      <x:c r="A275" s="1">
        <x:v>46235</x:v>
      </x:c>
      <x:c r="B275" t="s">
        <x:v>1331</x:v>
      </x:c>
      <x:c r="C275" t="s">
        <x:v>29</x:v>
      </x:c>
      <x:c r="D275" t="s">
        <x:v>1332</x:v>
      </x:c>
      <x:c r="E275" t="s">
        <x:v>31</x:v>
      </x:c>
      <x:c r="F275" t="s">
        <x:v>1333</x:v>
      </x:c>
      <x:c r="G275" t="s">
        <x:v>1334</x:v>
      </x:c>
      <x:c r="H275" t="s">
        <x:v>1335</x:v>
      </x:c>
      <x:c r="I275" t="s">
        <x:v>1326</x:v>
      </x:c>
      <x:c r="J275" t="s">
        <x:v>36</x:v>
      </x:c>
      <x:c r="K275" t="s">
        <x:v>37</x:v>
      </x:c>
      <x:c r="L275" t="s">
        <x:v>1336</x:v>
      </x:c>
      <x:c r="M275" t="s">
        <x:v>1337</x:v>
      </x:c>
      <x:c r="N275" t="s">
        <x:v>1334</x:v>
      </x:c>
      <x:c r="O275" t="s">
        <x:v>1338</x:v>
      </x:c>
      <x:c r="P275" t="s">
        <x:v>203</x:v>
      </x:c>
      <x:c r="Q275">
        <x:v>1</x:v>
      </x:c>
      <x:c r="R275" t="s">
        <x:v>42</x:v>
      </x:c>
      <x:c r="S275" t="s">
        <x:v>44</x:v>
      </x:c>
      <x:c r="T275" t="s">
        <x:v>44</x:v>
      </x:c>
      <x:c r="U275" t="s">
        <x:v>45</x:v>
      </x:c>
      <x:c r="V275" t="s">
        <x:v>46</x:v>
      </x:c>
      <x:c r="W275">
        <x:v>135.59</x:v>
      </x:c>
      <x:c r="X275" t="s">
        <x:v>47</x:v>
      </x:c>
      <x:c r="Y275" t="s">
        <x:v>48</x:v>
      </x:c>
      <x:c r="Z275" t="s">
        <x:v>49</x:v>
      </x:c>
      <x:c r="AA275">
        <x:v>999111362</x:v>
      </x:c>
      <x:c r="AB275" t="s">
        <x:v>1330</x:v>
      </x:c>
    </x:row>
    <x:row r="276">
      <x:c r="A276" s="1">
        <x:v>46196</x:v>
      </x:c>
      <x:c r="B276" t="s">
        <x:v>1339</x:v>
      </x:c>
      <x:c r="C276" t="s">
        <x:v>29</x:v>
      </x:c>
      <x:c r="D276" t="s">
        <x:v>1340</x:v>
      </x:c>
      <x:c r="E276" t="s">
        <x:v>31</x:v>
      </x:c>
      <x:c r="F276" t="s">
        <x:v>1341</x:v>
      </x:c>
      <x:c r="G276" t="s">
        <x:v>1342</x:v>
      </x:c>
      <x:c r="H276" t="s">
        <x:v>1343</x:v>
      </x:c>
      <x:c r="I276" t="s">
        <x:v>1344</x:v>
      </x:c>
      <x:c r="K276" t="s">
        <x:v>37</x:v>
      </x:c>
      <x:c r="L276" t="s">
        <x:v>1345</x:v>
      </x:c>
      <x:c r="M276" t="s">
        <x:v>1346</x:v>
      </x:c>
      <x:c r="N276" t="s">
        <x:v>1342</x:v>
      </x:c>
      <x:c r="O276" t="s">
        <x:v>1347</x:v>
      </x:c>
      <x:c r="P276" t="s">
        <x:v>91</x:v>
      </x:c>
      <x:c r="Q276">
        <x:v>1</x:v>
      </x:c>
      <x:c r="R276" t="s">
        <x:v>42</x:v>
      </x:c>
      <x:c r="S276" t="s">
        <x:v>44</x:v>
      </x:c>
      <x:c r="T276" t="s">
        <x:v>44</x:v>
      </x:c>
      <x:c r="U276" t="s">
        <x:v>45</x:v>
      </x:c>
      <x:c r="V276" t="s">
        <x:v>60</x:v>
      </x:c>
      <x:c r="W276">
        <x:v>135.59</x:v>
      </x:c>
      <x:c r="X276" t="s">
        <x:v>47</x:v>
      </x:c>
      <x:c r="Y276" t="s">
        <x:v>48</x:v>
      </x:c>
      <x:c r="Z276" t="s">
        <x:v>49</x:v>
      </x:c>
    </x:row>
    <x:row r="277">
      <x:c r="A277" s="1">
        <x:v>46241</x:v>
      </x:c>
      <x:c r="B277" t="s">
        <x:v>1348</x:v>
      </x:c>
      <x:c r="C277" t="s">
        <x:v>29</x:v>
      </x:c>
      <x:c r="D277" t="s">
        <x:v>1349</x:v>
      </x:c>
      <x:c r="E277" t="s">
        <x:v>31</x:v>
      </x:c>
      <x:c r="F277" t="s">
        <x:v>1350</x:v>
      </x:c>
      <x:c r="G277" t="s">
        <x:v>1351</x:v>
      </x:c>
      <x:c r="H277" t="s">
        <x:v>1352</x:v>
      </x:c>
      <x:c r="I277" t="s">
        <x:v>1353</x:v>
      </x:c>
      <x:c r="J277" t="s">
        <x:v>210</x:v>
      </x:c>
      <x:c r="K277" t="s">
        <x:v>37</x:v>
      </x:c>
      <x:c r="L277" t="s">
        <x:v>1354</x:v>
      </x:c>
      <x:c r="M277" t="s">
        <x:v>1355</x:v>
      </x:c>
      <x:c r="N277" t="s">
        <x:v>1351</x:v>
      </x:c>
      <x:c r="O277" t="s">
        <x:v>1356</x:v>
      </x:c>
      <x:c r="P277" t="s">
        <x:v>131</x:v>
      </x:c>
      <x:c r="Q277">
        <x:v>1</x:v>
      </x:c>
      <x:c r="R277" t="s">
        <x:v>42</x:v>
      </x:c>
      <x:c r="S277" t="s">
        <x:v>44</x:v>
      </x:c>
      <x:c r="T277" t="s">
        <x:v>44</x:v>
      </x:c>
      <x:c r="U277" t="s">
        <x:v>45</x:v>
      </x:c>
      <x:c r="V277" t="s">
        <x:v>60</x:v>
      </x:c>
      <x:c r="W277">
        <x:v>152.54</x:v>
      </x:c>
      <x:c r="X277" t="s">
        <x:v>47</x:v>
      </x:c>
      <x:c r="Y277" t="s">
        <x:v>48</x:v>
      </x:c>
      <x:c r="Z277" t="s">
        <x:v>49</x:v>
      </x:c>
      <x:c r="AA277">
        <x:v>980030101</x:v>
      </x:c>
      <x:c r="AB277" t="s">
        <x:v>1357</x:v>
      </x:c>
    </x:row>
    <x:row r="278">
      <x:c r="A278" s="1">
        <x:v>46197</x:v>
      </x:c>
      <x:c r="B278" t="s">
        <x:v>1358</x:v>
      </x:c>
      <x:c r="C278" t="s">
        <x:v>29</x:v>
      </x:c>
      <x:c r="D278" t="s">
        <x:v>1359</x:v>
      </x:c>
      <x:c r="E278" t="s">
        <x:v>31</x:v>
      </x:c>
      <x:c r="F278" t="s">
        <x:v>1360</x:v>
      </x:c>
      <x:c r="G278" t="s">
        <x:v>1361</x:v>
      </x:c>
      <x:c r="H278" t="s">
        <x:v>1362</x:v>
      </x:c>
      <x:c r="I278" t="s">
        <x:v>1363</x:v>
      </x:c>
      <x:c r="K278" t="s">
        <x:v>37</x:v>
      </x:c>
      <x:c r="L278" t="s">
        <x:v>1364</x:v>
      </x:c>
      <x:c r="M278" t="s">
        <x:v>1365</x:v>
      </x:c>
      <x:c r="N278" t="s">
        <x:v>1361</x:v>
      </x:c>
      <x:c r="O278" t="s">
        <x:v>1366</x:v>
      </x:c>
      <x:c r="P278" t="s">
        <x:v>1159</x:v>
      </x:c>
      <x:c r="Q278">
        <x:v>1</x:v>
      </x:c>
      <x:c r="R278" t="s">
        <x:v>42</x:v>
      </x:c>
      <x:c r="S278" t="s">
        <x:v>44</x:v>
      </x:c>
      <x:c r="T278" t="s">
        <x:v>44</x:v>
      </x:c>
      <x:c r="U278" t="s">
        <x:v>45</x:v>
      </x:c>
      <x:c r="V278" t="s">
        <x:v>60</x:v>
      </x:c>
      <x:c r="W278">
        <x:v>338.98</x:v>
      </x:c>
      <x:c r="X278" t="s">
        <x:v>47</x:v>
      </x:c>
      <x:c r="Y278" t="s">
        <x:v>48</x:v>
      </x:c>
      <x:c r="Z278" t="s">
        <x:v>49</x:v>
      </x:c>
    </x:row>
    <x:row r="279">
      <x:c r="A279" s="1">
        <x:v>46241</x:v>
      </x:c>
      <x:c r="B279" t="s">
        <x:v>1367</x:v>
      </x:c>
      <x:c r="C279" t="s">
        <x:v>29</x:v>
      </x:c>
      <x:c r="D279" t="s">
        <x:v>1368</x:v>
      </x:c>
      <x:c r="E279" t="s">
        <x:v>31</x:v>
      </x:c>
      <x:c r="F279" t="s">
        <x:v>1369</x:v>
      </x:c>
      <x:c r="G279" t="s">
        <x:v>1370</x:v>
      </x:c>
      <x:c r="H279" t="s">
        <x:v>1371</x:v>
      </x:c>
      <x:c r="I279" t="s">
        <x:v>1372</x:v>
      </x:c>
      <x:c r="K279" t="s">
        <x:v>37</x:v>
      </x:c>
      <x:c r="L279" t="s">
        <x:v>1373</x:v>
      </x:c>
      <x:c r="M279" t="s">
        <x:v>1374</x:v>
      </x:c>
      <x:c r="N279" t="s">
        <x:v>1370</x:v>
      </x:c>
      <x:c r="O279" t="s">
        <x:v>1375</x:v>
      </x:c>
      <x:c r="P279" t="s">
        <x:v>160</x:v>
      </x:c>
      <x:c r="Q279">
        <x:v>1</x:v>
      </x:c>
      <x:c r="R279" t="s">
        <x:v>42</x:v>
      </x:c>
      <x:c r="S279" t="s">
        <x:v>44</x:v>
      </x:c>
      <x:c r="T279" t="s">
        <x:v>44</x:v>
      </x:c>
      <x:c r="U279" t="s">
        <x:v>45</x:v>
      </x:c>
      <x:c r="V279" t="s">
        <x:v>60</x:v>
      </x:c>
      <x:c r="W279">
        <x:v>135.59</x:v>
      </x:c>
      <x:c r="X279" t="s">
        <x:v>47</x:v>
      </x:c>
      <x:c r="Y279" t="s">
        <x:v>48</x:v>
      </x:c>
      <x:c r="Z279" t="s">
        <x:v>49</x:v>
      </x:c>
      <x:c r="AA279">
        <x:v>994336842</x:v>
      </x:c>
    </x:row>
    <x:row r="280">
      <x:c r="A280" s="1">
        <x:v>46204</x:v>
      </x:c>
      <x:c r="B280" t="s">
        <x:v>1376</x:v>
      </x:c>
      <x:c r="C280" t="s">
        <x:v>29</x:v>
      </x:c>
      <x:c r="D280" t="s">
        <x:v>1377</x:v>
      </x:c>
      <x:c r="E280" t="s">
        <x:v>31</x:v>
      </x:c>
      <x:c r="F280" t="s">
        <x:v>1378</x:v>
      </x:c>
      <x:c r="G280" t="s">
        <x:v>1379</x:v>
      </x:c>
      <x:c r="H280" t="s">
        <x:v>1380</x:v>
      </x:c>
      <x:c r="I280" t="s">
        <x:v>1381</x:v>
      </x:c>
      <x:c r="K280" t="s">
        <x:v>37</x:v>
      </x:c>
      <x:c r="L280" t="s">
        <x:v>1382</x:v>
      </x:c>
      <x:c r="M280" t="s">
        <x:v>1383</x:v>
      </x:c>
      <x:c r="N280" t="s">
        <x:v>1379</x:v>
      </x:c>
      <x:c r="O280" t="s">
        <x:v>1384</x:v>
      </x:c>
      <x:c r="P280" t="s">
        <x:v>102</x:v>
      </x:c>
      <x:c r="Q280">
        <x:v>1</x:v>
      </x:c>
      <x:c r="R280" t="s">
        <x:v>42</x:v>
      </x:c>
      <x:c r="S280" t="s">
        <x:v>44</x:v>
      </x:c>
      <x:c r="T280" t="s">
        <x:v>44</x:v>
      </x:c>
      <x:c r="U280" t="s">
        <x:v>45</x:v>
      </x:c>
      <x:c r="V280" t="s">
        <x:v>60</x:v>
      </x:c>
      <x:c r="W280">
        <x:v>186.44</x:v>
      </x:c>
      <x:c r="X280" t="s">
        <x:v>47</x:v>
      </x:c>
      <x:c r="Y280" t="s">
        <x:v>48</x:v>
      </x:c>
      <x:c r="Z280" t="s">
        <x:v>49</x:v>
      </x:c>
    </x:row>
    <x:row r="281">
      <x:c r="A281" s="1">
        <x:v>46237</x:v>
      </x:c>
      <x:c r="B281" t="s">
        <x:v>1385</x:v>
      </x:c>
      <x:c r="C281" t="s">
        <x:v>29</x:v>
      </x:c>
      <x:c r="D281" t="s">
        <x:v>1386</x:v>
      </x:c>
      <x:c r="E281" t="s">
        <x:v>31</x:v>
      </x:c>
      <x:c r="F281" t="s">
        <x:v>1387</x:v>
      </x:c>
      <x:c r="G281" t="s">
        <x:v>1388</x:v>
      </x:c>
      <x:c r="H281" t="s">
        <x:v>1389</x:v>
      </x:c>
      <x:c r="I281" t="s">
        <x:v>1390</x:v>
      </x:c>
      <x:c r="K281" t="s">
        <x:v>37</x:v>
      </x:c>
      <x:c r="L281" t="s">
        <x:v>1391</x:v>
      </x:c>
      <x:c r="M281" t="s">
        <x:v>1392</x:v>
      </x:c>
      <x:c r="N281" t="s">
        <x:v>1388</x:v>
      </x:c>
      <x:c r="O281" t="s">
        <x:v>1393</x:v>
      </x:c>
      <x:c r="P281" t="s">
        <x:v>203</x:v>
      </x:c>
      <x:c r="Q281">
        <x:v>1</x:v>
      </x:c>
      <x:c r="R281" t="s">
        <x:v>42</x:v>
      </x:c>
      <x:c r="S281" t="s">
        <x:v>44</x:v>
      </x:c>
      <x:c r="T281" t="s">
        <x:v>44</x:v>
      </x:c>
      <x:c r="U281" t="s">
        <x:v>45</x:v>
      </x:c>
      <x:c r="V281" t="s">
        <x:v>46</x:v>
      </x:c>
      <x:c r="W281">
        <x:v>135.59</x:v>
      </x:c>
      <x:c r="X281" t="s">
        <x:v>47</x:v>
      </x:c>
      <x:c r="Y281" t="s">
        <x:v>48</x:v>
      </x:c>
      <x:c r="Z281" t="s">
        <x:v>49</x:v>
      </x:c>
      <x:c r="AB281" t="s">
        <x:v>1394</x:v>
      </x:c>
    </x:row>
    <x:row r="282">
      <x:c r="A282" s="1">
        <x:v>46205</x:v>
      </x:c>
      <x:c r="B282" t="s">
        <x:v>1395</x:v>
      </x:c>
      <x:c r="C282" t="s">
        <x:v>29</x:v>
      </x:c>
      <x:c r="D282" t="s">
        <x:v>1396</x:v>
      </x:c>
      <x:c r="E282" t="s">
        <x:v>31</x:v>
      </x:c>
      <x:c r="F282" t="s">
        <x:v>1397</x:v>
      </x:c>
      <x:c r="G282" t="s">
        <x:v>1398</x:v>
      </x:c>
      <x:c r="H282" t="s">
        <x:v>1399</x:v>
      </x:c>
      <x:c r="I282" t="s">
        <x:v>1400</x:v>
      </x:c>
      <x:c r="K282" t="s">
        <x:v>37</x:v>
      </x:c>
      <x:c r="L282" t="s">
        <x:v>1401</x:v>
      </x:c>
      <x:c r="M282" t="s">
        <x:v>1402</x:v>
      </x:c>
      <x:c r="N282" t="s">
        <x:v>1398</x:v>
      </x:c>
      <x:c r="O282" t="s">
        <x:v>1403</x:v>
      </x:c>
      <x:c r="P282" t="s">
        <x:v>160</x:v>
      </x:c>
      <x:c r="Q282">
        <x:v>1</x:v>
      </x:c>
      <x:c r="R282" t="s">
        <x:v>42</x:v>
      </x:c>
      <x:c r="S282" t="s">
        <x:v>44</x:v>
      </x:c>
      <x:c r="T282" t="s">
        <x:v>44</x:v>
      </x:c>
      <x:c r="U282" t="s">
        <x:v>45</x:v>
      </x:c>
      <x:c r="V282" t="s">
        <x:v>60</x:v>
      </x:c>
      <x:c r="W282">
        <x:v>135.59</x:v>
      </x:c>
      <x:c r="X282" t="s">
        <x:v>47</x:v>
      </x:c>
      <x:c r="Y282" t="s">
        <x:v>48</x:v>
      </x:c>
      <x:c r="Z282" t="s">
        <x:v>49</x:v>
      </x:c>
    </x:row>
    <x:row r="283">
      <x:c r="A283" s="1">
        <x:v>46205</x:v>
      </x:c>
      <x:c r="B283" t="s">
        <x:v>1395</x:v>
      </x:c>
      <x:c r="C283" t="s">
        <x:v>29</x:v>
      </x:c>
      <x:c r="D283" t="s">
        <x:v>1396</x:v>
      </x:c>
      <x:c r="E283" t="s">
        <x:v>31</x:v>
      </x:c>
      <x:c r="F283" t="s">
        <x:v>1397</x:v>
      </x:c>
      <x:c r="G283" t="s">
        <x:v>1398</x:v>
      </x:c>
      <x:c r="H283" t="s">
        <x:v>1399</x:v>
      </x:c>
      <x:c r="I283" t="s">
        <x:v>1400</x:v>
      </x:c>
      <x:c r="K283" t="s">
        <x:v>37</x:v>
      </x:c>
      <x:c r="L283" t="s">
        <x:v>1401</x:v>
      </x:c>
      <x:c r="M283" t="s">
        <x:v>1402</x:v>
      </x:c>
      <x:c r="N283" t="s">
        <x:v>1398</x:v>
      </x:c>
      <x:c r="O283" t="s">
        <x:v>1403</x:v>
      </x:c>
      <x:c r="P283" t="s">
        <x:v>102</x:v>
      </x:c>
      <x:c r="Q283">
        <x:v>1</x:v>
      </x:c>
      <x:c r="R283" t="s">
        <x:v>42</x:v>
      </x:c>
      <x:c r="S283" t="s">
        <x:v>44</x:v>
      </x:c>
      <x:c r="T283" t="s">
        <x:v>44</x:v>
      </x:c>
      <x:c r="U283" t="s">
        <x:v>45</x:v>
      </x:c>
      <x:c r="V283" t="s">
        <x:v>60</x:v>
      </x:c>
      <x:c r="W283">
        <x:v>186.44</x:v>
      </x:c>
      <x:c r="X283" t="s">
        <x:v>47</x:v>
      </x:c>
      <x:c r="Y283" t="s">
        <x:v>48</x:v>
      </x:c>
      <x:c r="Z283" t="s">
        <x:v>49</x:v>
      </x:c>
    </x:row>
    <x:row r="284">
      <x:c r="A284" s="1">
        <x:v>46205</x:v>
      </x:c>
      <x:c r="B284" t="s">
        <x:v>1395</x:v>
      </x:c>
      <x:c r="C284" t="s">
        <x:v>29</x:v>
      </x:c>
      <x:c r="D284" t="s">
        <x:v>1396</x:v>
      </x:c>
      <x:c r="E284" t="s">
        <x:v>31</x:v>
      </x:c>
      <x:c r="F284" t="s">
        <x:v>1397</x:v>
      </x:c>
      <x:c r="G284" t="s">
        <x:v>1398</x:v>
      </x:c>
      <x:c r="H284" t="s">
        <x:v>1399</x:v>
      </x:c>
      <x:c r="I284" t="s">
        <x:v>1400</x:v>
      </x:c>
      <x:c r="K284" t="s">
        <x:v>37</x:v>
      </x:c>
      <x:c r="L284" t="s">
        <x:v>1401</x:v>
      </x:c>
      <x:c r="M284" t="s">
        <x:v>1402</x:v>
      </x:c>
      <x:c r="N284" t="s">
        <x:v>1398</x:v>
      </x:c>
      <x:c r="O284" t="s">
        <x:v>1403</x:v>
      </x:c>
      <x:c r="P284" t="s">
        <x:v>159</x:v>
      </x:c>
      <x:c r="Q284">
        <x:v>1</x:v>
      </x:c>
      <x:c r="R284" t="s">
        <x:v>42</x:v>
      </x:c>
      <x:c r="S284" t="s">
        <x:v>44</x:v>
      </x:c>
      <x:c r="T284" t="s">
        <x:v>44</x:v>
      </x:c>
      <x:c r="U284" t="s">
        <x:v>45</x:v>
      </x:c>
      <x:c r="V284" t="s">
        <x:v>60</x:v>
      </x:c>
      <x:c r="W284">
        <x:v>152.54</x:v>
      </x:c>
      <x:c r="X284" t="s">
        <x:v>47</x:v>
      </x:c>
      <x:c r="Y284" t="s">
        <x:v>48</x:v>
      </x:c>
      <x:c r="Z284" t="s">
        <x:v>49</x:v>
      </x:c>
    </x:row>
    <x:row r="285">
      <x:c r="A285" s="1">
        <x:v>46206</x:v>
      </x:c>
      <x:c r="B285" t="s">
        <x:v>1404</x:v>
      </x:c>
      <x:c r="C285" t="s">
        <x:v>269</x:v>
      </x:c>
      <x:c r="D285" t="s">
        <x:v>1405</x:v>
      </x:c>
      <x:c r="E285" t="s">
        <x:v>31</x:v>
      </x:c>
      <x:c r="F285" t="s">
        <x:v>1406</x:v>
      </x:c>
      <x:c r="G285" t="s">
        <x:v>1407</x:v>
      </x:c>
      <x:c r="H285" t="s">
        <x:v>1408</x:v>
      </x:c>
      <x:c r="I285" t="s">
        <x:v>1400</x:v>
      </x:c>
      <x:c r="K285" t="s">
        <x:v>37</x:v>
      </x:c>
      <x:c r="L285" t="s">
        <x:v>1409</x:v>
      </x:c>
      <x:c r="M285" t="s">
        <x:v>1410</x:v>
      </x:c>
      <x:c r="N285" t="s">
        <x:v>487</x:v>
      </x:c>
      <x:c r="O285" t="s">
        <x:v>1411</x:v>
      </x:c>
      <x:c r="P285" t="s">
        <x:v>482</x:v>
      </x:c>
      <x:c r="Q285">
        <x:v>2</x:v>
      </x:c>
      <x:c r="R285" t="s">
        <x:v>42</x:v>
      </x:c>
      <x:c r="S285" t="s">
        <x:v>44</x:v>
      </x:c>
      <x:c r="T285" t="s">
        <x:v>44</x:v>
      </x:c>
      <x:c r="U285" t="s">
        <x:v>45</x:v>
      </x:c>
      <x:c r="V285" t="s">
        <x:v>46</x:v>
      </x:c>
      <x:c r="W285">
        <x:v>203.39</x:v>
      </x:c>
      <x:c r="X285" t="s">
        <x:v>61</x:v>
      </x:c>
      <x:c r="Y285" t="s">
        <x:v>48</x:v>
      </x:c>
      <x:c r="Z285" t="s">
        <x:v>49</x:v>
      </x:c>
    </x:row>
    <x:row r="286">
      <x:c r="A286" s="1">
        <x:v>46205</x:v>
      </x:c>
      <x:c r="B286" t="s">
        <x:v>1412</x:v>
      </x:c>
      <x:c r="C286" t="s">
        <x:v>29</x:v>
      </x:c>
      <x:c r="D286" t="s">
        <x:v>1413</x:v>
      </x:c>
      <x:c r="E286" t="s">
        <x:v>31</x:v>
      </x:c>
      <x:c r="F286" t="s">
        <x:v>1414</x:v>
      </x:c>
      <x:c r="G286" t="s">
        <x:v>1415</x:v>
      </x:c>
      <x:c r="H286" t="s">
        <x:v>1416</x:v>
      </x:c>
      <x:c r="I286" t="s">
        <x:v>1417</x:v>
      </x:c>
      <x:c r="K286" t="s">
        <x:v>37</x:v>
      </x:c>
      <x:c r="L286" t="s">
        <x:v>1418</x:v>
      </x:c>
      <x:c r="M286" t="s">
        <x:v>1419</x:v>
      </x:c>
      <x:c r="N286" t="s">
        <x:v>1415</x:v>
      </x:c>
      <x:c r="O286" t="s">
        <x:v>1420</x:v>
      </x:c>
      <x:c r="P286" t="s">
        <x:v>160</x:v>
      </x:c>
      <x:c r="Q286">
        <x:v>1</x:v>
      </x:c>
      <x:c r="R286" t="s">
        <x:v>42</x:v>
      </x:c>
      <x:c r="S286" t="s">
        <x:v>44</x:v>
      </x:c>
      <x:c r="T286" t="s">
        <x:v>44</x:v>
      </x:c>
      <x:c r="U286" t="s">
        <x:v>45</x:v>
      </x:c>
      <x:c r="V286" t="s">
        <x:v>60</x:v>
      </x:c>
      <x:c r="W286">
        <x:v>135.59</x:v>
      </x:c>
      <x:c r="X286" t="s">
        <x:v>47</x:v>
      </x:c>
      <x:c r="Y286" t="s">
        <x:v>48</x:v>
      </x:c>
      <x:c r="Z286" t="s">
        <x:v>49</x:v>
      </x:c>
    </x:row>
    <x:row r="287">
      <x:c r="A287" s="1">
        <x:v>46209</x:v>
      </x:c>
      <x:c r="B287" t="s">
        <x:v>1421</x:v>
      </x:c>
      <x:c r="C287" t="s">
        <x:v>269</x:v>
      </x:c>
      <x:c r="D287" t="s">
        <x:v>1422</x:v>
      </x:c>
      <x:c r="E287" t="s">
        <x:v>31</x:v>
      </x:c>
      <x:c r="F287" t="s">
        <x:v>1423</x:v>
      </x:c>
      <x:c r="G287" t="s">
        <x:v>1424</x:v>
      </x:c>
      <x:c r="H287" t="s">
        <x:v>1425</x:v>
      </x:c>
      <x:c r="I287" t="s">
        <x:v>1426</x:v>
      </x:c>
      <x:c r="J287" t="s">
        <x:v>1427</x:v>
      </x:c>
      <x:c r="K287" t="s">
        <x:v>37</x:v>
      </x:c>
      <x:c r="L287" t="s">
        <x:v>1428</x:v>
      </x:c>
      <x:c r="M287" t="s">
        <x:v>1429</x:v>
      </x:c>
      <x:c r="N287" t="s">
        <x:v>1430</x:v>
      </x:c>
      <x:c r="O287" t="s">
        <x:v>1431</x:v>
      </x:c>
      <x:c r="P287" t="s">
        <x:v>41</x:v>
      </x:c>
      <x:c r="Q287">
        <x:v>1</x:v>
      </x:c>
      <x:c r="R287" t="s">
        <x:v>42</x:v>
      </x:c>
      <x:c r="S287" t="s">
        <x:v>44</x:v>
      </x:c>
      <x:c r="T287" t="s">
        <x:v>44</x:v>
      </x:c>
      <x:c r="U287" t="s">
        <x:v>45</x:v>
      </x:c>
      <x:c r="V287" t="s">
        <x:v>60</x:v>
      </x:c>
      <x:c r="W287">
        <x:v>186.44</x:v>
      </x:c>
      <x:c r="X287" t="s">
        <x:v>47</x:v>
      </x:c>
      <x:c r="Y287" t="s">
        <x:v>48</x:v>
      </x:c>
      <x:c r="Z287" t="s">
        <x:v>49</x:v>
      </x:c>
    </x:row>
    <x:row r="288">
      <x:c r="A288" s="1">
        <x:v>46209</x:v>
      </x:c>
      <x:c r="B288" t="s">
        <x:v>1421</x:v>
      </x:c>
      <x:c r="C288" t="s">
        <x:v>269</x:v>
      </x:c>
      <x:c r="D288" t="s">
        <x:v>1422</x:v>
      </x:c>
      <x:c r="E288" t="s">
        <x:v>31</x:v>
      </x:c>
      <x:c r="F288" t="s">
        <x:v>1423</x:v>
      </x:c>
      <x:c r="G288" t="s">
        <x:v>1424</x:v>
      </x:c>
      <x:c r="H288" t="s">
        <x:v>1425</x:v>
      </x:c>
      <x:c r="I288" t="s">
        <x:v>1426</x:v>
      </x:c>
      <x:c r="J288" t="s">
        <x:v>1427</x:v>
      </x:c>
      <x:c r="K288" t="s">
        <x:v>37</x:v>
      </x:c>
      <x:c r="L288" t="s">
        <x:v>1428</x:v>
      </x:c>
      <x:c r="M288" t="s">
        <x:v>1429</x:v>
      </x:c>
      <x:c r="N288" t="s">
        <x:v>1430</x:v>
      </x:c>
      <x:c r="O288" t="s">
        <x:v>1431</x:v>
      </x:c>
      <x:c r="P288" t="s">
        <x:v>102</x:v>
      </x:c>
      <x:c r="Q288">
        <x:v>1</x:v>
      </x:c>
      <x:c r="R288" t="s">
        <x:v>42</x:v>
      </x:c>
      <x:c r="S288" t="s">
        <x:v>44</x:v>
      </x:c>
      <x:c r="T288" t="s">
        <x:v>44</x:v>
      </x:c>
      <x:c r="U288" t="s">
        <x:v>45</x:v>
      </x:c>
      <x:c r="V288" t="s">
        <x:v>60</x:v>
      </x:c>
      <x:c r="W288">
        <x:v>186.44</x:v>
      </x:c>
      <x:c r="X288" t="s">
        <x:v>47</x:v>
      </x:c>
      <x:c r="Y288" t="s">
        <x:v>48</x:v>
      </x:c>
      <x:c r="Z288" t="s">
        <x:v>49</x:v>
      </x:c>
    </x:row>
    <x:row r="289">
      <x:c r="A289" s="1">
        <x:v>46209</x:v>
      </x:c>
      <x:c r="B289" t="s">
        <x:v>1421</x:v>
      </x:c>
      <x:c r="C289" t="s">
        <x:v>269</x:v>
      </x:c>
      <x:c r="D289" t="s">
        <x:v>1422</x:v>
      </x:c>
      <x:c r="E289" t="s">
        <x:v>31</x:v>
      </x:c>
      <x:c r="F289" t="s">
        <x:v>1423</x:v>
      </x:c>
      <x:c r="G289" t="s">
        <x:v>1424</x:v>
      </x:c>
      <x:c r="H289" t="s">
        <x:v>1425</x:v>
      </x:c>
      <x:c r="I289" t="s">
        <x:v>1426</x:v>
      </x:c>
      <x:c r="J289" t="s">
        <x:v>1427</x:v>
      </x:c>
      <x:c r="K289" t="s">
        <x:v>37</x:v>
      </x:c>
      <x:c r="L289" t="s">
        <x:v>1428</x:v>
      </x:c>
      <x:c r="M289" t="s">
        <x:v>1429</x:v>
      </x:c>
      <x:c r="N289" t="s">
        <x:v>1430</x:v>
      </x:c>
      <x:c r="O289" t="s">
        <x:v>1431</x:v>
      </x:c>
      <x:c r="P289" t="s">
        <x:v>160</x:v>
      </x:c>
      <x:c r="Q289">
        <x:v>1</x:v>
      </x:c>
      <x:c r="R289" t="s">
        <x:v>42</x:v>
      </x:c>
      <x:c r="S289" t="s">
        <x:v>44</x:v>
      </x:c>
      <x:c r="T289" t="s">
        <x:v>44</x:v>
      </x:c>
      <x:c r="U289" t="s">
        <x:v>45</x:v>
      </x:c>
      <x:c r="V289" t="s">
        <x:v>60</x:v>
      </x:c>
      <x:c r="W289">
        <x:v>135.59</x:v>
      </x:c>
      <x:c r="X289" t="s">
        <x:v>47</x:v>
      </x:c>
      <x:c r="Y289" t="s">
        <x:v>48</x:v>
      </x:c>
      <x:c r="Z289" t="s">
        <x:v>49</x:v>
      </x:c>
    </x:row>
    <x:row r="290">
      <x:c r="A290" s="1">
        <x:v>46209</x:v>
      </x:c>
      <x:c r="B290" t="s">
        <x:v>1421</x:v>
      </x:c>
      <x:c r="C290" t="s">
        <x:v>269</x:v>
      </x:c>
      <x:c r="D290" t="s">
        <x:v>1422</x:v>
      </x:c>
      <x:c r="E290" t="s">
        <x:v>31</x:v>
      </x:c>
      <x:c r="F290" t="s">
        <x:v>1423</x:v>
      </x:c>
      <x:c r="G290" t="s">
        <x:v>1424</x:v>
      </x:c>
      <x:c r="H290" t="s">
        <x:v>1425</x:v>
      </x:c>
      <x:c r="I290" t="s">
        <x:v>1426</x:v>
      </x:c>
      <x:c r="J290" t="s">
        <x:v>1427</x:v>
      </x:c>
      <x:c r="K290" t="s">
        <x:v>37</x:v>
      </x:c>
      <x:c r="L290" t="s">
        <x:v>1428</x:v>
      </x:c>
      <x:c r="M290" t="s">
        <x:v>1429</x:v>
      </x:c>
      <x:c r="N290" t="s">
        <x:v>1430</x:v>
      </x:c>
      <x:c r="O290" t="s">
        <x:v>1431</x:v>
      </x:c>
      <x:c r="P290" t="s">
        <x:v>203</x:v>
      </x:c>
      <x:c r="Q290">
        <x:v>1</x:v>
      </x:c>
      <x:c r="R290" t="s">
        <x:v>42</x:v>
      </x:c>
      <x:c r="S290" t="s">
        <x:v>44</x:v>
      </x:c>
      <x:c r="T290" t="s">
        <x:v>44</x:v>
      </x:c>
      <x:c r="U290" t="s">
        <x:v>45</x:v>
      </x:c>
      <x:c r="V290" t="s">
        <x:v>60</x:v>
      </x:c>
      <x:c r="W290">
        <x:v>135.59</x:v>
      </x:c>
      <x:c r="X290" t="s">
        <x:v>47</x:v>
      </x:c>
      <x:c r="Y290" t="s">
        <x:v>48</x:v>
      </x:c>
      <x:c r="Z290" t="s">
        <x:v>49</x:v>
      </x:c>
    </x:row>
    <x:row r="291">
      <x:c r="A291" s="1">
        <x:v>46209</x:v>
      </x:c>
      <x:c r="B291" t="s">
        <x:v>1421</x:v>
      </x:c>
      <x:c r="C291" t="s">
        <x:v>269</x:v>
      </x:c>
      <x:c r="D291" t="s">
        <x:v>1422</x:v>
      </x:c>
      <x:c r="E291" t="s">
        <x:v>31</x:v>
      </x:c>
      <x:c r="F291" t="s">
        <x:v>1423</x:v>
      </x:c>
      <x:c r="G291" t="s">
        <x:v>1424</x:v>
      </x:c>
      <x:c r="H291" t="s">
        <x:v>1425</x:v>
      </x:c>
      <x:c r="I291" t="s">
        <x:v>1426</x:v>
      </x:c>
      <x:c r="J291" t="s">
        <x:v>1427</x:v>
      </x:c>
      <x:c r="K291" t="s">
        <x:v>37</x:v>
      </x:c>
      <x:c r="L291" t="s">
        <x:v>1428</x:v>
      </x:c>
      <x:c r="M291" t="s">
        <x:v>1429</x:v>
      </x:c>
      <x:c r="N291" t="s">
        <x:v>1430</x:v>
      </x:c>
      <x:c r="O291" t="s">
        <x:v>1431</x:v>
      </x:c>
      <x:c r="P291" t="s">
        <x:v>202</x:v>
      </x:c>
      <x:c r="Q291">
        <x:v>1</x:v>
      </x:c>
      <x:c r="R291" t="s">
        <x:v>42</x:v>
      </x:c>
      <x:c r="S291" t="s">
        <x:v>44</x:v>
      </x:c>
      <x:c r="T291" t="s">
        <x:v>44</x:v>
      </x:c>
      <x:c r="U291" t="s">
        <x:v>45</x:v>
      </x:c>
      <x:c r="V291" t="s">
        <x:v>60</x:v>
      </x:c>
      <x:c r="W291">
        <x:v>152.54</x:v>
      </x:c>
      <x:c r="X291" t="s">
        <x:v>47</x:v>
      </x:c>
      <x:c r="Y291" t="s">
        <x:v>48</x:v>
      </x:c>
      <x:c r="Z291" t="s">
        <x:v>49</x:v>
      </x:c>
    </x:row>
    <x:row r="292">
      <x:c r="A292" s="1">
        <x:v>46207</x:v>
      </x:c>
      <x:c r="B292" t="s">
        <x:v>1432</x:v>
      </x:c>
      <x:c r="C292" t="s">
        <x:v>29</x:v>
      </x:c>
      <x:c r="D292" t="s">
        <x:v>1433</x:v>
      </x:c>
      <x:c r="E292" t="s">
        <x:v>31</x:v>
      </x:c>
      <x:c r="F292" t="s">
        <x:v>1434</x:v>
      </x:c>
      <x:c r="G292" t="s">
        <x:v>1435</x:v>
      </x:c>
      <x:c r="H292" t="s">
        <x:v>1436</x:v>
      </x:c>
      <x:c r="I292" t="s">
        <x:v>1437</x:v>
      </x:c>
      <x:c r="K292" t="s">
        <x:v>37</x:v>
      </x:c>
      <x:c r="L292" t="s">
        <x:v>1438</x:v>
      </x:c>
      <x:c r="M292" t="s">
        <x:v>1439</x:v>
      </x:c>
      <x:c r="N292" t="s">
        <x:v>1435</x:v>
      </x:c>
      <x:c r="O292" t="s">
        <x:v>1440</x:v>
      </x:c>
      <x:c r="P292" t="s">
        <x:v>41</x:v>
      </x:c>
      <x:c r="Q292">
        <x:v>1</x:v>
      </x:c>
      <x:c r="R292" t="s">
        <x:v>42</x:v>
      </x:c>
      <x:c r="S292" t="s">
        <x:v>44</x:v>
      </x:c>
      <x:c r="T292" t="s">
        <x:v>44</x:v>
      </x:c>
      <x:c r="U292" t="s">
        <x:v>45</x:v>
      </x:c>
      <x:c r="V292" t="s">
        <x:v>60</x:v>
      </x:c>
      <x:c r="W292">
        <x:v>186.44</x:v>
      </x:c>
      <x:c r="X292" t="s">
        <x:v>47</x:v>
      </x:c>
      <x:c r="Y292" t="s">
        <x:v>48</x:v>
      </x:c>
      <x:c r="Z292" t="s">
        <x:v>49</x:v>
      </x:c>
    </x:row>
    <x:row r="293">
      <x:c r="A293" s="1">
        <x:v>46207</x:v>
      </x:c>
      <x:c r="B293" t="s">
        <x:v>1432</x:v>
      </x:c>
      <x:c r="C293" t="s">
        <x:v>29</x:v>
      </x:c>
      <x:c r="D293" t="s">
        <x:v>1433</x:v>
      </x:c>
      <x:c r="E293" t="s">
        <x:v>31</x:v>
      </x:c>
      <x:c r="F293" t="s">
        <x:v>1434</x:v>
      </x:c>
      <x:c r="G293" t="s">
        <x:v>1435</x:v>
      </x:c>
      <x:c r="H293" t="s">
        <x:v>1436</x:v>
      </x:c>
      <x:c r="I293" t="s">
        <x:v>1437</x:v>
      </x:c>
      <x:c r="K293" t="s">
        <x:v>37</x:v>
      </x:c>
      <x:c r="L293" t="s">
        <x:v>1438</x:v>
      </x:c>
      <x:c r="M293" t="s">
        <x:v>1439</x:v>
      </x:c>
      <x:c r="N293" t="s">
        <x:v>1435</x:v>
      </x:c>
      <x:c r="O293" t="s">
        <x:v>1440</x:v>
      </x:c>
      <x:c r="P293" t="s">
        <x:v>102</x:v>
      </x:c>
      <x:c r="Q293">
        <x:v>1</x:v>
      </x:c>
      <x:c r="R293" t="s">
        <x:v>42</x:v>
      </x:c>
      <x:c r="S293" t="s">
        <x:v>44</x:v>
      </x:c>
      <x:c r="T293" t="s">
        <x:v>44</x:v>
      </x:c>
      <x:c r="U293" t="s">
        <x:v>45</x:v>
      </x:c>
      <x:c r="V293" t="s">
        <x:v>60</x:v>
      </x:c>
      <x:c r="W293">
        <x:v>186.44</x:v>
      </x:c>
      <x:c r="X293" t="s">
        <x:v>47</x:v>
      </x:c>
      <x:c r="Y293" t="s">
        <x:v>48</x:v>
      </x:c>
      <x:c r="Z293" t="s">
        <x:v>49</x:v>
      </x:c>
    </x:row>
    <x:row r="294">
      <x:c r="A294" s="1">
        <x:v>46207</x:v>
      </x:c>
      <x:c r="B294" t="s">
        <x:v>1432</x:v>
      </x:c>
      <x:c r="C294" t="s">
        <x:v>29</x:v>
      </x:c>
      <x:c r="D294" t="s">
        <x:v>1433</x:v>
      </x:c>
      <x:c r="E294" t="s">
        <x:v>31</x:v>
      </x:c>
      <x:c r="F294" t="s">
        <x:v>1434</x:v>
      </x:c>
      <x:c r="G294" t="s">
        <x:v>1435</x:v>
      </x:c>
      <x:c r="H294" t="s">
        <x:v>1436</x:v>
      </x:c>
      <x:c r="I294" t="s">
        <x:v>1437</x:v>
      </x:c>
      <x:c r="K294" t="s">
        <x:v>37</x:v>
      </x:c>
      <x:c r="L294" t="s">
        <x:v>1438</x:v>
      </x:c>
      <x:c r="M294" t="s">
        <x:v>1439</x:v>
      </x:c>
      <x:c r="N294" t="s">
        <x:v>1435</x:v>
      </x:c>
      <x:c r="O294" t="s">
        <x:v>1440</x:v>
      </x:c>
      <x:c r="P294" t="s">
        <x:v>160</x:v>
      </x:c>
      <x:c r="Q294">
        <x:v>1</x:v>
      </x:c>
      <x:c r="R294" t="s">
        <x:v>42</x:v>
      </x:c>
      <x:c r="S294" t="s">
        <x:v>44</x:v>
      </x:c>
      <x:c r="T294" t="s">
        <x:v>44</x:v>
      </x:c>
      <x:c r="U294" t="s">
        <x:v>45</x:v>
      </x:c>
      <x:c r="V294" t="s">
        <x:v>60</x:v>
      </x:c>
      <x:c r="W294">
        <x:v>135.59</x:v>
      </x:c>
      <x:c r="X294" t="s">
        <x:v>47</x:v>
      </x:c>
      <x:c r="Y294" t="s">
        <x:v>48</x:v>
      </x:c>
      <x:c r="Z294" t="s">
        <x:v>49</x:v>
      </x:c>
    </x:row>
    <x:row r="295">
      <x:c r="A295" s="1">
        <x:v>46211</x:v>
      </x:c>
      <x:c r="B295" t="s">
        <x:v>1441</x:v>
      </x:c>
      <x:c r="C295" t="s">
        <x:v>29</x:v>
      </x:c>
      <x:c r="D295" t="s">
        <x:v>1442</x:v>
      </x:c>
      <x:c r="E295" t="s">
        <x:v>31</x:v>
      </x:c>
      <x:c r="F295" t="s">
        <x:v>1443</x:v>
      </x:c>
      <x:c r="G295" t="s">
        <x:v>1293</x:v>
      </x:c>
      <x:c r="H295" t="s">
        <x:v>1294</x:v>
      </x:c>
      <x:c r="I295" t="s">
        <x:v>1444</x:v>
      </x:c>
      <x:c r="J295" t="s">
        <x:v>1100</x:v>
      </x:c>
      <x:c r="K295" t="s">
        <x:v>37</x:v>
      </x:c>
      <x:c r="L295" t="s">
        <x:v>1296</x:v>
      </x:c>
      <x:c r="M295" t="s">
        <x:v>1297</x:v>
      </x:c>
      <x:c r="N295" t="s">
        <x:v>1293</x:v>
      </x:c>
      <x:c r="O295" t="s">
        <x:v>1445</x:v>
      </x:c>
      <x:c r="P295" t="s">
        <x:v>41</x:v>
      </x:c>
      <x:c r="Q295">
        <x:v>1</x:v>
      </x:c>
      <x:c r="R295" t="s">
        <x:v>42</x:v>
      </x:c>
      <x:c r="S295" t="s">
        <x:v>44</x:v>
      </x:c>
      <x:c r="T295" t="s">
        <x:v>44</x:v>
      </x:c>
      <x:c r="U295" t="s">
        <x:v>45</x:v>
      </x:c>
      <x:c r="V295" t="s">
        <x:v>60</x:v>
      </x:c>
      <x:c r="W295">
        <x:v>186.44</x:v>
      </x:c>
      <x:c r="X295" t="s">
        <x:v>47</x:v>
      </x:c>
      <x:c r="Y295" t="s">
        <x:v>48</x:v>
      </x:c>
      <x:c r="Z295" t="s">
        <x:v>49</x:v>
      </x:c>
      <x:c r="AA295">
        <x:v>999418834</x:v>
      </x:c>
      <x:c r="AB295" t="s">
        <x:v>1446</x:v>
      </x:c>
    </x:row>
    <x:row r="296">
      <x:c r="A296" s="1">
        <x:v>46211</x:v>
      </x:c>
      <x:c r="B296" t="s">
        <x:v>1441</x:v>
      </x:c>
      <x:c r="C296" t="s">
        <x:v>29</x:v>
      </x:c>
      <x:c r="D296" t="s">
        <x:v>1442</x:v>
      </x:c>
      <x:c r="E296" t="s">
        <x:v>31</x:v>
      </x:c>
      <x:c r="F296" t="s">
        <x:v>1443</x:v>
      </x:c>
      <x:c r="G296" t="s">
        <x:v>1293</x:v>
      </x:c>
      <x:c r="H296" t="s">
        <x:v>1294</x:v>
      </x:c>
      <x:c r="I296" t="s">
        <x:v>1444</x:v>
      </x:c>
      <x:c r="J296" t="s">
        <x:v>1100</x:v>
      </x:c>
      <x:c r="K296" t="s">
        <x:v>37</x:v>
      </x:c>
      <x:c r="L296" t="s">
        <x:v>1296</x:v>
      </x:c>
      <x:c r="M296" t="s">
        <x:v>1297</x:v>
      </x:c>
      <x:c r="N296" t="s">
        <x:v>1293</x:v>
      </x:c>
      <x:c r="O296" t="s">
        <x:v>1445</x:v>
      </x:c>
      <x:c r="P296" t="s">
        <x:v>102</x:v>
      </x:c>
      <x:c r="Q296">
        <x:v>1</x:v>
      </x:c>
      <x:c r="R296" t="s">
        <x:v>42</x:v>
      </x:c>
      <x:c r="S296" t="s">
        <x:v>44</x:v>
      </x:c>
      <x:c r="T296" t="s">
        <x:v>44</x:v>
      </x:c>
      <x:c r="U296" t="s">
        <x:v>45</x:v>
      </x:c>
      <x:c r="V296" t="s">
        <x:v>60</x:v>
      </x:c>
      <x:c r="W296">
        <x:v>186.44</x:v>
      </x:c>
      <x:c r="X296" t="s">
        <x:v>47</x:v>
      </x:c>
      <x:c r="Y296" t="s">
        <x:v>48</x:v>
      </x:c>
      <x:c r="Z296" t="s">
        <x:v>49</x:v>
      </x:c>
      <x:c r="AA296">
        <x:v>999418834</x:v>
      </x:c>
      <x:c r="AB296" t="s">
        <x:v>1446</x:v>
      </x:c>
    </x:row>
    <x:row r="297">
      <x:c r="A297" s="1">
        <x:v>46210</x:v>
      </x:c>
      <x:c r="B297" t="s">
        <x:v>1447</x:v>
      </x:c>
      <x:c r="C297" t="s">
        <x:v>29</x:v>
      </x:c>
      <x:c r="D297" t="s">
        <x:v>1448</x:v>
      </x:c>
      <x:c r="E297" t="s">
        <x:v>31</x:v>
      </x:c>
      <x:c r="F297" t="s">
        <x:v>1449</x:v>
      </x:c>
      <x:c r="G297" t="s">
        <x:v>1450</x:v>
      </x:c>
      <x:c r="H297" t="s">
        <x:v>1451</x:v>
      </x:c>
      <x:c r="I297" t="s">
        <x:v>1452</x:v>
      </x:c>
      <x:c r="K297" t="s">
        <x:v>37</x:v>
      </x:c>
      <x:c r="L297" t="s">
        <x:v>1453</x:v>
      </x:c>
      <x:c r="M297" t="s">
        <x:v>1454</x:v>
      </x:c>
      <x:c r="N297" t="s">
        <x:v>1450</x:v>
      </x:c>
      <x:c r="O297" t="s">
        <x:v>1455</x:v>
      </x:c>
      <x:c r="P297" t="s">
        <x:v>1159</x:v>
      </x:c>
      <x:c r="Q297">
        <x:v>1</x:v>
      </x:c>
      <x:c r="R297" t="s">
        <x:v>42</x:v>
      </x:c>
      <x:c r="S297" t="s">
        <x:v>44</x:v>
      </x:c>
      <x:c r="T297" t="s">
        <x:v>44</x:v>
      </x:c>
      <x:c r="U297" t="s">
        <x:v>45</x:v>
      </x:c>
      <x:c r="V297" t="s">
        <x:v>60</x:v>
      </x:c>
      <x:c r="W297">
        <x:v>338.98</x:v>
      </x:c>
      <x:c r="X297" t="s">
        <x:v>47</x:v>
      </x:c>
      <x:c r="Y297" t="s">
        <x:v>48</x:v>
      </x:c>
      <x:c r="Z297" t="s">
        <x:v>49</x:v>
      </x:c>
    </x:row>
    <x:row r="298">
      <x:c r="A298" s="1">
        <x:v>46213</x:v>
      </x:c>
      <x:c r="B298" t="s">
        <x:v>1456</x:v>
      </x:c>
      <x:c r="C298" t="s">
        <x:v>400</x:v>
      </x:c>
      <x:c r="D298" t="s">
        <x:v>1457</x:v>
      </x:c>
      <x:c r="E298" t="s">
        <x:v>401</x:v>
      </x:c>
      <x:c r="F298" t="s">
        <x:v>1458</x:v>
      </x:c>
      <x:c r="G298" t="s">
        <x:v>1459</x:v>
      </x:c>
      <x:c r="H298" t="s">
        <x:v>1460</x:v>
      </x:c>
      <x:c r="I298" t="s">
        <x:v>1461</x:v>
      </x:c>
      <x:c r="K298" t="s">
        <x:v>401</x:v>
      </x:c>
      <x:c r="L298" t="s">
        <x:v>1462</x:v>
      </x:c>
      <x:c r="M298" t="s">
        <x:v>1463</x:v>
      </x:c>
      <x:c r="N298" t="s">
        <x:v>1459</x:v>
      </x:c>
      <x:c r="O298" t="s">
        <x:v>1464</x:v>
      </x:c>
      <x:c r="P298" t="s">
        <x:v>160</x:v>
      </x:c>
      <x:c r="Q298">
        <x:v>1</x:v>
      </x:c>
      <x:c r="R298" t="s">
        <x:v>42</x:v>
      </x:c>
      <x:c r="S298" t="s">
        <x:v>44</x:v>
      </x:c>
      <x:c r="T298" t="s">
        <x:v>44</x:v>
      </x:c>
      <x:c r="U298" t="s">
        <x:v>45</x:v>
      </x:c>
      <x:c r="V298" t="s">
        <x:v>60</x:v>
      </x:c>
      <x:c r="W298">
        <x:v>-135.59</x:v>
      </x:c>
      <x:c r="X298" t="s">
        <x:v>47</x:v>
      </x:c>
      <x:c r="Y298" t="s">
        <x:v>48</x:v>
      </x:c>
      <x:c r="Z298" t="s">
        <x:v>49</x:v>
      </x:c>
    </x:row>
    <x:row r="299">
      <x:c r="A299" s="1">
        <x:v>46213</x:v>
      </x:c>
      <x:c r="B299" t="s">
        <x:v>1456</x:v>
      </x:c>
      <x:c r="C299" t="s">
        <x:v>29</x:v>
      </x:c>
      <x:c r="D299" t="s">
        <x:v>1457</x:v>
      </x:c>
      <x:c r="E299" t="s">
        <x:v>401</x:v>
      </x:c>
      <x:c r="F299" t="s">
        <x:v>1465</x:v>
      </x:c>
      <x:c r="G299" t="s">
        <x:v>1459</x:v>
      </x:c>
      <x:c r="H299" t="s">
        <x:v>1460</x:v>
      </x:c>
      <x:c r="I299" t="s">
        <x:v>1461</x:v>
      </x:c>
      <x:c r="K299" t="s">
        <x:v>401</x:v>
      </x:c>
      <x:c r="L299" t="s">
        <x:v>1462</x:v>
      </x:c>
      <x:c r="M299" t="s">
        <x:v>1463</x:v>
      </x:c>
      <x:c r="N299" t="s">
        <x:v>1459</x:v>
      </x:c>
      <x:c r="O299" t="s">
        <x:v>1464</x:v>
      </x:c>
      <x:c r="P299" t="s">
        <x:v>160</x:v>
      </x:c>
      <x:c r="Q299">
        <x:v>1</x:v>
      </x:c>
      <x:c r="R299" t="s">
        <x:v>42</x:v>
      </x:c>
      <x:c r="S299" t="s">
        <x:v>44</x:v>
      </x:c>
      <x:c r="T299" t="s">
        <x:v>44</x:v>
      </x:c>
      <x:c r="U299" t="s">
        <x:v>45</x:v>
      </x:c>
      <x:c r="V299" t="s">
        <x:v>60</x:v>
      </x:c>
      <x:c r="W299">
        <x:v>135.59</x:v>
      </x:c>
      <x:c r="X299" t="s">
        <x:v>47</x:v>
      </x:c>
      <x:c r="Y299" t="s">
        <x:v>48</x:v>
      </x:c>
      <x:c r="Z299" t="s">
        <x:v>49</x:v>
      </x:c>
    </x:row>
    <x:row r="300">
      <x:c r="A300" s="1">
        <x:v>46237</x:v>
      </x:c>
      <x:c r="B300" t="s">
        <x:v>1466</x:v>
      </x:c>
      <x:c r="C300" t="s">
        <x:v>29</x:v>
      </x:c>
      <x:c r="D300" t="s">
        <x:v>1467</x:v>
      </x:c>
      <x:c r="E300" t="s">
        <x:v>31</x:v>
      </x:c>
      <x:c r="F300" t="s">
        <x:v>1468</x:v>
      </x:c>
      <x:c r="G300" t="s">
        <x:v>1469</x:v>
      </x:c>
      <x:c r="H300" t="s">
        <x:v>1470</x:v>
      </x:c>
      <x:c r="I300" t="s">
        <x:v>1471</x:v>
      </x:c>
      <x:c r="J300" t="s">
        <x:v>631</x:v>
      </x:c>
      <x:c r="K300" t="s">
        <x:v>37</x:v>
      </x:c>
      <x:c r="L300" t="s">
        <x:v>1472</x:v>
      </x:c>
      <x:c r="M300" t="s">
        <x:v>1473</x:v>
      </x:c>
      <x:c r="N300" t="s">
        <x:v>1469</x:v>
      </x:c>
      <x:c r="O300" t="s">
        <x:v>1474</x:v>
      </x:c>
      <x:c r="P300" t="s">
        <x:v>102</x:v>
      </x:c>
      <x:c r="Q300">
        <x:v>1</x:v>
      </x:c>
      <x:c r="R300" t="s">
        <x:v>42</x:v>
      </x:c>
      <x:c r="S300" t="s">
        <x:v>44</x:v>
      </x:c>
      <x:c r="T300" t="s">
        <x:v>44</x:v>
      </x:c>
      <x:c r="U300" t="s">
        <x:v>45</x:v>
      </x:c>
      <x:c r="V300" t="s">
        <x:v>60</x:v>
      </x:c>
      <x:c r="W300">
        <x:v>186.44</x:v>
      </x:c>
      <x:c r="X300" t="s">
        <x:v>47</x:v>
      </x:c>
      <x:c r="Y300" t="s">
        <x:v>48</x:v>
      </x:c>
      <x:c r="Z300" t="s">
        <x:v>49</x:v>
      </x:c>
      <x:c r="AA300">
        <x:v>946789080</x:v>
      </x:c>
    </x:row>
    <x:row r="301">
      <x:c r="A301" s="1">
        <x:v>46237</x:v>
      </x:c>
      <x:c r="B301" t="s">
        <x:v>1475</x:v>
      </x:c>
      <x:c r="C301" t="s">
        <x:v>29</x:v>
      </x:c>
      <x:c r="D301" t="s">
        <x:v>1476</x:v>
      </x:c>
      <x:c r="E301" t="s">
        <x:v>31</x:v>
      </x:c>
      <x:c r="F301" t="s">
        <x:v>1477</x:v>
      </x:c>
      <x:c r="G301" t="s">
        <x:v>1469</x:v>
      </x:c>
      <x:c r="H301" t="s">
        <x:v>1470</x:v>
      </x:c>
      <x:c r="I301" t="s">
        <x:v>1471</x:v>
      </x:c>
      <x:c r="J301" t="s">
        <x:v>631</x:v>
      </x:c>
      <x:c r="K301" t="s">
        <x:v>37</x:v>
      </x:c>
      <x:c r="L301" t="s">
        <x:v>1472</x:v>
      </x:c>
      <x:c r="M301" t="s">
        <x:v>1473</x:v>
      </x:c>
      <x:c r="N301" t="s">
        <x:v>1469</x:v>
      </x:c>
      <x:c r="O301" t="s">
        <x:v>1478</x:v>
      </x:c>
      <x:c r="P301" t="s">
        <x:v>160</x:v>
      </x:c>
      <x:c r="Q301">
        <x:v>1</x:v>
      </x:c>
      <x:c r="R301" t="s">
        <x:v>42</x:v>
      </x:c>
      <x:c r="S301" t="s">
        <x:v>44</x:v>
      </x:c>
      <x:c r="T301" t="s">
        <x:v>44</x:v>
      </x:c>
      <x:c r="U301" t="s">
        <x:v>45</x:v>
      </x:c>
      <x:c r="V301" t="s">
        <x:v>60</x:v>
      </x:c>
      <x:c r="W301">
        <x:v>135.59</x:v>
      </x:c>
      <x:c r="X301" t="s">
        <x:v>47</x:v>
      </x:c>
      <x:c r="Y301" t="s">
        <x:v>48</x:v>
      </x:c>
      <x:c r="Z301" t="s">
        <x:v>49</x:v>
      </x:c>
      <x:c r="AA301">
        <x:v>946789080</x:v>
      </x:c>
    </x:row>
    <x:row r="302">
      <x:c r="A302" s="1">
        <x:v>46239</x:v>
      </x:c>
      <x:c r="B302" t="s">
        <x:v>1479</x:v>
      </x:c>
      <x:c r="C302" t="s">
        <x:v>269</x:v>
      </x:c>
      <x:c r="D302" t="s">
        <x:v>1480</x:v>
      </x:c>
      <x:c r="E302" t="s">
        <x:v>31</x:v>
      </x:c>
      <x:c r="F302" t="s">
        <x:v>1481</x:v>
      </x:c>
      <x:c r="G302" t="s">
        <x:v>1482</x:v>
      </x:c>
      <x:c r="H302" t="s">
        <x:v>1483</x:v>
      </x:c>
      <x:c r="I302" t="s">
        <x:v>1484</x:v>
      </x:c>
      <x:c r="J302" t="s">
        <x:v>1485</x:v>
      </x:c>
      <x:c r="K302" t="s">
        <x:v>37</x:v>
      </x:c>
      <x:c r="L302" t="s">
        <x:v>1486</x:v>
      </x:c>
      <x:c r="M302" t="s">
        <x:v>610</x:v>
      </x:c>
      <x:c r="N302" t="s">
        <x:v>1487</x:v>
      </x:c>
      <x:c r="O302" t="s">
        <x:v>1488</x:v>
      </x:c>
      <x:c r="P302" t="s">
        <x:v>289</x:v>
      </x:c>
      <x:c r="Q302">
        <x:v>1</x:v>
      </x:c>
      <x:c r="R302" t="s">
        <x:v>42</x:v>
      </x:c>
      <x:c r="S302" t="s">
        <x:v>44</x:v>
      </x:c>
      <x:c r="T302" t="s">
        <x:v>44</x:v>
      </x:c>
      <x:c r="U302" t="s">
        <x:v>45</x:v>
      </x:c>
      <x:c r="V302" t="s">
        <x:v>60</x:v>
      </x:c>
      <x:c r="W302">
        <x:v>0</x:v>
      </x:c>
      <x:c r="X302" t="s">
        <x:v>290</x:v>
      </x:c>
      <x:c r="Y302" t="s">
        <x:v>48</x:v>
      </x:c>
      <x:c r="Z302" t="s">
        <x:v>49</x:v>
      </x:c>
    </x:row>
    <x:row r="303">
      <x:c r="A303" s="1">
        <x:v>46239</x:v>
      </x:c>
      <x:c r="B303" t="s">
        <x:v>1479</x:v>
      </x:c>
      <x:c r="C303" t="s">
        <x:v>269</x:v>
      </x:c>
      <x:c r="D303" t="s">
        <x:v>1480</x:v>
      </x:c>
      <x:c r="E303" t="s">
        <x:v>31</x:v>
      </x:c>
      <x:c r="F303" t="s">
        <x:v>1481</x:v>
      </x:c>
      <x:c r="G303" t="s">
        <x:v>1482</x:v>
      </x:c>
      <x:c r="H303" t="s">
        <x:v>1483</x:v>
      </x:c>
      <x:c r="I303" t="s">
        <x:v>1484</x:v>
      </x:c>
      <x:c r="J303" t="s">
        <x:v>1485</x:v>
      </x:c>
      <x:c r="K303" t="s">
        <x:v>37</x:v>
      </x:c>
      <x:c r="L303" t="s">
        <x:v>1486</x:v>
      </x:c>
      <x:c r="M303" t="s">
        <x:v>610</x:v>
      </x:c>
      <x:c r="N303" t="s">
        <x:v>1487</x:v>
      </x:c>
      <x:c r="O303" t="s">
        <x:v>1488</x:v>
      </x:c>
      <x:c r="P303" t="s">
        <x:v>1257</x:v>
      </x:c>
      <x:c r="Q303">
        <x:v>1</x:v>
      </x:c>
      <x:c r="R303" t="s">
        <x:v>42</x:v>
      </x:c>
      <x:c r="S303" t="s">
        <x:v>44</x:v>
      </x:c>
      <x:c r="T303" t="s">
        <x:v>44</x:v>
      </x:c>
      <x:c r="U303" t="s">
        <x:v>45</x:v>
      </x:c>
      <x:c r="V303" t="s">
        <x:v>60</x:v>
      </x:c>
      <x:c r="W303">
        <x:v>563.55999999999995</x:v>
      </x:c>
      <x:c r="X303" t="s">
        <x:v>290</x:v>
      </x:c>
      <x:c r="Y303" t="s">
        <x:v>48</x:v>
      </x:c>
      <x:c r="Z303" t="s">
        <x:v>49</x:v>
      </x:c>
    </x:row>
    <x:row r="304">
      <x:c r="A304" s="1">
        <x:v>46238</x:v>
      </x:c>
      <x:c r="B304" t="s">
        <x:v>1489</x:v>
      </x:c>
      <x:c r="C304" t="s">
        <x:v>29</x:v>
      </x:c>
      <x:c r="D304" t="s">
        <x:v>1490</x:v>
      </x:c>
      <x:c r="E304" t="s">
        <x:v>31</x:v>
      </x:c>
      <x:c r="F304" t="s">
        <x:v>1491</x:v>
      </x:c>
      <x:c r="G304" t="s">
        <x:v>1492</x:v>
      </x:c>
      <x:c r="H304" t="s">
        <x:v>1493</x:v>
      </x:c>
      <x:c r="I304" t="s">
        <x:v>1494</x:v>
      </x:c>
      <x:c r="J304" t="s">
        <x:v>346</x:v>
      </x:c>
      <x:c r="K304" t="s">
        <x:v>37</x:v>
      </x:c>
      <x:c r="L304" t="s">
        <x:v>1495</x:v>
      </x:c>
      <x:c r="M304" t="s">
        <x:v>1496</x:v>
      </x:c>
      <x:c r="N304" t="s">
        <x:v>1492</x:v>
      </x:c>
      <x:c r="O304" t="s">
        <x:v>1497</x:v>
      </x:c>
      <x:c r="P304" t="s">
        <x:v>202</x:v>
      </x:c>
      <x:c r="Q304">
        <x:v>1</x:v>
      </x:c>
      <x:c r="R304" t="s">
        <x:v>42</x:v>
      </x:c>
      <x:c r="S304" t="s">
        <x:v>44</x:v>
      </x:c>
      <x:c r="T304" t="s">
        <x:v>44</x:v>
      </x:c>
      <x:c r="U304" t="s">
        <x:v>45</x:v>
      </x:c>
      <x:c r="V304" t="s">
        <x:v>60</x:v>
      </x:c>
      <x:c r="W304">
        <x:v>152.54</x:v>
      </x:c>
      <x:c r="X304" t="s">
        <x:v>47</x:v>
      </x:c>
      <x:c r="Y304" t="s">
        <x:v>48</x:v>
      </x:c>
      <x:c r="Z304" t="s">
        <x:v>49</x:v>
      </x:c>
      <x:c r="AA304">
        <x:v>975750204</x:v>
      </x:c>
    </x:row>
    <x:row r="305">
      <x:c r="A305" s="1">
        <x:v>46239</x:v>
      </x:c>
      <x:c r="B305" t="s">
        <x:v>1498</x:v>
      </x:c>
      <x:c r="C305" t="s">
        <x:v>29</x:v>
      </x:c>
      <x:c r="D305" t="s">
        <x:v>1499</x:v>
      </x:c>
      <x:c r="E305" t="s">
        <x:v>31</x:v>
      </x:c>
      <x:c r="F305" t="s">
        <x:v>1500</x:v>
      </x:c>
      <x:c r="G305" t="s">
        <x:v>1501</x:v>
      </x:c>
      <x:c r="H305" t="s">
        <x:v>1502</x:v>
      </x:c>
      <x:c r="I305" t="s">
        <x:v>1494</x:v>
      </x:c>
      <x:c r="J305" t="s">
        <x:v>346</x:v>
      </x:c>
      <x:c r="K305" t="s">
        <x:v>37</x:v>
      </x:c>
      <x:c r="L305" t="s">
        <x:v>1503</x:v>
      </x:c>
      <x:c r="M305" t="s">
        <x:v>1504</x:v>
      </x:c>
      <x:c r="N305" t="s">
        <x:v>1501</x:v>
      </x:c>
      <x:c r="O305" t="s">
        <x:v>1505</x:v>
      </x:c>
      <x:c r="P305" t="s">
        <x:v>202</x:v>
      </x:c>
      <x:c r="Q305">
        <x:v>1</x:v>
      </x:c>
      <x:c r="R305" t="s">
        <x:v>42</x:v>
      </x:c>
      <x:c r="S305" t="s">
        <x:v>44</x:v>
      </x:c>
      <x:c r="T305" t="s">
        <x:v>44</x:v>
      </x:c>
      <x:c r="U305" t="s">
        <x:v>45</x:v>
      </x:c>
      <x:c r="V305" t="s">
        <x:v>46</x:v>
      </x:c>
      <x:c r="W305">
        <x:v>152.54</x:v>
      </x:c>
      <x:c r="X305" t="s">
        <x:v>47</x:v>
      </x:c>
      <x:c r="Y305" t="s">
        <x:v>48</x:v>
      </x:c>
      <x:c r="Z305" t="s">
        <x:v>49</x:v>
      </x:c>
      <x:c r="AA305">
        <x:v>975750204</x:v>
      </x:c>
    </x:row>
    <x:row r="306">
      <x:c r="A306" s="1">
        <x:v>46241</x:v>
      </x:c>
      <x:c r="B306" t="s">
        <x:v>1506</x:v>
      </x:c>
      <x:c r="C306" t="s">
        <x:v>29</x:v>
      </x:c>
      <x:c r="D306" t="s">
        <x:v>1507</x:v>
      </x:c>
      <x:c r="E306" t="s">
        <x:v>31</x:v>
      </x:c>
      <x:c r="F306" t="s">
        <x:v>1508</x:v>
      </x:c>
      <x:c r="G306" t="s">
        <x:v>1509</x:v>
      </x:c>
      <x:c r="H306" t="s">
        <x:v>1510</x:v>
      </x:c>
      <x:c r="I306" t="s">
        <x:v>1511</x:v>
      </x:c>
      <x:c r="K306" t="s">
        <x:v>37</x:v>
      </x:c>
      <x:c r="L306" t="s">
        <x:v>1512</x:v>
      </x:c>
      <x:c r="M306" t="s">
        <x:v>1513</x:v>
      </x:c>
      <x:c r="N306" t="s">
        <x:v>1509</x:v>
      </x:c>
      <x:c r="O306" t="s">
        <x:v>1514</x:v>
      </x:c>
      <x:c r="P306" t="s">
        <x:v>203</x:v>
      </x:c>
      <x:c r="Q306">
        <x:v>1</x:v>
      </x:c>
      <x:c r="R306" t="s">
        <x:v>42</x:v>
      </x:c>
      <x:c r="S306" t="s">
        <x:v>44</x:v>
      </x:c>
      <x:c r="T306" t="s">
        <x:v>44</x:v>
      </x:c>
      <x:c r="U306" t="s">
        <x:v>45</x:v>
      </x:c>
      <x:c r="V306" t="s">
        <x:v>60</x:v>
      </x:c>
      <x:c r="W306">
        <x:v>135.59</x:v>
      </x:c>
      <x:c r="X306" t="s">
        <x:v>47</x:v>
      </x:c>
      <x:c r="Y306" t="s">
        <x:v>48</x:v>
      </x:c>
      <x:c r="Z306" t="s">
        <x:v>49</x:v>
      </x:c>
    </x:row>
    <x:row r="307">
      <x:c r="A307" s="1">
        <x:v>46241</x:v>
      </x:c>
      <x:c r="B307" t="s">
        <x:v>1515</x:v>
      </x:c>
      <x:c r="C307" t="s">
        <x:v>29</x:v>
      </x:c>
      <x:c r="D307" t="s">
        <x:v>1516</x:v>
      </x:c>
      <x:c r="E307" t="s">
        <x:v>31</x:v>
      </x:c>
      <x:c r="F307" t="s">
        <x:v>1517</x:v>
      </x:c>
      <x:c r="G307" t="s">
        <x:v>1518</x:v>
      </x:c>
      <x:c r="H307" t="s">
        <x:v>1519</x:v>
      </x:c>
      <x:c r="I307" t="s">
        <x:v>1520</x:v>
      </x:c>
      <x:c r="K307" t="s">
        <x:v>37</x:v>
      </x:c>
      <x:c r="L307" t="s">
        <x:v>1521</x:v>
      </x:c>
      <x:c r="M307" t="s">
        <x:v>1522</x:v>
      </x:c>
      <x:c r="N307" t="s">
        <x:v>1518</x:v>
      </x:c>
      <x:c r="O307" t="s">
        <x:v>1523</x:v>
      </x:c>
      <x:c r="P307" t="s">
        <x:v>482</x:v>
      </x:c>
      <x:c r="Q307">
        <x:v>2</x:v>
      </x:c>
      <x:c r="R307" t="s">
        <x:v>42</x:v>
      </x:c>
      <x:c r="S307" t="s">
        <x:v>44</x:v>
      </x:c>
      <x:c r="T307" t="s">
        <x:v>44</x:v>
      </x:c>
      <x:c r="U307" t="s">
        <x:v>45</x:v>
      </x:c>
      <x:c r="V307" t="s">
        <x:v>46</x:v>
      </x:c>
      <x:c r="W307">
        <x:v>203.39</x:v>
      </x:c>
      <x:c r="X307" t="s">
        <x:v>61</x:v>
      </x:c>
      <x:c r="Y307" t="s">
        <x:v>48</x:v>
      </x:c>
      <x:c r="Z307" t="s">
        <x:v>49</x:v>
      </x:c>
    </x:row>
    <x:row r="308">
      <x:c r="A308" s="1">
        <x:v>46245</x:v>
      </x:c>
      <x:c r="B308" t="s">
        <x:v>612</x:v>
      </x:c>
      <x:c r="C308" t="s">
        <x:v>29</x:v>
      </x:c>
      <x:c r="D308" t="s">
        <x:v>613</x:v>
      </x:c>
      <x:c r="E308" t="s">
        <x:v>31</x:v>
      </x:c>
      <x:c r="F308" t="s">
        <x:v>614</x:v>
      </x:c>
      <x:c r="G308" t="s">
        <x:v>615</x:v>
      </x:c>
      <x:c r="H308" t="s">
        <x:v>616</x:v>
      </x:c>
      <x:c r="K308" t="s">
        <x:v>37</x:v>
      </x:c>
      <x:c r="L308" t="s">
        <x:v>617</x:v>
      </x:c>
      <x:c r="M308" t="s">
        <x:v>618</x:v>
      </x:c>
      <x:c r="N308" t="s">
        <x:v>615</x:v>
      </x:c>
      <x:c r="O308" t="s">
        <x:v>619</x:v>
      </x:c>
      <x:c r="P308" t="s">
        <x:v>835</x:v>
      </x:c>
      <x:c r="Q308">
        <x:v>1</x:v>
      </x:c>
      <x:c r="R308" t="s">
        <x:v>42</x:v>
      </x:c>
      <x:c r="S308" t="s">
        <x:v>44</x:v>
      </x:c>
      <x:c r="T308" t="s">
        <x:v>44</x:v>
      </x:c>
      <x:c r="U308" t="s">
        <x:v>45</x:v>
      </x:c>
      <x:c r="V308" t="s">
        <x:v>46</x:v>
      </x:c>
      <x:c r="W308">
        <x:v>50.85</x:v>
      </x:c>
      <x:c r="X308" t="s">
        <x:v>621</x:v>
      </x:c>
      <x:c r="Y308" t="s">
        <x:v>48</x:v>
      </x:c>
      <x:c r="Z308" t="s">
        <x:v>49</x:v>
      </x:c>
    </x:row>
    <x:row r="309">
      <x:c r="A309" s="1">
        <x:v>46245</x:v>
      </x:c>
      <x:c r="B309" t="s">
        <x:v>1524</x:v>
      </x:c>
      <x:c r="C309" t="s">
        <x:v>29</x:v>
      </x:c>
      <x:c r="D309" t="s">
        <x:v>1525</x:v>
      </x:c>
      <x:c r="E309" t="s">
        <x:v>31</x:v>
      </x:c>
      <x:c r="F309" t="s">
        <x:v>1526</x:v>
      </x:c>
      <x:c r="G309" t="s">
        <x:v>615</x:v>
      </x:c>
      <x:c r="H309" t="s">
        <x:v>616</x:v>
      </x:c>
      <x:c r="K309" t="s">
        <x:v>37</x:v>
      </x:c>
      <x:c r="L309" t="s">
        <x:v>617</x:v>
      </x:c>
      <x:c r="M309" t="s">
        <x:v>618</x:v>
      </x:c>
      <x:c r="N309" t="s">
        <x:v>615</x:v>
      </x:c>
      <x:c r="O309" t="s">
        <x:v>1527</x:v>
      </x:c>
      <x:c r="P309" t="s">
        <x:v>830</x:v>
      </x:c>
      <x:c r="Q309">
        <x:v>1</x:v>
      </x:c>
      <x:c r="R309" t="s">
        <x:v>42</x:v>
      </x:c>
      <x:c r="S309" t="s">
        <x:v>44</x:v>
      </x:c>
      <x:c r="T309" t="s">
        <x:v>44</x:v>
      </x:c>
      <x:c r="U309" t="s">
        <x:v>45</x:v>
      </x:c>
      <x:c r="V309" t="s">
        <x:v>46</x:v>
      </x:c>
      <x:c r="W309">
        <x:v>127.12</x:v>
      </x:c>
      <x:c r="X309" t="s">
        <x:v>47</x:v>
      </x:c>
      <x:c r="Y309" t="s">
        <x:v>48</x:v>
      </x:c>
      <x:c r="Z309" t="s">
        <x:v>49</x:v>
      </x:c>
    </x:row>
    <x:row r="310">
      <x:c r="A310" s="1">
        <x:v>46245</x:v>
      </x:c>
      <x:c r="B310" t="s">
        <x:v>1528</x:v>
      </x:c>
      <x:c r="C310" t="s">
        <x:v>29</x:v>
      </x:c>
      <x:c r="D310" t="s">
        <x:v>1529</x:v>
      </x:c>
      <x:c r="E310" t="s">
        <x:v>31</x:v>
      </x:c>
      <x:c r="F310" t="s">
        <x:v>1530</x:v>
      </x:c>
      <x:c r="G310" t="s">
        <x:v>615</x:v>
      </x:c>
      <x:c r="H310" t="s">
        <x:v>616</x:v>
      </x:c>
      <x:c r="K310" t="s">
        <x:v>37</x:v>
      </x:c>
      <x:c r="L310" t="s">
        <x:v>617</x:v>
      </x:c>
      <x:c r="M310" t="s">
        <x:v>618</x:v>
      </x:c>
      <x:c r="N310" t="s">
        <x:v>615</x:v>
      </x:c>
      <x:c r="O310" t="s">
        <x:v>1531</x:v>
      </x:c>
      <x:c r="P310" t="s">
        <x:v>643</x:v>
      </x:c>
      <x:c r="Q310">
        <x:v>1</x:v>
      </x:c>
      <x:c r="R310" t="s">
        <x:v>42</x:v>
      </x:c>
      <x:c r="S310" t="s">
        <x:v>44</x:v>
      </x:c>
      <x:c r="T310" t="s">
        <x:v>44</x:v>
      </x:c>
      <x:c r="U310" t="s">
        <x:v>45</x:v>
      </x:c>
      <x:c r="V310" t="s">
        <x:v>46</x:v>
      </x:c>
      <x:c r="W310">
        <x:v>84.75</x:v>
      </x:c>
      <x:c r="X310" t="s">
        <x:v>47</x:v>
      </x:c>
      <x:c r="Y310" t="s">
        <x:v>48</x:v>
      </x:c>
      <x:c r="Z310" t="s">
        <x:v>49</x:v>
      </x:c>
    </x:row>
    <x:row r="311">
      <x:c r="A311" s="1">
        <x:v>46245</x:v>
      </x:c>
      <x:c r="B311" t="s">
        <x:v>1532</x:v>
      </x:c>
      <x:c r="C311" t="s">
        <x:v>29</x:v>
      </x:c>
      <x:c r="D311" t="s">
        <x:v>1533</x:v>
      </x:c>
      <x:c r="E311" t="s">
        <x:v>31</x:v>
      </x:c>
      <x:c r="F311" t="s">
        <x:v>1534</x:v>
      </x:c>
      <x:c r="G311" t="s">
        <x:v>1535</x:v>
      </x:c>
      <x:c r="H311" t="s">
        <x:v>1536</x:v>
      </x:c>
      <x:c r="I311" t="s">
        <x:v>1075</x:v>
      </x:c>
      <x:c r="J311" t="s">
        <x:v>98</x:v>
      </x:c>
      <x:c r="K311" t="s">
        <x:v>37</x:v>
      </x:c>
      <x:c r="L311" t="s">
        <x:v>1537</x:v>
      </x:c>
      <x:c r="M311" t="s">
        <x:v>1538</x:v>
      </x:c>
      <x:c r="N311" t="s">
        <x:v>1535</x:v>
      </x:c>
      <x:c r="O311" t="s">
        <x:v>1539</x:v>
      </x:c>
      <x:c r="P311" t="s">
        <x:v>202</x:v>
      </x:c>
      <x:c r="Q311">
        <x:v>1</x:v>
      </x:c>
      <x:c r="R311" t="s">
        <x:v>42</x:v>
      </x:c>
      <x:c r="S311" t="s">
        <x:v>44</x:v>
      </x:c>
      <x:c r="T311" t="s">
        <x:v>44</x:v>
      </x:c>
      <x:c r="U311" t="s">
        <x:v>45</x:v>
      </x:c>
      <x:c r="V311" t="s">
        <x:v>60</x:v>
      </x:c>
      <x:c r="W311">
        <x:v>152.54</x:v>
      </x:c>
      <x:c r="X311" t="s">
        <x:v>47</x:v>
      </x:c>
      <x:c r="Y311" t="s">
        <x:v>48</x:v>
      </x:c>
      <x:c r="Z311" t="s">
        <x:v>49</x:v>
      </x:c>
      <x:c r="AA311">
        <x:v>999986041</x:v>
      </x:c>
      <x:c r="AB311" t="s">
        <x:v>1079</x:v>
      </x:c>
    </x:row>
    <x:row r="312">
      <x:c r="A312" s="1">
        <x:v>46245</x:v>
      </x:c>
      <x:c r="B312" t="s">
        <x:v>1532</x:v>
      </x:c>
      <x:c r="C312" t="s">
        <x:v>29</x:v>
      </x:c>
      <x:c r="D312" t="s">
        <x:v>1533</x:v>
      </x:c>
      <x:c r="E312" t="s">
        <x:v>31</x:v>
      </x:c>
      <x:c r="F312" t="s">
        <x:v>1534</x:v>
      </x:c>
      <x:c r="G312" t="s">
        <x:v>1535</x:v>
      </x:c>
      <x:c r="H312" t="s">
        <x:v>1536</x:v>
      </x:c>
      <x:c r="I312" t="s">
        <x:v>1075</x:v>
      </x:c>
      <x:c r="J312" t="s">
        <x:v>98</x:v>
      </x:c>
      <x:c r="K312" t="s">
        <x:v>37</x:v>
      </x:c>
      <x:c r="L312" t="s">
        <x:v>1537</x:v>
      </x:c>
      <x:c r="M312" t="s">
        <x:v>1538</x:v>
      </x:c>
      <x:c r="N312" t="s">
        <x:v>1535</x:v>
      </x:c>
      <x:c r="O312" t="s">
        <x:v>1539</x:v>
      </x:c>
      <x:c r="P312" t="s">
        <x:v>203</x:v>
      </x:c>
      <x:c r="Q312">
        <x:v>1</x:v>
      </x:c>
      <x:c r="R312" t="s">
        <x:v>42</x:v>
      </x:c>
      <x:c r="S312" t="s">
        <x:v>44</x:v>
      </x:c>
      <x:c r="T312" t="s">
        <x:v>44</x:v>
      </x:c>
      <x:c r="U312" t="s">
        <x:v>45</x:v>
      </x:c>
      <x:c r="V312" t="s">
        <x:v>60</x:v>
      </x:c>
      <x:c r="W312">
        <x:v>135.59</x:v>
      </x:c>
      <x:c r="X312" t="s">
        <x:v>47</x:v>
      </x:c>
      <x:c r="Y312" t="s">
        <x:v>48</x:v>
      </x:c>
      <x:c r="Z312" t="s">
        <x:v>49</x:v>
      </x:c>
      <x:c r="AA312">
        <x:v>999986041</x:v>
      </x:c>
      <x:c r="AB312" t="s">
        <x:v>1079</x:v>
      </x:c>
    </x:row>
    <x:row r="313">
      <x:c r="A313" s="1">
        <x:v>46245</x:v>
      </x:c>
      <x:c r="B313" t="s">
        <x:v>1540</x:v>
      </x:c>
      <x:c r="C313" t="s">
        <x:v>29</x:v>
      </x:c>
      <x:c r="D313" t="s">
        <x:v>1541</x:v>
      </x:c>
      <x:c r="E313" t="s">
        <x:v>31</x:v>
      </x:c>
      <x:c r="F313" t="s">
        <x:v>1542</x:v>
      </x:c>
      <x:c r="G313" t="s">
        <x:v>1543</x:v>
      </x:c>
      <x:c r="H313" t="s">
        <x:v>1544</x:v>
      </x:c>
      <x:c r="I313" t="s">
        <x:v>1545</x:v>
      </x:c>
      <x:c r="J313" t="s">
        <x:v>1546</x:v>
      </x:c>
      <x:c r="K313" t="s">
        <x:v>37</x:v>
      </x:c>
      <x:c r="L313" t="s">
        <x:v>1547</x:v>
      </x:c>
      <x:c r="M313" t="s">
        <x:v>1548</x:v>
      </x:c>
      <x:c r="N313" t="s">
        <x:v>1543</x:v>
      </x:c>
      <x:c r="O313" t="s">
        <x:v>1549</x:v>
      </x:c>
      <x:c r="P313" t="s">
        <x:v>160</x:v>
      </x:c>
      <x:c r="Q313">
        <x:v>1</x:v>
      </x:c>
      <x:c r="R313" t="s">
        <x:v>42</x:v>
      </x:c>
      <x:c r="S313" t="s">
        <x:v>44</x:v>
      </x:c>
      <x:c r="T313" t="s">
        <x:v>44</x:v>
      </x:c>
      <x:c r="U313" t="s">
        <x:v>45</x:v>
      </x:c>
      <x:c r="V313" t="s">
        <x:v>60</x:v>
      </x:c>
      <x:c r="W313">
        <x:v>135.59</x:v>
      </x:c>
      <x:c r="X313" t="s">
        <x:v>47</x:v>
      </x:c>
      <x:c r="Y313" t="s">
        <x:v>48</x:v>
      </x:c>
      <x:c r="Z313" t="s">
        <x:v>49</x:v>
      </x:c>
      <x:c r="AA313">
        <x:v>990080724</x:v>
      </x:c>
      <x:c r="AB313" t="s">
        <x:v>1550</x:v>
      </x:c>
    </x:row>
    <x:row r="314">
      <x:c r="A314" s="1">
        <x:v>46245</x:v>
      </x:c>
      <x:c r="B314" t="s">
        <x:v>1540</x:v>
      </x:c>
      <x:c r="C314" t="s">
        <x:v>29</x:v>
      </x:c>
      <x:c r="D314" t="s">
        <x:v>1541</x:v>
      </x:c>
      <x:c r="E314" t="s">
        <x:v>31</x:v>
      </x:c>
      <x:c r="F314" t="s">
        <x:v>1542</x:v>
      </x:c>
      <x:c r="G314" t="s">
        <x:v>1543</x:v>
      </x:c>
      <x:c r="H314" t="s">
        <x:v>1544</x:v>
      </x:c>
      <x:c r="I314" t="s">
        <x:v>1545</x:v>
      </x:c>
      <x:c r="J314" t="s">
        <x:v>1546</x:v>
      </x:c>
      <x:c r="K314" t="s">
        <x:v>37</x:v>
      </x:c>
      <x:c r="L314" t="s">
        <x:v>1547</x:v>
      </x:c>
      <x:c r="M314" t="s">
        <x:v>1548</x:v>
      </x:c>
      <x:c r="N314" t="s">
        <x:v>1543</x:v>
      </x:c>
      <x:c r="O314" t="s">
        <x:v>1549</x:v>
      </x:c>
      <x:c r="P314" t="s">
        <x:v>159</x:v>
      </x:c>
      <x:c r="Q314">
        <x:v>1</x:v>
      </x:c>
      <x:c r="R314" t="s">
        <x:v>42</x:v>
      </x:c>
      <x:c r="S314" t="s">
        <x:v>44</x:v>
      </x:c>
      <x:c r="T314" t="s">
        <x:v>44</x:v>
      </x:c>
      <x:c r="U314" t="s">
        <x:v>45</x:v>
      </x:c>
      <x:c r="V314" t="s">
        <x:v>60</x:v>
      </x:c>
      <x:c r="W314">
        <x:v>152.54</x:v>
      </x:c>
      <x:c r="X314" t="s">
        <x:v>47</x:v>
      </x:c>
      <x:c r="Y314" t="s">
        <x:v>48</x:v>
      </x:c>
      <x:c r="Z314" t="s">
        <x:v>49</x:v>
      </x:c>
      <x:c r="AA314">
        <x:v>990080724</x:v>
      </x:c>
      <x:c r="AB314" t="s">
        <x:v>1550</x:v>
      </x:c>
    </x:row>
    <x:row r="315">
      <x:c r="A315" s="1">
        <x:v>46245</x:v>
      </x:c>
      <x:c r="B315" t="s">
        <x:v>1551</x:v>
      </x:c>
      <x:c r="C315" t="s">
        <x:v>29</x:v>
      </x:c>
      <x:c r="D315" t="s">
        <x:v>1552</x:v>
      </x:c>
      <x:c r="E315" t="s">
        <x:v>31</x:v>
      </x:c>
      <x:c r="F315" t="s">
        <x:v>1553</x:v>
      </x:c>
      <x:c r="G315" t="s">
        <x:v>1554</x:v>
      </x:c>
      <x:c r="H315" t="s">
        <x:v>1555</x:v>
      </x:c>
      <x:c r="I315" t="s">
        <x:v>717</x:v>
      </x:c>
      <x:c r="J315" t="s">
        <x:v>718</x:v>
      </x:c>
      <x:c r="K315" t="s">
        <x:v>37</x:v>
      </x:c>
      <x:c r="L315" t="s">
        <x:v>1556</x:v>
      </x:c>
      <x:c r="M315" t="s">
        <x:v>1557</x:v>
      </x:c>
      <x:c r="N315" t="s">
        <x:v>1554</x:v>
      </x:c>
      <x:c r="O315" t="s">
        <x:v>1558</x:v>
      </x:c>
      <x:c r="P315" t="s">
        <x:v>41</x:v>
      </x:c>
      <x:c r="Q315">
        <x:v>1</x:v>
      </x:c>
      <x:c r="R315" t="s">
        <x:v>70</x:v>
      </x:c>
      <x:c r="S315" t="s">
        <x:v>43</x:v>
      </x:c>
      <x:c r="T315" t="s">
        <x:v>44</x:v>
      </x:c>
      <x:c r="U315" t="s">
        <x:v>71</x:v>
      </x:c>
      <x:c r="V315" t="s">
        <x:v>72</x:v>
      </x:c>
      <x:c r="W315">
        <x:v>186.44</x:v>
      </x:c>
      <x:c r="X315" t="s">
        <x:v>47</x:v>
      </x:c>
      <x:c r="Y315" t="s">
        <x:v>48</x:v>
      </x:c>
      <x:c r="Z315" t="s">
        <x:v>73</x:v>
      </x:c>
      <x:c r="AA315">
        <x:v>955356636</x:v>
      </x:c>
      <x:c r="AB315" t="s">
        <x:v>722</x:v>
      </x:c>
    </x:row>
    <x:row r="316">
      <x:c r="A316" s="1">
        <x:v>46245</x:v>
      </x:c>
      <x:c r="B316" t="s">
        <x:v>1559</x:v>
      </x:c>
      <x:c r="C316" t="s">
        <x:v>269</x:v>
      </x:c>
      <x:c r="D316" t="s">
        <x:v>1560</x:v>
      </x:c>
      <x:c r="E316" t="s">
        <x:v>31</x:v>
      </x:c>
      <x:c r="F316" t="s">
        <x:v>1561</x:v>
      </x:c>
      <x:c r="G316" t="s">
        <x:v>1562</x:v>
      </x:c>
      <x:c r="H316" t="s">
        <x:v>1563</x:v>
      </x:c>
      <x:c r="I316" t="s">
        <x:v>1564</x:v>
      </x:c>
      <x:c r="K316" t="s">
        <x:v>37</x:v>
      </x:c>
      <x:c r="L316" t="s">
        <x:v>1565</x:v>
      </x:c>
      <x:c r="M316" t="s">
        <x:v>1566</x:v>
      </x:c>
      <x:c r="N316" t="s">
        <x:v>1567</x:v>
      </x:c>
      <x:c r="O316" t="s">
        <x:v>1568</x:v>
      </x:c>
      <x:c r="P316" t="s">
        <x:v>1569</x:v>
      </x:c>
      <x:c r="Q316">
        <x:v>1</x:v>
      </x:c>
      <x:c r="R316" t="s">
        <x:v>42</x:v>
      </x:c>
      <x:c r="S316" t="s">
        <x:v>44</x:v>
      </x:c>
      <x:c r="T316" t="s">
        <x:v>44</x:v>
      </x:c>
      <x:c r="U316" t="s">
        <x:v>45</x:v>
      </x:c>
      <x:c r="V316" t="s">
        <x:v>60</x:v>
      </x:c>
      <x:c r="W316">
        <x:v>152.54</x:v>
      </x:c>
      <x:c r="X316" t="s">
        <x:v>61</x:v>
      </x:c>
      <x:c r="Y316" t="s">
        <x:v>48</x:v>
      </x:c>
      <x:c r="Z316" t="s">
        <x:v>49</x:v>
      </x:c>
    </x:row>
    <x:row r="317">
      <x:c r="A317" s="1">
        <x:v>46245</x:v>
      </x:c>
      <x:c r="B317" t="s">
        <x:v>1570</x:v>
      </x:c>
      <x:c r="C317" t="s">
        <x:v>29</x:v>
      </x:c>
      <x:c r="D317" t="s">
        <x:v>1571</x:v>
      </x:c>
      <x:c r="E317" t="s">
        <x:v>31</x:v>
      </x:c>
      <x:c r="F317" t="s">
        <x:v>1572</x:v>
      </x:c>
      <x:c r="G317" t="s">
        <x:v>1573</x:v>
      </x:c>
      <x:c r="H317" t="s">
        <x:v>1574</x:v>
      </x:c>
      <x:c r="I317" t="s">
        <x:v>1326</x:v>
      </x:c>
      <x:c r="J317" t="s">
        <x:v>36</x:v>
      </x:c>
      <x:c r="K317" t="s">
        <x:v>37</x:v>
      </x:c>
      <x:c r="L317" t="s">
        <x:v>1575</x:v>
      </x:c>
      <x:c r="M317" t="s">
        <x:v>1576</x:v>
      </x:c>
      <x:c r="N317" t="s">
        <x:v>1573</x:v>
      </x:c>
      <x:c r="O317" t="s">
        <x:v>1577</x:v>
      </x:c>
      <x:c r="P317" t="s">
        <x:v>102</x:v>
      </x:c>
      <x:c r="Q317">
        <x:v>1</x:v>
      </x:c>
      <x:c r="R317" t="s">
        <x:v>70</x:v>
      </x:c>
      <x:c r="S317" t="s">
        <x:v>43</x:v>
      </x:c>
      <x:c r="T317" t="s">
        <x:v>44</x:v>
      </x:c>
      <x:c r="U317" t="s">
        <x:v>71</x:v>
      </x:c>
      <x:c r="V317" t="s">
        <x:v>72</x:v>
      </x:c>
      <x:c r="W317">
        <x:v>186.44</x:v>
      </x:c>
      <x:c r="X317" t="s">
        <x:v>47</x:v>
      </x:c>
      <x:c r="Y317" t="s">
        <x:v>48</x:v>
      </x:c>
      <x:c r="Z317" t="s">
        <x:v>73</x:v>
      </x:c>
      <x:c r="AA317">
        <x:v>999111362</x:v>
      </x:c>
      <x:c r="AB317" t="s">
        <x:v>1330</x:v>
      </x:c>
    </x:row>
    <x:row r="318">
      <x:c r="A318" s="1">
        <x:v>46245</x:v>
      </x:c>
      <x:c r="B318" t="s">
        <x:v>1578</x:v>
      </x:c>
      <x:c r="C318" t="s">
        <x:v>29</x:v>
      </x:c>
      <x:c r="D318" t="s">
        <x:v>1579</x:v>
      </x:c>
      <x:c r="E318" t="s">
        <x:v>31</x:v>
      </x:c>
      <x:c r="F318" t="s">
        <x:v>1580</x:v>
      </x:c>
      <x:c r="G318" t="s">
        <x:v>1581</x:v>
      </x:c>
      <x:c r="H318" t="s">
        <x:v>1582</x:v>
      </x:c>
      <x:c r="I318" t="s">
        <x:v>1390</x:v>
      </x:c>
      <x:c r="K318" t="s">
        <x:v>37</x:v>
      </x:c>
      <x:c r="L318" t="s">
        <x:v>1583</x:v>
      </x:c>
      <x:c r="M318" t="s">
        <x:v>1584</x:v>
      </x:c>
      <x:c r="N318" t="s">
        <x:v>1581</x:v>
      </x:c>
      <x:c r="O318" t="s">
        <x:v>1585</x:v>
      </x:c>
      <x:c r="P318" t="s">
        <x:v>203</x:v>
      </x:c>
      <x:c r="Q318">
        <x:v>1</x:v>
      </x:c>
      <x:c r="R318" t="s">
        <x:v>42</x:v>
      </x:c>
      <x:c r="S318" t="s">
        <x:v>44</x:v>
      </x:c>
      <x:c r="T318" t="s">
        <x:v>44</x:v>
      </x:c>
      <x:c r="U318" t="s">
        <x:v>45</x:v>
      </x:c>
      <x:c r="V318" t="s">
        <x:v>60</x:v>
      </x:c>
      <x:c r="W318">
        <x:v>135.59</x:v>
      </x:c>
      <x:c r="X318" t="s">
        <x:v>47</x:v>
      </x:c>
      <x:c r="Y318" t="s">
        <x:v>48</x:v>
      </x:c>
      <x:c r="Z318" t="s">
        <x:v>49</x:v>
      </x:c>
      <x:c r="AB318" t="s">
        <x:v>1394</x:v>
      </x:c>
    </x:row>
    <x:row r="319">
      <x:c r="A319" s="1">
        <x:v>46246</x:v>
      </x:c>
      <x:c r="B319" t="s">
        <x:v>1586</x:v>
      </x:c>
      <x:c r="C319" t="s">
        <x:v>29</x:v>
      </x:c>
      <x:c r="D319" t="s">
        <x:v>1587</x:v>
      </x:c>
      <x:c r="E319" t="s">
        <x:v>31</x:v>
      </x:c>
      <x:c r="F319" t="s">
        <x:v>1588</x:v>
      </x:c>
      <x:c r="G319" t="s">
        <x:v>1589</x:v>
      </x:c>
      <x:c r="H319" t="s">
        <x:v>1590</x:v>
      </x:c>
      <x:c r="I319" t="s">
        <x:v>1511</x:v>
      </x:c>
      <x:c r="K319" t="s">
        <x:v>37</x:v>
      </x:c>
      <x:c r="L319" t="s">
        <x:v>1591</x:v>
      </x:c>
      <x:c r="M319" t="s">
        <x:v>1592</x:v>
      </x:c>
      <x:c r="N319" t="s">
        <x:v>1589</x:v>
      </x:c>
      <x:c r="O319" t="s">
        <x:v>1593</x:v>
      </x:c>
      <x:c r="P319" t="s">
        <x:v>203</x:v>
      </x:c>
      <x:c r="Q319">
        <x:v>1</x:v>
      </x:c>
      <x:c r="R319" t="s">
        <x:v>42</x:v>
      </x:c>
      <x:c r="S319" t="s">
        <x:v>44</x:v>
      </x:c>
      <x:c r="T319" t="s">
        <x:v>44</x:v>
      </x:c>
      <x:c r="U319" t="s">
        <x:v>45</x:v>
      </x:c>
      <x:c r="V319" t="s">
        <x:v>60</x:v>
      </x:c>
      <x:c r="W319">
        <x:v>135.59</x:v>
      </x:c>
      <x:c r="X319" t="s">
        <x:v>47</x:v>
      </x:c>
      <x:c r="Y319" t="s">
        <x:v>48</x:v>
      </x:c>
      <x:c r="Z319" t="s">
        <x:v>49</x:v>
      </x:c>
    </x:row>
    <x:row r="320">
      <x:c r="A320" s="1">
        <x:v>46246</x:v>
      </x:c>
      <x:c r="B320" t="s">
        <x:v>1594</x:v>
      </x:c>
      <x:c r="C320" t="s">
        <x:v>29</x:v>
      </x:c>
      <x:c r="D320" t="s">
        <x:v>1595</x:v>
      </x:c>
      <x:c r="E320" t="s">
        <x:v>31</x:v>
      </x:c>
      <x:c r="F320" t="s">
        <x:v>1596</x:v>
      </x:c>
      <x:c r="G320" t="s">
        <x:v>1597</x:v>
      </x:c>
      <x:c r="H320" t="s">
        <x:v>1598</x:v>
      </x:c>
      <x:c r="I320" t="s">
        <x:v>1599</x:v>
      </x:c>
      <x:c r="J320" t="s">
        <x:v>1600</x:v>
      </x:c>
      <x:c r="K320" t="s">
        <x:v>37</x:v>
      </x:c>
      <x:c r="L320" t="s">
        <x:v>1601</x:v>
      </x:c>
      <x:c r="M320" t="s">
        <x:v>1602</x:v>
      </x:c>
      <x:c r="N320" t="s">
        <x:v>1597</x:v>
      </x:c>
      <x:c r="O320" t="s">
        <x:v>1603</x:v>
      </x:c>
      <x:c r="P320" t="s">
        <x:v>202</x:v>
      </x:c>
      <x:c r="Q320">
        <x:v>1</x:v>
      </x:c>
      <x:c r="R320" t="s">
        <x:v>42</x:v>
      </x:c>
      <x:c r="S320" t="s">
        <x:v>44</x:v>
      </x:c>
      <x:c r="T320" t="s">
        <x:v>44</x:v>
      </x:c>
      <x:c r="U320" t="s">
        <x:v>45</x:v>
      </x:c>
      <x:c r="V320" t="s">
        <x:v>60</x:v>
      </x:c>
      <x:c r="W320">
        <x:v>152.54</x:v>
      </x:c>
      <x:c r="X320" t="s">
        <x:v>47</x:v>
      </x:c>
      <x:c r="Y320" t="s">
        <x:v>48</x:v>
      </x:c>
      <x:c r="Z320" t="s">
        <x:v>49</x:v>
      </x:c>
      <x:c r="AA320">
        <x:v>980543337</x:v>
      </x:c>
      <x:c r="AB320" t="s">
        <x:v>1604</x:v>
      </x:c>
    </x:row>
    <x:row r="321">
      <x:c r="A321" s="1">
        <x:v>46246</x:v>
      </x:c>
      <x:c r="B321" t="s">
        <x:v>1594</x:v>
      </x:c>
      <x:c r="C321" t="s">
        <x:v>29</x:v>
      </x:c>
      <x:c r="D321" t="s">
        <x:v>1595</x:v>
      </x:c>
      <x:c r="E321" t="s">
        <x:v>31</x:v>
      </x:c>
      <x:c r="F321" t="s">
        <x:v>1596</x:v>
      </x:c>
      <x:c r="G321" t="s">
        <x:v>1597</x:v>
      </x:c>
      <x:c r="H321" t="s">
        <x:v>1598</x:v>
      </x:c>
      <x:c r="I321" t="s">
        <x:v>1599</x:v>
      </x:c>
      <x:c r="J321" t="s">
        <x:v>1600</x:v>
      </x:c>
      <x:c r="K321" t="s">
        <x:v>37</x:v>
      </x:c>
      <x:c r="L321" t="s">
        <x:v>1601</x:v>
      </x:c>
      <x:c r="M321" t="s">
        <x:v>1602</x:v>
      </x:c>
      <x:c r="N321" t="s">
        <x:v>1597</x:v>
      </x:c>
      <x:c r="O321" t="s">
        <x:v>1603</x:v>
      </x:c>
      <x:c r="P321" t="s">
        <x:v>203</x:v>
      </x:c>
      <x:c r="Q321">
        <x:v>1</x:v>
      </x:c>
      <x:c r="R321" t="s">
        <x:v>42</x:v>
      </x:c>
      <x:c r="S321" t="s">
        <x:v>44</x:v>
      </x:c>
      <x:c r="T321" t="s">
        <x:v>44</x:v>
      </x:c>
      <x:c r="U321" t="s">
        <x:v>45</x:v>
      </x:c>
      <x:c r="V321" t="s">
        <x:v>60</x:v>
      </x:c>
      <x:c r="W321">
        <x:v>135.59</x:v>
      </x:c>
      <x:c r="X321" t="s">
        <x:v>47</x:v>
      </x:c>
      <x:c r="Y321" t="s">
        <x:v>48</x:v>
      </x:c>
      <x:c r="Z321" t="s">
        <x:v>49</x:v>
      </x:c>
      <x:c r="AA321">
        <x:v>980543337</x:v>
      </x:c>
      <x:c r="AB321" t="s">
        <x:v>1604</x:v>
      </x:c>
    </x:row>
    <x:row r="322">
      <x:c r="A322" s="1">
        <x:v>46246</x:v>
      </x:c>
      <x:c r="B322" t="s">
        <x:v>1605</x:v>
      </x:c>
      <x:c r="C322" t="s">
        <x:v>29</x:v>
      </x:c>
      <x:c r="D322" t="s">
        <x:v>1606</x:v>
      </x:c>
      <x:c r="E322" t="s">
        <x:v>31</x:v>
      </x:c>
      <x:c r="F322" t="s">
        <x:v>1607</x:v>
      </x:c>
      <x:c r="G322" t="s">
        <x:v>1608</x:v>
      </x:c>
      <x:c r="H322" t="s">
        <x:v>1609</x:v>
      </x:c>
      <x:c r="I322" t="s">
        <x:v>1610</x:v>
      </x:c>
      <x:c r="J322" t="s">
        <x:v>210</x:v>
      </x:c>
      <x:c r="K322" t="s">
        <x:v>37</x:v>
      </x:c>
      <x:c r="L322" t="s">
        <x:v>1611</x:v>
      </x:c>
      <x:c r="M322" t="s">
        <x:v>1612</x:v>
      </x:c>
      <x:c r="N322" t="s">
        <x:v>1608</x:v>
      </x:c>
      <x:c r="O322" t="s">
        <x:v>1613</x:v>
      </x:c>
      <x:c r="P322" t="s">
        <x:v>91</x:v>
      </x:c>
      <x:c r="Q322">
        <x:v>1</x:v>
      </x:c>
      <x:c r="R322" t="s">
        <x:v>42</x:v>
      </x:c>
      <x:c r="S322" t="s">
        <x:v>44</x:v>
      </x:c>
      <x:c r="T322" t="s">
        <x:v>44</x:v>
      </x:c>
      <x:c r="U322" t="s">
        <x:v>45</x:v>
      </x:c>
      <x:c r="V322" t="s">
        <x:v>46</x:v>
      </x:c>
      <x:c r="W322">
        <x:v>135.59</x:v>
      </x:c>
      <x:c r="X322" t="s">
        <x:v>47</x:v>
      </x:c>
      <x:c r="Y322" t="s">
        <x:v>48</x:v>
      </x:c>
      <x:c r="Z322" t="s">
        <x:v>49</x:v>
      </x:c>
      <x:c r="AA322">
        <x:v>944212985</x:v>
      </x:c>
    </x:row>
    <x:row r="323">
      <x:c r="A323" s="1">
        <x:v>46246</x:v>
      </x:c>
      <x:c r="B323" t="s">
        <x:v>1614</x:v>
      </x:c>
      <x:c r="C323" t="s">
        <x:v>29</x:v>
      </x:c>
      <x:c r="D323" t="s">
        <x:v>1615</x:v>
      </x:c>
      <x:c r="E323" t="s">
        <x:v>31</x:v>
      </x:c>
      <x:c r="F323" t="s">
        <x:v>1616</x:v>
      </x:c>
      <x:c r="G323" t="s">
        <x:v>1617</x:v>
      </x:c>
      <x:c r="H323" t="s">
        <x:v>1618</x:v>
      </x:c>
      <x:c r="I323" t="s">
        <x:v>1619</x:v>
      </x:c>
      <x:c r="J323" t="s">
        <x:v>1620</x:v>
      </x:c>
      <x:c r="K323" t="s">
        <x:v>37</x:v>
      </x:c>
      <x:c r="L323" t="s">
        <x:v>1621</x:v>
      </x:c>
      <x:c r="M323" t="s">
        <x:v>1622</x:v>
      </x:c>
      <x:c r="N323" t="s">
        <x:v>1619</x:v>
      </x:c>
      <x:c r="O323" t="s">
        <x:v>1623</x:v>
      </x:c>
      <x:c r="P323" t="s">
        <x:v>289</x:v>
      </x:c>
      <x:c r="Q323">
        <x:v>1</x:v>
      </x:c>
      <x:c r="R323" t="s">
        <x:v>70</x:v>
      </x:c>
      <x:c r="S323" t="s">
        <x:v>43</x:v>
      </x:c>
      <x:c r="T323" t="s">
        <x:v>44</x:v>
      </x:c>
      <x:c r="U323" t="s">
        <x:v>71</x:v>
      </x:c>
      <x:c r="V323" t="s">
        <x:v>185</x:v>
      </x:c>
      <x:c r="W323">
        <x:v>0</x:v>
      </x:c>
      <x:c r="X323" t="s">
        <x:v>290</x:v>
      </x:c>
      <x:c r="Y323" t="s">
        <x:v>48</x:v>
      </x:c>
      <x:c r="Z323" t="s">
        <x:v>73</x:v>
      </x:c>
      <x:c r="AA323">
        <x:v>950418896</x:v>
      </x:c>
    </x:row>
    <x:row r="324">
      <x:c r="A324" s="1">
        <x:v>46246</x:v>
      </x:c>
      <x:c r="B324" t="s">
        <x:v>1614</x:v>
      </x:c>
      <x:c r="C324" t="s">
        <x:v>29</x:v>
      </x:c>
      <x:c r="D324" t="s">
        <x:v>1615</x:v>
      </x:c>
      <x:c r="E324" t="s">
        <x:v>31</x:v>
      </x:c>
      <x:c r="F324" t="s">
        <x:v>1616</x:v>
      </x:c>
      <x:c r="G324" t="s">
        <x:v>1617</x:v>
      </x:c>
      <x:c r="H324" t="s">
        <x:v>1618</x:v>
      </x:c>
      <x:c r="I324" t="s">
        <x:v>1619</x:v>
      </x:c>
      <x:c r="J324" t="s">
        <x:v>1620</x:v>
      </x:c>
      <x:c r="K324" t="s">
        <x:v>37</x:v>
      </x:c>
      <x:c r="L324" t="s">
        <x:v>1621</x:v>
      </x:c>
      <x:c r="M324" t="s">
        <x:v>1622</x:v>
      </x:c>
      <x:c r="N324" t="s">
        <x:v>1619</x:v>
      </x:c>
      <x:c r="O324" t="s">
        <x:v>1623</x:v>
      </x:c>
      <x:c r="P324" t="s">
        <x:v>1624</x:v>
      </x:c>
      <x:c r="Q324">
        <x:v>1</x:v>
      </x:c>
      <x:c r="R324" t="s">
        <x:v>70</x:v>
      </x:c>
      <x:c r="S324" t="s">
        <x:v>43</x:v>
      </x:c>
      <x:c r="T324" t="s">
        <x:v>44</x:v>
      </x:c>
      <x:c r="U324" t="s">
        <x:v>71</x:v>
      </x:c>
      <x:c r="V324" t="s">
        <x:v>185</x:v>
      </x:c>
      <x:c r="W324">
        <x:v>139.83000000000001</x:v>
      </x:c>
      <x:c r="X324" t="s">
        <x:v>290</x:v>
      </x:c>
      <x:c r="Y324" t="s">
        <x:v>48</x:v>
      </x:c>
      <x:c r="Z324" t="s">
        <x:v>73</x:v>
      </x:c>
      <x:c r="AA324">
        <x:v>950418896</x:v>
      </x:c>
    </x:row>
    <x:row r="325">
      <x:c r="A325" s="1">
        <x:v>46246</x:v>
      </x:c>
      <x:c r="B325" t="s">
        <x:v>1625</x:v>
      </x:c>
      <x:c r="C325" t="s">
        <x:v>29</x:v>
      </x:c>
      <x:c r="D325" t="s">
        <x:v>1626</x:v>
      </x:c>
      <x:c r="E325" t="s">
        <x:v>31</x:v>
      </x:c>
      <x:c r="F325" t="s">
        <x:v>1627</x:v>
      </x:c>
      <x:c r="G325" t="s">
        <x:v>1628</x:v>
      </x:c>
      <x:c r="H325" t="s">
        <x:v>1629</x:v>
      </x:c>
      <x:c r="I325" t="s">
        <x:v>1630</x:v>
      </x:c>
      <x:c r="K325" t="s">
        <x:v>37</x:v>
      </x:c>
      <x:c r="L325" t="s">
        <x:v>1631</x:v>
      </x:c>
      <x:c r="M325" t="s">
        <x:v>1632</x:v>
      </x:c>
      <x:c r="N325" t="s">
        <x:v>1628</x:v>
      </x:c>
      <x:c r="O325" t="s">
        <x:v>1633</x:v>
      </x:c>
      <x:c r="P325" t="s">
        <x:v>203</x:v>
      </x:c>
      <x:c r="Q325">
        <x:v>1</x:v>
      </x:c>
      <x:c r="R325" t="s">
        <x:v>42</x:v>
      </x:c>
      <x:c r="S325" t="s">
        <x:v>44</x:v>
      </x:c>
      <x:c r="T325" t="s">
        <x:v>44</x:v>
      </x:c>
      <x:c r="U325" t="s">
        <x:v>532</x:v>
      </x:c>
      <x:c r="V325" t="s">
        <x:v>1288</x:v>
      </x:c>
      <x:c r="W325">
        <x:v>135.59</x:v>
      </x:c>
      <x:c r="X325" t="s">
        <x:v>47</x:v>
      </x:c>
      <x:c r="Y325" t="s">
        <x:v>48</x:v>
      </x:c>
      <x:c r="Z325" t="s">
        <x:v>535</x:v>
      </x:c>
    </x:row>
    <x:row r="326">
      <x:c r="A326" s="1">
        <x:v>46247</x:v>
      </x:c>
      <x:c r="B326" t="s">
        <x:v>1634</x:v>
      </x:c>
      <x:c r="C326" t="s">
        <x:v>29</x:v>
      </x:c>
      <x:c r="D326" t="s">
        <x:v>1635</x:v>
      </x:c>
      <x:c r="E326" t="s">
        <x:v>31</x:v>
      </x:c>
      <x:c r="F326" t="s">
        <x:v>1636</x:v>
      </x:c>
      <x:c r="G326" t="s">
        <x:v>1637</x:v>
      </x:c>
      <x:c r="H326" t="s">
        <x:v>1638</x:v>
      </x:c>
      <x:c r="I326" t="s">
        <x:v>776</x:v>
      </x:c>
      <x:c r="J326" t="s">
        <x:v>777</x:v>
      </x:c>
      <x:c r="K326" t="s">
        <x:v>37</x:v>
      </x:c>
      <x:c r="L326" t="s">
        <x:v>1639</x:v>
      </x:c>
      <x:c r="M326" t="s">
        <x:v>1640</x:v>
      </x:c>
      <x:c r="N326" t="s">
        <x:v>1637</x:v>
      </x:c>
      <x:c r="O326" t="s">
        <x:v>1641</x:v>
      </x:c>
      <x:c r="P326" t="s">
        <x:v>620</x:v>
      </x:c>
      <x:c r="Q326">
        <x:v>1</x:v>
      </x:c>
      <x:c r="R326" t="s">
        <x:v>42</x:v>
      </x:c>
      <x:c r="S326" t="s">
        <x:v>44</x:v>
      </x:c>
      <x:c r="T326" t="s">
        <x:v>44</x:v>
      </x:c>
      <x:c r="U326" t="s">
        <x:v>45</x:v>
      </x:c>
      <x:c r="V326" t="s">
        <x:v>46</x:v>
      </x:c>
      <x:c r="W326">
        <x:v>12.71</x:v>
      </x:c>
      <x:c r="X326" t="s">
        <x:v>621</x:v>
      </x:c>
      <x:c r="Y326" t="s">
        <x:v>48</x:v>
      </x:c>
      <x:c r="Z326" t="s">
        <x:v>49</x:v>
      </x:c>
    </x:row>
    <x:row r="327">
      <x:c r="A327" s="1">
        <x:v>46247</x:v>
      </x:c>
      <x:c r="B327" t="s">
        <x:v>1634</x:v>
      </x:c>
      <x:c r="C327" t="s">
        <x:v>29</x:v>
      </x:c>
      <x:c r="D327" t="s">
        <x:v>1635</x:v>
      </x:c>
      <x:c r="E327" t="s">
        <x:v>31</x:v>
      </x:c>
      <x:c r="F327" t="s">
        <x:v>1636</x:v>
      </x:c>
      <x:c r="G327" t="s">
        <x:v>1637</x:v>
      </x:c>
      <x:c r="H327" t="s">
        <x:v>1638</x:v>
      </x:c>
      <x:c r="I327" t="s">
        <x:v>776</x:v>
      </x:c>
      <x:c r="J327" t="s">
        <x:v>777</x:v>
      </x:c>
      <x:c r="K327" t="s">
        <x:v>37</x:v>
      </x:c>
      <x:c r="L327" t="s">
        <x:v>1639</x:v>
      </x:c>
      <x:c r="M327" t="s">
        <x:v>1640</x:v>
      </x:c>
      <x:c r="N327" t="s">
        <x:v>1637</x:v>
      </x:c>
      <x:c r="O327" t="s">
        <x:v>1641</x:v>
      </x:c>
      <x:c r="P327" t="s">
        <x:v>622</x:v>
      </x:c>
      <x:c r="Q327">
        <x:v>1</x:v>
      </x:c>
      <x:c r="R327" t="s">
        <x:v>42</x:v>
      </x:c>
      <x:c r="S327" t="s">
        <x:v>44</x:v>
      </x:c>
      <x:c r="T327" t="s">
        <x:v>44</x:v>
      </x:c>
      <x:c r="U327" t="s">
        <x:v>45</x:v>
      </x:c>
      <x:c r="V327" t="s">
        <x:v>46</x:v>
      </x:c>
      <x:c r="W327">
        <x:v>21.19</x:v>
      </x:c>
      <x:c r="X327" t="s">
        <x:v>621</x:v>
      </x:c>
      <x:c r="Y327" t="s">
        <x:v>48</x:v>
      </x:c>
      <x:c r="Z327" t="s">
        <x:v>49</x:v>
      </x:c>
    </x:row>
    <x:row r="328">
      <x:c r="A328" s="1">
        <x:v>46247</x:v>
      </x:c>
      <x:c r="B328" t="s">
        <x:v>1634</x:v>
      </x:c>
      <x:c r="C328" t="s">
        <x:v>29</x:v>
      </x:c>
      <x:c r="D328" t="s">
        <x:v>1635</x:v>
      </x:c>
      <x:c r="E328" t="s">
        <x:v>31</x:v>
      </x:c>
      <x:c r="F328" t="s">
        <x:v>1636</x:v>
      </x:c>
      <x:c r="G328" t="s">
        <x:v>1637</x:v>
      </x:c>
      <x:c r="H328" t="s">
        <x:v>1638</x:v>
      </x:c>
      <x:c r="I328" t="s">
        <x:v>776</x:v>
      </x:c>
      <x:c r="J328" t="s">
        <x:v>777</x:v>
      </x:c>
      <x:c r="K328" t="s">
        <x:v>37</x:v>
      </x:c>
      <x:c r="L328" t="s">
        <x:v>1639</x:v>
      </x:c>
      <x:c r="M328" t="s">
        <x:v>1640</x:v>
      </x:c>
      <x:c r="N328" t="s">
        <x:v>1637</x:v>
      </x:c>
      <x:c r="O328" t="s">
        <x:v>1641</x:v>
      </x:c>
      <x:c r="P328" t="s">
        <x:v>623</x:v>
      </x:c>
      <x:c r="Q328">
        <x:v>1</x:v>
      </x:c>
      <x:c r="R328" t="s">
        <x:v>42</x:v>
      </x:c>
      <x:c r="S328" t="s">
        <x:v>44</x:v>
      </x:c>
      <x:c r="T328" t="s">
        <x:v>44</x:v>
      </x:c>
      <x:c r="U328" t="s">
        <x:v>45</x:v>
      </x:c>
      <x:c r="V328" t="s">
        <x:v>46</x:v>
      </x:c>
      <x:c r="W328">
        <x:v>12.71</x:v>
      </x:c>
      <x:c r="X328" t="s">
        <x:v>621</x:v>
      </x:c>
      <x:c r="Y328" t="s">
        <x:v>48</x:v>
      </x:c>
      <x:c r="Z328" t="s">
        <x:v>49</x:v>
      </x:c>
    </x:row>
    <x:row r="329">
      <x:c r="A329" s="1">
        <x:v>46247</x:v>
      </x:c>
      <x:c r="B329" t="s">
        <x:v>1634</x:v>
      </x:c>
      <x:c r="C329" t="s">
        <x:v>29</x:v>
      </x:c>
      <x:c r="D329" t="s">
        <x:v>1635</x:v>
      </x:c>
      <x:c r="E329" t="s">
        <x:v>31</x:v>
      </x:c>
      <x:c r="F329" t="s">
        <x:v>1636</x:v>
      </x:c>
      <x:c r="G329" t="s">
        <x:v>1637</x:v>
      </x:c>
      <x:c r="H329" t="s">
        <x:v>1638</x:v>
      </x:c>
      <x:c r="I329" t="s">
        <x:v>776</x:v>
      </x:c>
      <x:c r="J329" t="s">
        <x:v>777</x:v>
      </x:c>
      <x:c r="K329" t="s">
        <x:v>37</x:v>
      </x:c>
      <x:c r="L329" t="s">
        <x:v>1639</x:v>
      </x:c>
      <x:c r="M329" t="s">
        <x:v>1640</x:v>
      </x:c>
      <x:c r="N329" t="s">
        <x:v>1637</x:v>
      </x:c>
      <x:c r="O329" t="s">
        <x:v>1641</x:v>
      </x:c>
      <x:c r="P329" t="s">
        <x:v>624</x:v>
      </x:c>
      <x:c r="Q329">
        <x:v>1</x:v>
      </x:c>
      <x:c r="R329" t="s">
        <x:v>42</x:v>
      </x:c>
      <x:c r="S329" t="s">
        <x:v>44</x:v>
      </x:c>
      <x:c r="T329" t="s">
        <x:v>44</x:v>
      </x:c>
      <x:c r="U329" t="s">
        <x:v>45</x:v>
      </x:c>
      <x:c r="V329" t="s">
        <x:v>46</x:v>
      </x:c>
      <x:c r="W329">
        <x:v>12.71</x:v>
      </x:c>
      <x:c r="X329" t="s">
        <x:v>621</x:v>
      </x:c>
      <x:c r="Y329" t="s">
        <x:v>48</x:v>
      </x:c>
      <x:c r="Z329" t="s">
        <x:v>49</x:v>
      </x:c>
    </x:row>
    <x:row r="330">
      <x:c r="A330" s="1">
        <x:v>46247</x:v>
      </x:c>
      <x:c r="B330" t="s">
        <x:v>1634</x:v>
      </x:c>
      <x:c r="C330" t="s">
        <x:v>29</x:v>
      </x:c>
      <x:c r="D330" t="s">
        <x:v>1635</x:v>
      </x:c>
      <x:c r="E330" t="s">
        <x:v>31</x:v>
      </x:c>
      <x:c r="F330" t="s">
        <x:v>1636</x:v>
      </x:c>
      <x:c r="G330" t="s">
        <x:v>1637</x:v>
      </x:c>
      <x:c r="H330" t="s">
        <x:v>1638</x:v>
      </x:c>
      <x:c r="I330" t="s">
        <x:v>776</x:v>
      </x:c>
      <x:c r="J330" t="s">
        <x:v>777</x:v>
      </x:c>
      <x:c r="K330" t="s">
        <x:v>37</x:v>
      </x:c>
      <x:c r="L330" t="s">
        <x:v>1639</x:v>
      </x:c>
      <x:c r="M330" t="s">
        <x:v>1640</x:v>
      </x:c>
      <x:c r="N330" t="s">
        <x:v>1637</x:v>
      </x:c>
      <x:c r="O330" t="s">
        <x:v>1641</x:v>
      </x:c>
      <x:c r="P330" t="s">
        <x:v>835</x:v>
      </x:c>
      <x:c r="Q330">
        <x:v>1</x:v>
      </x:c>
      <x:c r="R330" t="s">
        <x:v>42</x:v>
      </x:c>
      <x:c r="S330" t="s">
        <x:v>44</x:v>
      </x:c>
      <x:c r="T330" t="s">
        <x:v>44</x:v>
      </x:c>
      <x:c r="U330" t="s">
        <x:v>45</x:v>
      </x:c>
      <x:c r="V330" t="s">
        <x:v>46</x:v>
      </x:c>
      <x:c r="W330">
        <x:v>50.85</x:v>
      </x:c>
      <x:c r="X330" t="s">
        <x:v>621</x:v>
      </x:c>
      <x:c r="Y330" t="s">
        <x:v>48</x:v>
      </x:c>
      <x:c r="Z330" t="s">
        <x:v>49</x:v>
      </x:c>
    </x:row>
    <x:row r="331">
      <x:c r="A331" s="1">
        <x:v>46247</x:v>
      </x:c>
      <x:c r="B331" t="s">
        <x:v>1642</x:v>
      </x:c>
      <x:c r="C331" t="s">
        <x:v>29</x:v>
      </x:c>
      <x:c r="D331" t="s">
        <x:v>1643</x:v>
      </x:c>
      <x:c r="E331" t="s">
        <x:v>31</x:v>
      </x:c>
      <x:c r="F331" t="s">
        <x:v>1644</x:v>
      </x:c>
      <x:c r="G331" t="s">
        <x:v>1637</x:v>
      </x:c>
      <x:c r="H331" t="s">
        <x:v>1638</x:v>
      </x:c>
      <x:c r="I331" t="s">
        <x:v>776</x:v>
      </x:c>
      <x:c r="J331" t="s">
        <x:v>777</x:v>
      </x:c>
      <x:c r="K331" t="s">
        <x:v>37</x:v>
      </x:c>
      <x:c r="L331" t="s">
        <x:v>1639</x:v>
      </x:c>
      <x:c r="M331" t="s">
        <x:v>1640</x:v>
      </x:c>
      <x:c r="N331" t="s">
        <x:v>1637</x:v>
      </x:c>
      <x:c r="O331" t="s">
        <x:v>1645</x:v>
      </x:c>
      <x:c r="P331" t="s">
        <x:v>830</x:v>
      </x:c>
      <x:c r="Q331">
        <x:v>1</x:v>
      </x:c>
      <x:c r="R331" t="s">
        <x:v>42</x:v>
      </x:c>
      <x:c r="S331" t="s">
        <x:v>44</x:v>
      </x:c>
      <x:c r="T331" t="s">
        <x:v>44</x:v>
      </x:c>
      <x:c r="U331" t="s">
        <x:v>45</x:v>
      </x:c>
      <x:c r="V331" t="s">
        <x:v>46</x:v>
      </x:c>
      <x:c r="W331">
        <x:v>127.12</x:v>
      </x:c>
      <x:c r="X331" t="s">
        <x:v>47</x:v>
      </x:c>
      <x:c r="Y331" t="s">
        <x:v>48</x:v>
      </x:c>
      <x:c r="Z331" t="s">
        <x:v>49</x:v>
      </x:c>
    </x:row>
    <x:row r="332">
      <x:c r="A332" s="1">
        <x:v>46247</x:v>
      </x:c>
      <x:c r="B332" t="s">
        <x:v>1646</x:v>
      </x:c>
      <x:c r="C332" t="s">
        <x:v>29</x:v>
      </x:c>
      <x:c r="D332" t="s">
        <x:v>1647</x:v>
      </x:c>
      <x:c r="E332" t="s">
        <x:v>31</x:v>
      </x:c>
      <x:c r="F332" t="s">
        <x:v>1648</x:v>
      </x:c>
      <x:c r="G332" t="s">
        <x:v>1637</x:v>
      </x:c>
      <x:c r="H332" t="s">
        <x:v>1638</x:v>
      </x:c>
      <x:c r="I332" t="s">
        <x:v>776</x:v>
      </x:c>
      <x:c r="J332" t="s">
        <x:v>777</x:v>
      </x:c>
      <x:c r="K332" t="s">
        <x:v>37</x:v>
      </x:c>
      <x:c r="L332" t="s">
        <x:v>1639</x:v>
      </x:c>
      <x:c r="M332" t="s">
        <x:v>1640</x:v>
      </x:c>
      <x:c r="N332" t="s">
        <x:v>1637</x:v>
      </x:c>
      <x:c r="O332" t="s">
        <x:v>1649</x:v>
      </x:c>
      <x:c r="P332" t="s">
        <x:v>643</x:v>
      </x:c>
      <x:c r="Q332">
        <x:v>1</x:v>
      </x:c>
      <x:c r="R332" t="s">
        <x:v>42</x:v>
      </x:c>
      <x:c r="S332" t="s">
        <x:v>44</x:v>
      </x:c>
      <x:c r="T332" t="s">
        <x:v>44</x:v>
      </x:c>
      <x:c r="U332" t="s">
        <x:v>45</x:v>
      </x:c>
      <x:c r="V332" t="s">
        <x:v>46</x:v>
      </x:c>
      <x:c r="W332">
        <x:v>84.75</x:v>
      </x:c>
      <x:c r="X332" t="s">
        <x:v>47</x:v>
      </x:c>
      <x:c r="Y332" t="s">
        <x:v>48</x:v>
      </x:c>
      <x:c r="Z332" t="s">
        <x:v>49</x:v>
      </x:c>
    </x:row>
    <x:row r="333">
      <x:c r="A333" s="1">
        <x:v>46247</x:v>
      </x:c>
      <x:c r="B333" t="s">
        <x:v>1650</x:v>
      </x:c>
      <x:c r="C333" t="s">
        <x:v>29</x:v>
      </x:c>
      <x:c r="D333" t="s">
        <x:v>1651</x:v>
      </x:c>
      <x:c r="E333" t="s">
        <x:v>31</x:v>
      </x:c>
      <x:c r="F333" t="s">
        <x:v>1652</x:v>
      </x:c>
      <x:c r="G333" t="s">
        <x:v>1653</x:v>
      </x:c>
      <x:c r="H333" t="s">
        <x:v>1654</x:v>
      </x:c>
      <x:c r="I333" t="s">
        <x:v>35</x:v>
      </x:c>
      <x:c r="J333" t="s">
        <x:v>36</x:v>
      </x:c>
      <x:c r="K333" t="s">
        <x:v>37</x:v>
      </x:c>
      <x:c r="L333" t="s">
        <x:v>1655</x:v>
      </x:c>
      <x:c r="M333" t="s">
        <x:v>1656</x:v>
      </x:c>
      <x:c r="N333" t="s">
        <x:v>1653</x:v>
      </x:c>
      <x:c r="O333" t="s">
        <x:v>1657</x:v>
      </x:c>
      <x:c r="P333" t="s">
        <x:v>102</x:v>
      </x:c>
      <x:c r="Q333">
        <x:v>1</x:v>
      </x:c>
      <x:c r="R333" t="s">
        <x:v>42</x:v>
      </x:c>
      <x:c r="S333" t="s">
        <x:v>44</x:v>
      </x:c>
      <x:c r="T333" t="s">
        <x:v>44</x:v>
      </x:c>
      <x:c r="U333" t="s">
        <x:v>45</x:v>
      </x:c>
      <x:c r="V333" t="s">
        <x:v>60</x:v>
      </x:c>
      <x:c r="W333">
        <x:v>186.44</x:v>
      </x:c>
      <x:c r="X333" t="s">
        <x:v>47</x:v>
      </x:c>
      <x:c r="Y333" t="s">
        <x:v>48</x:v>
      </x:c>
      <x:c r="Z333" t="s">
        <x:v>49</x:v>
      </x:c>
      <x:c r="AA333">
        <x:v>999996347</x:v>
      </x:c>
      <x:c r="AB333" t="s">
        <x:v>50</x:v>
      </x:c>
    </x:row>
    <x:row r="334">
      <x:c r="A334" s="1">
        <x:v>46247</x:v>
      </x:c>
      <x:c r="B334" t="s">
        <x:v>1658</x:v>
      </x:c>
      <x:c r="C334" t="s">
        <x:v>29</x:v>
      </x:c>
      <x:c r="D334" t="s">
        <x:v>1659</x:v>
      </x:c>
      <x:c r="E334" t="s">
        <x:v>31</x:v>
      </x:c>
      <x:c r="F334" t="s">
        <x:v>1660</x:v>
      </x:c>
      <x:c r="G334" t="s">
        <x:v>1661</x:v>
      </x:c>
      <x:c r="H334" t="s">
        <x:v>1662</x:v>
      </x:c>
      <x:c r="K334" t="s">
        <x:v>37</x:v>
      </x:c>
      <x:c r="L334" t="s">
        <x:v>1663</x:v>
      </x:c>
      <x:c r="M334" t="s">
        <x:v>1664</x:v>
      </x:c>
      <x:c r="N334" t="s">
        <x:v>1661</x:v>
      </x:c>
      <x:c r="O334" t="s">
        <x:v>1665</x:v>
      </x:c>
      <x:c r="P334" t="s">
        <x:v>643</x:v>
      </x:c>
      <x:c r="Q334">
        <x:v>1</x:v>
      </x:c>
      <x:c r="R334" t="s">
        <x:v>42</x:v>
      </x:c>
      <x:c r="S334" t="s">
        <x:v>44</x:v>
      </x:c>
      <x:c r="T334" t="s">
        <x:v>44</x:v>
      </x:c>
      <x:c r="U334" t="s">
        <x:v>45</x:v>
      </x:c>
      <x:c r="V334" t="s">
        <x:v>46</x:v>
      </x:c>
      <x:c r="W334">
        <x:v>84.75</x:v>
      </x:c>
      <x:c r="X334" t="s">
        <x:v>47</x:v>
      </x:c>
      <x:c r="Y334" t="s">
        <x:v>48</x:v>
      </x:c>
      <x:c r="Z334" t="s">
        <x:v>49</x:v>
      </x:c>
    </x:row>
    <x:row r="335">
      <x:c r="A335" s="1">
        <x:v>46247</x:v>
      </x:c>
      <x:c r="B335" t="s">
        <x:v>1666</x:v>
      </x:c>
      <x:c r="C335" t="s">
        <x:v>29</x:v>
      </x:c>
      <x:c r="D335" t="s">
        <x:v>1667</x:v>
      </x:c>
      <x:c r="E335" t="s">
        <x:v>31</x:v>
      </x:c>
      <x:c r="F335" t="s">
        <x:v>1668</x:v>
      </x:c>
      <x:c r="G335" t="s">
        <x:v>1669</x:v>
      </x:c>
      <x:c r="H335" t="s">
        <x:v>1670</x:v>
      </x:c>
      <x:c r="I335" t="s">
        <x:v>137</x:v>
      </x:c>
      <x:c r="J335" t="s">
        <x:v>138</x:v>
      </x:c>
      <x:c r="K335" t="s">
        <x:v>37</x:v>
      </x:c>
      <x:c r="L335" t="s">
        <x:v>1671</x:v>
      </x:c>
      <x:c r="M335" t="s">
        <x:v>1672</x:v>
      </x:c>
      <x:c r="N335" t="s">
        <x:v>1669</x:v>
      </x:c>
      <x:c r="O335" t="s">
        <x:v>1673</x:v>
      </x:c>
      <x:c r="P335" t="s">
        <x:v>41</x:v>
      </x:c>
      <x:c r="Q335">
        <x:v>1</x:v>
      </x:c>
      <x:c r="R335" t="s">
        <x:v>42</x:v>
      </x:c>
      <x:c r="S335" t="s">
        <x:v>44</x:v>
      </x:c>
      <x:c r="T335" t="s">
        <x:v>44</x:v>
      </x:c>
      <x:c r="U335" t="s">
        <x:v>45</x:v>
      </x:c>
      <x:c r="V335" t="s">
        <x:v>46</x:v>
      </x:c>
      <x:c r="W335">
        <x:v>186.44</x:v>
      </x:c>
      <x:c r="X335" t="s">
        <x:v>47</x:v>
      </x:c>
      <x:c r="Y335" t="s">
        <x:v>48</x:v>
      </x:c>
      <x:c r="Z335" t="s">
        <x:v>49</x:v>
      </x:c>
      <x:c r="AA335">
        <x:v>987407712</x:v>
      </x:c>
      <x:c r="AB335" t="s">
        <x:v>142</x:v>
      </x:c>
    </x:row>
    <x:row r="336">
      <x:c r="A336" s="1">
        <x:v>46247</x:v>
      </x:c>
      <x:c r="B336" t="s">
        <x:v>1674</x:v>
      </x:c>
      <x:c r="C336" t="s">
        <x:v>29</x:v>
      </x:c>
      <x:c r="D336" t="s">
        <x:v>1675</x:v>
      </x:c>
      <x:c r="E336" t="s">
        <x:v>31</x:v>
      </x:c>
      <x:c r="F336" t="s">
        <x:v>1676</x:v>
      </x:c>
      <x:c r="G336" t="s">
        <x:v>1677</x:v>
      </x:c>
      <x:c r="H336" t="s">
        <x:v>1678</x:v>
      </x:c>
      <x:c r="I336" t="s">
        <x:v>1679</x:v>
      </x:c>
      <x:c r="K336" t="s">
        <x:v>37</x:v>
      </x:c>
      <x:c r="L336" t="s">
        <x:v>1680</x:v>
      </x:c>
      <x:c r="M336" t="s">
        <x:v>1681</x:v>
      </x:c>
      <x:c r="N336" t="s">
        <x:v>1677</x:v>
      </x:c>
      <x:c r="O336" t="s">
        <x:v>1682</x:v>
      </x:c>
      <x:c r="P336" t="s">
        <x:v>91</x:v>
      </x:c>
      <x:c r="Q336">
        <x:v>1</x:v>
      </x:c>
      <x:c r="R336" t="s">
        <x:v>42</x:v>
      </x:c>
      <x:c r="S336" t="s">
        <x:v>44</x:v>
      </x:c>
      <x:c r="T336" t="s">
        <x:v>44</x:v>
      </x:c>
      <x:c r="U336" t="s">
        <x:v>45</x:v>
      </x:c>
      <x:c r="V336" t="s">
        <x:v>60</x:v>
      </x:c>
      <x:c r="W336">
        <x:v>135.59</x:v>
      </x:c>
      <x:c r="X336" t="s">
        <x:v>47</x:v>
      </x:c>
      <x:c r="Y336" t="s">
        <x:v>48</x:v>
      </x:c>
      <x:c r="Z336" t="s">
        <x:v>49</x:v>
      </x:c>
    </x:row>
    <x:row r="337">
      <x:c r="A337" s="1">
        <x:v>46247</x:v>
      </x:c>
      <x:c r="B337" t="s">
        <x:v>1683</x:v>
      </x:c>
      <x:c r="C337" t="s">
        <x:v>29</x:v>
      </x:c>
      <x:c r="D337" t="s">
        <x:v>1684</x:v>
      </x:c>
      <x:c r="E337" t="s">
        <x:v>31</x:v>
      </x:c>
      <x:c r="F337" t="s">
        <x:v>1685</x:v>
      </x:c>
      <x:c r="G337" t="s">
        <x:v>1686</x:v>
      </x:c>
      <x:c r="H337" t="s">
        <x:v>1687</x:v>
      </x:c>
      <x:c r="I337" t="s">
        <x:v>1688</x:v>
      </x:c>
      <x:c r="J337" t="s">
        <x:v>1689</x:v>
      </x:c>
      <x:c r="K337" t="s">
        <x:v>37</x:v>
      </x:c>
      <x:c r="L337" t="s">
        <x:v>1690</x:v>
      </x:c>
      <x:c r="M337" t="s">
        <x:v>1691</x:v>
      </x:c>
      <x:c r="N337" t="s">
        <x:v>1686</x:v>
      </x:c>
      <x:c r="O337" t="s">
        <x:v>1692</x:v>
      </x:c>
      <x:c r="P337" t="s">
        <x:v>41</x:v>
      </x:c>
      <x:c r="Q337">
        <x:v>1</x:v>
      </x:c>
      <x:c r="R337" t="s">
        <x:v>42</x:v>
      </x:c>
      <x:c r="S337" t="s">
        <x:v>44</x:v>
      </x:c>
      <x:c r="T337" t="s">
        <x:v>44</x:v>
      </x:c>
      <x:c r="U337" t="s">
        <x:v>45</x:v>
      </x:c>
      <x:c r="V337" t="s">
        <x:v>60</x:v>
      </x:c>
      <x:c r="W337">
        <x:v>186.44</x:v>
      </x:c>
      <x:c r="X337" t="s">
        <x:v>47</x:v>
      </x:c>
      <x:c r="Y337" t="s">
        <x:v>48</x:v>
      </x:c>
      <x:c r="Z337" t="s">
        <x:v>49</x:v>
      </x:c>
      <x:c r="AA337">
        <x:v>987483056</x:v>
      </x:c>
    </x:row>
    <x:row r="338">
      <x:c r="A338" s="1">
        <x:v>46247</x:v>
      </x:c>
      <x:c r="B338" t="s">
        <x:v>1693</x:v>
      </x:c>
      <x:c r="C338" t="s">
        <x:v>29</x:v>
      </x:c>
      <x:c r="D338" t="s">
        <x:v>1694</x:v>
      </x:c>
      <x:c r="E338" t="s">
        <x:v>31</x:v>
      </x:c>
      <x:c r="F338" t="s">
        <x:v>1695</x:v>
      </x:c>
      <x:c r="G338" t="s">
        <x:v>1696</x:v>
      </x:c>
      <x:c r="H338" t="s">
        <x:v>1697</x:v>
      </x:c>
      <x:c r="I338" t="s">
        <x:v>1390</x:v>
      </x:c>
      <x:c r="K338" t="s">
        <x:v>37</x:v>
      </x:c>
      <x:c r="L338" t="s">
        <x:v>1698</x:v>
      </x:c>
      <x:c r="M338" t="s">
        <x:v>1699</x:v>
      </x:c>
      <x:c r="N338" t="s">
        <x:v>1696</x:v>
      </x:c>
      <x:c r="O338" t="s">
        <x:v>1700</x:v>
      </x:c>
      <x:c r="P338" t="s">
        <x:v>203</x:v>
      </x:c>
      <x:c r="Q338">
        <x:v>1</x:v>
      </x:c>
      <x:c r="R338" t="s">
        <x:v>42</x:v>
      </x:c>
      <x:c r="S338" t="s">
        <x:v>44</x:v>
      </x:c>
      <x:c r="T338" t="s">
        <x:v>44</x:v>
      </x:c>
      <x:c r="U338" t="s">
        <x:v>45</x:v>
      </x:c>
      <x:c r="V338" t="s">
        <x:v>46</x:v>
      </x:c>
      <x:c r="W338">
        <x:v>135.59</x:v>
      </x:c>
      <x:c r="X338" t="s">
        <x:v>47</x:v>
      </x:c>
      <x:c r="Y338" t="s">
        <x:v>48</x:v>
      </x:c>
      <x:c r="Z338" t="s">
        <x:v>49</x:v>
      </x:c>
      <x:c r="AB338" t="s">
        <x:v>1394</x:v>
      </x:c>
    </x:row>
    <x:row r="339">
      <x:c r="A339" s="1">
        <x:v>46248</x:v>
      </x:c>
      <x:c r="B339" t="s">
        <x:v>1701</x:v>
      </x:c>
      <x:c r="C339" t="s">
        <x:v>29</x:v>
      </x:c>
      <x:c r="D339" t="s">
        <x:v>1702</x:v>
      </x:c>
      <x:c r="E339" t="s">
        <x:v>31</x:v>
      </x:c>
      <x:c r="F339" t="s">
        <x:v>1703</x:v>
      </x:c>
      <x:c r="G339" t="s">
        <x:v>1704</x:v>
      </x:c>
      <x:c r="H339" t="s">
        <x:v>1705</x:v>
      </x:c>
      <x:c r="I339" t="s">
        <x:v>1326</x:v>
      </x:c>
      <x:c r="J339" t="s">
        <x:v>36</x:v>
      </x:c>
      <x:c r="K339" t="s">
        <x:v>37</x:v>
      </x:c>
      <x:c r="L339" t="s">
        <x:v>1706</x:v>
      </x:c>
      <x:c r="M339" t="s">
        <x:v>1707</x:v>
      </x:c>
      <x:c r="N339" t="s">
        <x:v>1704</x:v>
      </x:c>
      <x:c r="O339" t="s">
        <x:v>1708</x:v>
      </x:c>
      <x:c r="P339" t="s">
        <x:v>102</x:v>
      </x:c>
      <x:c r="Q339">
        <x:v>1</x:v>
      </x:c>
      <x:c r="R339" t="s">
        <x:v>42</x:v>
      </x:c>
      <x:c r="S339" t="s">
        <x:v>44</x:v>
      </x:c>
      <x:c r="T339" t="s">
        <x:v>44</x:v>
      </x:c>
      <x:c r="U339" t="s">
        <x:v>45</x:v>
      </x:c>
      <x:c r="V339" t="s">
        <x:v>46</x:v>
      </x:c>
      <x:c r="W339">
        <x:v>186.44</x:v>
      </x:c>
      <x:c r="X339" t="s">
        <x:v>47</x:v>
      </x:c>
      <x:c r="Y339" t="s">
        <x:v>48</x:v>
      </x:c>
      <x:c r="Z339" t="s">
        <x:v>49</x:v>
      </x:c>
      <x:c r="AA339">
        <x:v>999111362</x:v>
      </x:c>
      <x:c r="AB339" t="s">
        <x:v>1330</x:v>
      </x:c>
    </x:row>
    <x:row r="340">
      <x:c r="A340" s="1">
        <x:v>46248</x:v>
      </x:c>
      <x:c r="B340" t="s">
        <x:v>1709</x:v>
      </x:c>
      <x:c r="C340" t="s">
        <x:v>29</x:v>
      </x:c>
      <x:c r="D340" t="s">
        <x:v>1710</x:v>
      </x:c>
      <x:c r="E340" t="s">
        <x:v>31</x:v>
      </x:c>
      <x:c r="F340" t="s">
        <x:v>1711</x:v>
      </x:c>
      <x:c r="G340" t="s">
        <x:v>1712</x:v>
      </x:c>
      <x:c r="H340" t="s">
        <x:v>1713</x:v>
      </x:c>
      <x:c r="I340" t="s">
        <x:v>1714</x:v>
      </x:c>
      <x:c r="K340" t="s">
        <x:v>37</x:v>
      </x:c>
      <x:c r="L340" t="s">
        <x:v>1715</x:v>
      </x:c>
      <x:c r="M340" t="s">
        <x:v>1716</x:v>
      </x:c>
      <x:c r="N340" t="s">
        <x:v>1712</x:v>
      </x:c>
      <x:c r="O340" t="s">
        <x:v>1717</x:v>
      </x:c>
      <x:c r="P340" t="s">
        <x:v>1159</x:v>
      </x:c>
      <x:c r="Q340">
        <x:v>1</x:v>
      </x:c>
      <x:c r="R340" t="s">
        <x:v>42</x:v>
      </x:c>
      <x:c r="S340" t="s">
        <x:v>44</x:v>
      </x:c>
      <x:c r="T340" t="s">
        <x:v>44</x:v>
      </x:c>
      <x:c r="U340" t="s">
        <x:v>45</x:v>
      </x:c>
      <x:c r="V340" t="s">
        <x:v>60</x:v>
      </x:c>
      <x:c r="W340">
        <x:v>338.98</x:v>
      </x:c>
      <x:c r="X340" t="s">
        <x:v>47</x:v>
      </x:c>
      <x:c r="Y340" t="s">
        <x:v>48</x:v>
      </x:c>
      <x:c r="Z340" t="s">
        <x:v>49</x:v>
      </x:c>
    </x:row>
    <x:row r="341">
      <x:c r="A341" s="1">
        <x:v>46248</x:v>
      </x:c>
      <x:c r="B341" t="s">
        <x:v>1718</x:v>
      </x:c>
      <x:c r="C341" t="s">
        <x:v>269</x:v>
      </x:c>
      <x:c r="D341" t="s">
        <x:v>1719</x:v>
      </x:c>
      <x:c r="E341" t="s">
        <x:v>31</x:v>
      </x:c>
      <x:c r="F341" t="s">
        <x:v>1720</x:v>
      </x:c>
      <x:c r="G341" t="s">
        <x:v>1721</x:v>
      </x:c>
      <x:c r="H341" t="s">
        <x:v>1722</x:v>
      </x:c>
      <x:c r="I341" t="s">
        <x:v>1252</x:v>
      </x:c>
      <x:c r="J341" t="s">
        <x:v>210</x:v>
      </x:c>
      <x:c r="K341" t="s">
        <x:v>37</x:v>
      </x:c>
      <x:c r="L341" t="s">
        <x:v>1723</x:v>
      </x:c>
      <x:c r="M341" t="s">
        <x:v>1724</x:v>
      </x:c>
      <x:c r="N341" t="s">
        <x:v>1254</x:v>
      </x:c>
      <x:c r="O341" t="s">
        <x:v>1725</x:v>
      </x:c>
      <x:c r="P341" t="s">
        <x:v>289</x:v>
      </x:c>
      <x:c r="Q341">
        <x:v>1</x:v>
      </x:c>
      <x:c r="R341" t="s">
        <x:v>42</x:v>
      </x:c>
      <x:c r="S341" t="s">
        <x:v>44</x:v>
      </x:c>
      <x:c r="T341" t="s">
        <x:v>44</x:v>
      </x:c>
      <x:c r="U341" t="s">
        <x:v>45</x:v>
      </x:c>
      <x:c r="V341" t="s">
        <x:v>46</x:v>
      </x:c>
      <x:c r="W341">
        <x:v>0</x:v>
      </x:c>
      <x:c r="X341" t="s">
        <x:v>290</x:v>
      </x:c>
      <x:c r="Y341" t="s">
        <x:v>48</x:v>
      </x:c>
      <x:c r="Z341" t="s">
        <x:v>49</x:v>
      </x:c>
      <x:c r="AA341">
        <x:v>994872106</x:v>
      </x:c>
      <x:c r="AB341" t="s">
        <x:v>1256</x:v>
      </x:c>
    </x:row>
    <x:row r="342">
      <x:c r="A342" s="1">
        <x:v>46248</x:v>
      </x:c>
      <x:c r="B342" t="s">
        <x:v>1718</x:v>
      </x:c>
      <x:c r="C342" t="s">
        <x:v>269</x:v>
      </x:c>
      <x:c r="D342" t="s">
        <x:v>1719</x:v>
      </x:c>
      <x:c r="E342" t="s">
        <x:v>31</x:v>
      </x:c>
      <x:c r="F342" t="s">
        <x:v>1720</x:v>
      </x:c>
      <x:c r="G342" t="s">
        <x:v>1721</x:v>
      </x:c>
      <x:c r="H342" t="s">
        <x:v>1722</x:v>
      </x:c>
      <x:c r="I342" t="s">
        <x:v>1252</x:v>
      </x:c>
      <x:c r="J342" t="s">
        <x:v>210</x:v>
      </x:c>
      <x:c r="K342" t="s">
        <x:v>37</x:v>
      </x:c>
      <x:c r="L342" t="s">
        <x:v>1723</x:v>
      </x:c>
      <x:c r="M342" t="s">
        <x:v>1724</x:v>
      </x:c>
      <x:c r="N342" t="s">
        <x:v>1254</x:v>
      </x:c>
      <x:c r="O342" t="s">
        <x:v>1725</x:v>
      </x:c>
      <x:c r="P342" t="s">
        <x:v>1257</x:v>
      </x:c>
      <x:c r="Q342">
        <x:v>1</x:v>
      </x:c>
      <x:c r="R342" t="s">
        <x:v>42</x:v>
      </x:c>
      <x:c r="S342" t="s">
        <x:v>44</x:v>
      </x:c>
      <x:c r="T342" t="s">
        <x:v>44</x:v>
      </x:c>
      <x:c r="U342" t="s">
        <x:v>45</x:v>
      </x:c>
      <x:c r="V342" t="s">
        <x:v>46</x:v>
      </x:c>
      <x:c r="W342">
        <x:v>139.83000000000001</x:v>
      </x:c>
      <x:c r="X342" t="s">
        <x:v>290</x:v>
      </x:c>
      <x:c r="Y342" t="s">
        <x:v>48</x:v>
      </x:c>
      <x:c r="Z342" t="s">
        <x:v>49</x:v>
      </x:c>
      <x:c r="AA342">
        <x:v>994872106</x:v>
      </x:c>
      <x:c r="AB342" t="s">
        <x:v>1256</x:v>
      </x:c>
    </x:row>
    <x:row r="343">
      <x:c r="A343" s="1">
        <x:v>46248</x:v>
      </x:c>
      <x:c r="B343" t="s">
        <x:v>1726</x:v>
      </x:c>
      <x:c r="C343" t="s">
        <x:v>269</x:v>
      </x:c>
      <x:c r="D343" t="s">
        <x:v>1727</x:v>
      </x:c>
      <x:c r="E343" t="s">
        <x:v>31</x:v>
      </x:c>
      <x:c r="F343" t="s">
        <x:v>1728</x:v>
      </x:c>
      <x:c r="G343" t="s">
        <x:v>1661</x:v>
      </x:c>
      <x:c r="H343" t="s">
        <x:v>1662</x:v>
      </x:c>
      <x:c r="K343" t="s">
        <x:v>37</x:v>
      </x:c>
      <x:c r="L343" t="s">
        <x:v>1663</x:v>
      </x:c>
      <x:c r="M343" t="s">
        <x:v>1664</x:v>
      </x:c>
      <x:c r="N343" t="s">
        <x:v>800</x:v>
      </x:c>
      <x:c r="O343" t="s">
        <x:v>1729</x:v>
      </x:c>
      <x:c r="P343" t="s">
        <x:v>289</x:v>
      </x:c>
      <x:c r="Q343">
        <x:v>1</x:v>
      </x:c>
      <x:c r="R343" t="s">
        <x:v>42</x:v>
      </x:c>
      <x:c r="S343" t="s">
        <x:v>44</x:v>
      </x:c>
      <x:c r="T343" t="s">
        <x:v>44</x:v>
      </x:c>
      <x:c r="U343" t="s">
        <x:v>45</x:v>
      </x:c>
      <x:c r="V343" t="s">
        <x:v>46</x:v>
      </x:c>
      <x:c r="W343">
        <x:v>0</x:v>
      </x:c>
      <x:c r="X343" t="s">
        <x:v>290</x:v>
      </x:c>
      <x:c r="Y343" t="s">
        <x:v>48</x:v>
      </x:c>
      <x:c r="Z343" t="s">
        <x:v>49</x:v>
      </x:c>
    </x:row>
    <x:row r="344">
      <x:c r="A344" s="1">
        <x:v>46248</x:v>
      </x:c>
      <x:c r="B344" t="s">
        <x:v>1726</x:v>
      </x:c>
      <x:c r="C344" t="s">
        <x:v>269</x:v>
      </x:c>
      <x:c r="D344" t="s">
        <x:v>1727</x:v>
      </x:c>
      <x:c r="E344" t="s">
        <x:v>31</x:v>
      </x:c>
      <x:c r="F344" t="s">
        <x:v>1728</x:v>
      </x:c>
      <x:c r="G344" t="s">
        <x:v>1661</x:v>
      </x:c>
      <x:c r="H344" t="s">
        <x:v>1662</x:v>
      </x:c>
      <x:c r="K344" t="s">
        <x:v>37</x:v>
      </x:c>
      <x:c r="L344" t="s">
        <x:v>1663</x:v>
      </x:c>
      <x:c r="M344" t="s">
        <x:v>1664</x:v>
      </x:c>
      <x:c r="N344" t="s">
        <x:v>800</x:v>
      </x:c>
      <x:c r="O344" t="s">
        <x:v>1729</x:v>
      </x:c>
      <x:c r="P344" t="s">
        <x:v>291</x:v>
      </x:c>
      <x:c r="Q344">
        <x:v>1</x:v>
      </x:c>
      <x:c r="R344" t="s">
        <x:v>42</x:v>
      </x:c>
      <x:c r="S344" t="s">
        <x:v>44</x:v>
      </x:c>
      <x:c r="T344" t="s">
        <x:v>44</x:v>
      </x:c>
      <x:c r="U344" t="s">
        <x:v>45</x:v>
      </x:c>
      <x:c r="V344" t="s">
        <x:v>46</x:v>
      </x:c>
      <x:c r="W344">
        <x:v>1525.42</x:v>
      </x:c>
      <x:c r="X344" t="s">
        <x:v>290</x:v>
      </x:c>
      <x:c r="Y344" t="s">
        <x:v>48</x:v>
      </x:c>
      <x:c r="Z344" t="s">
        <x:v>49</x:v>
      </x:c>
    </x:row>
    <x:row r="345">
      <x:c r="A345" s="1">
        <x:v>46248</x:v>
      </x:c>
      <x:c r="B345" t="s">
        <x:v>1730</x:v>
      </x:c>
      <x:c r="C345" t="s">
        <x:v>29</x:v>
      </x:c>
      <x:c r="D345" t="s">
        <x:v>1731</x:v>
      </x:c>
      <x:c r="E345" t="s">
        <x:v>31</x:v>
      </x:c>
      <x:c r="F345" t="s">
        <x:v>1732</x:v>
      </x:c>
      <x:c r="G345" t="s">
        <x:v>1733</x:v>
      </x:c>
      <x:c r="H345" t="s">
        <x:v>1734</x:v>
      </x:c>
      <x:c r="I345" t="s">
        <x:v>764</x:v>
      </x:c>
      <x:c r="J345" t="s">
        <x:v>210</x:v>
      </x:c>
      <x:c r="K345" t="s">
        <x:v>37</x:v>
      </x:c>
      <x:c r="L345" t="s">
        <x:v>1735</x:v>
      </x:c>
      <x:c r="M345" t="s">
        <x:v>1736</x:v>
      </x:c>
      <x:c r="N345" t="s">
        <x:v>1733</x:v>
      </x:c>
      <x:c r="O345" t="s">
        <x:v>1737</x:v>
      </x:c>
      <x:c r="P345" t="s">
        <x:v>1159</x:v>
      </x:c>
      <x:c r="Q345">
        <x:v>1</x:v>
      </x:c>
      <x:c r="R345" t="s">
        <x:v>42</x:v>
      </x:c>
      <x:c r="S345" t="s">
        <x:v>44</x:v>
      </x:c>
      <x:c r="T345" t="s">
        <x:v>44</x:v>
      </x:c>
      <x:c r="U345" t="s">
        <x:v>45</x:v>
      </x:c>
      <x:c r="V345" t="s">
        <x:v>46</x:v>
      </x:c>
      <x:c r="W345">
        <x:v>338.98</x:v>
      </x:c>
      <x:c r="X345" t="s">
        <x:v>47</x:v>
      </x:c>
      <x:c r="Y345" t="s">
        <x:v>48</x:v>
      </x:c>
      <x:c r="Z345" t="s">
        <x:v>49</x:v>
      </x:c>
      <x:c r="AA345">
        <x:v>969791876</x:v>
      </x:c>
      <x:c r="AB345" t="s">
        <x:v>770</x:v>
      </x:c>
    </x:row>
    <x:row r="346">
      <x:c r="A346" s="1">
        <x:v>46249</x:v>
      </x:c>
      <x:c r="B346" t="s">
        <x:v>1738</x:v>
      </x:c>
      <x:c r="C346" t="s">
        <x:v>29</x:v>
      </x:c>
      <x:c r="D346" t="s">
        <x:v>1739</x:v>
      </x:c>
      <x:c r="E346" t="s">
        <x:v>31</x:v>
      </x:c>
      <x:c r="F346" t="s">
        <x:v>1740</x:v>
      </x:c>
      <x:c r="G346" t="s">
        <x:v>1741</x:v>
      </x:c>
      <x:c r="H346" t="s">
        <x:v>1742</x:v>
      </x:c>
      <x:c r="I346" t="s">
        <x:v>412</x:v>
      </x:c>
      <x:c r="J346" t="s">
        <x:v>413</x:v>
      </x:c>
      <x:c r="K346" t="s">
        <x:v>37</x:v>
      </x:c>
      <x:c r="L346" t="s">
        <x:v>1743</x:v>
      </x:c>
      <x:c r="M346" t="s">
        <x:v>1744</x:v>
      </x:c>
      <x:c r="N346" t="s">
        <x:v>1741</x:v>
      </x:c>
      <x:c r="O346" t="s">
        <x:v>1745</x:v>
      </x:c>
      <x:c r="P346" t="s">
        <x:v>203</x:v>
      </x:c>
      <x:c r="Q346">
        <x:v>1</x:v>
      </x:c>
      <x:c r="R346" t="s">
        <x:v>42</x:v>
      </x:c>
      <x:c r="S346" t="s">
        <x:v>44</x:v>
      </x:c>
      <x:c r="T346" t="s">
        <x:v>44</x:v>
      </x:c>
      <x:c r="U346" t="s">
        <x:v>45</x:v>
      </x:c>
      <x:c r="V346" t="s">
        <x:v>60</x:v>
      </x:c>
      <x:c r="W346">
        <x:v>135.59</x:v>
      </x:c>
      <x:c r="X346" t="s">
        <x:v>47</x:v>
      </x:c>
      <x:c r="Y346" t="s">
        <x:v>48</x:v>
      </x:c>
      <x:c r="Z346" t="s">
        <x:v>49</x:v>
      </x:c>
      <x:c r="AA346">
        <x:v>982673362</x:v>
      </x:c>
      <x:c r="AB346" t="s">
        <x:v>417</x:v>
      </x:c>
    </x:row>
    <x:row r="347">
      <x:c r="A347" s="1">
        <x:v>46249</x:v>
      </x:c>
      <x:c r="B347" t="s">
        <x:v>1746</x:v>
      </x:c>
      <x:c r="C347" t="s">
        <x:v>29</x:v>
      </x:c>
      <x:c r="D347" t="s">
        <x:v>1747</x:v>
      </x:c>
      <x:c r="E347" t="s">
        <x:v>31</x:v>
      </x:c>
      <x:c r="F347" t="s">
        <x:v>1748</x:v>
      </x:c>
      <x:c r="G347" t="s">
        <x:v>1749</x:v>
      </x:c>
      <x:c r="H347" t="s">
        <x:v>1750</x:v>
      </x:c>
      <x:c r="I347" t="s">
        <x:v>1315</x:v>
      </x:c>
      <x:c r="J347" t="s">
        <x:v>36</x:v>
      </x:c>
      <x:c r="K347" t="s">
        <x:v>37</x:v>
      </x:c>
      <x:c r="L347" t="s">
        <x:v>1751</x:v>
      </x:c>
      <x:c r="M347" t="s">
        <x:v>1752</x:v>
      </x:c>
      <x:c r="N347" t="s">
        <x:v>1749</x:v>
      </x:c>
      <x:c r="O347" t="s">
        <x:v>1753</x:v>
      </x:c>
      <x:c r="P347" t="s">
        <x:v>202</x:v>
      </x:c>
      <x:c r="Q347">
        <x:v>1</x:v>
      </x:c>
      <x:c r="R347" t="s">
        <x:v>42</x:v>
      </x:c>
      <x:c r="S347" t="s">
        <x:v>44</x:v>
      </x:c>
      <x:c r="T347" t="s">
        <x:v>44</x:v>
      </x:c>
      <x:c r="U347" t="s">
        <x:v>45</x:v>
      </x:c>
      <x:c r="V347" t="s">
        <x:v>46</x:v>
      </x:c>
      <x:c r="W347">
        <x:v>152.54</x:v>
      </x:c>
      <x:c r="X347" t="s">
        <x:v>47</x:v>
      </x:c>
      <x:c r="Y347" t="s">
        <x:v>48</x:v>
      </x:c>
      <x:c r="Z347" t="s">
        <x:v>49</x:v>
      </x:c>
      <x:c r="AA347">
        <x:v>993496032</x:v>
      </x:c>
      <x:c r="AB347" t="s">
        <x:v>1320</x:v>
      </x:c>
    </x:row>
    <x:row r="348">
      <x:c r="A348" s="1">
        <x:v>46249</x:v>
      </x:c>
      <x:c r="B348" t="s">
        <x:v>1754</x:v>
      </x:c>
      <x:c r="C348" t="s">
        <x:v>269</x:v>
      </x:c>
      <x:c r="D348" t="s">
        <x:v>1755</x:v>
      </x:c>
      <x:c r="E348" t="s">
        <x:v>31</x:v>
      </x:c>
      <x:c r="F348" t="s">
        <x:v>1756</x:v>
      </x:c>
      <x:c r="G348" t="s">
        <x:v>1757</x:v>
      </x:c>
      <x:c r="H348" t="s">
        <x:v>1758</x:v>
      </x:c>
      <x:c r="K348" t="s">
        <x:v>37</x:v>
      </x:c>
      <x:c r="L348" t="s">
        <x:v>1759</x:v>
      </x:c>
      <x:c r="M348" t="s">
        <x:v>1760</x:v>
      </x:c>
      <x:c r="N348" t="s">
        <x:v>1761</x:v>
      </x:c>
      <x:c r="O348" t="s">
        <x:v>1762</x:v>
      </x:c>
      <x:c r="P348" t="s">
        <x:v>482</x:v>
      </x:c>
      <x:c r="Q348">
        <x:v>2</x:v>
      </x:c>
      <x:c r="R348" t="s">
        <x:v>42</x:v>
      </x:c>
      <x:c r="S348" t="s">
        <x:v>44</x:v>
      </x:c>
      <x:c r="T348" t="s">
        <x:v>44</x:v>
      </x:c>
      <x:c r="U348" t="s">
        <x:v>45</x:v>
      </x:c>
      <x:c r="V348" t="s">
        <x:v>46</x:v>
      </x:c>
      <x:c r="W348">
        <x:v>203.39</x:v>
      </x:c>
      <x:c r="X348" t="s">
        <x:v>61</x:v>
      </x:c>
      <x:c r="Y348" t="s">
        <x:v>48</x:v>
      </x:c>
      <x:c r="Z348" t="s">
        <x:v>49</x:v>
      </x:c>
    </x:row>
    <x:row r="349">
      <x:c r="A349" s="1">
        <x:v>46251</x:v>
      </x:c>
      <x:c r="B349" t="s">
        <x:v>1763</x:v>
      </x:c>
      <x:c r="C349" t="s">
        <x:v>29</x:v>
      </x:c>
      <x:c r="D349" t="s">
        <x:v>1764</x:v>
      </x:c>
      <x:c r="E349" t="s">
        <x:v>31</x:v>
      </x:c>
      <x:c r="F349" t="s">
        <x:v>1765</x:v>
      </x:c>
      <x:c r="G349" t="s">
        <x:v>1766</x:v>
      </x:c>
      <x:c r="H349" t="s">
        <x:v>1767</x:v>
      </x:c>
      <x:c r="I349" t="s">
        <x:v>1326</x:v>
      </x:c>
      <x:c r="J349" t="s">
        <x:v>36</x:v>
      </x:c>
      <x:c r="K349" t="s">
        <x:v>37</x:v>
      </x:c>
      <x:c r="L349" t="s">
        <x:v>1768</x:v>
      </x:c>
      <x:c r="M349" t="s">
        <x:v>1769</x:v>
      </x:c>
      <x:c r="N349" t="s">
        <x:v>1766</x:v>
      </x:c>
      <x:c r="O349" t="s">
        <x:v>1770</x:v>
      </x:c>
      <x:c r="P349" t="s">
        <x:v>102</x:v>
      </x:c>
      <x:c r="Q349">
        <x:v>1</x:v>
      </x:c>
      <x:c r="R349" t="s">
        <x:v>42</x:v>
      </x:c>
      <x:c r="S349" t="s">
        <x:v>44</x:v>
      </x:c>
      <x:c r="T349" t="s">
        <x:v>44</x:v>
      </x:c>
      <x:c r="U349" t="s">
        <x:v>45</x:v>
      </x:c>
      <x:c r="V349" t="s">
        <x:v>60</x:v>
      </x:c>
      <x:c r="W349">
        <x:v>186.44</x:v>
      </x:c>
      <x:c r="X349" t="s">
        <x:v>47</x:v>
      </x:c>
      <x:c r="Y349" t="s">
        <x:v>48</x:v>
      </x:c>
      <x:c r="Z349" t="s">
        <x:v>49</x:v>
      </x:c>
      <x:c r="AA349">
        <x:v>999111362</x:v>
      </x:c>
      <x:c r="AB349" t="s">
        <x:v>1330</x:v>
      </x:c>
    </x:row>
    <x:row r="350">
      <x:c r="A350" s="1">
        <x:v>46251</x:v>
      </x:c>
      <x:c r="B350" t="s">
        <x:v>1771</x:v>
      </x:c>
      <x:c r="C350" t="s">
        <x:v>29</x:v>
      </x:c>
      <x:c r="D350" t="s">
        <x:v>1772</x:v>
      </x:c>
      <x:c r="E350" t="s">
        <x:v>31</x:v>
      </x:c>
      <x:c r="F350" t="s">
        <x:v>1773</x:v>
      </x:c>
      <x:c r="G350" t="s">
        <x:v>1774</x:v>
      </x:c>
      <x:c r="H350" t="s">
        <x:v>1775</x:v>
      </x:c>
      <x:c r="I350" t="s">
        <x:v>1075</x:v>
      </x:c>
      <x:c r="J350" t="s">
        <x:v>98</x:v>
      </x:c>
      <x:c r="K350" t="s">
        <x:v>37</x:v>
      </x:c>
      <x:c r="L350" t="s">
        <x:v>1776</x:v>
      </x:c>
      <x:c r="M350" t="s">
        <x:v>1777</x:v>
      </x:c>
      <x:c r="N350" t="s">
        <x:v>1774</x:v>
      </x:c>
      <x:c r="O350" t="s">
        <x:v>1778</x:v>
      </x:c>
      <x:c r="P350" t="s">
        <x:v>41</x:v>
      </x:c>
      <x:c r="Q350">
        <x:v>1</x:v>
      </x:c>
      <x:c r="R350" t="s">
        <x:v>70</x:v>
      </x:c>
      <x:c r="S350" t="s">
        <x:v>43</x:v>
      </x:c>
      <x:c r="T350" t="s">
        <x:v>44</x:v>
      </x:c>
      <x:c r="U350" t="s">
        <x:v>71</x:v>
      </x:c>
      <x:c r="V350" t="s">
        <x:v>72</x:v>
      </x:c>
      <x:c r="W350">
        <x:v>186.44</x:v>
      </x:c>
      <x:c r="X350" t="s">
        <x:v>47</x:v>
      </x:c>
      <x:c r="Y350" t="s">
        <x:v>48</x:v>
      </x:c>
      <x:c r="Z350" t="s">
        <x:v>73</x:v>
      </x:c>
      <x:c r="AA350">
        <x:v>999986041</x:v>
      </x:c>
      <x:c r="AB350" t="s">
        <x:v>1079</x:v>
      </x:c>
    </x:row>
    <x:row r="351">
      <x:c r="A351" s="1">
        <x:v>46251</x:v>
      </x:c>
      <x:c r="B351" t="s">
        <x:v>1779</x:v>
      </x:c>
      <x:c r="C351" t="s">
        <x:v>29</x:v>
      </x:c>
      <x:c r="D351" t="s">
        <x:v>1780</x:v>
      </x:c>
      <x:c r="E351" t="s">
        <x:v>31</x:v>
      </x:c>
      <x:c r="F351" t="s">
        <x:v>1781</x:v>
      </x:c>
      <x:c r="G351" t="s">
        <x:v>1782</x:v>
      </x:c>
      <x:c r="H351" t="s">
        <x:v>1783</x:v>
      </x:c>
      <x:c r="I351" t="s">
        <x:v>1444</x:v>
      </x:c>
      <x:c r="J351" t="s">
        <x:v>1100</x:v>
      </x:c>
      <x:c r="K351" t="s">
        <x:v>37</x:v>
      </x:c>
      <x:c r="L351" t="s">
        <x:v>1784</x:v>
      </x:c>
      <x:c r="M351" t="s">
        <x:v>1785</x:v>
      </x:c>
      <x:c r="N351" t="s">
        <x:v>1782</x:v>
      </x:c>
      <x:c r="O351" t="s">
        <x:v>1786</x:v>
      </x:c>
      <x:c r="P351" t="s">
        <x:v>160</x:v>
      </x:c>
      <x:c r="Q351">
        <x:v>1</x:v>
      </x:c>
      <x:c r="R351" t="s">
        <x:v>42</x:v>
      </x:c>
      <x:c r="S351" t="s">
        <x:v>44</x:v>
      </x:c>
      <x:c r="T351" t="s">
        <x:v>44</x:v>
      </x:c>
      <x:c r="U351" t="s">
        <x:v>45</x:v>
      </x:c>
      <x:c r="V351" t="s">
        <x:v>60</x:v>
      </x:c>
      <x:c r="W351">
        <x:v>135.59</x:v>
      </x:c>
      <x:c r="X351" t="s">
        <x:v>47</x:v>
      </x:c>
      <x:c r="Y351" t="s">
        <x:v>48</x:v>
      </x:c>
      <x:c r="Z351" t="s">
        <x:v>49</x:v>
      </x:c>
      <x:c r="AA351">
        <x:v>999418834</x:v>
      </x:c>
      <x:c r="AB351" t="s">
        <x:v>1446</x:v>
      </x:c>
    </x:row>
    <x:row r="352">
      <x:c r="A352" s="1">
        <x:v>46251</x:v>
      </x:c>
      <x:c r="B352" t="s">
        <x:v>1787</x:v>
      </x:c>
      <x:c r="C352" t="s">
        <x:v>269</x:v>
      </x:c>
      <x:c r="D352" t="s">
        <x:v>1788</x:v>
      </x:c>
      <x:c r="E352" t="s">
        <x:v>31</x:v>
      </x:c>
      <x:c r="F352" t="s">
        <x:v>1789</x:v>
      </x:c>
      <x:c r="G352" t="s">
        <x:v>1790</x:v>
      </x:c>
      <x:c r="H352" t="s">
        <x:v>1791</x:v>
      </x:c>
      <x:c r="I352" t="s">
        <x:v>478</x:v>
      </x:c>
      <x:c r="J352" t="s">
        <x:v>210</x:v>
      </x:c>
      <x:c r="K352" t="s">
        <x:v>37</x:v>
      </x:c>
      <x:c r="L352" t="s">
        <x:v>1792</x:v>
      </x:c>
      <x:c r="M352" t="s">
        <x:v>1793</x:v>
      </x:c>
      <x:c r="N352" t="s">
        <x:v>487</x:v>
      </x:c>
      <x:c r="O352" t="s">
        <x:v>1794</x:v>
      </x:c>
      <x:c r="P352" t="s">
        <x:v>482</x:v>
      </x:c>
      <x:c r="Q352">
        <x:v>1</x:v>
      </x:c>
      <x:c r="R352" t="s">
        <x:v>42</x:v>
      </x:c>
      <x:c r="S352" t="s">
        <x:v>44</x:v>
      </x:c>
      <x:c r="T352" t="s">
        <x:v>44</x:v>
      </x:c>
      <x:c r="U352" t="s">
        <x:v>45</x:v>
      </x:c>
      <x:c r="V352" t="s">
        <x:v>46</x:v>
      </x:c>
      <x:c r="W352">
        <x:v>101.69</x:v>
      </x:c>
      <x:c r="X352" t="s">
        <x:v>61</x:v>
      </x:c>
      <x:c r="Y352" t="s">
        <x:v>48</x:v>
      </x:c>
      <x:c r="Z352" t="s">
        <x:v>49</x:v>
      </x:c>
      <x:c r="AA352">
        <x:v>982536223</x:v>
      </x:c>
      <x:c r="AB352" t="s">
        <x:v>483</x:v>
      </x:c>
    </x:row>
    <x:row r="353">
      <x:c r="A353" s="1">
        <x:v>46252</x:v>
      </x:c>
      <x:c r="B353" t="s">
        <x:v>1795</x:v>
      </x:c>
      <x:c r="C353" t="s">
        <x:v>29</x:v>
      </x:c>
      <x:c r="D353" t="s">
        <x:v>1796</x:v>
      </x:c>
      <x:c r="E353" t="s">
        <x:v>31</x:v>
      </x:c>
      <x:c r="F353" t="s">
        <x:v>1797</x:v>
      </x:c>
      <x:c r="G353" t="s">
        <x:v>1798</x:v>
      </x:c>
      <x:c r="H353" t="s">
        <x:v>1799</x:v>
      </x:c>
      <x:c r="I353" t="s">
        <x:v>1234</x:v>
      </x:c>
      <x:c r="K353" t="s">
        <x:v>37</x:v>
      </x:c>
      <x:c r="L353" t="s">
        <x:v>1800</x:v>
      </x:c>
      <x:c r="M353" t="s">
        <x:v>610</x:v>
      </x:c>
      <x:c r="N353" t="s">
        <x:v>1798</x:v>
      </x:c>
      <x:c r="O353" t="s">
        <x:v>1801</x:v>
      </x:c>
      <x:c r="P353" t="s">
        <x:v>202</x:v>
      </x:c>
      <x:c r="Q353">
        <x:v>1</x:v>
      </x:c>
      <x:c r="R353" t="s">
        <x:v>42</x:v>
      </x:c>
      <x:c r="S353" t="s">
        <x:v>44</x:v>
      </x:c>
      <x:c r="T353" t="s">
        <x:v>44</x:v>
      </x:c>
      <x:c r="U353" t="s">
        <x:v>45</x:v>
      </x:c>
      <x:c r="V353" t="s">
        <x:v>60</x:v>
      </x:c>
      <x:c r="W353">
        <x:v>42.37</x:v>
      </x:c>
      <x:c r="X353" t="s">
        <x:v>47</x:v>
      </x:c>
      <x:c r="Y353" t="s">
        <x:v>48</x:v>
      </x:c>
      <x:c r="Z353" t="s">
        <x:v>49</x:v>
      </x:c>
      <x:c r="AB353" t="s">
        <x:v>1238</x:v>
      </x:c>
    </x:row>
    <x:row r="354">
      <x:c r="A354" s="1">
        <x:v>46252</x:v>
      </x:c>
      <x:c r="B354" t="s">
        <x:v>1795</x:v>
      </x:c>
      <x:c r="C354" t="s">
        <x:v>29</x:v>
      </x:c>
      <x:c r="D354" t="s">
        <x:v>1796</x:v>
      </x:c>
      <x:c r="E354" t="s">
        <x:v>31</x:v>
      </x:c>
      <x:c r="F354" t="s">
        <x:v>1797</x:v>
      </x:c>
      <x:c r="G354" t="s">
        <x:v>1798</x:v>
      </x:c>
      <x:c r="H354" t="s">
        <x:v>1799</x:v>
      </x:c>
      <x:c r="I354" t="s">
        <x:v>1234</x:v>
      </x:c>
      <x:c r="K354" t="s">
        <x:v>37</x:v>
      </x:c>
      <x:c r="L354" t="s">
        <x:v>1800</x:v>
      </x:c>
      <x:c r="M354" t="s">
        <x:v>610</x:v>
      </x:c>
      <x:c r="N354" t="s">
        <x:v>1798</x:v>
      </x:c>
      <x:c r="O354" t="s">
        <x:v>1801</x:v>
      </x:c>
      <x:c r="P354" t="s">
        <x:v>203</x:v>
      </x:c>
      <x:c r="Q354">
        <x:v>1</x:v>
      </x:c>
      <x:c r="R354" t="s">
        <x:v>42</x:v>
      </x:c>
      <x:c r="S354" t="s">
        <x:v>44</x:v>
      </x:c>
      <x:c r="T354" t="s">
        <x:v>44</x:v>
      </x:c>
      <x:c r="U354" t="s">
        <x:v>45</x:v>
      </x:c>
      <x:c r="V354" t="s">
        <x:v>60</x:v>
      </x:c>
      <x:c r="W354">
        <x:v>42.37</x:v>
      </x:c>
      <x:c r="X354" t="s">
        <x:v>47</x:v>
      </x:c>
      <x:c r="Y354" t="s">
        <x:v>48</x:v>
      </x:c>
      <x:c r="Z354" t="s">
        <x:v>49</x:v>
      </x:c>
      <x:c r="AB354" t="s">
        <x:v>1238</x:v>
      </x:c>
    </x:row>
    <x:row r="355">
      <x:c r="A355" s="1">
        <x:v>46252</x:v>
      </x:c>
      <x:c r="B355" t="s">
        <x:v>1802</x:v>
      </x:c>
      <x:c r="C355" t="s">
        <x:v>29</x:v>
      </x:c>
      <x:c r="D355" t="s">
        <x:v>1803</x:v>
      </x:c>
      <x:c r="E355" t="s">
        <x:v>31</x:v>
      </x:c>
      <x:c r="F355" t="s">
        <x:v>1804</x:v>
      </x:c>
      <x:c r="G355" t="s">
        <x:v>1805</x:v>
      </x:c>
      <x:c r="H355" t="s">
        <x:v>1806</x:v>
      </x:c>
      <x:c r="I355" t="s">
        <x:v>776</x:v>
      </x:c>
      <x:c r="J355" t="s">
        <x:v>777</x:v>
      </x:c>
      <x:c r="K355" t="s">
        <x:v>37</x:v>
      </x:c>
      <x:c r="L355" t="s">
        <x:v>1807</x:v>
      </x:c>
      <x:c r="M355" t="s">
        <x:v>1808</x:v>
      </x:c>
      <x:c r="N355" t="s">
        <x:v>1805</x:v>
      </x:c>
      <x:c r="O355" t="s">
        <x:v>1809</x:v>
      </x:c>
      <x:c r="P355" t="s">
        <x:v>620</x:v>
      </x:c>
      <x:c r="Q355">
        <x:v>1</x:v>
      </x:c>
      <x:c r="R355" t="s">
        <x:v>42</x:v>
      </x:c>
      <x:c r="S355" t="s">
        <x:v>44</x:v>
      </x:c>
      <x:c r="T355" t="s">
        <x:v>44</x:v>
      </x:c>
      <x:c r="U355" t="s">
        <x:v>45</x:v>
      </x:c>
      <x:c r="V355" t="s">
        <x:v>60</x:v>
      </x:c>
      <x:c r="W355">
        <x:v>12.71</x:v>
      </x:c>
      <x:c r="X355" t="s">
        <x:v>621</x:v>
      </x:c>
      <x:c r="Y355" t="s">
        <x:v>48</x:v>
      </x:c>
      <x:c r="Z355" t="s">
        <x:v>49</x:v>
      </x:c>
    </x:row>
    <x:row r="356">
      <x:c r="A356" s="1">
        <x:v>46252</x:v>
      </x:c>
      <x:c r="B356" t="s">
        <x:v>1802</x:v>
      </x:c>
      <x:c r="C356" t="s">
        <x:v>29</x:v>
      </x:c>
      <x:c r="D356" t="s">
        <x:v>1803</x:v>
      </x:c>
      <x:c r="E356" t="s">
        <x:v>31</x:v>
      </x:c>
      <x:c r="F356" t="s">
        <x:v>1804</x:v>
      </x:c>
      <x:c r="G356" t="s">
        <x:v>1805</x:v>
      </x:c>
      <x:c r="H356" t="s">
        <x:v>1806</x:v>
      </x:c>
      <x:c r="I356" t="s">
        <x:v>776</x:v>
      </x:c>
      <x:c r="J356" t="s">
        <x:v>777</x:v>
      </x:c>
      <x:c r="K356" t="s">
        <x:v>37</x:v>
      </x:c>
      <x:c r="L356" t="s">
        <x:v>1807</x:v>
      </x:c>
      <x:c r="M356" t="s">
        <x:v>1808</x:v>
      </x:c>
      <x:c r="N356" t="s">
        <x:v>1805</x:v>
      </x:c>
      <x:c r="O356" t="s">
        <x:v>1809</x:v>
      </x:c>
      <x:c r="P356" t="s">
        <x:v>622</x:v>
      </x:c>
      <x:c r="Q356">
        <x:v>1</x:v>
      </x:c>
      <x:c r="R356" t="s">
        <x:v>42</x:v>
      </x:c>
      <x:c r="S356" t="s">
        <x:v>44</x:v>
      </x:c>
      <x:c r="T356" t="s">
        <x:v>44</x:v>
      </x:c>
      <x:c r="U356" t="s">
        <x:v>45</x:v>
      </x:c>
      <x:c r="V356" t="s">
        <x:v>60</x:v>
      </x:c>
      <x:c r="W356">
        <x:v>21.19</x:v>
      </x:c>
      <x:c r="X356" t="s">
        <x:v>621</x:v>
      </x:c>
      <x:c r="Y356" t="s">
        <x:v>48</x:v>
      </x:c>
      <x:c r="Z356" t="s">
        <x:v>49</x:v>
      </x:c>
    </x:row>
    <x:row r="357">
      <x:c r="A357" s="1">
        <x:v>46252</x:v>
      </x:c>
      <x:c r="B357" t="s">
        <x:v>1802</x:v>
      </x:c>
      <x:c r="C357" t="s">
        <x:v>29</x:v>
      </x:c>
      <x:c r="D357" t="s">
        <x:v>1803</x:v>
      </x:c>
      <x:c r="E357" t="s">
        <x:v>31</x:v>
      </x:c>
      <x:c r="F357" t="s">
        <x:v>1804</x:v>
      </x:c>
      <x:c r="G357" t="s">
        <x:v>1805</x:v>
      </x:c>
      <x:c r="H357" t="s">
        <x:v>1806</x:v>
      </x:c>
      <x:c r="I357" t="s">
        <x:v>776</x:v>
      </x:c>
      <x:c r="J357" t="s">
        <x:v>777</x:v>
      </x:c>
      <x:c r="K357" t="s">
        <x:v>37</x:v>
      </x:c>
      <x:c r="L357" t="s">
        <x:v>1807</x:v>
      </x:c>
      <x:c r="M357" t="s">
        <x:v>1808</x:v>
      </x:c>
      <x:c r="N357" t="s">
        <x:v>1805</x:v>
      </x:c>
      <x:c r="O357" t="s">
        <x:v>1809</x:v>
      </x:c>
      <x:c r="P357" t="s">
        <x:v>623</x:v>
      </x:c>
      <x:c r="Q357">
        <x:v>1</x:v>
      </x:c>
      <x:c r="R357" t="s">
        <x:v>42</x:v>
      </x:c>
      <x:c r="S357" t="s">
        <x:v>44</x:v>
      </x:c>
      <x:c r="T357" t="s">
        <x:v>44</x:v>
      </x:c>
      <x:c r="U357" t="s">
        <x:v>45</x:v>
      </x:c>
      <x:c r="V357" t="s">
        <x:v>60</x:v>
      </x:c>
      <x:c r="W357">
        <x:v>12.71</x:v>
      </x:c>
      <x:c r="X357" t="s">
        <x:v>621</x:v>
      </x:c>
      <x:c r="Y357" t="s">
        <x:v>48</x:v>
      </x:c>
      <x:c r="Z357" t="s">
        <x:v>49</x:v>
      </x:c>
    </x:row>
    <x:row r="358">
      <x:c r="A358" s="1">
        <x:v>46252</x:v>
      </x:c>
      <x:c r="B358" t="s">
        <x:v>1802</x:v>
      </x:c>
      <x:c r="C358" t="s">
        <x:v>29</x:v>
      </x:c>
      <x:c r="D358" t="s">
        <x:v>1803</x:v>
      </x:c>
      <x:c r="E358" t="s">
        <x:v>31</x:v>
      </x:c>
      <x:c r="F358" t="s">
        <x:v>1804</x:v>
      </x:c>
      <x:c r="G358" t="s">
        <x:v>1805</x:v>
      </x:c>
      <x:c r="H358" t="s">
        <x:v>1806</x:v>
      </x:c>
      <x:c r="I358" t="s">
        <x:v>776</x:v>
      </x:c>
      <x:c r="J358" t="s">
        <x:v>777</x:v>
      </x:c>
      <x:c r="K358" t="s">
        <x:v>37</x:v>
      </x:c>
      <x:c r="L358" t="s">
        <x:v>1807</x:v>
      </x:c>
      <x:c r="M358" t="s">
        <x:v>1808</x:v>
      </x:c>
      <x:c r="N358" t="s">
        <x:v>1805</x:v>
      </x:c>
      <x:c r="O358" t="s">
        <x:v>1809</x:v>
      </x:c>
      <x:c r="P358" t="s">
        <x:v>624</x:v>
      </x:c>
      <x:c r="Q358">
        <x:v>1</x:v>
      </x:c>
      <x:c r="R358" t="s">
        <x:v>42</x:v>
      </x:c>
      <x:c r="S358" t="s">
        <x:v>44</x:v>
      </x:c>
      <x:c r="T358" t="s">
        <x:v>44</x:v>
      </x:c>
      <x:c r="U358" t="s">
        <x:v>45</x:v>
      </x:c>
      <x:c r="V358" t="s">
        <x:v>60</x:v>
      </x:c>
      <x:c r="W358">
        <x:v>12.71</x:v>
      </x:c>
      <x:c r="X358" t="s">
        <x:v>621</x:v>
      </x:c>
      <x:c r="Y358" t="s">
        <x:v>48</x:v>
      </x:c>
      <x:c r="Z358" t="s">
        <x:v>49</x:v>
      </x:c>
    </x:row>
    <x:row r="359">
      <x:c r="A359" s="1">
        <x:v>46252</x:v>
      </x:c>
      <x:c r="B359" t="s">
        <x:v>1802</x:v>
      </x:c>
      <x:c r="C359" t="s">
        <x:v>29</x:v>
      </x:c>
      <x:c r="D359" t="s">
        <x:v>1803</x:v>
      </x:c>
      <x:c r="E359" t="s">
        <x:v>31</x:v>
      </x:c>
      <x:c r="F359" t="s">
        <x:v>1804</x:v>
      </x:c>
      <x:c r="G359" t="s">
        <x:v>1805</x:v>
      </x:c>
      <x:c r="H359" t="s">
        <x:v>1806</x:v>
      </x:c>
      <x:c r="I359" t="s">
        <x:v>776</x:v>
      </x:c>
      <x:c r="J359" t="s">
        <x:v>777</x:v>
      </x:c>
      <x:c r="K359" t="s">
        <x:v>37</x:v>
      </x:c>
      <x:c r="L359" t="s">
        <x:v>1807</x:v>
      </x:c>
      <x:c r="M359" t="s">
        <x:v>1808</x:v>
      </x:c>
      <x:c r="N359" t="s">
        <x:v>1805</x:v>
      </x:c>
      <x:c r="O359" t="s">
        <x:v>1809</x:v>
      </x:c>
      <x:c r="P359" t="s">
        <x:v>835</x:v>
      </x:c>
      <x:c r="Q359">
        <x:v>1</x:v>
      </x:c>
      <x:c r="R359" t="s">
        <x:v>42</x:v>
      </x:c>
      <x:c r="S359" t="s">
        <x:v>44</x:v>
      </x:c>
      <x:c r="T359" t="s">
        <x:v>44</x:v>
      </x:c>
      <x:c r="U359" t="s">
        <x:v>45</x:v>
      </x:c>
      <x:c r="V359" t="s">
        <x:v>60</x:v>
      </x:c>
      <x:c r="W359">
        <x:v>50.85</x:v>
      </x:c>
      <x:c r="X359" t="s">
        <x:v>621</x:v>
      </x:c>
      <x:c r="Y359" t="s">
        <x:v>48</x:v>
      </x:c>
      <x:c r="Z359" t="s">
        <x:v>49</x:v>
      </x:c>
    </x:row>
    <x:row r="360">
      <x:c r="A360" s="1">
        <x:v>46252</x:v>
      </x:c>
      <x:c r="B360" t="s">
        <x:v>1810</x:v>
      </x:c>
      <x:c r="C360" t="s">
        <x:v>29</x:v>
      </x:c>
      <x:c r="D360" t="s">
        <x:v>1811</x:v>
      </x:c>
      <x:c r="E360" t="s">
        <x:v>31</x:v>
      </x:c>
      <x:c r="F360" t="s">
        <x:v>1812</x:v>
      </x:c>
      <x:c r="G360" t="s">
        <x:v>1805</x:v>
      </x:c>
      <x:c r="H360" t="s">
        <x:v>1806</x:v>
      </x:c>
      <x:c r="I360" t="s">
        <x:v>1234</x:v>
      </x:c>
      <x:c r="K360" t="s">
        <x:v>37</x:v>
      </x:c>
      <x:c r="L360" t="s">
        <x:v>1807</x:v>
      </x:c>
      <x:c r="M360" t="s">
        <x:v>1808</x:v>
      </x:c>
      <x:c r="N360" t="s">
        <x:v>1805</x:v>
      </x:c>
      <x:c r="O360" t="s">
        <x:v>1813</x:v>
      </x:c>
      <x:c r="P360" t="s">
        <x:v>202</x:v>
      </x:c>
      <x:c r="Q360">
        <x:v>1</x:v>
      </x:c>
      <x:c r="R360" t="s">
        <x:v>42</x:v>
      </x:c>
      <x:c r="S360" t="s">
        <x:v>44</x:v>
      </x:c>
      <x:c r="T360" t="s">
        <x:v>44</x:v>
      </x:c>
      <x:c r="U360" t="s">
        <x:v>45</x:v>
      </x:c>
      <x:c r="V360" t="s">
        <x:v>60</x:v>
      </x:c>
      <x:c r="W360">
        <x:v>42.37</x:v>
      </x:c>
      <x:c r="X360" t="s">
        <x:v>47</x:v>
      </x:c>
      <x:c r="Y360" t="s">
        <x:v>48</x:v>
      </x:c>
      <x:c r="Z360" t="s">
        <x:v>49</x:v>
      </x:c>
      <x:c r="AB360" t="s">
        <x:v>1238</x:v>
      </x:c>
    </x:row>
    <x:row r="361">
      <x:c r="A361" s="1">
        <x:v>46252</x:v>
      </x:c>
      <x:c r="B361" t="s">
        <x:v>1810</x:v>
      </x:c>
      <x:c r="C361" t="s">
        <x:v>29</x:v>
      </x:c>
      <x:c r="D361" t="s">
        <x:v>1811</x:v>
      </x:c>
      <x:c r="E361" t="s">
        <x:v>31</x:v>
      </x:c>
      <x:c r="F361" t="s">
        <x:v>1812</x:v>
      </x:c>
      <x:c r="G361" t="s">
        <x:v>1805</x:v>
      </x:c>
      <x:c r="H361" t="s">
        <x:v>1806</x:v>
      </x:c>
      <x:c r="I361" t="s">
        <x:v>1234</x:v>
      </x:c>
      <x:c r="K361" t="s">
        <x:v>37</x:v>
      </x:c>
      <x:c r="L361" t="s">
        <x:v>1807</x:v>
      </x:c>
      <x:c r="M361" t="s">
        <x:v>1808</x:v>
      </x:c>
      <x:c r="N361" t="s">
        <x:v>1805</x:v>
      </x:c>
      <x:c r="O361" t="s">
        <x:v>1813</x:v>
      </x:c>
      <x:c r="P361" t="s">
        <x:v>203</x:v>
      </x:c>
      <x:c r="Q361">
        <x:v>1</x:v>
      </x:c>
      <x:c r="R361" t="s">
        <x:v>42</x:v>
      </x:c>
      <x:c r="S361" t="s">
        <x:v>44</x:v>
      </x:c>
      <x:c r="T361" t="s">
        <x:v>44</x:v>
      </x:c>
      <x:c r="U361" t="s">
        <x:v>45</x:v>
      </x:c>
      <x:c r="V361" t="s">
        <x:v>60</x:v>
      </x:c>
      <x:c r="W361">
        <x:v>42.37</x:v>
      </x:c>
      <x:c r="X361" t="s">
        <x:v>47</x:v>
      </x:c>
      <x:c r="Y361" t="s">
        <x:v>48</x:v>
      </x:c>
      <x:c r="Z361" t="s">
        <x:v>49</x:v>
      </x:c>
      <x:c r="AB361" t="s">
        <x:v>1238</x:v>
      </x:c>
    </x:row>
    <x:row r="362">
      <x:c r="A362" s="1">
        <x:v>46252</x:v>
      </x:c>
      <x:c r="B362" t="s">
        <x:v>1814</x:v>
      </x:c>
      <x:c r="C362" t="s">
        <x:v>29</x:v>
      </x:c>
      <x:c r="D362" t="s">
        <x:v>1815</x:v>
      </x:c>
      <x:c r="E362" t="s">
        <x:v>31</x:v>
      </x:c>
      <x:c r="F362" t="s">
        <x:v>1816</x:v>
      </x:c>
      <x:c r="G362" t="s">
        <x:v>1817</x:v>
      </x:c>
      <x:c r="H362" t="s">
        <x:v>1818</x:v>
      </x:c>
      <x:c r="I362" t="s">
        <x:v>137</x:v>
      </x:c>
      <x:c r="J362" t="s">
        <x:v>138</x:v>
      </x:c>
      <x:c r="K362" t="s">
        <x:v>37</x:v>
      </x:c>
      <x:c r="L362" t="s">
        <x:v>1819</x:v>
      </x:c>
      <x:c r="M362" t="s">
        <x:v>1820</x:v>
      </x:c>
      <x:c r="N362" t="s">
        <x:v>1817</x:v>
      </x:c>
      <x:c r="O362" t="s">
        <x:v>1821</x:v>
      </x:c>
      <x:c r="P362" t="s">
        <x:v>102</x:v>
      </x:c>
      <x:c r="Q362">
        <x:v>1</x:v>
      </x:c>
      <x:c r="R362" t="s">
        <x:v>42</x:v>
      </x:c>
      <x:c r="S362" t="s">
        <x:v>44</x:v>
      </x:c>
      <x:c r="T362" t="s">
        <x:v>44</x:v>
      </x:c>
      <x:c r="U362" t="s">
        <x:v>45</x:v>
      </x:c>
      <x:c r="V362" t="s">
        <x:v>60</x:v>
      </x:c>
      <x:c r="W362">
        <x:v>186.44</x:v>
      </x:c>
      <x:c r="X362" t="s">
        <x:v>47</x:v>
      </x:c>
      <x:c r="Y362" t="s">
        <x:v>48</x:v>
      </x:c>
      <x:c r="Z362" t="s">
        <x:v>49</x:v>
      </x:c>
      <x:c r="AA362">
        <x:v>987407712</x:v>
      </x:c>
      <x:c r="AB362" t="s">
        <x:v>142</x:v>
      </x:c>
    </x:row>
    <x:row r="363">
      <x:c r="A363" s="1">
        <x:v>46252</x:v>
      </x:c>
      <x:c r="B363" t="s">
        <x:v>1822</x:v>
      </x:c>
      <x:c r="C363" t="s">
        <x:v>29</x:v>
      </x:c>
      <x:c r="D363" t="s">
        <x:v>1823</x:v>
      </x:c>
      <x:c r="E363" t="s">
        <x:v>31</x:v>
      </x:c>
      <x:c r="F363" t="s">
        <x:v>1824</x:v>
      </x:c>
      <x:c r="G363" t="s">
        <x:v>1825</x:v>
      </x:c>
      <x:c r="H363" t="s">
        <x:v>1826</x:v>
      </x:c>
      <x:c r="I363" t="s">
        <x:v>1326</x:v>
      </x:c>
      <x:c r="J363" t="s">
        <x:v>36</x:v>
      </x:c>
      <x:c r="K363" t="s">
        <x:v>37</x:v>
      </x:c>
      <x:c r="L363" t="s">
        <x:v>1827</x:v>
      </x:c>
      <x:c r="M363" t="s">
        <x:v>1828</x:v>
      </x:c>
      <x:c r="N363" t="s">
        <x:v>1825</x:v>
      </x:c>
      <x:c r="O363" t="s">
        <x:v>1829</x:v>
      </x:c>
      <x:c r="P363" t="s">
        <x:v>203</x:v>
      </x:c>
      <x:c r="Q363">
        <x:v>1</x:v>
      </x:c>
      <x:c r="R363" t="s">
        <x:v>42</x:v>
      </x:c>
      <x:c r="S363" t="s">
        <x:v>44</x:v>
      </x:c>
      <x:c r="T363" t="s">
        <x:v>44</x:v>
      </x:c>
      <x:c r="U363" t="s">
        <x:v>45</x:v>
      </x:c>
      <x:c r="V363" t="s">
        <x:v>60</x:v>
      </x:c>
      <x:c r="W363">
        <x:v>42.37</x:v>
      </x:c>
      <x:c r="X363" t="s">
        <x:v>47</x:v>
      </x:c>
      <x:c r="Y363" t="s">
        <x:v>48</x:v>
      </x:c>
      <x:c r="Z363" t="s">
        <x:v>49</x:v>
      </x:c>
      <x:c r="AA363">
        <x:v>999111362</x:v>
      </x:c>
      <x:c r="AB363" t="s">
        <x:v>1330</x:v>
      </x:c>
    </x:row>
    <x:row r="364">
      <x:c r="A364" s="1">
        <x:v>46252</x:v>
      </x:c>
      <x:c r="B364" t="s">
        <x:v>1822</x:v>
      </x:c>
      <x:c r="C364" t="s">
        <x:v>29</x:v>
      </x:c>
      <x:c r="D364" t="s">
        <x:v>1823</x:v>
      </x:c>
      <x:c r="E364" t="s">
        <x:v>31</x:v>
      </x:c>
      <x:c r="F364" t="s">
        <x:v>1824</x:v>
      </x:c>
      <x:c r="G364" t="s">
        <x:v>1825</x:v>
      </x:c>
      <x:c r="H364" t="s">
        <x:v>1826</x:v>
      </x:c>
      <x:c r="I364" t="s">
        <x:v>1326</x:v>
      </x:c>
      <x:c r="J364" t="s">
        <x:v>36</x:v>
      </x:c>
      <x:c r="K364" t="s">
        <x:v>37</x:v>
      </x:c>
      <x:c r="L364" t="s">
        <x:v>1827</x:v>
      </x:c>
      <x:c r="M364" t="s">
        <x:v>1828</x:v>
      </x:c>
      <x:c r="N364" t="s">
        <x:v>1825</x:v>
      </x:c>
      <x:c r="O364" t="s">
        <x:v>1829</x:v>
      </x:c>
      <x:c r="P364" t="s">
        <x:v>202</x:v>
      </x:c>
      <x:c r="Q364">
        <x:v>1</x:v>
      </x:c>
      <x:c r="R364" t="s">
        <x:v>42</x:v>
      </x:c>
      <x:c r="S364" t="s">
        <x:v>44</x:v>
      </x:c>
      <x:c r="T364" t="s">
        <x:v>44</x:v>
      </x:c>
      <x:c r="U364" t="s">
        <x:v>45</x:v>
      </x:c>
      <x:c r="V364" t="s">
        <x:v>60</x:v>
      </x:c>
      <x:c r="W364">
        <x:v>42.37</x:v>
      </x:c>
      <x:c r="X364" t="s">
        <x:v>47</x:v>
      </x:c>
      <x:c r="Y364" t="s">
        <x:v>48</x:v>
      </x:c>
      <x:c r="Z364" t="s">
        <x:v>49</x:v>
      </x:c>
      <x:c r="AA364">
        <x:v>999111362</x:v>
      </x:c>
      <x:c r="AB364" t="s">
        <x:v>1330</x:v>
      </x:c>
    </x:row>
    <x:row r="365">
      <x:c r="A365" s="1">
        <x:v>46252</x:v>
      </x:c>
      <x:c r="B365" t="s">
        <x:v>1830</x:v>
      </x:c>
      <x:c r="C365" t="s">
        <x:v>29</x:v>
      </x:c>
      <x:c r="D365" t="s">
        <x:v>1831</x:v>
      </x:c>
      <x:c r="E365" t="s">
        <x:v>31</x:v>
      </x:c>
      <x:c r="F365" t="s">
        <x:v>1832</x:v>
      </x:c>
      <x:c r="G365" t="s">
        <x:v>1833</x:v>
      </x:c>
      <x:c r="H365" t="s">
        <x:v>1834</x:v>
      </x:c>
      <x:c r="I365" t="s">
        <x:v>776</x:v>
      </x:c>
      <x:c r="J365" t="s">
        <x:v>777</x:v>
      </x:c>
      <x:c r="K365" t="s">
        <x:v>37</x:v>
      </x:c>
      <x:c r="L365" t="s">
        <x:v>1835</x:v>
      </x:c>
      <x:c r="M365" t="s">
        <x:v>1836</x:v>
      </x:c>
      <x:c r="N365" t="s">
        <x:v>1833</x:v>
      </x:c>
      <x:c r="O365" t="s">
        <x:v>1837</x:v>
      </x:c>
      <x:c r="P365" t="s">
        <x:v>202</x:v>
      </x:c>
      <x:c r="Q365">
        <x:v>1</x:v>
      </x:c>
      <x:c r="R365" t="s">
        <x:v>42</x:v>
      </x:c>
      <x:c r="S365" t="s">
        <x:v>44</x:v>
      </x:c>
      <x:c r="T365" t="s">
        <x:v>44</x:v>
      </x:c>
      <x:c r="U365" t="s">
        <x:v>45</x:v>
      </x:c>
      <x:c r="V365" t="s">
        <x:v>60</x:v>
      </x:c>
      <x:c r="W365">
        <x:v>42.37</x:v>
      </x:c>
      <x:c r="X365" t="s">
        <x:v>47</x:v>
      </x:c>
      <x:c r="Y365" t="s">
        <x:v>48</x:v>
      </x:c>
      <x:c r="Z365" t="s">
        <x:v>49</x:v>
      </x:c>
    </x:row>
    <x:row r="366">
      <x:c r="A366" s="1">
        <x:v>46252</x:v>
      </x:c>
      <x:c r="B366" t="s">
        <x:v>1830</x:v>
      </x:c>
      <x:c r="C366" t="s">
        <x:v>29</x:v>
      </x:c>
      <x:c r="D366" t="s">
        <x:v>1831</x:v>
      </x:c>
      <x:c r="E366" t="s">
        <x:v>31</x:v>
      </x:c>
      <x:c r="F366" t="s">
        <x:v>1832</x:v>
      </x:c>
      <x:c r="G366" t="s">
        <x:v>1833</x:v>
      </x:c>
      <x:c r="H366" t="s">
        <x:v>1834</x:v>
      </x:c>
      <x:c r="I366" t="s">
        <x:v>776</x:v>
      </x:c>
      <x:c r="J366" t="s">
        <x:v>777</x:v>
      </x:c>
      <x:c r="K366" t="s">
        <x:v>37</x:v>
      </x:c>
      <x:c r="L366" t="s">
        <x:v>1835</x:v>
      </x:c>
      <x:c r="M366" t="s">
        <x:v>1836</x:v>
      </x:c>
      <x:c r="N366" t="s">
        <x:v>1833</x:v>
      </x:c>
      <x:c r="O366" t="s">
        <x:v>1837</x:v>
      </x:c>
      <x:c r="P366" t="s">
        <x:v>203</x:v>
      </x:c>
      <x:c r="Q366">
        <x:v>1</x:v>
      </x:c>
      <x:c r="R366" t="s">
        <x:v>42</x:v>
      </x:c>
      <x:c r="S366" t="s">
        <x:v>44</x:v>
      </x:c>
      <x:c r="T366" t="s">
        <x:v>44</x:v>
      </x:c>
      <x:c r="U366" t="s">
        <x:v>45</x:v>
      </x:c>
      <x:c r="V366" t="s">
        <x:v>60</x:v>
      </x:c>
      <x:c r="W366">
        <x:v>42.37</x:v>
      </x:c>
      <x:c r="X366" t="s">
        <x:v>47</x:v>
      </x:c>
      <x:c r="Y366" t="s">
        <x:v>48</x:v>
      </x:c>
      <x:c r="Z366" t="s">
        <x:v>49</x:v>
      </x:c>
    </x:row>
    <x:row r="367">
      <x:c r="A367" s="1">
        <x:v>46252</x:v>
      </x:c>
      <x:c r="B367" t="s">
        <x:v>1838</x:v>
      </x:c>
      <x:c r="C367" t="s">
        <x:v>29</x:v>
      </x:c>
      <x:c r="D367" t="s">
        <x:v>1839</x:v>
      </x:c>
      <x:c r="E367" t="s">
        <x:v>31</x:v>
      </x:c>
      <x:c r="F367" t="s">
        <x:v>1840</x:v>
      </x:c>
      <x:c r="G367" t="s">
        <x:v>1841</x:v>
      </x:c>
      <x:c r="H367" t="s">
        <x:v>1842</x:v>
      </x:c>
      <x:c r="I367" t="s">
        <x:v>1843</x:v>
      </x:c>
      <x:c r="J367" t="s">
        <x:v>263</x:v>
      </x:c>
      <x:c r="K367" t="s">
        <x:v>37</x:v>
      </x:c>
      <x:c r="L367" t="s">
        <x:v>1844</x:v>
      </x:c>
      <x:c r="M367" t="s">
        <x:v>1828</x:v>
      </x:c>
      <x:c r="N367" t="s">
        <x:v>1841</x:v>
      </x:c>
      <x:c r="O367" t="s">
        <x:v>1845</x:v>
      </x:c>
      <x:c r="P367" t="s">
        <x:v>41</x:v>
      </x:c>
      <x:c r="Q367">
        <x:v>1</x:v>
      </x:c>
      <x:c r="R367" t="s">
        <x:v>42</x:v>
      </x:c>
      <x:c r="S367" t="s">
        <x:v>44</x:v>
      </x:c>
      <x:c r="T367" t="s">
        <x:v>44</x:v>
      </x:c>
      <x:c r="U367" t="s">
        <x:v>45</x:v>
      </x:c>
      <x:c r="V367" t="s">
        <x:v>60</x:v>
      </x:c>
      <x:c r="W367">
        <x:v>186.44</x:v>
      </x:c>
      <x:c r="X367" t="s">
        <x:v>47</x:v>
      </x:c>
      <x:c r="Y367" t="s">
        <x:v>48</x:v>
      </x:c>
      <x:c r="Z367" t="s">
        <x:v>49</x:v>
      </x:c>
      <x:c r="AA367">
        <x:v>999700200</x:v>
      </x:c>
      <x:c r="AB367" t="s">
        <x:v>1846</x:v>
      </x:c>
    </x:row>
    <x:row r="368">
      <x:c r="A368" s="1">
        <x:v>46252</x:v>
      </x:c>
      <x:c r="B368" t="s">
        <x:v>1847</x:v>
      </x:c>
      <x:c r="C368" t="s">
        <x:v>269</x:v>
      </x:c>
      <x:c r="D368" t="s">
        <x:v>1848</x:v>
      </x:c>
      <x:c r="E368" t="s">
        <x:v>31</x:v>
      </x:c>
      <x:c r="F368" t="s">
        <x:v>1849</x:v>
      </x:c>
      <x:c r="G368" t="s">
        <x:v>1850</x:v>
      </x:c>
      <x:c r="H368" t="s">
        <x:v>1851</x:v>
      </x:c>
      <x:c r="K368" t="s">
        <x:v>37</x:v>
      </x:c>
      <x:c r="L368" t="s">
        <x:v>1852</x:v>
      </x:c>
      <x:c r="M368" t="s">
        <x:v>1853</x:v>
      </x:c>
      <x:c r="N368" t="s">
        <x:v>1854</x:v>
      </x:c>
      <x:c r="O368" t="s">
        <x:v>1855</x:v>
      </x:c>
      <x:c r="P368" t="s">
        <x:v>289</x:v>
      </x:c>
      <x:c r="Q368">
        <x:v>1</x:v>
      </x:c>
      <x:c r="R368" t="s">
        <x:v>42</x:v>
      </x:c>
      <x:c r="S368" t="s">
        <x:v>44</x:v>
      </x:c>
      <x:c r="T368" t="s">
        <x:v>44</x:v>
      </x:c>
      <x:c r="U368" t="s">
        <x:v>45</x:v>
      </x:c>
      <x:c r="V368" t="s">
        <x:v>46</x:v>
      </x:c>
      <x:c r="W368">
        <x:v>0</x:v>
      </x:c>
      <x:c r="X368" t="s">
        <x:v>290</x:v>
      </x:c>
      <x:c r="Y368" t="s">
        <x:v>48</x:v>
      </x:c>
      <x:c r="Z368" t="s">
        <x:v>49</x:v>
      </x:c>
    </x:row>
    <x:row r="369">
      <x:c r="A369" s="1">
        <x:v>46252</x:v>
      </x:c>
      <x:c r="B369" t="s">
        <x:v>1847</x:v>
      </x:c>
      <x:c r="C369" t="s">
        <x:v>269</x:v>
      </x:c>
      <x:c r="D369" t="s">
        <x:v>1848</x:v>
      </x:c>
      <x:c r="E369" t="s">
        <x:v>31</x:v>
      </x:c>
      <x:c r="F369" t="s">
        <x:v>1849</x:v>
      </x:c>
      <x:c r="G369" t="s">
        <x:v>1850</x:v>
      </x:c>
      <x:c r="H369" t="s">
        <x:v>1851</x:v>
      </x:c>
      <x:c r="K369" t="s">
        <x:v>37</x:v>
      </x:c>
      <x:c r="L369" t="s">
        <x:v>1852</x:v>
      </x:c>
      <x:c r="M369" t="s">
        <x:v>1853</x:v>
      </x:c>
      <x:c r="N369" t="s">
        <x:v>1854</x:v>
      </x:c>
      <x:c r="O369" t="s">
        <x:v>1855</x:v>
      </x:c>
      <x:c r="P369" t="s">
        <x:v>975</x:v>
      </x:c>
      <x:c r="Q369">
        <x:v>1</x:v>
      </x:c>
      <x:c r="R369" t="s">
        <x:v>42</x:v>
      </x:c>
      <x:c r="S369" t="s">
        <x:v>44</x:v>
      </x:c>
      <x:c r="T369" t="s">
        <x:v>44</x:v>
      </x:c>
      <x:c r="U369" t="s">
        <x:v>45</x:v>
      </x:c>
      <x:c r="V369" t="s">
        <x:v>46</x:v>
      </x:c>
      <x:c r="W369">
        <x:v>1016.95</x:v>
      </x:c>
      <x:c r="X369" t="s">
        <x:v>290</x:v>
      </x:c>
      <x:c r="Y369" t="s">
        <x:v>48</x:v>
      </x:c>
      <x:c r="Z369" t="s">
        <x:v>49</x:v>
      </x:c>
    </x:row>
    <x:row r="370">
      <x:c r="A370" s="1">
        <x:v>46252</x:v>
      </x:c>
      <x:c r="B370" t="s">
        <x:v>1856</x:v>
      </x:c>
      <x:c r="C370" t="s">
        <x:v>269</x:v>
      </x:c>
      <x:c r="D370" t="s">
        <x:v>1857</x:v>
      </x:c>
      <x:c r="E370" t="s">
        <x:v>31</x:v>
      </x:c>
      <x:c r="F370" t="s">
        <x:v>1858</x:v>
      </x:c>
      <x:c r="G370" t="s">
        <x:v>1798</x:v>
      </x:c>
      <x:c r="H370" t="s">
        <x:v>1799</x:v>
      </x:c>
      <x:c r="I370" t="s">
        <x:v>776</x:v>
      </x:c>
      <x:c r="J370" t="s">
        <x:v>777</x:v>
      </x:c>
      <x:c r="K370" t="s">
        <x:v>37</x:v>
      </x:c>
      <x:c r="L370" t="s">
        <x:v>1800</x:v>
      </x:c>
      <x:c r="M370" t="s">
        <x:v>610</x:v>
      </x:c>
      <x:c r="N370" t="s">
        <x:v>800</x:v>
      </x:c>
      <x:c r="O370" t="s">
        <x:v>1859</x:v>
      </x:c>
      <x:c r="P370" t="s">
        <x:v>289</x:v>
      </x:c>
      <x:c r="Q370">
        <x:v>1</x:v>
      </x:c>
      <x:c r="R370" t="s">
        <x:v>42</x:v>
      </x:c>
      <x:c r="S370" t="s">
        <x:v>44</x:v>
      </x:c>
      <x:c r="T370" t="s">
        <x:v>44</x:v>
      </x:c>
      <x:c r="U370" t="s">
        <x:v>45</x:v>
      </x:c>
      <x:c r="V370" t="s">
        <x:v>60</x:v>
      </x:c>
      <x:c r="W370">
        <x:v>0</x:v>
      </x:c>
      <x:c r="X370" t="s">
        <x:v>290</x:v>
      </x:c>
      <x:c r="Y370" t="s">
        <x:v>48</x:v>
      </x:c>
      <x:c r="Z370" t="s">
        <x:v>49</x:v>
      </x:c>
    </x:row>
    <x:row r="371">
      <x:c r="A371" s="1">
        <x:v>46252</x:v>
      </x:c>
      <x:c r="B371" t="s">
        <x:v>1856</x:v>
      </x:c>
      <x:c r="C371" t="s">
        <x:v>269</x:v>
      </x:c>
      <x:c r="D371" t="s">
        <x:v>1857</x:v>
      </x:c>
      <x:c r="E371" t="s">
        <x:v>31</x:v>
      </x:c>
      <x:c r="F371" t="s">
        <x:v>1858</x:v>
      </x:c>
      <x:c r="G371" t="s">
        <x:v>1798</x:v>
      </x:c>
      <x:c r="H371" t="s">
        <x:v>1799</x:v>
      </x:c>
      <x:c r="I371" t="s">
        <x:v>776</x:v>
      </x:c>
      <x:c r="J371" t="s">
        <x:v>777</x:v>
      </x:c>
      <x:c r="K371" t="s">
        <x:v>37</x:v>
      </x:c>
      <x:c r="L371" t="s">
        <x:v>1800</x:v>
      </x:c>
      <x:c r="M371" t="s">
        <x:v>610</x:v>
      </x:c>
      <x:c r="N371" t="s">
        <x:v>800</x:v>
      </x:c>
      <x:c r="O371" t="s">
        <x:v>1859</x:v>
      </x:c>
      <x:c r="P371" t="s">
        <x:v>291</x:v>
      </x:c>
      <x:c r="Q371">
        <x:v>1</x:v>
      </x:c>
      <x:c r="R371" t="s">
        <x:v>42</x:v>
      </x:c>
      <x:c r="S371" t="s">
        <x:v>44</x:v>
      </x:c>
      <x:c r="T371" t="s">
        <x:v>44</x:v>
      </x:c>
      <x:c r="U371" t="s">
        <x:v>45</x:v>
      </x:c>
      <x:c r="V371" t="s">
        <x:v>60</x:v>
      </x:c>
      <x:c r="W371">
        <x:v>1525.42</x:v>
      </x:c>
      <x:c r="X371" t="s">
        <x:v>290</x:v>
      </x:c>
      <x:c r="Y371" t="s">
        <x:v>48</x:v>
      </x:c>
      <x:c r="Z371" t="s">
        <x:v>49</x:v>
      </x:c>
    </x:row>
    <x:row r="372">
      <x:c r="A372" s="1">
        <x:v>46252</x:v>
      </x:c>
      <x:c r="B372" t="s">
        <x:v>1860</x:v>
      </x:c>
      <x:c r="C372" t="s">
        <x:v>269</x:v>
      </x:c>
      <x:c r="D372" t="s">
        <x:v>1861</x:v>
      </x:c>
      <x:c r="E372" t="s">
        <x:v>31</x:v>
      </x:c>
      <x:c r="F372" t="s">
        <x:v>1862</x:v>
      </x:c>
      <x:c r="G372" t="s">
        <x:v>1805</x:v>
      </x:c>
      <x:c r="H372" t="s">
        <x:v>1806</x:v>
      </x:c>
      <x:c r="I372" t="s">
        <x:v>776</x:v>
      </x:c>
      <x:c r="J372" t="s">
        <x:v>777</x:v>
      </x:c>
      <x:c r="K372" t="s">
        <x:v>37</x:v>
      </x:c>
      <x:c r="L372" t="s">
        <x:v>1807</x:v>
      </x:c>
      <x:c r="M372" t="s">
        <x:v>1808</x:v>
      </x:c>
      <x:c r="N372" t="s">
        <x:v>800</x:v>
      </x:c>
      <x:c r="O372" t="s">
        <x:v>1863</x:v>
      </x:c>
      <x:c r="P372" t="s">
        <x:v>289</x:v>
      </x:c>
      <x:c r="Q372">
        <x:v>1</x:v>
      </x:c>
      <x:c r="R372" t="s">
        <x:v>42</x:v>
      </x:c>
      <x:c r="S372" t="s">
        <x:v>44</x:v>
      </x:c>
      <x:c r="T372" t="s">
        <x:v>44</x:v>
      </x:c>
      <x:c r="U372" t="s">
        <x:v>45</x:v>
      </x:c>
      <x:c r="V372" t="s">
        <x:v>60</x:v>
      </x:c>
      <x:c r="W372">
        <x:v>0</x:v>
      </x:c>
      <x:c r="X372" t="s">
        <x:v>290</x:v>
      </x:c>
      <x:c r="Y372" t="s">
        <x:v>48</x:v>
      </x:c>
      <x:c r="Z372" t="s">
        <x:v>49</x:v>
      </x:c>
    </x:row>
    <x:row r="373">
      <x:c r="A373" s="1">
        <x:v>46252</x:v>
      </x:c>
      <x:c r="B373" t="s">
        <x:v>1860</x:v>
      </x:c>
      <x:c r="C373" t="s">
        <x:v>269</x:v>
      </x:c>
      <x:c r="D373" t="s">
        <x:v>1861</x:v>
      </x:c>
      <x:c r="E373" t="s">
        <x:v>31</x:v>
      </x:c>
      <x:c r="F373" t="s">
        <x:v>1862</x:v>
      </x:c>
      <x:c r="G373" t="s">
        <x:v>1805</x:v>
      </x:c>
      <x:c r="H373" t="s">
        <x:v>1806</x:v>
      </x:c>
      <x:c r="I373" t="s">
        <x:v>776</x:v>
      </x:c>
      <x:c r="J373" t="s">
        <x:v>777</x:v>
      </x:c>
      <x:c r="K373" t="s">
        <x:v>37</x:v>
      </x:c>
      <x:c r="L373" t="s">
        <x:v>1807</x:v>
      </x:c>
      <x:c r="M373" t="s">
        <x:v>1808</x:v>
      </x:c>
      <x:c r="N373" t="s">
        <x:v>800</x:v>
      </x:c>
      <x:c r="O373" t="s">
        <x:v>1863</x:v>
      </x:c>
      <x:c r="P373" t="s">
        <x:v>291</x:v>
      </x:c>
      <x:c r="Q373">
        <x:v>1</x:v>
      </x:c>
      <x:c r="R373" t="s">
        <x:v>42</x:v>
      </x:c>
      <x:c r="S373" t="s">
        <x:v>44</x:v>
      </x:c>
      <x:c r="T373" t="s">
        <x:v>44</x:v>
      </x:c>
      <x:c r="U373" t="s">
        <x:v>45</x:v>
      </x:c>
      <x:c r="V373" t="s">
        <x:v>60</x:v>
      </x:c>
      <x:c r="W373">
        <x:v>762.71</x:v>
      </x:c>
      <x:c r="X373" t="s">
        <x:v>290</x:v>
      </x:c>
      <x:c r="Y373" t="s">
        <x:v>48</x:v>
      </x:c>
      <x:c r="Z373" t="s">
        <x:v>49</x:v>
      </x:c>
    </x:row>
    <x:row r="374">
      <x:c r="A374" s="1">
        <x:v>46252</x:v>
      </x:c>
      <x:c r="B374" t="s">
        <x:v>1864</x:v>
      </x:c>
      <x:c r="C374" t="s">
        <x:v>269</x:v>
      </x:c>
      <x:c r="D374" t="s">
        <x:v>1865</x:v>
      </x:c>
      <x:c r="E374" t="s">
        <x:v>31</x:v>
      </x:c>
      <x:c r="F374" t="s">
        <x:v>1866</x:v>
      </x:c>
      <x:c r="G374" t="s">
        <x:v>1833</x:v>
      </x:c>
      <x:c r="H374" t="s">
        <x:v>1834</x:v>
      </x:c>
      <x:c r="K374" t="s">
        <x:v>37</x:v>
      </x:c>
      <x:c r="L374" t="s">
        <x:v>1835</x:v>
      </x:c>
      <x:c r="M374" t="s">
        <x:v>1836</x:v>
      </x:c>
      <x:c r="N374" t="s">
        <x:v>800</x:v>
      </x:c>
      <x:c r="O374" t="s">
        <x:v>1867</x:v>
      </x:c>
      <x:c r="P374" t="s">
        <x:v>289</x:v>
      </x:c>
      <x:c r="Q374">
        <x:v>1</x:v>
      </x:c>
      <x:c r="R374" t="s">
        <x:v>42</x:v>
      </x:c>
      <x:c r="S374" t="s">
        <x:v>44</x:v>
      </x:c>
      <x:c r="T374" t="s">
        <x:v>44</x:v>
      </x:c>
      <x:c r="U374" t="s">
        <x:v>45</x:v>
      </x:c>
      <x:c r="V374" t="s">
        <x:v>60</x:v>
      </x:c>
      <x:c r="W374">
        <x:v>0</x:v>
      </x:c>
      <x:c r="X374" t="s">
        <x:v>290</x:v>
      </x:c>
      <x:c r="Y374" t="s">
        <x:v>48</x:v>
      </x:c>
      <x:c r="Z374" t="s">
        <x:v>49</x:v>
      </x:c>
    </x:row>
    <x:row r="375">
      <x:c r="A375" s="1">
        <x:v>46252</x:v>
      </x:c>
      <x:c r="B375" t="s">
        <x:v>1864</x:v>
      </x:c>
      <x:c r="C375" t="s">
        <x:v>269</x:v>
      </x:c>
      <x:c r="D375" t="s">
        <x:v>1865</x:v>
      </x:c>
      <x:c r="E375" t="s">
        <x:v>31</x:v>
      </x:c>
      <x:c r="F375" t="s">
        <x:v>1866</x:v>
      </x:c>
      <x:c r="G375" t="s">
        <x:v>1833</x:v>
      </x:c>
      <x:c r="H375" t="s">
        <x:v>1834</x:v>
      </x:c>
      <x:c r="K375" t="s">
        <x:v>37</x:v>
      </x:c>
      <x:c r="L375" t="s">
        <x:v>1835</x:v>
      </x:c>
      <x:c r="M375" t="s">
        <x:v>1836</x:v>
      </x:c>
      <x:c r="N375" t="s">
        <x:v>800</x:v>
      </x:c>
      <x:c r="O375" t="s">
        <x:v>1867</x:v>
      </x:c>
      <x:c r="P375" t="s">
        <x:v>291</x:v>
      </x:c>
      <x:c r="Q375">
        <x:v>1</x:v>
      </x:c>
      <x:c r="R375" t="s">
        <x:v>42</x:v>
      </x:c>
      <x:c r="S375" t="s">
        <x:v>44</x:v>
      </x:c>
      <x:c r="T375" t="s">
        <x:v>44</x:v>
      </x:c>
      <x:c r="U375" t="s">
        <x:v>45</x:v>
      </x:c>
      <x:c r="V375" t="s">
        <x:v>60</x:v>
      </x:c>
      <x:c r="W375">
        <x:v>1525.42</x:v>
      </x:c>
      <x:c r="X375" t="s">
        <x:v>290</x:v>
      </x:c>
      <x:c r="Y375" t="s">
        <x:v>48</x:v>
      </x:c>
      <x:c r="Z375" t="s">
        <x:v>49</x:v>
      </x:c>
    </x:row>
    <x:row r="376">
      <x:c r="A376" s="1">
        <x:v>46252</x:v>
      </x:c>
      <x:c r="B376" t="s">
        <x:v>1868</x:v>
      </x:c>
      <x:c r="C376" t="s">
        <x:v>269</x:v>
      </x:c>
      <x:c r="D376" t="s">
        <x:v>1869</x:v>
      </x:c>
      <x:c r="E376" t="s">
        <x:v>31</x:v>
      </x:c>
      <x:c r="F376" t="s">
        <x:v>1870</x:v>
      </x:c>
      <x:c r="G376" t="s">
        <x:v>1825</x:v>
      </x:c>
      <x:c r="H376" t="s">
        <x:v>1826</x:v>
      </x:c>
      <x:c r="I376" t="s">
        <x:v>776</x:v>
      </x:c>
      <x:c r="J376" t="s">
        <x:v>777</x:v>
      </x:c>
      <x:c r="K376" t="s">
        <x:v>37</x:v>
      </x:c>
      <x:c r="L376" t="s">
        <x:v>1827</x:v>
      </x:c>
      <x:c r="M376" t="s">
        <x:v>1828</x:v>
      </x:c>
      <x:c r="N376" t="s">
        <x:v>800</x:v>
      </x:c>
      <x:c r="O376" t="s">
        <x:v>1871</x:v>
      </x:c>
      <x:c r="P376" t="s">
        <x:v>289</x:v>
      </x:c>
      <x:c r="Q376">
        <x:v>1</x:v>
      </x:c>
      <x:c r="R376" t="s">
        <x:v>42</x:v>
      </x:c>
      <x:c r="S376" t="s">
        <x:v>44</x:v>
      </x:c>
      <x:c r="T376" t="s">
        <x:v>44</x:v>
      </x:c>
      <x:c r="U376" t="s">
        <x:v>45</x:v>
      </x:c>
      <x:c r="V376" t="s">
        <x:v>60</x:v>
      </x:c>
      <x:c r="W376">
        <x:v>0</x:v>
      </x:c>
      <x:c r="X376" t="s">
        <x:v>290</x:v>
      </x:c>
      <x:c r="Y376" t="s">
        <x:v>48</x:v>
      </x:c>
      <x:c r="Z376" t="s">
        <x:v>49</x:v>
      </x:c>
    </x:row>
    <x:row r="377">
      <x:c r="A377" s="1">
        <x:v>46252</x:v>
      </x:c>
      <x:c r="B377" t="s">
        <x:v>1868</x:v>
      </x:c>
      <x:c r="C377" t="s">
        <x:v>269</x:v>
      </x:c>
      <x:c r="D377" t="s">
        <x:v>1869</x:v>
      </x:c>
      <x:c r="E377" t="s">
        <x:v>31</x:v>
      </x:c>
      <x:c r="F377" t="s">
        <x:v>1870</x:v>
      </x:c>
      <x:c r="G377" t="s">
        <x:v>1825</x:v>
      </x:c>
      <x:c r="H377" t="s">
        <x:v>1826</x:v>
      </x:c>
      <x:c r="I377" t="s">
        <x:v>776</x:v>
      </x:c>
      <x:c r="J377" t="s">
        <x:v>777</x:v>
      </x:c>
      <x:c r="K377" t="s">
        <x:v>37</x:v>
      </x:c>
      <x:c r="L377" t="s">
        <x:v>1827</x:v>
      </x:c>
      <x:c r="M377" t="s">
        <x:v>1828</x:v>
      </x:c>
      <x:c r="N377" t="s">
        <x:v>800</x:v>
      </x:c>
      <x:c r="O377" t="s">
        <x:v>1871</x:v>
      </x:c>
      <x:c r="P377" t="s">
        <x:v>291</x:v>
      </x:c>
      <x:c r="Q377">
        <x:v>1</x:v>
      </x:c>
      <x:c r="R377" t="s">
        <x:v>42</x:v>
      </x:c>
      <x:c r="S377" t="s">
        <x:v>44</x:v>
      </x:c>
      <x:c r="T377" t="s">
        <x:v>44</x:v>
      </x:c>
      <x:c r="U377" t="s">
        <x:v>45</x:v>
      </x:c>
      <x:c r="V377" t="s">
        <x:v>60</x:v>
      </x:c>
      <x:c r="W377">
        <x:v>762.71</x:v>
      </x:c>
      <x:c r="X377" t="s">
        <x:v>290</x:v>
      </x:c>
      <x:c r="Y377" t="s">
        <x:v>48</x:v>
      </x:c>
      <x:c r="Z377" t="s">
        <x:v>49</x:v>
      </x:c>
    </x:row>
    <x:row r="378">
      <x:c r="A378" s="1">
        <x:v>46252</x:v>
      </x:c>
      <x:c r="B378" t="s">
        <x:v>1872</x:v>
      </x:c>
      <x:c r="C378" t="s">
        <x:v>29</x:v>
      </x:c>
      <x:c r="D378" t="s">
        <x:v>1873</x:v>
      </x:c>
      <x:c r="E378" t="s">
        <x:v>31</x:v>
      </x:c>
      <x:c r="F378" t="s">
        <x:v>1874</x:v>
      </x:c>
      <x:c r="G378" t="s">
        <x:v>1875</x:v>
      </x:c>
      <x:c r="H378" t="s">
        <x:v>1876</x:v>
      </x:c>
      <x:c r="I378" t="s">
        <x:v>1877</x:v>
      </x:c>
      <x:c r="J378" t="s">
        <x:v>1878</x:v>
      </x:c>
      <x:c r="K378" t="s">
        <x:v>37</x:v>
      </x:c>
      <x:c r="L378" t="s">
        <x:v>1879</x:v>
      </x:c>
      <x:c r="M378" t="s">
        <x:v>1880</x:v>
      </x:c>
      <x:c r="N378" t="s">
        <x:v>1875</x:v>
      </x:c>
      <x:c r="O378" t="s">
        <x:v>1881</x:v>
      </x:c>
      <x:c r="P378" t="s">
        <x:v>203</x:v>
      </x:c>
      <x:c r="Q378">
        <x:v>1</x:v>
      </x:c>
      <x:c r="R378" t="s">
        <x:v>42</x:v>
      </x:c>
      <x:c r="S378" t="s">
        <x:v>44</x:v>
      </x:c>
      <x:c r="T378" t="s">
        <x:v>44</x:v>
      </x:c>
      <x:c r="U378" t="s">
        <x:v>45</x:v>
      </x:c>
      <x:c r="V378" t="s">
        <x:v>60</x:v>
      </x:c>
      <x:c r="W378">
        <x:v>135.59</x:v>
      </x:c>
      <x:c r="X378" t="s">
        <x:v>47</x:v>
      </x:c>
      <x:c r="Y378" t="s">
        <x:v>48</x:v>
      </x:c>
      <x:c r="Z378" t="s">
        <x:v>49</x:v>
      </x:c>
      <x:c r="AA378">
        <x:v>901918745</x:v>
      </x:c>
    </x:row>
    <x:row r="379">
      <x:c r="A379" s="1">
        <x:v>46253</x:v>
      </x:c>
      <x:c r="B379" t="s">
        <x:v>1882</x:v>
      </x:c>
      <x:c r="C379" t="s">
        <x:v>269</x:v>
      </x:c>
      <x:c r="D379" t="s">
        <x:v>1883</x:v>
      </x:c>
      <x:c r="E379" t="s">
        <x:v>31</x:v>
      </x:c>
      <x:c r="F379" t="s">
        <x:v>1884</x:v>
      </x:c>
      <x:c r="G379" t="s">
        <x:v>1885</x:v>
      </x:c>
      <x:c r="H379" t="s">
        <x:v>1886</x:v>
      </x:c>
      <x:c r="I379" t="s">
        <x:v>1887</x:v>
      </x:c>
      <x:c r="K379" t="s">
        <x:v>37</x:v>
      </x:c>
      <x:c r="L379" t="s">
        <x:v>1888</x:v>
      </x:c>
      <x:c r="M379" t="s">
        <x:v>1889</x:v>
      </x:c>
      <x:c r="N379" t="s">
        <x:v>1890</x:v>
      </x:c>
      <x:c r="O379" t="s">
        <x:v>1891</x:v>
      </x:c>
      <x:c r="P379" t="s">
        <x:v>203</x:v>
      </x:c>
      <x:c r="Q379">
        <x:v>1</x:v>
      </x:c>
      <x:c r="R379" t="s">
        <x:v>42</x:v>
      </x:c>
      <x:c r="S379" t="s">
        <x:v>44</x:v>
      </x:c>
      <x:c r="T379" t="s">
        <x:v>44</x:v>
      </x:c>
      <x:c r="U379" t="s">
        <x:v>45</x:v>
      </x:c>
      <x:c r="V379" t="s">
        <x:v>46</x:v>
      </x:c>
      <x:c r="W379">
        <x:v>135.59</x:v>
      </x:c>
      <x:c r="X379" t="s">
        <x:v>47</x:v>
      </x:c>
      <x:c r="Y379" t="s">
        <x:v>48</x:v>
      </x:c>
      <x:c r="Z379" t="s">
        <x:v>49</x:v>
      </x:c>
    </x:row>
    <x:row r="380">
      <x:c r="A380" s="1">
        <x:v>46253</x:v>
      </x:c>
      <x:c r="B380" t="s">
        <x:v>1892</x:v>
      </x:c>
      <x:c r="C380" t="s">
        <x:v>29</x:v>
      </x:c>
      <x:c r="D380" t="s">
        <x:v>1893</x:v>
      </x:c>
      <x:c r="E380" t="s">
        <x:v>31</x:v>
      </x:c>
      <x:c r="F380" t="s">
        <x:v>1894</x:v>
      </x:c>
      <x:c r="G380" t="s">
        <x:v>1895</x:v>
      </x:c>
      <x:c r="H380" t="s">
        <x:v>1896</x:v>
      </x:c>
      <x:c r="I380" t="s">
        <x:v>664</x:v>
      </x:c>
      <x:c r="J380" t="s">
        <x:v>36</x:v>
      </x:c>
      <x:c r="K380" t="s">
        <x:v>37</x:v>
      </x:c>
      <x:c r="L380" t="s">
        <x:v>1897</x:v>
      </x:c>
      <x:c r="M380" t="s">
        <x:v>1898</x:v>
      </x:c>
      <x:c r="N380" t="s">
        <x:v>1895</x:v>
      </x:c>
      <x:c r="O380" t="s">
        <x:v>1899</x:v>
      </x:c>
      <x:c r="P380" t="s">
        <x:v>102</x:v>
      </x:c>
      <x:c r="Q380">
        <x:v>1</x:v>
      </x:c>
      <x:c r="R380" t="s">
        <x:v>42</x:v>
      </x:c>
      <x:c r="S380" t="s">
        <x:v>44</x:v>
      </x:c>
      <x:c r="T380" t="s">
        <x:v>44</x:v>
      </x:c>
      <x:c r="U380" t="s">
        <x:v>45</x:v>
      </x:c>
      <x:c r="V380" t="s">
        <x:v>46</x:v>
      </x:c>
      <x:c r="W380">
        <x:v>186.44</x:v>
      </x:c>
      <x:c r="X380" t="s">
        <x:v>47</x:v>
      </x:c>
      <x:c r="Y380" t="s">
        <x:v>48</x:v>
      </x:c>
      <x:c r="Z380" t="s">
        <x:v>49</x:v>
      </x:c>
      <x:c r="AA380">
        <x:v>997145685</x:v>
      </x:c>
      <x:c r="AB380" t="s">
        <x:v>668</x:v>
      </x:c>
    </x:row>
    <x:row r="381">
      <x:c r="A381" s="1">
        <x:v>46253</x:v>
      </x:c>
      <x:c r="B381" t="s">
        <x:v>1900</x:v>
      </x:c>
      <x:c r="C381" t="s">
        <x:v>269</x:v>
      </x:c>
      <x:c r="D381" t="s">
        <x:v>1901</x:v>
      </x:c>
      <x:c r="E381" t="s">
        <x:v>31</x:v>
      </x:c>
      <x:c r="F381" t="s">
        <x:v>1902</x:v>
      </x:c>
      <x:c r="G381" t="s">
        <x:v>1903</x:v>
      </x:c>
      <x:c r="H381" t="s">
        <x:v>1904</x:v>
      </x:c>
      <x:c r="I381" t="s">
        <x:v>1905</x:v>
      </x:c>
      <x:c r="J381" t="s">
        <x:v>1906</x:v>
      </x:c>
      <x:c r="K381" t="s">
        <x:v>37</x:v>
      </x:c>
      <x:c r="L381" t="s">
        <x:v>1907</x:v>
      </x:c>
      <x:c r="M381" t="s">
        <x:v>1908</x:v>
      </x:c>
      <x:c r="N381" t="s">
        <x:v>1909</x:v>
      </x:c>
      <x:c r="O381" t="s">
        <x:v>1910</x:v>
      </x:c>
      <x:c r="P381" t="s">
        <x:v>91</x:v>
      </x:c>
      <x:c r="Q381">
        <x:v>1</x:v>
      </x:c>
      <x:c r="R381" t="s">
        <x:v>42</x:v>
      </x:c>
      <x:c r="S381" t="s">
        <x:v>44</x:v>
      </x:c>
      <x:c r="T381" t="s">
        <x:v>44</x:v>
      </x:c>
      <x:c r="U381" t="s">
        <x:v>45</x:v>
      </x:c>
      <x:c r="V381" t="s">
        <x:v>46</x:v>
      </x:c>
      <x:c r="W381">
        <x:v>135.59</x:v>
      </x:c>
      <x:c r="X381" t="s">
        <x:v>47</x:v>
      </x:c>
      <x:c r="Y381" t="s">
        <x:v>48</x:v>
      </x:c>
      <x:c r="Z381" t="s">
        <x:v>49</x:v>
      </x:c>
    </x:row>
    <x:row r="382">
      <x:c r="A382" s="1">
        <x:v>46253</x:v>
      </x:c>
      <x:c r="B382" t="s">
        <x:v>1911</x:v>
      </x:c>
      <x:c r="C382" t="s">
        <x:v>29</x:v>
      </x:c>
      <x:c r="D382" t="s">
        <x:v>1912</x:v>
      </x:c>
      <x:c r="E382" t="s">
        <x:v>31</x:v>
      </x:c>
      <x:c r="F382" t="s">
        <x:v>1913</x:v>
      </x:c>
      <x:c r="G382" t="s">
        <x:v>1914</x:v>
      </x:c>
      <x:c r="H382" t="s">
        <x:v>1915</x:v>
      </x:c>
      <x:c r="I382" t="s">
        <x:v>412</x:v>
      </x:c>
      <x:c r="J382" t="s">
        <x:v>413</x:v>
      </x:c>
      <x:c r="K382" t="s">
        <x:v>37</x:v>
      </x:c>
      <x:c r="L382" t="s">
        <x:v>1916</x:v>
      </x:c>
      <x:c r="M382" t="s">
        <x:v>1917</x:v>
      </x:c>
      <x:c r="N382" t="s">
        <x:v>1914</x:v>
      </x:c>
      <x:c r="O382" t="s">
        <x:v>1918</x:v>
      </x:c>
      <x:c r="P382" t="s">
        <x:v>160</x:v>
      </x:c>
      <x:c r="Q382">
        <x:v>1</x:v>
      </x:c>
      <x:c r="R382" t="s">
        <x:v>42</x:v>
      </x:c>
      <x:c r="S382" t="s">
        <x:v>44</x:v>
      </x:c>
      <x:c r="T382" t="s">
        <x:v>44</x:v>
      </x:c>
      <x:c r="U382" t="s">
        <x:v>45</x:v>
      </x:c>
      <x:c r="V382" t="s">
        <x:v>60</x:v>
      </x:c>
      <x:c r="W382">
        <x:v>135.59</x:v>
      </x:c>
      <x:c r="X382" t="s">
        <x:v>47</x:v>
      </x:c>
      <x:c r="Y382" t="s">
        <x:v>48</x:v>
      </x:c>
      <x:c r="Z382" t="s">
        <x:v>49</x:v>
      </x:c>
      <x:c r="AA382">
        <x:v>982673362</x:v>
      </x:c>
      <x:c r="AB382" t="s">
        <x:v>417</x:v>
      </x:c>
    </x:row>
    <x:row r="383">
      <x:c r="A383" s="1">
        <x:v>46253</x:v>
      </x:c>
      <x:c r="B383" t="s">
        <x:v>1919</x:v>
      </x:c>
      <x:c r="C383" t="s">
        <x:v>29</x:v>
      </x:c>
      <x:c r="D383" t="s">
        <x:v>1920</x:v>
      </x:c>
      <x:c r="E383" t="s">
        <x:v>31</x:v>
      </x:c>
      <x:c r="F383" t="s">
        <x:v>1921</x:v>
      </x:c>
      <x:c r="G383" t="s">
        <x:v>1922</x:v>
      </x:c>
      <x:c r="H383" t="s">
        <x:v>1923</x:v>
      </x:c>
      <x:c r="I383" t="s">
        <x:v>435</x:v>
      </x:c>
      <x:c r="J383" t="s">
        <x:v>436</x:v>
      </x:c>
      <x:c r="K383" t="s">
        <x:v>37</x:v>
      </x:c>
      <x:c r="L383" t="s">
        <x:v>1924</x:v>
      </x:c>
      <x:c r="M383" t="s">
        <x:v>1925</x:v>
      </x:c>
      <x:c r="N383" t="s">
        <x:v>1922</x:v>
      </x:c>
      <x:c r="O383" t="s">
        <x:v>1926</x:v>
      </x:c>
      <x:c r="P383" t="s">
        <x:v>102</x:v>
      </x:c>
      <x:c r="Q383">
        <x:v>1</x:v>
      </x:c>
      <x:c r="R383" t="s">
        <x:v>70</x:v>
      </x:c>
      <x:c r="S383" t="s">
        <x:v>43</x:v>
      </x:c>
      <x:c r="T383" t="s">
        <x:v>44</x:v>
      </x:c>
      <x:c r="U383" t="s">
        <x:v>71</x:v>
      </x:c>
      <x:c r="V383" t="s">
        <x:v>185</x:v>
      </x:c>
      <x:c r="W383">
        <x:v>186.44</x:v>
      </x:c>
      <x:c r="X383" t="s">
        <x:v>47</x:v>
      </x:c>
      <x:c r="Y383" t="s">
        <x:v>48</x:v>
      </x:c>
      <x:c r="Z383" t="s">
        <x:v>73</x:v>
      </x:c>
      <x:c r="AA383">
        <x:v>992903716</x:v>
      </x:c>
      <x:c r="AB383" t="s">
        <x:v>440</x:v>
      </x:c>
    </x:row>
    <x:row r="384">
      <x:c r="A384" s="1">
        <x:v>46253</x:v>
      </x:c>
      <x:c r="B384" t="s">
        <x:v>1919</x:v>
      </x:c>
      <x:c r="C384" t="s">
        <x:v>29</x:v>
      </x:c>
      <x:c r="D384" t="s">
        <x:v>1920</x:v>
      </x:c>
      <x:c r="E384" t="s">
        <x:v>31</x:v>
      </x:c>
      <x:c r="F384" t="s">
        <x:v>1921</x:v>
      </x:c>
      <x:c r="G384" t="s">
        <x:v>1922</x:v>
      </x:c>
      <x:c r="H384" t="s">
        <x:v>1923</x:v>
      </x:c>
      <x:c r="I384" t="s">
        <x:v>435</x:v>
      </x:c>
      <x:c r="J384" t="s">
        <x:v>436</x:v>
      </x:c>
      <x:c r="K384" t="s">
        <x:v>37</x:v>
      </x:c>
      <x:c r="L384" t="s">
        <x:v>1924</x:v>
      </x:c>
      <x:c r="M384" t="s">
        <x:v>1925</x:v>
      </x:c>
      <x:c r="N384" t="s">
        <x:v>1922</x:v>
      </x:c>
      <x:c r="O384" t="s">
        <x:v>1926</x:v>
      </x:c>
      <x:c r="P384" t="s">
        <x:v>160</x:v>
      </x:c>
      <x:c r="Q384">
        <x:v>1</x:v>
      </x:c>
      <x:c r="R384" t="s">
        <x:v>70</x:v>
      </x:c>
      <x:c r="S384" t="s">
        <x:v>43</x:v>
      </x:c>
      <x:c r="T384" t="s">
        <x:v>44</x:v>
      </x:c>
      <x:c r="U384" t="s">
        <x:v>71</x:v>
      </x:c>
      <x:c r="V384" t="s">
        <x:v>185</x:v>
      </x:c>
      <x:c r="W384">
        <x:v>135.59</x:v>
      </x:c>
      <x:c r="X384" t="s">
        <x:v>47</x:v>
      </x:c>
      <x:c r="Y384" t="s">
        <x:v>48</x:v>
      </x:c>
      <x:c r="Z384" t="s">
        <x:v>73</x:v>
      </x:c>
      <x:c r="AA384">
        <x:v>992903716</x:v>
      </x:c>
      <x:c r="AB384" t="s">
        <x:v>440</x:v>
      </x:c>
    </x:row>
    <x:row r="385">
      <x:c r="A385" s="1">
        <x:v>46253</x:v>
      </x:c>
      <x:c r="B385" t="s">
        <x:v>1927</x:v>
      </x:c>
      <x:c r="C385" t="s">
        <x:v>29</x:v>
      </x:c>
      <x:c r="D385" t="s">
        <x:v>1928</x:v>
      </x:c>
      <x:c r="E385" t="s">
        <x:v>31</x:v>
      </x:c>
      <x:c r="F385" t="s">
        <x:v>1929</x:v>
      </x:c>
      <x:c r="G385" t="s">
        <x:v>1930</x:v>
      </x:c>
      <x:c r="H385" t="s">
        <x:v>1931</x:v>
      </x:c>
      <x:c r="I385" t="s">
        <x:v>706</x:v>
      </x:c>
      <x:c r="J385" t="s">
        <x:v>707</x:v>
      </x:c>
      <x:c r="K385" t="s">
        <x:v>37</x:v>
      </x:c>
      <x:c r="L385" t="s">
        <x:v>1932</x:v>
      </x:c>
      <x:c r="M385" t="s">
        <x:v>1933</x:v>
      </x:c>
      <x:c r="N385" t="s">
        <x:v>1930</x:v>
      </x:c>
      <x:c r="O385" t="s">
        <x:v>1934</x:v>
      </x:c>
      <x:c r="P385" t="s">
        <x:v>41</x:v>
      </x:c>
      <x:c r="Q385">
        <x:v>1</x:v>
      </x:c>
      <x:c r="R385" t="s">
        <x:v>42</x:v>
      </x:c>
      <x:c r="S385" t="s">
        <x:v>44</x:v>
      </x:c>
      <x:c r="T385" t="s">
        <x:v>44</x:v>
      </x:c>
      <x:c r="U385" t="s">
        <x:v>45</x:v>
      </x:c>
      <x:c r="V385" t="s">
        <x:v>60</x:v>
      </x:c>
      <x:c r="W385">
        <x:v>186.44</x:v>
      </x:c>
      <x:c r="X385" t="s">
        <x:v>47</x:v>
      </x:c>
      <x:c r="Y385" t="s">
        <x:v>48</x:v>
      </x:c>
      <x:c r="Z385" t="s">
        <x:v>49</x:v>
      </x:c>
      <x:c r="AA385">
        <x:v>998418895</x:v>
      </x:c>
      <x:c r="AB385" t="s">
        <x:v>711</x:v>
      </x:c>
    </x:row>
    <x:row r="386">
      <x:c r="A386" s="1">
        <x:v>46253</x:v>
      </x:c>
      <x:c r="B386" t="s">
        <x:v>1935</x:v>
      </x:c>
      <x:c r="C386" t="s">
        <x:v>29</x:v>
      </x:c>
      <x:c r="D386" t="s">
        <x:v>1936</x:v>
      </x:c>
      <x:c r="E386" t="s">
        <x:v>31</x:v>
      </x:c>
      <x:c r="F386" t="s">
        <x:v>1937</x:v>
      </x:c>
      <x:c r="G386" t="s">
        <x:v>1938</x:v>
      </x:c>
      <x:c r="H386" t="s">
        <x:v>1939</x:v>
      </x:c>
      <x:c r="I386" t="s">
        <x:v>717</x:v>
      </x:c>
      <x:c r="J386" t="s">
        <x:v>718</x:v>
      </x:c>
      <x:c r="K386" t="s">
        <x:v>37</x:v>
      </x:c>
      <x:c r="L386" t="s">
        <x:v>1940</x:v>
      </x:c>
      <x:c r="M386" t="s">
        <x:v>1941</x:v>
      </x:c>
      <x:c r="N386" t="s">
        <x:v>1938</x:v>
      </x:c>
      <x:c r="O386" t="s">
        <x:v>1942</x:v>
      </x:c>
      <x:c r="P386" t="s">
        <x:v>160</x:v>
      </x:c>
      <x:c r="Q386">
        <x:v>1</x:v>
      </x:c>
      <x:c r="R386" t="s">
        <x:v>42</x:v>
      </x:c>
      <x:c r="S386" t="s">
        <x:v>44</x:v>
      </x:c>
      <x:c r="T386" t="s">
        <x:v>44</x:v>
      </x:c>
      <x:c r="U386" t="s">
        <x:v>532</x:v>
      </x:c>
      <x:c r="V386" t="s">
        <x:v>1288</x:v>
      </x:c>
      <x:c r="W386">
        <x:v>135.59</x:v>
      </x:c>
      <x:c r="X386" t="s">
        <x:v>47</x:v>
      </x:c>
      <x:c r="Y386" t="s">
        <x:v>48</x:v>
      </x:c>
      <x:c r="Z386" t="s">
        <x:v>535</x:v>
      </x:c>
      <x:c r="AA386">
        <x:v>955356636</x:v>
      </x:c>
      <x:c r="AB386" t="s">
        <x:v>722</x:v>
      </x:c>
    </x:row>
    <x:row r="387">
      <x:c r="A387" s="1">
        <x:v>46253</x:v>
      </x:c>
      <x:c r="B387" t="s">
        <x:v>1935</x:v>
      </x:c>
      <x:c r="C387" t="s">
        <x:v>29</x:v>
      </x:c>
      <x:c r="D387" t="s">
        <x:v>1936</x:v>
      </x:c>
      <x:c r="E387" t="s">
        <x:v>31</x:v>
      </x:c>
      <x:c r="F387" t="s">
        <x:v>1937</x:v>
      </x:c>
      <x:c r="G387" t="s">
        <x:v>1938</x:v>
      </x:c>
      <x:c r="H387" t="s">
        <x:v>1939</x:v>
      </x:c>
      <x:c r="I387" t="s">
        <x:v>717</x:v>
      </x:c>
      <x:c r="J387" t="s">
        <x:v>718</x:v>
      </x:c>
      <x:c r="K387" t="s">
        <x:v>37</x:v>
      </x:c>
      <x:c r="L387" t="s">
        <x:v>1940</x:v>
      </x:c>
      <x:c r="M387" t="s">
        <x:v>1941</x:v>
      </x:c>
      <x:c r="N387" t="s">
        <x:v>1938</x:v>
      </x:c>
      <x:c r="O387" t="s">
        <x:v>1942</x:v>
      </x:c>
      <x:c r="P387" t="s">
        <x:v>203</x:v>
      </x:c>
      <x:c r="Q387">
        <x:v>1</x:v>
      </x:c>
      <x:c r="R387" t="s">
        <x:v>42</x:v>
      </x:c>
      <x:c r="S387" t="s">
        <x:v>44</x:v>
      </x:c>
      <x:c r="T387" t="s">
        <x:v>44</x:v>
      </x:c>
      <x:c r="U387" t="s">
        <x:v>532</x:v>
      </x:c>
      <x:c r="V387" t="s">
        <x:v>1288</x:v>
      </x:c>
      <x:c r="W387">
        <x:v>135.59</x:v>
      </x:c>
      <x:c r="X387" t="s">
        <x:v>47</x:v>
      </x:c>
      <x:c r="Y387" t="s">
        <x:v>48</x:v>
      </x:c>
      <x:c r="Z387" t="s">
        <x:v>535</x:v>
      </x:c>
      <x:c r="AA387">
        <x:v>955356636</x:v>
      </x:c>
      <x:c r="AB387" t="s">
        <x:v>722</x:v>
      </x:c>
    </x:row>
    <x:row r="388">
      <x:c r="A388" s="1">
        <x:v>46253</x:v>
      </x:c>
      <x:c r="B388" t="s">
        <x:v>1943</x:v>
      </x:c>
      <x:c r="C388" t="s">
        <x:v>269</x:v>
      </x:c>
      <x:c r="D388" t="s">
        <x:v>1944</x:v>
      </x:c>
      <x:c r="E388" t="s">
        <x:v>31</x:v>
      </x:c>
      <x:c r="F388" t="s">
        <x:v>1945</x:v>
      </x:c>
      <x:c r="G388" t="s">
        <x:v>1108</x:v>
      </x:c>
      <x:c r="H388" t="s">
        <x:v>1109</x:v>
      </x:c>
      <x:c r="I388" t="s">
        <x:v>1110</x:v>
      </x:c>
      <x:c r="J388" t="s">
        <x:v>210</x:v>
      </x:c>
      <x:c r="K388" t="s">
        <x:v>37</x:v>
      </x:c>
      <x:c r="L388" t="s">
        <x:v>1111</x:v>
      </x:c>
      <x:c r="M388" t="s">
        <x:v>1112</x:v>
      </x:c>
      <x:c r="N388" t="s">
        <x:v>1113</x:v>
      </x:c>
      <x:c r="O388" t="s">
        <x:v>1946</x:v>
      </x:c>
      <x:c r="P388" t="s">
        <x:v>214</x:v>
      </x:c>
      <x:c r="Q388">
        <x:v>1</x:v>
      </x:c>
      <x:c r="R388" t="s">
        <x:v>42</x:v>
      </x:c>
      <x:c r="S388" t="s">
        <x:v>44</x:v>
      </x:c>
      <x:c r="T388" t="s">
        <x:v>44</x:v>
      </x:c>
      <x:c r="U388" t="s">
        <x:v>45</x:v>
      </x:c>
      <x:c r="V388" t="s">
        <x:v>60</x:v>
      </x:c>
      <x:c r="W388">
        <x:v>254.24</x:v>
      </x:c>
      <x:c r="X388" t="s">
        <x:v>61</x:v>
      </x:c>
      <x:c r="Y388" t="s">
        <x:v>48</x:v>
      </x:c>
      <x:c r="Z388" t="s">
        <x:v>49</x:v>
      </x:c>
      <x:c r="AA388">
        <x:v>970582106</x:v>
      </x:c>
      <x:c r="AB388" t="s">
        <x:v>1115</x:v>
      </x:c>
    </x:row>
    <x:row r="389">
      <x:c r="A389" s="1">
        <x:v>46254</x:v>
      </x:c>
      <x:c r="B389" t="s">
        <x:v>1947</x:v>
      </x:c>
      <x:c r="C389" t="s">
        <x:v>29</x:v>
      </x:c>
      <x:c r="D389" t="s">
        <x:v>1948</x:v>
      </x:c>
      <x:c r="E389" t="s">
        <x:v>31</x:v>
      </x:c>
      <x:c r="F389" t="s">
        <x:v>1949</x:v>
      </x:c>
      <x:c r="G389" t="s">
        <x:v>1950</x:v>
      </x:c>
      <x:c r="H389" t="s">
        <x:v>1951</x:v>
      </x:c>
      <x:c r="I389" t="s">
        <x:v>776</x:v>
      </x:c>
      <x:c r="J389" t="s">
        <x:v>777</x:v>
      </x:c>
      <x:c r="K389" t="s">
        <x:v>37</x:v>
      </x:c>
      <x:c r="L389" t="s">
        <x:v>1952</x:v>
      </x:c>
      <x:c r="M389" t="s">
        <x:v>1953</x:v>
      </x:c>
      <x:c r="N389" t="s">
        <x:v>1950</x:v>
      </x:c>
      <x:c r="O389" t="s">
        <x:v>1954</x:v>
      </x:c>
      <x:c r="P389" t="s">
        <x:v>202</x:v>
      </x:c>
      <x:c r="Q389">
        <x:v>1</x:v>
      </x:c>
      <x:c r="R389" t="s">
        <x:v>42</x:v>
      </x:c>
      <x:c r="S389" t="s">
        <x:v>44</x:v>
      </x:c>
      <x:c r="T389" t="s">
        <x:v>44</x:v>
      </x:c>
      <x:c r="U389" t="s">
        <x:v>45</x:v>
      </x:c>
      <x:c r="V389" t="s">
        <x:v>60</x:v>
      </x:c>
      <x:c r="W389">
        <x:v>42.37</x:v>
      </x:c>
      <x:c r="X389" t="s">
        <x:v>47</x:v>
      </x:c>
      <x:c r="Y389" t="s">
        <x:v>48</x:v>
      </x:c>
      <x:c r="Z389" t="s">
        <x:v>49</x:v>
      </x:c>
    </x:row>
    <x:row r="390">
      <x:c r="A390" s="1">
        <x:v>46254</x:v>
      </x:c>
      <x:c r="B390" t="s">
        <x:v>1947</x:v>
      </x:c>
      <x:c r="C390" t="s">
        <x:v>29</x:v>
      </x:c>
      <x:c r="D390" t="s">
        <x:v>1948</x:v>
      </x:c>
      <x:c r="E390" t="s">
        <x:v>31</x:v>
      </x:c>
      <x:c r="F390" t="s">
        <x:v>1949</x:v>
      </x:c>
      <x:c r="G390" t="s">
        <x:v>1950</x:v>
      </x:c>
      <x:c r="H390" t="s">
        <x:v>1951</x:v>
      </x:c>
      <x:c r="I390" t="s">
        <x:v>776</x:v>
      </x:c>
      <x:c r="J390" t="s">
        <x:v>777</x:v>
      </x:c>
      <x:c r="K390" t="s">
        <x:v>37</x:v>
      </x:c>
      <x:c r="L390" t="s">
        <x:v>1952</x:v>
      </x:c>
      <x:c r="M390" t="s">
        <x:v>1953</x:v>
      </x:c>
      <x:c r="N390" t="s">
        <x:v>1950</x:v>
      </x:c>
      <x:c r="O390" t="s">
        <x:v>1954</x:v>
      </x:c>
      <x:c r="P390" t="s">
        <x:v>203</x:v>
      </x:c>
      <x:c r="Q390">
        <x:v>1</x:v>
      </x:c>
      <x:c r="R390" t="s">
        <x:v>42</x:v>
      </x:c>
      <x:c r="S390" t="s">
        <x:v>44</x:v>
      </x:c>
      <x:c r="T390" t="s">
        <x:v>44</x:v>
      </x:c>
      <x:c r="U390" t="s">
        <x:v>45</x:v>
      </x:c>
      <x:c r="V390" t="s">
        <x:v>60</x:v>
      </x:c>
      <x:c r="W390">
        <x:v>42.37</x:v>
      </x:c>
      <x:c r="X390" t="s">
        <x:v>47</x:v>
      </x:c>
      <x:c r="Y390" t="s">
        <x:v>48</x:v>
      </x:c>
      <x:c r="Z390" t="s">
        <x:v>49</x:v>
      </x:c>
    </x:row>
    <x:row r="391">
      <x:c r="A391" s="1">
        <x:v>46254</x:v>
      </x:c>
      <x:c r="B391" t="s">
        <x:v>1955</x:v>
      </x:c>
      <x:c r="C391" t="s">
        <x:v>29</x:v>
      </x:c>
      <x:c r="D391" t="s">
        <x:v>1956</x:v>
      </x:c>
      <x:c r="E391" t="s">
        <x:v>31</x:v>
      </x:c>
      <x:c r="F391" t="s">
        <x:v>1957</x:v>
      </x:c>
      <x:c r="G391" t="s">
        <x:v>1958</x:v>
      </x:c>
      <x:c r="H391" t="s">
        <x:v>1959</x:v>
      </x:c>
      <x:c r="I391" t="s">
        <x:v>137</x:v>
      </x:c>
      <x:c r="J391" t="s">
        <x:v>138</x:v>
      </x:c>
      <x:c r="K391" t="s">
        <x:v>37</x:v>
      </x:c>
      <x:c r="L391" t="s">
        <x:v>1960</x:v>
      </x:c>
      <x:c r="M391" t="s">
        <x:v>1961</x:v>
      </x:c>
      <x:c r="N391" t="s">
        <x:v>1958</x:v>
      </x:c>
      <x:c r="O391" t="s">
        <x:v>1962</x:v>
      </x:c>
      <x:c r="P391" t="s">
        <x:v>102</x:v>
      </x:c>
      <x:c r="Q391">
        <x:v>1</x:v>
      </x:c>
      <x:c r="R391" t="s">
        <x:v>42</x:v>
      </x:c>
      <x:c r="S391" t="s">
        <x:v>44</x:v>
      </x:c>
      <x:c r="T391" t="s">
        <x:v>44</x:v>
      </x:c>
      <x:c r="U391" t="s">
        <x:v>45</x:v>
      </x:c>
      <x:c r="V391" t="s">
        <x:v>60</x:v>
      </x:c>
      <x:c r="W391">
        <x:v>186.44</x:v>
      </x:c>
      <x:c r="X391" t="s">
        <x:v>47</x:v>
      </x:c>
      <x:c r="Y391" t="s">
        <x:v>48</x:v>
      </x:c>
      <x:c r="Z391" t="s">
        <x:v>49</x:v>
      </x:c>
      <x:c r="AA391">
        <x:v>987407712</x:v>
      </x:c>
      <x:c r="AB391" t="s">
        <x:v>142</x:v>
      </x:c>
    </x:row>
    <x:row r="392">
      <x:c r="A392" s="1">
        <x:v>46254</x:v>
      </x:c>
      <x:c r="B392" t="s">
        <x:v>1963</x:v>
      </x:c>
      <x:c r="C392" t="s">
        <x:v>29</x:v>
      </x:c>
      <x:c r="D392" t="s">
        <x:v>1964</x:v>
      </x:c>
      <x:c r="E392" t="s">
        <x:v>31</x:v>
      </x:c>
      <x:c r="F392" t="s">
        <x:v>1965</x:v>
      </x:c>
      <x:c r="G392" t="s">
        <x:v>1966</x:v>
      </x:c>
      <x:c r="H392" t="s">
        <x:v>1967</x:v>
      </x:c>
      <x:c r="I392" t="s">
        <x:v>1511</x:v>
      </x:c>
      <x:c r="K392" t="s">
        <x:v>37</x:v>
      </x:c>
      <x:c r="L392" t="s">
        <x:v>1968</x:v>
      </x:c>
      <x:c r="M392" t="s">
        <x:v>1969</x:v>
      </x:c>
      <x:c r="N392" t="s">
        <x:v>1966</x:v>
      </x:c>
      <x:c r="O392" t="s">
        <x:v>1970</x:v>
      </x:c>
      <x:c r="P392" t="s">
        <x:v>160</x:v>
      </x:c>
      <x:c r="Q392">
        <x:v>1</x:v>
      </x:c>
      <x:c r="R392" t="s">
        <x:v>42</x:v>
      </x:c>
      <x:c r="S392" t="s">
        <x:v>44</x:v>
      </x:c>
      <x:c r="T392" t="s">
        <x:v>44</x:v>
      </x:c>
      <x:c r="U392" t="s">
        <x:v>71</x:v>
      </x:c>
      <x:c r="V392" t="s">
        <x:v>185</x:v>
      </x:c>
      <x:c r="W392">
        <x:v>135.59</x:v>
      </x:c>
      <x:c r="X392" t="s">
        <x:v>47</x:v>
      </x:c>
      <x:c r="Y392" t="s">
        <x:v>48</x:v>
      </x:c>
      <x:c r="Z392" t="s">
        <x:v>73</x:v>
      </x:c>
    </x:row>
    <x:row r="393">
      <x:c r="A393" s="1">
        <x:v>46254</x:v>
      </x:c>
      <x:c r="B393" t="s">
        <x:v>1971</x:v>
      </x:c>
      <x:c r="C393" t="s">
        <x:v>29</x:v>
      </x:c>
      <x:c r="D393" t="s">
        <x:v>1972</x:v>
      </x:c>
      <x:c r="E393" t="s">
        <x:v>31</x:v>
      </x:c>
      <x:c r="F393" t="s">
        <x:v>1973</x:v>
      </x:c>
      <x:c r="G393" t="s">
        <x:v>1974</x:v>
      </x:c>
      <x:c r="H393" t="s">
        <x:v>1975</x:v>
      </x:c>
      <x:c r="I393" t="s">
        <x:v>1976</x:v>
      </x:c>
      <x:c r="K393" t="s">
        <x:v>37</x:v>
      </x:c>
      <x:c r="L393" t="s">
        <x:v>1977</x:v>
      </x:c>
      <x:c r="M393" t="s">
        <x:v>1978</x:v>
      </x:c>
      <x:c r="N393" t="s">
        <x:v>1974</x:v>
      </x:c>
      <x:c r="O393" t="s">
        <x:v>1979</x:v>
      </x:c>
      <x:c r="P393" t="s">
        <x:v>160</x:v>
      </x:c>
      <x:c r="Q393">
        <x:v>1</x:v>
      </x:c>
      <x:c r="R393" t="s">
        <x:v>42</x:v>
      </x:c>
      <x:c r="S393" t="s">
        <x:v>44</x:v>
      </x:c>
      <x:c r="T393" t="s">
        <x:v>44</x:v>
      </x:c>
      <x:c r="U393" t="s">
        <x:v>532</x:v>
      </x:c>
      <x:c r="V393" t="s">
        <x:v>1980</x:v>
      </x:c>
      <x:c r="W393">
        <x:v>135.59</x:v>
      </x:c>
      <x:c r="X393" t="s">
        <x:v>47</x:v>
      </x:c>
      <x:c r="Y393" t="s">
        <x:v>48</x:v>
      </x:c>
      <x:c r="Z393" t="s">
        <x:v>535</x:v>
      </x:c>
    </x:row>
    <x:row r="394">
      <x:c r="A394" s="1">
        <x:v>46254</x:v>
      </x:c>
      <x:c r="B394" t="s">
        <x:v>1981</x:v>
      </x:c>
      <x:c r="C394" t="s">
        <x:v>29</x:v>
      </x:c>
      <x:c r="D394" t="s">
        <x:v>1982</x:v>
      </x:c>
      <x:c r="E394" t="s">
        <x:v>31</x:v>
      </x:c>
      <x:c r="F394" t="s">
        <x:v>1983</x:v>
      </x:c>
      <x:c r="G394" t="s">
        <x:v>1984</x:v>
      </x:c>
      <x:c r="H394" t="s">
        <x:v>1985</x:v>
      </x:c>
      <x:c r="I394" t="s">
        <x:v>1155</x:v>
      </x:c>
      <x:c r="J394" t="s">
        <x:v>1156</x:v>
      </x:c>
      <x:c r="K394" t="s">
        <x:v>37</x:v>
      </x:c>
      <x:c r="L394" t="s">
        <x:v>1986</x:v>
      </x:c>
      <x:c r="M394" t="s">
        <x:v>1987</x:v>
      </x:c>
      <x:c r="N394" t="s">
        <x:v>1984</x:v>
      </x:c>
      <x:c r="O394" t="s">
        <x:v>1988</x:v>
      </x:c>
      <x:c r="P394" t="s">
        <x:v>41</x:v>
      </x:c>
      <x:c r="Q394">
        <x:v>1</x:v>
      </x:c>
      <x:c r="R394" t="s">
        <x:v>70</x:v>
      </x:c>
      <x:c r="S394" t="s">
        <x:v>43</x:v>
      </x:c>
      <x:c r="T394" t="s">
        <x:v>44</x:v>
      </x:c>
      <x:c r="U394" t="s">
        <x:v>71</x:v>
      </x:c>
      <x:c r="V394" t="s">
        <x:v>72</x:v>
      </x:c>
      <x:c r="W394">
        <x:v>186.44</x:v>
      </x:c>
      <x:c r="X394" t="s">
        <x:v>47</x:v>
      </x:c>
      <x:c r="Y394" t="s">
        <x:v>48</x:v>
      </x:c>
      <x:c r="Z394" t="s">
        <x:v>73</x:v>
      </x:c>
      <x:c r="AA394">
        <x:v>995868651</x:v>
      </x:c>
      <x:c r="AB394" t="s">
        <x:v>1160</x:v>
      </x:c>
    </x:row>
    <x:row r="395">
      <x:c r="A395" s="1">
        <x:v>46254</x:v>
      </x:c>
      <x:c r="B395" t="s">
        <x:v>1989</x:v>
      </x:c>
      <x:c r="C395" t="s">
        <x:v>269</x:v>
      </x:c>
      <x:c r="D395" t="s">
        <x:v>1990</x:v>
      </x:c>
      <x:c r="E395" t="s">
        <x:v>31</x:v>
      </x:c>
      <x:c r="F395" t="s">
        <x:v>1991</x:v>
      </x:c>
      <x:c r="G395" t="s">
        <x:v>1992</x:v>
      </x:c>
      <x:c r="H395" t="s">
        <x:v>1993</x:v>
      </x:c>
      <x:c r="K395" t="s">
        <x:v>37</x:v>
      </x:c>
      <x:c r="L395" t="s">
        <x:v>1994</x:v>
      </x:c>
      <x:c r="M395" t="s">
        <x:v>1995</x:v>
      </x:c>
      <x:c r="N395" t="s">
        <x:v>767</x:v>
      </x:c>
      <x:c r="O395" t="s">
        <x:v>1996</x:v>
      </x:c>
      <x:c r="P395" t="s">
        <x:v>482</x:v>
      </x:c>
      <x:c r="Q395">
        <x:v>1</x:v>
      </x:c>
      <x:c r="R395" t="s">
        <x:v>42</x:v>
      </x:c>
      <x:c r="S395" t="s">
        <x:v>44</x:v>
      </x:c>
      <x:c r="T395" t="s">
        <x:v>44</x:v>
      </x:c>
      <x:c r="U395" t="s">
        <x:v>45</x:v>
      </x:c>
      <x:c r="V395" t="s">
        <x:v>60</x:v>
      </x:c>
      <x:c r="W395">
        <x:v>101.69</x:v>
      </x:c>
      <x:c r="X395" t="s">
        <x:v>61</x:v>
      </x:c>
      <x:c r="Y395" t="s">
        <x:v>48</x:v>
      </x:c>
      <x:c r="Z395" t="s">
        <x:v>49</x:v>
      </x:c>
    </x:row>
    <x:row r="396">
      <x:c r="A396" s="1">
        <x:v>46254</x:v>
      </x:c>
      <x:c r="B396" t="s">
        <x:v>1997</x:v>
      </x:c>
      <x:c r="C396" t="s">
        <x:v>29</x:v>
      </x:c>
      <x:c r="D396" t="s">
        <x:v>1998</x:v>
      </x:c>
      <x:c r="E396" t="s">
        <x:v>31</x:v>
      </x:c>
      <x:c r="F396" t="s">
        <x:v>1999</x:v>
      </x:c>
      <x:c r="G396" t="s">
        <x:v>2000</x:v>
      </x:c>
      <x:c r="H396" t="s">
        <x:v>2001</x:v>
      </x:c>
      <x:c r="I396" t="s">
        <x:v>1619</x:v>
      </x:c>
      <x:c r="J396" t="s">
        <x:v>1620</x:v>
      </x:c>
      <x:c r="K396" t="s">
        <x:v>37</x:v>
      </x:c>
      <x:c r="L396" t="s">
        <x:v>2002</x:v>
      </x:c>
      <x:c r="M396" t="s">
        <x:v>2003</x:v>
      </x:c>
      <x:c r="N396" t="s">
        <x:v>2000</x:v>
      </x:c>
      <x:c r="O396" t="s">
        <x:v>2004</x:v>
      </x:c>
      <x:c r="P396" t="s">
        <x:v>160</x:v>
      </x:c>
      <x:c r="Q396">
        <x:v>1</x:v>
      </x:c>
      <x:c r="R396" t="s">
        <x:v>70</x:v>
      </x:c>
      <x:c r="S396" t="s">
        <x:v>43</x:v>
      </x:c>
      <x:c r="T396" t="s">
        <x:v>44</x:v>
      </x:c>
      <x:c r="U396" t="s">
        <x:v>71</x:v>
      </x:c>
      <x:c r="V396" t="s">
        <x:v>72</x:v>
      </x:c>
      <x:c r="W396">
        <x:v>135.59</x:v>
      </x:c>
      <x:c r="X396" t="s">
        <x:v>47</x:v>
      </x:c>
      <x:c r="Y396" t="s">
        <x:v>48</x:v>
      </x:c>
      <x:c r="Z396" t="s">
        <x:v>73</x:v>
      </x:c>
      <x:c r="AA396">
        <x:v>950418896</x:v>
      </x:c>
    </x:row>
    <x:row r="397">
      <x:c r="A397" s="1">
        <x:v>46254</x:v>
      </x:c>
      <x:c r="B397" t="s">
        <x:v>2005</x:v>
      </x:c>
      <x:c r="C397" t="s">
        <x:v>29</x:v>
      </x:c>
      <x:c r="D397" t="s">
        <x:v>2006</x:v>
      </x:c>
      <x:c r="E397" t="s">
        <x:v>31</x:v>
      </x:c>
      <x:c r="F397" t="s">
        <x:v>2007</x:v>
      </x:c>
      <x:c r="G397" t="s">
        <x:v>2008</x:v>
      </x:c>
      <x:c r="H397" t="s">
        <x:v>2009</x:v>
      </x:c>
      <x:c r="I397" t="s">
        <x:v>664</x:v>
      </x:c>
      <x:c r="J397" t="s">
        <x:v>36</x:v>
      </x:c>
      <x:c r="K397" t="s">
        <x:v>37</x:v>
      </x:c>
      <x:c r="L397" t="s">
        <x:v>2010</x:v>
      </x:c>
      <x:c r="M397" t="s">
        <x:v>2011</x:v>
      </x:c>
      <x:c r="N397" t="s">
        <x:v>2008</x:v>
      </x:c>
      <x:c r="O397" t="s">
        <x:v>2012</x:v>
      </x:c>
      <x:c r="P397" t="s">
        <x:v>202</x:v>
      </x:c>
      <x:c r="Q397">
        <x:v>1</x:v>
      </x:c>
      <x:c r="R397" t="s">
        <x:v>42</x:v>
      </x:c>
      <x:c r="S397" t="s">
        <x:v>44</x:v>
      </x:c>
      <x:c r="T397" t="s">
        <x:v>44</x:v>
      </x:c>
      <x:c r="U397" t="s">
        <x:v>45</x:v>
      </x:c>
      <x:c r="V397" t="s">
        <x:v>60</x:v>
      </x:c>
      <x:c r="W397">
        <x:v>152.54</x:v>
      </x:c>
      <x:c r="X397" t="s">
        <x:v>47</x:v>
      </x:c>
      <x:c r="Y397" t="s">
        <x:v>48</x:v>
      </x:c>
      <x:c r="Z397" t="s">
        <x:v>49</x:v>
      </x:c>
      <x:c r="AA397">
        <x:v>997145685</x:v>
      </x:c>
      <x:c r="AB397" t="s">
        <x:v>668</x:v>
      </x:c>
    </x:row>
    <x:row r="398">
      <x:c r="A398" s="1">
        <x:v>46254</x:v>
      </x:c>
      <x:c r="B398" t="s">
        <x:v>2005</x:v>
      </x:c>
      <x:c r="C398" t="s">
        <x:v>29</x:v>
      </x:c>
      <x:c r="D398" t="s">
        <x:v>2006</x:v>
      </x:c>
      <x:c r="E398" t="s">
        <x:v>31</x:v>
      </x:c>
      <x:c r="F398" t="s">
        <x:v>2007</x:v>
      </x:c>
      <x:c r="G398" t="s">
        <x:v>2008</x:v>
      </x:c>
      <x:c r="H398" t="s">
        <x:v>2009</x:v>
      </x:c>
      <x:c r="I398" t="s">
        <x:v>664</x:v>
      </x:c>
      <x:c r="J398" t="s">
        <x:v>36</x:v>
      </x:c>
      <x:c r="K398" t="s">
        <x:v>37</x:v>
      </x:c>
      <x:c r="L398" t="s">
        <x:v>2010</x:v>
      </x:c>
      <x:c r="M398" t="s">
        <x:v>2011</x:v>
      </x:c>
      <x:c r="N398" t="s">
        <x:v>2008</x:v>
      </x:c>
      <x:c r="O398" t="s">
        <x:v>2012</x:v>
      </x:c>
      <x:c r="P398" t="s">
        <x:v>203</x:v>
      </x:c>
      <x:c r="Q398">
        <x:v>1</x:v>
      </x:c>
      <x:c r="R398" t="s">
        <x:v>42</x:v>
      </x:c>
      <x:c r="S398" t="s">
        <x:v>44</x:v>
      </x:c>
      <x:c r="T398" t="s">
        <x:v>44</x:v>
      </x:c>
      <x:c r="U398" t="s">
        <x:v>45</x:v>
      </x:c>
      <x:c r="V398" t="s">
        <x:v>60</x:v>
      </x:c>
      <x:c r="W398">
        <x:v>135.59</x:v>
      </x:c>
      <x:c r="X398" t="s">
        <x:v>47</x:v>
      </x:c>
      <x:c r="Y398" t="s">
        <x:v>48</x:v>
      </x:c>
      <x:c r="Z398" t="s">
        <x:v>49</x:v>
      </x:c>
      <x:c r="AA398">
        <x:v>997145685</x:v>
      </x:c>
      <x:c r="AB398" t="s">
        <x:v>668</x:v>
      </x:c>
    </x:row>
    <x:row r="399">
      <x:c r="A399" s="1">
        <x:v>46255</x:v>
      </x:c>
      <x:c r="B399" t="s">
        <x:v>2013</x:v>
      </x:c>
      <x:c r="C399" t="s">
        <x:v>29</x:v>
      </x:c>
      <x:c r="D399" t="s">
        <x:v>2014</x:v>
      </x:c>
      <x:c r="E399" t="s">
        <x:v>31</x:v>
      </x:c>
      <x:c r="F399" t="s">
        <x:v>2015</x:v>
      </x:c>
      <x:c r="G399" t="s">
        <x:v>2016</x:v>
      </x:c>
      <x:c r="H399" t="s">
        <x:v>2017</x:v>
      </x:c>
      <x:c r="I399" t="s">
        <x:v>1234</x:v>
      </x:c>
      <x:c r="K399" t="s">
        <x:v>37</x:v>
      </x:c>
      <x:c r="L399" t="s">
        <x:v>2018</x:v>
      </x:c>
      <x:c r="M399" t="s">
        <x:v>2019</x:v>
      </x:c>
      <x:c r="N399" t="s">
        <x:v>2016</x:v>
      </x:c>
      <x:c r="O399" t="s">
        <x:v>2020</x:v>
      </x:c>
      <x:c r="P399" t="s">
        <x:v>102</x:v>
      </x:c>
      <x:c r="Q399">
        <x:v>1</x:v>
      </x:c>
      <x:c r="R399" t="s">
        <x:v>42</x:v>
      </x:c>
      <x:c r="S399" t="s">
        <x:v>44</x:v>
      </x:c>
      <x:c r="T399" t="s">
        <x:v>44</x:v>
      </x:c>
      <x:c r="U399" t="s">
        <x:v>45</x:v>
      </x:c>
      <x:c r="V399" t="s">
        <x:v>46</x:v>
      </x:c>
      <x:c r="W399">
        <x:v>186.44</x:v>
      </x:c>
      <x:c r="X399" t="s">
        <x:v>47</x:v>
      </x:c>
      <x:c r="Y399" t="s">
        <x:v>48</x:v>
      </x:c>
      <x:c r="Z399" t="s">
        <x:v>49</x:v>
      </x:c>
      <x:c r="AB399" t="s">
        <x:v>1238</x:v>
      </x:c>
    </x:row>
    <x:row r="400">
      <x:c r="A400" s="1">
        <x:v>46255</x:v>
      </x:c>
      <x:c r="B400" t="s">
        <x:v>2013</x:v>
      </x:c>
      <x:c r="C400" t="s">
        <x:v>29</x:v>
      </x:c>
      <x:c r="D400" t="s">
        <x:v>2014</x:v>
      </x:c>
      <x:c r="E400" t="s">
        <x:v>31</x:v>
      </x:c>
      <x:c r="F400" t="s">
        <x:v>2015</x:v>
      </x:c>
      <x:c r="G400" t="s">
        <x:v>2016</x:v>
      </x:c>
      <x:c r="H400" t="s">
        <x:v>2017</x:v>
      </x:c>
      <x:c r="I400" t="s">
        <x:v>1234</x:v>
      </x:c>
      <x:c r="K400" t="s">
        <x:v>37</x:v>
      </x:c>
      <x:c r="L400" t="s">
        <x:v>2018</x:v>
      </x:c>
      <x:c r="M400" t="s">
        <x:v>2019</x:v>
      </x:c>
      <x:c r="N400" t="s">
        <x:v>2016</x:v>
      </x:c>
      <x:c r="O400" t="s">
        <x:v>2020</x:v>
      </x:c>
      <x:c r="P400" t="s">
        <x:v>159</x:v>
      </x:c>
      <x:c r="Q400">
        <x:v>1</x:v>
      </x:c>
      <x:c r="R400" t="s">
        <x:v>42</x:v>
      </x:c>
      <x:c r="S400" t="s">
        <x:v>44</x:v>
      </x:c>
      <x:c r="T400" t="s">
        <x:v>44</x:v>
      </x:c>
      <x:c r="U400" t="s">
        <x:v>45</x:v>
      </x:c>
      <x:c r="V400" t="s">
        <x:v>46</x:v>
      </x:c>
      <x:c r="W400">
        <x:v>152.54</x:v>
      </x:c>
      <x:c r="X400" t="s">
        <x:v>47</x:v>
      </x:c>
      <x:c r="Y400" t="s">
        <x:v>48</x:v>
      </x:c>
      <x:c r="Z400" t="s">
        <x:v>49</x:v>
      </x:c>
      <x:c r="AB400" t="s">
        <x:v>1238</x:v>
      </x:c>
    </x:row>
    <x:row r="401">
      <x:c r="A401" s="1">
        <x:v>46255</x:v>
      </x:c>
      <x:c r="B401" t="s">
        <x:v>2021</x:v>
      </x:c>
      <x:c r="C401" t="s">
        <x:v>29</x:v>
      </x:c>
      <x:c r="D401" t="s">
        <x:v>2022</x:v>
      </x:c>
      <x:c r="E401" t="s">
        <x:v>31</x:v>
      </x:c>
      <x:c r="F401" t="s">
        <x:v>2023</x:v>
      </x:c>
      <x:c r="G401" t="s">
        <x:v>2024</x:v>
      </x:c>
      <x:c r="H401" t="s">
        <x:v>2025</x:v>
      </x:c>
      <x:c r="I401" t="s">
        <x:v>2026</x:v>
      </x:c>
      <x:c r="K401" t="s">
        <x:v>37</x:v>
      </x:c>
      <x:c r="L401" t="s">
        <x:v>2027</x:v>
      </x:c>
      <x:c r="M401" t="s">
        <x:v>2028</x:v>
      </x:c>
      <x:c r="N401" t="s">
        <x:v>2024</x:v>
      </x:c>
      <x:c r="O401" t="s">
        <x:v>2029</x:v>
      </x:c>
      <x:c r="P401" t="s">
        <x:v>160</x:v>
      </x:c>
      <x:c r="Q401">
        <x:v>1</x:v>
      </x:c>
      <x:c r="R401" t="s">
        <x:v>42</x:v>
      </x:c>
      <x:c r="S401" t="s">
        <x:v>44</x:v>
      </x:c>
      <x:c r="T401" t="s">
        <x:v>44</x:v>
      </x:c>
      <x:c r="U401" t="s">
        <x:v>532</x:v>
      </x:c>
      <x:c r="V401" t="s">
        <x:v>1980</x:v>
      </x:c>
      <x:c r="W401">
        <x:v>135.59</x:v>
      </x:c>
      <x:c r="X401" t="s">
        <x:v>47</x:v>
      </x:c>
      <x:c r="Y401" t="s">
        <x:v>48</x:v>
      </x:c>
      <x:c r="Z401" t="s">
        <x:v>535</x:v>
      </x:c>
    </x:row>
    <x:row r="402">
      <x:c r="A402" s="1">
        <x:v>46256</x:v>
      </x:c>
      <x:c r="B402" t="s">
        <x:v>2030</x:v>
      </x:c>
      <x:c r="C402" t="s">
        <x:v>29</x:v>
      </x:c>
      <x:c r="D402" t="s">
        <x:v>2031</x:v>
      </x:c>
      <x:c r="E402" t="s">
        <x:v>31</x:v>
      </x:c>
      <x:c r="F402" t="s">
        <x:v>2032</x:v>
      </x:c>
      <x:c r="G402" t="s">
        <x:v>2033</x:v>
      </x:c>
      <x:c r="H402" t="s">
        <x:v>2034</x:v>
      </x:c>
      <x:c r="I402" t="s">
        <x:v>412</x:v>
      </x:c>
      <x:c r="J402" t="s">
        <x:v>413</x:v>
      </x:c>
      <x:c r="K402" t="s">
        <x:v>37</x:v>
      </x:c>
      <x:c r="L402" t="s">
        <x:v>2035</x:v>
      </x:c>
      <x:c r="M402" t="s">
        <x:v>2036</x:v>
      </x:c>
      <x:c r="N402" t="s">
        <x:v>2033</x:v>
      </x:c>
      <x:c r="O402" t="s">
        <x:v>2037</x:v>
      </x:c>
      <x:c r="P402" t="s">
        <x:v>41</x:v>
      </x:c>
      <x:c r="Q402">
        <x:v>1</x:v>
      </x:c>
      <x:c r="R402" t="s">
        <x:v>42</x:v>
      </x:c>
      <x:c r="S402" t="s">
        <x:v>44</x:v>
      </x:c>
      <x:c r="T402" t="s">
        <x:v>44</x:v>
      </x:c>
      <x:c r="U402" t="s">
        <x:v>45</x:v>
      </x:c>
      <x:c r="V402" t="s">
        <x:v>60</x:v>
      </x:c>
      <x:c r="W402">
        <x:v>186.44</x:v>
      </x:c>
      <x:c r="X402" t="s">
        <x:v>47</x:v>
      </x:c>
      <x:c r="Y402" t="s">
        <x:v>48</x:v>
      </x:c>
      <x:c r="Z402" t="s">
        <x:v>49</x:v>
      </x:c>
      <x:c r="AA402">
        <x:v>982673362</x:v>
      </x:c>
      <x:c r="AB402" t="s">
        <x:v>417</x:v>
      </x:c>
    </x:row>
    <x:row r="403">
      <x:c r="A403" s="1">
        <x:v>46256</x:v>
      </x:c>
      <x:c r="B403" t="s">
        <x:v>2030</x:v>
      </x:c>
      <x:c r="C403" t="s">
        <x:v>29</x:v>
      </x:c>
      <x:c r="D403" t="s">
        <x:v>2031</x:v>
      </x:c>
      <x:c r="E403" t="s">
        <x:v>31</x:v>
      </x:c>
      <x:c r="F403" t="s">
        <x:v>2032</x:v>
      </x:c>
      <x:c r="G403" t="s">
        <x:v>2033</x:v>
      </x:c>
      <x:c r="H403" t="s">
        <x:v>2034</x:v>
      </x:c>
      <x:c r="I403" t="s">
        <x:v>412</x:v>
      </x:c>
      <x:c r="J403" t="s">
        <x:v>413</x:v>
      </x:c>
      <x:c r="K403" t="s">
        <x:v>37</x:v>
      </x:c>
      <x:c r="L403" t="s">
        <x:v>2035</x:v>
      </x:c>
      <x:c r="M403" t="s">
        <x:v>2036</x:v>
      </x:c>
      <x:c r="N403" t="s">
        <x:v>2033</x:v>
      </x:c>
      <x:c r="O403" t="s">
        <x:v>2037</x:v>
      </x:c>
      <x:c r="P403" t="s">
        <x:v>102</x:v>
      </x:c>
      <x:c r="Q403">
        <x:v>1</x:v>
      </x:c>
      <x:c r="R403" t="s">
        <x:v>42</x:v>
      </x:c>
      <x:c r="S403" t="s">
        <x:v>44</x:v>
      </x:c>
      <x:c r="T403" t="s">
        <x:v>44</x:v>
      </x:c>
      <x:c r="U403" t="s">
        <x:v>45</x:v>
      </x:c>
      <x:c r="V403" t="s">
        <x:v>60</x:v>
      </x:c>
      <x:c r="W403">
        <x:v>186.44</x:v>
      </x:c>
      <x:c r="X403" t="s">
        <x:v>47</x:v>
      </x:c>
      <x:c r="Y403" t="s">
        <x:v>48</x:v>
      </x:c>
      <x:c r="Z403" t="s">
        <x:v>49</x:v>
      </x:c>
      <x:c r="AA403">
        <x:v>982673362</x:v>
      </x:c>
      <x:c r="AB403" t="s">
        <x:v>417</x:v>
      </x:c>
    </x:row>
    <x:row r="404">
      <x:c r="A404" s="1">
        <x:v>46256</x:v>
      </x:c>
      <x:c r="B404" t="s">
        <x:v>2038</x:v>
      </x:c>
      <x:c r="C404" t="s">
        <x:v>29</x:v>
      </x:c>
      <x:c r="D404" t="s">
        <x:v>1788</x:v>
      </x:c>
      <x:c r="E404" t="s">
        <x:v>31</x:v>
      </x:c>
      <x:c r="F404" t="s">
        <x:v>2039</x:v>
      </x:c>
      <x:c r="G404" t="s">
        <x:v>1914</x:v>
      </x:c>
      <x:c r="H404" t="s">
        <x:v>1915</x:v>
      </x:c>
      <x:c r="I404" t="s">
        <x:v>412</x:v>
      </x:c>
      <x:c r="J404" t="s">
        <x:v>413</x:v>
      </x:c>
      <x:c r="K404" t="s">
        <x:v>37</x:v>
      </x:c>
      <x:c r="L404" t="s">
        <x:v>1916</x:v>
      </x:c>
      <x:c r="M404" t="s">
        <x:v>1917</x:v>
      </x:c>
      <x:c r="N404" t="s">
        <x:v>1914</x:v>
      </x:c>
      <x:c r="O404" t="s">
        <x:v>2040</x:v>
      </x:c>
      <x:c r="P404" t="s">
        <x:v>2041</x:v>
      </x:c>
      <x:c r="Q404">
        <x:v>1</x:v>
      </x:c>
      <x:c r="R404" t="s">
        <x:v>42</x:v>
      </x:c>
      <x:c r="S404" t="s">
        <x:v>44</x:v>
      </x:c>
      <x:c r="T404" t="s">
        <x:v>44</x:v>
      </x:c>
      <x:c r="U404" t="s">
        <x:v>532</x:v>
      </x:c>
      <x:c r="V404" t="s">
        <x:v>1980</x:v>
      </x:c>
      <x:c r="W404">
        <x:v>63.56</x:v>
      </x:c>
      <x:c r="X404" t="s">
        <x:v>2042</x:v>
      </x:c>
      <x:c r="Y404" t="s">
        <x:v>48</x:v>
      </x:c>
      <x:c r="Z404" t="s">
        <x:v>535</x:v>
      </x:c>
      <x:c r="AA404">
        <x:v>982673362</x:v>
      </x:c>
      <x:c r="AB404" t="s">
        <x:v>417</x:v>
      </x:c>
    </x:row>
    <x:row r="405">
      <x:c r="A405" s="1">
        <x:v>46256</x:v>
      </x:c>
      <x:c r="B405" t="s">
        <x:v>2043</x:v>
      </x:c>
      <x:c r="C405" t="s">
        <x:v>29</x:v>
      </x:c>
      <x:c r="D405" t="s">
        <x:v>2044</x:v>
      </x:c>
      <x:c r="E405" t="s">
        <x:v>31</x:v>
      </x:c>
      <x:c r="F405" t="s">
        <x:v>2045</x:v>
      </x:c>
      <x:c r="G405" t="s">
        <x:v>2046</x:v>
      </x:c>
      <x:c r="H405" t="s">
        <x:v>2047</x:v>
      </x:c>
      <x:c r="I405" t="s">
        <x:v>2048</x:v>
      </x:c>
      <x:c r="J405" t="s">
        <x:v>2049</x:v>
      </x:c>
      <x:c r="K405" t="s">
        <x:v>37</x:v>
      </x:c>
      <x:c r="L405" t="s">
        <x:v>2050</x:v>
      </x:c>
      <x:c r="M405" t="s">
        <x:v>2051</x:v>
      </x:c>
      <x:c r="N405" t="s">
        <x:v>2046</x:v>
      </x:c>
      <x:c r="O405" t="s">
        <x:v>2052</x:v>
      </x:c>
      <x:c r="P405" t="s">
        <x:v>102</x:v>
      </x:c>
      <x:c r="Q405">
        <x:v>1</x:v>
      </x:c>
      <x:c r="R405" t="s">
        <x:v>42</x:v>
      </x:c>
      <x:c r="S405" t="s">
        <x:v>44</x:v>
      </x:c>
      <x:c r="T405" t="s">
        <x:v>44</x:v>
      </x:c>
      <x:c r="U405" t="s">
        <x:v>45</x:v>
      </x:c>
      <x:c r="V405" t="s">
        <x:v>60</x:v>
      </x:c>
      <x:c r="W405">
        <x:v>186.44</x:v>
      </x:c>
      <x:c r="X405" t="s">
        <x:v>47</x:v>
      </x:c>
      <x:c r="Y405" t="s">
        <x:v>48</x:v>
      </x:c>
      <x:c r="Z405" t="s">
        <x:v>49</x:v>
      </x:c>
      <x:c r="AA405">
        <x:v>986661693</x:v>
      </x:c>
      <x:c r="AB405" t="s">
        <x:v>2053</x:v>
      </x:c>
    </x:row>
    <x:row r="406">
      <x:c r="A406" s="1">
        <x:v>46256</x:v>
      </x:c>
      <x:c r="B406" t="s">
        <x:v>2054</x:v>
      </x:c>
      <x:c r="C406" t="s">
        <x:v>29</x:v>
      </x:c>
      <x:c r="D406" t="s">
        <x:v>2055</x:v>
      </x:c>
      <x:c r="E406" t="s">
        <x:v>31</x:v>
      </x:c>
      <x:c r="F406" t="s">
        <x:v>2056</x:v>
      </x:c>
      <x:c r="G406" t="s">
        <x:v>2057</x:v>
      </x:c>
      <x:c r="H406" t="s">
        <x:v>2058</x:v>
      </x:c>
      <x:c r="I406" t="s">
        <x:v>1390</x:v>
      </x:c>
      <x:c r="K406" t="s">
        <x:v>37</x:v>
      </x:c>
      <x:c r="L406" t="s">
        <x:v>2059</x:v>
      </x:c>
      <x:c r="M406" t="s">
        <x:v>2060</x:v>
      </x:c>
      <x:c r="N406" t="s">
        <x:v>2057</x:v>
      </x:c>
      <x:c r="O406" t="s">
        <x:v>2061</x:v>
      </x:c>
      <x:c r="P406" t="s">
        <x:v>160</x:v>
      </x:c>
      <x:c r="Q406">
        <x:v>1</x:v>
      </x:c>
      <x:c r="R406" t="s">
        <x:v>42</x:v>
      </x:c>
      <x:c r="S406" t="s">
        <x:v>44</x:v>
      </x:c>
      <x:c r="T406" t="s">
        <x:v>44</x:v>
      </x:c>
      <x:c r="U406" t="s">
        <x:v>45</x:v>
      </x:c>
      <x:c r="V406" t="s">
        <x:v>46</x:v>
      </x:c>
      <x:c r="W406">
        <x:v>135.59</x:v>
      </x:c>
      <x:c r="X406" t="s">
        <x:v>47</x:v>
      </x:c>
      <x:c r="Y406" t="s">
        <x:v>48</x:v>
      </x:c>
      <x:c r="Z406" t="s">
        <x:v>49</x:v>
      </x:c>
      <x:c r="AB406" t="s">
        <x:v>1394</x:v>
      </x:c>
    </x:row>
    <x:row r="407">
      <x:c r="A407" s="1">
        <x:v>46256</x:v>
      </x:c>
      <x:c r="B407" t="s">
        <x:v>2062</x:v>
      </x:c>
      <x:c r="C407" t="s">
        <x:v>29</x:v>
      </x:c>
      <x:c r="D407" t="s">
        <x:v>2063</x:v>
      </x:c>
      <x:c r="E407" t="s">
        <x:v>31</x:v>
      </x:c>
      <x:c r="F407" t="s">
        <x:v>2064</x:v>
      </x:c>
      <x:c r="G407" t="s">
        <x:v>2065</x:v>
      </x:c>
      <x:c r="H407" t="s">
        <x:v>2066</x:v>
      </x:c>
      <x:c r="I407" t="s">
        <x:v>1390</x:v>
      </x:c>
      <x:c r="K407" t="s">
        <x:v>37</x:v>
      </x:c>
      <x:c r="L407" t="s">
        <x:v>2067</x:v>
      </x:c>
      <x:c r="M407" t="s">
        <x:v>2068</x:v>
      </x:c>
      <x:c r="N407" t="s">
        <x:v>2065</x:v>
      </x:c>
      <x:c r="O407" t="s">
        <x:v>2069</x:v>
      </x:c>
      <x:c r="P407" t="s">
        <x:v>160</x:v>
      </x:c>
      <x:c r="Q407">
        <x:v>1</x:v>
      </x:c>
      <x:c r="R407" t="s">
        <x:v>42</x:v>
      </x:c>
      <x:c r="S407" t="s">
        <x:v>44</x:v>
      </x:c>
      <x:c r="T407" t="s">
        <x:v>44</x:v>
      </x:c>
      <x:c r="U407" t="s">
        <x:v>45</x:v>
      </x:c>
      <x:c r="V407" t="s">
        <x:v>46</x:v>
      </x:c>
      <x:c r="W407">
        <x:v>135.59</x:v>
      </x:c>
      <x:c r="X407" t="s">
        <x:v>47</x:v>
      </x:c>
      <x:c r="Y407" t="s">
        <x:v>48</x:v>
      </x:c>
      <x:c r="Z407" t="s">
        <x:v>49</x:v>
      </x:c>
      <x:c r="AB407" t="s">
        <x:v>1394</x:v>
      </x:c>
    </x:row>
    <x:row r="408">
      <x:c r="A408" s="1">
        <x:v>46256</x:v>
      </x:c>
      <x:c r="B408" t="s">
        <x:v>2070</x:v>
      </x:c>
      <x:c r="C408" t="s">
        <x:v>29</x:v>
      </x:c>
      <x:c r="D408" t="s">
        <x:v>2071</x:v>
      </x:c>
      <x:c r="E408" t="s">
        <x:v>31</x:v>
      </x:c>
      <x:c r="F408" t="s">
        <x:v>2072</x:v>
      </x:c>
      <x:c r="G408" t="s">
        <x:v>2073</x:v>
      </x:c>
      <x:c r="H408" t="s">
        <x:v>2074</x:v>
      </x:c>
      <x:c r="I408" t="s">
        <x:v>1511</x:v>
      </x:c>
      <x:c r="K408" t="s">
        <x:v>37</x:v>
      </x:c>
      <x:c r="L408" t="s">
        <x:v>2075</x:v>
      </x:c>
      <x:c r="M408" t="s">
        <x:v>2076</x:v>
      </x:c>
      <x:c r="N408" t="s">
        <x:v>2073</x:v>
      </x:c>
      <x:c r="O408" t="s">
        <x:v>2077</x:v>
      </x:c>
      <x:c r="P408" t="s">
        <x:v>203</x:v>
      </x:c>
      <x:c r="Q408">
        <x:v>1</x:v>
      </x:c>
      <x:c r="R408" t="s">
        <x:v>42</x:v>
      </x:c>
      <x:c r="S408" t="s">
        <x:v>44</x:v>
      </x:c>
      <x:c r="T408" t="s">
        <x:v>44</x:v>
      </x:c>
      <x:c r="U408" t="s">
        <x:v>71</x:v>
      </x:c>
      <x:c r="V408" t="s">
        <x:v>2078</x:v>
      </x:c>
      <x:c r="W408">
        <x:v>135.59</x:v>
      </x:c>
      <x:c r="X408" t="s">
        <x:v>47</x:v>
      </x:c>
      <x:c r="Y408" t="s">
        <x:v>48</x:v>
      </x:c>
      <x:c r="Z408" t="s">
        <x:v>73</x:v>
      </x:c>
    </x:row>
    <x:row r="409">
      <x:c r="A409" s="1">
        <x:v>46256</x:v>
      </x:c>
      <x:c r="B409" t="s">
        <x:v>2079</x:v>
      </x:c>
      <x:c r="C409" t="s">
        <x:v>29</x:v>
      </x:c>
      <x:c r="D409" t="s">
        <x:v>2080</x:v>
      </x:c>
      <x:c r="E409" t="s">
        <x:v>31</x:v>
      </x:c>
      <x:c r="F409" t="s">
        <x:v>2081</x:v>
      </x:c>
      <x:c r="G409" t="s">
        <x:v>2082</x:v>
      </x:c>
      <x:c r="H409" t="s">
        <x:v>2083</x:v>
      </x:c>
      <x:c r="I409" t="s">
        <x:v>435</x:v>
      </x:c>
      <x:c r="J409" t="s">
        <x:v>436</x:v>
      </x:c>
      <x:c r="K409" t="s">
        <x:v>37</x:v>
      </x:c>
      <x:c r="L409" t="s">
        <x:v>2084</x:v>
      </x:c>
      <x:c r="M409" t="s">
        <x:v>2085</x:v>
      </x:c>
      <x:c r="N409" t="s">
        <x:v>2082</x:v>
      </x:c>
      <x:c r="O409" t="s">
        <x:v>2086</x:v>
      </x:c>
      <x:c r="P409" t="s">
        <x:v>91</x:v>
      </x:c>
      <x:c r="Q409">
        <x:v>1</x:v>
      </x:c>
      <x:c r="R409" t="s">
        <x:v>70</x:v>
      </x:c>
      <x:c r="S409" t="s">
        <x:v>43</x:v>
      </x:c>
      <x:c r="T409" t="s">
        <x:v>44</x:v>
      </x:c>
      <x:c r="U409" t="s">
        <x:v>71</x:v>
      </x:c>
      <x:c r="V409" t="s">
        <x:v>72</x:v>
      </x:c>
      <x:c r="W409">
        <x:v>135.59</x:v>
      </x:c>
      <x:c r="X409" t="s">
        <x:v>47</x:v>
      </x:c>
      <x:c r="Y409" t="s">
        <x:v>48</x:v>
      </x:c>
      <x:c r="Z409" t="s">
        <x:v>73</x:v>
      </x:c>
      <x:c r="AA409">
        <x:v>992903716</x:v>
      </x:c>
      <x:c r="AB409" t="s">
        <x:v>440</x:v>
      </x:c>
    </x:row>
    <x:row r="410">
      <x:c r="A410" s="1">
        <x:v>46256</x:v>
      </x:c>
      <x:c r="B410" t="s">
        <x:v>2087</x:v>
      </x:c>
      <x:c r="C410" t="s">
        <x:v>29</x:v>
      </x:c>
      <x:c r="D410" t="s">
        <x:v>2088</x:v>
      </x:c>
      <x:c r="E410" t="s">
        <x:v>31</x:v>
      </x:c>
      <x:c r="F410" t="s">
        <x:v>2089</x:v>
      </x:c>
      <x:c r="G410" t="s">
        <x:v>2090</x:v>
      </x:c>
      <x:c r="H410" t="s">
        <x:v>2091</x:v>
      </x:c>
      <x:c r="I410" t="s">
        <x:v>776</x:v>
      </x:c>
      <x:c r="J410" t="s">
        <x:v>777</x:v>
      </x:c>
      <x:c r="K410" t="s">
        <x:v>37</x:v>
      </x:c>
      <x:c r="L410" t="s">
        <x:v>2092</x:v>
      </x:c>
      <x:c r="M410" t="s">
        <x:v>2093</x:v>
      </x:c>
      <x:c r="N410" t="s">
        <x:v>2090</x:v>
      </x:c>
      <x:c r="O410" t="s">
        <x:v>2094</x:v>
      </x:c>
      <x:c r="P410" t="s">
        <x:v>102</x:v>
      </x:c>
      <x:c r="Q410">
        <x:v>1</x:v>
      </x:c>
      <x:c r="R410" t="s">
        <x:v>42</x:v>
      </x:c>
      <x:c r="S410" t="s">
        <x:v>44</x:v>
      </x:c>
      <x:c r="T410" t="s">
        <x:v>44</x:v>
      </x:c>
      <x:c r="U410" t="s">
        <x:v>71</x:v>
      </x:c>
      <x:c r="V410" t="s">
        <x:v>72</x:v>
      </x:c>
      <x:c r="W410">
        <x:v>186.44</x:v>
      </x:c>
      <x:c r="X410" t="s">
        <x:v>47</x:v>
      </x:c>
      <x:c r="Y410" t="s">
        <x:v>48</x:v>
      </x:c>
      <x:c r="Z410" t="s">
        <x:v>73</x:v>
      </x:c>
    </x:row>
    <x:row r="411">
      <x:c r="A411" s="1">
        <x:v>46258</x:v>
      </x:c>
      <x:c r="B411" t="s">
        <x:v>2095</x:v>
      </x:c>
      <x:c r="C411" t="s">
        <x:v>29</x:v>
      </x:c>
      <x:c r="D411" t="s">
        <x:v>2096</x:v>
      </x:c>
      <x:c r="E411" t="s">
        <x:v>31</x:v>
      </x:c>
      <x:c r="F411" t="s">
        <x:v>2097</x:v>
      </x:c>
      <x:c r="G411" t="s">
        <x:v>2098</x:v>
      </x:c>
      <x:c r="H411" t="s">
        <x:v>2099</x:v>
      </x:c>
      <x:c r="I411" t="s">
        <x:v>412</x:v>
      </x:c>
      <x:c r="J411" t="s">
        <x:v>413</x:v>
      </x:c>
      <x:c r="K411" t="s">
        <x:v>37</x:v>
      </x:c>
      <x:c r="L411" t="s">
        <x:v>2100</x:v>
      </x:c>
      <x:c r="M411" t="s">
        <x:v>2101</x:v>
      </x:c>
      <x:c r="N411" t="s">
        <x:v>2098</x:v>
      </x:c>
      <x:c r="O411" t="s">
        <x:v>2102</x:v>
      </x:c>
      <x:c r="P411" t="s">
        <x:v>41</x:v>
      </x:c>
      <x:c r="Q411">
        <x:v>1</x:v>
      </x:c>
      <x:c r="R411" t="s">
        <x:v>42</x:v>
      </x:c>
      <x:c r="S411" t="s">
        <x:v>44</x:v>
      </x:c>
      <x:c r="T411" t="s">
        <x:v>44</x:v>
      </x:c>
      <x:c r="U411" t="s">
        <x:v>45</x:v>
      </x:c>
      <x:c r="V411" t="s">
        <x:v>46</x:v>
      </x:c>
      <x:c r="W411">
        <x:v>186.44</x:v>
      </x:c>
      <x:c r="X411" t="s">
        <x:v>47</x:v>
      </x:c>
      <x:c r="Y411" t="s">
        <x:v>48</x:v>
      </x:c>
      <x:c r="Z411" t="s">
        <x:v>49</x:v>
      </x:c>
      <x:c r="AA411">
        <x:v>982673362</x:v>
      </x:c>
      <x:c r="AB411" t="s">
        <x:v>417</x:v>
      </x:c>
    </x:row>
    <x:row r="412">
      <x:c r="A412" s="1">
        <x:v>46258</x:v>
      </x:c>
      <x:c r="B412" t="s">
        <x:v>2103</x:v>
      </x:c>
      <x:c r="C412" t="s">
        <x:v>29</x:v>
      </x:c>
      <x:c r="D412" t="s">
        <x:v>2104</x:v>
      </x:c>
      <x:c r="E412" t="s">
        <x:v>31</x:v>
      </x:c>
      <x:c r="F412" t="s">
        <x:v>2105</x:v>
      </x:c>
      <x:c r="G412" t="s">
        <x:v>2098</x:v>
      </x:c>
      <x:c r="H412" t="s">
        <x:v>2099</x:v>
      </x:c>
      <x:c r="I412" t="s">
        <x:v>412</x:v>
      </x:c>
      <x:c r="J412" t="s">
        <x:v>413</x:v>
      </x:c>
      <x:c r="K412" t="s">
        <x:v>37</x:v>
      </x:c>
      <x:c r="L412" t="s">
        <x:v>2100</x:v>
      </x:c>
      <x:c r="M412" t="s">
        <x:v>2101</x:v>
      </x:c>
      <x:c r="N412" t="s">
        <x:v>2098</x:v>
      </x:c>
      <x:c r="O412" t="s">
        <x:v>2106</x:v>
      </x:c>
      <x:c r="P412" t="s">
        <x:v>102</x:v>
      </x:c>
      <x:c r="Q412">
        <x:v>1</x:v>
      </x:c>
      <x:c r="R412" t="s">
        <x:v>42</x:v>
      </x:c>
      <x:c r="S412" t="s">
        <x:v>44</x:v>
      </x:c>
      <x:c r="T412" t="s">
        <x:v>44</x:v>
      </x:c>
      <x:c r="U412" t="s">
        <x:v>45</x:v>
      </x:c>
      <x:c r="V412" t="s">
        <x:v>46</x:v>
      </x:c>
      <x:c r="W412">
        <x:v>186.44</x:v>
      </x:c>
      <x:c r="X412" t="s">
        <x:v>47</x:v>
      </x:c>
      <x:c r="Y412" t="s">
        <x:v>48</x:v>
      </x:c>
      <x:c r="Z412" t="s">
        <x:v>49</x:v>
      </x:c>
      <x:c r="AA412">
        <x:v>982673362</x:v>
      </x:c>
      <x:c r="AB412" t="s">
        <x:v>417</x:v>
      </x:c>
    </x:row>
    <x:row r="413">
      <x:c r="A413" s="1">
        <x:v>46258</x:v>
      </x:c>
      <x:c r="B413" t="s">
        <x:v>2107</x:v>
      </x:c>
      <x:c r="C413" t="s">
        <x:v>29</x:v>
      </x:c>
      <x:c r="D413" t="s">
        <x:v>2108</x:v>
      </x:c>
      <x:c r="E413" t="s">
        <x:v>31</x:v>
      </x:c>
      <x:c r="F413" t="s">
        <x:v>2109</x:v>
      </x:c>
      <x:c r="G413" t="s">
        <x:v>2110</x:v>
      </x:c>
      <x:c r="H413" t="s">
        <x:v>2111</x:v>
      </x:c>
      <x:c r="I413" t="s">
        <x:v>137</x:v>
      </x:c>
      <x:c r="J413" t="s">
        <x:v>138</x:v>
      </x:c>
      <x:c r="K413" t="s">
        <x:v>37</x:v>
      </x:c>
      <x:c r="L413" t="s">
        <x:v>2112</x:v>
      </x:c>
      <x:c r="M413" t="s">
        <x:v>2113</x:v>
      </x:c>
      <x:c r="N413" t="s">
        <x:v>2110</x:v>
      </x:c>
      <x:c r="O413" t="s">
        <x:v>2114</x:v>
      </x:c>
      <x:c r="P413" t="s">
        <x:v>41</x:v>
      </x:c>
      <x:c r="Q413">
        <x:v>1</x:v>
      </x:c>
      <x:c r="R413" t="s">
        <x:v>42</x:v>
      </x:c>
      <x:c r="S413" t="s">
        <x:v>44</x:v>
      </x:c>
      <x:c r="T413" t="s">
        <x:v>44</x:v>
      </x:c>
      <x:c r="U413" t="s">
        <x:v>45</x:v>
      </x:c>
      <x:c r="V413" t="s">
        <x:v>46</x:v>
      </x:c>
      <x:c r="W413">
        <x:v>186.44</x:v>
      </x:c>
      <x:c r="X413" t="s">
        <x:v>47</x:v>
      </x:c>
      <x:c r="Y413" t="s">
        <x:v>48</x:v>
      </x:c>
      <x:c r="Z413" t="s">
        <x:v>49</x:v>
      </x:c>
      <x:c r="AA413">
        <x:v>987407712</x:v>
      </x:c>
      <x:c r="AB413" t="s">
        <x:v>142</x:v>
      </x:c>
    </x:row>
    <x:row r="414">
      <x:c r="A414" s="1">
        <x:v>46258</x:v>
      </x:c>
      <x:c r="B414" t="s">
        <x:v>2115</x:v>
      </x:c>
      <x:c r="C414" t="s">
        <x:v>29</x:v>
      </x:c>
      <x:c r="D414" t="s">
        <x:v>2116</x:v>
      </x:c>
      <x:c r="E414" t="s">
        <x:v>31</x:v>
      </x:c>
      <x:c r="F414" t="s">
        <x:v>2117</x:v>
      </x:c>
      <x:c r="G414" t="s">
        <x:v>2118</x:v>
      </x:c>
      <x:c r="H414" t="s">
        <x:v>2119</x:v>
      </x:c>
      <x:c r="I414" t="s">
        <x:v>664</x:v>
      </x:c>
      <x:c r="J414" t="s">
        <x:v>36</x:v>
      </x:c>
      <x:c r="K414" t="s">
        <x:v>37</x:v>
      </x:c>
      <x:c r="L414" t="s">
        <x:v>2120</x:v>
      </x:c>
      <x:c r="M414" t="s">
        <x:v>2121</x:v>
      </x:c>
      <x:c r="N414" t="s">
        <x:v>2118</x:v>
      </x:c>
      <x:c r="O414" t="s">
        <x:v>2122</x:v>
      </x:c>
      <x:c r="P414" t="s">
        <x:v>102</x:v>
      </x:c>
      <x:c r="Q414">
        <x:v>1</x:v>
      </x:c>
      <x:c r="R414" t="s">
        <x:v>42</x:v>
      </x:c>
      <x:c r="S414" t="s">
        <x:v>44</x:v>
      </x:c>
      <x:c r="T414" t="s">
        <x:v>44</x:v>
      </x:c>
      <x:c r="U414" t="s">
        <x:v>45</x:v>
      </x:c>
      <x:c r="V414" t="s">
        <x:v>46</x:v>
      </x:c>
      <x:c r="W414">
        <x:v>186.44</x:v>
      </x:c>
      <x:c r="X414" t="s">
        <x:v>47</x:v>
      </x:c>
      <x:c r="Y414" t="s">
        <x:v>48</x:v>
      </x:c>
      <x:c r="Z414" t="s">
        <x:v>49</x:v>
      </x:c>
      <x:c r="AA414">
        <x:v>997145685</x:v>
      </x:c>
      <x:c r="AB414" t="s">
        <x:v>668</x:v>
      </x:c>
    </x:row>
    <x:row r="415">
      <x:c r="A415" s="1">
        <x:v>46258</x:v>
      </x:c>
      <x:c r="B415" t="s">
        <x:v>2123</x:v>
      </x:c>
      <x:c r="C415" t="s">
        <x:v>29</x:v>
      </x:c>
      <x:c r="D415" t="s">
        <x:v>2124</x:v>
      </x:c>
      <x:c r="E415" t="s">
        <x:v>31</x:v>
      </x:c>
      <x:c r="F415" t="s">
        <x:v>2125</x:v>
      </x:c>
      <x:c r="G415" t="s">
        <x:v>2126</x:v>
      </x:c>
      <x:c r="H415" t="s">
        <x:v>2127</x:v>
      </x:c>
      <x:c r="I415" t="s">
        <x:v>706</x:v>
      </x:c>
      <x:c r="J415" t="s">
        <x:v>707</x:v>
      </x:c>
      <x:c r="K415" t="s">
        <x:v>37</x:v>
      </x:c>
      <x:c r="L415" t="s">
        <x:v>2128</x:v>
      </x:c>
      <x:c r="M415" t="s">
        <x:v>2129</x:v>
      </x:c>
      <x:c r="N415" t="s">
        <x:v>2126</x:v>
      </x:c>
      <x:c r="O415" t="s">
        <x:v>2130</x:v>
      </x:c>
      <x:c r="P415" t="s">
        <x:v>160</x:v>
      </x:c>
      <x:c r="Q415">
        <x:v>1</x:v>
      </x:c>
      <x:c r="R415" t="s">
        <x:v>42</x:v>
      </x:c>
      <x:c r="S415" t="s">
        <x:v>44</x:v>
      </x:c>
      <x:c r="T415" t="s">
        <x:v>44</x:v>
      </x:c>
      <x:c r="U415" t="s">
        <x:v>45</x:v>
      </x:c>
      <x:c r="V415" t="s">
        <x:v>46</x:v>
      </x:c>
      <x:c r="W415">
        <x:v>135.59</x:v>
      </x:c>
      <x:c r="X415" t="s">
        <x:v>47</x:v>
      </x:c>
      <x:c r="Y415" t="s">
        <x:v>48</x:v>
      </x:c>
      <x:c r="Z415" t="s">
        <x:v>49</x:v>
      </x:c>
      <x:c r="AA415">
        <x:v>998418895</x:v>
      </x:c>
      <x:c r="AB415" t="s">
        <x:v>711</x:v>
      </x:c>
    </x:row>
    <x:row r="416">
      <x:c r="A416" s="1">
        <x:v>46258</x:v>
      </x:c>
      <x:c r="B416" t="s">
        <x:v>2123</x:v>
      </x:c>
      <x:c r="C416" t="s">
        <x:v>29</x:v>
      </x:c>
      <x:c r="D416" t="s">
        <x:v>2124</x:v>
      </x:c>
      <x:c r="E416" t="s">
        <x:v>31</x:v>
      </x:c>
      <x:c r="F416" t="s">
        <x:v>2125</x:v>
      </x:c>
      <x:c r="G416" t="s">
        <x:v>2126</x:v>
      </x:c>
      <x:c r="H416" t="s">
        <x:v>2127</x:v>
      </x:c>
      <x:c r="I416" t="s">
        <x:v>706</x:v>
      </x:c>
      <x:c r="J416" t="s">
        <x:v>707</x:v>
      </x:c>
      <x:c r="K416" t="s">
        <x:v>37</x:v>
      </x:c>
      <x:c r="L416" t="s">
        <x:v>2128</x:v>
      </x:c>
      <x:c r="M416" t="s">
        <x:v>2129</x:v>
      </x:c>
      <x:c r="N416" t="s">
        <x:v>2126</x:v>
      </x:c>
      <x:c r="O416" t="s">
        <x:v>2130</x:v>
      </x:c>
      <x:c r="P416" t="s">
        <x:v>159</x:v>
      </x:c>
      <x:c r="Q416">
        <x:v>1</x:v>
      </x:c>
      <x:c r="R416" t="s">
        <x:v>42</x:v>
      </x:c>
      <x:c r="S416" t="s">
        <x:v>44</x:v>
      </x:c>
      <x:c r="T416" t="s">
        <x:v>44</x:v>
      </x:c>
      <x:c r="U416" t="s">
        <x:v>45</x:v>
      </x:c>
      <x:c r="V416" t="s">
        <x:v>46</x:v>
      </x:c>
      <x:c r="W416">
        <x:v>152.54</x:v>
      </x:c>
      <x:c r="X416" t="s">
        <x:v>47</x:v>
      </x:c>
      <x:c r="Y416" t="s">
        <x:v>48</x:v>
      </x:c>
      <x:c r="Z416" t="s">
        <x:v>49</x:v>
      </x:c>
      <x:c r="AA416">
        <x:v>998418895</x:v>
      </x:c>
      <x:c r="AB416" t="s">
        <x:v>711</x:v>
      </x:c>
    </x:row>
    <x:row r="417">
      <x:c r="A417" s="1">
        <x:v>46258</x:v>
      </x:c>
      <x:c r="B417" t="s">
        <x:v>2123</x:v>
      </x:c>
      <x:c r="C417" t="s">
        <x:v>29</x:v>
      </x:c>
      <x:c r="D417" t="s">
        <x:v>2124</x:v>
      </x:c>
      <x:c r="E417" t="s">
        <x:v>31</x:v>
      </x:c>
      <x:c r="F417" t="s">
        <x:v>2125</x:v>
      </x:c>
      <x:c r="G417" t="s">
        <x:v>2126</x:v>
      </x:c>
      <x:c r="H417" t="s">
        <x:v>2127</x:v>
      </x:c>
      <x:c r="I417" t="s">
        <x:v>706</x:v>
      </x:c>
      <x:c r="J417" t="s">
        <x:v>707</x:v>
      </x:c>
      <x:c r="K417" t="s">
        <x:v>37</x:v>
      </x:c>
      <x:c r="L417" t="s">
        <x:v>2128</x:v>
      </x:c>
      <x:c r="M417" t="s">
        <x:v>2129</x:v>
      </x:c>
      <x:c r="N417" t="s">
        <x:v>2126</x:v>
      </x:c>
      <x:c r="O417" t="s">
        <x:v>2130</x:v>
      </x:c>
      <x:c r="P417" t="s">
        <x:v>102</x:v>
      </x:c>
      <x:c r="Q417">
        <x:v>1</x:v>
      </x:c>
      <x:c r="R417" t="s">
        <x:v>42</x:v>
      </x:c>
      <x:c r="S417" t="s">
        <x:v>44</x:v>
      </x:c>
      <x:c r="T417" t="s">
        <x:v>44</x:v>
      </x:c>
      <x:c r="U417" t="s">
        <x:v>45</x:v>
      </x:c>
      <x:c r="V417" t="s">
        <x:v>46</x:v>
      </x:c>
      <x:c r="W417">
        <x:v>186.44</x:v>
      </x:c>
      <x:c r="X417" t="s">
        <x:v>47</x:v>
      </x:c>
      <x:c r="Y417" t="s">
        <x:v>48</x:v>
      </x:c>
      <x:c r="Z417" t="s">
        <x:v>49</x:v>
      </x:c>
      <x:c r="AA417">
        <x:v>998418895</x:v>
      </x:c>
      <x:c r="AB417" t="s">
        <x:v>711</x:v>
      </x:c>
    </x:row>
    <x:row r="418">
      <x:c r="A418" s="1">
        <x:v>46258</x:v>
      </x:c>
      <x:c r="B418" t="s">
        <x:v>2131</x:v>
      </x:c>
      <x:c r="C418" t="s">
        <x:v>29</x:v>
      </x:c>
      <x:c r="D418" t="s">
        <x:v>2132</x:v>
      </x:c>
      <x:c r="E418" t="s">
        <x:v>31</x:v>
      </x:c>
      <x:c r="F418" t="s">
        <x:v>2133</x:v>
      </x:c>
      <x:c r="G418" t="s">
        <x:v>2134</x:v>
      </x:c>
      <x:c r="H418" t="s">
        <x:v>2135</x:v>
      </x:c>
      <x:c r="I418" t="s">
        <x:v>1390</x:v>
      </x:c>
      <x:c r="K418" t="s">
        <x:v>37</x:v>
      </x:c>
      <x:c r="L418" t="s">
        <x:v>2136</x:v>
      </x:c>
      <x:c r="M418" t="s">
        <x:v>2137</x:v>
      </x:c>
      <x:c r="N418" t="s">
        <x:v>2134</x:v>
      </x:c>
      <x:c r="O418" t="s">
        <x:v>2138</x:v>
      </x:c>
      <x:c r="P418" t="s">
        <x:v>203</x:v>
      </x:c>
      <x:c r="Q418">
        <x:v>1</x:v>
      </x:c>
      <x:c r="R418" t="s">
        <x:v>42</x:v>
      </x:c>
      <x:c r="S418" t="s">
        <x:v>44</x:v>
      </x:c>
      <x:c r="T418" t="s">
        <x:v>44</x:v>
      </x:c>
      <x:c r="U418" t="s">
        <x:v>71</x:v>
      </x:c>
      <x:c r="V418" t="s">
        <x:v>2078</x:v>
      </x:c>
      <x:c r="W418">
        <x:v>135.59</x:v>
      </x:c>
      <x:c r="X418" t="s">
        <x:v>47</x:v>
      </x:c>
      <x:c r="Y418" t="s">
        <x:v>48</x:v>
      </x:c>
      <x:c r="Z418" t="s">
        <x:v>73</x:v>
      </x:c>
      <x:c r="AB418" t="s">
        <x:v>1394</x:v>
      </x:c>
    </x:row>
    <x:row r="419">
      <x:c r="A419" s="1">
        <x:v>46258</x:v>
      </x:c>
      <x:c r="B419" t="s">
        <x:v>2139</x:v>
      </x:c>
      <x:c r="C419" t="s">
        <x:v>29</x:v>
      </x:c>
      <x:c r="D419" t="s">
        <x:v>2140</x:v>
      </x:c>
      <x:c r="E419" t="s">
        <x:v>31</x:v>
      </x:c>
      <x:c r="F419" t="s">
        <x:v>2141</x:v>
      </x:c>
      <x:c r="G419" t="s">
        <x:v>2142</x:v>
      </x:c>
      <x:c r="H419" t="s">
        <x:v>2143</x:v>
      </x:c>
      <x:c r="I419" t="s">
        <x:v>1326</x:v>
      </x:c>
      <x:c r="J419" t="s">
        <x:v>36</x:v>
      </x:c>
      <x:c r="K419" t="s">
        <x:v>37</x:v>
      </x:c>
      <x:c r="L419" t="s">
        <x:v>2144</x:v>
      </x:c>
      <x:c r="M419" t="s">
        <x:v>2145</x:v>
      </x:c>
      <x:c r="N419" t="s">
        <x:v>2142</x:v>
      </x:c>
      <x:c r="O419" t="s">
        <x:v>2146</x:v>
      </x:c>
      <x:c r="P419" t="s">
        <x:v>102</x:v>
      </x:c>
      <x:c r="Q419">
        <x:v>1</x:v>
      </x:c>
      <x:c r="R419" t="s">
        <x:v>70</x:v>
      </x:c>
      <x:c r="S419" t="s">
        <x:v>43</x:v>
      </x:c>
      <x:c r="T419" t="s">
        <x:v>44</x:v>
      </x:c>
      <x:c r="U419" t="s">
        <x:v>71</x:v>
      </x:c>
      <x:c r="V419" t="s">
        <x:v>72</x:v>
      </x:c>
      <x:c r="W419">
        <x:v>186.44</x:v>
      </x:c>
      <x:c r="X419" t="s">
        <x:v>47</x:v>
      </x:c>
      <x:c r="Y419" t="s">
        <x:v>48</x:v>
      </x:c>
      <x:c r="Z419" t="s">
        <x:v>73</x:v>
      </x:c>
      <x:c r="AA419">
        <x:v>999111362</x:v>
      </x:c>
      <x:c r="AB419" t="s">
        <x:v>1330</x:v>
      </x:c>
    </x:row>
    <x:row r="420">
      <x:c r="A420" s="1">
        <x:v>46258</x:v>
      </x:c>
      <x:c r="B420" t="s">
        <x:v>2147</x:v>
      </x:c>
      <x:c r="C420" t="s">
        <x:v>29</x:v>
      </x:c>
      <x:c r="D420" t="s">
        <x:v>2148</x:v>
      </x:c>
      <x:c r="E420" t="s">
        <x:v>31</x:v>
      </x:c>
      <x:c r="F420" t="s">
        <x:v>2149</x:v>
      </x:c>
      <x:c r="G420" t="s">
        <x:v>2150</x:v>
      </x:c>
      <x:c r="H420" t="s">
        <x:v>2151</x:v>
      </x:c>
      <x:c r="I420" t="s">
        <x:v>2152</x:v>
      </x:c>
      <x:c r="J420" t="s">
        <x:v>1546</x:v>
      </x:c>
      <x:c r="K420" t="s">
        <x:v>37</x:v>
      </x:c>
      <x:c r="L420" t="s">
        <x:v>2153</x:v>
      </x:c>
      <x:c r="M420" t="s">
        <x:v>2154</x:v>
      </x:c>
      <x:c r="N420" t="s">
        <x:v>2150</x:v>
      </x:c>
      <x:c r="O420" t="s">
        <x:v>2155</x:v>
      </x:c>
      <x:c r="P420" t="s">
        <x:v>102</x:v>
      </x:c>
      <x:c r="Q420">
        <x:v>1</x:v>
      </x:c>
      <x:c r="R420" t="s">
        <x:v>42</x:v>
      </x:c>
      <x:c r="S420" t="s">
        <x:v>44</x:v>
      </x:c>
      <x:c r="T420" t="s">
        <x:v>44</x:v>
      </x:c>
      <x:c r="U420" t="s">
        <x:v>45</x:v>
      </x:c>
      <x:c r="V420" t="s">
        <x:v>46</x:v>
      </x:c>
      <x:c r="W420">
        <x:v>186.44</x:v>
      </x:c>
      <x:c r="X420" t="s">
        <x:v>47</x:v>
      </x:c>
      <x:c r="Y420" t="s">
        <x:v>48</x:v>
      </x:c>
      <x:c r="Z420" t="s">
        <x:v>49</x:v>
      </x:c>
      <x:c r="AA420">
        <x:v>943089042</x:v>
      </x:c>
    </x:row>
    <x:row r="421">
      <x:c r="A421" s="1">
        <x:v>46258</x:v>
      </x:c>
      <x:c r="B421" t="s">
        <x:v>2156</x:v>
      </x:c>
      <x:c r="C421" t="s">
        <x:v>29</x:v>
      </x:c>
      <x:c r="D421" t="s">
        <x:v>2157</x:v>
      </x:c>
      <x:c r="E421" t="s">
        <x:v>31</x:v>
      </x:c>
      <x:c r="F421" t="s">
        <x:v>2158</x:v>
      </x:c>
      <x:c r="G421" t="s">
        <x:v>2159</x:v>
      </x:c>
      <x:c r="H421" t="s">
        <x:v>2160</x:v>
      </x:c>
      <x:c r="I421" t="s">
        <x:v>630</x:v>
      </x:c>
      <x:c r="J421" t="s">
        <x:v>631</x:v>
      </x:c>
      <x:c r="K421" t="s">
        <x:v>37</x:v>
      </x:c>
      <x:c r="L421" t="s">
        <x:v>2161</x:v>
      </x:c>
      <x:c r="M421" t="s">
        <x:v>2162</x:v>
      </x:c>
      <x:c r="N421" t="s">
        <x:v>2159</x:v>
      </x:c>
      <x:c r="O421" t="s">
        <x:v>2163</x:v>
      </x:c>
      <x:c r="P421" t="s">
        <x:v>41</x:v>
      </x:c>
      <x:c r="Q421">
        <x:v>1</x:v>
      </x:c>
      <x:c r="R421" t="s">
        <x:v>70</x:v>
      </x:c>
      <x:c r="S421" t="s">
        <x:v>43</x:v>
      </x:c>
      <x:c r="T421" t="s">
        <x:v>44</x:v>
      </x:c>
      <x:c r="U421" t="s">
        <x:v>71</x:v>
      </x:c>
      <x:c r="V421" t="s">
        <x:v>72</x:v>
      </x:c>
      <x:c r="W421">
        <x:v>186.44</x:v>
      </x:c>
      <x:c r="X421" t="s">
        <x:v>47</x:v>
      </x:c>
      <x:c r="Y421" t="s">
        <x:v>48</x:v>
      </x:c>
      <x:c r="Z421" t="s">
        <x:v>73</x:v>
      </x:c>
      <x:c r="AA421">
        <x:v>978789268</x:v>
      </x:c>
      <x:c r="AB421" t="s">
        <x:v>635</x:v>
      </x:c>
    </x:row>
    <x:row r="422">
      <x:c r="A422" s="1">
        <x:v>46258</x:v>
      </x:c>
      <x:c r="B422" t="s">
        <x:v>2164</x:v>
      </x:c>
      <x:c r="C422" t="s">
        <x:v>269</x:v>
      </x:c>
      <x:c r="D422" t="s">
        <x:v>2165</x:v>
      </x:c>
      <x:c r="E422" t="s">
        <x:v>31</x:v>
      </x:c>
      <x:c r="F422" t="s">
        <x:v>2166</x:v>
      </x:c>
      <x:c r="G422" t="s">
        <x:v>2167</x:v>
      </x:c>
      <x:c r="H422" t="s">
        <x:v>2168</x:v>
      </x:c>
      <x:c r="I422" t="s">
        <x:v>2169</x:v>
      </x:c>
      <x:c r="J422" t="s">
        <x:v>2170</x:v>
      </x:c>
      <x:c r="K422" t="s">
        <x:v>37</x:v>
      </x:c>
      <x:c r="L422" t="s">
        <x:v>2171</x:v>
      </x:c>
      <x:c r="M422" t="s">
        <x:v>2172</x:v>
      </x:c>
      <x:c r="N422" t="s">
        <x:v>2173</x:v>
      </x:c>
      <x:c r="O422" t="s">
        <x:v>2174</x:v>
      </x:c>
      <x:c r="P422" t="s">
        <x:v>91</x:v>
      </x:c>
      <x:c r="Q422">
        <x:v>1</x:v>
      </x:c>
      <x:c r="R422" t="s">
        <x:v>42</x:v>
      </x:c>
      <x:c r="S422" t="s">
        <x:v>44</x:v>
      </x:c>
      <x:c r="T422" t="s">
        <x:v>44</x:v>
      </x:c>
      <x:c r="U422" t="s">
        <x:v>45</x:v>
      </x:c>
      <x:c r="V422" t="s">
        <x:v>46</x:v>
      </x:c>
      <x:c r="W422">
        <x:v>135.59</x:v>
      </x:c>
      <x:c r="X422" t="s">
        <x:v>47</x:v>
      </x:c>
      <x:c r="Y422" t="s">
        <x:v>48</x:v>
      </x:c>
      <x:c r="Z422" t="s">
        <x:v>49</x:v>
      </x:c>
      <x:c r="AA422">
        <x:v>990006387</x:v>
      </x:c>
    </x:row>
    <x:row r="423">
      <x:c r="A423" s="1">
        <x:v>46259</x:v>
      </x:c>
      <x:c r="B423" t="s">
        <x:v>2175</x:v>
      </x:c>
      <x:c r="C423" t="s">
        <x:v>29</x:v>
      </x:c>
      <x:c r="D423" t="s">
        <x:v>2176</x:v>
      </x:c>
      <x:c r="E423" t="s">
        <x:v>31</x:v>
      </x:c>
      <x:c r="F423" t="s">
        <x:v>2177</x:v>
      </x:c>
      <x:c r="G423" t="s">
        <x:v>2178</x:v>
      </x:c>
      <x:c r="H423" t="s">
        <x:v>2179</x:v>
      </x:c>
      <x:c r="I423" t="s">
        <x:v>776</x:v>
      </x:c>
      <x:c r="J423" t="s">
        <x:v>777</x:v>
      </x:c>
      <x:c r="K423" t="s">
        <x:v>37</x:v>
      </x:c>
      <x:c r="L423" t="s">
        <x:v>2180</x:v>
      </x:c>
      <x:c r="M423" t="s">
        <x:v>2181</x:v>
      </x:c>
      <x:c r="N423" t="s">
        <x:v>2178</x:v>
      </x:c>
      <x:c r="O423" t="s">
        <x:v>2182</x:v>
      </x:c>
      <x:c r="P423" t="s">
        <x:v>643</x:v>
      </x:c>
      <x:c r="Q423">
        <x:v>1</x:v>
      </x:c>
      <x:c r="R423" t="s">
        <x:v>42</x:v>
      </x:c>
      <x:c r="S423" t="s">
        <x:v>44</x:v>
      </x:c>
      <x:c r="T423" t="s">
        <x:v>44</x:v>
      </x:c>
      <x:c r="U423" t="s">
        <x:v>45</x:v>
      </x:c>
      <x:c r="V423" t="s">
        <x:v>46</x:v>
      </x:c>
      <x:c r="W423">
        <x:v>84.75</x:v>
      </x:c>
      <x:c r="X423" t="s">
        <x:v>47</x:v>
      </x:c>
      <x:c r="Y423" t="s">
        <x:v>48</x:v>
      </x:c>
      <x:c r="Z423" t="s">
        <x:v>49</x:v>
      </x:c>
    </x:row>
    <x:row r="424">
      <x:c r="A424" s="1">
        <x:v>46259</x:v>
      </x:c>
      <x:c r="B424" t="s">
        <x:v>2183</x:v>
      </x:c>
      <x:c r="C424" t="s">
        <x:v>29</x:v>
      </x:c>
      <x:c r="D424" t="s">
        <x:v>2184</x:v>
      </x:c>
      <x:c r="E424" t="s">
        <x:v>31</x:v>
      </x:c>
      <x:c r="F424" t="s">
        <x:v>2185</x:v>
      </x:c>
      <x:c r="G424" t="s">
        <x:v>2178</x:v>
      </x:c>
      <x:c r="H424" t="s">
        <x:v>2179</x:v>
      </x:c>
      <x:c r="I424" t="s">
        <x:v>776</x:v>
      </x:c>
      <x:c r="J424" t="s">
        <x:v>777</x:v>
      </x:c>
      <x:c r="K424" t="s">
        <x:v>37</x:v>
      </x:c>
      <x:c r="L424" t="s">
        <x:v>2180</x:v>
      </x:c>
      <x:c r="M424" t="s">
        <x:v>2181</x:v>
      </x:c>
      <x:c r="N424" t="s">
        <x:v>2178</x:v>
      </x:c>
      <x:c r="O424" t="s">
        <x:v>2186</x:v>
      </x:c>
      <x:c r="P424" t="s">
        <x:v>830</x:v>
      </x:c>
      <x:c r="Q424">
        <x:v>1</x:v>
      </x:c>
      <x:c r="R424" t="s">
        <x:v>42</x:v>
      </x:c>
      <x:c r="S424" t="s">
        <x:v>44</x:v>
      </x:c>
      <x:c r="T424" t="s">
        <x:v>44</x:v>
      </x:c>
      <x:c r="U424" t="s">
        <x:v>45</x:v>
      </x:c>
      <x:c r="V424" t="s">
        <x:v>46</x:v>
      </x:c>
      <x:c r="W424">
        <x:v>127.12</x:v>
      </x:c>
      <x:c r="X424" t="s">
        <x:v>47</x:v>
      </x:c>
      <x:c r="Y424" t="s">
        <x:v>48</x:v>
      </x:c>
      <x:c r="Z424" t="s">
        <x:v>49</x:v>
      </x:c>
    </x:row>
    <x:row r="425">
      <x:c r="A425" s="1">
        <x:v>46259</x:v>
      </x:c>
      <x:c r="B425" t="s">
        <x:v>2187</x:v>
      </x:c>
      <x:c r="C425" t="s">
        <x:v>269</x:v>
      </x:c>
      <x:c r="D425" t="s">
        <x:v>2188</x:v>
      </x:c>
      <x:c r="E425" t="s">
        <x:v>31</x:v>
      </x:c>
      <x:c r="F425" t="s">
        <x:v>2189</x:v>
      </x:c>
      <x:c r="G425" t="s">
        <x:v>2190</x:v>
      </x:c>
      <x:c r="H425" t="s">
        <x:v>2191</x:v>
      </x:c>
      <x:c r="I425" t="s">
        <x:v>1326</x:v>
      </x:c>
      <x:c r="J425" t="s">
        <x:v>36</x:v>
      </x:c>
      <x:c r="K425" t="s">
        <x:v>37</x:v>
      </x:c>
      <x:c r="L425" t="s">
        <x:v>2192</x:v>
      </x:c>
      <x:c r="M425" t="s">
        <x:v>2193</x:v>
      </x:c>
      <x:c r="N425" t="s">
        <x:v>2194</x:v>
      </x:c>
      <x:c r="O425" t="s">
        <x:v>2195</x:v>
      </x:c>
      <x:c r="P425" t="s">
        <x:v>41</x:v>
      </x:c>
      <x:c r="Q425">
        <x:v>1</x:v>
      </x:c>
      <x:c r="R425" t="s">
        <x:v>42</x:v>
      </x:c>
      <x:c r="S425" t="s">
        <x:v>44</x:v>
      </x:c>
      <x:c r="T425" t="s">
        <x:v>44</x:v>
      </x:c>
      <x:c r="U425" t="s">
        <x:v>45</x:v>
      </x:c>
      <x:c r="V425" t="s">
        <x:v>60</x:v>
      </x:c>
      <x:c r="W425">
        <x:v>186.44</x:v>
      </x:c>
      <x:c r="X425" t="s">
        <x:v>47</x:v>
      </x:c>
      <x:c r="Y425" t="s">
        <x:v>48</x:v>
      </x:c>
      <x:c r="Z425" t="s">
        <x:v>49</x:v>
      </x:c>
      <x:c r="AA425">
        <x:v>999111362</x:v>
      </x:c>
      <x:c r="AB425" t="s">
        <x:v>1330</x:v>
      </x:c>
    </x:row>
    <x:row r="426">
      <x:c r="A426" s="1">
        <x:v>46259</x:v>
      </x:c>
      <x:c r="B426" t="s">
        <x:v>2196</x:v>
      </x:c>
      <x:c r="C426" t="s">
        <x:v>269</x:v>
      </x:c>
      <x:c r="D426" t="s">
        <x:v>2197</x:v>
      </x:c>
      <x:c r="E426" t="s">
        <x:v>31</x:v>
      </x:c>
      <x:c r="F426" t="s">
        <x:v>2198</x:v>
      </x:c>
      <x:c r="G426" t="s">
        <x:v>2199</x:v>
      </x:c>
      <x:c r="H426" t="s">
        <x:v>2200</x:v>
      </x:c>
      <x:c r="I426" t="s">
        <x:v>2201</x:v>
      </x:c>
      <x:c r="K426" t="s">
        <x:v>37</x:v>
      </x:c>
      <x:c r="L426" t="s">
        <x:v>2202</x:v>
      </x:c>
      <x:c r="M426" t="s">
        <x:v>2203</x:v>
      </x:c>
      <x:c r="N426" t="s">
        <x:v>2204</x:v>
      </x:c>
      <x:c r="O426" t="s">
        <x:v>2205</x:v>
      </x:c>
      <x:c r="P426" t="s">
        <x:v>203</x:v>
      </x:c>
      <x:c r="Q426">
        <x:v>1</x:v>
      </x:c>
      <x:c r="R426" t="s">
        <x:v>42</x:v>
      </x:c>
      <x:c r="S426" t="s">
        <x:v>44</x:v>
      </x:c>
      <x:c r="T426" t="s">
        <x:v>44</x:v>
      </x:c>
      <x:c r="U426" t="s">
        <x:v>45</x:v>
      </x:c>
      <x:c r="V426" t="s">
        <x:v>60</x:v>
      </x:c>
      <x:c r="W426">
        <x:v>135.59</x:v>
      </x:c>
      <x:c r="X426" t="s">
        <x:v>47</x:v>
      </x:c>
      <x:c r="Y426" t="s">
        <x:v>48</x:v>
      </x:c>
      <x:c r="Z426" t="s">
        <x:v>49</x:v>
      </x:c>
    </x:row>
    <x:row r="427">
      <x:c r="A427" s="1">
        <x:v>46259</x:v>
      </x:c>
      <x:c r="B427" t="s">
        <x:v>2206</x:v>
      </x:c>
      <x:c r="C427" t="s">
        <x:v>269</x:v>
      </x:c>
      <x:c r="D427" t="s">
        <x:v>2207</x:v>
      </x:c>
      <x:c r="E427" t="s">
        <x:v>31</x:v>
      </x:c>
      <x:c r="F427" t="s">
        <x:v>2208</x:v>
      </x:c>
      <x:c r="G427" t="s">
        <x:v>2209</x:v>
      </x:c>
      <x:c r="H427" t="s">
        <x:v>2210</x:v>
      </x:c>
      <x:c r="I427" t="s">
        <x:v>274</x:v>
      </x:c>
      <x:c r="J427" t="s">
        <x:v>275</x:v>
      </x:c>
      <x:c r="K427" t="s">
        <x:v>37</x:v>
      </x:c>
      <x:c r="L427" t="s">
        <x:v>2211</x:v>
      </x:c>
      <x:c r="M427" t="s">
        <x:v>2212</x:v>
      </x:c>
      <x:c r="N427" t="s">
        <x:v>278</x:v>
      </x:c>
      <x:c r="O427" t="s">
        <x:v>2213</x:v>
      </x:c>
      <x:c r="P427" t="s">
        <x:v>289</x:v>
      </x:c>
      <x:c r="Q427">
        <x:v>1</x:v>
      </x:c>
      <x:c r="R427" t="s">
        <x:v>42</x:v>
      </x:c>
      <x:c r="S427" t="s">
        <x:v>44</x:v>
      </x:c>
      <x:c r="T427" t="s">
        <x:v>44</x:v>
      </x:c>
      <x:c r="U427" t="s">
        <x:v>45</x:v>
      </x:c>
      <x:c r="V427" t="s">
        <x:v>46</x:v>
      </x:c>
      <x:c r="W427">
        <x:v>0</x:v>
      </x:c>
      <x:c r="X427" t="s">
        <x:v>290</x:v>
      </x:c>
      <x:c r="Y427" t="s">
        <x:v>48</x:v>
      </x:c>
      <x:c r="Z427" t="s">
        <x:v>49</x:v>
      </x:c>
      <x:c r="AA427">
        <x:v>950133748</x:v>
      </x:c>
      <x:c r="AB427" t="s">
        <x:v>280</x:v>
      </x:c>
    </x:row>
    <x:row r="428">
      <x:c r="A428" s="1">
        <x:v>46259</x:v>
      </x:c>
      <x:c r="B428" t="s">
        <x:v>2206</x:v>
      </x:c>
      <x:c r="C428" t="s">
        <x:v>269</x:v>
      </x:c>
      <x:c r="D428" t="s">
        <x:v>2207</x:v>
      </x:c>
      <x:c r="E428" t="s">
        <x:v>31</x:v>
      </x:c>
      <x:c r="F428" t="s">
        <x:v>2208</x:v>
      </x:c>
      <x:c r="G428" t="s">
        <x:v>2209</x:v>
      </x:c>
      <x:c r="H428" t="s">
        <x:v>2210</x:v>
      </x:c>
      <x:c r="I428" t="s">
        <x:v>274</x:v>
      </x:c>
      <x:c r="J428" t="s">
        <x:v>275</x:v>
      </x:c>
      <x:c r="K428" t="s">
        <x:v>37</x:v>
      </x:c>
      <x:c r="L428" t="s">
        <x:v>2211</x:v>
      </x:c>
      <x:c r="M428" t="s">
        <x:v>2212</x:v>
      </x:c>
      <x:c r="N428" t="s">
        <x:v>278</x:v>
      </x:c>
      <x:c r="O428" t="s">
        <x:v>2213</x:v>
      </x:c>
      <x:c r="P428" t="s">
        <x:v>291</x:v>
      </x:c>
      <x:c r="Q428">
        <x:v>1</x:v>
      </x:c>
      <x:c r="R428" t="s">
        <x:v>42</x:v>
      </x:c>
      <x:c r="S428" t="s">
        <x:v>44</x:v>
      </x:c>
      <x:c r="T428" t="s">
        <x:v>44</x:v>
      </x:c>
      <x:c r="U428" t="s">
        <x:v>45</x:v>
      </x:c>
      <x:c r="V428" t="s">
        <x:v>46</x:v>
      </x:c>
      <x:c r="W428">
        <x:v>3211.86</x:v>
      </x:c>
      <x:c r="X428" t="s">
        <x:v>290</x:v>
      </x:c>
      <x:c r="Y428" t="s">
        <x:v>48</x:v>
      </x:c>
      <x:c r="Z428" t="s">
        <x:v>49</x:v>
      </x:c>
      <x:c r="AA428">
        <x:v>950133748</x:v>
      </x:c>
      <x:c r="AB428" t="s">
        <x:v>280</x:v>
      </x:c>
    </x:row>
    <x:row r="429">
      <x:c r="A429" s="1">
        <x:v>46259</x:v>
      </x:c>
      <x:c r="B429" t="s">
        <x:v>2214</x:v>
      </x:c>
      <x:c r="C429" t="s">
        <x:v>269</x:v>
      </x:c>
      <x:c r="D429" t="s">
        <x:v>2215</x:v>
      </x:c>
      <x:c r="E429" t="s">
        <x:v>31</x:v>
      </x:c>
      <x:c r="F429" t="s">
        <x:v>2216</x:v>
      </x:c>
      <x:c r="G429" t="s">
        <x:v>2217</x:v>
      </x:c>
      <x:c r="H429" t="s">
        <x:v>2218</x:v>
      </x:c>
      <x:c r="I429" t="s">
        <x:v>274</x:v>
      </x:c>
      <x:c r="J429" t="s">
        <x:v>275</x:v>
      </x:c>
      <x:c r="K429" t="s">
        <x:v>37</x:v>
      </x:c>
      <x:c r="L429" t="s">
        <x:v>2219</x:v>
      </x:c>
      <x:c r="M429" t="s">
        <x:v>2220</x:v>
      </x:c>
      <x:c r="N429" t="s">
        <x:v>278</x:v>
      </x:c>
      <x:c r="O429" t="s">
        <x:v>2221</x:v>
      </x:c>
      <x:c r="P429" t="s">
        <x:v>289</x:v>
      </x:c>
      <x:c r="Q429">
        <x:v>1</x:v>
      </x:c>
      <x:c r="R429" t="s">
        <x:v>42</x:v>
      </x:c>
      <x:c r="S429" t="s">
        <x:v>44</x:v>
      </x:c>
      <x:c r="T429" t="s">
        <x:v>44</x:v>
      </x:c>
      <x:c r="U429" t="s">
        <x:v>45</x:v>
      </x:c>
      <x:c r="V429" t="s">
        <x:v>46</x:v>
      </x:c>
      <x:c r="W429">
        <x:v>0</x:v>
      </x:c>
      <x:c r="X429" t="s">
        <x:v>290</x:v>
      </x:c>
      <x:c r="Y429" t="s">
        <x:v>48</x:v>
      </x:c>
      <x:c r="Z429" t="s">
        <x:v>49</x:v>
      </x:c>
      <x:c r="AA429">
        <x:v>950133748</x:v>
      </x:c>
      <x:c r="AB429" t="s">
        <x:v>280</x:v>
      </x:c>
    </x:row>
    <x:row r="430">
      <x:c r="A430" s="1">
        <x:v>46259</x:v>
      </x:c>
      <x:c r="B430" t="s">
        <x:v>2214</x:v>
      </x:c>
      <x:c r="C430" t="s">
        <x:v>269</x:v>
      </x:c>
      <x:c r="D430" t="s">
        <x:v>2215</x:v>
      </x:c>
      <x:c r="E430" t="s">
        <x:v>31</x:v>
      </x:c>
      <x:c r="F430" t="s">
        <x:v>2216</x:v>
      </x:c>
      <x:c r="G430" t="s">
        <x:v>2217</x:v>
      </x:c>
      <x:c r="H430" t="s">
        <x:v>2218</x:v>
      </x:c>
      <x:c r="I430" t="s">
        <x:v>274</x:v>
      </x:c>
      <x:c r="J430" t="s">
        <x:v>275</x:v>
      </x:c>
      <x:c r="K430" t="s">
        <x:v>37</x:v>
      </x:c>
      <x:c r="L430" t="s">
        <x:v>2219</x:v>
      </x:c>
      <x:c r="M430" t="s">
        <x:v>2220</x:v>
      </x:c>
      <x:c r="N430" t="s">
        <x:v>278</x:v>
      </x:c>
      <x:c r="O430" t="s">
        <x:v>2221</x:v>
      </x:c>
      <x:c r="P430" t="s">
        <x:v>291</x:v>
      </x:c>
      <x:c r="Q430">
        <x:v>1</x:v>
      </x:c>
      <x:c r="R430" t="s">
        <x:v>42</x:v>
      </x:c>
      <x:c r="S430" t="s">
        <x:v>44</x:v>
      </x:c>
      <x:c r="T430" t="s">
        <x:v>44</x:v>
      </x:c>
      <x:c r="U430" t="s">
        <x:v>45</x:v>
      </x:c>
      <x:c r="V430" t="s">
        <x:v>46</x:v>
      </x:c>
      <x:c r="W430">
        <x:v>1305.08</x:v>
      </x:c>
      <x:c r="X430" t="s">
        <x:v>290</x:v>
      </x:c>
      <x:c r="Y430" t="s">
        <x:v>48</x:v>
      </x:c>
      <x:c r="Z430" t="s">
        <x:v>49</x:v>
      </x:c>
      <x:c r="AA430">
        <x:v>950133748</x:v>
      </x:c>
      <x:c r="AB430" t="s">
        <x:v>280</x:v>
      </x:c>
    </x:row>
    <x:row r="431">
      <x:c r="A431" s="1">
        <x:v>46259</x:v>
      </x:c>
      <x:c r="B431" t="s">
        <x:v>2222</x:v>
      </x:c>
      <x:c r="C431" t="s">
        <x:v>269</x:v>
      </x:c>
      <x:c r="D431" t="s">
        <x:v>2223</x:v>
      </x:c>
      <x:c r="E431" t="s">
        <x:v>31</x:v>
      </x:c>
      <x:c r="F431" t="s">
        <x:v>2224</x:v>
      </x:c>
      <x:c r="G431" t="s">
        <x:v>2209</x:v>
      </x:c>
      <x:c r="H431" t="s">
        <x:v>2210</x:v>
      </x:c>
      <x:c r="I431" t="s">
        <x:v>274</x:v>
      </x:c>
      <x:c r="J431" t="s">
        <x:v>275</x:v>
      </x:c>
      <x:c r="K431" t="s">
        <x:v>37</x:v>
      </x:c>
      <x:c r="L431" t="s">
        <x:v>2211</x:v>
      </x:c>
      <x:c r="M431" t="s">
        <x:v>2212</x:v>
      </x:c>
      <x:c r="N431" t="s">
        <x:v>278</x:v>
      </x:c>
      <x:c r="O431" t="s">
        <x:v>2225</x:v>
      </x:c>
      <x:c r="P431" t="s">
        <x:v>202</x:v>
      </x:c>
      <x:c r="Q431">
        <x:v>1</x:v>
      </x:c>
      <x:c r="R431" t="s">
        <x:v>42</x:v>
      </x:c>
      <x:c r="S431" t="s">
        <x:v>44</x:v>
      </x:c>
      <x:c r="T431" t="s">
        <x:v>44</x:v>
      </x:c>
      <x:c r="U431" t="s">
        <x:v>45</x:v>
      </x:c>
      <x:c r="V431" t="s">
        <x:v>60</x:v>
      </x:c>
      <x:c r="W431">
        <x:v>152.54</x:v>
      </x:c>
      <x:c r="X431" t="s">
        <x:v>47</x:v>
      </x:c>
      <x:c r="Y431" t="s">
        <x:v>48</x:v>
      </x:c>
      <x:c r="Z431" t="s">
        <x:v>49</x:v>
      </x:c>
      <x:c r="AA431">
        <x:v>950133748</x:v>
      </x:c>
      <x:c r="AB431" t="s">
        <x:v>280</x:v>
      </x:c>
    </x:row>
    <x:row r="432">
      <x:c r="A432" s="1">
        <x:v>46259</x:v>
      </x:c>
      <x:c r="B432" t="s">
        <x:v>2226</x:v>
      </x:c>
      <x:c r="C432" t="s">
        <x:v>29</x:v>
      </x:c>
      <x:c r="D432" t="s">
        <x:v>2227</x:v>
      </x:c>
      <x:c r="E432" t="s">
        <x:v>31</x:v>
      </x:c>
      <x:c r="F432" t="s">
        <x:v>2228</x:v>
      </x:c>
      <x:c r="G432" t="s">
        <x:v>2229</x:v>
      </x:c>
      <x:c r="H432" t="s">
        <x:v>2230</x:v>
      </x:c>
      <x:c r="I432" t="s">
        <x:v>1887</x:v>
      </x:c>
      <x:c r="K432" t="s">
        <x:v>37</x:v>
      </x:c>
      <x:c r="L432" t="s">
        <x:v>2231</x:v>
      </x:c>
      <x:c r="M432" t="s">
        <x:v>2232</x:v>
      </x:c>
      <x:c r="N432" t="s">
        <x:v>2229</x:v>
      </x:c>
      <x:c r="O432" t="s">
        <x:v>2233</x:v>
      </x:c>
      <x:c r="P432" t="s">
        <x:v>203</x:v>
      </x:c>
      <x:c r="Q432">
        <x:v>1</x:v>
      </x:c>
      <x:c r="R432" t="s">
        <x:v>42</x:v>
      </x:c>
      <x:c r="S432" t="s">
        <x:v>44</x:v>
      </x:c>
      <x:c r="T432" t="s">
        <x:v>44</x:v>
      </x:c>
      <x:c r="U432" t="s">
        <x:v>71</x:v>
      </x:c>
      <x:c r="V432" t="s">
        <x:v>2078</x:v>
      </x:c>
      <x:c r="W432">
        <x:v>135.59</x:v>
      </x:c>
      <x:c r="X432" t="s">
        <x:v>47</x:v>
      </x:c>
      <x:c r="Y432" t="s">
        <x:v>48</x:v>
      </x:c>
      <x:c r="Z432" t="s">
        <x:v>73</x:v>
      </x:c>
    </x:row>
    <x:row r="433">
      <x:c r="A433" s="1">
        <x:v>46259</x:v>
      </x:c>
      <x:c r="B433" t="s">
        <x:v>2234</x:v>
      </x:c>
      <x:c r="C433" t="s">
        <x:v>29</x:v>
      </x:c>
      <x:c r="D433" t="s">
        <x:v>2235</x:v>
      </x:c>
      <x:c r="E433" t="s">
        <x:v>31</x:v>
      </x:c>
      <x:c r="F433" t="s">
        <x:v>2236</x:v>
      </x:c>
      <x:c r="G433" t="s">
        <x:v>2237</x:v>
      </x:c>
      <x:c r="H433" t="s">
        <x:v>2238</x:v>
      </x:c>
      <x:c r="I433" t="s">
        <x:v>1630</x:v>
      </x:c>
      <x:c r="K433" t="s">
        <x:v>37</x:v>
      </x:c>
      <x:c r="L433" t="s">
        <x:v>2239</x:v>
      </x:c>
      <x:c r="M433" t="s">
        <x:v>2240</x:v>
      </x:c>
      <x:c r="N433" t="s">
        <x:v>2237</x:v>
      </x:c>
      <x:c r="O433" t="s">
        <x:v>2241</x:v>
      </x:c>
      <x:c r="P433" t="s">
        <x:v>203</x:v>
      </x:c>
      <x:c r="Q433">
        <x:v>1</x:v>
      </x:c>
      <x:c r="R433" t="s">
        <x:v>42</x:v>
      </x:c>
      <x:c r="S433" t="s">
        <x:v>44</x:v>
      </x:c>
      <x:c r="T433" t="s">
        <x:v>44</x:v>
      </x:c>
      <x:c r="U433" t="s">
        <x:v>71</x:v>
      </x:c>
      <x:c r="V433" t="s">
        <x:v>2078</x:v>
      </x:c>
      <x:c r="W433">
        <x:v>135.59</x:v>
      </x:c>
      <x:c r="X433" t="s">
        <x:v>47</x:v>
      </x:c>
      <x:c r="Y433" t="s">
        <x:v>48</x:v>
      </x:c>
      <x:c r="Z433" t="s">
        <x:v>73</x:v>
      </x:c>
    </x:row>
    <x:row r="434">
      <x:c r="A434" s="1">
        <x:v>46260</x:v>
      </x:c>
      <x:c r="B434" t="s">
        <x:v>2242</x:v>
      </x:c>
      <x:c r="C434" t="s">
        <x:v>29</x:v>
      </x:c>
      <x:c r="D434" t="s">
        <x:v>2243</x:v>
      </x:c>
      <x:c r="E434" t="s">
        <x:v>31</x:v>
      </x:c>
      <x:c r="F434" t="s">
        <x:v>2244</x:v>
      </x:c>
      <x:c r="G434" t="s">
        <x:v>2245</x:v>
      </x:c>
      <x:c r="H434" t="s">
        <x:v>2246</x:v>
      </x:c>
      <x:c r="I434" t="s">
        <x:v>2201</x:v>
      </x:c>
      <x:c r="K434" t="s">
        <x:v>37</x:v>
      </x:c>
      <x:c r="L434" t="s">
        <x:v>2247</x:v>
      </x:c>
      <x:c r="M434" t="s">
        <x:v>2248</x:v>
      </x:c>
      <x:c r="N434" t="s">
        <x:v>2245</x:v>
      </x:c>
      <x:c r="O434" t="s">
        <x:v>2249</x:v>
      </x:c>
      <x:c r="P434" t="s">
        <x:v>203</x:v>
      </x:c>
      <x:c r="Q434">
        <x:v>1</x:v>
      </x:c>
      <x:c r="R434" t="s">
        <x:v>42</x:v>
      </x:c>
      <x:c r="S434" t="s">
        <x:v>44</x:v>
      </x:c>
      <x:c r="T434" t="s">
        <x:v>44</x:v>
      </x:c>
      <x:c r="U434" t="s">
        <x:v>45</x:v>
      </x:c>
      <x:c r="V434" t="s">
        <x:v>46</x:v>
      </x:c>
      <x:c r="W434">
        <x:v>135.59</x:v>
      </x:c>
      <x:c r="X434" t="s">
        <x:v>47</x:v>
      </x:c>
      <x:c r="Y434" t="s">
        <x:v>48</x:v>
      </x:c>
      <x:c r="Z434" t="s">
        <x:v>49</x:v>
      </x:c>
    </x:row>
    <x:row r="435">
      <x:c r="A435" s="1">
        <x:v>46260</x:v>
      </x:c>
      <x:c r="B435" t="s">
        <x:v>2250</x:v>
      </x:c>
      <x:c r="C435" t="s">
        <x:v>269</x:v>
      </x:c>
      <x:c r="D435" t="s">
        <x:v>2251</x:v>
      </x:c>
      <x:c r="E435" t="s">
        <x:v>31</x:v>
      </x:c>
      <x:c r="F435" t="s">
        <x:v>2252</x:v>
      </x:c>
      <x:c r="G435" t="s">
        <x:v>2253</x:v>
      </x:c>
      <x:c r="H435" t="s">
        <x:v>2254</x:v>
      </x:c>
      <x:c r="I435" t="s">
        <x:v>2255</x:v>
      </x:c>
      <x:c r="K435" t="s">
        <x:v>37</x:v>
      </x:c>
      <x:c r="L435" t="s">
        <x:v>2256</x:v>
      </x:c>
      <x:c r="M435" t="s">
        <x:v>2257</x:v>
      </x:c>
      <x:c r="N435" t="s">
        <x:v>2258</x:v>
      </x:c>
      <x:c r="O435" t="s">
        <x:v>2259</x:v>
      </x:c>
      <x:c r="P435" t="s">
        <x:v>482</x:v>
      </x:c>
      <x:c r="Q435">
        <x:v>2</x:v>
      </x:c>
      <x:c r="R435" t="s">
        <x:v>42</x:v>
      </x:c>
      <x:c r="S435" t="s">
        <x:v>44</x:v>
      </x:c>
      <x:c r="T435" t="s">
        <x:v>44</x:v>
      </x:c>
      <x:c r="U435" t="s">
        <x:v>45</x:v>
      </x:c>
      <x:c r="V435" t="s">
        <x:v>60</x:v>
      </x:c>
      <x:c r="W435">
        <x:v>203.39</x:v>
      </x:c>
      <x:c r="X435" t="s">
        <x:v>61</x:v>
      </x:c>
      <x:c r="Y435" t="s">
        <x:v>48</x:v>
      </x:c>
      <x:c r="Z435" t="s">
        <x:v>49</x:v>
      </x:c>
    </x:row>
    <x:row r="436">
      <x:c r="A436" s="1">
        <x:v>46260</x:v>
      </x:c>
      <x:c r="B436" t="s">
        <x:v>2260</x:v>
      </x:c>
      <x:c r="C436" t="s">
        <x:v>29</x:v>
      </x:c>
      <x:c r="D436" t="s">
        <x:v>2261</x:v>
      </x:c>
      <x:c r="E436" t="s">
        <x:v>31</x:v>
      </x:c>
      <x:c r="F436" t="s">
        <x:v>2262</x:v>
      </x:c>
      <x:c r="G436" t="s">
        <x:v>2263</x:v>
      </x:c>
      <x:c r="H436" t="s">
        <x:v>2264</x:v>
      </x:c>
      <x:c r="I436" t="s">
        <x:v>2265</x:v>
      </x:c>
      <x:c r="K436" t="s">
        <x:v>37</x:v>
      </x:c>
      <x:c r="L436" t="s">
        <x:v>2266</x:v>
      </x:c>
      <x:c r="M436" t="s">
        <x:v>2267</x:v>
      </x:c>
      <x:c r="N436" t="s">
        <x:v>2263</x:v>
      </x:c>
      <x:c r="O436" t="s">
        <x:v>2268</x:v>
      </x:c>
      <x:c r="P436" t="s">
        <x:v>160</x:v>
      </x:c>
      <x:c r="Q436">
        <x:v>1</x:v>
      </x:c>
      <x:c r="R436" t="s">
        <x:v>42</x:v>
      </x:c>
      <x:c r="S436" t="s">
        <x:v>44</x:v>
      </x:c>
      <x:c r="T436" t="s">
        <x:v>44</x:v>
      </x:c>
      <x:c r="U436" t="s">
        <x:v>45</x:v>
      </x:c>
      <x:c r="V436" t="s">
        <x:v>60</x:v>
      </x:c>
      <x:c r="W436">
        <x:v>135.59</x:v>
      </x:c>
      <x:c r="X436" t="s">
        <x:v>47</x:v>
      </x:c>
      <x:c r="Y436" t="s">
        <x:v>48</x:v>
      </x:c>
      <x:c r="Z436" t="s">
        <x:v>49</x:v>
      </x:c>
    </x:row>
    <x:row r="437">
      <x:c r="A437" s="1">
        <x:v>46260</x:v>
      </x:c>
      <x:c r="B437" t="s">
        <x:v>2269</x:v>
      </x:c>
      <x:c r="C437" t="s">
        <x:v>29</x:v>
      </x:c>
      <x:c r="D437" t="s">
        <x:v>2270</x:v>
      </x:c>
      <x:c r="E437" t="s">
        <x:v>31</x:v>
      </x:c>
      <x:c r="F437" t="s">
        <x:v>2271</x:v>
      </x:c>
      <x:c r="G437" t="s">
        <x:v>2272</x:v>
      </x:c>
      <x:c r="H437" t="s">
        <x:v>2273</x:v>
      </x:c>
      <x:c r="I437" t="s">
        <x:v>2274</x:v>
      </x:c>
      <x:c r="J437" t="s">
        <x:v>210</x:v>
      </x:c>
      <x:c r="K437" t="s">
        <x:v>37</x:v>
      </x:c>
      <x:c r="L437" t="s">
        <x:v>2275</x:v>
      </x:c>
      <x:c r="M437" t="s">
        <x:v>2276</x:v>
      </x:c>
      <x:c r="N437" t="s">
        <x:v>2272</x:v>
      </x:c>
      <x:c r="O437" t="s">
        <x:v>2277</x:v>
      </x:c>
      <x:c r="P437" t="s">
        <x:v>160</x:v>
      </x:c>
      <x:c r="Q437">
        <x:v>1</x:v>
      </x:c>
      <x:c r="R437" t="s">
        <x:v>42</x:v>
      </x:c>
      <x:c r="S437" t="s">
        <x:v>44</x:v>
      </x:c>
      <x:c r="T437" t="s">
        <x:v>44</x:v>
      </x:c>
      <x:c r="U437" t="s">
        <x:v>45</x:v>
      </x:c>
      <x:c r="V437" t="s">
        <x:v>46</x:v>
      </x:c>
      <x:c r="W437">
        <x:v>135.59</x:v>
      </x:c>
      <x:c r="X437" t="s">
        <x:v>47</x:v>
      </x:c>
      <x:c r="Y437" t="s">
        <x:v>48</x:v>
      </x:c>
      <x:c r="Z437" t="s">
        <x:v>49</x:v>
      </x:c>
      <x:c r="AA437">
        <x:v>996106133</x:v>
      </x:c>
    </x:row>
    <x:row r="438">
      <x:c r="A438" s="1">
        <x:v>46260</x:v>
      </x:c>
      <x:c r="B438" t="s">
        <x:v>2278</x:v>
      </x:c>
      <x:c r="C438" t="s">
        <x:v>269</x:v>
      </x:c>
      <x:c r="D438" t="s">
        <x:v>2279</x:v>
      </x:c>
      <x:c r="E438" t="s">
        <x:v>31</x:v>
      </x:c>
      <x:c r="F438" t="s">
        <x:v>2280</x:v>
      </x:c>
      <x:c r="G438" t="s">
        <x:v>2281</x:v>
      </x:c>
      <x:c r="H438" t="s">
        <x:v>2282</x:v>
      </x:c>
      <x:c r="I438" t="s">
        <x:v>764</x:v>
      </x:c>
      <x:c r="J438" t="s">
        <x:v>210</x:v>
      </x:c>
      <x:c r="K438" t="s">
        <x:v>37</x:v>
      </x:c>
      <x:c r="L438" t="s">
        <x:v>2283</x:v>
      </x:c>
      <x:c r="M438" t="s">
        <x:v>2284</x:v>
      </x:c>
      <x:c r="N438" t="s">
        <x:v>767</x:v>
      </x:c>
      <x:c r="O438" t="s">
        <x:v>2285</x:v>
      </x:c>
      <x:c r="P438" t="s">
        <x:v>482</x:v>
      </x:c>
      <x:c r="Q438">
        <x:v>1</x:v>
      </x:c>
      <x:c r="R438" t="s">
        <x:v>42</x:v>
      </x:c>
      <x:c r="S438" t="s">
        <x:v>44</x:v>
      </x:c>
      <x:c r="T438" t="s">
        <x:v>44</x:v>
      </x:c>
      <x:c r="U438" t="s">
        <x:v>45</x:v>
      </x:c>
      <x:c r="V438" t="s">
        <x:v>60</x:v>
      </x:c>
      <x:c r="W438">
        <x:v>101.69</x:v>
      </x:c>
      <x:c r="X438" t="s">
        <x:v>61</x:v>
      </x:c>
      <x:c r="Y438" t="s">
        <x:v>48</x:v>
      </x:c>
      <x:c r="Z438" t="s">
        <x:v>49</x:v>
      </x:c>
      <x:c r="AA438">
        <x:v>969791876</x:v>
      </x:c>
      <x:c r="AB438" t="s">
        <x:v>770</x:v>
      </x:c>
    </x:row>
    <x:row r="439">
      <x:c r="A439" s="1">
        <x:v>46260</x:v>
      </x:c>
      <x:c r="B439" t="s">
        <x:v>2286</x:v>
      </x:c>
      <x:c r="C439" t="s">
        <x:v>29</x:v>
      </x:c>
      <x:c r="D439" t="s">
        <x:v>2287</x:v>
      </x:c>
      <x:c r="E439" t="s">
        <x:v>31</x:v>
      </x:c>
      <x:c r="F439" t="s">
        <x:v>2288</x:v>
      </x:c>
      <x:c r="G439" t="s">
        <x:v>2289</x:v>
      </x:c>
      <x:c r="H439" t="s">
        <x:v>2290</x:v>
      </x:c>
      <x:c r="I439" t="s">
        <x:v>1511</x:v>
      </x:c>
      <x:c r="K439" t="s">
        <x:v>37</x:v>
      </x:c>
      <x:c r="L439" t="s">
        <x:v>2291</x:v>
      </x:c>
      <x:c r="M439" t="s">
        <x:v>2292</x:v>
      </x:c>
      <x:c r="N439" t="s">
        <x:v>2289</x:v>
      </x:c>
      <x:c r="O439" t="s">
        <x:v>2293</x:v>
      </x:c>
      <x:c r="P439" t="s">
        <x:v>203</x:v>
      </x:c>
      <x:c r="Q439">
        <x:v>1</x:v>
      </x:c>
      <x:c r="R439" t="s">
        <x:v>42</x:v>
      </x:c>
      <x:c r="S439" t="s">
        <x:v>44</x:v>
      </x:c>
      <x:c r="T439" t="s">
        <x:v>44</x:v>
      </x:c>
      <x:c r="U439" t="s">
        <x:v>45</x:v>
      </x:c>
      <x:c r="V439" t="s">
        <x:v>60</x:v>
      </x:c>
      <x:c r="W439">
        <x:v>135.59</x:v>
      </x:c>
      <x:c r="X439" t="s">
        <x:v>47</x:v>
      </x:c>
      <x:c r="Y439" t="s">
        <x:v>48</x:v>
      </x:c>
      <x:c r="Z439" t="s">
        <x:v>49</x:v>
      </x:c>
    </x:row>
    <x:row r="440">
      <x:c r="A440" s="1">
        <x:v>46260</x:v>
      </x:c>
      <x:c r="B440" t="s">
        <x:v>2294</x:v>
      </x:c>
      <x:c r="C440" t="s">
        <x:v>29</x:v>
      </x:c>
      <x:c r="D440" t="s">
        <x:v>2295</x:v>
      </x:c>
      <x:c r="E440" t="s">
        <x:v>31</x:v>
      </x:c>
      <x:c r="F440" t="s">
        <x:v>2296</x:v>
      </x:c>
      <x:c r="G440" t="s">
        <x:v>2297</x:v>
      </x:c>
      <x:c r="H440" t="s">
        <x:v>2298</x:v>
      </x:c>
      <x:c r="K440" t="s">
        <x:v>37</x:v>
      </x:c>
      <x:c r="L440" t="s">
        <x:v>2299</x:v>
      </x:c>
      <x:c r="M440" t="s">
        <x:v>2300</x:v>
      </x:c>
      <x:c r="N440" t="s">
        <x:v>2297</x:v>
      </x:c>
      <x:c r="O440" t="s">
        <x:v>2301</x:v>
      </x:c>
      <x:c r="P440" t="s">
        <x:v>2302</x:v>
      </x:c>
      <x:c r="Q440">
        <x:v>1</x:v>
      </x:c>
      <x:c r="R440" t="s">
        <x:v>70</x:v>
      </x:c>
      <x:c r="S440" t="s">
        <x:v>43</x:v>
      </x:c>
      <x:c r="T440" t="s">
        <x:v>44</x:v>
      </x:c>
      <x:c r="U440" t="s">
        <x:v>71</x:v>
      </x:c>
      <x:c r="V440" t="s">
        <x:v>72</x:v>
      </x:c>
      <x:c r="W440">
        <x:v>76.27</x:v>
      </x:c>
      <x:c r="X440" t="s">
        <x:v>47</x:v>
      </x:c>
      <x:c r="Y440" t="s">
        <x:v>48</x:v>
      </x:c>
      <x:c r="Z440" t="s">
        <x:v>73</x:v>
      </x:c>
    </x:row>
    <x:row r="441">
      <x:c r="A441" s="1">
        <x:v>46260</x:v>
      </x:c>
      <x:c r="B441" t="s">
        <x:v>2294</x:v>
      </x:c>
      <x:c r="C441" t="s">
        <x:v>29</x:v>
      </x:c>
      <x:c r="D441" t="s">
        <x:v>2295</x:v>
      </x:c>
      <x:c r="E441" t="s">
        <x:v>31</x:v>
      </x:c>
      <x:c r="F441" t="s">
        <x:v>2296</x:v>
      </x:c>
      <x:c r="G441" t="s">
        <x:v>2297</x:v>
      </x:c>
      <x:c r="H441" t="s">
        <x:v>2298</x:v>
      </x:c>
      <x:c r="K441" t="s">
        <x:v>37</x:v>
      </x:c>
      <x:c r="L441" t="s">
        <x:v>2299</x:v>
      </x:c>
      <x:c r="M441" t="s">
        <x:v>2300</x:v>
      </x:c>
      <x:c r="N441" t="s">
        <x:v>2297</x:v>
      </x:c>
      <x:c r="O441" t="s">
        <x:v>2301</x:v>
      </x:c>
      <x:c r="P441" t="s">
        <x:v>102</x:v>
      </x:c>
      <x:c r="Q441">
        <x:v>1</x:v>
      </x:c>
      <x:c r="R441" t="s">
        <x:v>70</x:v>
      </x:c>
      <x:c r="S441" t="s">
        <x:v>43</x:v>
      </x:c>
      <x:c r="T441" t="s">
        <x:v>44</x:v>
      </x:c>
      <x:c r="U441" t="s">
        <x:v>71</x:v>
      </x:c>
      <x:c r="V441" t="s">
        <x:v>72</x:v>
      </x:c>
      <x:c r="W441">
        <x:v>186.44</x:v>
      </x:c>
      <x:c r="X441" t="s">
        <x:v>47</x:v>
      </x:c>
      <x:c r="Y441" t="s">
        <x:v>48</x:v>
      </x:c>
      <x:c r="Z441" t="s">
        <x:v>73</x:v>
      </x:c>
    </x:row>
    <x:row r="442">
      <x:c r="A442" s="1">
        <x:v>46260</x:v>
      </x:c>
      <x:c r="B442" t="s">
        <x:v>2303</x:v>
      </x:c>
      <x:c r="C442" t="s">
        <x:v>29</x:v>
      </x:c>
      <x:c r="D442" t="s">
        <x:v>2304</x:v>
      </x:c>
      <x:c r="E442" t="s">
        <x:v>31</x:v>
      </x:c>
      <x:c r="F442" t="s">
        <x:v>2305</x:v>
      </x:c>
      <x:c r="G442" t="s">
        <x:v>2306</x:v>
      </x:c>
      <x:c r="H442" t="s">
        <x:v>2307</x:v>
      </x:c>
      <x:c r="I442" t="s">
        <x:v>137</x:v>
      </x:c>
      <x:c r="J442" t="s">
        <x:v>138</x:v>
      </x:c>
      <x:c r="K442" t="s">
        <x:v>37</x:v>
      </x:c>
      <x:c r="L442" t="s">
        <x:v>2308</x:v>
      </x:c>
      <x:c r="M442" t="s">
        <x:v>2309</x:v>
      </x:c>
      <x:c r="N442" t="s">
        <x:v>2306</x:v>
      </x:c>
      <x:c r="O442" t="s">
        <x:v>2310</x:v>
      </x:c>
      <x:c r="P442" t="s">
        <x:v>203</x:v>
      </x:c>
      <x:c r="Q442">
        <x:v>1</x:v>
      </x:c>
      <x:c r="R442" t="s">
        <x:v>42</x:v>
      </x:c>
      <x:c r="S442" t="s">
        <x:v>44</x:v>
      </x:c>
      <x:c r="T442" t="s">
        <x:v>44</x:v>
      </x:c>
      <x:c r="U442" t="s">
        <x:v>45</x:v>
      </x:c>
      <x:c r="V442" t="s">
        <x:v>60</x:v>
      </x:c>
      <x:c r="W442">
        <x:v>152.54</x:v>
      </x:c>
      <x:c r="X442" t="s">
        <x:v>47</x:v>
      </x:c>
      <x:c r="Y442" t="s">
        <x:v>48</x:v>
      </x:c>
      <x:c r="Z442" t="s">
        <x:v>49</x:v>
      </x:c>
      <x:c r="AA442">
        <x:v>987407712</x:v>
      </x:c>
      <x:c r="AB442" t="s">
        <x:v>142</x:v>
      </x:c>
    </x:row>
    <x:row r="443">
      <x:c r="A443" s="1">
        <x:v>46260</x:v>
      </x:c>
      <x:c r="B443" t="s">
        <x:v>2311</x:v>
      </x:c>
      <x:c r="C443" t="s">
        <x:v>269</x:v>
      </x:c>
      <x:c r="D443" t="s">
        <x:v>2312</x:v>
      </x:c>
      <x:c r="E443" t="s">
        <x:v>31</x:v>
      </x:c>
      <x:c r="F443" t="s">
        <x:v>2313</x:v>
      </x:c>
      <x:c r="G443" t="s">
        <x:v>2314</x:v>
      </x:c>
      <x:c r="H443" t="s">
        <x:v>2315</x:v>
      </x:c>
      <x:c r="I443" t="s">
        <x:v>1564</x:v>
      </x:c>
      <x:c r="K443" t="s">
        <x:v>37</x:v>
      </x:c>
      <x:c r="L443" t="s">
        <x:v>2316</x:v>
      </x:c>
      <x:c r="M443" t="s">
        <x:v>2317</x:v>
      </x:c>
      <x:c r="N443" t="s">
        <x:v>1567</x:v>
      </x:c>
      <x:c r="O443" t="s">
        <x:v>2318</x:v>
      </x:c>
      <x:c r="P443" t="s">
        <x:v>1569</x:v>
      </x:c>
      <x:c r="Q443">
        <x:v>2</x:v>
      </x:c>
      <x:c r="R443" t="s">
        <x:v>42</x:v>
      </x:c>
      <x:c r="S443" t="s">
        <x:v>44</x:v>
      </x:c>
      <x:c r="T443" t="s">
        <x:v>44</x:v>
      </x:c>
      <x:c r="U443" t="s">
        <x:v>45</x:v>
      </x:c>
      <x:c r="V443" t="s">
        <x:v>60</x:v>
      </x:c>
      <x:c r="W443">
        <x:v>305.08</x:v>
      </x:c>
      <x:c r="X443" t="s">
        <x:v>61</x:v>
      </x:c>
      <x:c r="Y443" t="s">
        <x:v>48</x:v>
      </x:c>
      <x:c r="Z443" t="s">
        <x:v>49</x:v>
      </x:c>
    </x:row>
    <x:row r="444">
      <x:c r="A444" s="1">
        <x:v>46261</x:v>
      </x:c>
      <x:c r="B444" t="s">
        <x:v>2319</x:v>
      </x:c>
      <x:c r="C444" t="s">
        <x:v>29</x:v>
      </x:c>
      <x:c r="D444" t="s">
        <x:v>2320</x:v>
      </x:c>
      <x:c r="E444" t="s">
        <x:v>31</x:v>
      </x:c>
      <x:c r="F444" t="s">
        <x:v>2321</x:v>
      </x:c>
      <x:c r="G444" t="s">
        <x:v>2322</x:v>
      </x:c>
      <x:c r="H444" t="s">
        <x:v>2323</x:v>
      </x:c>
      <x:c r="I444" t="s">
        <x:v>2324</x:v>
      </x:c>
      <x:c r="K444" t="s">
        <x:v>37</x:v>
      </x:c>
      <x:c r="L444" t="s">
        <x:v>2325</x:v>
      </x:c>
      <x:c r="M444" t="s">
        <x:v>2326</x:v>
      </x:c>
      <x:c r="N444" t="s">
        <x:v>2322</x:v>
      </x:c>
      <x:c r="O444" t="s">
        <x:v>2327</x:v>
      </x:c>
      <x:c r="P444" t="s">
        <x:v>41</x:v>
      </x:c>
      <x:c r="Q444">
        <x:v>1</x:v>
      </x:c>
      <x:c r="R444" t="s">
        <x:v>42</x:v>
      </x:c>
      <x:c r="S444" t="s">
        <x:v>44</x:v>
      </x:c>
      <x:c r="T444" t="s">
        <x:v>44</x:v>
      </x:c>
      <x:c r="U444" t="s">
        <x:v>45</x:v>
      </x:c>
      <x:c r="V444" t="s">
        <x:v>60</x:v>
      </x:c>
      <x:c r="W444">
        <x:v>186.44</x:v>
      </x:c>
      <x:c r="X444" t="s">
        <x:v>47</x:v>
      </x:c>
      <x:c r="Y444" t="s">
        <x:v>48</x:v>
      </x:c>
      <x:c r="Z444" t="s">
        <x:v>49</x:v>
      </x:c>
      <x:c r="AA444">
        <x:v>945093839</x:v>
      </x:c>
      <x:c r="AB444" t="s">
        <x:v>2328</x:v>
      </x:c>
    </x:row>
    <x:row r="445">
      <x:c r="A445" s="1">
        <x:v>46261</x:v>
      </x:c>
      <x:c r="B445" t="s">
        <x:v>2319</x:v>
      </x:c>
      <x:c r="C445" t="s">
        <x:v>29</x:v>
      </x:c>
      <x:c r="D445" t="s">
        <x:v>2320</x:v>
      </x:c>
      <x:c r="E445" t="s">
        <x:v>31</x:v>
      </x:c>
      <x:c r="F445" t="s">
        <x:v>2321</x:v>
      </x:c>
      <x:c r="G445" t="s">
        <x:v>2322</x:v>
      </x:c>
      <x:c r="H445" t="s">
        <x:v>2323</x:v>
      </x:c>
      <x:c r="I445" t="s">
        <x:v>2324</x:v>
      </x:c>
      <x:c r="J445" t="s">
        <x:v>1546</x:v>
      </x:c>
      <x:c r="K445" t="s">
        <x:v>37</x:v>
      </x:c>
      <x:c r="L445" t="s">
        <x:v>2325</x:v>
      </x:c>
      <x:c r="M445" t="s">
        <x:v>2326</x:v>
      </x:c>
      <x:c r="N445" t="s">
        <x:v>2322</x:v>
      </x:c>
      <x:c r="O445" t="s">
        <x:v>2327</x:v>
      </x:c>
      <x:c r="P445" t="s">
        <x:v>41</x:v>
      </x:c>
      <x:c r="Q445">
        <x:v>1</x:v>
      </x:c>
      <x:c r="R445" t="s">
        <x:v>42</x:v>
      </x:c>
      <x:c r="S445" t="s">
        <x:v>44</x:v>
      </x:c>
      <x:c r="T445" t="s">
        <x:v>44</x:v>
      </x:c>
      <x:c r="U445" t="s">
        <x:v>45</x:v>
      </x:c>
      <x:c r="V445" t="s">
        <x:v>60</x:v>
      </x:c>
      <x:c r="W445">
        <x:v>186.44</x:v>
      </x:c>
      <x:c r="X445" t="s">
        <x:v>47</x:v>
      </x:c>
      <x:c r="Y445" t="s">
        <x:v>48</x:v>
      </x:c>
      <x:c r="Z445" t="s">
        <x:v>49</x:v>
      </x:c>
      <x:c r="AA445">
        <x:v>945093839</x:v>
      </x:c>
      <x:c r="AB445" t="s">
        <x:v>2328</x:v>
      </x:c>
    </x:row>
    <x:row r="446">
      <x:c r="A446" s="1">
        <x:v>46261</x:v>
      </x:c>
      <x:c r="B446" t="s">
        <x:v>2329</x:v>
      </x:c>
      <x:c r="C446" t="s">
        <x:v>29</x:v>
      </x:c>
      <x:c r="D446" t="s">
        <x:v>2330</x:v>
      </x:c>
      <x:c r="E446" t="s">
        <x:v>31</x:v>
      </x:c>
      <x:c r="F446" t="s">
        <x:v>2331</x:v>
      </x:c>
      <x:c r="G446" t="s">
        <x:v>2332</x:v>
      </x:c>
      <x:c r="H446" t="s">
        <x:v>2333</x:v>
      </x:c>
      <x:c r="I446" t="s">
        <x:v>2334</x:v>
      </x:c>
      <x:c r="J446" t="s">
        <x:v>210</x:v>
      </x:c>
      <x:c r="K446" t="s">
        <x:v>37</x:v>
      </x:c>
      <x:c r="L446" t="s">
        <x:v>2335</x:v>
      </x:c>
      <x:c r="M446" t="s">
        <x:v>2336</x:v>
      </x:c>
      <x:c r="N446" t="s">
        <x:v>2332</x:v>
      </x:c>
      <x:c r="O446" t="s">
        <x:v>2337</x:v>
      </x:c>
      <x:c r="P446" t="s">
        <x:v>41</x:v>
      </x:c>
      <x:c r="Q446">
        <x:v>1</x:v>
      </x:c>
      <x:c r="R446" t="s">
        <x:v>42</x:v>
      </x:c>
      <x:c r="S446" t="s">
        <x:v>44</x:v>
      </x:c>
      <x:c r="T446" t="s">
        <x:v>44</x:v>
      </x:c>
      <x:c r="U446" t="s">
        <x:v>45</x:v>
      </x:c>
      <x:c r="V446" t="s">
        <x:v>60</x:v>
      </x:c>
      <x:c r="W446">
        <x:v>186.44</x:v>
      </x:c>
      <x:c r="X446" t="s">
        <x:v>47</x:v>
      </x:c>
      <x:c r="Y446" t="s">
        <x:v>48</x:v>
      </x:c>
      <x:c r="Z446" t="s">
        <x:v>49</x:v>
      </x:c>
      <x:c r="AA446">
        <x:v>999700200</x:v>
      </x:c>
    </x:row>
    <x:row r="447">
      <x:c r="A447" s="1">
        <x:v>46261</x:v>
      </x:c>
      <x:c r="B447" t="s">
        <x:v>2338</x:v>
      </x:c>
      <x:c r="C447" t="s">
        <x:v>29</x:v>
      </x:c>
      <x:c r="D447" t="s">
        <x:v>2339</x:v>
      </x:c>
      <x:c r="E447" t="s">
        <x:v>31</x:v>
      </x:c>
      <x:c r="F447" t="s">
        <x:v>2340</x:v>
      </x:c>
      <x:c r="G447" t="s">
        <x:v>2341</x:v>
      </x:c>
      <x:c r="H447" t="s">
        <x:v>2342</x:v>
      </x:c>
      <x:c r="I447" t="s">
        <x:v>2343</x:v>
      </x:c>
      <x:c r="J447" t="s">
        <x:v>2344</x:v>
      </x:c>
      <x:c r="K447" t="s">
        <x:v>37</x:v>
      </x:c>
      <x:c r="L447" t="s">
        <x:v>2345</x:v>
      </x:c>
      <x:c r="M447" t="s">
        <x:v>2346</x:v>
      </x:c>
      <x:c r="N447" t="s">
        <x:v>2341</x:v>
      </x:c>
      <x:c r="O447" t="s">
        <x:v>2347</x:v>
      </x:c>
      <x:c r="P447" t="s">
        <x:v>160</x:v>
      </x:c>
      <x:c r="Q447">
        <x:v>1</x:v>
      </x:c>
      <x:c r="R447" t="s">
        <x:v>42</x:v>
      </x:c>
      <x:c r="S447" t="s">
        <x:v>44</x:v>
      </x:c>
      <x:c r="T447" t="s">
        <x:v>44</x:v>
      </x:c>
      <x:c r="U447" t="s">
        <x:v>532</x:v>
      </x:c>
      <x:c r="V447" t="s">
        <x:v>1980</x:v>
      </x:c>
      <x:c r="W447">
        <x:v>135.59</x:v>
      </x:c>
      <x:c r="X447" t="s">
        <x:v>47</x:v>
      </x:c>
      <x:c r="Y447" t="s">
        <x:v>48</x:v>
      </x:c>
      <x:c r="Z447" t="s">
        <x:v>535</x:v>
      </x:c>
      <x:c r="AA447">
        <x:v>996132853</x:v>
      </x:c>
    </x:row>
    <x:row r="448">
      <x:c r="A448" s="1">
        <x:v>46261</x:v>
      </x:c>
      <x:c r="B448" t="s">
        <x:v>2348</x:v>
      </x:c>
      <x:c r="C448" t="s">
        <x:v>29</x:v>
      </x:c>
      <x:c r="D448" t="s">
        <x:v>2349</x:v>
      </x:c>
      <x:c r="E448" t="s">
        <x:v>31</x:v>
      </x:c>
      <x:c r="F448" t="s">
        <x:v>2350</x:v>
      </x:c>
      <x:c r="G448" t="s">
        <x:v>1046</x:v>
      </x:c>
      <x:c r="H448" t="s">
        <x:v>1047</x:v>
      </x:c>
      <x:c r="I448" t="s">
        <x:v>776</x:v>
      </x:c>
      <x:c r="J448" t="s">
        <x:v>777</x:v>
      </x:c>
      <x:c r="K448" t="s">
        <x:v>37</x:v>
      </x:c>
      <x:c r="L448" t="s">
        <x:v>1048</x:v>
      </x:c>
      <x:c r="M448" t="s">
        <x:v>1049</x:v>
      </x:c>
      <x:c r="N448" t="s">
        <x:v>1046</x:v>
      </x:c>
      <x:c r="O448" t="s">
        <x:v>2351</x:v>
      </x:c>
      <x:c r="P448" t="s">
        <x:v>643</x:v>
      </x:c>
      <x:c r="Q448">
        <x:v>1</x:v>
      </x:c>
      <x:c r="R448" t="s">
        <x:v>42</x:v>
      </x:c>
      <x:c r="S448" t="s">
        <x:v>44</x:v>
      </x:c>
      <x:c r="T448" t="s">
        <x:v>44</x:v>
      </x:c>
      <x:c r="U448" t="s">
        <x:v>45</x:v>
      </x:c>
      <x:c r="V448" t="s">
        <x:v>46</x:v>
      </x:c>
      <x:c r="W448">
        <x:v>84.75</x:v>
      </x:c>
      <x:c r="X448" t="s">
        <x:v>47</x:v>
      </x:c>
      <x:c r="Y448" t="s">
        <x:v>48</x:v>
      </x:c>
      <x:c r="Z448" t="s">
        <x:v>49</x:v>
      </x:c>
    </x:row>
    <x:row r="449">
      <x:c r="A449" s="1">
        <x:v>46261</x:v>
      </x:c>
      <x:c r="B449" t="s">
        <x:v>2352</x:v>
      </x:c>
      <x:c r="C449" t="s">
        <x:v>29</x:v>
      </x:c>
      <x:c r="D449" t="s">
        <x:v>2353</x:v>
      </x:c>
      <x:c r="E449" t="s">
        <x:v>31</x:v>
      </x:c>
      <x:c r="F449" t="s">
        <x:v>2354</x:v>
      </x:c>
      <x:c r="G449" t="s">
        <x:v>2355</x:v>
      </x:c>
      <x:c r="H449" t="s">
        <x:v>2356</x:v>
      </x:c>
      <x:c r="I449" t="s">
        <x:v>1390</x:v>
      </x:c>
      <x:c r="K449" t="s">
        <x:v>37</x:v>
      </x:c>
      <x:c r="L449" t="s">
        <x:v>2357</x:v>
      </x:c>
      <x:c r="M449" t="s">
        <x:v>2358</x:v>
      </x:c>
      <x:c r="N449" t="s">
        <x:v>2355</x:v>
      </x:c>
      <x:c r="O449" t="s">
        <x:v>2359</x:v>
      </x:c>
      <x:c r="P449" t="s">
        <x:v>203</x:v>
      </x:c>
      <x:c r="Q449">
        <x:v>1</x:v>
      </x:c>
      <x:c r="R449" t="s">
        <x:v>42</x:v>
      </x:c>
      <x:c r="S449" t="s">
        <x:v>44</x:v>
      </x:c>
      <x:c r="T449" t="s">
        <x:v>44</x:v>
      </x:c>
      <x:c r="U449" t="s">
        <x:v>45</x:v>
      </x:c>
      <x:c r="V449" t="s">
        <x:v>60</x:v>
      </x:c>
      <x:c r="W449">
        <x:v>135.59</x:v>
      </x:c>
      <x:c r="X449" t="s">
        <x:v>47</x:v>
      </x:c>
      <x:c r="Y449" t="s">
        <x:v>48</x:v>
      </x:c>
      <x:c r="Z449" t="s">
        <x:v>49</x:v>
      </x:c>
      <x:c r="AB449" t="s">
        <x:v>1394</x:v>
      </x:c>
    </x:row>
    <x:row r="450">
      <x:c r="A450" s="1">
        <x:v>46261</x:v>
      </x:c>
      <x:c r="B450" t="s">
        <x:v>2360</x:v>
      </x:c>
      <x:c r="C450" t="s">
        <x:v>269</x:v>
      </x:c>
      <x:c r="D450" t="s">
        <x:v>2361</x:v>
      </x:c>
      <x:c r="E450" t="s">
        <x:v>31</x:v>
      </x:c>
      <x:c r="F450" t="s">
        <x:v>2362</x:v>
      </x:c>
      <x:c r="G450" t="s">
        <x:v>1250</x:v>
      </x:c>
      <x:c r="H450" t="s">
        <x:v>1251</x:v>
      </x:c>
      <x:c r="I450" t="s">
        <x:v>2363</x:v>
      </x:c>
      <x:c r="J450" t="s">
        <x:v>707</x:v>
      </x:c>
      <x:c r="K450" t="s">
        <x:v>37</x:v>
      </x:c>
      <x:c r="L450" t="s">
        <x:v>1253</x:v>
      </x:c>
      <x:c r="M450" t="s">
        <x:v>610</x:v>
      </x:c>
      <x:c r="N450" t="s">
        <x:v>1254</x:v>
      </x:c>
      <x:c r="O450" t="s">
        <x:v>2364</x:v>
      </x:c>
      <x:c r="P450" t="s">
        <x:v>289</x:v>
      </x:c>
      <x:c r="Q450">
        <x:v>1</x:v>
      </x:c>
      <x:c r="R450" t="s">
        <x:v>42</x:v>
      </x:c>
      <x:c r="S450" t="s">
        <x:v>44</x:v>
      </x:c>
      <x:c r="T450" t="s">
        <x:v>44</x:v>
      </x:c>
      <x:c r="U450" t="s">
        <x:v>45</x:v>
      </x:c>
      <x:c r="V450" t="s">
        <x:v>46</x:v>
      </x:c>
      <x:c r="W450">
        <x:v>0</x:v>
      </x:c>
      <x:c r="X450" t="s">
        <x:v>290</x:v>
      </x:c>
      <x:c r="Y450" t="s">
        <x:v>48</x:v>
      </x:c>
      <x:c r="Z450" t="s">
        <x:v>49</x:v>
      </x:c>
    </x:row>
    <x:row r="451">
      <x:c r="A451" s="1">
        <x:v>46261</x:v>
      </x:c>
      <x:c r="B451" t="s">
        <x:v>2360</x:v>
      </x:c>
      <x:c r="C451" t="s">
        <x:v>269</x:v>
      </x:c>
      <x:c r="D451" t="s">
        <x:v>2361</x:v>
      </x:c>
      <x:c r="E451" t="s">
        <x:v>31</x:v>
      </x:c>
      <x:c r="F451" t="s">
        <x:v>2362</x:v>
      </x:c>
      <x:c r="G451" t="s">
        <x:v>1250</x:v>
      </x:c>
      <x:c r="H451" t="s">
        <x:v>1251</x:v>
      </x:c>
      <x:c r="I451" t="s">
        <x:v>2363</x:v>
      </x:c>
      <x:c r="J451" t="s">
        <x:v>707</x:v>
      </x:c>
      <x:c r="K451" t="s">
        <x:v>37</x:v>
      </x:c>
      <x:c r="L451" t="s">
        <x:v>1253</x:v>
      </x:c>
      <x:c r="M451" t="s">
        <x:v>610</x:v>
      </x:c>
      <x:c r="N451" t="s">
        <x:v>1254</x:v>
      </x:c>
      <x:c r="O451" t="s">
        <x:v>2364</x:v>
      </x:c>
      <x:c r="P451" t="s">
        <x:v>291</x:v>
      </x:c>
      <x:c r="Q451">
        <x:v>1</x:v>
      </x:c>
      <x:c r="R451" t="s">
        <x:v>42</x:v>
      </x:c>
      <x:c r="S451" t="s">
        <x:v>44</x:v>
      </x:c>
      <x:c r="T451" t="s">
        <x:v>44</x:v>
      </x:c>
      <x:c r="U451" t="s">
        <x:v>45</x:v>
      </x:c>
      <x:c r="V451" t="s">
        <x:v>46</x:v>
      </x:c>
      <x:c r="W451">
        <x:v>847.46</x:v>
      </x:c>
      <x:c r="X451" t="s">
        <x:v>290</x:v>
      </x:c>
      <x:c r="Y451" t="s">
        <x:v>48</x:v>
      </x:c>
      <x:c r="Z451" t="s">
        <x:v>49</x:v>
      </x:c>
    </x:row>
    <x:row r="452">
      <x:c r="A452" s="1">
        <x:v>46261</x:v>
      </x:c>
      <x:c r="B452" t="s">
        <x:v>2365</x:v>
      </x:c>
      <x:c r="C452" t="s">
        <x:v>269</x:v>
      </x:c>
      <x:c r="D452" t="s">
        <x:v>2366</x:v>
      </x:c>
      <x:c r="E452" t="s">
        <x:v>31</x:v>
      </x:c>
      <x:c r="F452" t="s">
        <x:v>2367</x:v>
      </x:c>
      <x:c r="G452" t="s">
        <x:v>2368</x:v>
      </x:c>
      <x:c r="H452" t="s">
        <x:v>2369</x:v>
      </x:c>
      <x:c r="I452" t="s">
        <x:v>776</x:v>
      </x:c>
      <x:c r="J452" t="s">
        <x:v>777</x:v>
      </x:c>
      <x:c r="K452" t="s">
        <x:v>37</x:v>
      </x:c>
      <x:c r="L452" t="s">
        <x:v>2370</x:v>
      </x:c>
      <x:c r="M452" t="s">
        <x:v>610</x:v>
      </x:c>
      <x:c r="N452" t="s">
        <x:v>1254</x:v>
      </x:c>
      <x:c r="O452" t="s">
        <x:v>2371</x:v>
      </x:c>
      <x:c r="P452" t="s">
        <x:v>289</x:v>
      </x:c>
      <x:c r="Q452">
        <x:v>1</x:v>
      </x:c>
      <x:c r="R452" t="s">
        <x:v>42</x:v>
      </x:c>
      <x:c r="S452" t="s">
        <x:v>44</x:v>
      </x:c>
      <x:c r="T452" t="s">
        <x:v>44</x:v>
      </x:c>
      <x:c r="U452" t="s">
        <x:v>45</x:v>
      </x:c>
      <x:c r="V452" t="s">
        <x:v>46</x:v>
      </x:c>
      <x:c r="W452">
        <x:v>0</x:v>
      </x:c>
      <x:c r="X452" t="s">
        <x:v>290</x:v>
      </x:c>
      <x:c r="Y452" t="s">
        <x:v>48</x:v>
      </x:c>
      <x:c r="Z452" t="s">
        <x:v>49</x:v>
      </x:c>
    </x:row>
    <x:row r="453">
      <x:c r="A453" s="1">
        <x:v>46261</x:v>
      </x:c>
      <x:c r="B453" t="s">
        <x:v>2365</x:v>
      </x:c>
      <x:c r="C453" t="s">
        <x:v>269</x:v>
      </x:c>
      <x:c r="D453" t="s">
        <x:v>2366</x:v>
      </x:c>
      <x:c r="E453" t="s">
        <x:v>31</x:v>
      </x:c>
      <x:c r="F453" t="s">
        <x:v>2367</x:v>
      </x:c>
      <x:c r="G453" t="s">
        <x:v>2368</x:v>
      </x:c>
      <x:c r="H453" t="s">
        <x:v>2369</x:v>
      </x:c>
      <x:c r="I453" t="s">
        <x:v>776</x:v>
      </x:c>
      <x:c r="J453" t="s">
        <x:v>777</x:v>
      </x:c>
      <x:c r="K453" t="s">
        <x:v>37</x:v>
      </x:c>
      <x:c r="L453" t="s">
        <x:v>2370</x:v>
      </x:c>
      <x:c r="M453" t="s">
        <x:v>610</x:v>
      </x:c>
      <x:c r="N453" t="s">
        <x:v>1254</x:v>
      </x:c>
      <x:c r="O453" t="s">
        <x:v>2371</x:v>
      </x:c>
      <x:c r="P453" t="s">
        <x:v>1139</x:v>
      </x:c>
      <x:c r="Q453">
        <x:v>1</x:v>
      </x:c>
      <x:c r="R453" t="s">
        <x:v>42</x:v>
      </x:c>
      <x:c r="S453" t="s">
        <x:v>44</x:v>
      </x:c>
      <x:c r="T453" t="s">
        <x:v>44</x:v>
      </x:c>
      <x:c r="U453" t="s">
        <x:v>45</x:v>
      </x:c>
      <x:c r="V453" t="s">
        <x:v>46</x:v>
      </x:c>
      <x:c r="W453">
        <x:v>635.59</x:v>
      </x:c>
      <x:c r="X453" t="s">
        <x:v>290</x:v>
      </x:c>
      <x:c r="Y453" t="s">
        <x:v>48</x:v>
      </x:c>
      <x:c r="Z453" t="s">
        <x:v>49</x:v>
      </x:c>
    </x:row>
    <x:row r="454">
      <x:c r="A454" s="1">
        <x:v>46261</x:v>
      </x:c>
      <x:c r="B454" t="s">
        <x:v>2372</x:v>
      </x:c>
      <x:c r="C454" t="s">
        <x:v>29</x:v>
      </x:c>
      <x:c r="D454" t="s">
        <x:v>2373</x:v>
      </x:c>
      <x:c r="E454" t="s">
        <x:v>31</x:v>
      </x:c>
      <x:c r="F454" t="s">
        <x:v>2374</x:v>
      </x:c>
      <x:c r="G454" t="s">
        <x:v>2375</x:v>
      </x:c>
      <x:c r="H454" t="s">
        <x:v>2376</x:v>
      </x:c>
      <x:c r="I454" t="s">
        <x:v>776</x:v>
      </x:c>
      <x:c r="J454" t="s">
        <x:v>777</x:v>
      </x:c>
      <x:c r="K454" t="s">
        <x:v>37</x:v>
      </x:c>
      <x:c r="L454" t="s">
        <x:v>2377</x:v>
      </x:c>
      <x:c r="M454" t="s">
        <x:v>2378</x:v>
      </x:c>
      <x:c r="N454" t="s">
        <x:v>2375</x:v>
      </x:c>
      <x:c r="O454" t="s">
        <x:v>2379</x:v>
      </x:c>
      <x:c r="P454" t="s">
        <x:v>91</x:v>
      </x:c>
      <x:c r="Q454">
        <x:v>1</x:v>
      </x:c>
      <x:c r="R454" t="s">
        <x:v>42</x:v>
      </x:c>
      <x:c r="S454" t="s">
        <x:v>44</x:v>
      </x:c>
      <x:c r="T454" t="s">
        <x:v>44</x:v>
      </x:c>
      <x:c r="U454" t="s">
        <x:v>45</x:v>
      </x:c>
      <x:c r="V454" t="s">
        <x:v>46</x:v>
      </x:c>
      <x:c r="W454">
        <x:v>135.59</x:v>
      </x:c>
      <x:c r="X454" t="s">
        <x:v>47</x:v>
      </x:c>
      <x:c r="Y454" t="s">
        <x:v>48</x:v>
      </x:c>
      <x:c r="Z454" t="s">
        <x:v>49</x:v>
      </x:c>
    </x:row>
    <x:row r="455">
      <x:c r="A455" s="1">
        <x:v>46261</x:v>
      </x:c>
      <x:c r="B455" t="s">
        <x:v>2372</x:v>
      </x:c>
      <x:c r="C455" t="s">
        <x:v>29</x:v>
      </x:c>
      <x:c r="D455" t="s">
        <x:v>2373</x:v>
      </x:c>
      <x:c r="E455" t="s">
        <x:v>31</x:v>
      </x:c>
      <x:c r="F455" t="s">
        <x:v>2374</x:v>
      </x:c>
      <x:c r="G455" t="s">
        <x:v>2375</x:v>
      </x:c>
      <x:c r="H455" t="s">
        <x:v>2376</x:v>
      </x:c>
      <x:c r="I455" t="s">
        <x:v>776</x:v>
      </x:c>
      <x:c r="J455" t="s">
        <x:v>777</x:v>
      </x:c>
      <x:c r="K455" t="s">
        <x:v>37</x:v>
      </x:c>
      <x:c r="L455" t="s">
        <x:v>2377</x:v>
      </x:c>
      <x:c r="M455" t="s">
        <x:v>2378</x:v>
      </x:c>
      <x:c r="N455" t="s">
        <x:v>2375</x:v>
      </x:c>
      <x:c r="O455" t="s">
        <x:v>2379</x:v>
      </x:c>
      <x:c r="P455" t="s">
        <x:v>41</x:v>
      </x:c>
      <x:c r="Q455">
        <x:v>1</x:v>
      </x:c>
      <x:c r="R455" t="s">
        <x:v>42</x:v>
      </x:c>
      <x:c r="S455" t="s">
        <x:v>44</x:v>
      </x:c>
      <x:c r="T455" t="s">
        <x:v>44</x:v>
      </x:c>
      <x:c r="U455" t="s">
        <x:v>45</x:v>
      </x:c>
      <x:c r="V455" t="s">
        <x:v>46</x:v>
      </x:c>
      <x:c r="W455">
        <x:v>186.44</x:v>
      </x:c>
      <x:c r="X455" t="s">
        <x:v>47</x:v>
      </x:c>
      <x:c r="Y455" t="s">
        <x:v>48</x:v>
      </x:c>
      <x:c r="Z455" t="s">
        <x:v>49</x:v>
      </x:c>
    </x:row>
    <x:row r="456">
      <x:c r="A456" s="1">
        <x:v>46261</x:v>
      </x:c>
      <x:c r="B456" t="s">
        <x:v>2380</x:v>
      </x:c>
      <x:c r="C456" t="s">
        <x:v>269</x:v>
      </x:c>
      <x:c r="D456" t="s">
        <x:v>2381</x:v>
      </x:c>
      <x:c r="E456" t="s">
        <x:v>31</x:v>
      </x:c>
      <x:c r="F456" t="s">
        <x:v>2382</x:v>
      </x:c>
      <x:c r="G456" t="s">
        <x:v>1950</x:v>
      </x:c>
      <x:c r="H456" t="s">
        <x:v>1951</x:v>
      </x:c>
      <x:c r="I456" t="s">
        <x:v>776</x:v>
      </x:c>
      <x:c r="J456" t="s">
        <x:v>777</x:v>
      </x:c>
      <x:c r="K456" t="s">
        <x:v>37</x:v>
      </x:c>
      <x:c r="L456" t="s">
        <x:v>1952</x:v>
      </x:c>
      <x:c r="M456" t="s">
        <x:v>1953</x:v>
      </x:c>
      <x:c r="N456" t="s">
        <x:v>800</x:v>
      </x:c>
      <x:c r="O456" t="s">
        <x:v>2383</x:v>
      </x:c>
      <x:c r="P456" t="s">
        <x:v>289</x:v>
      </x:c>
      <x:c r="Q456">
        <x:v>1</x:v>
      </x:c>
      <x:c r="R456" t="s">
        <x:v>42</x:v>
      </x:c>
      <x:c r="S456" t="s">
        <x:v>44</x:v>
      </x:c>
      <x:c r="T456" t="s">
        <x:v>44</x:v>
      </x:c>
      <x:c r="U456" t="s">
        <x:v>45</x:v>
      </x:c>
      <x:c r="V456" t="s">
        <x:v>60</x:v>
      </x:c>
      <x:c r="W456">
        <x:v>0</x:v>
      </x:c>
      <x:c r="X456" t="s">
        <x:v>290</x:v>
      </x:c>
      <x:c r="Y456" t="s">
        <x:v>48</x:v>
      </x:c>
      <x:c r="Z456" t="s">
        <x:v>49</x:v>
      </x:c>
    </x:row>
    <x:row r="457">
      <x:c r="A457" s="1">
        <x:v>46261</x:v>
      </x:c>
      <x:c r="B457" t="s">
        <x:v>2380</x:v>
      </x:c>
      <x:c r="C457" t="s">
        <x:v>269</x:v>
      </x:c>
      <x:c r="D457" t="s">
        <x:v>2381</x:v>
      </x:c>
      <x:c r="E457" t="s">
        <x:v>31</x:v>
      </x:c>
      <x:c r="F457" t="s">
        <x:v>2382</x:v>
      </x:c>
      <x:c r="G457" t="s">
        <x:v>1950</x:v>
      </x:c>
      <x:c r="H457" t="s">
        <x:v>1951</x:v>
      </x:c>
      <x:c r="I457" t="s">
        <x:v>776</x:v>
      </x:c>
      <x:c r="J457" t="s">
        <x:v>777</x:v>
      </x:c>
      <x:c r="K457" t="s">
        <x:v>37</x:v>
      </x:c>
      <x:c r="L457" t="s">
        <x:v>1952</x:v>
      </x:c>
      <x:c r="M457" t="s">
        <x:v>1953</x:v>
      </x:c>
      <x:c r="N457" t="s">
        <x:v>800</x:v>
      </x:c>
      <x:c r="O457" t="s">
        <x:v>2383</x:v>
      </x:c>
      <x:c r="P457" t="s">
        <x:v>291</x:v>
      </x:c>
      <x:c r="Q457">
        <x:v>1</x:v>
      </x:c>
      <x:c r="R457" t="s">
        <x:v>42</x:v>
      </x:c>
      <x:c r="S457" t="s">
        <x:v>44</x:v>
      </x:c>
      <x:c r="T457" t="s">
        <x:v>44</x:v>
      </x:c>
      <x:c r="U457" t="s">
        <x:v>45</x:v>
      </x:c>
      <x:c r="V457" t="s">
        <x:v>60</x:v>
      </x:c>
      <x:c r="W457">
        <x:v>762.71</x:v>
      </x:c>
      <x:c r="X457" t="s">
        <x:v>290</x:v>
      </x:c>
      <x:c r="Y457" t="s">
        <x:v>48</x:v>
      </x:c>
      <x:c r="Z457" t="s">
        <x:v>49</x:v>
      </x:c>
    </x:row>
    <x:row r="458">
      <x:c r="A458" s="1">
        <x:v>46261</x:v>
      </x:c>
      <x:c r="B458" t="s">
        <x:v>2384</x:v>
      </x:c>
      <x:c r="C458" t="s">
        <x:v>269</x:v>
      </x:c>
      <x:c r="D458" t="s">
        <x:v>2385</x:v>
      </x:c>
      <x:c r="E458" t="s">
        <x:v>31</x:v>
      </x:c>
      <x:c r="F458" t="s">
        <x:v>2386</x:v>
      </x:c>
      <x:c r="G458" t="s">
        <x:v>2387</x:v>
      </x:c>
      <x:c r="H458" t="s">
        <x:v>2388</x:v>
      </x:c>
      <x:c r="I458" t="s">
        <x:v>1110</x:v>
      </x:c>
      <x:c r="J458" t="s">
        <x:v>210</x:v>
      </x:c>
      <x:c r="K458" t="s">
        <x:v>37</x:v>
      </x:c>
      <x:c r="L458" t="s">
        <x:v>2389</x:v>
      </x:c>
      <x:c r="M458" t="s">
        <x:v>610</x:v>
      </x:c>
      <x:c r="N458" t="s">
        <x:v>1113</x:v>
      </x:c>
      <x:c r="O458" t="s">
        <x:v>2390</x:v>
      </x:c>
      <x:c r="P458" t="s">
        <x:v>289</x:v>
      </x:c>
      <x:c r="Q458">
        <x:v>1</x:v>
      </x:c>
      <x:c r="R458" t="s">
        <x:v>42</x:v>
      </x:c>
      <x:c r="S458" t="s">
        <x:v>44</x:v>
      </x:c>
      <x:c r="T458" t="s">
        <x:v>44</x:v>
      </x:c>
      <x:c r="U458" t="s">
        <x:v>45</x:v>
      </x:c>
      <x:c r="V458" t="s">
        <x:v>60</x:v>
      </x:c>
      <x:c r="W458">
        <x:v>0</x:v>
      </x:c>
      <x:c r="X458" t="s">
        <x:v>290</x:v>
      </x:c>
      <x:c r="Y458" t="s">
        <x:v>48</x:v>
      </x:c>
      <x:c r="Z458" t="s">
        <x:v>49</x:v>
      </x:c>
      <x:c r="AA458">
        <x:v>970582106</x:v>
      </x:c>
      <x:c r="AB458" t="s">
        <x:v>1115</x:v>
      </x:c>
    </x:row>
    <x:row r="459">
      <x:c r="A459" s="1">
        <x:v>46261</x:v>
      </x:c>
      <x:c r="B459" t="s">
        <x:v>2384</x:v>
      </x:c>
      <x:c r="C459" t="s">
        <x:v>269</x:v>
      </x:c>
      <x:c r="D459" t="s">
        <x:v>2385</x:v>
      </x:c>
      <x:c r="E459" t="s">
        <x:v>31</x:v>
      </x:c>
      <x:c r="F459" t="s">
        <x:v>2386</x:v>
      </x:c>
      <x:c r="G459" t="s">
        <x:v>2387</x:v>
      </x:c>
      <x:c r="H459" t="s">
        <x:v>2388</x:v>
      </x:c>
      <x:c r="I459" t="s">
        <x:v>1110</x:v>
      </x:c>
      <x:c r="J459" t="s">
        <x:v>210</x:v>
      </x:c>
      <x:c r="K459" t="s">
        <x:v>37</x:v>
      </x:c>
      <x:c r="L459" t="s">
        <x:v>2389</x:v>
      </x:c>
      <x:c r="M459" t="s">
        <x:v>610</x:v>
      </x:c>
      <x:c r="N459" t="s">
        <x:v>1113</x:v>
      </x:c>
      <x:c r="O459" t="s">
        <x:v>2390</x:v>
      </x:c>
      <x:c r="P459" t="s">
        <x:v>2391</x:v>
      </x:c>
      <x:c r="Q459">
        <x:v>1</x:v>
      </x:c>
      <x:c r="R459" t="s">
        <x:v>42</x:v>
      </x:c>
      <x:c r="S459" t="s">
        <x:v>44</x:v>
      </x:c>
      <x:c r="T459" t="s">
        <x:v>44</x:v>
      </x:c>
      <x:c r="U459" t="s">
        <x:v>45</x:v>
      </x:c>
      <x:c r="V459" t="s">
        <x:v>60</x:v>
      </x:c>
      <x:c r="W459">
        <x:v>139.83000000000001</x:v>
      </x:c>
      <x:c r="X459" t="s">
        <x:v>290</x:v>
      </x:c>
      <x:c r="Y459" t="s">
        <x:v>48</x:v>
      </x:c>
      <x:c r="Z459" t="s">
        <x:v>49</x:v>
      </x:c>
      <x:c r="AA459">
        <x:v>970582106</x:v>
      </x:c>
      <x:c r="AB459" t="s">
        <x:v>1115</x:v>
      </x:c>
    </x:row>
    <x:row r="460">
      <x:c r="A460" s="1">
        <x:v>46261</x:v>
      </x:c>
      <x:c r="B460" t="s">
        <x:v>2392</x:v>
      </x:c>
      <x:c r="C460" t="s">
        <x:v>269</x:v>
      </x:c>
      <x:c r="D460" t="s">
        <x:v>2393</x:v>
      </x:c>
      <x:c r="E460" t="s">
        <x:v>31</x:v>
      </x:c>
      <x:c r="F460" t="s">
        <x:v>2394</x:v>
      </x:c>
      <x:c r="G460" t="s">
        <x:v>2395</x:v>
      </x:c>
      <x:c r="H460" t="s">
        <x:v>2396</x:v>
      </x:c>
      <x:c r="I460" t="s">
        <x:v>1110</x:v>
      </x:c>
      <x:c r="J460" t="s">
        <x:v>210</x:v>
      </x:c>
      <x:c r="K460" t="s">
        <x:v>37</x:v>
      </x:c>
      <x:c r="L460" t="s">
        <x:v>2397</x:v>
      </x:c>
      <x:c r="M460" t="s">
        <x:v>610</x:v>
      </x:c>
      <x:c r="N460" t="s">
        <x:v>1113</x:v>
      </x:c>
      <x:c r="O460" t="s">
        <x:v>2398</x:v>
      </x:c>
      <x:c r="P460" t="s">
        <x:v>214</x:v>
      </x:c>
      <x:c r="Q460">
        <x:v>1</x:v>
      </x:c>
      <x:c r="R460" t="s">
        <x:v>42</x:v>
      </x:c>
      <x:c r="S460" t="s">
        <x:v>44</x:v>
      </x:c>
      <x:c r="T460" t="s">
        <x:v>44</x:v>
      </x:c>
      <x:c r="U460" t="s">
        <x:v>45</x:v>
      </x:c>
      <x:c r="V460" t="s">
        <x:v>60</x:v>
      </x:c>
      <x:c r="W460">
        <x:v>254.24</x:v>
      </x:c>
      <x:c r="X460" t="s">
        <x:v>61</x:v>
      </x:c>
      <x:c r="Y460" t="s">
        <x:v>48</x:v>
      </x:c>
      <x:c r="Z460" t="s">
        <x:v>49</x:v>
      </x:c>
      <x:c r="AA460">
        <x:v>970582106</x:v>
      </x:c>
      <x:c r="AB460" t="s">
        <x:v>1115</x:v>
      </x:c>
    </x:row>
    <x:row r="461">
      <x:c r="A461" s="1">
        <x:v>46261</x:v>
      </x:c>
      <x:c r="B461" t="s">
        <x:v>2399</x:v>
      </x:c>
      <x:c r="C461" t="s">
        <x:v>29</x:v>
      </x:c>
      <x:c r="D461" t="s">
        <x:v>2400</x:v>
      </x:c>
      <x:c r="E461" t="s">
        <x:v>31</x:v>
      </x:c>
      <x:c r="F461" t="s">
        <x:v>2401</x:v>
      </x:c>
      <x:c r="G461" t="s">
        <x:v>2402</x:v>
      </x:c>
      <x:c r="H461" t="s">
        <x:v>2403</x:v>
      </x:c>
      <x:c r="I461" t="s">
        <x:v>2404</x:v>
      </x:c>
      <x:c r="J461" t="s">
        <x:v>1427</x:v>
      </x:c>
      <x:c r="K461" t="s">
        <x:v>37</x:v>
      </x:c>
      <x:c r="L461" t="s">
        <x:v>2405</x:v>
      </x:c>
      <x:c r="M461" t="s">
        <x:v>2406</x:v>
      </x:c>
      <x:c r="N461" t="s">
        <x:v>2402</x:v>
      </x:c>
      <x:c r="O461" t="s">
        <x:v>2407</x:v>
      </x:c>
      <x:c r="P461" t="s">
        <x:v>91</x:v>
      </x:c>
      <x:c r="Q461">
        <x:v>1</x:v>
      </x:c>
      <x:c r="R461" t="s">
        <x:v>42</x:v>
      </x:c>
      <x:c r="S461" t="s">
        <x:v>44</x:v>
      </x:c>
      <x:c r="T461" t="s">
        <x:v>44</x:v>
      </x:c>
      <x:c r="U461" t="s">
        <x:v>45</x:v>
      </x:c>
      <x:c r="V461" t="s">
        <x:v>60</x:v>
      </x:c>
      <x:c r="W461">
        <x:v>135.59</x:v>
      </x:c>
      <x:c r="X461" t="s">
        <x:v>47</x:v>
      </x:c>
      <x:c r="Y461" t="s">
        <x:v>48</x:v>
      </x:c>
      <x:c r="Z461" t="s">
        <x:v>49</x:v>
      </x:c>
      <x:c r="AA461">
        <x:v>991104175</x:v>
      </x:c>
    </x:row>
    <x:row r="462">
      <x:c r="A462" s="1">
        <x:v>46262</x:v>
      </x:c>
      <x:c r="B462" t="s">
        <x:v>2408</x:v>
      </x:c>
      <x:c r="C462" t="s">
        <x:v>269</x:v>
      </x:c>
      <x:c r="D462" t="s">
        <x:v>2409</x:v>
      </x:c>
      <x:c r="E462" t="s">
        <x:v>31</x:v>
      </x:c>
      <x:c r="F462" t="s">
        <x:v>2410</x:v>
      </x:c>
      <x:c r="G462" t="s">
        <x:v>1046</x:v>
      </x:c>
      <x:c r="H462" t="s">
        <x:v>1047</x:v>
      </x:c>
      <x:c r="I462" t="s">
        <x:v>776</x:v>
      </x:c>
      <x:c r="J462" t="s">
        <x:v>777</x:v>
      </x:c>
      <x:c r="K462" t="s">
        <x:v>37</x:v>
      </x:c>
      <x:c r="L462" t="s">
        <x:v>1048</x:v>
      </x:c>
      <x:c r="M462" t="s">
        <x:v>1049</x:v>
      </x:c>
      <x:c r="N462" t="s">
        <x:v>800</x:v>
      </x:c>
      <x:c r="O462" t="s">
        <x:v>2411</x:v>
      </x:c>
      <x:c r="P462" t="s">
        <x:v>289</x:v>
      </x:c>
      <x:c r="Q462">
        <x:v>1</x:v>
      </x:c>
      <x:c r="R462" t="s">
        <x:v>42</x:v>
      </x:c>
      <x:c r="S462" t="s">
        <x:v>44</x:v>
      </x:c>
      <x:c r="T462" t="s">
        <x:v>44</x:v>
      </x:c>
      <x:c r="U462" t="s">
        <x:v>45</x:v>
      </x:c>
      <x:c r="V462" t="s">
        <x:v>46</x:v>
      </x:c>
      <x:c r="W462">
        <x:v>0</x:v>
      </x:c>
      <x:c r="X462" t="s">
        <x:v>290</x:v>
      </x:c>
      <x:c r="Y462" t="s">
        <x:v>48</x:v>
      </x:c>
      <x:c r="Z462" t="s">
        <x:v>49</x:v>
      </x:c>
    </x:row>
    <x:row r="463">
      <x:c r="A463" s="1">
        <x:v>46262</x:v>
      </x:c>
      <x:c r="B463" t="s">
        <x:v>2408</x:v>
      </x:c>
      <x:c r="C463" t="s">
        <x:v>269</x:v>
      </x:c>
      <x:c r="D463" t="s">
        <x:v>2409</x:v>
      </x:c>
      <x:c r="E463" t="s">
        <x:v>31</x:v>
      </x:c>
      <x:c r="F463" t="s">
        <x:v>2410</x:v>
      </x:c>
      <x:c r="G463" t="s">
        <x:v>1046</x:v>
      </x:c>
      <x:c r="H463" t="s">
        <x:v>1047</x:v>
      </x:c>
      <x:c r="I463" t="s">
        <x:v>776</x:v>
      </x:c>
      <x:c r="J463" t="s">
        <x:v>777</x:v>
      </x:c>
      <x:c r="K463" t="s">
        <x:v>37</x:v>
      </x:c>
      <x:c r="L463" t="s">
        <x:v>1048</x:v>
      </x:c>
      <x:c r="M463" t="s">
        <x:v>1049</x:v>
      </x:c>
      <x:c r="N463" t="s">
        <x:v>800</x:v>
      </x:c>
      <x:c r="O463" t="s">
        <x:v>2411</x:v>
      </x:c>
      <x:c r="P463" t="s">
        <x:v>2412</x:v>
      </x:c>
      <x:c r="Q463">
        <x:v>1</x:v>
      </x:c>
      <x:c r="R463" t="s">
        <x:v>42</x:v>
      </x:c>
      <x:c r="S463" t="s">
        <x:v>44</x:v>
      </x:c>
      <x:c r="T463" t="s">
        <x:v>44</x:v>
      </x:c>
      <x:c r="U463" t="s">
        <x:v>45</x:v>
      </x:c>
      <x:c r="V463" t="s">
        <x:v>46</x:v>
      </x:c>
      <x:c r="W463">
        <x:v>1169.49</x:v>
      </x:c>
      <x:c r="X463" t="s">
        <x:v>290</x:v>
      </x:c>
      <x:c r="Y463" t="s">
        <x:v>48</x:v>
      </x:c>
      <x:c r="Z463" t="s">
        <x:v>49</x:v>
      </x:c>
    </x:row>
    <x:row r="464">
      <x:c r="A464" s="1">
        <x:v>46262</x:v>
      </x:c>
      <x:c r="B464" t="s">
        <x:v>2413</x:v>
      </x:c>
      <x:c r="C464" t="s">
        <x:v>29</x:v>
      </x:c>
      <x:c r="D464" t="s">
        <x:v>2414</x:v>
      </x:c>
      <x:c r="E464" t="s">
        <x:v>31</x:v>
      </x:c>
      <x:c r="F464" t="s">
        <x:v>2415</x:v>
      </x:c>
      <x:c r="G464" t="s">
        <x:v>2416</x:v>
      </x:c>
      <x:c r="H464" t="s">
        <x:v>2417</x:v>
      </x:c>
      <x:c r="I464" t="s">
        <x:v>664</x:v>
      </x:c>
      <x:c r="J464" t="s">
        <x:v>36</x:v>
      </x:c>
      <x:c r="K464" t="s">
        <x:v>37</x:v>
      </x:c>
      <x:c r="L464" t="s">
        <x:v>2418</x:v>
      </x:c>
      <x:c r="M464" t="s">
        <x:v>2419</x:v>
      </x:c>
      <x:c r="N464" t="s">
        <x:v>2416</x:v>
      </x:c>
      <x:c r="O464" t="s">
        <x:v>2420</x:v>
      </x:c>
      <x:c r="P464" t="s">
        <x:v>202</x:v>
      </x:c>
      <x:c r="Q464">
        <x:v>1</x:v>
      </x:c>
      <x:c r="R464" t="s">
        <x:v>42</x:v>
      </x:c>
      <x:c r="S464" t="s">
        <x:v>44</x:v>
      </x:c>
      <x:c r="T464" t="s">
        <x:v>44</x:v>
      </x:c>
      <x:c r="U464" t="s">
        <x:v>45</x:v>
      </x:c>
      <x:c r="V464" t="s">
        <x:v>60</x:v>
      </x:c>
      <x:c r="W464">
        <x:v>152.54</x:v>
      </x:c>
      <x:c r="X464" t="s">
        <x:v>47</x:v>
      </x:c>
      <x:c r="Y464" t="s">
        <x:v>48</x:v>
      </x:c>
      <x:c r="Z464" t="s">
        <x:v>49</x:v>
      </x:c>
      <x:c r="AA464">
        <x:v>997145685</x:v>
      </x:c>
      <x:c r="AB464" t="s">
        <x:v>668</x:v>
      </x:c>
    </x:row>
    <x:row r="465">
      <x:c r="A465" s="1">
        <x:v>46262</x:v>
      </x:c>
      <x:c r="B465" t="s">
        <x:v>2421</x:v>
      </x:c>
      <x:c r="C465" t="s">
        <x:v>29</x:v>
      </x:c>
      <x:c r="D465" t="s">
        <x:v>2422</x:v>
      </x:c>
      <x:c r="E465" t="s">
        <x:v>31</x:v>
      </x:c>
      <x:c r="F465" t="s">
        <x:v>2423</x:v>
      </x:c>
      <x:c r="G465" t="s">
        <x:v>2424</x:v>
      </x:c>
      <x:c r="H465" t="s">
        <x:v>2425</x:v>
      </x:c>
      <x:c r="I465" t="s">
        <x:v>1630</x:v>
      </x:c>
      <x:c r="K465" t="s">
        <x:v>37</x:v>
      </x:c>
      <x:c r="L465" t="s">
        <x:v>2426</x:v>
      </x:c>
      <x:c r="M465" t="s">
        <x:v>2427</x:v>
      </x:c>
      <x:c r="N465" t="s">
        <x:v>2424</x:v>
      </x:c>
      <x:c r="O465" t="s">
        <x:v>2428</x:v>
      </x:c>
      <x:c r="P465" t="s">
        <x:v>203</x:v>
      </x:c>
      <x:c r="Q465">
        <x:v>1</x:v>
      </x:c>
      <x:c r="R465" t="s">
        <x:v>42</x:v>
      </x:c>
      <x:c r="S465" t="s">
        <x:v>44</x:v>
      </x:c>
      <x:c r="T465" t="s">
        <x:v>44</x:v>
      </x:c>
      <x:c r="U465" t="s">
        <x:v>71</x:v>
      </x:c>
      <x:c r="V465" t="s">
        <x:v>2078</x:v>
      </x:c>
      <x:c r="W465">
        <x:v>135.59</x:v>
      </x:c>
      <x:c r="X465" t="s">
        <x:v>47</x:v>
      </x:c>
      <x:c r="Y465" t="s">
        <x:v>48</x:v>
      </x:c>
      <x:c r="Z465" t="s">
        <x:v>73</x:v>
      </x:c>
    </x:row>
    <x:row r="466">
      <x:c r="A466" s="1">
        <x:v>46262</x:v>
      </x:c>
      <x:c r="B466" t="s">
        <x:v>2429</x:v>
      </x:c>
      <x:c r="C466" t="s">
        <x:v>29</x:v>
      </x:c>
      <x:c r="D466" t="s">
        <x:v>2430</x:v>
      </x:c>
      <x:c r="E466" t="s">
        <x:v>31</x:v>
      </x:c>
      <x:c r="F466" t="s">
        <x:v>2431</x:v>
      </x:c>
      <x:c r="G466" t="s">
        <x:v>2432</x:v>
      </x:c>
      <x:c r="H466" t="s">
        <x:v>2433</x:v>
      </x:c>
      <x:c r="I466" t="s">
        <x:v>412</x:v>
      </x:c>
      <x:c r="J466" t="s">
        <x:v>413</x:v>
      </x:c>
      <x:c r="K466" t="s">
        <x:v>37</x:v>
      </x:c>
      <x:c r="L466" t="s">
        <x:v>2434</x:v>
      </x:c>
      <x:c r="M466" t="s">
        <x:v>2435</x:v>
      </x:c>
      <x:c r="N466" t="s">
        <x:v>2432</x:v>
      </x:c>
      <x:c r="O466" t="s">
        <x:v>2436</x:v>
      </x:c>
      <x:c r="P466" t="s">
        <x:v>41</x:v>
      </x:c>
      <x:c r="Q466">
        <x:v>1</x:v>
      </x:c>
      <x:c r="R466" t="s">
        <x:v>42</x:v>
      </x:c>
      <x:c r="S466" t="s">
        <x:v>44</x:v>
      </x:c>
      <x:c r="T466" t="s">
        <x:v>44</x:v>
      </x:c>
      <x:c r="U466" t="s">
        <x:v>532</x:v>
      </x:c>
      <x:c r="V466" t="s">
        <x:v>1980</x:v>
      </x:c>
      <x:c r="W466">
        <x:v>186.44</x:v>
      </x:c>
      <x:c r="X466" t="s">
        <x:v>47</x:v>
      </x:c>
      <x:c r="Y466" t="s">
        <x:v>48</x:v>
      </x:c>
      <x:c r="Z466" t="s">
        <x:v>535</x:v>
      </x:c>
      <x:c r="AA466">
        <x:v>982673362</x:v>
      </x:c>
      <x:c r="AB466" t="s">
        <x:v>417</x:v>
      </x:c>
    </x:row>
    <x:row r="467">
      <x:c r="A467" s="1">
        <x:v>46262</x:v>
      </x:c>
      <x:c r="B467" t="s">
        <x:v>2429</x:v>
      </x:c>
      <x:c r="C467" t="s">
        <x:v>29</x:v>
      </x:c>
      <x:c r="D467" t="s">
        <x:v>2430</x:v>
      </x:c>
      <x:c r="E467" t="s">
        <x:v>31</x:v>
      </x:c>
      <x:c r="F467" t="s">
        <x:v>2431</x:v>
      </x:c>
      <x:c r="G467" t="s">
        <x:v>2432</x:v>
      </x:c>
      <x:c r="H467" t="s">
        <x:v>2433</x:v>
      </x:c>
      <x:c r="I467" t="s">
        <x:v>412</x:v>
      </x:c>
      <x:c r="J467" t="s">
        <x:v>413</x:v>
      </x:c>
      <x:c r="K467" t="s">
        <x:v>37</x:v>
      </x:c>
      <x:c r="L467" t="s">
        <x:v>2434</x:v>
      </x:c>
      <x:c r="M467" t="s">
        <x:v>2435</x:v>
      </x:c>
      <x:c r="N467" t="s">
        <x:v>2432</x:v>
      </x:c>
      <x:c r="O467" t="s">
        <x:v>2436</x:v>
      </x:c>
      <x:c r="P467" t="s">
        <x:v>102</x:v>
      </x:c>
      <x:c r="Q467">
        <x:v>1</x:v>
      </x:c>
      <x:c r="R467" t="s">
        <x:v>42</x:v>
      </x:c>
      <x:c r="S467" t="s">
        <x:v>44</x:v>
      </x:c>
      <x:c r="T467" t="s">
        <x:v>44</x:v>
      </x:c>
      <x:c r="U467" t="s">
        <x:v>532</x:v>
      </x:c>
      <x:c r="V467" t="s">
        <x:v>1980</x:v>
      </x:c>
      <x:c r="W467">
        <x:v>186.44</x:v>
      </x:c>
      <x:c r="X467" t="s">
        <x:v>47</x:v>
      </x:c>
      <x:c r="Y467" t="s">
        <x:v>48</x:v>
      </x:c>
      <x:c r="Z467" t="s">
        <x:v>535</x:v>
      </x:c>
      <x:c r="AA467">
        <x:v>982673362</x:v>
      </x:c>
      <x:c r="AB467" t="s">
        <x:v>417</x:v>
      </x:c>
    </x:row>
    <x:row r="468">
      <x:c r="A468" s="1">
        <x:v>46263</x:v>
      </x:c>
      <x:c r="B468" t="s">
        <x:v>2437</x:v>
      </x:c>
      <x:c r="C468" t="s">
        <x:v>29</x:v>
      </x:c>
      <x:c r="D468" t="s">
        <x:v>2438</x:v>
      </x:c>
      <x:c r="E468" t="s">
        <x:v>31</x:v>
      </x:c>
      <x:c r="F468" t="s">
        <x:v>2439</x:v>
      </x:c>
      <x:c r="G468" t="s">
        <x:v>2440</x:v>
      </x:c>
      <x:c r="H468" t="s">
        <x:v>2441</x:v>
      </x:c>
      <x:c r="I468" t="s">
        <x:v>2442</x:v>
      </x:c>
      <x:c r="J468" t="s">
        <x:v>263</x:v>
      </x:c>
      <x:c r="K468" t="s">
        <x:v>37</x:v>
      </x:c>
      <x:c r="L468" t="s">
        <x:v>2443</x:v>
      </x:c>
      <x:c r="M468" t="s">
        <x:v>2444</x:v>
      </x:c>
      <x:c r="N468" t="s">
        <x:v>2440</x:v>
      </x:c>
      <x:c r="O468" t="s">
        <x:v>2445</x:v>
      </x:c>
      <x:c r="P468" t="s">
        <x:v>41</x:v>
      </x:c>
      <x:c r="Q468">
        <x:v>1</x:v>
      </x:c>
      <x:c r="R468" t="s">
        <x:v>42</x:v>
      </x:c>
      <x:c r="S468" t="s">
        <x:v>44</x:v>
      </x:c>
      <x:c r="T468" t="s">
        <x:v>44</x:v>
      </x:c>
      <x:c r="U468" t="s">
        <x:v>45</x:v>
      </x:c>
      <x:c r="V468" t="s">
        <x:v>60</x:v>
      </x:c>
      <x:c r="W468">
        <x:v>186.44</x:v>
      </x:c>
      <x:c r="X468" t="s">
        <x:v>47</x:v>
      </x:c>
      <x:c r="Y468" t="s">
        <x:v>48</x:v>
      </x:c>
      <x:c r="Z468" t="s">
        <x:v>49</x:v>
      </x:c>
      <x:c r="AA468">
        <x:v>987407109</x:v>
      </x:c>
      <x:c r="AB468" t="s">
        <x:v>2446</x:v>
      </x:c>
    </x:row>
    <x:row r="469">
      <x:c r="A469" s="1">
        <x:v>46263</x:v>
      </x:c>
      <x:c r="B469" t="s">
        <x:v>2447</x:v>
      </x:c>
      <x:c r="C469" t="s">
        <x:v>29</x:v>
      </x:c>
      <x:c r="D469" t="s">
        <x:v>2448</x:v>
      </x:c>
      <x:c r="E469" t="s">
        <x:v>31</x:v>
      </x:c>
      <x:c r="F469" t="s">
        <x:v>2449</x:v>
      </x:c>
      <x:c r="G469" t="s">
        <x:v>2450</x:v>
      </x:c>
      <x:c r="H469" t="s">
        <x:v>2451</x:v>
      </x:c>
      <x:c r="I469" t="s">
        <x:v>1304</x:v>
      </x:c>
      <x:c r="J469" t="s">
        <x:v>366</x:v>
      </x:c>
      <x:c r="K469" t="s">
        <x:v>37</x:v>
      </x:c>
      <x:c r="L469" t="s">
        <x:v>2452</x:v>
      </x:c>
      <x:c r="M469" t="s">
        <x:v>2453</x:v>
      </x:c>
      <x:c r="N469" t="s">
        <x:v>2450</x:v>
      </x:c>
      <x:c r="O469" t="s">
        <x:v>2454</x:v>
      </x:c>
      <x:c r="P469" t="s">
        <x:v>131</x:v>
      </x:c>
      <x:c r="Q469">
        <x:v>1</x:v>
      </x:c>
      <x:c r="R469" t="s">
        <x:v>70</x:v>
      </x:c>
      <x:c r="S469" t="s">
        <x:v>43</x:v>
      </x:c>
      <x:c r="T469" t="s">
        <x:v>44</x:v>
      </x:c>
      <x:c r="U469" t="s">
        <x:v>71</x:v>
      </x:c>
      <x:c r="V469" t="s">
        <x:v>185</x:v>
      </x:c>
      <x:c r="W469">
        <x:v>152.54</x:v>
      </x:c>
      <x:c r="X469" t="s">
        <x:v>47</x:v>
      </x:c>
      <x:c r="Y469" t="s">
        <x:v>48</x:v>
      </x:c>
      <x:c r="Z469" t="s">
        <x:v>73</x:v>
      </x:c>
      <x:c r="AA469">
        <x:v>980702810</x:v>
      </x:c>
      <x:c r="AB469" t="s">
        <x:v>1309</x:v>
      </x:c>
    </x:row>
    <x:row r="470">
      <x:c r="A470" s="1">
        <x:v>46265</x:v>
      </x:c>
      <x:c r="B470" t="s">
        <x:v>2455</x:v>
      </x:c>
      <x:c r="C470" t="s">
        <x:v>269</x:v>
      </x:c>
      <x:c r="D470" t="s">
        <x:v>2456</x:v>
      </x:c>
      <x:c r="E470" t="s">
        <x:v>31</x:v>
      </x:c>
      <x:c r="F470" t="s">
        <x:v>2457</x:v>
      </x:c>
      <x:c r="G470" t="s">
        <x:v>2458</x:v>
      </x:c>
      <x:c r="H470" t="s">
        <x:v>2459</x:v>
      </x:c>
      <x:c r="I470" t="s">
        <x:v>2460</x:v>
      </x:c>
      <x:c r="J470" t="s">
        <x:v>2461</x:v>
      </x:c>
      <x:c r="K470" t="s">
        <x:v>37</x:v>
      </x:c>
      <x:c r="L470" t="s">
        <x:v>2462</x:v>
      </x:c>
      <x:c r="M470" t="s">
        <x:v>2463</x:v>
      </x:c>
      <x:c r="N470" t="s">
        <x:v>1761</x:v>
      </x:c>
      <x:c r="O470" t="s">
        <x:v>2464</x:v>
      </x:c>
      <x:c r="P470" t="s">
        <x:v>482</x:v>
      </x:c>
      <x:c r="Q470">
        <x:v>1</x:v>
      </x:c>
      <x:c r="R470" t="s">
        <x:v>42</x:v>
      </x:c>
      <x:c r="S470" t="s">
        <x:v>44</x:v>
      </x:c>
      <x:c r="T470" t="s">
        <x:v>44</x:v>
      </x:c>
      <x:c r="U470" t="s">
        <x:v>45</x:v>
      </x:c>
      <x:c r="V470" t="s">
        <x:v>46</x:v>
      </x:c>
      <x:c r="W470">
        <x:v>101.69</x:v>
      </x:c>
      <x:c r="X470" t="s">
        <x:v>61</x:v>
      </x:c>
      <x:c r="Y470" t="s">
        <x:v>48</x:v>
      </x:c>
      <x:c r="Z470" t="s">
        <x:v>49</x:v>
      </x:c>
    </x:row>
    <x:row r="471">
      <x:c r="A471" s="1">
        <x:v>46265</x:v>
      </x:c>
      <x:c r="B471" t="s">
        <x:v>2465</x:v>
      </x:c>
      <x:c r="C471" t="s">
        <x:v>29</x:v>
      </x:c>
      <x:c r="D471" t="s">
        <x:v>2466</x:v>
      </x:c>
      <x:c r="E471" t="s">
        <x:v>31</x:v>
      </x:c>
      <x:c r="F471" t="s">
        <x:v>2467</x:v>
      </x:c>
      <x:c r="G471" t="s">
        <x:v>2468</x:v>
      </x:c>
      <x:c r="H471" t="s">
        <x:v>2469</x:v>
      </x:c>
      <x:c r="I471" t="s">
        <x:v>1110</x:v>
      </x:c>
      <x:c r="J471" t="s">
        <x:v>210</x:v>
      </x:c>
      <x:c r="K471" t="s">
        <x:v>37</x:v>
      </x:c>
      <x:c r="L471" t="s">
        <x:v>2470</x:v>
      </x:c>
      <x:c r="M471" t="s">
        <x:v>2471</x:v>
      </x:c>
      <x:c r="N471" t="s">
        <x:v>2468</x:v>
      </x:c>
      <x:c r="O471" t="s">
        <x:v>2472</x:v>
      </x:c>
      <x:c r="P471" t="s">
        <x:v>160</x:v>
      </x:c>
      <x:c r="Q471">
        <x:v>1</x:v>
      </x:c>
      <x:c r="R471" t="s">
        <x:v>42</x:v>
      </x:c>
      <x:c r="S471" t="s">
        <x:v>44</x:v>
      </x:c>
      <x:c r="T471" t="s">
        <x:v>44</x:v>
      </x:c>
      <x:c r="U471" t="s">
        <x:v>45</x:v>
      </x:c>
      <x:c r="V471" t="s">
        <x:v>46</x:v>
      </x:c>
      <x:c r="W471">
        <x:v>135.59</x:v>
      </x:c>
      <x:c r="X471" t="s">
        <x:v>47</x:v>
      </x:c>
      <x:c r="Y471" t="s">
        <x:v>48</x:v>
      </x:c>
      <x:c r="Z471" t="s">
        <x:v>49</x:v>
      </x:c>
      <x:c r="AA471">
        <x:v>970582106</x:v>
      </x:c>
      <x:c r="AB471" t="s">
        <x:v>1115</x:v>
      </x:c>
    </x:row>
    <x:row r="472">
      <x:c r="A472" s="1">
        <x:v>46265</x:v>
      </x:c>
      <x:c r="B472" t="s">
        <x:v>2473</x:v>
      </x:c>
      <x:c r="C472" t="s">
        <x:v>29</x:v>
      </x:c>
      <x:c r="D472" t="s">
        <x:v>2474</x:v>
      </x:c>
      <x:c r="E472" t="s">
        <x:v>31</x:v>
      </x:c>
      <x:c r="F472" t="s">
        <x:v>2475</x:v>
      </x:c>
      <x:c r="G472" t="s">
        <x:v>2476</x:v>
      </x:c>
      <x:c r="H472" t="s">
        <x:v>2477</x:v>
      </x:c>
      <x:c r="I472" t="s">
        <x:v>1326</x:v>
      </x:c>
      <x:c r="J472" t="s">
        <x:v>36</x:v>
      </x:c>
      <x:c r="K472" t="s">
        <x:v>37</x:v>
      </x:c>
      <x:c r="L472" t="s">
        <x:v>2478</x:v>
      </x:c>
      <x:c r="M472" t="s">
        <x:v>2479</x:v>
      </x:c>
      <x:c r="N472" t="s">
        <x:v>2476</x:v>
      </x:c>
      <x:c r="O472" t="s">
        <x:v>2480</x:v>
      </x:c>
      <x:c r="P472" t="s">
        <x:v>202</x:v>
      </x:c>
      <x:c r="Q472">
        <x:v>1</x:v>
      </x:c>
      <x:c r="R472" t="s">
        <x:v>42</x:v>
      </x:c>
      <x:c r="S472" t="s">
        <x:v>44</x:v>
      </x:c>
      <x:c r="T472" t="s">
        <x:v>44</x:v>
      </x:c>
      <x:c r="U472" t="s">
        <x:v>45</x:v>
      </x:c>
      <x:c r="V472" t="s">
        <x:v>60</x:v>
      </x:c>
      <x:c r="W472">
        <x:v>152.54</x:v>
      </x:c>
      <x:c r="X472" t="s">
        <x:v>47</x:v>
      </x:c>
      <x:c r="Y472" t="s">
        <x:v>48</x:v>
      </x:c>
      <x:c r="Z472" t="s">
        <x:v>49</x:v>
      </x:c>
      <x:c r="AA472">
        <x:v>999111362</x:v>
      </x:c>
      <x:c r="AB472" t="s">
        <x:v>1330</x:v>
      </x:c>
    </x:row>
    <x:row r="473">
      <x:c r="A473" s="1">
        <x:v>46266</x:v>
      </x:c>
      <x:c r="B473" t="s">
        <x:v>2481</x:v>
      </x:c>
      <x:c r="C473" t="s">
        <x:v>29</x:v>
      </x:c>
      <x:c r="D473" t="s">
        <x:v>2482</x:v>
      </x:c>
      <x:c r="E473" t="s">
        <x:v>31</x:v>
      </x:c>
      <x:c r="F473" t="s">
        <x:v>2483</x:v>
      </x:c>
      <x:c r="G473" t="s">
        <x:v>2484</x:v>
      </x:c>
      <x:c r="H473" t="s">
        <x:v>2485</x:v>
      </x:c>
      <x:c r="K473" t="s">
        <x:v>37</x:v>
      </x:c>
      <x:c r="L473" t="s">
        <x:v>2486</x:v>
      </x:c>
      <x:c r="M473" t="s">
        <x:v>2487</x:v>
      </x:c>
      <x:c r="N473" t="s">
        <x:v>2484</x:v>
      </x:c>
      <x:c r="O473" t="s">
        <x:v>2488</x:v>
      </x:c>
      <x:c r="P473" t="s">
        <x:v>1159</x:v>
      </x:c>
      <x:c r="Q473">
        <x:v>1</x:v>
      </x:c>
      <x:c r="R473" t="s">
        <x:v>42</x:v>
      </x:c>
      <x:c r="S473" t="s">
        <x:v>44</x:v>
      </x:c>
      <x:c r="T473" t="s">
        <x:v>44</x:v>
      </x:c>
      <x:c r="U473" t="s">
        <x:v>45</x:v>
      </x:c>
      <x:c r="V473" t="s">
        <x:v>60</x:v>
      </x:c>
      <x:c r="W473">
        <x:v>338.98</x:v>
      </x:c>
      <x:c r="X473" t="s">
        <x:v>47</x:v>
      </x:c>
      <x:c r="Y473" t="s">
        <x:v>48</x:v>
      </x:c>
      <x:c r="Z473" t="s">
        <x:v>49</x:v>
      </x:c>
    </x:row>
    <x:row r="474">
      <x:c r="A474" s="1">
        <x:v>46266</x:v>
      </x:c>
      <x:c r="B474" t="s">
        <x:v>2489</x:v>
      </x:c>
      <x:c r="C474" t="s">
        <x:v>29</x:v>
      </x:c>
      <x:c r="D474" t="s">
        <x:v>2490</x:v>
      </x:c>
      <x:c r="E474" t="s">
        <x:v>31</x:v>
      </x:c>
      <x:c r="F474" t="s">
        <x:v>2491</x:v>
      </x:c>
      <x:c r="G474" t="s">
        <x:v>2492</x:v>
      </x:c>
      <x:c r="H474" t="s">
        <x:v>2493</x:v>
      </x:c>
      <x:c r="I474" t="s">
        <x:v>776</x:v>
      </x:c>
      <x:c r="J474" t="s">
        <x:v>777</x:v>
      </x:c>
      <x:c r="K474" t="s">
        <x:v>37</x:v>
      </x:c>
      <x:c r="L474" t="s">
        <x:v>2494</x:v>
      </x:c>
      <x:c r="M474" t="s">
        <x:v>2495</x:v>
      </x:c>
      <x:c r="N474" t="s">
        <x:v>2492</x:v>
      </x:c>
      <x:c r="O474" t="s">
        <x:v>2496</x:v>
      </x:c>
      <x:c r="P474" t="s">
        <x:v>643</x:v>
      </x:c>
      <x:c r="Q474">
        <x:v>1</x:v>
      </x:c>
      <x:c r="R474" t="s">
        <x:v>42</x:v>
      </x:c>
      <x:c r="S474" t="s">
        <x:v>44</x:v>
      </x:c>
      <x:c r="T474" t="s">
        <x:v>44</x:v>
      </x:c>
      <x:c r="U474" t="s">
        <x:v>45</x:v>
      </x:c>
      <x:c r="V474" t="s">
        <x:v>46</x:v>
      </x:c>
      <x:c r="W474">
        <x:v>84.75</x:v>
      </x:c>
      <x:c r="X474" t="s">
        <x:v>47</x:v>
      </x:c>
      <x:c r="Y474" t="s">
        <x:v>48</x:v>
      </x:c>
      <x:c r="Z474" t="s">
        <x:v>49</x:v>
      </x:c>
    </x:row>
    <x:row r="475">
      <x:c r="A475" s="1">
        <x:v>46266</x:v>
      </x:c>
      <x:c r="B475" t="s">
        <x:v>2497</x:v>
      </x:c>
      <x:c r="C475" t="s">
        <x:v>29</x:v>
      </x:c>
      <x:c r="D475" t="s">
        <x:v>2498</x:v>
      </x:c>
      <x:c r="E475" t="s">
        <x:v>31</x:v>
      </x:c>
      <x:c r="F475" t="s">
        <x:v>2499</x:v>
      </x:c>
      <x:c r="G475" t="s">
        <x:v>2500</x:v>
      </x:c>
      <x:c r="H475" t="s">
        <x:v>2501</x:v>
      </x:c>
      <x:c r="I475" t="s">
        <x:v>2502</x:v>
      </x:c>
      <x:c r="J475" t="s">
        <x:v>1122</x:v>
      </x:c>
      <x:c r="K475" t="s">
        <x:v>37</x:v>
      </x:c>
      <x:c r="L475" t="s">
        <x:v>2503</x:v>
      </x:c>
      <x:c r="M475" t="s">
        <x:v>2504</x:v>
      </x:c>
      <x:c r="N475" t="s">
        <x:v>2500</x:v>
      </x:c>
      <x:c r="O475" t="s">
        <x:v>2505</x:v>
      </x:c>
      <x:c r="P475" t="s">
        <x:v>41</x:v>
      </x:c>
      <x:c r="Q475">
        <x:v>1</x:v>
      </x:c>
      <x:c r="R475" t="s">
        <x:v>42</x:v>
      </x:c>
      <x:c r="S475" t="s">
        <x:v>44</x:v>
      </x:c>
      <x:c r="T475" t="s">
        <x:v>44</x:v>
      </x:c>
      <x:c r="U475" t="s">
        <x:v>45</x:v>
      </x:c>
      <x:c r="V475" t="s">
        <x:v>60</x:v>
      </x:c>
      <x:c r="W475">
        <x:v>186.44</x:v>
      </x:c>
      <x:c r="X475" t="s">
        <x:v>47</x:v>
      </x:c>
      <x:c r="Y475" t="s">
        <x:v>48</x:v>
      </x:c>
      <x:c r="Z475" t="s">
        <x:v>49</x:v>
      </x:c>
      <x:c r="AA475">
        <x:v>992789956</x:v>
      </x:c>
      <x:c r="AB475" t="s">
        <x:v>2506</x:v>
      </x:c>
    </x:row>
    <x:row r="476">
      <x:c r="A476" s="1">
        <x:v>46266</x:v>
      </x:c>
      <x:c r="B476" t="s">
        <x:v>2507</x:v>
      </x:c>
      <x:c r="C476" t="s">
        <x:v>29</x:v>
      </x:c>
      <x:c r="D476" t="s">
        <x:v>2508</x:v>
      </x:c>
      <x:c r="E476" t="s">
        <x:v>31</x:v>
      </x:c>
      <x:c r="F476" t="s">
        <x:v>2509</x:v>
      </x:c>
      <x:c r="G476" t="s">
        <x:v>2510</x:v>
      </x:c>
      <x:c r="H476" t="s">
        <x:v>2511</x:v>
      </x:c>
      <x:c r="I476" t="s">
        <x:v>776</x:v>
      </x:c>
      <x:c r="J476" t="s">
        <x:v>777</x:v>
      </x:c>
      <x:c r="K476" t="s">
        <x:v>37</x:v>
      </x:c>
      <x:c r="L476" t="s">
        <x:v>2512</x:v>
      </x:c>
      <x:c r="M476" t="s">
        <x:v>2513</x:v>
      </x:c>
      <x:c r="N476" t="s">
        <x:v>2510</x:v>
      </x:c>
      <x:c r="O476" t="s">
        <x:v>2514</x:v>
      </x:c>
      <x:c r="P476" t="s">
        <x:v>643</x:v>
      </x:c>
      <x:c r="Q476">
        <x:v>1</x:v>
      </x:c>
      <x:c r="R476" t="s">
        <x:v>42</x:v>
      </x:c>
      <x:c r="S476" t="s">
        <x:v>44</x:v>
      </x:c>
      <x:c r="T476" t="s">
        <x:v>44</x:v>
      </x:c>
      <x:c r="U476" t="s">
        <x:v>45</x:v>
      </x:c>
      <x:c r="V476" t="s">
        <x:v>46</x:v>
      </x:c>
      <x:c r="W476">
        <x:v>84.75</x:v>
      </x:c>
      <x:c r="X476" t="s">
        <x:v>47</x:v>
      </x:c>
      <x:c r="Y476" t="s">
        <x:v>48</x:v>
      </x:c>
      <x:c r="Z476" t="s">
        <x:v>49</x:v>
      </x:c>
    </x:row>
    <x:row r="477">
      <x:c r="A477" s="1">
        <x:v>46266</x:v>
      </x:c>
      <x:c r="B477" t="s">
        <x:v>2515</x:v>
      </x:c>
      <x:c r="C477" t="s">
        <x:v>29</x:v>
      </x:c>
      <x:c r="D477" t="s">
        <x:v>2516</x:v>
      </x:c>
      <x:c r="E477" t="s">
        <x:v>31</x:v>
      </x:c>
      <x:c r="F477" t="s">
        <x:v>2517</x:v>
      </x:c>
      <x:c r="G477" t="s">
        <x:v>2518</x:v>
      </x:c>
      <x:c r="H477" t="s">
        <x:v>2519</x:v>
      </x:c>
      <x:c r="I477" t="s">
        <x:v>776</x:v>
      </x:c>
      <x:c r="J477" t="s">
        <x:v>777</x:v>
      </x:c>
      <x:c r="K477" t="s">
        <x:v>37</x:v>
      </x:c>
      <x:c r="L477" t="s">
        <x:v>2520</x:v>
      </x:c>
      <x:c r="M477" t="s">
        <x:v>2521</x:v>
      </x:c>
      <x:c r="N477" t="s">
        <x:v>2518</x:v>
      </x:c>
      <x:c r="O477" t="s">
        <x:v>2522</x:v>
      </x:c>
      <x:c r="P477" t="s">
        <x:v>643</x:v>
      </x:c>
      <x:c r="Q477">
        <x:v>1</x:v>
      </x:c>
      <x:c r="R477" t="s">
        <x:v>42</x:v>
      </x:c>
      <x:c r="S477" t="s">
        <x:v>44</x:v>
      </x:c>
      <x:c r="T477" t="s">
        <x:v>44</x:v>
      </x:c>
      <x:c r="U477" t="s">
        <x:v>45</x:v>
      </x:c>
      <x:c r="V477" t="s">
        <x:v>46</x:v>
      </x:c>
      <x:c r="W477">
        <x:v>84.75</x:v>
      </x:c>
      <x:c r="X477" t="s">
        <x:v>47</x:v>
      </x:c>
      <x:c r="Y477" t="s">
        <x:v>48</x:v>
      </x:c>
      <x:c r="Z477" t="s">
        <x:v>49</x:v>
      </x:c>
    </x:row>
    <x:row r="478">
      <x:c r="A478" s="1">
        <x:v>46266</x:v>
      </x:c>
      <x:c r="B478" t="s">
        <x:v>2523</x:v>
      </x:c>
      <x:c r="C478" t="s">
        <x:v>29</x:v>
      </x:c>
      <x:c r="D478" t="s">
        <x:v>2524</x:v>
      </x:c>
      <x:c r="E478" t="s">
        <x:v>31</x:v>
      </x:c>
      <x:c r="F478" t="s">
        <x:v>2525</x:v>
      </x:c>
      <x:c r="G478" t="s">
        <x:v>2526</x:v>
      </x:c>
      <x:c r="H478" t="s">
        <x:v>2527</x:v>
      </x:c>
      <x:c r="I478" t="s">
        <x:v>2528</x:v>
      </x:c>
      <x:c r="J478" t="s">
        <x:v>631</x:v>
      </x:c>
      <x:c r="K478" t="s">
        <x:v>37</x:v>
      </x:c>
      <x:c r="L478" t="s">
        <x:v>2529</x:v>
      </x:c>
      <x:c r="M478" t="s">
        <x:v>610</x:v>
      </x:c>
      <x:c r="N478" t="s">
        <x:v>2526</x:v>
      </x:c>
      <x:c r="O478" t="s">
        <x:v>2530</x:v>
      </x:c>
      <x:c r="P478" t="s">
        <x:v>289</x:v>
      </x:c>
      <x:c r="Q478">
        <x:v>1</x:v>
      </x:c>
      <x:c r="R478" t="s">
        <x:v>42</x:v>
      </x:c>
      <x:c r="S478" t="s">
        <x:v>44</x:v>
      </x:c>
      <x:c r="T478" t="s">
        <x:v>44</x:v>
      </x:c>
      <x:c r="U478" t="s">
        <x:v>45</x:v>
      </x:c>
      <x:c r="V478" t="s">
        <x:v>46</x:v>
      </x:c>
      <x:c r="W478">
        <x:v>0</x:v>
      </x:c>
      <x:c r="X478" t="s">
        <x:v>290</x:v>
      </x:c>
      <x:c r="Y478" t="s">
        <x:v>48</x:v>
      </x:c>
      <x:c r="Z478" t="s">
        <x:v>49</x:v>
      </x:c>
      <x:c r="AA478">
        <x:v>993020239</x:v>
      </x:c>
      <x:c r="AB478" t="s">
        <x:v>2531</x:v>
      </x:c>
    </x:row>
    <x:row r="479">
      <x:c r="A479" s="1">
        <x:v>46266</x:v>
      </x:c>
      <x:c r="B479" t="s">
        <x:v>2523</x:v>
      </x:c>
      <x:c r="C479" t="s">
        <x:v>29</x:v>
      </x:c>
      <x:c r="D479" t="s">
        <x:v>2524</x:v>
      </x:c>
      <x:c r="E479" t="s">
        <x:v>31</x:v>
      </x:c>
      <x:c r="F479" t="s">
        <x:v>2525</x:v>
      </x:c>
      <x:c r="G479" t="s">
        <x:v>2526</x:v>
      </x:c>
      <x:c r="H479" t="s">
        <x:v>2527</x:v>
      </x:c>
      <x:c r="I479" t="s">
        <x:v>2528</x:v>
      </x:c>
      <x:c r="J479" t="s">
        <x:v>631</x:v>
      </x:c>
      <x:c r="K479" t="s">
        <x:v>37</x:v>
      </x:c>
      <x:c r="L479" t="s">
        <x:v>2529</x:v>
      </x:c>
      <x:c r="M479" t="s">
        <x:v>610</x:v>
      </x:c>
      <x:c r="N479" t="s">
        <x:v>2526</x:v>
      </x:c>
      <x:c r="O479" t="s">
        <x:v>2530</x:v>
      </x:c>
      <x:c r="P479" t="s">
        <x:v>1217</x:v>
      </x:c>
      <x:c r="Q479">
        <x:v>1</x:v>
      </x:c>
      <x:c r="R479" t="s">
        <x:v>42</x:v>
      </x:c>
      <x:c r="S479" t="s">
        <x:v>44</x:v>
      </x:c>
      <x:c r="T479" t="s">
        <x:v>44</x:v>
      </x:c>
      <x:c r="U479" t="s">
        <x:v>45</x:v>
      </x:c>
      <x:c r="V479" t="s">
        <x:v>46</x:v>
      </x:c>
      <x:c r="W479">
        <x:v>139.83000000000001</x:v>
      </x:c>
      <x:c r="X479" t="s">
        <x:v>290</x:v>
      </x:c>
      <x:c r="Y479" t="s">
        <x:v>48</x:v>
      </x:c>
      <x:c r="Z479" t="s">
        <x:v>49</x:v>
      </x:c>
      <x:c r="AA479">
        <x:v>993020239</x:v>
      </x:c>
      <x:c r="AB479" t="s">
        <x:v>2531</x:v>
      </x:c>
    </x:row>
    <x:row r="480">
      <x:c r="A480" s="1">
        <x:v>46266</x:v>
      </x:c>
      <x:c r="B480" t="s">
        <x:v>2532</x:v>
      </x:c>
      <x:c r="C480" t="s">
        <x:v>29</x:v>
      </x:c>
      <x:c r="D480" t="s">
        <x:v>2533</x:v>
      </x:c>
      <x:c r="E480" t="s">
        <x:v>31</x:v>
      </x:c>
      <x:c r="F480" t="s">
        <x:v>2534</x:v>
      </x:c>
      <x:c r="G480" t="s">
        <x:v>1619</x:v>
      </x:c>
      <x:c r="H480" t="s">
        <x:v>2535</x:v>
      </x:c>
      <x:c r="K480" t="s">
        <x:v>37</x:v>
      </x:c>
      <x:c r="L480" t="s">
        <x:v>1621</x:v>
      </x:c>
      <x:c r="M480" t="s">
        <x:v>1622</x:v>
      </x:c>
      <x:c r="N480" t="s">
        <x:v>1619</x:v>
      </x:c>
      <x:c r="O480" t="s">
        <x:v>2536</x:v>
      </x:c>
      <x:c r="P480" t="s">
        <x:v>289</x:v>
      </x:c>
      <x:c r="Q480">
        <x:v>1</x:v>
      </x:c>
      <x:c r="R480" t="s">
        <x:v>70</x:v>
      </x:c>
      <x:c r="S480" t="s">
        <x:v>43</x:v>
      </x:c>
      <x:c r="T480" t="s">
        <x:v>44</x:v>
      </x:c>
      <x:c r="U480" t="s">
        <x:v>71</x:v>
      </x:c>
      <x:c r="V480" t="s">
        <x:v>72</x:v>
      </x:c>
      <x:c r="W480">
        <x:v>0</x:v>
      </x:c>
      <x:c r="X480" t="s">
        <x:v>290</x:v>
      </x:c>
      <x:c r="Y480" t="s">
        <x:v>48</x:v>
      </x:c>
      <x:c r="Z480" t="s">
        <x:v>73</x:v>
      </x:c>
    </x:row>
    <x:row r="481">
      <x:c r="A481" s="1">
        <x:v>46266</x:v>
      </x:c>
      <x:c r="B481" t="s">
        <x:v>2532</x:v>
      </x:c>
      <x:c r="C481" t="s">
        <x:v>29</x:v>
      </x:c>
      <x:c r="D481" t="s">
        <x:v>2533</x:v>
      </x:c>
      <x:c r="E481" t="s">
        <x:v>31</x:v>
      </x:c>
      <x:c r="F481" t="s">
        <x:v>2534</x:v>
      </x:c>
      <x:c r="G481" t="s">
        <x:v>1619</x:v>
      </x:c>
      <x:c r="H481" t="s">
        <x:v>2535</x:v>
      </x:c>
      <x:c r="K481" t="s">
        <x:v>37</x:v>
      </x:c>
      <x:c r="L481" t="s">
        <x:v>1621</x:v>
      </x:c>
      <x:c r="M481" t="s">
        <x:v>1622</x:v>
      </x:c>
      <x:c r="N481" t="s">
        <x:v>1619</x:v>
      </x:c>
      <x:c r="O481" t="s">
        <x:v>2536</x:v>
      </x:c>
      <x:c r="P481" t="s">
        <x:v>1217</x:v>
      </x:c>
      <x:c r="Q481">
        <x:v>1</x:v>
      </x:c>
      <x:c r="R481" t="s">
        <x:v>70</x:v>
      </x:c>
      <x:c r="S481" t="s">
        <x:v>43</x:v>
      </x:c>
      <x:c r="T481" t="s">
        <x:v>44</x:v>
      </x:c>
      <x:c r="U481" t="s">
        <x:v>71</x:v>
      </x:c>
      <x:c r="V481" t="s">
        <x:v>72</x:v>
      </x:c>
      <x:c r="W481">
        <x:v>139.83000000000001</x:v>
      </x:c>
      <x:c r="X481" t="s">
        <x:v>290</x:v>
      </x:c>
      <x:c r="Y481" t="s">
        <x:v>48</x:v>
      </x:c>
      <x:c r="Z481" t="s">
        <x:v>73</x:v>
      </x:c>
    </x:row>
    <x:row r="482">
      <x:c r="A482" s="1">
        <x:v>46267</x:v>
      </x:c>
      <x:c r="B482" t="s">
        <x:v>2537</x:v>
      </x:c>
      <x:c r="C482" t="s">
        <x:v>29</x:v>
      </x:c>
      <x:c r="D482" t="s">
        <x:v>2538</x:v>
      </x:c>
      <x:c r="E482" t="s">
        <x:v>31</x:v>
      </x:c>
      <x:c r="F482" t="s">
        <x:v>2539</x:v>
      </x:c>
      <x:c r="G482" t="s">
        <x:v>2098</x:v>
      </x:c>
      <x:c r="H482" t="s">
        <x:v>2099</x:v>
      </x:c>
      <x:c r="I482" t="s">
        <x:v>412</x:v>
      </x:c>
      <x:c r="J482" t="s">
        <x:v>413</x:v>
      </x:c>
      <x:c r="K482" t="s">
        <x:v>37</x:v>
      </x:c>
      <x:c r="L482" t="s">
        <x:v>2100</x:v>
      </x:c>
      <x:c r="M482" t="s">
        <x:v>2101</x:v>
      </x:c>
      <x:c r="N482" t="s">
        <x:v>2098</x:v>
      </x:c>
      <x:c r="O482" t="s">
        <x:v>2540</x:v>
      </x:c>
      <x:c r="P482" t="s">
        <x:v>160</x:v>
      </x:c>
      <x:c r="Q482">
        <x:v>1</x:v>
      </x:c>
      <x:c r="R482" t="s">
        <x:v>42</x:v>
      </x:c>
      <x:c r="S482" t="s">
        <x:v>44</x:v>
      </x:c>
      <x:c r="T482" t="s">
        <x:v>44</x:v>
      </x:c>
      <x:c r="U482" t="s">
        <x:v>45</x:v>
      </x:c>
      <x:c r="V482" t="s">
        <x:v>46</x:v>
      </x:c>
      <x:c r="W482">
        <x:v>135.59</x:v>
      </x:c>
      <x:c r="X482" t="s">
        <x:v>47</x:v>
      </x:c>
      <x:c r="Y482" t="s">
        <x:v>48</x:v>
      </x:c>
      <x:c r="Z482" t="s">
        <x:v>49</x:v>
      </x:c>
      <x:c r="AA482">
        <x:v>982673362</x:v>
      </x:c>
      <x:c r="AB482" t="s">
        <x:v>417</x:v>
      </x:c>
    </x:row>
    <x:row r="483">
      <x:c r="A483" s="1">
        <x:v>46267</x:v>
      </x:c>
      <x:c r="B483" t="s">
        <x:v>2541</x:v>
      </x:c>
      <x:c r="C483" t="s">
        <x:v>269</x:v>
      </x:c>
      <x:c r="D483" t="s">
        <x:v>2542</x:v>
      </x:c>
      <x:c r="E483" t="s">
        <x:v>31</x:v>
      </x:c>
      <x:c r="F483" t="s">
        <x:v>2543</x:v>
      </x:c>
      <x:c r="G483" t="s">
        <x:v>1014</x:v>
      </x:c>
      <x:c r="H483" t="s">
        <x:v>1015</x:v>
      </x:c>
      <x:c r="I483" t="s">
        <x:v>776</x:v>
      </x:c>
      <x:c r="J483" t="s">
        <x:v>777</x:v>
      </x:c>
      <x:c r="K483" t="s">
        <x:v>37</x:v>
      </x:c>
      <x:c r="L483" t="s">
        <x:v>1016</x:v>
      </x:c>
      <x:c r="M483" t="s">
        <x:v>1017</x:v>
      </x:c>
      <x:c r="N483" t="s">
        <x:v>800</x:v>
      </x:c>
      <x:c r="O483" t="s">
        <x:v>2544</x:v>
      </x:c>
      <x:c r="P483" t="s">
        <x:v>289</x:v>
      </x:c>
      <x:c r="Q483">
        <x:v>1</x:v>
      </x:c>
      <x:c r="R483" t="s">
        <x:v>42</x:v>
      </x:c>
      <x:c r="S483" t="s">
        <x:v>44</x:v>
      </x:c>
      <x:c r="T483" t="s">
        <x:v>44</x:v>
      </x:c>
      <x:c r="U483" t="s">
        <x:v>45</x:v>
      </x:c>
      <x:c r="V483" t="s">
        <x:v>46</x:v>
      </x:c>
      <x:c r="W483">
        <x:v>0</x:v>
      </x:c>
      <x:c r="X483" t="s">
        <x:v>290</x:v>
      </x:c>
      <x:c r="Y483" t="s">
        <x:v>48</x:v>
      </x:c>
      <x:c r="Z483" t="s">
        <x:v>49</x:v>
      </x:c>
    </x:row>
    <x:row r="484">
      <x:c r="A484" s="1">
        <x:v>46267</x:v>
      </x:c>
      <x:c r="B484" t="s">
        <x:v>2541</x:v>
      </x:c>
      <x:c r="C484" t="s">
        <x:v>269</x:v>
      </x:c>
      <x:c r="D484" t="s">
        <x:v>2542</x:v>
      </x:c>
      <x:c r="E484" t="s">
        <x:v>31</x:v>
      </x:c>
      <x:c r="F484" t="s">
        <x:v>2543</x:v>
      </x:c>
      <x:c r="G484" t="s">
        <x:v>1014</x:v>
      </x:c>
      <x:c r="H484" t="s">
        <x:v>1015</x:v>
      </x:c>
      <x:c r="I484" t="s">
        <x:v>776</x:v>
      </x:c>
      <x:c r="J484" t="s">
        <x:v>777</x:v>
      </x:c>
      <x:c r="K484" t="s">
        <x:v>37</x:v>
      </x:c>
      <x:c r="L484" t="s">
        <x:v>1016</x:v>
      </x:c>
      <x:c r="M484" t="s">
        <x:v>1017</x:v>
      </x:c>
      <x:c r="N484" t="s">
        <x:v>800</x:v>
      </x:c>
      <x:c r="O484" t="s">
        <x:v>2544</x:v>
      </x:c>
      <x:c r="P484" t="s">
        <x:v>2412</x:v>
      </x:c>
      <x:c r="Q484">
        <x:v>1</x:v>
      </x:c>
      <x:c r="R484" t="s">
        <x:v>42</x:v>
      </x:c>
      <x:c r="S484" t="s">
        <x:v>44</x:v>
      </x:c>
      <x:c r="T484" t="s">
        <x:v>44</x:v>
      </x:c>
      <x:c r="U484" t="s">
        <x:v>45</x:v>
      </x:c>
      <x:c r="V484" t="s">
        <x:v>46</x:v>
      </x:c>
      <x:c r="W484">
        <x:v>1169.49</x:v>
      </x:c>
      <x:c r="X484" t="s">
        <x:v>290</x:v>
      </x:c>
      <x:c r="Y484" t="s">
        <x:v>48</x:v>
      </x:c>
      <x:c r="Z484" t="s">
        <x:v>49</x:v>
      </x:c>
    </x:row>
    <x:row r="485">
      <x:c r="A485" s="1">
        <x:v>46267</x:v>
      </x:c>
      <x:c r="B485" t="s">
        <x:v>2545</x:v>
      </x:c>
      <x:c r="C485" t="s">
        <x:v>269</x:v>
      </x:c>
      <x:c r="D485" t="s">
        <x:v>2546</x:v>
      </x:c>
      <x:c r="E485" t="s">
        <x:v>31</x:v>
      </x:c>
      <x:c r="F485" t="s">
        <x:v>2547</x:v>
      </x:c>
      <x:c r="G485" t="s">
        <x:v>2492</x:v>
      </x:c>
      <x:c r="H485" t="s">
        <x:v>2493</x:v>
      </x:c>
      <x:c r="I485" t="s">
        <x:v>776</x:v>
      </x:c>
      <x:c r="J485" t="s">
        <x:v>777</x:v>
      </x:c>
      <x:c r="K485" t="s">
        <x:v>37</x:v>
      </x:c>
      <x:c r="L485" t="s">
        <x:v>2494</x:v>
      </x:c>
      <x:c r="M485" t="s">
        <x:v>2495</x:v>
      </x:c>
      <x:c r="N485" t="s">
        <x:v>800</x:v>
      </x:c>
      <x:c r="O485" t="s">
        <x:v>2548</x:v>
      </x:c>
      <x:c r="P485" t="s">
        <x:v>289</x:v>
      </x:c>
      <x:c r="Q485">
        <x:v>1</x:v>
      </x:c>
      <x:c r="R485" t="s">
        <x:v>42</x:v>
      </x:c>
      <x:c r="S485" t="s">
        <x:v>44</x:v>
      </x:c>
      <x:c r="T485" t="s">
        <x:v>44</x:v>
      </x:c>
      <x:c r="U485" t="s">
        <x:v>45</x:v>
      </x:c>
      <x:c r="V485" t="s">
        <x:v>46</x:v>
      </x:c>
      <x:c r="W485">
        <x:v>0</x:v>
      </x:c>
      <x:c r="X485" t="s">
        <x:v>290</x:v>
      </x:c>
      <x:c r="Y485" t="s">
        <x:v>48</x:v>
      </x:c>
      <x:c r="Z485" t="s">
        <x:v>49</x:v>
      </x:c>
    </x:row>
    <x:row r="486">
      <x:c r="A486" s="1">
        <x:v>46267</x:v>
      </x:c>
      <x:c r="B486" t="s">
        <x:v>2545</x:v>
      </x:c>
      <x:c r="C486" t="s">
        <x:v>269</x:v>
      </x:c>
      <x:c r="D486" t="s">
        <x:v>2546</x:v>
      </x:c>
      <x:c r="E486" t="s">
        <x:v>31</x:v>
      </x:c>
      <x:c r="F486" t="s">
        <x:v>2547</x:v>
      </x:c>
      <x:c r="G486" t="s">
        <x:v>2492</x:v>
      </x:c>
      <x:c r="H486" t="s">
        <x:v>2493</x:v>
      </x:c>
      <x:c r="I486" t="s">
        <x:v>776</x:v>
      </x:c>
      <x:c r="J486" t="s">
        <x:v>777</x:v>
      </x:c>
      <x:c r="K486" t="s">
        <x:v>37</x:v>
      </x:c>
      <x:c r="L486" t="s">
        <x:v>2494</x:v>
      </x:c>
      <x:c r="M486" t="s">
        <x:v>2495</x:v>
      </x:c>
      <x:c r="N486" t="s">
        <x:v>800</x:v>
      </x:c>
      <x:c r="O486" t="s">
        <x:v>2548</x:v>
      </x:c>
      <x:c r="P486" t="s">
        <x:v>291</x:v>
      </x:c>
      <x:c r="Q486">
        <x:v>1</x:v>
      </x:c>
      <x:c r="R486" t="s">
        <x:v>42</x:v>
      </x:c>
      <x:c r="S486" t="s">
        <x:v>44</x:v>
      </x:c>
      <x:c r="T486" t="s">
        <x:v>44</x:v>
      </x:c>
      <x:c r="U486" t="s">
        <x:v>45</x:v>
      </x:c>
      <x:c r="V486" t="s">
        <x:v>46</x:v>
      </x:c>
      <x:c r="W486">
        <x:v>762.71</x:v>
      </x:c>
      <x:c r="X486" t="s">
        <x:v>290</x:v>
      </x:c>
      <x:c r="Y486" t="s">
        <x:v>48</x:v>
      </x:c>
      <x:c r="Z486" t="s">
        <x:v>49</x:v>
      </x:c>
    </x:row>
    <x:row r="487">
      <x:c r="A487" s="1">
        <x:v>46267</x:v>
      </x:c>
      <x:c r="B487" t="s">
        <x:v>2549</x:v>
      </x:c>
      <x:c r="C487" t="s">
        <x:v>269</x:v>
      </x:c>
      <x:c r="D487" t="s">
        <x:v>2550</x:v>
      </x:c>
      <x:c r="E487" t="s">
        <x:v>31</x:v>
      </x:c>
      <x:c r="F487" t="s">
        <x:v>2551</x:v>
      </x:c>
      <x:c r="G487" t="s">
        <x:v>2368</x:v>
      </x:c>
      <x:c r="H487" t="s">
        <x:v>2369</x:v>
      </x:c>
      <x:c r="I487" t="s">
        <x:v>1252</x:v>
      </x:c>
      <x:c r="J487" t="s">
        <x:v>210</x:v>
      </x:c>
      <x:c r="K487" t="s">
        <x:v>37</x:v>
      </x:c>
      <x:c r="L487" t="s">
        <x:v>2370</x:v>
      </x:c>
      <x:c r="M487" t="s">
        <x:v>610</x:v>
      </x:c>
      <x:c r="N487" t="s">
        <x:v>1254</x:v>
      </x:c>
      <x:c r="O487" t="s">
        <x:v>2552</x:v>
      </x:c>
      <x:c r="P487" t="s">
        <x:v>289</x:v>
      </x:c>
      <x:c r="Q487">
        <x:v>1</x:v>
      </x:c>
      <x:c r="R487" t="s">
        <x:v>42</x:v>
      </x:c>
      <x:c r="S487" t="s">
        <x:v>44</x:v>
      </x:c>
      <x:c r="T487" t="s">
        <x:v>44</x:v>
      </x:c>
      <x:c r="U487" t="s">
        <x:v>45</x:v>
      </x:c>
      <x:c r="V487" t="s">
        <x:v>46</x:v>
      </x:c>
      <x:c r="W487">
        <x:v>0</x:v>
      </x:c>
      <x:c r="X487" t="s">
        <x:v>290</x:v>
      </x:c>
      <x:c r="Y487" t="s">
        <x:v>48</x:v>
      </x:c>
      <x:c r="Z487" t="s">
        <x:v>49</x:v>
      </x:c>
      <x:c r="AA487">
        <x:v>994872106</x:v>
      </x:c>
      <x:c r="AB487" t="s">
        <x:v>1256</x:v>
      </x:c>
    </x:row>
    <x:row r="488">
      <x:c r="A488" s="1">
        <x:v>46267</x:v>
      </x:c>
      <x:c r="B488" t="s">
        <x:v>2549</x:v>
      </x:c>
      <x:c r="C488" t="s">
        <x:v>269</x:v>
      </x:c>
      <x:c r="D488" t="s">
        <x:v>2550</x:v>
      </x:c>
      <x:c r="E488" t="s">
        <x:v>31</x:v>
      </x:c>
      <x:c r="F488" t="s">
        <x:v>2551</x:v>
      </x:c>
      <x:c r="G488" t="s">
        <x:v>2368</x:v>
      </x:c>
      <x:c r="H488" t="s">
        <x:v>2369</x:v>
      </x:c>
      <x:c r="I488" t="s">
        <x:v>1252</x:v>
      </x:c>
      <x:c r="J488" t="s">
        <x:v>210</x:v>
      </x:c>
      <x:c r="K488" t="s">
        <x:v>37</x:v>
      </x:c>
      <x:c r="L488" t="s">
        <x:v>2370</x:v>
      </x:c>
      <x:c r="M488" t="s">
        <x:v>610</x:v>
      </x:c>
      <x:c r="N488" t="s">
        <x:v>1254</x:v>
      </x:c>
      <x:c r="O488" t="s">
        <x:v>2552</x:v>
      </x:c>
      <x:c r="P488" t="s">
        <x:v>291</x:v>
      </x:c>
      <x:c r="Q488">
        <x:v>1</x:v>
      </x:c>
      <x:c r="R488" t="s">
        <x:v>42</x:v>
      </x:c>
      <x:c r="S488" t="s">
        <x:v>44</x:v>
      </x:c>
      <x:c r="T488" t="s">
        <x:v>44</x:v>
      </x:c>
      <x:c r="U488" t="s">
        <x:v>45</x:v>
      </x:c>
      <x:c r="V488" t="s">
        <x:v>46</x:v>
      </x:c>
      <x:c r="W488">
        <x:v>762.71</x:v>
      </x:c>
      <x:c r="X488" t="s">
        <x:v>290</x:v>
      </x:c>
      <x:c r="Y488" t="s">
        <x:v>48</x:v>
      </x:c>
      <x:c r="Z488" t="s">
        <x:v>49</x:v>
      </x:c>
      <x:c r="AA488">
        <x:v>994872106</x:v>
      </x:c>
      <x:c r="AB488" t="s">
        <x:v>1256</x:v>
      </x:c>
    </x:row>
    <x:row r="489">
      <x:c r="A489" s="1">
        <x:v>46267</x:v>
      </x:c>
      <x:c r="B489" t="s">
        <x:v>2553</x:v>
      </x:c>
      <x:c r="C489" t="s">
        <x:v>29</x:v>
      </x:c>
      <x:c r="D489" t="s">
        <x:v>2554</x:v>
      </x:c>
      <x:c r="E489" t="s">
        <x:v>31</x:v>
      </x:c>
      <x:c r="F489" t="s">
        <x:v>2555</x:v>
      </x:c>
      <x:c r="G489" t="s">
        <x:v>2556</x:v>
      </x:c>
      <x:c r="H489" t="s">
        <x:v>2557</x:v>
      </x:c>
      <x:c r="I489" t="s">
        <x:v>1326</x:v>
      </x:c>
      <x:c r="J489" t="s">
        <x:v>36</x:v>
      </x:c>
      <x:c r="K489" t="s">
        <x:v>37</x:v>
      </x:c>
      <x:c r="L489" t="s">
        <x:v>2558</x:v>
      </x:c>
      <x:c r="M489" t="s">
        <x:v>2559</x:v>
      </x:c>
      <x:c r="N489" t="s">
        <x:v>2556</x:v>
      </x:c>
      <x:c r="O489" t="s">
        <x:v>2560</x:v>
      </x:c>
      <x:c r="P489" t="s">
        <x:v>102</x:v>
      </x:c>
      <x:c r="Q489">
        <x:v>1</x:v>
      </x:c>
      <x:c r="R489" t="s">
        <x:v>42</x:v>
      </x:c>
      <x:c r="S489" t="s">
        <x:v>44</x:v>
      </x:c>
      <x:c r="T489" t="s">
        <x:v>44</x:v>
      </x:c>
      <x:c r="U489" t="s">
        <x:v>45</x:v>
      </x:c>
      <x:c r="V489" t="s">
        <x:v>46</x:v>
      </x:c>
      <x:c r="W489">
        <x:v>186.44</x:v>
      </x:c>
      <x:c r="X489" t="s">
        <x:v>47</x:v>
      </x:c>
      <x:c r="Y489" t="s">
        <x:v>48</x:v>
      </x:c>
      <x:c r="Z489" t="s">
        <x:v>49</x:v>
      </x:c>
      <x:c r="AA489">
        <x:v>999111362</x:v>
      </x:c>
      <x:c r="AB489" t="s">
        <x:v>1330</x:v>
      </x:c>
    </x:row>
    <x:row r="490">
      <x:c r="A490" s="1">
        <x:v>46267</x:v>
      </x:c>
      <x:c r="B490" t="s">
        <x:v>2561</x:v>
      </x:c>
      <x:c r="C490" t="s">
        <x:v>269</x:v>
      </x:c>
      <x:c r="D490" t="s">
        <x:v>2562</x:v>
      </x:c>
      <x:c r="E490" t="s">
        <x:v>31</x:v>
      </x:c>
      <x:c r="F490" t="s">
        <x:v>2563</x:v>
      </x:c>
      <x:c r="G490" t="s">
        <x:v>2518</x:v>
      </x:c>
      <x:c r="H490" t="s">
        <x:v>2519</x:v>
      </x:c>
      <x:c r="I490" t="s">
        <x:v>776</x:v>
      </x:c>
      <x:c r="J490" t="s">
        <x:v>777</x:v>
      </x:c>
      <x:c r="K490" t="s">
        <x:v>37</x:v>
      </x:c>
      <x:c r="L490" t="s">
        <x:v>2520</x:v>
      </x:c>
      <x:c r="M490" t="s">
        <x:v>2521</x:v>
      </x:c>
      <x:c r="N490" t="s">
        <x:v>800</x:v>
      </x:c>
      <x:c r="O490" t="s">
        <x:v>2564</x:v>
      </x:c>
      <x:c r="P490" t="s">
        <x:v>289</x:v>
      </x:c>
      <x:c r="Q490">
        <x:v>1</x:v>
      </x:c>
      <x:c r="R490" t="s">
        <x:v>42</x:v>
      </x:c>
      <x:c r="S490" t="s">
        <x:v>44</x:v>
      </x:c>
      <x:c r="T490" t="s">
        <x:v>44</x:v>
      </x:c>
      <x:c r="U490" t="s">
        <x:v>45</x:v>
      </x:c>
      <x:c r="V490" t="s">
        <x:v>46</x:v>
      </x:c>
      <x:c r="W490">
        <x:v>0</x:v>
      </x:c>
      <x:c r="X490" t="s">
        <x:v>290</x:v>
      </x:c>
      <x:c r="Y490" t="s">
        <x:v>48</x:v>
      </x:c>
      <x:c r="Z490" t="s">
        <x:v>49</x:v>
      </x:c>
    </x:row>
    <x:row r="491">
      <x:c r="A491" s="1">
        <x:v>46267</x:v>
      </x:c>
      <x:c r="B491" t="s">
        <x:v>2561</x:v>
      </x:c>
      <x:c r="C491" t="s">
        <x:v>269</x:v>
      </x:c>
      <x:c r="D491" t="s">
        <x:v>2562</x:v>
      </x:c>
      <x:c r="E491" t="s">
        <x:v>31</x:v>
      </x:c>
      <x:c r="F491" t="s">
        <x:v>2563</x:v>
      </x:c>
      <x:c r="G491" t="s">
        <x:v>2518</x:v>
      </x:c>
      <x:c r="H491" t="s">
        <x:v>2519</x:v>
      </x:c>
      <x:c r="I491" t="s">
        <x:v>776</x:v>
      </x:c>
      <x:c r="J491" t="s">
        <x:v>777</x:v>
      </x:c>
      <x:c r="K491" t="s">
        <x:v>37</x:v>
      </x:c>
      <x:c r="L491" t="s">
        <x:v>2520</x:v>
      </x:c>
      <x:c r="M491" t="s">
        <x:v>2521</x:v>
      </x:c>
      <x:c r="N491" t="s">
        <x:v>800</x:v>
      </x:c>
      <x:c r="O491" t="s">
        <x:v>2564</x:v>
      </x:c>
      <x:c r="P491" t="s">
        <x:v>291</x:v>
      </x:c>
      <x:c r="Q491">
        <x:v>1</x:v>
      </x:c>
      <x:c r="R491" t="s">
        <x:v>42</x:v>
      </x:c>
      <x:c r="S491" t="s">
        <x:v>44</x:v>
      </x:c>
      <x:c r="T491" t="s">
        <x:v>44</x:v>
      </x:c>
      <x:c r="U491" t="s">
        <x:v>45</x:v>
      </x:c>
      <x:c r="V491" t="s">
        <x:v>46</x:v>
      </x:c>
      <x:c r="W491">
        <x:v>762.71</x:v>
      </x:c>
      <x:c r="X491" t="s">
        <x:v>290</x:v>
      </x:c>
      <x:c r="Y491" t="s">
        <x:v>48</x:v>
      </x:c>
      <x:c r="Z491" t="s">
        <x:v>49</x:v>
      </x:c>
    </x:row>
    <x:row r="492">
      <x:c r="A492" s="1">
        <x:v>46268</x:v>
      </x:c>
      <x:c r="B492" t="s">
        <x:v>2565</x:v>
      </x:c>
      <x:c r="C492" t="s">
        <x:v>29</x:v>
      </x:c>
      <x:c r="D492" t="s">
        <x:v>2566</x:v>
      </x:c>
      <x:c r="E492" t="s">
        <x:v>31</x:v>
      </x:c>
      <x:c r="F492" t="s">
        <x:v>2567</x:v>
      </x:c>
      <x:c r="G492" t="s">
        <x:v>2568</x:v>
      </x:c>
      <x:c r="H492" t="s">
        <x:v>2569</x:v>
      </x:c>
      <x:c r="K492" t="s">
        <x:v>37</x:v>
      </x:c>
      <x:c r="L492" t="s">
        <x:v>2570</x:v>
      </x:c>
      <x:c r="M492" t="s">
        <x:v>2571</x:v>
      </x:c>
      <x:c r="N492" t="s">
        <x:v>2568</x:v>
      </x:c>
      <x:c r="O492" t="s">
        <x:v>2572</x:v>
      </x:c>
      <x:c r="P492" t="s">
        <x:v>91</x:v>
      </x:c>
      <x:c r="Q492">
        <x:v>1</x:v>
      </x:c>
      <x:c r="R492" t="s">
        <x:v>70</x:v>
      </x:c>
      <x:c r="S492" t="s">
        <x:v>43</x:v>
      </x:c>
      <x:c r="T492" t="s">
        <x:v>44</x:v>
      </x:c>
      <x:c r="U492" t="s">
        <x:v>71</x:v>
      </x:c>
      <x:c r="V492" t="s">
        <x:v>72</x:v>
      </x:c>
      <x:c r="W492">
        <x:v>135.59</x:v>
      </x:c>
      <x:c r="X492" t="s">
        <x:v>47</x:v>
      </x:c>
      <x:c r="Y492" t="s">
        <x:v>48</x:v>
      </x:c>
      <x:c r="Z492" t="s">
        <x:v>73</x:v>
      </x:c>
    </x:row>
    <x:row r="493">
      <x:c r="A493" s="1">
        <x:v>46268</x:v>
      </x:c>
      <x:c r="B493" t="s">
        <x:v>2573</x:v>
      </x:c>
      <x:c r="C493" t="s">
        <x:v>29</x:v>
      </x:c>
      <x:c r="D493" t="s">
        <x:v>2574</x:v>
      </x:c>
      <x:c r="E493" t="s">
        <x:v>31</x:v>
      </x:c>
      <x:c r="F493" t="s">
        <x:v>2575</x:v>
      </x:c>
      <x:c r="G493" t="s">
        <x:v>2576</x:v>
      </x:c>
      <x:c r="H493" t="s">
        <x:v>2577</x:v>
      </x:c>
      <x:c r="I493" t="s">
        <x:v>2578</x:v>
      </x:c>
      <x:c r="K493" t="s">
        <x:v>37</x:v>
      </x:c>
      <x:c r="L493" t="s">
        <x:v>2579</x:v>
      </x:c>
      <x:c r="M493" t="s">
        <x:v>2580</x:v>
      </x:c>
      <x:c r="N493" t="s">
        <x:v>2576</x:v>
      </x:c>
      <x:c r="O493" t="s">
        <x:v>2581</x:v>
      </x:c>
      <x:c r="P493" t="s">
        <x:v>41</x:v>
      </x:c>
      <x:c r="Q493">
        <x:v>1</x:v>
      </x:c>
      <x:c r="R493" t="s">
        <x:v>42</x:v>
      </x:c>
      <x:c r="S493" t="s">
        <x:v>44</x:v>
      </x:c>
      <x:c r="T493" t="s">
        <x:v>44</x:v>
      </x:c>
      <x:c r="U493" t="s">
        <x:v>45</x:v>
      </x:c>
      <x:c r="V493" t="s">
        <x:v>60</x:v>
      </x:c>
      <x:c r="W493">
        <x:v>186.44</x:v>
      </x:c>
      <x:c r="X493" t="s">
        <x:v>47</x:v>
      </x:c>
      <x:c r="Y493" t="s">
        <x:v>48</x:v>
      </x:c>
      <x:c r="Z493" t="s">
        <x:v>49</x:v>
      </x:c>
    </x:row>
    <x:row r="494">
      <x:c r="A494" s="1">
        <x:v>46268</x:v>
      </x:c>
      <x:c r="B494" t="s">
        <x:v>2573</x:v>
      </x:c>
      <x:c r="C494" t="s">
        <x:v>29</x:v>
      </x:c>
      <x:c r="D494" t="s">
        <x:v>2574</x:v>
      </x:c>
      <x:c r="E494" t="s">
        <x:v>31</x:v>
      </x:c>
      <x:c r="F494" t="s">
        <x:v>2575</x:v>
      </x:c>
      <x:c r="G494" t="s">
        <x:v>2576</x:v>
      </x:c>
      <x:c r="H494" t="s">
        <x:v>2577</x:v>
      </x:c>
      <x:c r="I494" t="s">
        <x:v>2578</x:v>
      </x:c>
      <x:c r="K494" t="s">
        <x:v>37</x:v>
      </x:c>
      <x:c r="L494" t="s">
        <x:v>2579</x:v>
      </x:c>
      <x:c r="M494" t="s">
        <x:v>2580</x:v>
      </x:c>
      <x:c r="N494" t="s">
        <x:v>2576</x:v>
      </x:c>
      <x:c r="O494" t="s">
        <x:v>2581</x:v>
      </x:c>
      <x:c r="P494" t="s">
        <x:v>102</x:v>
      </x:c>
      <x:c r="Q494">
        <x:v>1</x:v>
      </x:c>
      <x:c r="R494" t="s">
        <x:v>42</x:v>
      </x:c>
      <x:c r="S494" t="s">
        <x:v>44</x:v>
      </x:c>
      <x:c r="T494" t="s">
        <x:v>44</x:v>
      </x:c>
      <x:c r="U494" t="s">
        <x:v>45</x:v>
      </x:c>
      <x:c r="V494" t="s">
        <x:v>60</x:v>
      </x:c>
      <x:c r="W494">
        <x:v>186.44</x:v>
      </x:c>
      <x:c r="X494" t="s">
        <x:v>47</x:v>
      </x:c>
      <x:c r="Y494" t="s">
        <x:v>48</x:v>
      </x:c>
      <x:c r="Z494" t="s">
        <x:v>49</x:v>
      </x:c>
    </x:row>
    <x:row r="495">
      <x:c r="A495" s="1">
        <x:v>46268</x:v>
      </x:c>
      <x:c r="B495" t="s">
        <x:v>2582</x:v>
      </x:c>
      <x:c r="C495" t="s">
        <x:v>269</x:v>
      </x:c>
      <x:c r="D495" t="s">
        <x:v>2583</x:v>
      </x:c>
      <x:c r="E495" t="s">
        <x:v>31</x:v>
      </x:c>
      <x:c r="F495" t="s">
        <x:v>2584</x:v>
      </x:c>
      <x:c r="G495" t="s">
        <x:v>2178</x:v>
      </x:c>
      <x:c r="H495" t="s">
        <x:v>2179</x:v>
      </x:c>
      <x:c r="I495" t="s">
        <x:v>776</x:v>
      </x:c>
      <x:c r="J495" t="s">
        <x:v>777</x:v>
      </x:c>
      <x:c r="K495" t="s">
        <x:v>37</x:v>
      </x:c>
      <x:c r="L495" t="s">
        <x:v>2180</x:v>
      </x:c>
      <x:c r="M495" t="s">
        <x:v>2181</x:v>
      </x:c>
      <x:c r="N495" t="s">
        <x:v>800</x:v>
      </x:c>
      <x:c r="O495" t="s">
        <x:v>2585</x:v>
      </x:c>
      <x:c r="P495" t="s">
        <x:v>289</x:v>
      </x:c>
      <x:c r="Q495">
        <x:v>1</x:v>
      </x:c>
      <x:c r="R495" t="s">
        <x:v>42</x:v>
      </x:c>
      <x:c r="S495" t="s">
        <x:v>44</x:v>
      </x:c>
      <x:c r="T495" t="s">
        <x:v>44</x:v>
      </x:c>
      <x:c r="U495" t="s">
        <x:v>45</x:v>
      </x:c>
      <x:c r="V495" t="s">
        <x:v>60</x:v>
      </x:c>
      <x:c r="W495">
        <x:v>0</x:v>
      </x:c>
      <x:c r="X495" t="s">
        <x:v>290</x:v>
      </x:c>
      <x:c r="Y495" t="s">
        <x:v>48</x:v>
      </x:c>
      <x:c r="Z495" t="s">
        <x:v>49</x:v>
      </x:c>
    </x:row>
    <x:row r="496">
      <x:c r="A496" s="1">
        <x:v>46268</x:v>
      </x:c>
      <x:c r="B496" t="s">
        <x:v>2582</x:v>
      </x:c>
      <x:c r="C496" t="s">
        <x:v>269</x:v>
      </x:c>
      <x:c r="D496" t="s">
        <x:v>2583</x:v>
      </x:c>
      <x:c r="E496" t="s">
        <x:v>31</x:v>
      </x:c>
      <x:c r="F496" t="s">
        <x:v>2584</x:v>
      </x:c>
      <x:c r="G496" t="s">
        <x:v>2178</x:v>
      </x:c>
      <x:c r="H496" t="s">
        <x:v>2179</x:v>
      </x:c>
      <x:c r="I496" t="s">
        <x:v>776</x:v>
      </x:c>
      <x:c r="J496" t="s">
        <x:v>777</x:v>
      </x:c>
      <x:c r="K496" t="s">
        <x:v>37</x:v>
      </x:c>
      <x:c r="L496" t="s">
        <x:v>2180</x:v>
      </x:c>
      <x:c r="M496" t="s">
        <x:v>2181</x:v>
      </x:c>
      <x:c r="N496" t="s">
        <x:v>800</x:v>
      </x:c>
      <x:c r="O496" t="s">
        <x:v>2585</x:v>
      </x:c>
      <x:c r="P496" t="s">
        <x:v>291</x:v>
      </x:c>
      <x:c r="Q496">
        <x:v>1</x:v>
      </x:c>
      <x:c r="R496" t="s">
        <x:v>42</x:v>
      </x:c>
      <x:c r="S496" t="s">
        <x:v>44</x:v>
      </x:c>
      <x:c r="T496" t="s">
        <x:v>44</x:v>
      </x:c>
      <x:c r="U496" t="s">
        <x:v>45</x:v>
      </x:c>
      <x:c r="V496" t="s">
        <x:v>60</x:v>
      </x:c>
      <x:c r="W496">
        <x:v>1525.42</x:v>
      </x:c>
      <x:c r="X496" t="s">
        <x:v>290</x:v>
      </x:c>
      <x:c r="Y496" t="s">
        <x:v>48</x:v>
      </x:c>
      <x:c r="Z496" t="s">
        <x:v>49</x:v>
      </x:c>
    </x:row>
    <x:row r="497">
      <x:c r="A497" s="1">
        <x:v>46269</x:v>
      </x:c>
      <x:c r="B497" t="s">
        <x:v>2586</x:v>
      </x:c>
      <x:c r="C497" t="s">
        <x:v>269</x:v>
      </x:c>
      <x:c r="D497" t="s">
        <x:v>2587</x:v>
      </x:c>
      <x:c r="E497" t="s">
        <x:v>31</x:v>
      </x:c>
      <x:c r="F497" t="s">
        <x:v>2588</x:v>
      </x:c>
      <x:c r="G497" t="s">
        <x:v>2589</x:v>
      </x:c>
      <x:c r="H497" t="s">
        <x:v>2590</x:v>
      </x:c>
      <x:c r="I497" t="s">
        <x:v>274</x:v>
      </x:c>
      <x:c r="J497" t="s">
        <x:v>275</x:v>
      </x:c>
      <x:c r="K497" t="s">
        <x:v>37</x:v>
      </x:c>
      <x:c r="L497" t="s">
        <x:v>2591</x:v>
      </x:c>
      <x:c r="M497" t="s">
        <x:v>2592</x:v>
      </x:c>
      <x:c r="N497" t="s">
        <x:v>278</x:v>
      </x:c>
      <x:c r="O497" t="s">
        <x:v>2593</x:v>
      </x:c>
      <x:c r="P497" t="s">
        <x:v>289</x:v>
      </x:c>
      <x:c r="Q497">
        <x:v>1</x:v>
      </x:c>
      <x:c r="R497" t="s">
        <x:v>42</x:v>
      </x:c>
      <x:c r="S497" t="s">
        <x:v>44</x:v>
      </x:c>
      <x:c r="T497" t="s">
        <x:v>44</x:v>
      </x:c>
      <x:c r="U497" t="s">
        <x:v>45</x:v>
      </x:c>
      <x:c r="V497" t="s">
        <x:v>46</x:v>
      </x:c>
      <x:c r="W497">
        <x:v>0</x:v>
      </x:c>
      <x:c r="X497" t="s">
        <x:v>290</x:v>
      </x:c>
      <x:c r="Y497" t="s">
        <x:v>48</x:v>
      </x:c>
      <x:c r="Z497" t="s">
        <x:v>49</x:v>
      </x:c>
      <x:c r="AA497">
        <x:v>950133748</x:v>
      </x:c>
      <x:c r="AB497" t="s">
        <x:v>280</x:v>
      </x:c>
    </x:row>
    <x:row r="498">
      <x:c r="A498" s="1">
        <x:v>46269</x:v>
      </x:c>
      <x:c r="B498" t="s">
        <x:v>2586</x:v>
      </x:c>
      <x:c r="C498" t="s">
        <x:v>269</x:v>
      </x:c>
      <x:c r="D498" t="s">
        <x:v>2587</x:v>
      </x:c>
      <x:c r="E498" t="s">
        <x:v>31</x:v>
      </x:c>
      <x:c r="F498" t="s">
        <x:v>2588</x:v>
      </x:c>
      <x:c r="G498" t="s">
        <x:v>2589</x:v>
      </x:c>
      <x:c r="H498" t="s">
        <x:v>2590</x:v>
      </x:c>
      <x:c r="I498" t="s">
        <x:v>274</x:v>
      </x:c>
      <x:c r="J498" t="s">
        <x:v>275</x:v>
      </x:c>
      <x:c r="K498" t="s">
        <x:v>37</x:v>
      </x:c>
      <x:c r="L498" t="s">
        <x:v>2591</x:v>
      </x:c>
      <x:c r="M498" t="s">
        <x:v>2592</x:v>
      </x:c>
      <x:c r="N498" t="s">
        <x:v>278</x:v>
      </x:c>
      <x:c r="O498" t="s">
        <x:v>2593</x:v>
      </x:c>
      <x:c r="P498" t="s">
        <x:v>291</x:v>
      </x:c>
      <x:c r="Q498">
        <x:v>1</x:v>
      </x:c>
      <x:c r="R498" t="s">
        <x:v>42</x:v>
      </x:c>
      <x:c r="S498" t="s">
        <x:v>44</x:v>
      </x:c>
      <x:c r="T498" t="s">
        <x:v>44</x:v>
      </x:c>
      <x:c r="U498" t="s">
        <x:v>45</x:v>
      </x:c>
      <x:c r="V498" t="s">
        <x:v>46</x:v>
      </x:c>
      <x:c r="W498">
        <x:v>1050.8499999999999</x:v>
      </x:c>
      <x:c r="X498" t="s">
        <x:v>290</x:v>
      </x:c>
      <x:c r="Y498" t="s">
        <x:v>48</x:v>
      </x:c>
      <x:c r="Z498" t="s">
        <x:v>49</x:v>
      </x:c>
      <x:c r="AA498">
        <x:v>950133748</x:v>
      </x:c>
      <x:c r="AB498" t="s">
        <x:v>280</x:v>
      </x:c>
    </x:row>
    <x:row r="499">
      <x:c r="A499" s="1">
        <x:v>46269</x:v>
      </x:c>
      <x:c r="B499" t="s">
        <x:v>2594</x:v>
      </x:c>
      <x:c r="C499" t="s">
        <x:v>29</x:v>
      </x:c>
      <x:c r="D499" t="s">
        <x:v>2595</x:v>
      </x:c>
      <x:c r="E499" t="s">
        <x:v>31</x:v>
      </x:c>
      <x:c r="F499" t="s">
        <x:v>2596</x:v>
      </x:c>
      <x:c r="G499" t="s">
        <x:v>2597</x:v>
      </x:c>
      <x:c r="H499" t="s">
        <x:v>2598</x:v>
      </x:c>
      <x:c r="I499" t="s">
        <x:v>2599</x:v>
      </x:c>
      <x:c r="J499" t="s">
        <x:v>2600</x:v>
      </x:c>
      <x:c r="K499" t="s">
        <x:v>37</x:v>
      </x:c>
      <x:c r="L499" t="s">
        <x:v>2601</x:v>
      </x:c>
      <x:c r="M499" t="s">
        <x:v>2602</x:v>
      </x:c>
      <x:c r="N499" t="s">
        <x:v>2597</x:v>
      </x:c>
      <x:c r="O499" t="s">
        <x:v>2603</x:v>
      </x:c>
      <x:c r="P499" t="s">
        <x:v>1159</x:v>
      </x:c>
      <x:c r="Q499">
        <x:v>1</x:v>
      </x:c>
      <x:c r="R499" t="s">
        <x:v>42</x:v>
      </x:c>
      <x:c r="S499" t="s">
        <x:v>44</x:v>
      </x:c>
      <x:c r="T499" t="s">
        <x:v>44</x:v>
      </x:c>
      <x:c r="U499" t="s">
        <x:v>45</x:v>
      </x:c>
      <x:c r="V499" t="s">
        <x:v>46</x:v>
      </x:c>
      <x:c r="W499">
        <x:v>338.98</x:v>
      </x:c>
      <x:c r="X499" t="s">
        <x:v>47</x:v>
      </x:c>
      <x:c r="Y499" t="s">
        <x:v>48</x:v>
      </x:c>
      <x:c r="Z499" t="s">
        <x:v>49</x:v>
      </x:c>
      <x:c r="AA499">
        <x:v>949900695</x:v>
      </x:c>
      <x:c r="AB499" t="s">
        <x:v>2604</x:v>
      </x:c>
    </x:row>
    <x:row r="500">
      <x:c r="A500" s="1">
        <x:v>46269</x:v>
      </x:c>
      <x:c r="B500" t="s">
        <x:v>2605</x:v>
      </x:c>
      <x:c r="C500" t="s">
        <x:v>269</x:v>
      </x:c>
      <x:c r="D500" t="s">
        <x:v>2606</x:v>
      </x:c>
      <x:c r="E500" t="s">
        <x:v>31</x:v>
      </x:c>
      <x:c r="F500" t="s">
        <x:v>2607</x:v>
      </x:c>
      <x:c r="G500" t="s">
        <x:v>2209</x:v>
      </x:c>
      <x:c r="H500" t="s">
        <x:v>2210</x:v>
      </x:c>
      <x:c r="I500" t="s">
        <x:v>274</x:v>
      </x:c>
      <x:c r="J500" t="s">
        <x:v>275</x:v>
      </x:c>
      <x:c r="K500" t="s">
        <x:v>37</x:v>
      </x:c>
      <x:c r="L500" t="s">
        <x:v>2211</x:v>
      </x:c>
      <x:c r="M500" t="s">
        <x:v>2212</x:v>
      </x:c>
      <x:c r="N500" t="s">
        <x:v>278</x:v>
      </x:c>
      <x:c r="O500" t="s">
        <x:v>2608</x:v>
      </x:c>
      <x:c r="P500" t="s">
        <x:v>289</x:v>
      </x:c>
      <x:c r="Q500">
        <x:v>1</x:v>
      </x:c>
      <x:c r="R500" t="s">
        <x:v>42</x:v>
      </x:c>
      <x:c r="S500" t="s">
        <x:v>44</x:v>
      </x:c>
      <x:c r="T500" t="s">
        <x:v>44</x:v>
      </x:c>
      <x:c r="U500" t="s">
        <x:v>45</x:v>
      </x:c>
      <x:c r="V500" t="s">
        <x:v>46</x:v>
      </x:c>
      <x:c r="W500">
        <x:v>0</x:v>
      </x:c>
      <x:c r="X500" t="s">
        <x:v>290</x:v>
      </x:c>
      <x:c r="Y500" t="s">
        <x:v>48</x:v>
      </x:c>
      <x:c r="Z500" t="s">
        <x:v>49</x:v>
      </x:c>
      <x:c r="AA500">
        <x:v>950133748</x:v>
      </x:c>
      <x:c r="AB500" t="s">
        <x:v>280</x:v>
      </x:c>
    </x:row>
    <x:row r="501">
      <x:c r="A501" s="1">
        <x:v>46269</x:v>
      </x:c>
      <x:c r="B501" t="s">
        <x:v>2605</x:v>
      </x:c>
      <x:c r="C501" t="s">
        <x:v>269</x:v>
      </x:c>
      <x:c r="D501" t="s">
        <x:v>2606</x:v>
      </x:c>
      <x:c r="E501" t="s">
        <x:v>31</x:v>
      </x:c>
      <x:c r="F501" t="s">
        <x:v>2607</x:v>
      </x:c>
      <x:c r="G501" t="s">
        <x:v>2209</x:v>
      </x:c>
      <x:c r="H501" t="s">
        <x:v>2210</x:v>
      </x:c>
      <x:c r="I501" t="s">
        <x:v>274</x:v>
      </x:c>
      <x:c r="J501" t="s">
        <x:v>275</x:v>
      </x:c>
      <x:c r="K501" t="s">
        <x:v>37</x:v>
      </x:c>
      <x:c r="L501" t="s">
        <x:v>2211</x:v>
      </x:c>
      <x:c r="M501" t="s">
        <x:v>2212</x:v>
      </x:c>
      <x:c r="N501" t="s">
        <x:v>278</x:v>
      </x:c>
      <x:c r="O501" t="s">
        <x:v>2608</x:v>
      </x:c>
      <x:c r="P501" t="s">
        <x:v>291</x:v>
      </x:c>
      <x:c r="Q501">
        <x:v>1</x:v>
      </x:c>
      <x:c r="R501" t="s">
        <x:v>42</x:v>
      </x:c>
      <x:c r="S501" t="s">
        <x:v>44</x:v>
      </x:c>
      <x:c r="T501" t="s">
        <x:v>44</x:v>
      </x:c>
      <x:c r="U501" t="s">
        <x:v>45</x:v>
      </x:c>
      <x:c r="V501" t="s">
        <x:v>46</x:v>
      </x:c>
      <x:c r="W501">
        <x:v>3211.86</x:v>
      </x:c>
      <x:c r="X501" t="s">
        <x:v>290</x:v>
      </x:c>
      <x:c r="Y501" t="s">
        <x:v>48</x:v>
      </x:c>
      <x:c r="Z501" t="s">
        <x:v>49</x:v>
      </x:c>
      <x:c r="AA501">
        <x:v>950133748</x:v>
      </x:c>
      <x:c r="AB501" t="s">
        <x:v>280</x:v>
      </x:c>
    </x:row>
    <x:row r="502">
      <x:c r="A502" s="1">
        <x:v>46269</x:v>
      </x:c>
      <x:c r="B502" t="s">
        <x:v>2609</x:v>
      </x:c>
      <x:c r="C502" t="s">
        <x:v>269</x:v>
      </x:c>
      <x:c r="D502" t="s">
        <x:v>2610</x:v>
      </x:c>
      <x:c r="E502" t="s">
        <x:v>31</x:v>
      </x:c>
      <x:c r="F502" t="s">
        <x:v>2611</x:v>
      </x:c>
      <x:c r="G502" t="s">
        <x:v>2589</x:v>
      </x:c>
      <x:c r="H502" t="s">
        <x:v>2590</x:v>
      </x:c>
      <x:c r="I502" t="s">
        <x:v>274</x:v>
      </x:c>
      <x:c r="J502" t="s">
        <x:v>275</x:v>
      </x:c>
      <x:c r="K502" t="s">
        <x:v>37</x:v>
      </x:c>
      <x:c r="L502" t="s">
        <x:v>2591</x:v>
      </x:c>
      <x:c r="M502" t="s">
        <x:v>2592</x:v>
      </x:c>
      <x:c r="N502" t="s">
        <x:v>278</x:v>
      </x:c>
      <x:c r="O502" t="s">
        <x:v>2612</x:v>
      </x:c>
      <x:c r="P502" t="s">
        <x:v>202</x:v>
      </x:c>
      <x:c r="Q502">
        <x:v>1</x:v>
      </x:c>
      <x:c r="R502" t="s">
        <x:v>42</x:v>
      </x:c>
      <x:c r="S502" t="s">
        <x:v>44</x:v>
      </x:c>
      <x:c r="T502" t="s">
        <x:v>44</x:v>
      </x:c>
      <x:c r="U502" t="s">
        <x:v>45</x:v>
      </x:c>
      <x:c r="V502" t="s">
        <x:v>60</x:v>
      </x:c>
      <x:c r="W502">
        <x:v>152.54</x:v>
      </x:c>
      <x:c r="X502" t="s">
        <x:v>47</x:v>
      </x:c>
      <x:c r="Y502" t="s">
        <x:v>48</x:v>
      </x:c>
      <x:c r="Z502" t="s">
        <x:v>49</x:v>
      </x:c>
      <x:c r="AA502">
        <x:v>950133748</x:v>
      </x:c>
      <x:c r="AB502" t="s">
        <x:v>280</x:v>
      </x:c>
    </x:row>
    <x:row r="503">
      <x:c r="A503" s="1">
        <x:v>46269</x:v>
      </x:c>
      <x:c r="B503" t="s">
        <x:v>2613</x:v>
      </x:c>
      <x:c r="C503" t="s">
        <x:v>29</x:v>
      </x:c>
      <x:c r="D503" t="s">
        <x:v>2614</x:v>
      </x:c>
      <x:c r="E503" t="s">
        <x:v>31</x:v>
      </x:c>
      <x:c r="F503" t="s">
        <x:v>2615</x:v>
      </x:c>
      <x:c r="G503" t="s">
        <x:v>2616</x:v>
      </x:c>
      <x:c r="H503" t="s">
        <x:v>2617</x:v>
      </x:c>
      <x:c r="I503" t="s">
        <x:v>2618</x:v>
      </x:c>
      <x:c r="K503" t="s">
        <x:v>37</x:v>
      </x:c>
      <x:c r="L503" t="s">
        <x:v>2619</x:v>
      </x:c>
      <x:c r="M503" t="s">
        <x:v>2620</x:v>
      </x:c>
      <x:c r="N503" t="s">
        <x:v>2616</x:v>
      </x:c>
      <x:c r="O503" t="s">
        <x:v>2621</x:v>
      </x:c>
      <x:c r="P503" t="s">
        <x:v>160</x:v>
      </x:c>
      <x:c r="Q503">
        <x:v>1</x:v>
      </x:c>
      <x:c r="R503" t="s">
        <x:v>42</x:v>
      </x:c>
      <x:c r="S503" t="s">
        <x:v>44</x:v>
      </x:c>
      <x:c r="T503" t="s">
        <x:v>44</x:v>
      </x:c>
      <x:c r="U503" t="s">
        <x:v>45</x:v>
      </x:c>
      <x:c r="V503" t="s">
        <x:v>60</x:v>
      </x:c>
      <x:c r="W503">
        <x:v>135.59</x:v>
      </x:c>
      <x:c r="X503" t="s">
        <x:v>47</x:v>
      </x:c>
      <x:c r="Y503" t="s">
        <x:v>48</x:v>
      </x:c>
      <x:c r="Z503" t="s">
        <x:v>49</x:v>
      </x:c>
    </x:row>
    <x:row r="504">
      <x:c r="A504" s="1">
        <x:v>46270</x:v>
      </x:c>
      <x:c r="B504" t="s">
        <x:v>2622</x:v>
      </x:c>
      <x:c r="C504" t="s">
        <x:v>269</x:v>
      </x:c>
      <x:c r="D504" t="s">
        <x:v>2623</x:v>
      </x:c>
      <x:c r="E504" t="s">
        <x:v>31</x:v>
      </x:c>
      <x:c r="F504" t="s">
        <x:v>2624</x:v>
      </x:c>
      <x:c r="G504" t="s">
        <x:v>2625</x:v>
      </x:c>
      <x:c r="H504" t="s">
        <x:v>2626</x:v>
      </x:c>
      <x:c r="K504" t="s">
        <x:v>37</x:v>
      </x:c>
      <x:c r="L504" t="s">
        <x:v>2627</x:v>
      </x:c>
      <x:c r="M504" t="s">
        <x:v>2628</x:v>
      </x:c>
      <x:c r="N504" t="s">
        <x:v>2629</x:v>
      </x:c>
      <x:c r="O504" t="s">
        <x:v>2630</x:v>
      </x:c>
      <x:c r="P504" t="s">
        <x:v>41</x:v>
      </x:c>
      <x:c r="Q504">
        <x:v>1</x:v>
      </x:c>
      <x:c r="R504" t="s">
        <x:v>70</x:v>
      </x:c>
      <x:c r="S504" t="s">
        <x:v>43</x:v>
      </x:c>
      <x:c r="T504" t="s">
        <x:v>44</x:v>
      </x:c>
      <x:c r="U504" t="s">
        <x:v>71</x:v>
      </x:c>
      <x:c r="V504" t="s">
        <x:v>72</x:v>
      </x:c>
      <x:c r="W504">
        <x:v>169.49</x:v>
      </x:c>
      <x:c r="X504" t="s">
        <x:v>47</x:v>
      </x:c>
      <x:c r="Y504" t="s">
        <x:v>48</x:v>
      </x:c>
      <x:c r="Z504" t="s">
        <x:v>73</x:v>
      </x:c>
    </x:row>
    <x:row r="505">
      <x:c r="A505" s="1">
        <x:v>46270</x:v>
      </x:c>
      <x:c r="B505" t="s">
        <x:v>2622</x:v>
      </x:c>
      <x:c r="C505" t="s">
        <x:v>269</x:v>
      </x:c>
      <x:c r="D505" t="s">
        <x:v>2623</x:v>
      </x:c>
      <x:c r="E505" t="s">
        <x:v>31</x:v>
      </x:c>
      <x:c r="F505" t="s">
        <x:v>2624</x:v>
      </x:c>
      <x:c r="G505" t="s">
        <x:v>2625</x:v>
      </x:c>
      <x:c r="H505" t="s">
        <x:v>2626</x:v>
      </x:c>
      <x:c r="K505" t="s">
        <x:v>37</x:v>
      </x:c>
      <x:c r="L505" t="s">
        <x:v>2627</x:v>
      </x:c>
      <x:c r="M505" t="s">
        <x:v>2628</x:v>
      </x:c>
      <x:c r="N505" t="s">
        <x:v>2629</x:v>
      </x:c>
      <x:c r="O505" t="s">
        <x:v>2630</x:v>
      </x:c>
      <x:c r="P505" t="s">
        <x:v>102</x:v>
      </x:c>
      <x:c r="Q505">
        <x:v>1</x:v>
      </x:c>
      <x:c r="R505" t="s">
        <x:v>70</x:v>
      </x:c>
      <x:c r="S505" t="s">
        <x:v>43</x:v>
      </x:c>
      <x:c r="T505" t="s">
        <x:v>44</x:v>
      </x:c>
      <x:c r="U505" t="s">
        <x:v>71</x:v>
      </x:c>
      <x:c r="V505" t="s">
        <x:v>72</x:v>
      </x:c>
      <x:c r="W505">
        <x:v>169.49</x:v>
      </x:c>
      <x:c r="X505" t="s">
        <x:v>47</x:v>
      </x:c>
      <x:c r="Y505" t="s">
        <x:v>48</x:v>
      </x:c>
      <x:c r="Z505" t="s">
        <x:v>73</x:v>
      </x:c>
    </x:row>
    <x:row r="506">
      <x:c r="A506" s="1">
        <x:v>46270</x:v>
      </x:c>
      <x:c r="B506" t="s">
        <x:v>2631</x:v>
      </x:c>
      <x:c r="C506" t="s">
        <x:v>269</x:v>
      </x:c>
      <x:c r="D506" t="s">
        <x:v>2632</x:v>
      </x:c>
      <x:c r="E506" t="s">
        <x:v>31</x:v>
      </x:c>
      <x:c r="F506" t="s">
        <x:v>2633</x:v>
      </x:c>
      <x:c r="G506" t="s">
        <x:v>2634</x:v>
      </x:c>
      <x:c r="H506" t="s">
        <x:v>2635</x:v>
      </x:c>
      <x:c r="I506" t="s">
        <x:v>1110</x:v>
      </x:c>
      <x:c r="J506" t="s">
        <x:v>210</x:v>
      </x:c>
      <x:c r="K506" t="s">
        <x:v>37</x:v>
      </x:c>
      <x:c r="L506" t="s">
        <x:v>2636</x:v>
      </x:c>
      <x:c r="M506" t="s">
        <x:v>2637</x:v>
      </x:c>
      <x:c r="N506" t="s">
        <x:v>1113</x:v>
      </x:c>
      <x:c r="O506" t="s">
        <x:v>2638</x:v>
      </x:c>
      <x:c r="P506" t="s">
        <x:v>214</x:v>
      </x:c>
      <x:c r="Q506">
        <x:v>1</x:v>
      </x:c>
      <x:c r="R506" t="s">
        <x:v>42</x:v>
      </x:c>
      <x:c r="S506" t="s">
        <x:v>44</x:v>
      </x:c>
      <x:c r="T506" t="s">
        <x:v>44</x:v>
      </x:c>
      <x:c r="U506" t="s">
        <x:v>45</x:v>
      </x:c>
      <x:c r="V506" t="s">
        <x:v>60</x:v>
      </x:c>
      <x:c r="W506">
        <x:v>254.24</x:v>
      </x:c>
      <x:c r="X506" t="s">
        <x:v>61</x:v>
      </x:c>
      <x:c r="Y506" t="s">
        <x:v>48</x:v>
      </x:c>
      <x:c r="Z506" t="s">
        <x:v>49</x:v>
      </x:c>
      <x:c r="AA506">
        <x:v>970582106</x:v>
      </x:c>
      <x:c r="AB506" t="s">
        <x:v>1115</x:v>
      </x:c>
    </x:row>
    <x:row r="507">
      <x:c r="A507" s="1">
        <x:v>46272</x:v>
      </x:c>
      <x:c r="B507" t="s">
        <x:v>2639</x:v>
      </x:c>
      <x:c r="C507" t="s">
        <x:v>29</x:v>
      </x:c>
      <x:c r="D507" t="s">
        <x:v>2640</x:v>
      </x:c>
      <x:c r="E507" t="s">
        <x:v>31</x:v>
      </x:c>
      <x:c r="F507" t="s">
        <x:v>2641</x:v>
      </x:c>
      <x:c r="G507" t="s">
        <x:v>2642</x:v>
      </x:c>
      <x:c r="H507" t="s">
        <x:v>2643</x:v>
      </x:c>
      <x:c r="K507" t="s">
        <x:v>37</x:v>
      </x:c>
      <x:c r="L507" t="s">
        <x:v>2644</x:v>
      </x:c>
      <x:c r="M507" t="s">
        <x:v>2645</x:v>
      </x:c>
      <x:c r="N507" t="s">
        <x:v>2642</x:v>
      </x:c>
      <x:c r="O507" t="s">
        <x:v>2646</x:v>
      </x:c>
      <x:c r="P507" t="s">
        <x:v>91</x:v>
      </x:c>
      <x:c r="Q507">
        <x:v>1</x:v>
      </x:c>
      <x:c r="R507" t="s">
        <x:v>70</x:v>
      </x:c>
      <x:c r="S507" t="s">
        <x:v>43</x:v>
      </x:c>
      <x:c r="T507" t="s">
        <x:v>44</x:v>
      </x:c>
      <x:c r="U507" t="s">
        <x:v>71</x:v>
      </x:c>
      <x:c r="V507" t="s">
        <x:v>185</x:v>
      </x:c>
      <x:c r="W507">
        <x:v>135.59</x:v>
      </x:c>
      <x:c r="X507" t="s">
        <x:v>47</x:v>
      </x:c>
      <x:c r="Y507" t="s">
        <x:v>48</x:v>
      </x:c>
      <x:c r="Z507" t="s">
        <x:v>73</x:v>
      </x:c>
    </x:row>
    <x:row r="508">
      <x:c r="A508" s="1">
        <x:v>46272</x:v>
      </x:c>
      <x:c r="B508" t="s">
        <x:v>2647</x:v>
      </x:c>
      <x:c r="C508" t="s">
        <x:v>29</x:v>
      </x:c>
      <x:c r="D508" t="s">
        <x:v>2648</x:v>
      </x:c>
      <x:c r="E508" t="s">
        <x:v>31</x:v>
      </x:c>
      <x:c r="F508" t="s">
        <x:v>2649</x:v>
      </x:c>
      <x:c r="G508" t="s">
        <x:v>2650</x:v>
      </x:c>
      <x:c r="H508" t="s">
        <x:v>2651</x:v>
      </x:c>
      <x:c r="K508" t="s">
        <x:v>37</x:v>
      </x:c>
      <x:c r="L508" t="s">
        <x:v>2652</x:v>
      </x:c>
      <x:c r="M508" t="s">
        <x:v>2653</x:v>
      </x:c>
      <x:c r="N508" t="s">
        <x:v>2650</x:v>
      </x:c>
      <x:c r="O508" t="s">
        <x:v>2654</x:v>
      </x:c>
      <x:c r="P508" t="s">
        <x:v>102</x:v>
      </x:c>
      <x:c r="Q508">
        <x:v>1</x:v>
      </x:c>
      <x:c r="R508" t="s">
        <x:v>70</x:v>
      </x:c>
      <x:c r="S508" t="s">
        <x:v>43</x:v>
      </x:c>
      <x:c r="T508" t="s">
        <x:v>44</x:v>
      </x:c>
      <x:c r="U508" t="s">
        <x:v>71</x:v>
      </x:c>
      <x:c r="V508" t="s">
        <x:v>185</x:v>
      </x:c>
      <x:c r="W508">
        <x:v>186.44</x:v>
      </x:c>
      <x:c r="X508" t="s">
        <x:v>47</x:v>
      </x:c>
      <x:c r="Y508" t="s">
        <x:v>48</x:v>
      </x:c>
      <x:c r="Z508" t="s">
        <x:v>73</x:v>
      </x:c>
    </x:row>
    <x:row r="509">
      <x:c r="A509" s="1">
        <x:v>46272</x:v>
      </x:c>
      <x:c r="B509" t="s">
        <x:v>2655</x:v>
      </x:c>
      <x:c r="C509" t="s">
        <x:v>29</x:v>
      </x:c>
      <x:c r="D509" t="s">
        <x:v>2656</x:v>
      </x:c>
      <x:c r="E509" t="s">
        <x:v>31</x:v>
      </x:c>
      <x:c r="F509" t="s">
        <x:v>2657</x:v>
      </x:c>
      <x:c r="G509" t="s">
        <x:v>2658</x:v>
      </x:c>
      <x:c r="H509" t="s">
        <x:v>2659</x:v>
      </x:c>
      <x:c r="I509" t="s">
        <x:v>137</x:v>
      </x:c>
      <x:c r="J509" t="s">
        <x:v>138</x:v>
      </x:c>
      <x:c r="K509" t="s">
        <x:v>37</x:v>
      </x:c>
      <x:c r="L509" t="s">
        <x:v>2660</x:v>
      </x:c>
      <x:c r="M509" t="s">
        <x:v>2661</x:v>
      </x:c>
      <x:c r="N509" t="s">
        <x:v>2658</x:v>
      </x:c>
      <x:c r="O509" t="s">
        <x:v>2662</x:v>
      </x:c>
      <x:c r="P509" t="s">
        <x:v>102</x:v>
      </x:c>
      <x:c r="Q509">
        <x:v>1</x:v>
      </x:c>
      <x:c r="R509" t="s">
        <x:v>42</x:v>
      </x:c>
      <x:c r="S509" t="s">
        <x:v>44</x:v>
      </x:c>
      <x:c r="T509" t="s">
        <x:v>44</x:v>
      </x:c>
      <x:c r="U509" t="s">
        <x:v>45</x:v>
      </x:c>
      <x:c r="V509" t="s">
        <x:v>60</x:v>
      </x:c>
      <x:c r="W509">
        <x:v>186.44</x:v>
      </x:c>
      <x:c r="X509" t="s">
        <x:v>47</x:v>
      </x:c>
      <x:c r="Y509" t="s">
        <x:v>48</x:v>
      </x:c>
      <x:c r="Z509" t="s">
        <x:v>49</x:v>
      </x:c>
      <x:c r="AA509">
        <x:v>987407712</x:v>
      </x:c>
      <x:c r="AB509" t="s">
        <x:v>142</x:v>
      </x:c>
    </x:row>
    <x:row r="510">
      <x:c r="A510" s="1">
        <x:v>46273</x:v>
      </x:c>
      <x:c r="B510" t="s">
        <x:v>2663</x:v>
      </x:c>
      <x:c r="C510" t="s">
        <x:v>29</x:v>
      </x:c>
      <x:c r="D510" t="s">
        <x:v>2664</x:v>
      </x:c>
      <x:c r="E510" t="s">
        <x:v>31</x:v>
      </x:c>
      <x:c r="F510" t="s">
        <x:v>2665</x:v>
      </x:c>
      <x:c r="G510" t="s">
        <x:v>2666</x:v>
      </x:c>
      <x:c r="H510" t="s">
        <x:v>2667</x:v>
      </x:c>
      <x:c r="K510" t="s">
        <x:v>37</x:v>
      </x:c>
      <x:c r="L510" t="s">
        <x:v>2668</x:v>
      </x:c>
      <x:c r="M510" t="s">
        <x:v>2669</x:v>
      </x:c>
      <x:c r="N510" t="s">
        <x:v>2666</x:v>
      </x:c>
      <x:c r="O510" t="s">
        <x:v>2670</x:v>
      </x:c>
      <x:c r="P510" t="s">
        <x:v>41</x:v>
      </x:c>
      <x:c r="Q510">
        <x:v>1</x:v>
      </x:c>
      <x:c r="R510" t="s">
        <x:v>70</x:v>
      </x:c>
      <x:c r="S510" t="s">
        <x:v>43</x:v>
      </x:c>
      <x:c r="T510" t="s">
        <x:v>44</x:v>
      </x:c>
      <x:c r="U510" t="s">
        <x:v>71</x:v>
      </x:c>
      <x:c r="V510" t="s">
        <x:v>185</x:v>
      </x:c>
      <x:c r="W510">
        <x:v>186.44</x:v>
      </x:c>
      <x:c r="X510" t="s">
        <x:v>47</x:v>
      </x:c>
      <x:c r="Y510" t="s">
        <x:v>48</x:v>
      </x:c>
      <x:c r="Z510" t="s">
        <x:v>73</x:v>
      </x:c>
    </x:row>
    <x:row r="511">
      <x:c r="A511" s="1">
        <x:v>46274</x:v>
      </x:c>
      <x:c r="B511" t="s">
        <x:v>2671</x:v>
      </x:c>
      <x:c r="C511" t="s">
        <x:v>29</x:v>
      </x:c>
      <x:c r="D511" t="s">
        <x:v>2672</x:v>
      </x:c>
      <x:c r="E511" t="s">
        <x:v>31</x:v>
      </x:c>
      <x:c r="F511" t="s">
        <x:v>2673</x:v>
      </x:c>
      <x:c r="G511" t="s">
        <x:v>2674</x:v>
      </x:c>
      <x:c r="H511" t="s">
        <x:v>2675</x:v>
      </x:c>
      <x:c r="I511" t="s">
        <x:v>1610</x:v>
      </x:c>
      <x:c r="J511" t="s">
        <x:v>210</x:v>
      </x:c>
      <x:c r="K511" t="s">
        <x:v>37</x:v>
      </x:c>
      <x:c r="L511" t="s">
        <x:v>2676</x:v>
      </x:c>
      <x:c r="M511" t="s">
        <x:v>2677</x:v>
      </x:c>
      <x:c r="N511" t="s">
        <x:v>2674</x:v>
      </x:c>
      <x:c r="O511" t="s">
        <x:v>2678</x:v>
      </x:c>
      <x:c r="P511" t="s">
        <x:v>41</x:v>
      </x:c>
      <x:c r="Q511">
        <x:v>1</x:v>
      </x:c>
      <x:c r="R511" t="s">
        <x:v>42</x:v>
      </x:c>
      <x:c r="S511" t="s">
        <x:v>44</x:v>
      </x:c>
      <x:c r="T511" t="s">
        <x:v>44</x:v>
      </x:c>
      <x:c r="U511" t="s">
        <x:v>45</x:v>
      </x:c>
      <x:c r="V511" t="s">
        <x:v>60</x:v>
      </x:c>
      <x:c r="W511">
        <x:v>186.44</x:v>
      </x:c>
      <x:c r="X511" t="s">
        <x:v>47</x:v>
      </x:c>
      <x:c r="Y511" t="s">
        <x:v>48</x:v>
      </x:c>
      <x:c r="Z511" t="s">
        <x:v>49</x:v>
      </x:c>
      <x:c r="AA511">
        <x:v>944212985</x:v>
      </x:c>
    </x:row>
    <x:row r="512">
      <x:c r="A512" s="1">
        <x:v>46274</x:v>
      </x:c>
      <x:c r="B512" t="s">
        <x:v>2671</x:v>
      </x:c>
      <x:c r="C512" t="s">
        <x:v>29</x:v>
      </x:c>
      <x:c r="D512" t="s">
        <x:v>2672</x:v>
      </x:c>
      <x:c r="E512" t="s">
        <x:v>31</x:v>
      </x:c>
      <x:c r="F512" t="s">
        <x:v>2673</x:v>
      </x:c>
      <x:c r="G512" t="s">
        <x:v>2674</x:v>
      </x:c>
      <x:c r="H512" t="s">
        <x:v>2675</x:v>
      </x:c>
      <x:c r="I512" t="s">
        <x:v>1610</x:v>
      </x:c>
      <x:c r="J512" t="s">
        <x:v>210</x:v>
      </x:c>
      <x:c r="K512" t="s">
        <x:v>37</x:v>
      </x:c>
      <x:c r="L512" t="s">
        <x:v>2676</x:v>
      </x:c>
      <x:c r="M512" t="s">
        <x:v>2677</x:v>
      </x:c>
      <x:c r="N512" t="s">
        <x:v>2674</x:v>
      </x:c>
      <x:c r="O512" t="s">
        <x:v>2678</x:v>
      </x:c>
      <x:c r="P512" t="s">
        <x:v>102</x:v>
      </x:c>
      <x:c r="Q512">
        <x:v>1</x:v>
      </x:c>
      <x:c r="R512" t="s">
        <x:v>42</x:v>
      </x:c>
      <x:c r="S512" t="s">
        <x:v>44</x:v>
      </x:c>
      <x:c r="T512" t="s">
        <x:v>44</x:v>
      </x:c>
      <x:c r="U512" t="s">
        <x:v>45</x:v>
      </x:c>
      <x:c r="V512" t="s">
        <x:v>60</x:v>
      </x:c>
      <x:c r="W512">
        <x:v>186.44</x:v>
      </x:c>
      <x:c r="X512" t="s">
        <x:v>47</x:v>
      </x:c>
      <x:c r="Y512" t="s">
        <x:v>48</x:v>
      </x:c>
      <x:c r="Z512" t="s">
        <x:v>49</x:v>
      </x:c>
      <x:c r="AA512">
        <x:v>944212985</x:v>
      </x:c>
    </x:row>
    <x:row r="513">
      <x:c r="A513" s="1">
        <x:v>46274</x:v>
      </x:c>
      <x:c r="B513" t="s">
        <x:v>2679</x:v>
      </x:c>
      <x:c r="C513" t="s">
        <x:v>29</x:v>
      </x:c>
      <x:c r="D513" t="s">
        <x:v>2680</x:v>
      </x:c>
      <x:c r="E513" t="s">
        <x:v>31</x:v>
      </x:c>
      <x:c r="F513" t="s">
        <x:v>2681</x:v>
      </x:c>
      <x:c r="G513" t="s">
        <x:v>1619</x:v>
      </x:c>
      <x:c r="H513" t="s">
        <x:v>2535</x:v>
      </x:c>
      <x:c r="K513" t="s">
        <x:v>37</x:v>
      </x:c>
      <x:c r="L513" t="s">
        <x:v>1621</x:v>
      </x:c>
      <x:c r="M513" t="s">
        <x:v>1622</x:v>
      </x:c>
      <x:c r="N513" t="s">
        <x:v>1619</x:v>
      </x:c>
      <x:c r="O513" t="s">
        <x:v>2682</x:v>
      </x:c>
      <x:c r="P513" t="s">
        <x:v>289</x:v>
      </x:c>
      <x:c r="Q513">
        <x:v>1</x:v>
      </x:c>
      <x:c r="R513" t="s">
        <x:v>70</x:v>
      </x:c>
      <x:c r="S513" t="s">
        <x:v>43</x:v>
      </x:c>
      <x:c r="T513" t="s">
        <x:v>44</x:v>
      </x:c>
      <x:c r="U513" t="s">
        <x:v>71</x:v>
      </x:c>
      <x:c r="V513" t="s">
        <x:v>185</x:v>
      </x:c>
      <x:c r="W513">
        <x:v>0</x:v>
      </x:c>
      <x:c r="X513" t="s">
        <x:v>290</x:v>
      </x:c>
      <x:c r="Y513" t="s">
        <x:v>48</x:v>
      </x:c>
      <x:c r="Z513" t="s">
        <x:v>73</x:v>
      </x:c>
    </x:row>
    <x:row r="514">
      <x:c r="A514" s="1">
        <x:v>46274</x:v>
      </x:c>
      <x:c r="B514" t="s">
        <x:v>2679</x:v>
      </x:c>
      <x:c r="C514" t="s">
        <x:v>29</x:v>
      </x:c>
      <x:c r="D514" t="s">
        <x:v>2680</x:v>
      </x:c>
      <x:c r="E514" t="s">
        <x:v>31</x:v>
      </x:c>
      <x:c r="F514" t="s">
        <x:v>2681</x:v>
      </x:c>
      <x:c r="G514" t="s">
        <x:v>1619</x:v>
      </x:c>
      <x:c r="H514" t="s">
        <x:v>2535</x:v>
      </x:c>
      <x:c r="K514" t="s">
        <x:v>37</x:v>
      </x:c>
      <x:c r="L514" t="s">
        <x:v>1621</x:v>
      </x:c>
      <x:c r="M514" t="s">
        <x:v>1622</x:v>
      </x:c>
      <x:c r="N514" t="s">
        <x:v>1619</x:v>
      </x:c>
      <x:c r="O514" t="s">
        <x:v>2682</x:v>
      </x:c>
      <x:c r="P514" t="s">
        <x:v>1217</x:v>
      </x:c>
      <x:c r="Q514">
        <x:v>1</x:v>
      </x:c>
      <x:c r="R514" t="s">
        <x:v>70</x:v>
      </x:c>
      <x:c r="S514" t="s">
        <x:v>43</x:v>
      </x:c>
      <x:c r="T514" t="s">
        <x:v>44</x:v>
      </x:c>
      <x:c r="U514" t="s">
        <x:v>71</x:v>
      </x:c>
      <x:c r="V514" t="s">
        <x:v>185</x:v>
      </x:c>
      <x:c r="W514">
        <x:v>139.83000000000001</x:v>
      </x:c>
      <x:c r="X514" t="s">
        <x:v>290</x:v>
      </x:c>
      <x:c r="Y514" t="s">
        <x:v>48</x:v>
      </x:c>
      <x:c r="Z514" t="s">
        <x:v>73</x:v>
      </x:c>
    </x:row>
    <x:row r="515">
      <x:c r="A515" s="1">
        <x:v>46274</x:v>
      </x:c>
      <x:c r="B515" t="s">
        <x:v>2683</x:v>
      </x:c>
      <x:c r="C515" t="s">
        <x:v>29</x:v>
      </x:c>
      <x:c r="D515" t="s">
        <x:v>2684</x:v>
      </x:c>
      <x:c r="E515" t="s">
        <x:v>31</x:v>
      </x:c>
      <x:c r="F515" t="s">
        <x:v>2685</x:v>
      </x:c>
      <x:c r="G515" t="s">
        <x:v>1250</x:v>
      </x:c>
      <x:c r="H515" t="s">
        <x:v>1251</x:v>
      </x:c>
      <x:c r="I515" t="s">
        <x:v>1252</x:v>
      </x:c>
      <x:c r="J515" t="s">
        <x:v>210</x:v>
      </x:c>
      <x:c r="K515" t="s">
        <x:v>37</x:v>
      </x:c>
      <x:c r="L515" t="s">
        <x:v>1253</x:v>
      </x:c>
      <x:c r="M515" t="s">
        <x:v>610</x:v>
      </x:c>
      <x:c r="N515" t="s">
        <x:v>1254</x:v>
      </x:c>
      <x:c r="O515" t="s">
        <x:v>2686</x:v>
      </x:c>
      <x:c r="P515" t="s">
        <x:v>289</x:v>
      </x:c>
      <x:c r="Q515">
        <x:v>1</x:v>
      </x:c>
      <x:c r="R515" t="s">
        <x:v>42</x:v>
      </x:c>
      <x:c r="S515" t="s">
        <x:v>44</x:v>
      </x:c>
      <x:c r="T515" t="s">
        <x:v>44</x:v>
      </x:c>
      <x:c r="U515" t="s">
        <x:v>45</x:v>
      </x:c>
      <x:c r="V515" t="s">
        <x:v>46</x:v>
      </x:c>
      <x:c r="W515">
        <x:v>0</x:v>
      </x:c>
      <x:c r="X515" t="s">
        <x:v>290</x:v>
      </x:c>
      <x:c r="Y515" t="s">
        <x:v>48</x:v>
      </x:c>
      <x:c r="Z515" t="s">
        <x:v>49</x:v>
      </x:c>
      <x:c r="AA515">
        <x:v>994872106</x:v>
      </x:c>
      <x:c r="AB515" t="s">
        <x:v>1256</x:v>
      </x:c>
    </x:row>
    <x:row r="516">
      <x:c r="A516" s="1">
        <x:v>46274</x:v>
      </x:c>
      <x:c r="B516" t="s">
        <x:v>2683</x:v>
      </x:c>
      <x:c r="C516" t="s">
        <x:v>29</x:v>
      </x:c>
      <x:c r="D516" t="s">
        <x:v>2684</x:v>
      </x:c>
      <x:c r="E516" t="s">
        <x:v>31</x:v>
      </x:c>
      <x:c r="F516" t="s">
        <x:v>2685</x:v>
      </x:c>
      <x:c r="G516" t="s">
        <x:v>1250</x:v>
      </x:c>
      <x:c r="H516" t="s">
        <x:v>1251</x:v>
      </x:c>
      <x:c r="I516" t="s">
        <x:v>1252</x:v>
      </x:c>
      <x:c r="J516" t="s">
        <x:v>210</x:v>
      </x:c>
      <x:c r="K516" t="s">
        <x:v>37</x:v>
      </x:c>
      <x:c r="L516" t="s">
        <x:v>1253</x:v>
      </x:c>
      <x:c r="M516" t="s">
        <x:v>610</x:v>
      </x:c>
      <x:c r="N516" t="s">
        <x:v>1254</x:v>
      </x:c>
      <x:c r="O516" t="s">
        <x:v>2686</x:v>
      </x:c>
      <x:c r="P516" t="s">
        <x:v>291</x:v>
      </x:c>
      <x:c r="Q516">
        <x:v>1</x:v>
      </x:c>
      <x:c r="R516" t="s">
        <x:v>42</x:v>
      </x:c>
      <x:c r="S516" t="s">
        <x:v>44</x:v>
      </x:c>
      <x:c r="T516" t="s">
        <x:v>44</x:v>
      </x:c>
      <x:c r="U516" t="s">
        <x:v>45</x:v>
      </x:c>
      <x:c r="V516" t="s">
        <x:v>46</x:v>
      </x:c>
      <x:c r="W516">
        <x:v>762.71</x:v>
      </x:c>
      <x:c r="X516" t="s">
        <x:v>290</x:v>
      </x:c>
      <x:c r="Y516" t="s">
        <x:v>48</x:v>
      </x:c>
      <x:c r="Z516" t="s">
        <x:v>49</x:v>
      </x:c>
      <x:c r="AA516">
        <x:v>994872106</x:v>
      </x:c>
      <x:c r="AB516" t="s">
        <x:v>1256</x:v>
      </x:c>
    </x:row>
    <x:row r="517">
      <x:c r="A517" s="1">
        <x:v>46274</x:v>
      </x:c>
      <x:c r="B517" t="s">
        <x:v>2687</x:v>
      </x:c>
      <x:c r="C517" t="s">
        <x:v>269</x:v>
      </x:c>
      <x:c r="D517" t="s">
        <x:v>2688</x:v>
      </x:c>
      <x:c r="E517" t="s">
        <x:v>31</x:v>
      </x:c>
      <x:c r="F517" t="s">
        <x:v>2689</x:v>
      </x:c>
      <x:c r="G517" t="s">
        <x:v>2690</x:v>
      </x:c>
      <x:c r="H517" t="s">
        <x:v>2691</x:v>
      </x:c>
      <x:c r="I517" t="s">
        <x:v>1252</x:v>
      </x:c>
      <x:c r="J517" t="s">
        <x:v>210</x:v>
      </x:c>
      <x:c r="K517" t="s">
        <x:v>37</x:v>
      </x:c>
      <x:c r="L517" t="s">
        <x:v>2692</x:v>
      </x:c>
      <x:c r="M517" t="s">
        <x:v>610</x:v>
      </x:c>
      <x:c r="N517" t="s">
        <x:v>1254</x:v>
      </x:c>
      <x:c r="O517" t="s">
        <x:v>2693</x:v>
      </x:c>
      <x:c r="P517" t="s">
        <x:v>289</x:v>
      </x:c>
      <x:c r="Q517">
        <x:v>1</x:v>
      </x:c>
      <x:c r="R517" t="s">
        <x:v>42</x:v>
      </x:c>
      <x:c r="S517" t="s">
        <x:v>44</x:v>
      </x:c>
      <x:c r="T517" t="s">
        <x:v>44</x:v>
      </x:c>
      <x:c r="U517" t="s">
        <x:v>45</x:v>
      </x:c>
      <x:c r="V517" t="s">
        <x:v>46</x:v>
      </x:c>
      <x:c r="W517">
        <x:v>0</x:v>
      </x:c>
      <x:c r="X517" t="s">
        <x:v>290</x:v>
      </x:c>
      <x:c r="Y517" t="s">
        <x:v>48</x:v>
      </x:c>
      <x:c r="Z517" t="s">
        <x:v>49</x:v>
      </x:c>
      <x:c r="AA517">
        <x:v>994872106</x:v>
      </x:c>
      <x:c r="AB517" t="s">
        <x:v>1256</x:v>
      </x:c>
    </x:row>
    <x:row r="518">
      <x:c r="A518" s="1">
        <x:v>46274</x:v>
      </x:c>
      <x:c r="B518" t="s">
        <x:v>2687</x:v>
      </x:c>
      <x:c r="C518" t="s">
        <x:v>269</x:v>
      </x:c>
      <x:c r="D518" t="s">
        <x:v>2688</x:v>
      </x:c>
      <x:c r="E518" t="s">
        <x:v>31</x:v>
      </x:c>
      <x:c r="F518" t="s">
        <x:v>2689</x:v>
      </x:c>
      <x:c r="G518" t="s">
        <x:v>2690</x:v>
      </x:c>
      <x:c r="H518" t="s">
        <x:v>2691</x:v>
      </x:c>
      <x:c r="I518" t="s">
        <x:v>1252</x:v>
      </x:c>
      <x:c r="J518" t="s">
        <x:v>210</x:v>
      </x:c>
      <x:c r="K518" t="s">
        <x:v>37</x:v>
      </x:c>
      <x:c r="L518" t="s">
        <x:v>2692</x:v>
      </x:c>
      <x:c r="M518" t="s">
        <x:v>610</x:v>
      </x:c>
      <x:c r="N518" t="s">
        <x:v>1254</x:v>
      </x:c>
      <x:c r="O518" t="s">
        <x:v>2693</x:v>
      </x:c>
      <x:c r="P518" t="s">
        <x:v>291</x:v>
      </x:c>
      <x:c r="Q518">
        <x:v>1</x:v>
      </x:c>
      <x:c r="R518" t="s">
        <x:v>42</x:v>
      </x:c>
      <x:c r="S518" t="s">
        <x:v>44</x:v>
      </x:c>
      <x:c r="T518" t="s">
        <x:v>44</x:v>
      </x:c>
      <x:c r="U518" t="s">
        <x:v>45</x:v>
      </x:c>
      <x:c r="V518" t="s">
        <x:v>46</x:v>
      </x:c>
      <x:c r="W518">
        <x:v>847.46</x:v>
      </x:c>
      <x:c r="X518" t="s">
        <x:v>290</x:v>
      </x:c>
      <x:c r="Y518" t="s">
        <x:v>48</x:v>
      </x:c>
      <x:c r="Z518" t="s">
        <x:v>49</x:v>
      </x:c>
      <x:c r="AA518">
        <x:v>994872106</x:v>
      </x:c>
      <x:c r="AB518" t="s">
        <x:v>1256</x:v>
      </x:c>
    </x:row>
    <x:row r="519">
      <x:c r="A519" s="1">
        <x:v>46275</x:v>
      </x:c>
      <x:c r="B519" t="s">
        <x:v>2694</x:v>
      </x:c>
      <x:c r="C519" t="s">
        <x:v>29</x:v>
      </x:c>
      <x:c r="D519" t="s">
        <x:v>2695</x:v>
      </x:c>
      <x:c r="E519" t="s">
        <x:v>31</x:v>
      </x:c>
      <x:c r="F519" t="s">
        <x:v>2696</x:v>
      </x:c>
      <x:c r="G519" t="s">
        <x:v>2697</x:v>
      </x:c>
      <x:c r="H519" t="s">
        <x:v>2698</x:v>
      </x:c>
      <x:c r="I519" t="s">
        <x:v>1315</x:v>
      </x:c>
      <x:c r="J519" t="s">
        <x:v>36</x:v>
      </x:c>
      <x:c r="K519" t="s">
        <x:v>37</x:v>
      </x:c>
      <x:c r="L519" t="s">
        <x:v>2699</x:v>
      </x:c>
      <x:c r="M519" t="s">
        <x:v>2700</x:v>
      </x:c>
      <x:c r="N519" t="s">
        <x:v>2697</x:v>
      </x:c>
      <x:c r="O519" t="s">
        <x:v>2701</x:v>
      </x:c>
      <x:c r="P519" t="s">
        <x:v>202</x:v>
      </x:c>
      <x:c r="Q519">
        <x:v>1</x:v>
      </x:c>
      <x:c r="R519" t="s">
        <x:v>42</x:v>
      </x:c>
      <x:c r="S519" t="s">
        <x:v>44</x:v>
      </x:c>
      <x:c r="T519" t="s">
        <x:v>44</x:v>
      </x:c>
      <x:c r="U519" t="s">
        <x:v>45</x:v>
      </x:c>
      <x:c r="V519" t="s">
        <x:v>46</x:v>
      </x:c>
      <x:c r="W519">
        <x:v>152.54</x:v>
      </x:c>
      <x:c r="X519" t="s">
        <x:v>47</x:v>
      </x:c>
      <x:c r="Y519" t="s">
        <x:v>48</x:v>
      </x:c>
      <x:c r="Z519" t="s">
        <x:v>49</x:v>
      </x:c>
      <x:c r="AA519">
        <x:v>993496032</x:v>
      </x:c>
      <x:c r="AB519" t="s">
        <x:v>1320</x:v>
      </x:c>
    </x:row>
    <x:row r="520">
      <x:c r="A520" s="1">
        <x:v>46276</x:v>
      </x:c>
      <x:c r="B520" t="s">
        <x:v>2702</x:v>
      </x:c>
      <x:c r="C520" t="s">
        <x:v>29</x:v>
      </x:c>
      <x:c r="D520" t="s">
        <x:v>2703</x:v>
      </x:c>
      <x:c r="E520" t="s">
        <x:v>31</x:v>
      </x:c>
      <x:c r="F520" t="s">
        <x:v>2704</x:v>
      </x:c>
      <x:c r="G520" t="s">
        <x:v>2705</x:v>
      </x:c>
      <x:c r="H520" t="s">
        <x:v>2706</x:v>
      </x:c>
      <x:c r="I520" t="s">
        <x:v>664</x:v>
      </x:c>
      <x:c r="J520" t="s">
        <x:v>36</x:v>
      </x:c>
      <x:c r="K520" t="s">
        <x:v>37</x:v>
      </x:c>
      <x:c r="L520" t="s">
        <x:v>2707</x:v>
      </x:c>
      <x:c r="M520" t="s">
        <x:v>2708</x:v>
      </x:c>
      <x:c r="N520" t="s">
        <x:v>2705</x:v>
      </x:c>
      <x:c r="O520" t="s">
        <x:v>2709</x:v>
      </x:c>
      <x:c r="P520" t="s">
        <x:v>102</x:v>
      </x:c>
      <x:c r="Q520">
        <x:v>1</x:v>
      </x:c>
      <x:c r="R520" t="s">
        <x:v>42</x:v>
      </x:c>
      <x:c r="S520" t="s">
        <x:v>44</x:v>
      </x:c>
      <x:c r="T520" t="s">
        <x:v>44</x:v>
      </x:c>
      <x:c r="U520" t="s">
        <x:v>45</x:v>
      </x:c>
      <x:c r="V520" t="s">
        <x:v>46</x:v>
      </x:c>
      <x:c r="W520">
        <x:v>186.44</x:v>
      </x:c>
      <x:c r="X520" t="s">
        <x:v>47</x:v>
      </x:c>
      <x:c r="Y520" t="s">
        <x:v>48</x:v>
      </x:c>
      <x:c r="Z520" t="s">
        <x:v>49</x:v>
      </x:c>
      <x:c r="AA520">
        <x:v>997145685</x:v>
      </x:c>
      <x:c r="AB520" t="s">
        <x:v>668</x:v>
      </x:c>
    </x:row>
    <x:row r="521">
      <x:c r="A521" s="1">
        <x:v>46276</x:v>
      </x:c>
      <x:c r="B521" t="s">
        <x:v>2710</x:v>
      </x:c>
      <x:c r="C521" t="s">
        <x:v>29</x:v>
      </x:c>
      <x:c r="D521" t="s">
        <x:v>2711</x:v>
      </x:c>
      <x:c r="E521" t="s">
        <x:v>31</x:v>
      </x:c>
      <x:c r="F521" t="s">
        <x:v>2712</x:v>
      </x:c>
      <x:c r="G521" t="s">
        <x:v>2713</x:v>
      </x:c>
      <x:c r="H521" t="s">
        <x:v>2714</x:v>
      </x:c>
      <x:c r="I521" t="s">
        <x:v>664</x:v>
      </x:c>
      <x:c r="J521" t="s">
        <x:v>36</x:v>
      </x:c>
      <x:c r="K521" t="s">
        <x:v>37</x:v>
      </x:c>
      <x:c r="L521" t="s">
        <x:v>2715</x:v>
      </x:c>
      <x:c r="M521" t="s">
        <x:v>2716</x:v>
      </x:c>
      <x:c r="N521" t="s">
        <x:v>2713</x:v>
      </x:c>
      <x:c r="O521" t="s">
        <x:v>2717</x:v>
      </x:c>
      <x:c r="P521" t="s">
        <x:v>102</x:v>
      </x:c>
      <x:c r="Q521">
        <x:v>1</x:v>
      </x:c>
      <x:c r="R521" t="s">
        <x:v>42</x:v>
      </x:c>
      <x:c r="S521" t="s">
        <x:v>44</x:v>
      </x:c>
      <x:c r="T521" t="s">
        <x:v>44</x:v>
      </x:c>
      <x:c r="U521" t="s">
        <x:v>45</x:v>
      </x:c>
      <x:c r="V521" t="s">
        <x:v>46</x:v>
      </x:c>
      <x:c r="W521">
        <x:v>186.44</x:v>
      </x:c>
      <x:c r="X521" t="s">
        <x:v>47</x:v>
      </x:c>
      <x:c r="Y521" t="s">
        <x:v>48</x:v>
      </x:c>
      <x:c r="Z521" t="s">
        <x:v>49</x:v>
      </x:c>
      <x:c r="AA521">
        <x:v>997145685</x:v>
      </x:c>
      <x:c r="AB521" t="s">
        <x:v>668</x:v>
      </x:c>
    </x:row>
    <x:row r="522">
      <x:c r="A522" s="1">
        <x:v>46277</x:v>
      </x:c>
      <x:c r="B522" t="s">
        <x:v>2718</x:v>
      </x:c>
      <x:c r="C522" t="s">
        <x:v>29</x:v>
      </x:c>
      <x:c r="D522" t="s">
        <x:v>2719</x:v>
      </x:c>
      <x:c r="E522" t="s">
        <x:v>31</x:v>
      </x:c>
      <x:c r="F522" t="s">
        <x:v>2720</x:v>
      </x:c>
      <x:c r="G522" t="s">
        <x:v>2721</x:v>
      </x:c>
      <x:c r="H522" t="s">
        <x:v>2722</x:v>
      </x:c>
      <x:c r="I522" t="s">
        <x:v>2723</x:v>
      </x:c>
      <x:c r="K522" t="s">
        <x:v>37</x:v>
      </x:c>
      <x:c r="L522" t="s">
        <x:v>2724</x:v>
      </x:c>
      <x:c r="M522" t="s">
        <x:v>2725</x:v>
      </x:c>
      <x:c r="N522" t="s">
        <x:v>2721</x:v>
      </x:c>
      <x:c r="O522" t="s">
        <x:v>2726</x:v>
      </x:c>
      <x:c r="P522" t="s">
        <x:v>160</x:v>
      </x:c>
      <x:c r="Q522">
        <x:v>1</x:v>
      </x:c>
      <x:c r="R522" t="s">
        <x:v>42</x:v>
      </x:c>
      <x:c r="S522" t="s">
        <x:v>44</x:v>
      </x:c>
      <x:c r="T522" t="s">
        <x:v>44</x:v>
      </x:c>
      <x:c r="U522" t="s">
        <x:v>45</x:v>
      </x:c>
      <x:c r="V522" t="s">
        <x:v>46</x:v>
      </x:c>
      <x:c r="W522">
        <x:v>135.59</x:v>
      </x:c>
      <x:c r="X522" t="s">
        <x:v>47</x:v>
      </x:c>
      <x:c r="Y522" t="s">
        <x:v>48</x:v>
      </x:c>
      <x:c r="Z522" t="s">
        <x:v>49</x:v>
      </x:c>
      <x:c r="AA522">
        <x:v>987407712</x:v>
      </x:c>
      <x:c r="AB522" t="s">
        <x:v>2727</x:v>
      </x:c>
    </x:row>
    <x:row r="523">
      <x:c r="A523" s="1">
        <x:v>46277</x:v>
      </x:c>
      <x:c r="B523" t="s">
        <x:v>2728</x:v>
      </x:c>
      <x:c r="C523" t="s">
        <x:v>29</x:v>
      </x:c>
      <x:c r="D523" t="s">
        <x:v>2729</x:v>
      </x:c>
      <x:c r="E523" t="s">
        <x:v>31</x:v>
      </x:c>
      <x:c r="F523" t="s">
        <x:v>2730</x:v>
      </x:c>
      <x:c r="G523" t="s">
        <x:v>2731</x:v>
      </x:c>
      <x:c r="H523" t="s">
        <x:v>2732</x:v>
      </x:c>
      <x:c r="I523" t="s">
        <x:v>2733</x:v>
      </x:c>
      <x:c r="J523" t="s">
        <x:v>2734</x:v>
      </x:c>
      <x:c r="K523" t="s">
        <x:v>37</x:v>
      </x:c>
      <x:c r="L523" t="s">
        <x:v>2735</x:v>
      </x:c>
      <x:c r="M523" t="s">
        <x:v>2736</x:v>
      </x:c>
      <x:c r="N523" t="s">
        <x:v>2731</x:v>
      </x:c>
      <x:c r="O523" t="s">
        <x:v>2737</x:v>
      </x:c>
      <x:c r="P523" t="s">
        <x:v>202</x:v>
      </x:c>
      <x:c r="Q523">
        <x:v>1</x:v>
      </x:c>
      <x:c r="R523" t="s">
        <x:v>42</x:v>
      </x:c>
      <x:c r="S523" t="s">
        <x:v>44</x:v>
      </x:c>
      <x:c r="T523" t="s">
        <x:v>44</x:v>
      </x:c>
      <x:c r="U523" t="s">
        <x:v>45</x:v>
      </x:c>
      <x:c r="V523" t="s">
        <x:v>46</x:v>
      </x:c>
      <x:c r="W523">
        <x:v>152.54</x:v>
      </x:c>
      <x:c r="X523" t="s">
        <x:v>47</x:v>
      </x:c>
      <x:c r="Y523" t="s">
        <x:v>48</x:v>
      </x:c>
      <x:c r="Z523" t="s">
        <x:v>49</x:v>
      </x:c>
      <x:c r="AA523">
        <x:v>999270600</x:v>
      </x:c>
    </x:row>
    <x:row r="524">
      <x:c r="A524" s="1">
        <x:v>46277</x:v>
      </x:c>
      <x:c r="B524" t="s">
        <x:v>2738</x:v>
      </x:c>
      <x:c r="C524" t="s">
        <x:v>29</x:v>
      </x:c>
      <x:c r="D524" t="s">
        <x:v>2739</x:v>
      </x:c>
      <x:c r="E524" t="s">
        <x:v>31</x:v>
      </x:c>
      <x:c r="F524" t="s">
        <x:v>2740</x:v>
      </x:c>
      <x:c r="G524" t="s">
        <x:v>2741</x:v>
      </x:c>
      <x:c r="H524" t="s">
        <x:v>2742</x:v>
      </x:c>
      <x:c r="I524" t="s">
        <x:v>117</x:v>
      </x:c>
      <x:c r="J524" t="s">
        <x:v>118</x:v>
      </x:c>
      <x:c r="K524" t="s">
        <x:v>37</x:v>
      </x:c>
      <x:c r="L524" t="s">
        <x:v>2743</x:v>
      </x:c>
      <x:c r="M524" t="s">
        <x:v>2744</x:v>
      </x:c>
      <x:c r="N524" t="s">
        <x:v>2741</x:v>
      </x:c>
      <x:c r="O524" t="s">
        <x:v>2745</x:v>
      </x:c>
      <x:c r="P524" t="s">
        <x:v>91</x:v>
      </x:c>
      <x:c r="Q524">
        <x:v>1</x:v>
      </x:c>
      <x:c r="R524" t="s">
        <x:v>42</x:v>
      </x:c>
      <x:c r="S524" t="s">
        <x:v>44</x:v>
      </x:c>
      <x:c r="T524" t="s">
        <x:v>44</x:v>
      </x:c>
      <x:c r="U524" t="s">
        <x:v>45</x:v>
      </x:c>
      <x:c r="V524" t="s">
        <x:v>60</x:v>
      </x:c>
      <x:c r="W524">
        <x:v>135.59</x:v>
      </x:c>
      <x:c r="X524" t="s">
        <x:v>47</x:v>
      </x:c>
      <x:c r="Y524" t="s">
        <x:v>48</x:v>
      </x:c>
      <x:c r="Z524" t="s">
        <x:v>49</x:v>
      </x:c>
      <x:c r="AA524">
        <x:v>945319366</x:v>
      </x:c>
      <x:c r="AB524" t="s">
        <x:v>122</x:v>
      </x:c>
    </x:row>
    <x:row r="525">
      <x:c r="A525" s="1">
        <x:v>46279</x:v>
      </x:c>
      <x:c r="B525" t="s">
        <x:v>2746</x:v>
      </x:c>
      <x:c r="C525" t="s">
        <x:v>29</x:v>
      </x:c>
      <x:c r="D525" t="s">
        <x:v>2747</x:v>
      </x:c>
      <x:c r="E525" t="s">
        <x:v>31</x:v>
      </x:c>
      <x:c r="F525" t="s">
        <x:v>2748</x:v>
      </x:c>
      <x:c r="G525" t="s">
        <x:v>2749</x:v>
      </x:c>
      <x:c r="H525" t="s">
        <x:v>2750</x:v>
      </x:c>
      <x:c r="K525" t="s">
        <x:v>37</x:v>
      </x:c>
      <x:c r="L525" t="s">
        <x:v>2751</x:v>
      </x:c>
      <x:c r="M525" t="s">
        <x:v>2752</x:v>
      </x:c>
      <x:c r="N525" t="s">
        <x:v>2749</x:v>
      </x:c>
      <x:c r="O525" t="s">
        <x:v>2753</x:v>
      </x:c>
      <x:c r="P525" t="s">
        <x:v>102</x:v>
      </x:c>
      <x:c r="Q525">
        <x:v>1</x:v>
      </x:c>
      <x:c r="R525" t="s">
        <x:v>70</x:v>
      </x:c>
      <x:c r="S525" t="s">
        <x:v>43</x:v>
      </x:c>
      <x:c r="T525" t="s">
        <x:v>44</x:v>
      </x:c>
      <x:c r="U525" t="s">
        <x:v>71</x:v>
      </x:c>
      <x:c r="V525" t="s">
        <x:v>185</x:v>
      </x:c>
      <x:c r="W525">
        <x:v>186.44</x:v>
      </x:c>
      <x:c r="X525" t="s">
        <x:v>47</x:v>
      </x:c>
      <x:c r="Y525" t="s">
        <x:v>48</x:v>
      </x:c>
      <x:c r="Z525" t="s">
        <x:v>73</x:v>
      </x:c>
    </x:row>
    <x:row r="526">
      <x:c r="A526" s="1">
        <x:v>46279</x:v>
      </x:c>
      <x:c r="B526" t="s">
        <x:v>2754</x:v>
      </x:c>
      <x:c r="C526" t="s">
        <x:v>29</x:v>
      </x:c>
      <x:c r="D526" t="s">
        <x:v>2755</x:v>
      </x:c>
      <x:c r="E526" t="s">
        <x:v>31</x:v>
      </x:c>
      <x:c r="F526" t="s">
        <x:v>2756</x:v>
      </x:c>
      <x:c r="G526" t="s">
        <x:v>2757</x:v>
      </x:c>
      <x:c r="H526" t="s">
        <x:v>2758</x:v>
      </x:c>
      <x:c r="K526" t="s">
        <x:v>37</x:v>
      </x:c>
      <x:c r="L526" t="s">
        <x:v>2759</x:v>
      </x:c>
      <x:c r="M526" t="s">
        <x:v>2760</x:v>
      </x:c>
      <x:c r="N526" t="s">
        <x:v>2757</x:v>
      </x:c>
      <x:c r="O526" t="s">
        <x:v>2761</x:v>
      </x:c>
      <x:c r="P526" t="s">
        <x:v>41</x:v>
      </x:c>
      <x:c r="Q526">
        <x:v>1</x:v>
      </x:c>
      <x:c r="R526" t="s">
        <x:v>70</x:v>
      </x:c>
      <x:c r="S526" t="s">
        <x:v>43</x:v>
      </x:c>
      <x:c r="T526" t="s">
        <x:v>44</x:v>
      </x:c>
      <x:c r="U526" t="s">
        <x:v>71</x:v>
      </x:c>
      <x:c r="V526" t="s">
        <x:v>72</x:v>
      </x:c>
      <x:c r="W526">
        <x:v>186.44</x:v>
      </x:c>
      <x:c r="X526" t="s">
        <x:v>47</x:v>
      </x:c>
      <x:c r="Y526" t="s">
        <x:v>48</x:v>
      </x:c>
      <x:c r="Z526" t="s">
        <x:v>73</x:v>
      </x:c>
    </x:row>
    <x:row r="527">
      <x:c r="A527" s="1">
        <x:v>46279</x:v>
      </x:c>
      <x:c r="B527" t="s">
        <x:v>2754</x:v>
      </x:c>
      <x:c r="C527" t="s">
        <x:v>29</x:v>
      </x:c>
      <x:c r="D527" t="s">
        <x:v>2755</x:v>
      </x:c>
      <x:c r="E527" t="s">
        <x:v>31</x:v>
      </x:c>
      <x:c r="F527" t="s">
        <x:v>2756</x:v>
      </x:c>
      <x:c r="G527" t="s">
        <x:v>2757</x:v>
      </x:c>
      <x:c r="H527" t="s">
        <x:v>2758</x:v>
      </x:c>
      <x:c r="K527" t="s">
        <x:v>37</x:v>
      </x:c>
      <x:c r="L527" t="s">
        <x:v>2759</x:v>
      </x:c>
      <x:c r="M527" t="s">
        <x:v>2760</x:v>
      </x:c>
      <x:c r="N527" t="s">
        <x:v>2757</x:v>
      </x:c>
      <x:c r="O527" t="s">
        <x:v>2761</x:v>
      </x:c>
      <x:c r="P527" t="s">
        <x:v>160</x:v>
      </x:c>
      <x:c r="Q527">
        <x:v>1</x:v>
      </x:c>
      <x:c r="R527" t="s">
        <x:v>70</x:v>
      </x:c>
      <x:c r="S527" t="s">
        <x:v>43</x:v>
      </x:c>
      <x:c r="T527" t="s">
        <x:v>44</x:v>
      </x:c>
      <x:c r="U527" t="s">
        <x:v>71</x:v>
      </x:c>
      <x:c r="V527" t="s">
        <x:v>72</x:v>
      </x:c>
      <x:c r="W527">
        <x:v>135.59</x:v>
      </x:c>
      <x:c r="X527" t="s">
        <x:v>47</x:v>
      </x:c>
      <x:c r="Y527" t="s">
        <x:v>48</x:v>
      </x:c>
      <x:c r="Z527" t="s">
        <x:v>73</x:v>
      </x:c>
    </x:row>
    <x:row r="528">
      <x:c r="A528" s="1">
        <x:v>46279</x:v>
      </x:c>
      <x:c r="B528" t="s">
        <x:v>2762</x:v>
      </x:c>
      <x:c r="C528" t="s">
        <x:v>269</x:v>
      </x:c>
      <x:c r="D528" t="s">
        <x:v>2763</x:v>
      </x:c>
      <x:c r="E528" t="s">
        <x:v>31</x:v>
      </x:c>
      <x:c r="F528" t="s">
        <x:v>2764</x:v>
      </x:c>
      <x:c r="G528" t="s">
        <x:v>2765</x:v>
      </x:c>
      <x:c r="H528" t="s">
        <x:v>2766</x:v>
      </x:c>
      <x:c r="K528" t="s">
        <x:v>37</x:v>
      </x:c>
      <x:c r="L528" t="s">
        <x:v>2767</x:v>
      </x:c>
      <x:c r="M528" t="s">
        <x:v>2768</x:v>
      </x:c>
      <x:c r="N528" t="s">
        <x:v>1854</x:v>
      </x:c>
      <x:c r="O528" t="s">
        <x:v>2769</x:v>
      </x:c>
      <x:c r="P528" t="s">
        <x:v>289</x:v>
      </x:c>
      <x:c r="Q528">
        <x:v>1</x:v>
      </x:c>
      <x:c r="R528" t="s">
        <x:v>42</x:v>
      </x:c>
      <x:c r="S528" t="s">
        <x:v>44</x:v>
      </x:c>
      <x:c r="T528" t="s">
        <x:v>44</x:v>
      </x:c>
      <x:c r="U528" t="s">
        <x:v>45</x:v>
      </x:c>
      <x:c r="V528" t="s">
        <x:v>46</x:v>
      </x:c>
      <x:c r="W528">
        <x:v>0</x:v>
      </x:c>
      <x:c r="X528" t="s">
        <x:v>290</x:v>
      </x:c>
      <x:c r="Y528" t="s">
        <x:v>48</x:v>
      </x:c>
      <x:c r="Z528" t="s">
        <x:v>49</x:v>
      </x:c>
    </x:row>
    <x:row r="529">
      <x:c r="A529" s="1">
        <x:v>46279</x:v>
      </x:c>
      <x:c r="B529" t="s">
        <x:v>2762</x:v>
      </x:c>
      <x:c r="C529" t="s">
        <x:v>269</x:v>
      </x:c>
      <x:c r="D529" t="s">
        <x:v>2763</x:v>
      </x:c>
      <x:c r="E529" t="s">
        <x:v>31</x:v>
      </x:c>
      <x:c r="F529" t="s">
        <x:v>2764</x:v>
      </x:c>
      <x:c r="G529" t="s">
        <x:v>2765</x:v>
      </x:c>
      <x:c r="H529" t="s">
        <x:v>2766</x:v>
      </x:c>
      <x:c r="K529" t="s">
        <x:v>37</x:v>
      </x:c>
      <x:c r="L529" t="s">
        <x:v>2767</x:v>
      </x:c>
      <x:c r="M529" t="s">
        <x:v>2768</x:v>
      </x:c>
      <x:c r="N529" t="s">
        <x:v>1854</x:v>
      </x:c>
      <x:c r="O529" t="s">
        <x:v>2769</x:v>
      </x:c>
      <x:c r="P529" t="s">
        <x:v>975</x:v>
      </x:c>
      <x:c r="Q529">
        <x:v>1</x:v>
      </x:c>
      <x:c r="R529" t="s">
        <x:v>42</x:v>
      </x:c>
      <x:c r="S529" t="s">
        <x:v>44</x:v>
      </x:c>
      <x:c r="T529" t="s">
        <x:v>44</x:v>
      </x:c>
      <x:c r="U529" t="s">
        <x:v>45</x:v>
      </x:c>
      <x:c r="V529" t="s">
        <x:v>46</x:v>
      </x:c>
      <x:c r="W529">
        <x:v>805.08</x:v>
      </x:c>
      <x:c r="X529" t="s">
        <x:v>290</x:v>
      </x:c>
      <x:c r="Y529" t="s">
        <x:v>48</x:v>
      </x:c>
      <x:c r="Z529" t="s">
        <x:v>49</x:v>
      </x:c>
    </x:row>
    <x:row r="530">
      <x:c r="A530" s="1">
        <x:v>46279</x:v>
      </x:c>
      <x:c r="B530" t="s">
        <x:v>2770</x:v>
      </x:c>
      <x:c r="C530" t="s">
        <x:v>29</x:v>
      </x:c>
      <x:c r="D530" t="s">
        <x:v>2771</x:v>
      </x:c>
      <x:c r="E530" t="s">
        <x:v>31</x:v>
      </x:c>
      <x:c r="F530" t="s">
        <x:v>2772</x:v>
      </x:c>
      <x:c r="G530" t="s">
        <x:v>2773</x:v>
      </x:c>
      <x:c r="H530" t="s">
        <x:v>2774</x:v>
      </x:c>
      <x:c r="I530" t="s">
        <x:v>2775</x:v>
      </x:c>
      <x:c r="K530" t="s">
        <x:v>37</x:v>
      </x:c>
      <x:c r="L530" t="s">
        <x:v>2776</x:v>
      </x:c>
      <x:c r="M530" t="s">
        <x:v>2777</x:v>
      </x:c>
      <x:c r="N530" t="s">
        <x:v>2773</x:v>
      </x:c>
      <x:c r="O530" t="s">
        <x:v>2778</x:v>
      </x:c>
      <x:c r="P530" t="s">
        <x:v>159</x:v>
      </x:c>
      <x:c r="Q530">
        <x:v>1</x:v>
      </x:c>
      <x:c r="R530" t="s">
        <x:v>42</x:v>
      </x:c>
      <x:c r="S530" t="s">
        <x:v>44</x:v>
      </x:c>
      <x:c r="T530" t="s">
        <x:v>44</x:v>
      </x:c>
      <x:c r="U530" t="s">
        <x:v>45</x:v>
      </x:c>
      <x:c r="V530" t="s">
        <x:v>46</x:v>
      </x:c>
      <x:c r="W530">
        <x:v>152.54</x:v>
      </x:c>
      <x:c r="X530" t="s">
        <x:v>47</x:v>
      </x:c>
      <x:c r="Y530" t="s">
        <x:v>48</x:v>
      </x:c>
      <x:c r="Z530" t="s">
        <x:v>49</x:v>
      </x:c>
    </x:row>
    <x:row r="531">
      <x:c r="A531" s="1">
        <x:v>46279</x:v>
      </x:c>
      <x:c r="B531" t="s">
        <x:v>2779</x:v>
      </x:c>
      <x:c r="C531" t="s">
        <x:v>269</x:v>
      </x:c>
      <x:c r="D531" t="s">
        <x:v>2780</x:v>
      </x:c>
      <x:c r="E531" t="s">
        <x:v>31</x:v>
      </x:c>
      <x:c r="F531" t="s">
        <x:v>2781</x:v>
      </x:c>
      <x:c r="G531" t="s">
        <x:v>2782</x:v>
      </x:c>
      <x:c r="H531" t="s">
        <x:v>2783</x:v>
      </x:c>
      <x:c r="I531" t="s">
        <x:v>2784</x:v>
      </x:c>
      <x:c r="K531" t="s">
        <x:v>37</x:v>
      </x:c>
      <x:c r="L531" t="s">
        <x:v>2785</x:v>
      </x:c>
      <x:c r="M531" t="s">
        <x:v>610</x:v>
      </x:c>
      <x:c r="N531" t="s">
        <x:v>2784</x:v>
      </x:c>
      <x:c r="O531" t="s">
        <x:v>2786</x:v>
      </x:c>
      <x:c r="P531" t="s">
        <x:v>289</x:v>
      </x:c>
      <x:c r="Q531">
        <x:v>1</x:v>
      </x:c>
      <x:c r="R531" t="s">
        <x:v>42</x:v>
      </x:c>
      <x:c r="S531" t="s">
        <x:v>44</x:v>
      </x:c>
      <x:c r="T531" t="s">
        <x:v>44</x:v>
      </x:c>
      <x:c r="U531" t="s">
        <x:v>45</x:v>
      </x:c>
      <x:c r="V531" t="s">
        <x:v>60</x:v>
      </x:c>
      <x:c r="W531">
        <x:v>0</x:v>
      </x:c>
      <x:c r="X531" t="s">
        <x:v>290</x:v>
      </x:c>
      <x:c r="Y531" t="s">
        <x:v>48</x:v>
      </x:c>
      <x:c r="Z531" t="s">
        <x:v>49</x:v>
      </x:c>
    </x:row>
    <x:row r="532">
      <x:c r="A532" s="1">
        <x:v>46279</x:v>
      </x:c>
      <x:c r="B532" t="s">
        <x:v>2779</x:v>
      </x:c>
      <x:c r="C532" t="s">
        <x:v>269</x:v>
      </x:c>
      <x:c r="D532" t="s">
        <x:v>2780</x:v>
      </x:c>
      <x:c r="E532" t="s">
        <x:v>31</x:v>
      </x:c>
      <x:c r="F532" t="s">
        <x:v>2781</x:v>
      </x:c>
      <x:c r="G532" t="s">
        <x:v>2782</x:v>
      </x:c>
      <x:c r="H532" t="s">
        <x:v>2783</x:v>
      </x:c>
      <x:c r="I532" t="s">
        <x:v>2784</x:v>
      </x:c>
      <x:c r="K532" t="s">
        <x:v>37</x:v>
      </x:c>
      <x:c r="L532" t="s">
        <x:v>2785</x:v>
      </x:c>
      <x:c r="M532" t="s">
        <x:v>610</x:v>
      </x:c>
      <x:c r="N532" t="s">
        <x:v>2784</x:v>
      </x:c>
      <x:c r="O532" t="s">
        <x:v>2786</x:v>
      </x:c>
      <x:c r="P532" t="s">
        <x:v>372</x:v>
      </x:c>
      <x:c r="Q532">
        <x:v>1</x:v>
      </x:c>
      <x:c r="R532" t="s">
        <x:v>42</x:v>
      </x:c>
      <x:c r="S532" t="s">
        <x:v>44</x:v>
      </x:c>
      <x:c r="T532" t="s">
        <x:v>44</x:v>
      </x:c>
      <x:c r="U532" t="s">
        <x:v>45</x:v>
      </x:c>
      <x:c r="V532" t="s">
        <x:v>60</x:v>
      </x:c>
      <x:c r="W532">
        <x:v>635.59</x:v>
      </x:c>
      <x:c r="X532" t="s">
        <x:v>290</x:v>
      </x:c>
      <x:c r="Y532" t="s">
        <x:v>48</x:v>
      </x:c>
      <x:c r="Z532" t="s">
        <x:v>49</x:v>
      </x:c>
    </x:row>
    <x:row r="533">
      <x:c r="A533" s="1">
        <x:v>46280</x:v>
      </x:c>
      <x:c r="B533" t="s">
        <x:v>2787</x:v>
      </x:c>
      <x:c r="C533" t="s">
        <x:v>29</x:v>
      </x:c>
      <x:c r="D533" t="s">
        <x:v>2788</x:v>
      </x:c>
      <x:c r="E533" t="s">
        <x:v>31</x:v>
      </x:c>
      <x:c r="F533" t="s">
        <x:v>2789</x:v>
      </x:c>
      <x:c r="G533" t="s">
        <x:v>2790</x:v>
      </x:c>
      <x:c r="H533" t="s">
        <x:v>2791</x:v>
      </x:c>
      <x:c r="K533" t="s">
        <x:v>37</x:v>
      </x:c>
      <x:c r="L533" t="s">
        <x:v>2792</x:v>
      </x:c>
      <x:c r="M533" t="s">
        <x:v>2793</x:v>
      </x:c>
      <x:c r="N533" t="s">
        <x:v>2790</x:v>
      </x:c>
      <x:c r="O533" t="s">
        <x:v>2794</x:v>
      </x:c>
      <x:c r="P533" t="s">
        <x:v>160</x:v>
      </x:c>
      <x:c r="Q533">
        <x:v>1</x:v>
      </x:c>
      <x:c r="R533" t="s">
        <x:v>70</x:v>
      </x:c>
      <x:c r="S533" t="s">
        <x:v>43</x:v>
      </x:c>
      <x:c r="T533" t="s">
        <x:v>44</x:v>
      </x:c>
      <x:c r="U533" t="s">
        <x:v>71</x:v>
      </x:c>
      <x:c r="V533" t="s">
        <x:v>72</x:v>
      </x:c>
      <x:c r="W533">
        <x:v>135.59</x:v>
      </x:c>
      <x:c r="X533" t="s">
        <x:v>47</x:v>
      </x:c>
      <x:c r="Y533" t="s">
        <x:v>48</x:v>
      </x:c>
      <x:c r="Z533" t="s">
        <x:v>73</x:v>
      </x:c>
    </x:row>
    <x:row r="534">
      <x:c r="A534" s="1">
        <x:v>46280</x:v>
      </x:c>
      <x:c r="B534" t="s">
        <x:v>2795</x:v>
      </x:c>
      <x:c r="C534" t="s">
        <x:v>269</x:v>
      </x:c>
      <x:c r="D534" t="s">
        <x:v>2796</x:v>
      </x:c>
      <x:c r="E534" t="s">
        <x:v>31</x:v>
      </x:c>
      <x:c r="F534" t="s">
        <x:v>2797</x:v>
      </x:c>
      <x:c r="G534" t="s">
        <x:v>2798</x:v>
      </x:c>
      <x:c r="H534" t="s">
        <x:v>2799</x:v>
      </x:c>
      <x:c r="I534" t="s">
        <x:v>274</x:v>
      </x:c>
      <x:c r="J534" t="s">
        <x:v>275</x:v>
      </x:c>
      <x:c r="K534" t="s">
        <x:v>37</x:v>
      </x:c>
      <x:c r="L534" t="s">
        <x:v>2800</x:v>
      </x:c>
      <x:c r="M534" t="s">
        <x:v>2801</x:v>
      </x:c>
      <x:c r="N534" t="s">
        <x:v>278</x:v>
      </x:c>
      <x:c r="O534" t="s">
        <x:v>2802</x:v>
      </x:c>
      <x:c r="P534" t="s">
        <x:v>289</x:v>
      </x:c>
      <x:c r="Q534">
        <x:v>1</x:v>
      </x:c>
      <x:c r="R534" t="s">
        <x:v>42</x:v>
      </x:c>
      <x:c r="S534" t="s">
        <x:v>44</x:v>
      </x:c>
      <x:c r="T534" t="s">
        <x:v>44</x:v>
      </x:c>
      <x:c r="U534" t="s">
        <x:v>45</x:v>
      </x:c>
      <x:c r="V534" t="s">
        <x:v>46</x:v>
      </x:c>
      <x:c r="W534">
        <x:v>0</x:v>
      </x:c>
      <x:c r="X534" t="s">
        <x:v>290</x:v>
      </x:c>
      <x:c r="Y534" t="s">
        <x:v>48</x:v>
      </x:c>
      <x:c r="Z534" t="s">
        <x:v>49</x:v>
      </x:c>
      <x:c r="AA534">
        <x:v>950133748</x:v>
      </x:c>
      <x:c r="AB534" t="s">
        <x:v>280</x:v>
      </x:c>
    </x:row>
    <x:row r="535">
      <x:c r="A535" s="1">
        <x:v>46280</x:v>
      </x:c>
      <x:c r="B535" t="s">
        <x:v>2795</x:v>
      </x:c>
      <x:c r="C535" t="s">
        <x:v>269</x:v>
      </x:c>
      <x:c r="D535" t="s">
        <x:v>2796</x:v>
      </x:c>
      <x:c r="E535" t="s">
        <x:v>31</x:v>
      </x:c>
      <x:c r="F535" t="s">
        <x:v>2797</x:v>
      </x:c>
      <x:c r="G535" t="s">
        <x:v>2798</x:v>
      </x:c>
      <x:c r="H535" t="s">
        <x:v>2799</x:v>
      </x:c>
      <x:c r="I535" t="s">
        <x:v>274</x:v>
      </x:c>
      <x:c r="J535" t="s">
        <x:v>275</x:v>
      </x:c>
      <x:c r="K535" t="s">
        <x:v>37</x:v>
      </x:c>
      <x:c r="L535" t="s">
        <x:v>2800</x:v>
      </x:c>
      <x:c r="M535" t="s">
        <x:v>2801</x:v>
      </x:c>
      <x:c r="N535" t="s">
        <x:v>278</x:v>
      </x:c>
      <x:c r="O535" t="s">
        <x:v>2802</x:v>
      </x:c>
      <x:c r="P535" t="s">
        <x:v>291</x:v>
      </x:c>
      <x:c r="Q535">
        <x:v>1</x:v>
      </x:c>
      <x:c r="R535" t="s">
        <x:v>42</x:v>
      </x:c>
      <x:c r="S535" t="s">
        <x:v>44</x:v>
      </x:c>
      <x:c r="T535" t="s">
        <x:v>44</x:v>
      </x:c>
      <x:c r="U535" t="s">
        <x:v>45</x:v>
      </x:c>
      <x:c r="V535" t="s">
        <x:v>46</x:v>
      </x:c>
      <x:c r="W535">
        <x:v>1050.8499999999999</x:v>
      </x:c>
      <x:c r="X535" t="s">
        <x:v>290</x:v>
      </x:c>
      <x:c r="Y535" t="s">
        <x:v>48</x:v>
      </x:c>
      <x:c r="Z535" t="s">
        <x:v>49</x:v>
      </x:c>
      <x:c r="AA535">
        <x:v>950133748</x:v>
      </x:c>
      <x:c r="AB535" t="s">
        <x:v>280</x:v>
      </x:c>
    </x:row>
    <x:row r="536">
      <x:c r="A536" s="1">
        <x:v>46280</x:v>
      </x:c>
      <x:c r="B536" t="s">
        <x:v>2803</x:v>
      </x:c>
      <x:c r="C536" t="s">
        <x:v>269</x:v>
      </x:c>
      <x:c r="D536" t="s">
        <x:v>2804</x:v>
      </x:c>
      <x:c r="E536" t="s">
        <x:v>31</x:v>
      </x:c>
      <x:c r="F536" t="s">
        <x:v>2805</x:v>
      </x:c>
      <x:c r="G536" t="s">
        <x:v>2806</x:v>
      </x:c>
      <x:c r="H536" t="s">
        <x:v>2807</x:v>
      </x:c>
      <x:c r="I536" t="s">
        <x:v>274</x:v>
      </x:c>
      <x:c r="J536" t="s">
        <x:v>275</x:v>
      </x:c>
      <x:c r="K536" t="s">
        <x:v>37</x:v>
      </x:c>
      <x:c r="L536" t="s">
        <x:v>2808</x:v>
      </x:c>
      <x:c r="M536" t="s">
        <x:v>2809</x:v>
      </x:c>
      <x:c r="N536" t="s">
        <x:v>278</x:v>
      </x:c>
      <x:c r="O536" t="s">
        <x:v>2810</x:v>
      </x:c>
      <x:c r="P536" t="s">
        <x:v>289</x:v>
      </x:c>
      <x:c r="Q536">
        <x:v>1</x:v>
      </x:c>
      <x:c r="R536" t="s">
        <x:v>42</x:v>
      </x:c>
      <x:c r="S536" t="s">
        <x:v>44</x:v>
      </x:c>
      <x:c r="T536" t="s">
        <x:v>44</x:v>
      </x:c>
      <x:c r="U536" t="s">
        <x:v>45</x:v>
      </x:c>
      <x:c r="V536" t="s">
        <x:v>60</x:v>
      </x:c>
      <x:c r="W536">
        <x:v>0</x:v>
      </x:c>
      <x:c r="X536" t="s">
        <x:v>290</x:v>
      </x:c>
      <x:c r="Y536" t="s">
        <x:v>48</x:v>
      </x:c>
      <x:c r="Z536" t="s">
        <x:v>49</x:v>
      </x:c>
      <x:c r="AA536">
        <x:v>950133748</x:v>
      </x:c>
      <x:c r="AB536" t="s">
        <x:v>280</x:v>
      </x:c>
    </x:row>
    <x:row r="537">
      <x:c r="A537" s="1">
        <x:v>46280</x:v>
      </x:c>
      <x:c r="B537" t="s">
        <x:v>2803</x:v>
      </x:c>
      <x:c r="C537" t="s">
        <x:v>269</x:v>
      </x:c>
      <x:c r="D537" t="s">
        <x:v>2804</x:v>
      </x:c>
      <x:c r="E537" t="s">
        <x:v>31</x:v>
      </x:c>
      <x:c r="F537" t="s">
        <x:v>2805</x:v>
      </x:c>
      <x:c r="G537" t="s">
        <x:v>2806</x:v>
      </x:c>
      <x:c r="H537" t="s">
        <x:v>2807</x:v>
      </x:c>
      <x:c r="I537" t="s">
        <x:v>274</x:v>
      </x:c>
      <x:c r="J537" t="s">
        <x:v>275</x:v>
      </x:c>
      <x:c r="K537" t="s">
        <x:v>37</x:v>
      </x:c>
      <x:c r="L537" t="s">
        <x:v>2808</x:v>
      </x:c>
      <x:c r="M537" t="s">
        <x:v>2809</x:v>
      </x:c>
      <x:c r="N537" t="s">
        <x:v>278</x:v>
      </x:c>
      <x:c r="O537" t="s">
        <x:v>2810</x:v>
      </x:c>
      <x:c r="P537" t="s">
        <x:v>372</x:v>
      </x:c>
      <x:c r="Q537">
        <x:v>1</x:v>
      </x:c>
      <x:c r="R537" t="s">
        <x:v>42</x:v>
      </x:c>
      <x:c r="S537" t="s">
        <x:v>44</x:v>
      </x:c>
      <x:c r="T537" t="s">
        <x:v>44</x:v>
      </x:c>
      <x:c r="U537" t="s">
        <x:v>45</x:v>
      </x:c>
      <x:c r="V537" t="s">
        <x:v>60</x:v>
      </x:c>
      <x:c r="W537">
        <x:v>805.08</x:v>
      </x:c>
      <x:c r="X537" t="s">
        <x:v>290</x:v>
      </x:c>
      <x:c r="Y537" t="s">
        <x:v>48</x:v>
      </x:c>
      <x:c r="Z537" t="s">
        <x:v>49</x:v>
      </x:c>
      <x:c r="AA537">
        <x:v>950133748</x:v>
      </x:c>
      <x:c r="AB537" t="s">
        <x:v>280</x:v>
      </x:c>
    </x:row>
    <x:row r="538">
      <x:c r="A538" s="1">
        <x:v>46280</x:v>
      </x:c>
      <x:c r="B538" t="s">
        <x:v>2811</x:v>
      </x:c>
      <x:c r="C538" t="s">
        <x:v>269</x:v>
      </x:c>
      <x:c r="D538" t="s">
        <x:v>2812</x:v>
      </x:c>
      <x:c r="E538" t="s">
        <x:v>31</x:v>
      </x:c>
      <x:c r="F538" t="s">
        <x:v>2813</x:v>
      </x:c>
      <x:c r="G538" t="s">
        <x:v>2806</x:v>
      </x:c>
      <x:c r="H538" t="s">
        <x:v>2807</x:v>
      </x:c>
      <x:c r="I538" t="s">
        <x:v>274</x:v>
      </x:c>
      <x:c r="J538" t="s">
        <x:v>275</x:v>
      </x:c>
      <x:c r="K538" t="s">
        <x:v>37</x:v>
      </x:c>
      <x:c r="L538" t="s">
        <x:v>2808</x:v>
      </x:c>
      <x:c r="M538" t="s">
        <x:v>2809</x:v>
      </x:c>
      <x:c r="N538" t="s">
        <x:v>278</x:v>
      </x:c>
      <x:c r="O538" t="s">
        <x:v>2814</x:v>
      </x:c>
      <x:c r="P538" t="s">
        <x:v>131</x:v>
      </x:c>
      <x:c r="Q538">
        <x:v>1</x:v>
      </x:c>
      <x:c r="R538" t="s">
        <x:v>42</x:v>
      </x:c>
      <x:c r="S538" t="s">
        <x:v>44</x:v>
      </x:c>
      <x:c r="T538" t="s">
        <x:v>44</x:v>
      </x:c>
      <x:c r="U538" t="s">
        <x:v>45</x:v>
      </x:c>
      <x:c r="V538" t="s">
        <x:v>60</x:v>
      </x:c>
      <x:c r="W538">
        <x:v>152.54</x:v>
      </x:c>
      <x:c r="X538" t="s">
        <x:v>47</x:v>
      </x:c>
      <x:c r="Y538" t="s">
        <x:v>48</x:v>
      </x:c>
      <x:c r="Z538" t="s">
        <x:v>49</x:v>
      </x:c>
      <x:c r="AA538">
        <x:v>950133748</x:v>
      </x:c>
      <x:c r="AB538" t="s">
        <x:v>280</x:v>
      </x:c>
    </x:row>
    <x:row r="539">
      <x:c r="A539" s="1">
        <x:v>46280</x:v>
      </x:c>
      <x:c r="B539" t="s">
        <x:v>2815</x:v>
      </x:c>
      <x:c r="C539" t="s">
        <x:v>269</x:v>
      </x:c>
      <x:c r="D539" t="s">
        <x:v>2816</x:v>
      </x:c>
      <x:c r="E539" t="s">
        <x:v>31</x:v>
      </x:c>
      <x:c r="F539" t="s">
        <x:v>2817</x:v>
      </x:c>
      <x:c r="G539" t="s">
        <x:v>2818</x:v>
      </x:c>
      <x:c r="H539" t="s">
        <x:v>2819</x:v>
      </x:c>
      <x:c r="I539" t="s">
        <x:v>274</x:v>
      </x:c>
      <x:c r="J539" t="s">
        <x:v>275</x:v>
      </x:c>
      <x:c r="K539" t="s">
        <x:v>37</x:v>
      </x:c>
      <x:c r="L539" t="s">
        <x:v>2820</x:v>
      </x:c>
      <x:c r="M539" t="s">
        <x:v>2821</x:v>
      </x:c>
      <x:c r="N539" t="s">
        <x:v>278</x:v>
      </x:c>
      <x:c r="O539" t="s">
        <x:v>2822</x:v>
      </x:c>
      <x:c r="P539" t="s">
        <x:v>482</x:v>
      </x:c>
      <x:c r="Q539">
        <x:v>2</x:v>
      </x:c>
      <x:c r="R539" t="s">
        <x:v>42</x:v>
      </x:c>
      <x:c r="S539" t="s">
        <x:v>44</x:v>
      </x:c>
      <x:c r="T539" t="s">
        <x:v>44</x:v>
      </x:c>
      <x:c r="U539" t="s">
        <x:v>45</x:v>
      </x:c>
      <x:c r="V539" t="s">
        <x:v>60</x:v>
      </x:c>
      <x:c r="W539">
        <x:v>203.39</x:v>
      </x:c>
      <x:c r="X539" t="s">
        <x:v>61</x:v>
      </x:c>
      <x:c r="Y539" t="s">
        <x:v>48</x:v>
      </x:c>
      <x:c r="Z539" t="s">
        <x:v>49</x:v>
      </x:c>
      <x:c r="AA539">
        <x:v>950133748</x:v>
      </x:c>
      <x:c r="AB539" t="s">
        <x:v>280</x:v>
      </x:c>
    </x:row>
    <x:row r="540">
      <x:c r="A540" s="1">
        <x:v>46281</x:v>
      </x:c>
      <x:c r="B540" t="s">
        <x:v>2823</x:v>
      </x:c>
      <x:c r="C540" t="s">
        <x:v>269</x:v>
      </x:c>
      <x:c r="D540" t="s">
        <x:v>2824</x:v>
      </x:c>
      <x:c r="E540" t="s">
        <x:v>31</x:v>
      </x:c>
      <x:c r="F540" t="s">
        <x:v>2825</x:v>
      </x:c>
      <x:c r="G540" t="s">
        <x:v>607</x:v>
      </x:c>
      <x:c r="H540" t="s">
        <x:v>608</x:v>
      </x:c>
      <x:c r="I540" t="s">
        <x:v>2784</x:v>
      </x:c>
      <x:c r="K540" t="s">
        <x:v>37</x:v>
      </x:c>
      <x:c r="L540" t="s">
        <x:v>609</x:v>
      </x:c>
      <x:c r="M540" t="s">
        <x:v>610</x:v>
      </x:c>
      <x:c r="N540" t="s">
        <x:v>2784</x:v>
      </x:c>
      <x:c r="O540" t="s">
        <x:v>2826</x:v>
      </x:c>
      <x:c r="P540" t="s">
        <x:v>214</x:v>
      </x:c>
      <x:c r="Q540">
        <x:v>1</x:v>
      </x:c>
      <x:c r="R540" t="s">
        <x:v>42</x:v>
      </x:c>
      <x:c r="S540" t="s">
        <x:v>44</x:v>
      </x:c>
      <x:c r="T540" t="s">
        <x:v>44</x:v>
      </x:c>
      <x:c r="U540" t="s">
        <x:v>45</x:v>
      </x:c>
      <x:c r="V540" t="s">
        <x:v>60</x:v>
      </x:c>
      <x:c r="W540">
        <x:v>254.24</x:v>
      </x:c>
      <x:c r="X540" t="s">
        <x:v>61</x:v>
      </x:c>
      <x:c r="Y540" t="s">
        <x:v>48</x:v>
      </x:c>
      <x:c r="Z540" t="s">
        <x:v>49</x:v>
      </x:c>
    </x:row>
    <x:row r="541">
      <x:c r="A541" s="1">
        <x:v>46281</x:v>
      </x:c>
      <x:c r="B541" t="s">
        <x:v>2827</x:v>
      </x:c>
      <x:c r="C541" t="s">
        <x:v>29</x:v>
      </x:c>
      <x:c r="D541" t="s">
        <x:v>2828</x:v>
      </x:c>
      <x:c r="E541" t="s">
        <x:v>31</x:v>
      </x:c>
      <x:c r="F541" t="s">
        <x:v>2829</x:v>
      </x:c>
      <x:c r="G541" t="s">
        <x:v>2830</x:v>
      </x:c>
      <x:c r="H541" t="s">
        <x:v>2831</x:v>
      </x:c>
      <x:c r="I541" t="s">
        <x:v>2832</x:v>
      </x:c>
      <x:c r="K541" t="s">
        <x:v>37</x:v>
      </x:c>
      <x:c r="L541" t="s">
        <x:v>2833</x:v>
      </x:c>
      <x:c r="M541" t="s">
        <x:v>2834</x:v>
      </x:c>
      <x:c r="N541" t="s">
        <x:v>2830</x:v>
      </x:c>
      <x:c r="O541" t="s">
        <x:v>2835</x:v>
      </x:c>
      <x:c r="P541" t="s">
        <x:v>160</x:v>
      </x:c>
      <x:c r="Q541">
        <x:v>1</x:v>
      </x:c>
      <x:c r="R541" t="s">
        <x:v>42</x:v>
      </x:c>
      <x:c r="S541" t="s">
        <x:v>44</x:v>
      </x:c>
      <x:c r="T541" t="s">
        <x:v>44</x:v>
      </x:c>
      <x:c r="U541" t="s">
        <x:v>45</x:v>
      </x:c>
      <x:c r="V541" t="s">
        <x:v>46</x:v>
      </x:c>
      <x:c r="W541">
        <x:v>135.59</x:v>
      </x:c>
      <x:c r="X541" t="s">
        <x:v>47</x:v>
      </x:c>
      <x:c r="Y541" t="s">
        <x:v>48</x:v>
      </x:c>
      <x:c r="Z541" t="s">
        <x:v>49</x:v>
      </x:c>
    </x:row>
    <x:row r="542">
      <x:c r="A542" s="1">
        <x:v>46282</x:v>
      </x:c>
      <x:c r="B542" t="s">
        <x:v>2836</x:v>
      </x:c>
      <x:c r="C542" t="s">
        <x:v>29</x:v>
      </x:c>
      <x:c r="D542" t="s">
        <x:v>2837</x:v>
      </x:c>
      <x:c r="E542" t="s">
        <x:v>31</x:v>
      </x:c>
      <x:c r="F542" t="s">
        <x:v>2838</x:v>
      </x:c>
      <x:c r="G542" t="s">
        <x:v>2839</x:v>
      </x:c>
      <x:c r="H542" t="s">
        <x:v>2840</x:v>
      </x:c>
      <x:c r="I542" t="s">
        <x:v>2841</x:v>
      </x:c>
      <x:c r="K542" t="s">
        <x:v>37</x:v>
      </x:c>
      <x:c r="L542" t="s">
        <x:v>2842</x:v>
      </x:c>
      <x:c r="M542" t="s">
        <x:v>2843</x:v>
      </x:c>
      <x:c r="N542" t="s">
        <x:v>2839</x:v>
      </x:c>
      <x:c r="O542" t="s">
        <x:v>2844</x:v>
      </x:c>
      <x:c r="P542" t="s">
        <x:v>131</x:v>
      </x:c>
      <x:c r="Q542">
        <x:v>1</x:v>
      </x:c>
      <x:c r="R542" t="s">
        <x:v>42</x:v>
      </x:c>
      <x:c r="S542" t="s">
        <x:v>44</x:v>
      </x:c>
      <x:c r="T542" t="s">
        <x:v>44</x:v>
      </x:c>
      <x:c r="U542" t="s">
        <x:v>45</x:v>
      </x:c>
      <x:c r="V542" t="s">
        <x:v>46</x:v>
      </x:c>
      <x:c r="W542">
        <x:v>152.54</x:v>
      </x:c>
      <x:c r="X542" t="s">
        <x:v>47</x:v>
      </x:c>
      <x:c r="Y542" t="s">
        <x:v>48</x:v>
      </x:c>
      <x:c r="Z542" t="s">
        <x:v>49</x:v>
      </x:c>
    </x:row>
    <x:row r="543">
      <x:c r="A543" s="1">
        <x:v>46282</x:v>
      </x:c>
      <x:c r="B543" t="s">
        <x:v>2845</x:v>
      </x:c>
      <x:c r="C543" t="s">
        <x:v>400</x:v>
      </x:c>
      <x:c r="D543" t="s">
        <x:v>2837</x:v>
      </x:c>
      <x:c r="E543" t="s">
        <x:v>401</x:v>
      </x:c>
      <x:c r="F543" t="s">
        <x:v>2846</x:v>
      </x:c>
      <x:c r="G543" t="s">
        <x:v>2839</x:v>
      </x:c>
      <x:c r="H543" t="s">
        <x:v>2840</x:v>
      </x:c>
      <x:c r="I543" t="s">
        <x:v>2841</x:v>
      </x:c>
      <x:c r="K543" t="s">
        <x:v>401</x:v>
      </x:c>
      <x:c r="L543" t="s">
        <x:v>2842</x:v>
      </x:c>
      <x:c r="M543" t="s">
        <x:v>2843</x:v>
      </x:c>
      <x:c r="N543" t="s">
        <x:v>2839</x:v>
      </x:c>
      <x:c r="O543" t="s">
        <x:v>2844</x:v>
      </x:c>
      <x:c r="P543" t="s">
        <x:v>131</x:v>
      </x:c>
      <x:c r="Q543">
        <x:v>1</x:v>
      </x:c>
      <x:c r="R543" t="s">
        <x:v>42</x:v>
      </x:c>
      <x:c r="S543" t="s">
        <x:v>44</x:v>
      </x:c>
      <x:c r="T543" t="s">
        <x:v>44</x:v>
      </x:c>
      <x:c r="U543" t="s">
        <x:v>45</x:v>
      </x:c>
      <x:c r="V543" t="s">
        <x:v>46</x:v>
      </x:c>
      <x:c r="W543">
        <x:v>-152.54</x:v>
      </x:c>
      <x:c r="X543" t="s">
        <x:v>47</x:v>
      </x:c>
      <x:c r="Y543" t="s">
        <x:v>48</x:v>
      </x:c>
      <x:c r="Z543" t="s">
        <x:v>49</x:v>
      </x:c>
    </x:row>
    <x:row r="544">
      <x:c r="A544" s="1">
        <x:v>46282</x:v>
      </x:c>
      <x:c r="B544" t="s">
        <x:v>2847</x:v>
      </x:c>
      <x:c r="C544" t="s">
        <x:v>29</x:v>
      </x:c>
      <x:c r="D544" t="s">
        <x:v>2848</x:v>
      </x:c>
      <x:c r="E544" t="s">
        <x:v>31</x:v>
      </x:c>
      <x:c r="F544" t="s">
        <x:v>2849</x:v>
      </x:c>
      <x:c r="G544" t="s">
        <x:v>2850</x:v>
      </x:c>
      <x:c r="H544" t="s">
        <x:v>2851</x:v>
      </x:c>
      <x:c r="K544" t="s">
        <x:v>37</x:v>
      </x:c>
      <x:c r="L544" t="s">
        <x:v>2852</x:v>
      </x:c>
      <x:c r="M544" t="s">
        <x:v>2853</x:v>
      </x:c>
      <x:c r="N544" t="s">
        <x:v>2850</x:v>
      </x:c>
      <x:c r="O544" t="s">
        <x:v>2854</x:v>
      </x:c>
      <x:c r="P544" t="s">
        <x:v>1569</x:v>
      </x:c>
      <x:c r="Q544">
        <x:v>1</x:v>
      </x:c>
      <x:c r="R544" t="s">
        <x:v>42</x:v>
      </x:c>
      <x:c r="S544" t="s">
        <x:v>44</x:v>
      </x:c>
      <x:c r="T544" t="s">
        <x:v>44</x:v>
      </x:c>
      <x:c r="U544" t="s">
        <x:v>45</x:v>
      </x:c>
      <x:c r="V544" t="s">
        <x:v>46</x:v>
      </x:c>
      <x:c r="W544">
        <x:v>152.54</x:v>
      </x:c>
      <x:c r="X544" t="s">
        <x:v>61</x:v>
      </x:c>
      <x:c r="Y544" t="s">
        <x:v>48</x:v>
      </x:c>
      <x:c r="Z544" t="s">
        <x:v>49</x:v>
      </x:c>
    </x:row>
    <x:row r="545">
      <x:c r="A545" s="1">
        <x:v>46282</x:v>
      </x:c>
      <x:c r="B545" t="s">
        <x:v>2855</x:v>
      </x:c>
      <x:c r="C545" t="s">
        <x:v>29</x:v>
      </x:c>
      <x:c r="D545" t="s">
        <x:v>2856</x:v>
      </x:c>
      <x:c r="E545" t="s">
        <x:v>31</x:v>
      </x:c>
      <x:c r="F545" t="s">
        <x:v>2857</x:v>
      </x:c>
      <x:c r="G545" t="s">
        <x:v>2858</x:v>
      </x:c>
      <x:c r="H545" t="s">
        <x:v>2859</x:v>
      </x:c>
      <x:c r="I545" t="s">
        <x:v>2860</x:v>
      </x:c>
      <x:c r="K545" t="s">
        <x:v>37</x:v>
      </x:c>
      <x:c r="L545" t="s">
        <x:v>2861</x:v>
      </x:c>
      <x:c r="M545" t="s">
        <x:v>2862</x:v>
      </x:c>
      <x:c r="N545" t="s">
        <x:v>2858</x:v>
      </x:c>
      <x:c r="O545" t="s">
        <x:v>2863</x:v>
      </x:c>
      <x:c r="P545" t="s">
        <x:v>203</x:v>
      </x:c>
      <x:c r="Q545">
        <x:v>1</x:v>
      </x:c>
      <x:c r="R545" t="s">
        <x:v>42</x:v>
      </x:c>
      <x:c r="S545" t="s">
        <x:v>44</x:v>
      </x:c>
      <x:c r="T545" t="s">
        <x:v>44</x:v>
      </x:c>
      <x:c r="U545" t="s">
        <x:v>45</x:v>
      </x:c>
      <x:c r="V545" t="s">
        <x:v>60</x:v>
      </x:c>
      <x:c r="W545">
        <x:v>135.59</x:v>
      </x:c>
      <x:c r="X545" t="s">
        <x:v>47</x:v>
      </x:c>
      <x:c r="Y545" t="s">
        <x:v>48</x:v>
      </x:c>
      <x:c r="Z545" t="s">
        <x:v>49</x:v>
      </x:c>
    </x:row>
    <x:row r="546">
      <x:c r="A546" s="1">
        <x:v>46282</x:v>
      </x:c>
      <x:c r="B546" t="s">
        <x:v>2864</x:v>
      </x:c>
      <x:c r="C546" t="s">
        <x:v>29</x:v>
      </x:c>
      <x:c r="D546" t="s">
        <x:v>2865</x:v>
      </x:c>
      <x:c r="E546" t="s">
        <x:v>31</x:v>
      </x:c>
      <x:c r="F546" t="s">
        <x:v>2866</x:v>
      </x:c>
      <x:c r="G546" t="s">
        <x:v>2867</x:v>
      </x:c>
      <x:c r="H546" t="s">
        <x:v>2868</x:v>
      </x:c>
      <x:c r="K546" t="s">
        <x:v>37</x:v>
      </x:c>
      <x:c r="L546" t="s">
        <x:v>2869</x:v>
      </x:c>
      <x:c r="M546" t="s">
        <x:v>2870</x:v>
      </x:c>
      <x:c r="N546" t="s">
        <x:v>2867</x:v>
      </x:c>
      <x:c r="O546" t="s">
        <x:v>2871</x:v>
      </x:c>
      <x:c r="P546" t="s">
        <x:v>102</x:v>
      </x:c>
      <x:c r="Q546">
        <x:v>1</x:v>
      </x:c>
      <x:c r="R546" t="s">
        <x:v>70</x:v>
      </x:c>
      <x:c r="S546" t="s">
        <x:v>43</x:v>
      </x:c>
      <x:c r="T546" t="s">
        <x:v>44</x:v>
      </x:c>
      <x:c r="U546" t="s">
        <x:v>71</x:v>
      </x:c>
      <x:c r="V546" t="s">
        <x:v>72</x:v>
      </x:c>
      <x:c r="W546">
        <x:v>186.44</x:v>
      </x:c>
      <x:c r="X546" t="s">
        <x:v>47</x:v>
      </x:c>
      <x:c r="Y546" t="s">
        <x:v>48</x:v>
      </x:c>
      <x:c r="Z546" t="s">
        <x:v>73</x:v>
      </x:c>
    </x:row>
    <x:row r="547">
      <x:c r="A547" s="1">
        <x:v>46282</x:v>
      </x:c>
      <x:c r="B547" t="s">
        <x:v>2872</x:v>
      </x:c>
      <x:c r="C547" t="s">
        <x:v>269</x:v>
      </x:c>
      <x:c r="D547" t="s">
        <x:v>2873</x:v>
      </x:c>
      <x:c r="E547" t="s">
        <x:v>31</x:v>
      </x:c>
      <x:c r="F547" t="s">
        <x:v>2874</x:v>
      </x:c>
      <x:c r="G547" t="s">
        <x:v>2875</x:v>
      </x:c>
      <x:c r="H547" t="s">
        <x:v>2876</x:v>
      </x:c>
      <x:c r="I547" t="s">
        <x:v>2877</x:v>
      </x:c>
      <x:c r="K547" t="s">
        <x:v>37</x:v>
      </x:c>
      <x:c r="L547" t="s">
        <x:v>2878</x:v>
      </x:c>
      <x:c r="M547" t="s">
        <x:v>2879</x:v>
      </x:c>
      <x:c r="N547" t="s">
        <x:v>2880</x:v>
      </x:c>
      <x:c r="O547" t="s">
        <x:v>2881</x:v>
      </x:c>
      <x:c r="P547" t="s">
        <x:v>41</x:v>
      </x:c>
      <x:c r="Q547">
        <x:v>1</x:v>
      </x:c>
      <x:c r="R547" t="s">
        <x:v>42</x:v>
      </x:c>
      <x:c r="S547" t="s">
        <x:v>44</x:v>
      </x:c>
      <x:c r="T547" t="s">
        <x:v>44</x:v>
      </x:c>
      <x:c r="U547" t="s">
        <x:v>45</x:v>
      </x:c>
      <x:c r="V547" t="s">
        <x:v>60</x:v>
      </x:c>
      <x:c r="W547">
        <x:v>186.44</x:v>
      </x:c>
      <x:c r="X547" t="s">
        <x:v>47</x:v>
      </x:c>
      <x:c r="Y547" t="s">
        <x:v>48</x:v>
      </x:c>
      <x:c r="Z547" t="s">
        <x:v>49</x:v>
      </x:c>
    </x:row>
    <x:row r="548">
      <x:c r="A548" s="1">
        <x:v>46284</x:v>
      </x:c>
      <x:c r="B548" t="s">
        <x:v>2882</x:v>
      </x:c>
      <x:c r="C548" t="s">
        <x:v>29</x:v>
      </x:c>
      <x:c r="D548" t="s">
        <x:v>2883</x:v>
      </x:c>
      <x:c r="E548" t="s">
        <x:v>31</x:v>
      </x:c>
      <x:c r="F548" t="s">
        <x:v>2884</x:v>
      </x:c>
      <x:c r="G548" t="s">
        <x:v>2885</x:v>
      </x:c>
      <x:c r="H548" t="s">
        <x:v>2886</x:v>
      </x:c>
      <x:c r="K548" t="s">
        <x:v>37</x:v>
      </x:c>
      <x:c r="L548" t="s">
        <x:v>2887</x:v>
      </x:c>
      <x:c r="M548" t="s">
        <x:v>2888</x:v>
      </x:c>
      <x:c r="N548" t="s">
        <x:v>2885</x:v>
      </x:c>
      <x:c r="O548" t="s">
        <x:v>2889</x:v>
      </x:c>
      <x:c r="P548" t="s">
        <x:v>131</x:v>
      </x:c>
      <x:c r="Q548">
        <x:v>1</x:v>
      </x:c>
      <x:c r="R548" t="s">
        <x:v>70</x:v>
      </x:c>
      <x:c r="S548" t="s">
        <x:v>43</x:v>
      </x:c>
      <x:c r="T548" t="s">
        <x:v>44</x:v>
      </x:c>
      <x:c r="U548" t="s">
        <x:v>71</x:v>
      </x:c>
      <x:c r="V548" t="s">
        <x:v>72</x:v>
      </x:c>
      <x:c r="W548">
        <x:v>152.54</x:v>
      </x:c>
      <x:c r="X548" t="s">
        <x:v>47</x:v>
      </x:c>
      <x:c r="Y548" t="s">
        <x:v>48</x:v>
      </x:c>
      <x:c r="Z548" t="s">
        <x:v>73</x:v>
      </x:c>
    </x:row>
    <x:row r="549">
      <x:c r="A549" s="1">
        <x:v>46284</x:v>
      </x:c>
      <x:c r="B549" t="s">
        <x:v>2890</x:v>
      </x:c>
      <x:c r="C549" t="s">
        <x:v>29</x:v>
      </x:c>
      <x:c r="D549" t="s">
        <x:v>2891</x:v>
      </x:c>
      <x:c r="E549" t="s">
        <x:v>31</x:v>
      </x:c>
      <x:c r="F549" t="s">
        <x:v>2892</x:v>
      </x:c>
      <x:c r="G549" t="s">
        <x:v>2893</x:v>
      </x:c>
      <x:c r="H549" t="s">
        <x:v>2894</x:v>
      </x:c>
      <x:c r="I549" t="s">
        <x:v>2895</x:v>
      </x:c>
      <x:c r="K549" t="s">
        <x:v>37</x:v>
      </x:c>
      <x:c r="L549" t="s">
        <x:v>2896</x:v>
      </x:c>
      <x:c r="M549" t="s">
        <x:v>2897</x:v>
      </x:c>
      <x:c r="N549" t="s">
        <x:v>2893</x:v>
      </x:c>
      <x:c r="O549" t="s">
        <x:v>2898</x:v>
      </x:c>
      <x:c r="P549" t="s">
        <x:v>91</x:v>
      </x:c>
      <x:c r="Q549">
        <x:v>1</x:v>
      </x:c>
      <x:c r="R549" t="s">
        <x:v>42</x:v>
      </x:c>
      <x:c r="S549" t="s">
        <x:v>44</x:v>
      </x:c>
      <x:c r="T549" t="s">
        <x:v>44</x:v>
      </x:c>
      <x:c r="U549" t="s">
        <x:v>45</x:v>
      </x:c>
      <x:c r="V549" t="s">
        <x:v>60</x:v>
      </x:c>
      <x:c r="W549">
        <x:v>135.59</x:v>
      </x:c>
      <x:c r="X549" t="s">
        <x:v>47</x:v>
      </x:c>
      <x:c r="Y549" t="s">
        <x:v>48</x:v>
      </x:c>
      <x:c r="Z549" t="s">
        <x:v>49</x:v>
      </x:c>
    </x:row>
    <x:row r="550">
      <x:c r="A550" s="1">
        <x:v>46284</x:v>
      </x:c>
      <x:c r="B550" t="s">
        <x:v>2899</x:v>
      </x:c>
      <x:c r="C550" t="s">
        <x:v>29</x:v>
      </x:c>
      <x:c r="D550" t="s">
        <x:v>2900</x:v>
      </x:c>
      <x:c r="E550" t="s">
        <x:v>31</x:v>
      </x:c>
      <x:c r="F550" t="s">
        <x:v>2901</x:v>
      </x:c>
      <x:c r="G550" t="s">
        <x:v>2902</x:v>
      </x:c>
      <x:c r="H550" t="s">
        <x:v>2903</x:v>
      </x:c>
      <x:c r="I550" t="s">
        <x:v>2904</x:v>
      </x:c>
      <x:c r="K550" t="s">
        <x:v>37</x:v>
      </x:c>
      <x:c r="L550" t="s">
        <x:v>2905</x:v>
      </x:c>
      <x:c r="M550" t="s">
        <x:v>2906</x:v>
      </x:c>
      <x:c r="N550" t="s">
        <x:v>2902</x:v>
      </x:c>
      <x:c r="O550" t="s">
        <x:v>2907</x:v>
      </x:c>
      <x:c r="P550" t="s">
        <x:v>202</x:v>
      </x:c>
      <x:c r="Q550">
        <x:v>1</x:v>
      </x:c>
      <x:c r="R550" t="s">
        <x:v>42</x:v>
      </x:c>
      <x:c r="S550" t="s">
        <x:v>44</x:v>
      </x:c>
      <x:c r="T550" t="s">
        <x:v>44</x:v>
      </x:c>
      <x:c r="U550" t="s">
        <x:v>45</x:v>
      </x:c>
      <x:c r="V550" t="s">
        <x:v>60</x:v>
      </x:c>
      <x:c r="W550">
        <x:v>152.54</x:v>
      </x:c>
      <x:c r="X550" t="s">
        <x:v>47</x:v>
      </x:c>
      <x:c r="Y550" t="s">
        <x:v>48</x:v>
      </x:c>
      <x:c r="Z550" t="s">
        <x:v>49</x:v>
      </x:c>
    </x:row>
    <x:row r="551">
      <x:c r="A551" s="1">
        <x:v>46286</x:v>
      </x:c>
      <x:c r="B551" t="s">
        <x:v>2908</x:v>
      </x:c>
      <x:c r="C551" t="s">
        <x:v>29</x:v>
      </x:c>
      <x:c r="D551" t="s">
        <x:v>2909</x:v>
      </x:c>
      <x:c r="E551" t="s">
        <x:v>31</x:v>
      </x:c>
      <x:c r="F551" t="s">
        <x:v>2910</x:v>
      </x:c>
      <x:c r="G551" t="s">
        <x:v>2911</x:v>
      </x:c>
      <x:c r="H551" t="s">
        <x:v>2912</x:v>
      </x:c>
      <x:c r="I551" t="s">
        <x:v>137</x:v>
      </x:c>
      <x:c r="J551" t="s">
        <x:v>138</x:v>
      </x:c>
      <x:c r="K551" t="s">
        <x:v>37</x:v>
      </x:c>
      <x:c r="L551" t="s">
        <x:v>2913</x:v>
      </x:c>
      <x:c r="M551" t="s">
        <x:v>2914</x:v>
      </x:c>
      <x:c r="N551" t="s">
        <x:v>2911</x:v>
      </x:c>
      <x:c r="O551" t="s">
        <x:v>2915</x:v>
      </x:c>
      <x:c r="P551" t="s">
        <x:v>203</x:v>
      </x:c>
      <x:c r="Q551">
        <x:v>1</x:v>
      </x:c>
      <x:c r="R551" t="s">
        <x:v>42</x:v>
      </x:c>
      <x:c r="S551" t="s">
        <x:v>44</x:v>
      </x:c>
      <x:c r="T551" t="s">
        <x:v>44</x:v>
      </x:c>
      <x:c r="U551" t="s">
        <x:v>45</x:v>
      </x:c>
      <x:c r="V551" t="s">
        <x:v>60</x:v>
      </x:c>
      <x:c r="W551">
        <x:v>152.54</x:v>
      </x:c>
      <x:c r="X551" t="s">
        <x:v>47</x:v>
      </x:c>
      <x:c r="Y551" t="s">
        <x:v>48</x:v>
      </x:c>
      <x:c r="Z551" t="s">
        <x:v>49</x:v>
      </x:c>
      <x:c r="AA551">
        <x:v>987407712</x:v>
      </x:c>
      <x:c r="AB551" t="s">
        <x:v>142</x:v>
      </x:c>
    </x:row>
    <x:row r="552">
      <x:c r="A552" s="1">
        <x:v>46286</x:v>
      </x:c>
      <x:c r="B552" t="s">
        <x:v>2908</x:v>
      </x:c>
      <x:c r="C552" t="s">
        <x:v>29</x:v>
      </x:c>
      <x:c r="D552" t="s">
        <x:v>2909</x:v>
      </x:c>
      <x:c r="E552" t="s">
        <x:v>31</x:v>
      </x:c>
      <x:c r="F552" t="s">
        <x:v>2910</x:v>
      </x:c>
      <x:c r="G552" t="s">
        <x:v>2911</x:v>
      </x:c>
      <x:c r="H552" t="s">
        <x:v>2912</x:v>
      </x:c>
      <x:c r="I552" t="s">
        <x:v>137</x:v>
      </x:c>
      <x:c r="J552" t="s">
        <x:v>138</x:v>
      </x:c>
      <x:c r="K552" t="s">
        <x:v>37</x:v>
      </x:c>
      <x:c r="L552" t="s">
        <x:v>2913</x:v>
      </x:c>
      <x:c r="M552" t="s">
        <x:v>2914</x:v>
      </x:c>
      <x:c r="N552" t="s">
        <x:v>2911</x:v>
      </x:c>
      <x:c r="O552" t="s">
        <x:v>2915</x:v>
      </x:c>
      <x:c r="P552" t="s">
        <x:v>91</x:v>
      </x:c>
      <x:c r="Q552">
        <x:v>1</x:v>
      </x:c>
      <x:c r="R552" t="s">
        <x:v>42</x:v>
      </x:c>
      <x:c r="S552" t="s">
        <x:v>44</x:v>
      </x:c>
      <x:c r="T552" t="s">
        <x:v>44</x:v>
      </x:c>
      <x:c r="U552" t="s">
        <x:v>45</x:v>
      </x:c>
      <x:c r="V552" t="s">
        <x:v>60</x:v>
      </x:c>
      <x:c r="W552">
        <x:v>135.59</x:v>
      </x:c>
      <x:c r="X552" t="s">
        <x:v>47</x:v>
      </x:c>
      <x:c r="Y552" t="s">
        <x:v>48</x:v>
      </x:c>
      <x:c r="Z552" t="s">
        <x:v>49</x:v>
      </x:c>
      <x:c r="AA552">
        <x:v>987407712</x:v>
      </x:c>
      <x:c r="AB552" t="s">
        <x:v>142</x:v>
      </x:c>
    </x:row>
    <x:row r="553">
      <x:c r="A553" s="1">
        <x:v>46286</x:v>
      </x:c>
      <x:c r="B553" t="s">
        <x:v>2916</x:v>
      </x:c>
      <x:c r="C553" t="s">
        <x:v>269</x:v>
      </x:c>
      <x:c r="D553" t="s">
        <x:v>2917</x:v>
      </x:c>
      <x:c r="E553" t="s">
        <x:v>31</x:v>
      </x:c>
      <x:c r="F553" t="s">
        <x:v>2918</x:v>
      </x:c>
      <x:c r="G553" t="s">
        <x:v>2919</x:v>
      </x:c>
      <x:c r="H553" t="s">
        <x:v>2920</x:v>
      </x:c>
      <x:c r="K553" t="s">
        <x:v>37</x:v>
      </x:c>
      <x:c r="L553" t="s">
        <x:v>2921</x:v>
      </x:c>
      <x:c r="M553" t="s">
        <x:v>2922</x:v>
      </x:c>
      <x:c r="N553" t="s">
        <x:v>2923</x:v>
      </x:c>
      <x:c r="O553" t="s">
        <x:v>2924</x:v>
      </x:c>
      <x:c r="P553" t="s">
        <x:v>102</x:v>
      </x:c>
      <x:c r="Q553">
        <x:v>1</x:v>
      </x:c>
      <x:c r="R553" t="s">
        <x:v>70</x:v>
      </x:c>
      <x:c r="S553" t="s">
        <x:v>43</x:v>
      </x:c>
      <x:c r="T553" t="s">
        <x:v>44</x:v>
      </x:c>
      <x:c r="U553" t="s">
        <x:v>71</x:v>
      </x:c>
      <x:c r="V553" t="s">
        <x:v>72</x:v>
      </x:c>
      <x:c r="W553">
        <x:v>186.44</x:v>
      </x:c>
      <x:c r="X553" t="s">
        <x:v>47</x:v>
      </x:c>
      <x:c r="Y553" t="s">
        <x:v>48</x:v>
      </x:c>
      <x:c r="Z553" t="s">
        <x:v>73</x:v>
      </x:c>
    </x:row>
    <x:row r="554">
      <x:c r="A554" s="1">
        <x:v>46286</x:v>
      </x:c>
      <x:c r="B554" t="s">
        <x:v>2916</x:v>
      </x:c>
      <x:c r="C554" t="s">
        <x:v>269</x:v>
      </x:c>
      <x:c r="D554" t="s">
        <x:v>2917</x:v>
      </x:c>
      <x:c r="E554" t="s">
        <x:v>31</x:v>
      </x:c>
      <x:c r="F554" t="s">
        <x:v>2918</x:v>
      </x:c>
      <x:c r="G554" t="s">
        <x:v>2919</x:v>
      </x:c>
      <x:c r="H554" t="s">
        <x:v>2920</x:v>
      </x:c>
      <x:c r="K554" t="s">
        <x:v>37</x:v>
      </x:c>
      <x:c r="L554" t="s">
        <x:v>2921</x:v>
      </x:c>
      <x:c r="M554" t="s">
        <x:v>2922</x:v>
      </x:c>
      <x:c r="N554" t="s">
        <x:v>2923</x:v>
      </x:c>
      <x:c r="O554" t="s">
        <x:v>2924</x:v>
      </x:c>
      <x:c r="P554" t="s">
        <x:v>160</x:v>
      </x:c>
      <x:c r="Q554">
        <x:v>1</x:v>
      </x:c>
      <x:c r="R554" t="s">
        <x:v>70</x:v>
      </x:c>
      <x:c r="S554" t="s">
        <x:v>43</x:v>
      </x:c>
      <x:c r="T554" t="s">
        <x:v>44</x:v>
      </x:c>
      <x:c r="U554" t="s">
        <x:v>71</x:v>
      </x:c>
      <x:c r="V554" t="s">
        <x:v>72</x:v>
      </x:c>
      <x:c r="W554">
        <x:v>135.59</x:v>
      </x:c>
      <x:c r="X554" t="s">
        <x:v>47</x:v>
      </x:c>
      <x:c r="Y554" t="s">
        <x:v>48</x:v>
      </x:c>
      <x:c r="Z554" t="s">
        <x:v>73</x:v>
      </x:c>
    </x:row>
    <x:row r="555">
      <x:c r="A555" s="1">
        <x:v>46286</x:v>
      </x:c>
      <x:c r="B555" t="s">
        <x:v>2916</x:v>
      </x:c>
      <x:c r="C555" t="s">
        <x:v>269</x:v>
      </x:c>
      <x:c r="D555" t="s">
        <x:v>2917</x:v>
      </x:c>
      <x:c r="E555" t="s">
        <x:v>31</x:v>
      </x:c>
      <x:c r="F555" t="s">
        <x:v>2918</x:v>
      </x:c>
      <x:c r="G555" t="s">
        <x:v>2919</x:v>
      </x:c>
      <x:c r="H555" t="s">
        <x:v>2920</x:v>
      </x:c>
      <x:c r="K555" t="s">
        <x:v>37</x:v>
      </x:c>
      <x:c r="L555" t="s">
        <x:v>2921</x:v>
      </x:c>
      <x:c r="M555" t="s">
        <x:v>2922</x:v>
      </x:c>
      <x:c r="N555" t="s">
        <x:v>2923</x:v>
      </x:c>
      <x:c r="O555" t="s">
        <x:v>2924</x:v>
      </x:c>
      <x:c r="P555" t="s">
        <x:v>159</x:v>
      </x:c>
      <x:c r="Q555">
        <x:v>1</x:v>
      </x:c>
      <x:c r="R555" t="s">
        <x:v>70</x:v>
      </x:c>
      <x:c r="S555" t="s">
        <x:v>43</x:v>
      </x:c>
      <x:c r="T555" t="s">
        <x:v>44</x:v>
      </x:c>
      <x:c r="U555" t="s">
        <x:v>71</x:v>
      </x:c>
      <x:c r="V555" t="s">
        <x:v>72</x:v>
      </x:c>
      <x:c r="W555">
        <x:v>152.54</x:v>
      </x:c>
      <x:c r="X555" t="s">
        <x:v>47</x:v>
      </x:c>
      <x:c r="Y555" t="s">
        <x:v>48</x:v>
      </x:c>
      <x:c r="Z555" t="s">
        <x:v>73</x:v>
      </x:c>
    </x:row>
    <x:row r="556">
      <x:c r="A556" s="1">
        <x:v>46286</x:v>
      </x:c>
      <x:c r="B556" t="s">
        <x:v>2916</x:v>
      </x:c>
      <x:c r="C556" t="s">
        <x:v>269</x:v>
      </x:c>
      <x:c r="D556" t="s">
        <x:v>2917</x:v>
      </x:c>
      <x:c r="E556" t="s">
        <x:v>31</x:v>
      </x:c>
      <x:c r="F556" t="s">
        <x:v>2918</x:v>
      </x:c>
      <x:c r="G556" t="s">
        <x:v>2919</x:v>
      </x:c>
      <x:c r="H556" t="s">
        <x:v>2920</x:v>
      </x:c>
      <x:c r="K556" t="s">
        <x:v>37</x:v>
      </x:c>
      <x:c r="L556" t="s">
        <x:v>2921</x:v>
      </x:c>
      <x:c r="M556" t="s">
        <x:v>2922</x:v>
      </x:c>
      <x:c r="N556" t="s">
        <x:v>2923</x:v>
      </x:c>
      <x:c r="O556" t="s">
        <x:v>2924</x:v>
      </x:c>
      <x:c r="P556" t="s">
        <x:v>2925</x:v>
      </x:c>
      <x:c r="Q556">
        <x:v>1</x:v>
      </x:c>
      <x:c r="R556" t="s">
        <x:v>70</x:v>
      </x:c>
      <x:c r="S556" t="s">
        <x:v>43</x:v>
      </x:c>
      <x:c r="T556" t="s">
        <x:v>44</x:v>
      </x:c>
      <x:c r="U556" t="s">
        <x:v>71</x:v>
      </x:c>
      <x:c r="V556" t="s">
        <x:v>72</x:v>
      </x:c>
      <x:c r="W556">
        <x:v>186.44</x:v>
      </x:c>
      <x:c r="X556" t="s">
        <x:v>47</x:v>
      </x:c>
      <x:c r="Y556" t="s">
        <x:v>48</x:v>
      </x:c>
      <x:c r="Z556" t="s">
        <x:v>73</x:v>
      </x:c>
    </x:row>
    <x:row r="557">
      <x:c r="A557" s="1">
        <x:v>46286</x:v>
      </x:c>
      <x:c r="B557" t="s">
        <x:v>2926</x:v>
      </x:c>
      <x:c r="C557" t="s">
        <x:v>269</x:v>
      </x:c>
      <x:c r="D557" t="s">
        <x:v>2927</x:v>
      </x:c>
      <x:c r="E557" t="s">
        <x:v>31</x:v>
      </x:c>
      <x:c r="F557" t="s">
        <x:v>2928</x:v>
      </x:c>
      <x:c r="G557" t="s">
        <x:v>2929</x:v>
      </x:c>
      <x:c r="H557" t="s">
        <x:v>2930</x:v>
      </x:c>
      <x:c r="I557" t="s">
        <x:v>764</x:v>
      </x:c>
      <x:c r="J557" t="s">
        <x:v>210</x:v>
      </x:c>
      <x:c r="K557" t="s">
        <x:v>37</x:v>
      </x:c>
      <x:c r="L557" t="s">
        <x:v>2931</x:v>
      </x:c>
      <x:c r="M557" t="s">
        <x:v>2932</x:v>
      </x:c>
      <x:c r="N557" t="s">
        <x:v>767</x:v>
      </x:c>
      <x:c r="O557" t="s">
        <x:v>2933</x:v>
      </x:c>
      <x:c r="P557" t="s">
        <x:v>59</x:v>
      </x:c>
      <x:c r="Q557">
        <x:v>1</x:v>
      </x:c>
      <x:c r="R557" t="s">
        <x:v>42</x:v>
      </x:c>
      <x:c r="S557" t="s">
        <x:v>44</x:v>
      </x:c>
      <x:c r="T557" t="s">
        <x:v>44</x:v>
      </x:c>
      <x:c r="U557" t="s">
        <x:v>45</x:v>
      </x:c>
      <x:c r="V557" t="s">
        <x:v>60</x:v>
      </x:c>
      <x:c r="W557">
        <x:v>101.69</x:v>
      </x:c>
      <x:c r="X557" t="s">
        <x:v>61</x:v>
      </x:c>
      <x:c r="Y557" t="s">
        <x:v>48</x:v>
      </x:c>
      <x:c r="Z557" t="s">
        <x:v>49</x:v>
      </x:c>
      <x:c r="AA557">
        <x:v>969791876</x:v>
      </x:c>
      <x:c r="AB557" t="s">
        <x:v>770</x:v>
      </x:c>
    </x:row>
    <x:row r="558">
      <x:c r="A558" s="1">
        <x:v>46286</x:v>
      </x:c>
      <x:c r="B558" t="s">
        <x:v>2934</x:v>
      </x:c>
      <x:c r="C558" t="s">
        <x:v>29</x:v>
      </x:c>
      <x:c r="D558" t="s">
        <x:v>2935</x:v>
      </x:c>
      <x:c r="E558" t="s">
        <x:v>31</x:v>
      </x:c>
      <x:c r="F558" t="s">
        <x:v>2936</x:v>
      </x:c>
      <x:c r="G558" t="s">
        <x:v>2937</x:v>
      </x:c>
      <x:c r="H558" t="s">
        <x:v>2938</x:v>
      </x:c>
      <x:c r="K558" t="s">
        <x:v>37</x:v>
      </x:c>
      <x:c r="L558" t="s">
        <x:v>2939</x:v>
      </x:c>
      <x:c r="M558" t="s">
        <x:v>2940</x:v>
      </x:c>
      <x:c r="N558" t="s">
        <x:v>2937</x:v>
      </x:c>
      <x:c r="O558" t="s">
        <x:v>2941</x:v>
      </x:c>
      <x:c r="P558" t="s">
        <x:v>131</x:v>
      </x:c>
      <x:c r="Q558">
        <x:v>1</x:v>
      </x:c>
      <x:c r="R558" t="s">
        <x:v>70</x:v>
      </x:c>
      <x:c r="S558" t="s">
        <x:v>43</x:v>
      </x:c>
      <x:c r="T558" t="s">
        <x:v>44</x:v>
      </x:c>
      <x:c r="U558" t="s">
        <x:v>71</x:v>
      </x:c>
      <x:c r="V558" t="s">
        <x:v>72</x:v>
      </x:c>
      <x:c r="W558">
        <x:v>152.54</x:v>
      </x:c>
      <x:c r="X558" t="s">
        <x:v>47</x:v>
      </x:c>
      <x:c r="Y558" t="s">
        <x:v>48</x:v>
      </x:c>
      <x:c r="Z558" t="s">
        <x:v>73</x:v>
      </x:c>
    </x:row>
    <x:row r="559">
      <x:c r="A559" s="1">
        <x:v>46286</x:v>
      </x:c>
      <x:c r="B559" t="s">
        <x:v>2942</x:v>
      </x:c>
      <x:c r="C559" t="s">
        <x:v>269</x:v>
      </x:c>
      <x:c r="D559" t="s">
        <x:v>2943</x:v>
      </x:c>
      <x:c r="E559" t="s">
        <x:v>31</x:v>
      </x:c>
      <x:c r="F559" t="s">
        <x:v>2944</x:v>
      </x:c>
      <x:c r="G559" t="s">
        <x:v>2945</x:v>
      </x:c>
      <x:c r="H559" t="s">
        <x:v>2946</x:v>
      </x:c>
      <x:c r="I559" t="s">
        <x:v>274</x:v>
      </x:c>
      <x:c r="J559" t="s">
        <x:v>275</x:v>
      </x:c>
      <x:c r="K559" t="s">
        <x:v>37</x:v>
      </x:c>
      <x:c r="L559" t="s">
        <x:v>2947</x:v>
      </x:c>
      <x:c r="M559" t="s">
        <x:v>2948</x:v>
      </x:c>
      <x:c r="N559" t="s">
        <x:v>1113</x:v>
      </x:c>
      <x:c r="O559" t="s">
        <x:v>2949</x:v>
      </x:c>
      <x:c r="P559" t="s">
        <x:v>59</x:v>
      </x:c>
      <x:c r="Q559">
        <x:v>1</x:v>
      </x:c>
      <x:c r="R559" t="s">
        <x:v>42</x:v>
      </x:c>
      <x:c r="S559" t="s">
        <x:v>44</x:v>
      </x:c>
      <x:c r="T559" t="s">
        <x:v>44</x:v>
      </x:c>
      <x:c r="U559" t="s">
        <x:v>45</x:v>
      </x:c>
      <x:c r="V559" t="s">
        <x:v>60</x:v>
      </x:c>
      <x:c r="W559">
        <x:v>101.69</x:v>
      </x:c>
      <x:c r="X559" t="s">
        <x:v>61</x:v>
      </x:c>
      <x:c r="Y559" t="s">
        <x:v>48</x:v>
      </x:c>
      <x:c r="Z559" t="s">
        <x:v>49</x:v>
      </x:c>
      <x:c r="AA559">
        <x:v>950133748</x:v>
      </x:c>
      <x:c r="AB559" t="s">
        <x:v>280</x:v>
      </x:c>
    </x:row>
    <x:row r="560">
      <x:c r="A560" s="1">
        <x:v>46286</x:v>
      </x:c>
      <x:c r="B560" t="s">
        <x:v>2950</x:v>
      </x:c>
      <x:c r="C560" t="s">
        <x:v>29</x:v>
      </x:c>
      <x:c r="D560" t="s">
        <x:v>2951</x:v>
      </x:c>
      <x:c r="E560" t="s">
        <x:v>31</x:v>
      </x:c>
      <x:c r="F560" t="s">
        <x:v>2952</x:v>
      </x:c>
      <x:c r="G560" t="s">
        <x:v>2953</x:v>
      </x:c>
      <x:c r="H560" t="s">
        <x:v>2954</x:v>
      </x:c>
      <x:c r="K560" t="s">
        <x:v>37</x:v>
      </x:c>
      <x:c r="L560" t="s">
        <x:v>2955</x:v>
      </x:c>
      <x:c r="M560" t="s">
        <x:v>2956</x:v>
      </x:c>
      <x:c r="N560" t="s">
        <x:v>2953</x:v>
      </x:c>
      <x:c r="O560" t="s">
        <x:v>2957</x:v>
      </x:c>
      <x:c r="P560" t="s">
        <x:v>102</x:v>
      </x:c>
      <x:c r="Q560">
        <x:v>1</x:v>
      </x:c>
      <x:c r="R560" t="s">
        <x:v>70</x:v>
      </x:c>
      <x:c r="S560" t="s">
        <x:v>43</x:v>
      </x:c>
      <x:c r="T560" t="s">
        <x:v>44</x:v>
      </x:c>
      <x:c r="U560" t="s">
        <x:v>71</x:v>
      </x:c>
      <x:c r="V560" t="s">
        <x:v>72</x:v>
      </x:c>
      <x:c r="W560">
        <x:v>186.44</x:v>
      </x:c>
      <x:c r="X560" t="s">
        <x:v>47</x:v>
      </x:c>
      <x:c r="Y560" t="s">
        <x:v>48</x:v>
      </x:c>
      <x:c r="Z560" t="s">
        <x:v>73</x:v>
      </x:c>
    </x:row>
    <x:row r="561">
      <x:c r="A561" s="1">
        <x:v>46287</x:v>
      </x:c>
      <x:c r="B561" t="s">
        <x:v>2958</x:v>
      </x:c>
      <x:c r="C561" t="s">
        <x:v>29</x:v>
      </x:c>
      <x:c r="D561" t="s">
        <x:v>2959</x:v>
      </x:c>
      <x:c r="E561" t="s">
        <x:v>31</x:v>
      </x:c>
      <x:c r="F561" t="s">
        <x:v>2960</x:v>
      </x:c>
      <x:c r="G561" t="s">
        <x:v>2961</x:v>
      </x:c>
      <x:c r="H561" t="s">
        <x:v>2962</x:v>
      </x:c>
      <x:c r="I561" t="s">
        <x:v>776</x:v>
      </x:c>
      <x:c r="J561" t="s">
        <x:v>777</x:v>
      </x:c>
      <x:c r="K561" t="s">
        <x:v>37</x:v>
      </x:c>
      <x:c r="L561" t="s">
        <x:v>2963</x:v>
      </x:c>
      <x:c r="M561" t="s">
        <x:v>2964</x:v>
      </x:c>
      <x:c r="N561" t="s">
        <x:v>2961</x:v>
      </x:c>
      <x:c r="O561" t="s">
        <x:v>2965</x:v>
      </x:c>
      <x:c r="P561" t="s">
        <x:v>830</x:v>
      </x:c>
      <x:c r="Q561">
        <x:v>1</x:v>
      </x:c>
      <x:c r="R561" t="s">
        <x:v>42</x:v>
      </x:c>
      <x:c r="S561" t="s">
        <x:v>44</x:v>
      </x:c>
      <x:c r="T561" t="s">
        <x:v>44</x:v>
      </x:c>
      <x:c r="U561" t="s">
        <x:v>45</x:v>
      </x:c>
      <x:c r="V561" t="s">
        <x:v>46</x:v>
      </x:c>
      <x:c r="W561">
        <x:v>127.12</x:v>
      </x:c>
      <x:c r="X561" t="s">
        <x:v>47</x:v>
      </x:c>
      <x:c r="Y561" t="s">
        <x:v>48</x:v>
      </x:c>
      <x:c r="Z561" t="s">
        <x:v>49</x:v>
      </x:c>
    </x:row>
    <x:row r="562">
      <x:c r="A562" s="1">
        <x:v>46287</x:v>
      </x:c>
      <x:c r="B562" t="s">
        <x:v>2966</x:v>
      </x:c>
      <x:c r="C562" t="s">
        <x:v>29</x:v>
      </x:c>
      <x:c r="D562" t="s">
        <x:v>2967</x:v>
      </x:c>
      <x:c r="E562" t="s">
        <x:v>31</x:v>
      </x:c>
      <x:c r="F562" t="s">
        <x:v>2968</x:v>
      </x:c>
      <x:c r="G562" t="s">
        <x:v>2961</x:v>
      </x:c>
      <x:c r="H562" t="s">
        <x:v>2962</x:v>
      </x:c>
      <x:c r="I562" t="s">
        <x:v>776</x:v>
      </x:c>
      <x:c r="J562" t="s">
        <x:v>777</x:v>
      </x:c>
      <x:c r="K562" t="s">
        <x:v>37</x:v>
      </x:c>
      <x:c r="L562" t="s">
        <x:v>2963</x:v>
      </x:c>
      <x:c r="M562" t="s">
        <x:v>2964</x:v>
      </x:c>
      <x:c r="N562" t="s">
        <x:v>2961</x:v>
      </x:c>
      <x:c r="O562" t="s">
        <x:v>2969</x:v>
      </x:c>
      <x:c r="P562" t="s">
        <x:v>620</x:v>
      </x:c>
      <x:c r="Q562">
        <x:v>1</x:v>
      </x:c>
      <x:c r="R562" t="s">
        <x:v>42</x:v>
      </x:c>
      <x:c r="S562" t="s">
        <x:v>44</x:v>
      </x:c>
      <x:c r="T562" t="s">
        <x:v>44</x:v>
      </x:c>
      <x:c r="U562" t="s">
        <x:v>45</x:v>
      </x:c>
      <x:c r="V562" t="s">
        <x:v>46</x:v>
      </x:c>
      <x:c r="W562">
        <x:v>12.71</x:v>
      </x:c>
      <x:c r="X562" t="s">
        <x:v>621</x:v>
      </x:c>
      <x:c r="Y562" t="s">
        <x:v>48</x:v>
      </x:c>
      <x:c r="Z562" t="s">
        <x:v>49</x:v>
      </x:c>
    </x:row>
    <x:row r="563">
      <x:c r="A563" s="1">
        <x:v>46287</x:v>
      </x:c>
      <x:c r="B563" t="s">
        <x:v>2966</x:v>
      </x:c>
      <x:c r="C563" t="s">
        <x:v>29</x:v>
      </x:c>
      <x:c r="D563" t="s">
        <x:v>2967</x:v>
      </x:c>
      <x:c r="E563" t="s">
        <x:v>31</x:v>
      </x:c>
      <x:c r="F563" t="s">
        <x:v>2968</x:v>
      </x:c>
      <x:c r="G563" t="s">
        <x:v>2961</x:v>
      </x:c>
      <x:c r="H563" t="s">
        <x:v>2962</x:v>
      </x:c>
      <x:c r="I563" t="s">
        <x:v>776</x:v>
      </x:c>
      <x:c r="J563" t="s">
        <x:v>777</x:v>
      </x:c>
      <x:c r="K563" t="s">
        <x:v>37</x:v>
      </x:c>
      <x:c r="L563" t="s">
        <x:v>2963</x:v>
      </x:c>
      <x:c r="M563" t="s">
        <x:v>2964</x:v>
      </x:c>
      <x:c r="N563" t="s">
        <x:v>2961</x:v>
      </x:c>
      <x:c r="O563" t="s">
        <x:v>2969</x:v>
      </x:c>
      <x:c r="P563" t="s">
        <x:v>622</x:v>
      </x:c>
      <x:c r="Q563">
        <x:v>1</x:v>
      </x:c>
      <x:c r="R563" t="s">
        <x:v>42</x:v>
      </x:c>
      <x:c r="S563" t="s">
        <x:v>44</x:v>
      </x:c>
      <x:c r="T563" t="s">
        <x:v>44</x:v>
      </x:c>
      <x:c r="U563" t="s">
        <x:v>45</x:v>
      </x:c>
      <x:c r="V563" t="s">
        <x:v>46</x:v>
      </x:c>
      <x:c r="W563">
        <x:v>21.19</x:v>
      </x:c>
      <x:c r="X563" t="s">
        <x:v>621</x:v>
      </x:c>
      <x:c r="Y563" t="s">
        <x:v>48</x:v>
      </x:c>
      <x:c r="Z563" t="s">
        <x:v>49</x:v>
      </x:c>
    </x:row>
    <x:row r="564">
      <x:c r="A564" s="1">
        <x:v>46287</x:v>
      </x:c>
      <x:c r="B564" t="s">
        <x:v>2966</x:v>
      </x:c>
      <x:c r="C564" t="s">
        <x:v>29</x:v>
      </x:c>
      <x:c r="D564" t="s">
        <x:v>2967</x:v>
      </x:c>
      <x:c r="E564" t="s">
        <x:v>31</x:v>
      </x:c>
      <x:c r="F564" t="s">
        <x:v>2968</x:v>
      </x:c>
      <x:c r="G564" t="s">
        <x:v>2961</x:v>
      </x:c>
      <x:c r="H564" t="s">
        <x:v>2962</x:v>
      </x:c>
      <x:c r="I564" t="s">
        <x:v>776</x:v>
      </x:c>
      <x:c r="J564" t="s">
        <x:v>777</x:v>
      </x:c>
      <x:c r="K564" t="s">
        <x:v>37</x:v>
      </x:c>
      <x:c r="L564" t="s">
        <x:v>2963</x:v>
      </x:c>
      <x:c r="M564" t="s">
        <x:v>2964</x:v>
      </x:c>
      <x:c r="N564" t="s">
        <x:v>2961</x:v>
      </x:c>
      <x:c r="O564" t="s">
        <x:v>2969</x:v>
      </x:c>
      <x:c r="P564" t="s">
        <x:v>623</x:v>
      </x:c>
      <x:c r="Q564">
        <x:v>1</x:v>
      </x:c>
      <x:c r="R564" t="s">
        <x:v>42</x:v>
      </x:c>
      <x:c r="S564" t="s">
        <x:v>44</x:v>
      </x:c>
      <x:c r="T564" t="s">
        <x:v>44</x:v>
      </x:c>
      <x:c r="U564" t="s">
        <x:v>45</x:v>
      </x:c>
      <x:c r="V564" t="s">
        <x:v>46</x:v>
      </x:c>
      <x:c r="W564">
        <x:v>12.71</x:v>
      </x:c>
      <x:c r="X564" t="s">
        <x:v>621</x:v>
      </x:c>
      <x:c r="Y564" t="s">
        <x:v>48</x:v>
      </x:c>
      <x:c r="Z564" t="s">
        <x:v>49</x:v>
      </x:c>
    </x:row>
    <x:row r="565">
      <x:c r="A565" s="1">
        <x:v>46287</x:v>
      </x:c>
      <x:c r="B565" t="s">
        <x:v>2966</x:v>
      </x:c>
      <x:c r="C565" t="s">
        <x:v>29</x:v>
      </x:c>
      <x:c r="D565" t="s">
        <x:v>2967</x:v>
      </x:c>
      <x:c r="E565" t="s">
        <x:v>31</x:v>
      </x:c>
      <x:c r="F565" t="s">
        <x:v>2968</x:v>
      </x:c>
      <x:c r="G565" t="s">
        <x:v>2961</x:v>
      </x:c>
      <x:c r="H565" t="s">
        <x:v>2962</x:v>
      </x:c>
      <x:c r="I565" t="s">
        <x:v>776</x:v>
      </x:c>
      <x:c r="J565" t="s">
        <x:v>777</x:v>
      </x:c>
      <x:c r="K565" t="s">
        <x:v>37</x:v>
      </x:c>
      <x:c r="L565" t="s">
        <x:v>2963</x:v>
      </x:c>
      <x:c r="M565" t="s">
        <x:v>2964</x:v>
      </x:c>
      <x:c r="N565" t="s">
        <x:v>2961</x:v>
      </x:c>
      <x:c r="O565" t="s">
        <x:v>2969</x:v>
      </x:c>
      <x:c r="P565" t="s">
        <x:v>624</x:v>
      </x:c>
      <x:c r="Q565">
        <x:v>1</x:v>
      </x:c>
      <x:c r="R565" t="s">
        <x:v>42</x:v>
      </x:c>
      <x:c r="S565" t="s">
        <x:v>44</x:v>
      </x:c>
      <x:c r="T565" t="s">
        <x:v>44</x:v>
      </x:c>
      <x:c r="U565" t="s">
        <x:v>45</x:v>
      </x:c>
      <x:c r="V565" t="s">
        <x:v>46</x:v>
      </x:c>
      <x:c r="W565">
        <x:v>12.71</x:v>
      </x:c>
      <x:c r="X565" t="s">
        <x:v>621</x:v>
      </x:c>
      <x:c r="Y565" t="s">
        <x:v>48</x:v>
      </x:c>
      <x:c r="Z565" t="s">
        <x:v>49</x:v>
      </x:c>
    </x:row>
    <x:row r="566">
      <x:c r="A566" s="1">
        <x:v>46287</x:v>
      </x:c>
      <x:c r="B566" t="s">
        <x:v>2966</x:v>
      </x:c>
      <x:c r="C566" t="s">
        <x:v>29</x:v>
      </x:c>
      <x:c r="D566" t="s">
        <x:v>2967</x:v>
      </x:c>
      <x:c r="E566" t="s">
        <x:v>31</x:v>
      </x:c>
      <x:c r="F566" t="s">
        <x:v>2968</x:v>
      </x:c>
      <x:c r="G566" t="s">
        <x:v>2961</x:v>
      </x:c>
      <x:c r="H566" t="s">
        <x:v>2962</x:v>
      </x:c>
      <x:c r="I566" t="s">
        <x:v>776</x:v>
      </x:c>
      <x:c r="J566" t="s">
        <x:v>777</x:v>
      </x:c>
      <x:c r="K566" t="s">
        <x:v>37</x:v>
      </x:c>
      <x:c r="L566" t="s">
        <x:v>2963</x:v>
      </x:c>
      <x:c r="M566" t="s">
        <x:v>2964</x:v>
      </x:c>
      <x:c r="N566" t="s">
        <x:v>2961</x:v>
      </x:c>
      <x:c r="O566" t="s">
        <x:v>2969</x:v>
      </x:c>
      <x:c r="P566" t="s">
        <x:v>835</x:v>
      </x:c>
      <x:c r="Q566">
        <x:v>1</x:v>
      </x:c>
      <x:c r="R566" t="s">
        <x:v>42</x:v>
      </x:c>
      <x:c r="S566" t="s">
        <x:v>44</x:v>
      </x:c>
      <x:c r="T566" t="s">
        <x:v>44</x:v>
      </x:c>
      <x:c r="U566" t="s">
        <x:v>45</x:v>
      </x:c>
      <x:c r="V566" t="s">
        <x:v>46</x:v>
      </x:c>
      <x:c r="W566">
        <x:v>50.85</x:v>
      </x:c>
      <x:c r="X566" t="s">
        <x:v>621</x:v>
      </x:c>
      <x:c r="Y566" t="s">
        <x:v>48</x:v>
      </x:c>
      <x:c r="Z566" t="s">
        <x:v>49</x:v>
      </x:c>
    </x:row>
    <x:row r="567">
      <x:c r="A567" s="1">
        <x:v>46287</x:v>
      </x:c>
      <x:c r="B567" t="s">
        <x:v>2970</x:v>
      </x:c>
      <x:c r="C567" t="s">
        <x:v>29</x:v>
      </x:c>
      <x:c r="D567" t="s">
        <x:v>2971</x:v>
      </x:c>
      <x:c r="E567" t="s">
        <x:v>31</x:v>
      </x:c>
      <x:c r="F567" t="s">
        <x:v>2972</x:v>
      </x:c>
      <x:c r="G567" t="s">
        <x:v>2961</x:v>
      </x:c>
      <x:c r="H567" t="s">
        <x:v>2962</x:v>
      </x:c>
      <x:c r="I567" t="s">
        <x:v>776</x:v>
      </x:c>
      <x:c r="J567" t="s">
        <x:v>777</x:v>
      </x:c>
      <x:c r="K567" t="s">
        <x:v>37</x:v>
      </x:c>
      <x:c r="L567" t="s">
        <x:v>2963</x:v>
      </x:c>
      <x:c r="M567" t="s">
        <x:v>2964</x:v>
      </x:c>
      <x:c r="N567" t="s">
        <x:v>2961</x:v>
      </x:c>
      <x:c r="O567" t="s">
        <x:v>2973</x:v>
      </x:c>
      <x:c r="P567" t="s">
        <x:v>643</x:v>
      </x:c>
      <x:c r="Q567">
        <x:v>1</x:v>
      </x:c>
      <x:c r="R567" t="s">
        <x:v>42</x:v>
      </x:c>
      <x:c r="S567" t="s">
        <x:v>44</x:v>
      </x:c>
      <x:c r="T567" t="s">
        <x:v>44</x:v>
      </x:c>
      <x:c r="U567" t="s">
        <x:v>45</x:v>
      </x:c>
      <x:c r="V567" t="s">
        <x:v>46</x:v>
      </x:c>
      <x:c r="W567">
        <x:v>84.75</x:v>
      </x:c>
      <x:c r="X567" t="s">
        <x:v>47</x:v>
      </x:c>
      <x:c r="Y567" t="s">
        <x:v>48</x:v>
      </x:c>
      <x:c r="Z567" t="s">
        <x:v>49</x:v>
      </x:c>
    </x:row>
    <x:row r="568">
      <x:c r="A568" s="1">
        <x:v>46287</x:v>
      </x:c>
      <x:c r="B568" t="s">
        <x:v>2974</x:v>
      </x:c>
      <x:c r="C568" t="s">
        <x:v>29</x:v>
      </x:c>
      <x:c r="D568" t="s">
        <x:v>2975</x:v>
      </x:c>
      <x:c r="E568" t="s">
        <x:v>31</x:v>
      </x:c>
      <x:c r="F568" t="s">
        <x:v>2976</x:v>
      </x:c>
      <x:c r="G568" t="s">
        <x:v>2977</x:v>
      </x:c>
      <x:c r="H568" t="s">
        <x:v>2978</x:v>
      </x:c>
      <x:c r="K568" t="s">
        <x:v>37</x:v>
      </x:c>
      <x:c r="L568" t="s">
        <x:v>2979</x:v>
      </x:c>
      <x:c r="M568" t="s">
        <x:v>2980</x:v>
      </x:c>
      <x:c r="N568" t="s">
        <x:v>2977</x:v>
      </x:c>
      <x:c r="O568" t="s">
        <x:v>2981</x:v>
      </x:c>
      <x:c r="P568" t="s">
        <x:v>620</x:v>
      </x:c>
      <x:c r="Q568">
        <x:v>1</x:v>
      </x:c>
      <x:c r="R568" t="s">
        <x:v>42</x:v>
      </x:c>
      <x:c r="S568" t="s">
        <x:v>44</x:v>
      </x:c>
      <x:c r="T568" t="s">
        <x:v>44</x:v>
      </x:c>
      <x:c r="U568" t="s">
        <x:v>45</x:v>
      </x:c>
      <x:c r="V568" t="s">
        <x:v>46</x:v>
      </x:c>
      <x:c r="W568">
        <x:v>12.71</x:v>
      </x:c>
      <x:c r="X568" t="s">
        <x:v>621</x:v>
      </x:c>
      <x:c r="Y568" t="s">
        <x:v>48</x:v>
      </x:c>
      <x:c r="Z568" t="s">
        <x:v>49</x:v>
      </x:c>
    </x:row>
    <x:row r="569">
      <x:c r="A569" s="1">
        <x:v>46287</x:v>
      </x:c>
      <x:c r="B569" t="s">
        <x:v>2974</x:v>
      </x:c>
      <x:c r="C569" t="s">
        <x:v>29</x:v>
      </x:c>
      <x:c r="D569" t="s">
        <x:v>2975</x:v>
      </x:c>
      <x:c r="E569" t="s">
        <x:v>31</x:v>
      </x:c>
      <x:c r="F569" t="s">
        <x:v>2976</x:v>
      </x:c>
      <x:c r="G569" t="s">
        <x:v>2977</x:v>
      </x:c>
      <x:c r="H569" t="s">
        <x:v>2978</x:v>
      </x:c>
      <x:c r="K569" t="s">
        <x:v>37</x:v>
      </x:c>
      <x:c r="L569" t="s">
        <x:v>2979</x:v>
      </x:c>
      <x:c r="M569" t="s">
        <x:v>2980</x:v>
      </x:c>
      <x:c r="N569" t="s">
        <x:v>2977</x:v>
      </x:c>
      <x:c r="O569" t="s">
        <x:v>2981</x:v>
      </x:c>
      <x:c r="P569" t="s">
        <x:v>622</x:v>
      </x:c>
      <x:c r="Q569">
        <x:v>1</x:v>
      </x:c>
      <x:c r="R569" t="s">
        <x:v>42</x:v>
      </x:c>
      <x:c r="S569" t="s">
        <x:v>44</x:v>
      </x:c>
      <x:c r="T569" t="s">
        <x:v>44</x:v>
      </x:c>
      <x:c r="U569" t="s">
        <x:v>45</x:v>
      </x:c>
      <x:c r="V569" t="s">
        <x:v>46</x:v>
      </x:c>
      <x:c r="W569">
        <x:v>21.19</x:v>
      </x:c>
      <x:c r="X569" t="s">
        <x:v>621</x:v>
      </x:c>
      <x:c r="Y569" t="s">
        <x:v>48</x:v>
      </x:c>
      <x:c r="Z569" t="s">
        <x:v>49</x:v>
      </x:c>
    </x:row>
    <x:row r="570">
      <x:c r="A570" s="1">
        <x:v>46287</x:v>
      </x:c>
      <x:c r="B570" t="s">
        <x:v>2974</x:v>
      </x:c>
      <x:c r="C570" t="s">
        <x:v>29</x:v>
      </x:c>
      <x:c r="D570" t="s">
        <x:v>2975</x:v>
      </x:c>
      <x:c r="E570" t="s">
        <x:v>31</x:v>
      </x:c>
      <x:c r="F570" t="s">
        <x:v>2976</x:v>
      </x:c>
      <x:c r="G570" t="s">
        <x:v>2977</x:v>
      </x:c>
      <x:c r="H570" t="s">
        <x:v>2978</x:v>
      </x:c>
      <x:c r="K570" t="s">
        <x:v>37</x:v>
      </x:c>
      <x:c r="L570" t="s">
        <x:v>2979</x:v>
      </x:c>
      <x:c r="M570" t="s">
        <x:v>2980</x:v>
      </x:c>
      <x:c r="N570" t="s">
        <x:v>2977</x:v>
      </x:c>
      <x:c r="O570" t="s">
        <x:v>2981</x:v>
      </x:c>
      <x:c r="P570" t="s">
        <x:v>623</x:v>
      </x:c>
      <x:c r="Q570">
        <x:v>1</x:v>
      </x:c>
      <x:c r="R570" t="s">
        <x:v>42</x:v>
      </x:c>
      <x:c r="S570" t="s">
        <x:v>44</x:v>
      </x:c>
      <x:c r="T570" t="s">
        <x:v>44</x:v>
      </x:c>
      <x:c r="U570" t="s">
        <x:v>45</x:v>
      </x:c>
      <x:c r="V570" t="s">
        <x:v>46</x:v>
      </x:c>
      <x:c r="W570">
        <x:v>12.71</x:v>
      </x:c>
      <x:c r="X570" t="s">
        <x:v>621</x:v>
      </x:c>
      <x:c r="Y570" t="s">
        <x:v>48</x:v>
      </x:c>
      <x:c r="Z570" t="s">
        <x:v>49</x:v>
      </x:c>
    </x:row>
    <x:row r="571">
      <x:c r="A571" s="1">
        <x:v>46287</x:v>
      </x:c>
      <x:c r="B571" t="s">
        <x:v>2974</x:v>
      </x:c>
      <x:c r="C571" t="s">
        <x:v>29</x:v>
      </x:c>
      <x:c r="D571" t="s">
        <x:v>2975</x:v>
      </x:c>
      <x:c r="E571" t="s">
        <x:v>31</x:v>
      </x:c>
      <x:c r="F571" t="s">
        <x:v>2976</x:v>
      </x:c>
      <x:c r="G571" t="s">
        <x:v>2977</x:v>
      </x:c>
      <x:c r="H571" t="s">
        <x:v>2978</x:v>
      </x:c>
      <x:c r="K571" t="s">
        <x:v>37</x:v>
      </x:c>
      <x:c r="L571" t="s">
        <x:v>2979</x:v>
      </x:c>
      <x:c r="M571" t="s">
        <x:v>2980</x:v>
      </x:c>
      <x:c r="N571" t="s">
        <x:v>2977</x:v>
      </x:c>
      <x:c r="O571" t="s">
        <x:v>2981</x:v>
      </x:c>
      <x:c r="P571" t="s">
        <x:v>624</x:v>
      </x:c>
      <x:c r="Q571">
        <x:v>1</x:v>
      </x:c>
      <x:c r="R571" t="s">
        <x:v>42</x:v>
      </x:c>
      <x:c r="S571" t="s">
        <x:v>44</x:v>
      </x:c>
      <x:c r="T571" t="s">
        <x:v>44</x:v>
      </x:c>
      <x:c r="U571" t="s">
        <x:v>45</x:v>
      </x:c>
      <x:c r="V571" t="s">
        <x:v>46</x:v>
      </x:c>
      <x:c r="W571">
        <x:v>12.71</x:v>
      </x:c>
      <x:c r="X571" t="s">
        <x:v>621</x:v>
      </x:c>
      <x:c r="Y571" t="s">
        <x:v>48</x:v>
      </x:c>
      <x:c r="Z571" t="s">
        <x:v>49</x:v>
      </x:c>
    </x:row>
    <x:row r="572">
      <x:c r="A572" s="1">
        <x:v>46287</x:v>
      </x:c>
      <x:c r="B572" t="s">
        <x:v>2974</x:v>
      </x:c>
      <x:c r="C572" t="s">
        <x:v>29</x:v>
      </x:c>
      <x:c r="D572" t="s">
        <x:v>2975</x:v>
      </x:c>
      <x:c r="E572" t="s">
        <x:v>31</x:v>
      </x:c>
      <x:c r="F572" t="s">
        <x:v>2976</x:v>
      </x:c>
      <x:c r="G572" t="s">
        <x:v>2977</x:v>
      </x:c>
      <x:c r="H572" t="s">
        <x:v>2978</x:v>
      </x:c>
      <x:c r="K572" t="s">
        <x:v>37</x:v>
      </x:c>
      <x:c r="L572" t="s">
        <x:v>2979</x:v>
      </x:c>
      <x:c r="M572" t="s">
        <x:v>2980</x:v>
      </x:c>
      <x:c r="N572" t="s">
        <x:v>2977</x:v>
      </x:c>
      <x:c r="O572" t="s">
        <x:v>2981</x:v>
      </x:c>
      <x:c r="P572" t="s">
        <x:v>835</x:v>
      </x:c>
      <x:c r="Q572">
        <x:v>1</x:v>
      </x:c>
      <x:c r="R572" t="s">
        <x:v>42</x:v>
      </x:c>
      <x:c r="S572" t="s">
        <x:v>44</x:v>
      </x:c>
      <x:c r="T572" t="s">
        <x:v>44</x:v>
      </x:c>
      <x:c r="U572" t="s">
        <x:v>45</x:v>
      </x:c>
      <x:c r="V572" t="s">
        <x:v>46</x:v>
      </x:c>
      <x:c r="W572">
        <x:v>50.85</x:v>
      </x:c>
      <x:c r="X572" t="s">
        <x:v>621</x:v>
      </x:c>
      <x:c r="Y572" t="s">
        <x:v>48</x:v>
      </x:c>
      <x:c r="Z572" t="s">
        <x:v>49</x:v>
      </x:c>
    </x:row>
    <x:row r="573">
      <x:c r="A573" s="1">
        <x:v>46287</x:v>
      </x:c>
      <x:c r="B573" t="s">
        <x:v>2982</x:v>
      </x:c>
      <x:c r="C573" t="s">
        <x:v>29</x:v>
      </x:c>
      <x:c r="D573" t="s">
        <x:v>2983</x:v>
      </x:c>
      <x:c r="E573" t="s">
        <x:v>31</x:v>
      </x:c>
      <x:c r="F573" t="s">
        <x:v>2984</x:v>
      </x:c>
      <x:c r="G573" t="s">
        <x:v>2977</x:v>
      </x:c>
      <x:c r="H573" t="s">
        <x:v>2978</x:v>
      </x:c>
      <x:c r="K573" t="s">
        <x:v>37</x:v>
      </x:c>
      <x:c r="L573" t="s">
        <x:v>2979</x:v>
      </x:c>
      <x:c r="M573" t="s">
        <x:v>2980</x:v>
      </x:c>
      <x:c r="N573" t="s">
        <x:v>2977</x:v>
      </x:c>
      <x:c r="O573" t="s">
        <x:v>2985</x:v>
      </x:c>
      <x:c r="P573" t="s">
        <x:v>830</x:v>
      </x:c>
      <x:c r="Q573">
        <x:v>1</x:v>
      </x:c>
      <x:c r="R573" t="s">
        <x:v>42</x:v>
      </x:c>
      <x:c r="S573" t="s">
        <x:v>44</x:v>
      </x:c>
      <x:c r="T573" t="s">
        <x:v>44</x:v>
      </x:c>
      <x:c r="U573" t="s">
        <x:v>45</x:v>
      </x:c>
      <x:c r="V573" t="s">
        <x:v>46</x:v>
      </x:c>
      <x:c r="W573">
        <x:v>127.12</x:v>
      </x:c>
      <x:c r="X573" t="s">
        <x:v>47</x:v>
      </x:c>
      <x:c r="Y573" t="s">
        <x:v>48</x:v>
      </x:c>
      <x:c r="Z573" t="s">
        <x:v>49</x:v>
      </x:c>
    </x:row>
    <x:row r="574">
      <x:c r="A574" s="1">
        <x:v>46287</x:v>
      </x:c>
      <x:c r="B574" t="s">
        <x:v>2986</x:v>
      </x:c>
      <x:c r="C574" t="s">
        <x:v>29</x:v>
      </x:c>
      <x:c r="D574" t="s">
        <x:v>2987</x:v>
      </x:c>
      <x:c r="E574" t="s">
        <x:v>31</x:v>
      </x:c>
      <x:c r="F574" t="s">
        <x:v>2988</x:v>
      </x:c>
      <x:c r="G574" t="s">
        <x:v>2977</x:v>
      </x:c>
      <x:c r="H574" t="s">
        <x:v>2978</x:v>
      </x:c>
      <x:c r="K574" t="s">
        <x:v>37</x:v>
      </x:c>
      <x:c r="L574" t="s">
        <x:v>2979</x:v>
      </x:c>
      <x:c r="M574" t="s">
        <x:v>2980</x:v>
      </x:c>
      <x:c r="N574" t="s">
        <x:v>2977</x:v>
      </x:c>
      <x:c r="O574" t="s">
        <x:v>2989</x:v>
      </x:c>
      <x:c r="P574" t="s">
        <x:v>643</x:v>
      </x:c>
      <x:c r="Q574">
        <x:v>1</x:v>
      </x:c>
      <x:c r="R574" t="s">
        <x:v>42</x:v>
      </x:c>
      <x:c r="S574" t="s">
        <x:v>44</x:v>
      </x:c>
      <x:c r="T574" t="s">
        <x:v>44</x:v>
      </x:c>
      <x:c r="U574" t="s">
        <x:v>45</x:v>
      </x:c>
      <x:c r="V574" t="s">
        <x:v>46</x:v>
      </x:c>
      <x:c r="W574">
        <x:v>84.75</x:v>
      </x:c>
      <x:c r="X574" t="s">
        <x:v>47</x:v>
      </x:c>
      <x:c r="Y574" t="s">
        <x:v>48</x:v>
      </x:c>
      <x:c r="Z574" t="s">
        <x:v>49</x:v>
      </x:c>
    </x:row>
    <x:row r="575">
      <x:c r="A575" s="1">
        <x:v>46287</x:v>
      </x:c>
      <x:c r="B575" t="s">
        <x:v>2990</x:v>
      </x:c>
      <x:c r="C575" t="s">
        <x:v>29</x:v>
      </x:c>
      <x:c r="D575" t="s">
        <x:v>2991</x:v>
      </x:c>
      <x:c r="E575" t="s">
        <x:v>31</x:v>
      </x:c>
      <x:c r="F575" t="s">
        <x:v>2992</x:v>
      </x:c>
      <x:c r="G575" t="s">
        <x:v>2993</x:v>
      </x:c>
      <x:c r="H575" t="s">
        <x:v>2994</x:v>
      </x:c>
      <x:c r="I575" t="s">
        <x:v>2995</x:v>
      </x:c>
      <x:c r="J575" t="s">
        <x:v>2996</x:v>
      </x:c>
      <x:c r="K575" t="s">
        <x:v>37</x:v>
      </x:c>
      <x:c r="L575" t="s">
        <x:v>2997</x:v>
      </x:c>
      <x:c r="M575" t="s">
        <x:v>2998</x:v>
      </x:c>
      <x:c r="N575" t="s">
        <x:v>2993</x:v>
      </x:c>
      <x:c r="O575" t="s">
        <x:v>2999</x:v>
      </x:c>
      <x:c r="P575" t="s">
        <x:v>41</x:v>
      </x:c>
      <x:c r="Q575">
        <x:v>1</x:v>
      </x:c>
      <x:c r="R575" t="s">
        <x:v>42</x:v>
      </x:c>
      <x:c r="S575" t="s">
        <x:v>44</x:v>
      </x:c>
      <x:c r="T575" t="s">
        <x:v>44</x:v>
      </x:c>
      <x:c r="U575" t="s">
        <x:v>45</x:v>
      </x:c>
      <x:c r="V575" t="s">
        <x:v>60</x:v>
      </x:c>
      <x:c r="W575">
        <x:v>186.44</x:v>
      </x:c>
      <x:c r="X575" t="s">
        <x:v>47</x:v>
      </x:c>
      <x:c r="Y575" t="s">
        <x:v>48</x:v>
      </x:c>
      <x:c r="Z575" t="s">
        <x:v>49</x:v>
      </x:c>
      <x:c r="AA575">
        <x:v>995247963</x:v>
      </x:c>
      <x:c r="AB575" t="s">
        <x:v>3000</x:v>
      </x:c>
    </x:row>
    <x:row r="576">
      <x:c r="A576" s="1">
        <x:v>46287</x:v>
      </x:c>
      <x:c r="B576" t="s">
        <x:v>3001</x:v>
      </x:c>
      <x:c r="C576" t="s">
        <x:v>29</x:v>
      </x:c>
      <x:c r="D576" t="s">
        <x:v>3002</x:v>
      </x:c>
      <x:c r="E576" t="s">
        <x:v>31</x:v>
      </x:c>
      <x:c r="F576" t="s">
        <x:v>3003</x:v>
      </x:c>
      <x:c r="G576" t="s">
        <x:v>3004</x:v>
      </x:c>
      <x:c r="H576" t="s">
        <x:v>3005</x:v>
      </x:c>
      <x:c r="I576" t="s">
        <x:v>776</x:v>
      </x:c>
      <x:c r="J576" t="s">
        <x:v>777</x:v>
      </x:c>
      <x:c r="K576" t="s">
        <x:v>37</x:v>
      </x:c>
      <x:c r="L576" t="s">
        <x:v>3006</x:v>
      </x:c>
      <x:c r="M576" t="s">
        <x:v>3007</x:v>
      </x:c>
      <x:c r="N576" t="s">
        <x:v>3004</x:v>
      </x:c>
      <x:c r="O576" t="s">
        <x:v>3008</x:v>
      </x:c>
      <x:c r="P576" t="s">
        <x:v>643</x:v>
      </x:c>
      <x:c r="Q576">
        <x:v>1</x:v>
      </x:c>
      <x:c r="R576" t="s">
        <x:v>42</x:v>
      </x:c>
      <x:c r="S576" t="s">
        <x:v>44</x:v>
      </x:c>
      <x:c r="T576" t="s">
        <x:v>44</x:v>
      </x:c>
      <x:c r="U576" t="s">
        <x:v>45</x:v>
      </x:c>
      <x:c r="V576" t="s">
        <x:v>46</x:v>
      </x:c>
      <x:c r="W576">
        <x:v>84.75</x:v>
      </x:c>
      <x:c r="X576" t="s">
        <x:v>47</x:v>
      </x:c>
      <x:c r="Y576" t="s">
        <x:v>48</x:v>
      </x:c>
      <x:c r="Z576" t="s">
        <x:v>49</x:v>
      </x:c>
    </x:row>
    <x:row r="577">
      <x:c r="A577" s="1">
        <x:v>46287</x:v>
      </x:c>
      <x:c r="B577" t="s">
        <x:v>3009</x:v>
      </x:c>
      <x:c r="C577" t="s">
        <x:v>29</x:v>
      </x:c>
      <x:c r="D577" t="s">
        <x:v>3010</x:v>
      </x:c>
      <x:c r="E577" t="s">
        <x:v>31</x:v>
      </x:c>
      <x:c r="F577" t="s">
        <x:v>3011</x:v>
      </x:c>
      <x:c r="G577" t="s">
        <x:v>3012</x:v>
      </x:c>
      <x:c r="H577" t="s">
        <x:v>3013</x:v>
      </x:c>
      <x:c r="I577" t="s">
        <x:v>776</x:v>
      </x:c>
      <x:c r="J577" t="s">
        <x:v>777</x:v>
      </x:c>
      <x:c r="K577" t="s">
        <x:v>37</x:v>
      </x:c>
      <x:c r="L577" t="s">
        <x:v>3014</x:v>
      </x:c>
      <x:c r="M577" t="s">
        <x:v>3015</x:v>
      </x:c>
      <x:c r="N577" t="s">
        <x:v>3012</x:v>
      </x:c>
      <x:c r="O577" t="s">
        <x:v>3016</x:v>
      </x:c>
      <x:c r="P577" t="s">
        <x:v>643</x:v>
      </x:c>
      <x:c r="Q577">
        <x:v>1</x:v>
      </x:c>
      <x:c r="R577" t="s">
        <x:v>42</x:v>
      </x:c>
      <x:c r="S577" t="s">
        <x:v>44</x:v>
      </x:c>
      <x:c r="T577" t="s">
        <x:v>44</x:v>
      </x:c>
      <x:c r="U577" t="s">
        <x:v>45</x:v>
      </x:c>
      <x:c r="V577" t="s">
        <x:v>46</x:v>
      </x:c>
      <x:c r="W577">
        <x:v>84.75</x:v>
      </x:c>
      <x:c r="X577" t="s">
        <x:v>47</x:v>
      </x:c>
      <x:c r="Y577" t="s">
        <x:v>48</x:v>
      </x:c>
      <x:c r="Z577" t="s">
        <x:v>49</x:v>
      </x:c>
    </x:row>
    <x:row r="578">
      <x:c r="A578" s="1">
        <x:v>46287</x:v>
      </x:c>
      <x:c r="B578" t="s">
        <x:v>3017</x:v>
      </x:c>
      <x:c r="C578" t="s">
        <x:v>29</x:v>
      </x:c>
      <x:c r="D578" t="s">
        <x:v>3018</x:v>
      </x:c>
      <x:c r="E578" t="s">
        <x:v>31</x:v>
      </x:c>
      <x:c r="F578" t="s">
        <x:v>3019</x:v>
      </x:c>
      <x:c r="G578" t="s">
        <x:v>3020</x:v>
      </x:c>
      <x:c r="H578" t="s">
        <x:v>3021</x:v>
      </x:c>
      <x:c r="I578" t="s">
        <x:v>2775</x:v>
      </x:c>
      <x:c r="K578" t="s">
        <x:v>37</x:v>
      </x:c>
      <x:c r="L578" t="s">
        <x:v>3022</x:v>
      </x:c>
      <x:c r="M578" t="s">
        <x:v>3023</x:v>
      </x:c>
      <x:c r="N578" t="s">
        <x:v>3020</x:v>
      </x:c>
      <x:c r="O578" t="s">
        <x:v>3024</x:v>
      </x:c>
      <x:c r="P578" t="s">
        <x:v>160</x:v>
      </x:c>
      <x:c r="Q578">
        <x:v>1</x:v>
      </x:c>
      <x:c r="R578" t="s">
        <x:v>42</x:v>
      </x:c>
      <x:c r="S578" t="s">
        <x:v>44</x:v>
      </x:c>
      <x:c r="T578" t="s">
        <x:v>44</x:v>
      </x:c>
      <x:c r="U578" t="s">
        <x:v>45</x:v>
      </x:c>
      <x:c r="V578" t="s">
        <x:v>60</x:v>
      </x:c>
      <x:c r="W578">
        <x:v>135.59</x:v>
      </x:c>
      <x:c r="X578" t="s">
        <x:v>47</x:v>
      </x:c>
      <x:c r="Y578" t="s">
        <x:v>48</x:v>
      </x:c>
      <x:c r="Z578" t="s">
        <x:v>49</x:v>
      </x:c>
    </x:row>
    <x:row r="579">
      <x:c r="A579" s="1">
        <x:v>46287</x:v>
      </x:c>
      <x:c r="B579" t="s">
        <x:v>3017</x:v>
      </x:c>
      <x:c r="C579" t="s">
        <x:v>29</x:v>
      </x:c>
      <x:c r="D579" t="s">
        <x:v>3018</x:v>
      </x:c>
      <x:c r="E579" t="s">
        <x:v>31</x:v>
      </x:c>
      <x:c r="F579" t="s">
        <x:v>3019</x:v>
      </x:c>
      <x:c r="G579" t="s">
        <x:v>3020</x:v>
      </x:c>
      <x:c r="H579" t="s">
        <x:v>3021</x:v>
      </x:c>
      <x:c r="I579" t="s">
        <x:v>2775</x:v>
      </x:c>
      <x:c r="K579" t="s">
        <x:v>37</x:v>
      </x:c>
      <x:c r="L579" t="s">
        <x:v>3022</x:v>
      </x:c>
      <x:c r="M579" t="s">
        <x:v>3023</x:v>
      </x:c>
      <x:c r="N579" t="s">
        <x:v>3020</x:v>
      </x:c>
      <x:c r="O579" t="s">
        <x:v>3024</x:v>
      </x:c>
      <x:c r="P579" t="s">
        <x:v>102</x:v>
      </x:c>
      <x:c r="Q579">
        <x:v>1</x:v>
      </x:c>
      <x:c r="R579" t="s">
        <x:v>42</x:v>
      </x:c>
      <x:c r="S579" t="s">
        <x:v>44</x:v>
      </x:c>
      <x:c r="T579" t="s">
        <x:v>44</x:v>
      </x:c>
      <x:c r="U579" t="s">
        <x:v>45</x:v>
      </x:c>
      <x:c r="V579" t="s">
        <x:v>60</x:v>
      </x:c>
      <x:c r="W579">
        <x:v>186.44</x:v>
      </x:c>
      <x:c r="X579" t="s">
        <x:v>47</x:v>
      </x:c>
      <x:c r="Y579" t="s">
        <x:v>48</x:v>
      </x:c>
      <x:c r="Z579" t="s">
        <x:v>49</x:v>
      </x:c>
    </x:row>
    <x:row r="580">
      <x:c r="A580" s="1">
        <x:v>46287</x:v>
      </x:c>
      <x:c r="B580" t="s">
        <x:v>3025</x:v>
      </x:c>
      <x:c r="C580" t="s">
        <x:v>269</x:v>
      </x:c>
      <x:c r="D580" t="s">
        <x:v>3026</x:v>
      </x:c>
      <x:c r="E580" t="s">
        <x:v>31</x:v>
      </x:c>
      <x:c r="F580" t="s">
        <x:v>3027</x:v>
      </x:c>
      <x:c r="G580" t="s">
        <x:v>2961</x:v>
      </x:c>
      <x:c r="H580" t="s">
        <x:v>2962</x:v>
      </x:c>
      <x:c r="I580" t="s">
        <x:v>776</x:v>
      </x:c>
      <x:c r="J580" t="s">
        <x:v>777</x:v>
      </x:c>
      <x:c r="K580" t="s">
        <x:v>37</x:v>
      </x:c>
      <x:c r="L580" t="s">
        <x:v>2963</x:v>
      </x:c>
      <x:c r="M580" t="s">
        <x:v>2964</x:v>
      </x:c>
      <x:c r="N580" t="s">
        <x:v>800</x:v>
      </x:c>
      <x:c r="O580" t="s">
        <x:v>3028</x:v>
      </x:c>
      <x:c r="P580" t="s">
        <x:v>289</x:v>
      </x:c>
      <x:c r="Q580">
        <x:v>1</x:v>
      </x:c>
      <x:c r="R580" t="s">
        <x:v>42</x:v>
      </x:c>
      <x:c r="S580" t="s">
        <x:v>44</x:v>
      </x:c>
      <x:c r="T580" t="s">
        <x:v>44</x:v>
      </x:c>
      <x:c r="U580" t="s">
        <x:v>45</x:v>
      </x:c>
      <x:c r="V580" t="s">
        <x:v>46</x:v>
      </x:c>
      <x:c r="W580">
        <x:v>0</x:v>
      </x:c>
      <x:c r="X580" t="s">
        <x:v>290</x:v>
      </x:c>
      <x:c r="Y580" t="s">
        <x:v>48</x:v>
      </x:c>
      <x:c r="Z580" t="s">
        <x:v>49</x:v>
      </x:c>
    </x:row>
    <x:row r="581">
      <x:c r="A581" s="1">
        <x:v>46287</x:v>
      </x:c>
      <x:c r="B581" t="s">
        <x:v>3025</x:v>
      </x:c>
      <x:c r="C581" t="s">
        <x:v>269</x:v>
      </x:c>
      <x:c r="D581" t="s">
        <x:v>3026</x:v>
      </x:c>
      <x:c r="E581" t="s">
        <x:v>31</x:v>
      </x:c>
      <x:c r="F581" t="s">
        <x:v>3027</x:v>
      </x:c>
      <x:c r="G581" t="s">
        <x:v>2961</x:v>
      </x:c>
      <x:c r="H581" t="s">
        <x:v>2962</x:v>
      </x:c>
      <x:c r="I581" t="s">
        <x:v>776</x:v>
      </x:c>
      <x:c r="J581" t="s">
        <x:v>777</x:v>
      </x:c>
      <x:c r="K581" t="s">
        <x:v>37</x:v>
      </x:c>
      <x:c r="L581" t="s">
        <x:v>2963</x:v>
      </x:c>
      <x:c r="M581" t="s">
        <x:v>2964</x:v>
      </x:c>
      <x:c r="N581" t="s">
        <x:v>800</x:v>
      </x:c>
      <x:c r="O581" t="s">
        <x:v>3028</x:v>
      </x:c>
      <x:c r="P581" t="s">
        <x:v>291</x:v>
      </x:c>
      <x:c r="Q581">
        <x:v>1</x:v>
      </x:c>
      <x:c r="R581" t="s">
        <x:v>42</x:v>
      </x:c>
      <x:c r="S581" t="s">
        <x:v>44</x:v>
      </x:c>
      <x:c r="T581" t="s">
        <x:v>44</x:v>
      </x:c>
      <x:c r="U581" t="s">
        <x:v>45</x:v>
      </x:c>
      <x:c r="V581" t="s">
        <x:v>46</x:v>
      </x:c>
      <x:c r="W581">
        <x:v>762.71</x:v>
      </x:c>
      <x:c r="X581" t="s">
        <x:v>290</x:v>
      </x:c>
      <x:c r="Y581" t="s">
        <x:v>48</x:v>
      </x:c>
      <x:c r="Z581" t="s">
        <x:v>49</x:v>
      </x:c>
    </x:row>
    <x:row r="582">
      <x:c r="A582" s="1">
        <x:v>46287</x:v>
      </x:c>
      <x:c r="B582" t="s">
        <x:v>3029</x:v>
      </x:c>
      <x:c r="C582" t="s">
        <x:v>269</x:v>
      </x:c>
      <x:c r="D582" t="s">
        <x:v>3030</x:v>
      </x:c>
      <x:c r="E582" t="s">
        <x:v>31</x:v>
      </x:c>
      <x:c r="F582" t="s">
        <x:v>3031</x:v>
      </x:c>
      <x:c r="G582" t="s">
        <x:v>3004</x:v>
      </x:c>
      <x:c r="H582" t="s">
        <x:v>3005</x:v>
      </x:c>
      <x:c r="I582" t="s">
        <x:v>776</x:v>
      </x:c>
      <x:c r="J582" t="s">
        <x:v>777</x:v>
      </x:c>
      <x:c r="K582" t="s">
        <x:v>37</x:v>
      </x:c>
      <x:c r="L582" t="s">
        <x:v>3006</x:v>
      </x:c>
      <x:c r="M582" t="s">
        <x:v>3007</x:v>
      </x:c>
      <x:c r="N582" t="s">
        <x:v>800</x:v>
      </x:c>
      <x:c r="O582" t="s">
        <x:v>3032</x:v>
      </x:c>
      <x:c r="P582" t="s">
        <x:v>289</x:v>
      </x:c>
      <x:c r="Q582">
        <x:v>1</x:v>
      </x:c>
      <x:c r="R582" t="s">
        <x:v>42</x:v>
      </x:c>
      <x:c r="S582" t="s">
        <x:v>44</x:v>
      </x:c>
      <x:c r="T582" t="s">
        <x:v>44</x:v>
      </x:c>
      <x:c r="U582" t="s">
        <x:v>45</x:v>
      </x:c>
      <x:c r="V582" t="s">
        <x:v>46</x:v>
      </x:c>
      <x:c r="W582">
        <x:v>0</x:v>
      </x:c>
      <x:c r="X582" t="s">
        <x:v>290</x:v>
      </x:c>
      <x:c r="Y582" t="s">
        <x:v>48</x:v>
      </x:c>
      <x:c r="Z582" t="s">
        <x:v>49</x:v>
      </x:c>
    </x:row>
    <x:row r="583">
      <x:c r="A583" s="1">
        <x:v>46287</x:v>
      </x:c>
      <x:c r="B583" t="s">
        <x:v>3029</x:v>
      </x:c>
      <x:c r="C583" t="s">
        <x:v>269</x:v>
      </x:c>
      <x:c r="D583" t="s">
        <x:v>3030</x:v>
      </x:c>
      <x:c r="E583" t="s">
        <x:v>31</x:v>
      </x:c>
      <x:c r="F583" t="s">
        <x:v>3031</x:v>
      </x:c>
      <x:c r="G583" t="s">
        <x:v>3004</x:v>
      </x:c>
      <x:c r="H583" t="s">
        <x:v>3005</x:v>
      </x:c>
      <x:c r="I583" t="s">
        <x:v>776</x:v>
      </x:c>
      <x:c r="J583" t="s">
        <x:v>777</x:v>
      </x:c>
      <x:c r="K583" t="s">
        <x:v>37</x:v>
      </x:c>
      <x:c r="L583" t="s">
        <x:v>3006</x:v>
      </x:c>
      <x:c r="M583" t="s">
        <x:v>3007</x:v>
      </x:c>
      <x:c r="N583" t="s">
        <x:v>800</x:v>
      </x:c>
      <x:c r="O583" t="s">
        <x:v>3032</x:v>
      </x:c>
      <x:c r="P583" t="s">
        <x:v>291</x:v>
      </x:c>
      <x:c r="Q583">
        <x:v>1</x:v>
      </x:c>
      <x:c r="R583" t="s">
        <x:v>42</x:v>
      </x:c>
      <x:c r="S583" t="s">
        <x:v>44</x:v>
      </x:c>
      <x:c r="T583" t="s">
        <x:v>44</x:v>
      </x:c>
      <x:c r="U583" t="s">
        <x:v>45</x:v>
      </x:c>
      <x:c r="V583" t="s">
        <x:v>46</x:v>
      </x:c>
      <x:c r="W583">
        <x:v>762.71</x:v>
      </x:c>
      <x:c r="X583" t="s">
        <x:v>290</x:v>
      </x:c>
      <x:c r="Y583" t="s">
        <x:v>48</x:v>
      </x:c>
      <x:c r="Z583" t="s">
        <x:v>49</x:v>
      </x:c>
    </x:row>
    <x:row r="584">
      <x:c r="A584" s="1">
        <x:v>46287</x:v>
      </x:c>
      <x:c r="B584" t="s">
        <x:v>3033</x:v>
      </x:c>
      <x:c r="C584" t="s">
        <x:v>269</x:v>
      </x:c>
      <x:c r="D584" t="s">
        <x:v>3034</x:v>
      </x:c>
      <x:c r="E584" t="s">
        <x:v>31</x:v>
      </x:c>
      <x:c r="F584" t="s">
        <x:v>3035</x:v>
      </x:c>
      <x:c r="G584" t="s">
        <x:v>2977</x:v>
      </x:c>
      <x:c r="H584" t="s">
        <x:v>2978</x:v>
      </x:c>
      <x:c r="K584" t="s">
        <x:v>37</x:v>
      </x:c>
      <x:c r="L584" t="s">
        <x:v>2979</x:v>
      </x:c>
      <x:c r="M584" t="s">
        <x:v>2980</x:v>
      </x:c>
      <x:c r="N584" t="s">
        <x:v>800</x:v>
      </x:c>
      <x:c r="O584" t="s">
        <x:v>3036</x:v>
      </x:c>
      <x:c r="P584" t="s">
        <x:v>289</x:v>
      </x:c>
      <x:c r="Q584">
        <x:v>1</x:v>
      </x:c>
      <x:c r="R584" t="s">
        <x:v>42</x:v>
      </x:c>
      <x:c r="S584" t="s">
        <x:v>44</x:v>
      </x:c>
      <x:c r="T584" t="s">
        <x:v>44</x:v>
      </x:c>
      <x:c r="U584" t="s">
        <x:v>45</x:v>
      </x:c>
      <x:c r="V584" t="s">
        <x:v>60</x:v>
      </x:c>
      <x:c r="W584">
        <x:v>0</x:v>
      </x:c>
      <x:c r="X584" t="s">
        <x:v>290</x:v>
      </x:c>
      <x:c r="Y584" t="s">
        <x:v>48</x:v>
      </x:c>
      <x:c r="Z584" t="s">
        <x:v>49</x:v>
      </x:c>
    </x:row>
    <x:row r="585">
      <x:c r="A585" s="1">
        <x:v>46287</x:v>
      </x:c>
      <x:c r="B585" t="s">
        <x:v>3033</x:v>
      </x:c>
      <x:c r="C585" t="s">
        <x:v>269</x:v>
      </x:c>
      <x:c r="D585" t="s">
        <x:v>3034</x:v>
      </x:c>
      <x:c r="E585" t="s">
        <x:v>31</x:v>
      </x:c>
      <x:c r="F585" t="s">
        <x:v>3035</x:v>
      </x:c>
      <x:c r="G585" t="s">
        <x:v>2977</x:v>
      </x:c>
      <x:c r="H585" t="s">
        <x:v>2978</x:v>
      </x:c>
      <x:c r="K585" t="s">
        <x:v>37</x:v>
      </x:c>
      <x:c r="L585" t="s">
        <x:v>2979</x:v>
      </x:c>
      <x:c r="M585" t="s">
        <x:v>2980</x:v>
      </x:c>
      <x:c r="N585" t="s">
        <x:v>800</x:v>
      </x:c>
      <x:c r="O585" t="s">
        <x:v>3036</x:v>
      </x:c>
      <x:c r="P585" t="s">
        <x:v>291</x:v>
      </x:c>
      <x:c r="Q585">
        <x:v>1</x:v>
      </x:c>
      <x:c r="R585" t="s">
        <x:v>42</x:v>
      </x:c>
      <x:c r="S585" t="s">
        <x:v>44</x:v>
      </x:c>
      <x:c r="T585" t="s">
        <x:v>44</x:v>
      </x:c>
      <x:c r="U585" t="s">
        <x:v>45</x:v>
      </x:c>
      <x:c r="V585" t="s">
        <x:v>60</x:v>
      </x:c>
      <x:c r="W585">
        <x:v>762.71</x:v>
      </x:c>
      <x:c r="X585" t="s">
        <x:v>290</x:v>
      </x:c>
      <x:c r="Y585" t="s">
        <x:v>48</x:v>
      </x:c>
      <x:c r="Z585" t="s">
        <x:v>49</x:v>
      </x:c>
    </x:row>
    <x:row r="586">
      <x:c r="A586" s="1">
        <x:v>46288</x:v>
      </x:c>
      <x:c r="B586" t="s">
        <x:v>3037</x:v>
      </x:c>
      <x:c r="C586" t="s">
        <x:v>29</x:v>
      </x:c>
      <x:c r="D586" t="s">
        <x:v>3038</x:v>
      </x:c>
      <x:c r="E586" t="s">
        <x:v>31</x:v>
      </x:c>
      <x:c r="F586" t="s">
        <x:v>3039</x:v>
      </x:c>
      <x:c r="G586" t="s">
        <x:v>3040</x:v>
      </x:c>
      <x:c r="H586" t="s">
        <x:v>3041</x:v>
      </x:c>
      <x:c r="K586" t="s">
        <x:v>37</x:v>
      </x:c>
      <x:c r="L586" t="s">
        <x:v>3042</x:v>
      </x:c>
      <x:c r="M586" t="s">
        <x:v>3043</x:v>
      </x:c>
      <x:c r="N586" t="s">
        <x:v>3040</x:v>
      </x:c>
      <x:c r="O586" t="s">
        <x:v>3044</x:v>
      </x:c>
      <x:c r="P586" t="s">
        <x:v>350</x:v>
      </x:c>
      <x:c r="Q586">
        <x:v>1</x:v>
      </x:c>
      <x:c r="R586" t="s">
        <x:v>70</x:v>
      </x:c>
      <x:c r="S586" t="s">
        <x:v>43</x:v>
      </x:c>
      <x:c r="T586" t="s">
        <x:v>44</x:v>
      </x:c>
      <x:c r="U586" t="s">
        <x:v>71</x:v>
      </x:c>
      <x:c r="V586" t="s">
        <x:v>185</x:v>
      </x:c>
      <x:c r="W586">
        <x:v>169.49</x:v>
      </x:c>
      <x:c r="X586" t="s">
        <x:v>47</x:v>
      </x:c>
      <x:c r="Y586" t="s">
        <x:v>48</x:v>
      </x:c>
      <x:c r="Z586" t="s">
        <x:v>73</x:v>
      </x:c>
    </x:row>
    <x:row r="587">
      <x:c r="A587" s="1">
        <x:v>46288</x:v>
      </x:c>
      <x:c r="B587" t="s">
        <x:v>3045</x:v>
      </x:c>
      <x:c r="C587" t="s">
        <x:v>29</x:v>
      </x:c>
      <x:c r="D587" t="s">
        <x:v>3046</x:v>
      </x:c>
      <x:c r="E587" t="s">
        <x:v>31</x:v>
      </x:c>
      <x:c r="F587" t="s">
        <x:v>3047</x:v>
      </x:c>
      <x:c r="G587" t="s">
        <x:v>3048</x:v>
      </x:c>
      <x:c r="H587" t="s">
        <x:v>3049</x:v>
      </x:c>
      <x:c r="K587" t="s">
        <x:v>37</x:v>
      </x:c>
      <x:c r="L587" t="s">
        <x:v>3050</x:v>
      </x:c>
      <x:c r="M587" t="s">
        <x:v>3043</x:v>
      </x:c>
      <x:c r="N587" t="s">
        <x:v>3048</x:v>
      </x:c>
      <x:c r="O587" t="s">
        <x:v>3051</x:v>
      </x:c>
      <x:c r="P587" t="s">
        <x:v>350</x:v>
      </x:c>
      <x:c r="Q587">
        <x:v>1</x:v>
      </x:c>
      <x:c r="R587" t="s">
        <x:v>70</x:v>
      </x:c>
      <x:c r="S587" t="s">
        <x:v>43</x:v>
      </x:c>
      <x:c r="T587" t="s">
        <x:v>44</x:v>
      </x:c>
      <x:c r="U587" t="s">
        <x:v>71</x:v>
      </x:c>
      <x:c r="V587" t="s">
        <x:v>185</x:v>
      </x:c>
      <x:c r="W587">
        <x:v>169.49</x:v>
      </x:c>
      <x:c r="X587" t="s">
        <x:v>47</x:v>
      </x:c>
      <x:c r="Y587" t="s">
        <x:v>48</x:v>
      </x:c>
      <x:c r="Z587" t="s">
        <x:v>73</x:v>
      </x:c>
    </x:row>
    <x:row r="588">
      <x:c r="A588" s="1">
        <x:v>46288</x:v>
      </x:c>
      <x:c r="B588" t="s">
        <x:v>3052</x:v>
      </x:c>
      <x:c r="C588" t="s">
        <x:v>400</x:v>
      </x:c>
      <x:c r="D588" t="s">
        <x:v>3038</x:v>
      </x:c>
      <x:c r="E588" t="s">
        <x:v>401</x:v>
      </x:c>
      <x:c r="F588" t="s">
        <x:v>3053</x:v>
      </x:c>
      <x:c r="G588" t="s">
        <x:v>3040</x:v>
      </x:c>
      <x:c r="H588" t="s">
        <x:v>3041</x:v>
      </x:c>
      <x:c r="K588" t="s">
        <x:v>401</x:v>
      </x:c>
      <x:c r="L588" t="s">
        <x:v>3042</x:v>
      </x:c>
      <x:c r="M588" t="s">
        <x:v>3043</x:v>
      </x:c>
      <x:c r="N588" t="s">
        <x:v>3040</x:v>
      </x:c>
      <x:c r="O588" t="s">
        <x:v>3044</x:v>
      </x:c>
      <x:c r="P588" t="s">
        <x:v>350</x:v>
      </x:c>
      <x:c r="Q588">
        <x:v>1</x:v>
      </x:c>
      <x:c r="R588" t="s">
        <x:v>70</x:v>
      </x:c>
      <x:c r="S588" t="s">
        <x:v>43</x:v>
      </x:c>
      <x:c r="T588" t="s">
        <x:v>44</x:v>
      </x:c>
      <x:c r="U588" t="s">
        <x:v>71</x:v>
      </x:c>
      <x:c r="V588" t="s">
        <x:v>185</x:v>
      </x:c>
      <x:c r="W588">
        <x:v>-169.49</x:v>
      </x:c>
      <x:c r="X588" t="s">
        <x:v>47</x:v>
      </x:c>
      <x:c r="Y588" t="s">
        <x:v>48</x:v>
      </x:c>
      <x:c r="Z588" t="s">
        <x:v>73</x:v>
      </x:c>
    </x:row>
  </x:sheetData>
  <x:pageMargins left="0.7" right="0.7" top="0.75" bottom="0.75" header="0.3" footer="0.3"/>
  <x:tableParts count="1">
    <x:tablePart xmlns:r="http://schemas.openxmlformats.org/officeDocument/2006/relationships" r:id="R9204ebc48e9a47ac"/>
  </x:tableParts>
</x:worksheet>
</file>

<file path=xl/worksheets/sheet2.xml><?xml version="1.0" encoding="utf-8"?>
<x:worksheet xmlns:x="http://schemas.openxmlformats.org/spreadsheetml/2006/main">
  <x:sheetFormatPr baseColWidth="10" defaultRowHeight="14.399999618530273"/>
  <x:cols>
    <x:col min="1" max="1" width="40.88671875" customWidth="1"/>
    <x:col min="2" max="2" width="10" customWidth="1"/>
    <x:col min="3" max="3" width="19.21875" customWidth="1"/>
    <x:col min="4" max="4" width="20.77734375" customWidth="1"/>
    <x:col min="5" max="5" width="23.5546875" customWidth="1"/>
    <x:col min="6" max="6" width="38.33203125" customWidth="1"/>
    <x:col min="7" max="7" width="35.5546875" customWidth="1"/>
  </x:cols>
  <x:sheetData>
    <x:row r="1">
      <x:c r="A1" t="s">
        <x:v>3054</x:v>
      </x:c>
      <x:c r="B1" t="s">
        <x:v>3055</x:v>
      </x:c>
      <x:c r="C1" t="s">
        <x:v>3056</x:v>
      </x:c>
      <x:c r="D1" t="s">
        <x:v>3057</x:v>
      </x:c>
      <x:c r="E1" t="s">
        <x:v>3058</x:v>
      </x:c>
      <x:c r="F1" t="s">
        <x:v>3059</x:v>
      </x:c>
      <x:c r="G1" t="s">
        <x:v>3060</x:v>
      </x:c>
    </x:row>
    <x:row r="2">
      <x:c r="A2" t="s">
        <x:v>3061</x:v>
      </x:c>
      <x:c r="B2">
        <x:v>900734202</x:v>
      </x:c>
      <x:c r="C2" t="s">
        <x:v>3062</x:v>
      </x:c>
      <x:c r="D2" t="s">
        <x:v>3063</x:v>
      </x:c>
      <x:c r="E2" t="s">
        <x:v>3064</x:v>
      </x:c>
      <x:c r="F2" t="s">
        <x:v>36</x:v>
      </x:c>
    </x:row>
    <x:row r="3">
      <x:c r="A3" t="s">
        <x:v>3065</x:v>
      </x:c>
      <x:c r="B3">
        <x:v>930793497</x:v>
      </x:c>
      <x:c r="C3" t="s">
        <x:v>3062</x:v>
      </x:c>
      <x:c r="D3" t="s">
        <x:v>3066</x:v>
      </x:c>
      <x:c r="E3" t="s">
        <x:v>3067</x:v>
      </x:c>
      <x:c r="F3" t="s">
        <x:v>346</x:v>
      </x:c>
    </x:row>
    <x:row r="4">
      <x:c r="A4" t="s">
        <x:v>3068</x:v>
      </x:c>
      <x:c r="B4">
        <x:v>949717538</x:v>
      </x:c>
      <x:c r="C4" t="s">
        <x:v>3062</x:v>
      </x:c>
      <x:c r="D4" t="s">
        <x:v>3069</x:v>
      </x:c>
      <x:c r="E4" t="s">
        <x:v>3070</x:v>
      </x:c>
      <x:c r="F4" t="s">
        <x:v>2600</x:v>
      </x:c>
    </x:row>
    <x:row r="5">
      <x:c r="A5" t="s">
        <x:v>3071</x:v>
      </x:c>
      <x:c r="B5">
        <x:v>986294682</x:v>
      </x:c>
      <x:c r="C5" t="s">
        <x:v>3062</x:v>
      </x:c>
      <x:c r="D5" t="s">
        <x:v>3072</x:v>
      </x:c>
      <x:c r="E5" t="s">
        <x:v>3073</x:v>
      </x:c>
      <x:c r="F5" t="s">
        <x:v>3074</x:v>
      </x:c>
    </x:row>
    <x:row r="6">
      <x:c r="A6" t="s">
        <x:v>3075</x:v>
      </x:c>
      <x:c r="B6">
        <x:v>915394967</x:v>
      </x:c>
      <x:c r="C6" t="s">
        <x:v>3076</x:v>
      </x:c>
      <x:c r="D6" t="s">
        <x:v>3077</x:v>
      </x:c>
      <x:c r="E6" t="s">
        <x:v>3078</x:v>
      </x:c>
      <x:c r="F6" t="s">
        <x:v>3079</x:v>
      </x:c>
    </x:row>
    <x:row r="7">
      <x:c r="A7" t="s">
        <x:v>3080</x:v>
      </x:c>
      <x:c r="B7">
        <x:v>937242809</x:v>
      </x:c>
      <x:c r="C7" t="s">
        <x:v>3076</x:v>
      </x:c>
      <x:c r="D7" t="s">
        <x:v>3081</x:v>
      </x:c>
      <x:c r="E7" t="s">
        <x:v>3082</x:v>
      </x:c>
      <x:c r="F7" t="s">
        <x:v>3083</x:v>
      </x:c>
    </x:row>
    <x:row r="8">
      <x:c r="A8" t="s">
        <x:v>3084</x:v>
      </x:c>
      <x:c r="B8">
        <x:v>940621858</x:v>
      </x:c>
      <x:c r="C8" t="s">
        <x:v>3076</x:v>
      </x:c>
      <x:c r="D8" t="s">
        <x:v>3085</x:v>
      </x:c>
      <x:c r="E8" t="s">
        <x:v>3086</x:v>
      </x:c>
      <x:c r="F8" t="s">
        <x:v>3087</x:v>
      </x:c>
    </x:row>
    <x:row r="9">
      <x:c r="A9" t="s">
        <x:v>3088</x:v>
      </x:c>
      <x:c r="B9">
        <x:v>945751945</x:v>
      </x:c>
      <x:c r="C9" t="s">
        <x:v>3076</x:v>
      </x:c>
      <x:c r="D9" t="s">
        <x:v>3089</x:v>
      </x:c>
      <x:c r="F9" t="s">
        <x:v>2600</x:v>
      </x:c>
    </x:row>
    <x:row r="10">
      <x:c r="A10" t="s">
        <x:v>3090</x:v>
      </x:c>
      <x:c r="B10">
        <x:v>945930825</x:v>
      </x:c>
      <x:c r="C10" t="s">
        <x:v>3076</x:v>
      </x:c>
      <x:c r="D10" t="s">
        <x:v>3091</x:v>
      </x:c>
      <x:c r="E10" t="s">
        <x:v>3092</x:v>
      </x:c>
      <x:c r="F10" t="s">
        <x:v>3093</x:v>
      </x:c>
    </x:row>
    <x:row r="11">
      <x:c r="A11" t="s">
        <x:v>3094</x:v>
      </x:c>
      <x:c r="B11">
        <x:v>947591368</x:v>
      </x:c>
      <x:c r="C11" t="s">
        <x:v>3076</x:v>
      </x:c>
      <x:c r="D11" t="s">
        <x:v>3095</x:v>
      </x:c>
      <x:c r="E11" t="s">
        <x:v>3096</x:v>
      </x:c>
      <x:c r="F11" t="s">
        <x:v>98</x:v>
      </x:c>
    </x:row>
    <x:row r="12">
      <x:c r="A12" t="s">
        <x:v>3097</x:v>
      </x:c>
      <x:c r="B12">
        <x:v>948878123</x:v>
      </x:c>
      <x:c r="C12" t="s">
        <x:v>3076</x:v>
      </x:c>
      <x:c r="D12" t="s">
        <x:v>3098</x:v>
      </x:c>
      <x:c r="E12" t="s">
        <x:v>3099</x:v>
      </x:c>
      <x:c r="F12" t="s">
        <x:v>210</x:v>
      </x:c>
    </x:row>
    <x:row r="13">
      <x:c r="A13" t="s">
        <x:v>3100</x:v>
      </x:c>
      <x:c r="B13">
        <x:v>959068627</x:v>
      </x:c>
      <x:c r="C13" t="s">
        <x:v>3076</x:v>
      </x:c>
      <x:c r="D13" t="s">
        <x:v>3101</x:v>
      </x:c>
      <x:c r="E13" t="s">
        <x:v>3102</x:v>
      </x:c>
      <x:c r="F13" t="s">
        <x:v>36</x:v>
      </x:c>
    </x:row>
    <x:row r="14">
      <x:c r="A14" t="s">
        <x:v>3103</x:v>
      </x:c>
      <x:c r="B14">
        <x:v>959103507</x:v>
      </x:c>
      <x:c r="C14" t="s">
        <x:v>3076</x:v>
      </x:c>
      <x:c r="D14" t="s">
        <x:v>3104</x:v>
      </x:c>
      <x:c r="E14" t="s">
        <x:v>3105</x:v>
      </x:c>
      <x:c r="F14" t="s">
        <x:v>3106</x:v>
      </x:c>
    </x:row>
    <x:row r="15">
      <x:c r="A15" t="s">
        <x:v>3107</x:v>
      </x:c>
      <x:c r="B15">
        <x:v>959529890</x:v>
      </x:c>
      <x:c r="C15" t="s">
        <x:v>3076</x:v>
      </x:c>
      <x:c r="D15" t="s">
        <x:v>3108</x:v>
      </x:c>
      <x:c r="E15" t="s">
        <x:v>3109</x:v>
      </x:c>
      <x:c r="F15" t="s">
        <x:v>263</x:v>
      </x:c>
    </x:row>
    <x:row r="16">
      <x:c r="A16" t="s">
        <x:v>345</x:v>
      </x:c>
      <x:c r="B16">
        <x:v>966697811</x:v>
      </x:c>
      <x:c r="C16" t="s">
        <x:v>3076</x:v>
      </x:c>
      <x:c r="D16" t="s">
        <x:v>351</x:v>
      </x:c>
      <x:c r="E16" t="s">
        <x:v>3110</x:v>
      </x:c>
      <x:c r="F16" t="s">
        <x:v>346</x:v>
      </x:c>
    </x:row>
    <x:row r="17">
      <x:c r="A17" t="s">
        <x:v>3111</x:v>
      </x:c>
      <x:c r="B17">
        <x:v>976498726</x:v>
      </x:c>
      <x:c r="C17" t="s">
        <x:v>3076</x:v>
      </x:c>
      <x:c r="D17" t="s">
        <x:v>3112</x:v>
      </x:c>
      <x:c r="E17" t="s">
        <x:v>3113</x:v>
      </x:c>
      <x:c r="F17" t="s">
        <x:v>1546</x:v>
      </x:c>
    </x:row>
    <x:row r="18">
      <x:c r="A18" t="s">
        <x:v>365</x:v>
      </x:c>
      <x:c r="B18">
        <x:v>976922608</x:v>
      </x:c>
      <x:c r="C18" t="s">
        <x:v>3076</x:v>
      </x:c>
      <x:c r="D18" t="s">
        <x:v>371</x:v>
      </x:c>
      <x:c r="E18" t="s">
        <x:v>3114</x:v>
      </x:c>
      <x:c r="F18" t="s">
        <x:v>366</x:v>
      </x:c>
    </x:row>
    <x:row r="19">
      <x:c r="A19" t="s">
        <x:v>3115</x:v>
      </x:c>
      <x:c r="B19">
        <x:v>981953525</x:v>
      </x:c>
      <x:c r="C19" t="s">
        <x:v>3076</x:v>
      </x:c>
      <x:c r="D19" t="s">
        <x:v>3116</x:v>
      </x:c>
      <x:c r="E19" t="s">
        <x:v>3117</x:v>
      </x:c>
      <x:c r="F19" t="s">
        <x:v>3087</x:v>
      </x:c>
    </x:row>
    <x:row r="20">
      <x:c r="A20" t="s">
        <x:v>412</x:v>
      </x:c>
      <x:c r="B20">
        <x:v>982673362</x:v>
      </x:c>
      <x:c r="C20" t="s">
        <x:v>3076</x:v>
      </x:c>
      <x:c r="D20" t="s">
        <x:v>417</x:v>
      </x:c>
      <x:c r="E20" t="s">
        <x:v>3118</x:v>
      </x:c>
      <x:c r="F20" t="s">
        <x:v>413</x:v>
      </x:c>
    </x:row>
    <x:row r="21">
      <x:c r="A21" t="s">
        <x:v>3119</x:v>
      </x:c>
      <x:c r="B21">
        <x:v>983338097</x:v>
      </x:c>
      <x:c r="C21" t="s">
        <x:v>3076</x:v>
      </x:c>
      <x:c r="D21" t="s">
        <x:v>3120</x:v>
      </x:c>
      <x:c r="E21" t="s">
        <x:v>3121</x:v>
      </x:c>
      <x:c r="F21" t="s">
        <x:v>631</x:v>
      </x:c>
    </x:row>
    <x:row r="22">
      <x:c r="A22" t="s">
        <x:v>3122</x:v>
      </x:c>
      <x:c r="B22">
        <x:v>985558886</x:v>
      </x:c>
      <x:c r="C22" t="s">
        <x:v>3076</x:v>
      </x:c>
      <x:c r="D22" t="s">
        <x:v>3123</x:v>
      </x:c>
      <x:c r="E22" t="s">
        <x:v>3124</x:v>
      </x:c>
      <x:c r="F22" t="s">
        <x:v>3087</x:v>
      </x:c>
    </x:row>
    <x:row r="23">
      <x:c r="A23" t="s">
        <x:v>3125</x:v>
      </x:c>
      <x:c r="B23">
        <x:v>986378324</x:v>
      </x:c>
      <x:c r="C23" t="s">
        <x:v>3076</x:v>
      </x:c>
      <x:c r="D23" t="s">
        <x:v>3126</x:v>
      </x:c>
      <x:c r="E23" t="s">
        <x:v>3127</x:v>
      </x:c>
      <x:c r="F23" t="s">
        <x:v>118</x:v>
      </x:c>
    </x:row>
    <x:row r="24">
      <x:c r="A24" t="s">
        <x:v>2048</x:v>
      </x:c>
      <x:c r="B24">
        <x:v>986661693</x:v>
      </x:c>
      <x:c r="C24" t="s">
        <x:v>3076</x:v>
      </x:c>
      <x:c r="D24" t="s">
        <x:v>2053</x:v>
      </x:c>
      <x:c r="E24" t="s">
        <x:v>3128</x:v>
      </x:c>
      <x:c r="F24" t="s">
        <x:v>2049</x:v>
      </x:c>
    </x:row>
    <x:row r="25">
      <x:c r="A25" t="s">
        <x:v>3129</x:v>
      </x:c>
      <x:c r="B25">
        <x:v>987562741</x:v>
      </x:c>
      <x:c r="C25" t="s">
        <x:v>3076</x:v>
      </x:c>
      <x:c r="D25" t="s">
        <x:v>3130</x:v>
      </x:c>
      <x:c r="E25" t="s">
        <x:v>3131</x:v>
      </x:c>
      <x:c r="F25" t="s">
        <x:v>3132</x:v>
      </x:c>
    </x:row>
    <x:row r="26">
      <x:c r="A26" t="s">
        <x:v>3133</x:v>
      </x:c>
      <x:c r="B26">
        <x:v>987566204</x:v>
      </x:c>
      <x:c r="C26" t="s">
        <x:v>3076</x:v>
      </x:c>
      <x:c r="D26" t="s">
        <x:v>3134</x:v>
      </x:c>
      <x:c r="E26" t="s">
        <x:v>3135</x:v>
      </x:c>
      <x:c r="F26" t="s">
        <x:v>3136</x:v>
      </x:c>
    </x:row>
    <x:row r="27">
      <x:c r="A27" t="s">
        <x:v>3137</x:v>
      </x:c>
      <x:c r="B27">
        <x:v>988441716</x:v>
      </x:c>
      <x:c r="C27" t="s">
        <x:v>3076</x:v>
      </x:c>
      <x:c r="D27" t="s">
        <x:v>3138</x:v>
      </x:c>
      <x:c r="E27" t="s">
        <x:v>3139</x:v>
      </x:c>
      <x:c r="F27" t="s">
        <x:v>3140</x:v>
      </x:c>
    </x:row>
    <x:row r="28">
      <x:c r="A28" t="s">
        <x:v>1545</x:v>
      </x:c>
      <x:c r="B28">
        <x:v>990080724</x:v>
      </x:c>
      <x:c r="C28" t="s">
        <x:v>3076</x:v>
      </x:c>
      <x:c r="D28" t="s">
        <x:v>1550</x:v>
      </x:c>
      <x:c r="E28" t="s">
        <x:v>3141</x:v>
      </x:c>
      <x:c r="F28" t="s">
        <x:v>1546</x:v>
      </x:c>
    </x:row>
    <x:row r="29">
      <x:c r="A29" t="s">
        <x:v>3142</x:v>
      </x:c>
      <x:c r="B29">
        <x:v>992745041</x:v>
      </x:c>
      <x:c r="C29" t="s">
        <x:v>3076</x:v>
      </x:c>
      <x:c r="D29" t="s">
        <x:v>3143</x:v>
      </x:c>
      <x:c r="E29" t="s">
        <x:v>3144</x:v>
      </x:c>
      <x:c r="F29" t="s">
        <x:v>2600</x:v>
      </x:c>
    </x:row>
    <x:row r="30">
      <x:c r="A30" t="s">
        <x:v>2502</x:v>
      </x:c>
      <x:c r="B30">
        <x:v>992789956</x:v>
      </x:c>
      <x:c r="C30" t="s">
        <x:v>3076</x:v>
      </x:c>
      <x:c r="D30" t="s">
        <x:v>2506</x:v>
      </x:c>
      <x:c r="E30" t="s">
        <x:v>3145</x:v>
      </x:c>
      <x:c r="F30" t="s">
        <x:v>1122</x:v>
      </x:c>
    </x:row>
    <x:row r="31">
      <x:c r="A31" t="s">
        <x:v>3146</x:v>
      </x:c>
      <x:c r="B31">
        <x:v>994670372</x:v>
      </x:c>
      <x:c r="C31" t="s">
        <x:v>3076</x:v>
      </x:c>
      <x:c r="D31" t="s">
        <x:v>3147</x:v>
      </x:c>
      <x:c r="E31" t="s">
        <x:v>3148</x:v>
      </x:c>
      <x:c r="F31" t="s">
        <x:v>3149</x:v>
      </x:c>
    </x:row>
    <x:row r="32">
      <x:c r="A32" t="s">
        <x:v>3150</x:v>
      </x:c>
      <x:c r="B32">
        <x:v>995552602</x:v>
      </x:c>
      <x:c r="C32" t="s">
        <x:v>3076</x:v>
      </x:c>
      <x:c r="D32" t="s">
        <x:v>3151</x:v>
      </x:c>
      <x:c r="E32" t="s">
        <x:v>3152</x:v>
      </x:c>
      <x:c r="F32" t="s">
        <x:v>366</x:v>
      </x:c>
    </x:row>
    <x:row r="33">
      <x:c r="A33" t="s">
        <x:v>3153</x:v>
      </x:c>
      <x:c r="B33">
        <x:v>996650227</x:v>
      </x:c>
      <x:c r="C33" t="s">
        <x:v>3076</x:v>
      </x:c>
      <x:c r="D33" t="s">
        <x:v>3154</x:v>
      </x:c>
      <x:c r="E33" t="s">
        <x:v>3155</x:v>
      </x:c>
      <x:c r="F33" t="s">
        <x:v>2600</x:v>
      </x:c>
    </x:row>
    <x:row r="34">
      <x:c r="A34" t="s">
        <x:v>664</x:v>
      </x:c>
      <x:c r="B34">
        <x:v>997145685</x:v>
      </x:c>
      <x:c r="C34" t="s">
        <x:v>3076</x:v>
      </x:c>
      <x:c r="D34" t="s">
        <x:v>668</x:v>
      </x:c>
      <x:c r="E34" t="s">
        <x:v>3156</x:v>
      </x:c>
      <x:c r="F34" t="s">
        <x:v>36</x:v>
      </x:c>
    </x:row>
    <x:row r="35">
      <x:c r="A35" t="s">
        <x:v>3157</x:v>
      </x:c>
      <x:c r="B35">
        <x:v>997379096</x:v>
      </x:c>
      <x:c r="C35" t="s">
        <x:v>3076</x:v>
      </x:c>
      <x:c r="D35" t="s">
        <x:v>3158</x:v>
      </x:c>
      <x:c r="E35" t="s">
        <x:v>3159</x:v>
      </x:c>
      <x:c r="F35" t="s">
        <x:v>210</x:v>
      </x:c>
    </x:row>
    <x:row r="36">
      <x:c r="A36" t="s">
        <x:v>706</x:v>
      </x:c>
      <x:c r="B36">
        <x:v>998418895</x:v>
      </x:c>
      <x:c r="C36" t="s">
        <x:v>3076</x:v>
      </x:c>
      <x:c r="D36" t="s">
        <x:v>711</x:v>
      </x:c>
      <x:c r="E36" t="s">
        <x:v>3160</x:v>
      </x:c>
      <x:c r="F36" t="s">
        <x:v>707</x:v>
      </x:c>
    </x:row>
    <x:row r="37">
      <x:c r="A37" t="s">
        <x:v>764</x:v>
      </x:c>
      <x:c r="B37">
        <x:v>969791876</x:v>
      </x:c>
      <x:c r="C37" t="s">
        <x:v>3076</x:v>
      </x:c>
      <x:c r="D37" t="s">
        <x:v>770</x:v>
      </x:c>
      <x:c r="E37" t="s">
        <x:v>3161</x:v>
      </x:c>
      <x:c r="F37" t="s">
        <x:v>210</x:v>
      </x:c>
    </x:row>
    <x:row r="38">
      <x:c r="A38" t="s">
        <x:v>137</x:v>
      </x:c>
      <x:c r="B38">
        <x:v>987407712</x:v>
      </x:c>
      <x:c r="C38" t="s">
        <x:v>3076</x:v>
      </x:c>
      <x:c r="D38" t="s">
        <x:v>142</x:v>
      </x:c>
      <x:c r="E38" t="s">
        <x:v>3162</x:v>
      </x:c>
      <x:c r="F38" t="s">
        <x:v>138</x:v>
      </x:c>
    </x:row>
    <x:row r="39">
      <x:c r="A39" t="s">
        <x:v>3163</x:v>
      </x:c>
      <x:c r="B39">
        <x:v>949001047</x:v>
      </x:c>
      <x:c r="C39" t="s">
        <x:v>3076</x:v>
      </x:c>
      <x:c r="D39" t="s">
        <x:v>3164</x:v>
      </x:c>
      <x:c r="E39" t="s">
        <x:v>3165</x:v>
      </x:c>
      <x:c r="F39" t="s">
        <x:v>1100</x:v>
      </x:c>
    </x:row>
    <x:row r="40">
      <x:c r="A40" t="s">
        <x:v>3166</x:v>
      </x:c>
      <x:c r="B40">
        <x:v>973914900</x:v>
      </x:c>
      <x:c r="C40" t="s">
        <x:v>3076</x:v>
      </x:c>
      <x:c r="D40" t="s">
        <x:v>3167</x:v>
      </x:c>
      <x:c r="E40" t="s">
        <x:v>3168</x:v>
      </x:c>
      <x:c r="F40" t="s">
        <x:v>2600</x:v>
      </x:c>
    </x:row>
    <x:row r="41">
      <x:c r="A41" t="s">
        <x:v>3169</x:v>
      </x:c>
      <x:c r="B41">
        <x:v>994671355</x:v>
      </x:c>
      <x:c r="C41" t="s">
        <x:v>3076</x:v>
      </x:c>
      <x:c r="D41" t="s">
        <x:v>3170</x:v>
      </x:c>
      <x:c r="E41" t="s">
        <x:v>3171</x:v>
      </x:c>
      <x:c r="F41" t="s">
        <x:v>210</x:v>
      </x:c>
    </x:row>
    <x:row r="42">
      <x:c r="A42" t="s">
        <x:v>3172</x:v>
      </x:c>
      <x:c r="B42">
        <x:v>997171889</x:v>
      </x:c>
      <x:c r="C42" t="s">
        <x:v>3076</x:v>
      </x:c>
      <x:c r="D42" t="s">
        <x:v>3173</x:v>
      </x:c>
      <x:c r="E42" t="s">
        <x:v>3174</x:v>
      </x:c>
      <x:c r="F42" t="s">
        <x:v>210</x:v>
      </x:c>
    </x:row>
    <x:row r="43">
      <x:c r="A43" t="s">
        <x:v>3175</x:v>
      </x:c>
      <x:c r="B43">
        <x:v>989704320</x:v>
      </x:c>
      <x:c r="C43" t="s">
        <x:v>3076</x:v>
      </x:c>
      <x:c r="D43" t="s">
        <x:v>3176</x:v>
      </x:c>
      <x:c r="F43" t="s">
        <x:v>3177</x:v>
      </x:c>
    </x:row>
    <x:row r="44">
      <x:c r="A44" t="s">
        <x:v>3178</x:v>
      </x:c>
      <x:c r="B44">
        <x:v>929966474</x:v>
      </x:c>
      <x:c r="C44" t="s">
        <x:v>3076</x:v>
      </x:c>
      <x:c r="D44" t="s">
        <x:v>3179</x:v>
      </x:c>
      <x:c r="E44" t="s">
        <x:v>3180</x:v>
      </x:c>
      <x:c r="F44" t="s">
        <x:v>2600</x:v>
      </x:c>
    </x:row>
    <x:row r="45">
      <x:c r="A45" t="s">
        <x:v>3181</x:v>
      </x:c>
      <x:c r="B45">
        <x:v>961025690</x:v>
      </x:c>
      <x:c r="C45" t="s">
        <x:v>3076</x:v>
      </x:c>
      <x:c r="D45" t="s">
        <x:v>3182</x:v>
      </x:c>
      <x:c r="E45" t="s">
        <x:v>3183</x:v>
      </x:c>
      <x:c r="F45" t="s">
        <x:v>3184</x:v>
      </x:c>
    </x:row>
    <x:row r="46">
      <x:c r="A46" t="s">
        <x:v>3185</x:v>
      </x:c>
      <x:c r="B46">
        <x:v>991056603</x:v>
      </x:c>
      <x:c r="C46" t="s">
        <x:v>3076</x:v>
      </x:c>
      <x:c r="D46" t="s">
        <x:v>3186</x:v>
      </x:c>
      <x:c r="E46" t="s">
        <x:v>3187</x:v>
      </x:c>
      <x:c r="F46" t="s">
        <x:v>1546</x:v>
      </x:c>
    </x:row>
    <x:row r="47">
      <x:c r="A47" t="s">
        <x:v>3188</x:v>
      </x:c>
      <x:c r="B47">
        <x:v>939369228</x:v>
      </x:c>
      <x:c r="C47" t="s">
        <x:v>3076</x:v>
      </x:c>
      <x:c r="D47" t="s">
        <x:v>3189</x:v>
      </x:c>
      <x:c r="E47" t="s">
        <x:v>3190</x:v>
      </x:c>
      <x:c r="F47" t="s">
        <x:v>98</x:v>
      </x:c>
    </x:row>
    <x:row r="48">
      <x:c r="A48" t="s">
        <x:v>3191</x:v>
      </x:c>
      <x:c r="B48">
        <x:v>982192071</x:v>
      </x:c>
      <x:c r="C48" t="s">
        <x:v>3076</x:v>
      </x:c>
      <x:c r="D48" t="s">
        <x:v>3192</x:v>
      </x:c>
      <x:c r="E48" t="s">
        <x:v>3193</x:v>
      </x:c>
      <x:c r="F48" t="s">
        <x:v>2049</x:v>
      </x:c>
    </x:row>
    <x:row r="49">
      <x:c r="A49" t="s">
        <x:v>3194</x:v>
      </x:c>
      <x:c r="B49">
        <x:v>940248463</x:v>
      </x:c>
      <x:c r="C49" t="s">
        <x:v>3076</x:v>
      </x:c>
      <x:c r="D49" t="s">
        <x:v>3195</x:v>
      </x:c>
      <x:c r="E49" t="s">
        <x:v>3196</x:v>
      </x:c>
      <x:c r="F49" t="s">
        <x:v>631</x:v>
      </x:c>
    </x:row>
    <x:row r="50">
      <x:c r="A50" t="s">
        <x:v>3197</x:v>
      </x:c>
      <x:c r="B50">
        <x:v>972627309</x:v>
      </x:c>
      <x:c r="C50" t="s">
        <x:v>3076</x:v>
      </x:c>
      <x:c r="D50" t="s">
        <x:v>3198</x:v>
      </x:c>
      <x:c r="E50" t="s">
        <x:v>3199</x:v>
      </x:c>
      <x:c r="F50" t="s">
        <x:v>3200</x:v>
      </x:c>
    </x:row>
    <x:row r="51">
      <x:c r="A51" t="s">
        <x:v>3201</x:v>
      </x:c>
      <x:c r="B51">
        <x:v>999088459</x:v>
      </x:c>
      <x:c r="C51" t="s">
        <x:v>3076</x:v>
      </x:c>
      <x:c r="D51" t="s">
        <x:v>3202</x:v>
      </x:c>
      <x:c r="E51" t="s">
        <x:v>3203</x:v>
      </x:c>
      <x:c r="F51" t="s">
        <x:v>210</x:v>
      </x:c>
    </x:row>
    <x:row r="52">
      <x:c r="A52" t="s">
        <x:v>3204</x:v>
      </x:c>
      <x:c r="B52">
        <x:v>926323940</x:v>
      </x:c>
      <x:c r="C52" t="s">
        <x:v>3205</x:v>
      </x:c>
      <x:c r="D52" t="s">
        <x:v>3206</x:v>
      </x:c>
      <x:c r="E52" t="s">
        <x:v>3207</x:v>
      </x:c>
      <x:c r="F52" t="s">
        <x:v>3208</x:v>
      </x:c>
    </x:row>
    <x:row r="53">
      <x:c r="A53" t="s">
        <x:v>3209</x:v>
      </x:c>
      <x:c r="B53">
        <x:v>931781027</x:v>
      </x:c>
      <x:c r="C53" t="s">
        <x:v>3205</x:v>
      </x:c>
      <x:c r="D53" t="s">
        <x:v>3210</x:v>
      </x:c>
      <x:c r="E53" t="s">
        <x:v>3211</x:v>
      </x:c>
      <x:c r="F53" t="s">
        <x:v>1427</x:v>
      </x:c>
    </x:row>
    <x:row r="54">
      <x:c r="A54" t="s">
        <x:v>3212</x:v>
      </x:c>
      <x:c r="B54">
        <x:v>941044046</x:v>
      </x:c>
      <x:c r="C54" t="s">
        <x:v>3205</x:v>
      </x:c>
      <x:c r="D54" t="s">
        <x:v>3213</x:v>
      </x:c>
      <x:c r="E54" t="s">
        <x:v>3214</x:v>
      </x:c>
      <x:c r="F54" t="s">
        <x:v>210</x:v>
      </x:c>
    </x:row>
    <x:row r="55">
      <x:c r="A55" t="s">
        <x:v>3215</x:v>
      </x:c>
      <x:c r="B55">
        <x:v>941411075</x:v>
      </x:c>
      <x:c r="C55" t="s">
        <x:v>3205</x:v>
      </x:c>
      <x:c r="D55" t="s">
        <x:v>3216</x:v>
      </x:c>
      <x:c r="E55" t="s">
        <x:v>3217</x:v>
      </x:c>
      <x:c r="F55" t="s">
        <x:v>2600</x:v>
      </x:c>
    </x:row>
    <x:row r="56">
      <x:c r="A56" t="s">
        <x:v>3218</x:v>
      </x:c>
      <x:c r="B56">
        <x:v>942457955</x:v>
      </x:c>
      <x:c r="C56" t="s">
        <x:v>3205</x:v>
      </x:c>
      <x:c r="D56" t="s">
        <x:v>3219</x:v>
      </x:c>
      <x:c r="E56" t="s">
        <x:v>3220</x:v>
      </x:c>
    </x:row>
    <x:row r="57">
      <x:c r="A57" t="s">
        <x:v>3221</x:v>
      </x:c>
      <x:c r="B57">
        <x:v>943196346</x:v>
      </x:c>
      <x:c r="C57" t="s">
        <x:v>3205</x:v>
      </x:c>
      <x:c r="D57" t="s">
        <x:v>3222</x:v>
      </x:c>
      <x:c r="E57" t="s">
        <x:v>3223</x:v>
      </x:c>
      <x:c r="F57" t="s">
        <x:v>346</x:v>
      </x:c>
    </x:row>
    <x:row r="58">
      <x:c r="A58" t="s">
        <x:v>3224</x:v>
      </x:c>
      <x:c r="B58">
        <x:v>945127415</x:v>
      </x:c>
      <x:c r="C58" t="s">
        <x:v>3205</x:v>
      </x:c>
      <x:c r="D58" t="s">
        <x:v>3225</x:v>
      </x:c>
      <x:c r="E58" t="s">
        <x:v>3226</x:v>
      </x:c>
      <x:c r="F58" t="s">
        <x:v>36</x:v>
      </x:c>
    </x:row>
    <x:row r="59">
      <x:c r="A59" t="s">
        <x:v>1056</x:v>
      </x:c>
      <x:c r="B59">
        <x:v>947054605</x:v>
      </x:c>
      <x:c r="C59" t="s">
        <x:v>3205</x:v>
      </x:c>
      <x:c r="D59" t="s">
        <x:v>1060</x:v>
      </x:c>
      <x:c r="E59" t="s">
        <x:v>3227</x:v>
      </x:c>
      <x:c r="F59" t="s">
        <x:v>263</x:v>
      </x:c>
    </x:row>
    <x:row r="60">
      <x:c r="A60" t="s">
        <x:v>2599</x:v>
      </x:c>
      <x:c r="B60">
        <x:v>949900695</x:v>
      </x:c>
      <x:c r="C60" t="s">
        <x:v>3205</x:v>
      </x:c>
      <x:c r="D60" t="s">
        <x:v>2604</x:v>
      </x:c>
      <x:c r="E60" t="s">
        <x:v>3228</x:v>
      </x:c>
      <x:c r="F60" t="s">
        <x:v>2600</x:v>
      </x:c>
    </x:row>
    <x:row r="61">
      <x:c r="A61" t="s">
        <x:v>274</x:v>
      </x:c>
      <x:c r="B61">
        <x:v>950133748</x:v>
      </x:c>
      <x:c r="C61" t="s">
        <x:v>3205</x:v>
      </x:c>
      <x:c r="D61" t="s">
        <x:v>280</x:v>
      </x:c>
      <x:c r="E61" t="s">
        <x:v>3229</x:v>
      </x:c>
      <x:c r="F61" t="s">
        <x:v>275</x:v>
      </x:c>
    </x:row>
    <x:row r="62">
      <x:c r="A62" t="s">
        <x:v>3230</x:v>
      </x:c>
      <x:c r="B62">
        <x:v>954714715</x:v>
      </x:c>
      <x:c r="C62" t="s">
        <x:v>3205</x:v>
      </x:c>
      <x:c r="D62" t="s">
        <x:v>3231</x:v>
      </x:c>
      <x:c r="E62" t="s">
        <x:v>3232</x:v>
      </x:c>
      <x:c r="F62" t="s">
        <x:v>3233</x:v>
      </x:c>
    </x:row>
    <x:row r="63">
      <x:c r="A63" t="s">
        <x:v>3234</x:v>
      </x:c>
      <x:c r="B63">
        <x:v>955787986</x:v>
      </x:c>
      <x:c r="C63" t="s">
        <x:v>3205</x:v>
      </x:c>
      <x:c r="D63" t="s">
        <x:v>3235</x:v>
      </x:c>
      <x:c r="E63" t="s">
        <x:v>3236</x:v>
      </x:c>
      <x:c r="F63" t="s">
        <x:v>3237</x:v>
      </x:c>
    </x:row>
    <x:row r="64">
      <x:c r="A64" t="s">
        <x:v>3238</x:v>
      </x:c>
      <x:c r="B64">
        <x:v>962358230</x:v>
      </x:c>
      <x:c r="C64" t="s">
        <x:v>3205</x:v>
      </x:c>
      <x:c r="D64" t="s">
        <x:v>3239</x:v>
      </x:c>
      <x:c r="E64" t="s">
        <x:v>3240</x:v>
      </x:c>
      <x:c r="F64" t="s">
        <x:v>2996</x:v>
      </x:c>
    </x:row>
    <x:row r="65">
      <x:c r="A65" t="s">
        <x:v>97</x:v>
      </x:c>
      <x:c r="B65">
        <x:v>964328569</x:v>
      </x:c>
      <x:c r="C65" t="s">
        <x:v>3205</x:v>
      </x:c>
      <x:c r="D65" t="s">
        <x:v>103</x:v>
      </x:c>
      <x:c r="E65" t="s">
        <x:v>3241</x:v>
      </x:c>
      <x:c r="F65" t="s">
        <x:v>98</x:v>
      </x:c>
    </x:row>
    <x:row r="66">
      <x:c r="A66" t="s">
        <x:v>3242</x:v>
      </x:c>
      <x:c r="B66">
        <x:v>975712892</x:v>
      </x:c>
      <x:c r="C66" t="s">
        <x:v>3205</x:v>
      </x:c>
      <x:c r="D66" t="s">
        <x:v>3243</x:v>
      </x:c>
      <x:c r="E66" t="s">
        <x:v>3244</x:v>
      </x:c>
      <x:c r="F66" t="s">
        <x:v>2600</x:v>
      </x:c>
    </x:row>
    <x:row r="67">
      <x:c r="A67" t="s">
        <x:v>262</x:v>
      </x:c>
      <x:c r="B67">
        <x:v>981214114</x:v>
      </x:c>
      <x:c r="C67" t="s">
        <x:v>3205</x:v>
      </x:c>
      <x:c r="D67" t="s">
        <x:v>267</x:v>
      </x:c>
      <x:c r="E67" t="s">
        <x:v>3245</x:v>
      </x:c>
      <x:c r="F67" t="s">
        <x:v>263</x:v>
      </x:c>
    </x:row>
    <x:row r="68">
      <x:c r="A68" t="s">
        <x:v>2442</x:v>
      </x:c>
      <x:c r="B68">
        <x:v>987407109</x:v>
      </x:c>
      <x:c r="C68" t="s">
        <x:v>3205</x:v>
      </x:c>
      <x:c r="D68" t="s">
        <x:v>2446</x:v>
      </x:c>
      <x:c r="E68" t="s">
        <x:v>3246</x:v>
      </x:c>
      <x:c r="F68" t="s">
        <x:v>263</x:v>
      </x:c>
    </x:row>
    <x:row r="69">
      <x:c r="A69" t="s">
        <x:v>2723</x:v>
      </x:c>
      <x:c r="B69">
        <x:v>987407712</x:v>
      </x:c>
      <x:c r="C69" t="s">
        <x:v>3205</x:v>
      </x:c>
      <x:c r="D69" t="s">
        <x:v>2727</x:v>
      </x:c>
      <x:c r="E69" t="s">
        <x:v>3247</x:v>
      </x:c>
    </x:row>
    <x:row r="70">
      <x:c r="A70" t="s">
        <x:v>3248</x:v>
      </x:c>
      <x:c r="B70">
        <x:v>987537470</x:v>
      </x:c>
      <x:c r="C70" t="s">
        <x:v>3205</x:v>
      </x:c>
      <x:c r="D70" t="s">
        <x:v>3249</x:v>
      </x:c>
      <x:c r="E70" t="s">
        <x:v>3250</x:v>
      </x:c>
      <x:c r="F70" t="s">
        <x:v>2600</x:v>
      </x:c>
    </x:row>
    <x:row r="71">
      <x:c r="A71" t="s">
        <x:v>3251</x:v>
      </x:c>
      <x:c r="B71">
        <x:v>989688510</x:v>
      </x:c>
      <x:c r="C71" t="s">
        <x:v>3205</x:v>
      </x:c>
      <x:c r="D71" t="s">
        <x:v>3252</x:v>
      </x:c>
      <x:c r="E71" t="s">
        <x:v>3253</x:v>
      </x:c>
      <x:c r="F71" t="s">
        <x:v>3254</x:v>
      </x:c>
    </x:row>
    <x:row r="72">
      <x:c r="A72" t="s">
        <x:v>3255</x:v>
      </x:c>
      <x:c r="B72">
        <x:v>990246916</x:v>
      </x:c>
      <x:c r="C72" t="s">
        <x:v>3205</x:v>
      </x:c>
      <x:c r="D72" t="s">
        <x:v>3256</x:v>
      </x:c>
      <x:c r="E72" t="s">
        <x:v>3257</x:v>
      </x:c>
      <x:c r="F72" t="s">
        <x:v>210</x:v>
      </x:c>
    </x:row>
    <x:row r="73">
      <x:c r="A73" t="s">
        <x:v>3258</x:v>
      </x:c>
      <x:c r="B73">
        <x:v>992482115</x:v>
      </x:c>
      <x:c r="C73" t="s">
        <x:v>3205</x:v>
      </x:c>
      <x:c r="D73" t="s">
        <x:v>3259</x:v>
      </x:c>
      <x:c r="E73" t="s">
        <x:v>3260</x:v>
      </x:c>
      <x:c r="F73" t="s">
        <x:v>1427</x:v>
      </x:c>
    </x:row>
    <x:row r="74">
      <x:c r="A74" t="s">
        <x:v>3261</x:v>
      </x:c>
      <x:c r="B74">
        <x:v>992736060</x:v>
      </x:c>
      <x:c r="C74" t="s">
        <x:v>3205</x:v>
      </x:c>
      <x:c r="D74" t="s">
        <x:v>3262</x:v>
      </x:c>
      <x:c r="E74" t="s">
        <x:v>3263</x:v>
      </x:c>
      <x:c r="F74" t="s">
        <x:v>1100</x:v>
      </x:c>
    </x:row>
    <x:row r="75">
      <x:c r="A75" t="s">
        <x:v>435</x:v>
      </x:c>
      <x:c r="B75">
        <x:v>992903716</x:v>
      </x:c>
      <x:c r="C75" t="s">
        <x:v>3205</x:v>
      </x:c>
      <x:c r="D75" t="s">
        <x:v>440</x:v>
      </x:c>
      <x:c r="E75" t="s">
        <x:v>3264</x:v>
      </x:c>
      <x:c r="F75" t="s">
        <x:v>436</x:v>
      </x:c>
    </x:row>
    <x:row r="76">
      <x:c r="A76" t="s">
        <x:v>3265</x:v>
      </x:c>
      <x:c r="B76">
        <x:v>993397164</x:v>
      </x:c>
      <x:c r="C76" t="s">
        <x:v>3205</x:v>
      </x:c>
      <x:c r="D76" t="s">
        <x:v>3266</x:v>
      </x:c>
      <x:c r="E76" t="s">
        <x:v>3267</x:v>
      </x:c>
      <x:c r="F76" t="s">
        <x:v>631</x:v>
      </x:c>
    </x:row>
    <x:row r="77">
      <x:c r="A77" t="s">
        <x:v>1121</x:v>
      </x:c>
      <x:c r="B77">
        <x:v>993540760</x:v>
      </x:c>
      <x:c r="C77" t="s">
        <x:v>3205</x:v>
      </x:c>
      <x:c r="D77" t="s">
        <x:v>1126</x:v>
      </x:c>
      <x:c r="E77" t="s">
        <x:v>3268</x:v>
      </x:c>
      <x:c r="F77" t="s">
        <x:v>1122</x:v>
      </x:c>
    </x:row>
    <x:row r="78">
      <x:c r="A78" t="s">
        <x:v>3269</x:v>
      </x:c>
      <x:c r="B78">
        <x:v>995175656</x:v>
      </x:c>
      <x:c r="C78" t="s">
        <x:v>3205</x:v>
      </x:c>
      <x:c r="D78" t="s">
        <x:v>3270</x:v>
      </x:c>
      <x:c r="E78" t="s">
        <x:v>3271</x:v>
      </x:c>
      <x:c r="F78" t="s">
        <x:v>1546</x:v>
      </x:c>
    </x:row>
    <x:row r="79">
      <x:c r="A79" t="s">
        <x:v>1145</x:v>
      </x:c>
      <x:c r="B79">
        <x:v>995833213</x:v>
      </x:c>
      <x:c r="C79" t="s">
        <x:v>3205</x:v>
      </x:c>
      <x:c r="D79" t="s">
        <x:v>1149</x:v>
      </x:c>
      <x:c r="E79" t="s">
        <x:v>3272</x:v>
      </x:c>
      <x:c r="F79" t="s">
        <x:v>366</x:v>
      </x:c>
    </x:row>
    <x:row r="80">
      <x:c r="A80" t="s">
        <x:v>1155</x:v>
      </x:c>
      <x:c r="B80">
        <x:v>995868651</x:v>
      </x:c>
      <x:c r="C80" t="s">
        <x:v>3205</x:v>
      </x:c>
      <x:c r="D80" t="s">
        <x:v>1160</x:v>
      </x:c>
      <x:c r="E80" t="s">
        <x:v>3273</x:v>
      </x:c>
      <x:c r="F80" t="s">
        <x:v>1156</x:v>
      </x:c>
    </x:row>
    <x:row r="81">
      <x:c r="A81" t="s">
        <x:v>3274</x:v>
      </x:c>
      <x:c r="B81">
        <x:v>997581972</x:v>
      </x:c>
      <x:c r="C81" t="s">
        <x:v>3205</x:v>
      </x:c>
      <x:c r="D81" t="s">
        <x:v>3275</x:v>
      </x:c>
      <x:c r="E81" t="s">
        <x:v>3276</x:v>
      </x:c>
      <x:c r="F81" t="s">
        <x:v>2600</x:v>
      </x:c>
    </x:row>
    <x:row r="82">
      <x:c r="A82" t="s">
        <x:v>3277</x:v>
      </x:c>
      <x:c r="B82">
        <x:v>998765762</x:v>
      </x:c>
      <x:c r="C82" t="s">
        <x:v>3205</x:v>
      </x:c>
      <x:c r="D82" t="s">
        <x:v>3278</x:v>
      </x:c>
      <x:c r="E82" t="s">
        <x:v>3279</x:v>
      </x:c>
      <x:c r="F82" t="s">
        <x:v>36</x:v>
      </x:c>
    </x:row>
    <x:row r="83">
      <x:c r="A83" t="s">
        <x:v>3280</x:v>
      </x:c>
      <x:c r="B83">
        <x:v>998907299</x:v>
      </x:c>
      <x:c r="C83" t="s">
        <x:v>3205</x:v>
      </x:c>
      <x:c r="D83" t="s">
        <x:v>3281</x:v>
      </x:c>
      <x:c r="E83" t="s">
        <x:v>3282</x:v>
      </x:c>
      <x:c r="F83" t="s">
        <x:v>1427</x:v>
      </x:c>
    </x:row>
    <x:row r="84">
      <x:c r="A84" t="s">
        <x:v>3283</x:v>
      </x:c>
      <x:c r="B84">
        <x:v>999603409</x:v>
      </x:c>
      <x:c r="C84" t="s">
        <x:v>3205</x:v>
      </x:c>
      <x:c r="D84" t="s">
        <x:v>3284</x:v>
      </x:c>
      <x:c r="E84" t="s">
        <x:v>3285</x:v>
      </x:c>
      <x:c r="F84" t="s">
        <x:v>3184</x:v>
      </x:c>
    </x:row>
    <x:row r="85">
      <x:c r="A85" t="s">
        <x:v>3286</x:v>
      </x:c>
      <x:c r="B85">
        <x:v>999658759</x:v>
      </x:c>
      <x:c r="C85" t="s">
        <x:v>3205</x:v>
      </x:c>
      <x:c r="D85" t="s">
        <x:v>3287</x:v>
      </x:c>
      <x:c r="E85" t="s">
        <x:v>3288</x:v>
      </x:c>
      <x:c r="F85" t="s">
        <x:v>36</x:v>
      </x:c>
    </x:row>
    <x:row r="86">
      <x:c r="A86" t="s">
        <x:v>1843</x:v>
      </x:c>
      <x:c r="B86">
        <x:v>999700200</x:v>
      </x:c>
      <x:c r="C86" t="s">
        <x:v>3205</x:v>
      </x:c>
      <x:c r="D86" t="s">
        <x:v>1846</x:v>
      </x:c>
      <x:c r="E86" t="s">
        <x:v>3289</x:v>
      </x:c>
      <x:c r="F86" t="s">
        <x:v>263</x:v>
      </x:c>
    </x:row>
    <x:row r="87">
      <x:c r="A87" t="s">
        <x:v>1075</x:v>
      </x:c>
      <x:c r="B87">
        <x:v>999986041</x:v>
      </x:c>
      <x:c r="C87" t="s">
        <x:v>3205</x:v>
      </x:c>
      <x:c r="D87" t="s">
        <x:v>1079</x:v>
      </x:c>
      <x:c r="E87" t="s">
        <x:v>3290</x:v>
      </x:c>
      <x:c r="F87" t="s">
        <x:v>98</x:v>
      </x:c>
    </x:row>
    <x:row r="88">
      <x:c r="A88" t="s">
        <x:v>3291</x:v>
      </x:c>
      <x:c r="B88">
        <x:v>942851351</x:v>
      </x:c>
      <x:c r="C88" t="s">
        <x:v>3205</x:v>
      </x:c>
      <x:c r="D88" t="s">
        <x:v>3292</x:v>
      </x:c>
      <x:c r="E88" t="s">
        <x:v>3293</x:v>
      </x:c>
      <x:c r="F88" t="s">
        <x:v>98</x:v>
      </x:c>
    </x:row>
    <x:row r="89">
      <x:c r="A89" t="s">
        <x:v>3294</x:v>
      </x:c>
      <x:c r="B89">
        <x:v>956417521</x:v>
      </x:c>
      <x:c r="C89" t="s">
        <x:v>3205</x:v>
      </x:c>
      <x:c r="D89" t="s">
        <x:v>3295</x:v>
      </x:c>
      <x:c r="E89" t="s">
        <x:v>3296</x:v>
      </x:c>
      <x:c r="F89" t="s">
        <x:v>2600</x:v>
      </x:c>
    </x:row>
    <x:row r="90">
      <x:c r="A90" t="s">
        <x:v>3297</x:v>
      </x:c>
      <x:c r="B90">
        <x:v>990041876</x:v>
      </x:c>
      <x:c r="C90" t="s">
        <x:v>3205</x:v>
      </x:c>
      <x:c r="D90" t="s">
        <x:v>3298</x:v>
      </x:c>
      <x:c r="E90" t="s">
        <x:v>3299</x:v>
      </x:c>
      <x:c r="F90" t="s">
        <x:v>210</x:v>
      </x:c>
    </x:row>
    <x:row r="91">
      <x:c r="A91" t="s">
        <x:v>3300</x:v>
      </x:c>
      <x:c r="B91">
        <x:v>979023076</x:v>
      </x:c>
      <x:c r="C91" t="s">
        <x:v>3205</x:v>
      </x:c>
      <x:c r="D91" t="s">
        <x:v>3301</x:v>
      </x:c>
      <x:c r="E91" t="s">
        <x:v>3302</x:v>
      </x:c>
      <x:c r="F91" t="s">
        <x:v>3303</x:v>
      </x:c>
    </x:row>
    <x:row r="92">
      <x:c r="A92" t="s">
        <x:v>3304</x:v>
      </x:c>
      <x:c r="B92">
        <x:v>999366923</x:v>
      </x:c>
      <x:c r="C92" t="s">
        <x:v>3205</x:v>
      </x:c>
      <x:c r="D92" t="s">
        <x:v>3305</x:v>
      </x:c>
      <x:c r="E92" t="s">
        <x:v>3306</x:v>
      </x:c>
      <x:c r="F92" t="s">
        <x:v>346</x:v>
      </x:c>
    </x:row>
    <x:row r="93">
      <x:c r="A93" t="s">
        <x:v>3307</x:v>
      </x:c>
      <x:c r="B93">
        <x:v>992746547</x:v>
      </x:c>
      <x:c r="C93" t="s">
        <x:v>3205</x:v>
      </x:c>
      <x:c r="D93" t="s">
        <x:v>3308</x:v>
      </x:c>
      <x:c r="E93" t="s">
        <x:v>3309</x:v>
      </x:c>
      <x:c r="F93" t="s">
        <x:v>1167</x:v>
      </x:c>
    </x:row>
    <x:row r="94">
      <x:c r="A94" t="s">
        <x:v>3310</x:v>
      </x:c>
      <x:c r="B94">
        <x:v>991552927</x:v>
      </x:c>
      <x:c r="C94" t="s">
        <x:v>3205</x:v>
      </x:c>
      <x:c r="D94" t="s">
        <x:v>3311</x:v>
      </x:c>
      <x:c r="E94" t="s">
        <x:v>3312</x:v>
      </x:c>
      <x:c r="F94" t="s">
        <x:v>1100</x:v>
      </x:c>
    </x:row>
    <x:row r="95">
      <x:c r="A95" t="s">
        <x:v>3313</x:v>
      </x:c>
      <x:c r="B95">
        <x:v>943888820</x:v>
      </x:c>
      <x:c r="C95" t="s">
        <x:v>3205</x:v>
      </x:c>
      <x:c r="D95" t="s">
        <x:v>3314</x:v>
      </x:c>
      <x:c r="E95" t="s">
        <x:v>3315</x:v>
      </x:c>
      <x:c r="F95" t="s">
        <x:v>1100</x:v>
      </x:c>
    </x:row>
    <x:row r="96">
      <x:c r="A96" t="s">
        <x:v>1599</x:v>
      </x:c>
      <x:c r="B96">
        <x:v>980543337</x:v>
      </x:c>
      <x:c r="C96" t="s">
        <x:v>3205</x:v>
      </x:c>
      <x:c r="D96" t="s">
        <x:v>1604</x:v>
      </x:c>
      <x:c r="E96" t="s">
        <x:v>3316</x:v>
      </x:c>
      <x:c r="F96" t="s">
        <x:v>1600</x:v>
      </x:c>
    </x:row>
    <x:row r="97">
      <x:c r="A97" t="s">
        <x:v>117</x:v>
      </x:c>
      <x:c r="B97">
        <x:v>945319366</x:v>
      </x:c>
      <x:c r="C97" t="s">
        <x:v>3205</x:v>
      </x:c>
      <x:c r="D97" t="s">
        <x:v>122</x:v>
      </x:c>
      <x:c r="E97" t="s">
        <x:v>3317</x:v>
      </x:c>
      <x:c r="F97" t="s">
        <x:v>118</x:v>
      </x:c>
    </x:row>
    <x:row r="98">
      <x:c r="A98" t="s">
        <x:v>3318</x:v>
      </x:c>
      <x:c r="B98">
        <x:v>949080267</x:v>
      </x:c>
      <x:c r="C98" t="s">
        <x:v>3205</x:v>
      </x:c>
      <x:c r="D98" t="s">
        <x:v>3319</x:v>
      </x:c>
      <x:c r="E98" t="s">
        <x:v>3320</x:v>
      </x:c>
      <x:c r="F98" t="s">
        <x:v>3321</x:v>
      </x:c>
    </x:row>
    <x:row r="99">
      <x:c r="A99" t="s">
        <x:v>1234</x:v>
      </x:c>
      <x:c r="C99" t="s">
        <x:v>3205</x:v>
      </x:c>
      <x:c r="D99" t="s">
        <x:v>1238</x:v>
      </x:c>
      <x:c r="E99" t="s">
        <x:v>3322</x:v>
      </x:c>
    </x:row>
    <x:row r="100">
      <x:c r="A100" t="s">
        <x:v>3323</x:v>
      </x:c>
      <x:c r="B100">
        <x:v>994872106</x:v>
      </x:c>
      <x:c r="C100" t="s">
        <x:v>3205</x:v>
      </x:c>
      <x:c r="D100" t="s">
        <x:v>1256</x:v>
      </x:c>
      <x:c r="E100" t="s">
        <x:v>3324</x:v>
      </x:c>
      <x:c r="F100" t="s">
        <x:v>210</x:v>
      </x:c>
    </x:row>
    <x:row r="101">
      <x:c r="A101" t="s">
        <x:v>3325</x:v>
      </x:c>
      <x:c r="B101">
        <x:v>981329298</x:v>
      </x:c>
      <x:c r="C101" t="s">
        <x:v>3205</x:v>
      </x:c>
      <x:c r="D101" t="s">
        <x:v>3326</x:v>
      </x:c>
      <x:c r="E101" t="s">
        <x:v>3327</x:v>
      </x:c>
      <x:c r="F101" t="s">
        <x:v>3328</x:v>
      </x:c>
    </x:row>
    <x:row r="102">
      <x:c r="A102" t="s">
        <x:v>3329</x:v>
      </x:c>
      <x:c r="B102">
        <x:v>986276525</x:v>
      </x:c>
      <x:c r="C102" t="s">
        <x:v>3205</x:v>
      </x:c>
      <x:c r="D102" t="s">
        <x:v>3330</x:v>
      </x:c>
      <x:c r="E102" t="s">
        <x:v>3331</x:v>
      </x:c>
      <x:c r="F102" t="s">
        <x:v>3332</x:v>
      </x:c>
    </x:row>
    <x:row r="103">
      <x:c r="A103" t="s">
        <x:v>3333</x:v>
      </x:c>
      <x:c r="B103">
        <x:v>999375924</x:v>
      </x:c>
      <x:c r="C103" t="s">
        <x:v>3205</x:v>
      </x:c>
      <x:c r="D103" t="s">
        <x:v>3334</x:v>
      </x:c>
      <x:c r="E103" t="s">
        <x:v>3335</x:v>
      </x:c>
      <x:c r="F103" t="s">
        <x:v>3336</x:v>
      </x:c>
    </x:row>
    <x:row r="104">
      <x:c r="A104" t="s">
        <x:v>3337</x:v>
      </x:c>
      <x:c r="B104">
        <x:v>929861879</x:v>
      </x:c>
      <x:c r="C104" t="s">
        <x:v>3205</x:v>
      </x:c>
      <x:c r="D104" t="s">
        <x:v>3338</x:v>
      </x:c>
      <x:c r="E104" t="s">
        <x:v>3339</x:v>
      </x:c>
      <x:c r="F104" t="s">
        <x:v>1100</x:v>
      </x:c>
    </x:row>
    <x:row r="105">
      <x:c r="A105" t="s">
        <x:v>1284</x:v>
      </x:c>
      <x:c r="B105">
        <x:v>983837511</x:v>
      </x:c>
      <x:c r="C105" t="s">
        <x:v>3205</x:v>
      </x:c>
      <x:c r="D105" t="s">
        <x:v>1289</x:v>
      </x:c>
      <x:c r="E105" t="s">
        <x:v>3340</x:v>
      </x:c>
      <x:c r="F105" t="s">
        <x:v>1100</x:v>
      </x:c>
    </x:row>
    <x:row r="106">
      <x:c r="A106" t="s">
        <x:v>3341</x:v>
      </x:c>
      <x:c r="B106">
        <x:v>907151482</x:v>
      </x:c>
      <x:c r="C106" t="s">
        <x:v>3205</x:v>
      </x:c>
      <x:c r="D106" t="s">
        <x:v>3342</x:v>
      </x:c>
      <x:c r="E106" t="s">
        <x:v>3343</x:v>
      </x:c>
      <x:c r="F106" t="s">
        <x:v>631</x:v>
      </x:c>
    </x:row>
    <x:row r="107">
      <x:c r="A107" t="s">
        <x:v>1223</x:v>
      </x:c>
      <x:c r="B107">
        <x:v>986089286</x:v>
      </x:c>
      <x:c r="C107" t="s">
        <x:v>3205</x:v>
      </x:c>
      <x:c r="D107" t="s">
        <x:v>1228</x:v>
      </x:c>
      <x:c r="E107" t="s">
        <x:v>3344</x:v>
      </x:c>
      <x:c r="F107" t="s">
        <x:v>1224</x:v>
      </x:c>
    </x:row>
    <x:row r="108">
      <x:c r="A108" t="s">
        <x:v>3345</x:v>
      </x:c>
      <x:c r="B108">
        <x:v>976141343</x:v>
      </x:c>
      <x:c r="C108" t="s">
        <x:v>3205</x:v>
      </x:c>
      <x:c r="D108" t="s">
        <x:v>3319</x:v>
      </x:c>
      <x:c r="E108" t="s">
        <x:v>3346</x:v>
      </x:c>
      <x:c r="F108" t="s">
        <x:v>118</x:v>
      </x:c>
    </x:row>
    <x:row r="109">
      <x:c r="A109" t="s">
        <x:v>630</x:v>
      </x:c>
      <x:c r="B109">
        <x:v>978789268</x:v>
      </x:c>
      <x:c r="C109" t="s">
        <x:v>3205</x:v>
      </x:c>
      <x:c r="D109" t="s">
        <x:v>635</x:v>
      </x:c>
      <x:c r="E109" t="s">
        <x:v>3347</x:v>
      </x:c>
      <x:c r="F109" t="s">
        <x:v>631</x:v>
      </x:c>
    </x:row>
    <x:row r="110">
      <x:c r="A110" t="s">
        <x:v>3348</x:v>
      </x:c>
      <x:c r="B110">
        <x:v>940468354</x:v>
      </x:c>
      <x:c r="C110" t="s">
        <x:v>3349</x:v>
      </x:c>
      <x:c r="D110" t="s">
        <x:v>3350</x:v>
      </x:c>
      <x:c r="E110" t="s">
        <x:v>3351</x:v>
      </x:c>
      <x:c r="F110" t="s">
        <x:v>346</x:v>
      </x:c>
    </x:row>
    <x:row r="111">
      <x:c r="A111" t="s">
        <x:v>3352</x:v>
      </x:c>
      <x:c r="B111">
        <x:v>948328025</x:v>
      </x:c>
      <x:c r="C111" t="s">
        <x:v>3349</x:v>
      </x:c>
      <x:c r="D111" t="s">
        <x:v>3353</x:v>
      </x:c>
      <x:c r="E111" t="s">
        <x:v>3354</x:v>
      </x:c>
      <x:c r="F111" t="s">
        <x:v>2600</x:v>
      </x:c>
    </x:row>
    <x:row r="112">
      <x:c r="A112" t="s">
        <x:v>3352</x:v>
      </x:c>
      <x:c r="B112">
        <x:v>948328025</x:v>
      </x:c>
      <x:c r="C112" t="s">
        <x:v>3349</x:v>
      </x:c>
      <x:c r="D112" t="s">
        <x:v>3353</x:v>
      </x:c>
      <x:c r="E112" t="s">
        <x:v>3354</x:v>
      </x:c>
      <x:c r="F112" t="s">
        <x:v>2600</x:v>
      </x:c>
    </x:row>
    <x:row r="113">
      <x:c r="A113" t="s">
        <x:v>717</x:v>
      </x:c>
      <x:c r="B113">
        <x:v>955356636</x:v>
      </x:c>
      <x:c r="C113" t="s">
        <x:v>3349</x:v>
      </x:c>
      <x:c r="D113" t="s">
        <x:v>722</x:v>
      </x:c>
      <x:c r="E113" t="s">
        <x:v>3355</x:v>
      </x:c>
      <x:c r="F113" t="s">
        <x:v>718</x:v>
      </x:c>
    </x:row>
    <x:row r="114">
      <x:c r="A114" t="s">
        <x:v>3356</x:v>
      </x:c>
      <x:c r="B114">
        <x:v>955610178</x:v>
      </x:c>
      <x:c r="C114" t="s">
        <x:v>3349</x:v>
      </x:c>
      <x:c r="D114" t="s">
        <x:v>3357</x:v>
      </x:c>
      <x:c r="E114" t="s">
        <x:v>3358</x:v>
      </x:c>
      <x:c r="F114" t="s">
        <x:v>346</x:v>
      </x:c>
    </x:row>
    <x:row r="115">
      <x:c r="A115" t="s">
        <x:v>3359</x:v>
      </x:c>
      <x:c r="B115">
        <x:v>959757664</x:v>
      </x:c>
      <x:c r="C115" t="s">
        <x:v>3349</x:v>
      </x:c>
      <x:c r="D115" t="s">
        <x:v>3360</x:v>
      </x:c>
      <x:c r="E115" t="s">
        <x:v>3361</x:v>
      </x:c>
      <x:c r="F115" t="s">
        <x:v>98</x:v>
      </x:c>
    </x:row>
    <x:row r="116">
      <x:c r="A116" t="s">
        <x:v>1110</x:v>
      </x:c>
      <x:c r="B116">
        <x:v>970582106</x:v>
      </x:c>
      <x:c r="C116" t="s">
        <x:v>3349</x:v>
      </x:c>
      <x:c r="D116" t="s">
        <x:v>1115</x:v>
      </x:c>
      <x:c r="E116" t="s">
        <x:v>3362</x:v>
      </x:c>
      <x:c r="F116" t="s">
        <x:v>210</x:v>
      </x:c>
    </x:row>
    <x:row r="117">
      <x:c r="A117" t="s">
        <x:v>1304</x:v>
      </x:c>
      <x:c r="B117">
        <x:v>980702810</x:v>
      </x:c>
      <x:c r="C117" t="s">
        <x:v>3349</x:v>
      </x:c>
      <x:c r="D117" t="s">
        <x:v>1309</x:v>
      </x:c>
      <x:c r="E117" t="s">
        <x:v>3363</x:v>
      </x:c>
      <x:c r="F117" t="s">
        <x:v>366</x:v>
      </x:c>
    </x:row>
    <x:row r="118">
      <x:c r="A118" t="s">
        <x:v>1186</x:v>
      </x:c>
      <x:c r="B118">
        <x:v>981227454</x:v>
      </x:c>
      <x:c r="C118" t="s">
        <x:v>3349</x:v>
      </x:c>
      <x:c r="D118" t="s">
        <x:v>1190</x:v>
      </x:c>
      <x:c r="E118" t="s">
        <x:v>3364</x:v>
      </x:c>
      <x:c r="F118" t="s">
        <x:v>210</x:v>
      </x:c>
    </x:row>
    <x:row r="119">
      <x:c r="A119" t="s">
        <x:v>1315</x:v>
      </x:c>
      <x:c r="B119">
        <x:v>993496032</x:v>
      </x:c>
      <x:c r="C119" t="s">
        <x:v>3349</x:v>
      </x:c>
      <x:c r="D119" t="s">
        <x:v>1320</x:v>
      </x:c>
      <x:c r="E119" t="s">
        <x:v>3365</x:v>
      </x:c>
      <x:c r="F119" t="s">
        <x:v>36</x:v>
      </x:c>
    </x:row>
    <x:row r="120">
      <x:c r="A120" t="s">
        <x:v>1326</x:v>
      </x:c>
      <x:c r="B120">
        <x:v>999111362</x:v>
      </x:c>
      <x:c r="C120" t="s">
        <x:v>3349</x:v>
      </x:c>
      <x:c r="D120" t="s">
        <x:v>1330</x:v>
      </x:c>
      <x:c r="E120" t="s">
        <x:v>3366</x:v>
      </x:c>
      <x:c r="F120" t="s">
        <x:v>36</x:v>
      </x:c>
    </x:row>
    <x:row r="121">
      <x:c r="A121" t="s">
        <x:v>3367</x:v>
      </x:c>
      <x:c r="B121">
        <x:v>991205972</x:v>
      </x:c>
      <x:c r="C121" t="s">
        <x:v>3349</x:v>
      </x:c>
      <x:c r="D121" t="s">
        <x:v>3368</x:v>
      </x:c>
      <x:c r="E121" t="s">
        <x:v>3369</x:v>
      </x:c>
      <x:c r="F121" t="s">
        <x:v>3370</x:v>
      </x:c>
    </x:row>
    <x:row r="122">
      <x:c r="A122" t="s">
        <x:v>478</x:v>
      </x:c>
      <x:c r="B122">
        <x:v>982536223</x:v>
      </x:c>
      <x:c r="C122" t="s">
        <x:v>3349</x:v>
      </x:c>
      <x:c r="D122" t="s">
        <x:v>483</x:v>
      </x:c>
      <x:c r="E122" t="s">
        <x:v>3371</x:v>
      </x:c>
      <x:c r="F122" t="s">
        <x:v>210</x:v>
      </x:c>
    </x:row>
    <x:row r="123">
      <x:c r="A123" t="s">
        <x:v>3372</x:v>
      </x:c>
      <x:c r="B123">
        <x:v>995560200</x:v>
      </x:c>
      <x:c r="C123" t="s">
        <x:v>3349</x:v>
      </x:c>
      <x:c r="D123" t="s">
        <x:v>3373</x:v>
      </x:c>
      <x:c r="E123" t="s">
        <x:v>3374</x:v>
      </x:c>
      <x:c r="F123" t="s">
        <x:v>210</x:v>
      </x:c>
    </x:row>
    <x:row r="124">
      <x:c r="A124" t="s">
        <x:v>3375</x:v>
      </x:c>
      <x:c r="B124">
        <x:v>961599877</x:v>
      </x:c>
      <x:c r="C124" t="s">
        <x:v>3349</x:v>
      </x:c>
      <x:c r="D124" t="s">
        <x:v>3376</x:v>
      </x:c>
      <x:c r="E124" t="s">
        <x:v>3377</x:v>
      </x:c>
      <x:c r="F124" t="s">
        <x:v>366</x:v>
      </x:c>
    </x:row>
    <x:row r="125">
      <x:c r="A125" t="s">
        <x:v>2528</x:v>
      </x:c>
      <x:c r="B125">
        <x:v>993020239</x:v>
      </x:c>
      <x:c r="C125" t="s">
        <x:v>3349</x:v>
      </x:c>
      <x:c r="D125" t="s">
        <x:v>2531</x:v>
      </x:c>
      <x:c r="E125" t="s">
        <x:v>3378</x:v>
      </x:c>
      <x:c r="F125" t="s">
        <x:v>631</x:v>
      </x:c>
    </x:row>
    <x:row r="126">
      <x:c r="A126" t="s">
        <x:v>3379</x:v>
      </x:c>
      <x:c r="B126">
        <x:v>944268486</x:v>
      </x:c>
      <x:c r="C126" t="s">
        <x:v>3349</x:v>
      </x:c>
      <x:c r="D126" t="s">
        <x:v>3380</x:v>
      </x:c>
      <x:c r="E126" t="s">
        <x:v>3381</x:v>
      </x:c>
      <x:c r="F126" t="s">
        <x:v>366</x:v>
      </x:c>
    </x:row>
    <x:row r="127">
      <x:c r="A127" t="s">
        <x:v>3382</x:v>
      </x:c>
      <x:c r="B127">
        <x:v>950486025</x:v>
      </x:c>
      <x:c r="C127" t="s">
        <x:v>3349</x:v>
      </x:c>
      <x:c r="D127" t="s">
        <x:v>3383</x:v>
      </x:c>
      <x:c r="E127" t="s">
        <x:v>3384</x:v>
      </x:c>
      <x:c r="F127" t="s">
        <x:v>707</x:v>
      </x:c>
    </x:row>
    <x:row r="128">
      <x:c r="A128" t="s">
        <x:v>3385</x:v>
      </x:c>
      <x:c r="C128" t="s">
        <x:v>3349</x:v>
      </x:c>
      <x:c r="D128" t="s">
        <x:v>3383</x:v>
      </x:c>
      <x:c r="E128" t="s">
        <x:v>3386</x:v>
      </x:c>
    </x:row>
    <x:row r="129">
      <x:c r="A129" t="s">
        <x:v>3387</x:v>
      </x:c>
      <x:c r="B129">
        <x:v>936892722</x:v>
      </x:c>
      <x:c r="C129" t="s">
        <x:v>3388</x:v>
      </x:c>
      <x:c r="D129" t="s">
        <x:v>3389</x:v>
      </x:c>
      <x:c r="E129" t="s">
        <x:v>3390</x:v>
      </x:c>
      <x:c r="F129" t="s">
        <x:v>263</x:v>
      </x:c>
    </x:row>
    <x:row r="130">
      <x:c r="A130" t="s">
        <x:v>3391</x:v>
      </x:c>
      <x:c r="B130">
        <x:v>975726361</x:v>
      </x:c>
      <x:c r="C130" t="s">
        <x:v>3392</x:v>
      </x:c>
      <x:c r="D130" t="s">
        <x:v>3393</x:v>
      </x:c>
      <x:c r="E130" t="s">
        <x:v>3394</x:v>
      </x:c>
      <x:c r="F130" t="s">
        <x:v>1167</x:v>
      </x:c>
    </x:row>
    <x:row r="131">
      <x:c r="A131" t="s">
        <x:v>1353</x:v>
      </x:c>
      <x:c r="B131">
        <x:v>980030101</x:v>
      </x:c>
      <x:c r="C131" t="s">
        <x:v>3392</x:v>
      </x:c>
      <x:c r="D131" t="s">
        <x:v>1357</x:v>
      </x:c>
      <x:c r="E131" t="s">
        <x:v>3395</x:v>
      </x:c>
      <x:c r="F131" t="s">
        <x:v>210</x:v>
      </x:c>
    </x:row>
    <x:row r="132">
      <x:c r="A132" t="s">
        <x:v>653</x:v>
      </x:c>
      <x:c r="B132">
        <x:v>987552890</x:v>
      </x:c>
      <x:c r="C132" t="s">
        <x:v>3392</x:v>
      </x:c>
      <x:c r="D132" t="s">
        <x:v>658</x:v>
      </x:c>
      <x:c r="E132" t="s">
        <x:v>3396</x:v>
      </x:c>
      <x:c r="F132" t="s">
        <x:v>654</x:v>
      </x:c>
    </x:row>
    <x:row r="133">
      <x:c r="A133" t="s">
        <x:v>2995</x:v>
      </x:c>
      <x:c r="B133">
        <x:v>995247963</x:v>
      </x:c>
      <x:c r="C133" t="s">
        <x:v>3392</x:v>
      </x:c>
      <x:c r="D133" t="s">
        <x:v>3000</x:v>
      </x:c>
      <x:c r="E133" t="s">
        <x:v>3397</x:v>
      </x:c>
      <x:c r="F133" t="s">
        <x:v>2996</x:v>
      </x:c>
    </x:row>
    <x:row r="134">
      <x:c r="A134" t="s">
        <x:v>3398</x:v>
      </x:c>
      <x:c r="B134">
        <x:v>999424542</x:v>
      </x:c>
      <x:c r="C134" t="s">
        <x:v>3392</x:v>
      </x:c>
      <x:c r="D134" t="s">
        <x:v>3399</x:v>
      </x:c>
      <x:c r="E134" t="s">
        <x:v>3400</x:v>
      </x:c>
      <x:c r="F134" t="s">
        <x:v>2461</x:v>
      </x:c>
    </x:row>
    <x:row r="135">
      <x:c r="A135" t="s">
        <x:v>35</x:v>
      </x:c>
      <x:c r="B135">
        <x:v>999996347</x:v>
      </x:c>
      <x:c r="C135" t="s">
        <x:v>3392</x:v>
      </x:c>
      <x:c r="D135" t="s">
        <x:v>50</x:v>
      </x:c>
      <x:c r="E135" t="s">
        <x:v>3401</x:v>
      </x:c>
      <x:c r="F135" t="s">
        <x:v>36</x:v>
      </x:c>
    </x:row>
    <x:row r="136">
      <x:c r="A136" t="s">
        <x:v>3402</x:v>
      </x:c>
      <x:c r="B136">
        <x:v>975429533</x:v>
      </x:c>
      <x:c r="C136" t="s">
        <x:v>3392</x:v>
      </x:c>
      <x:c r="D136" t="s">
        <x:v>3403</x:v>
      </x:c>
      <x:c r="E136" t="s">
        <x:v>3404</x:v>
      </x:c>
    </x:row>
    <x:row r="137">
      <x:c r="A137" t="s">
        <x:v>3405</x:v>
      </x:c>
      <x:c r="B137">
        <x:v>933162551</x:v>
      </x:c>
    </x:row>
    <x:row r="138">
      <x:c r="A138" t="s">
        <x:v>3406</x:v>
      </x:c>
      <x:c r="B138">
        <x:v>941451427</x:v>
      </x:c>
      <x:c r="F138" t="s">
        <x:v>3328</x:v>
      </x:c>
    </x:row>
    <x:row r="139">
      <x:c r="A139" t="s">
        <x:v>3407</x:v>
      </x:c>
      <x:c r="B139">
        <x:v>956386291</x:v>
      </x:c>
    </x:row>
    <x:row r="140">
      <x:c r="A140" t="s">
        <x:v>3408</x:v>
      </x:c>
      <x:c r="B140">
        <x:v>959686281</x:v>
      </x:c>
      <x:c r="F140" t="s">
        <x:v>2344</x:v>
      </x:c>
    </x:row>
    <x:row r="141">
      <x:c r="A141" t="s">
        <x:v>3409</x:v>
      </x:c>
      <x:c r="B141">
        <x:v>961711087</x:v>
      </x:c>
      <x:c r="F141" t="s">
        <x:v>1546</x:v>
      </x:c>
    </x:row>
    <x:row r="142">
      <x:c r="A142" t="s">
        <x:v>3410</x:v>
      </x:c>
      <x:c r="B142">
        <x:v>972250960</x:v>
      </x:c>
      <x:c r="F142" t="s">
        <x:v>3411</x:v>
      </x:c>
    </x:row>
    <x:row r="143">
      <x:c r="A143" t="s">
        <x:v>3412</x:v>
      </x:c>
      <x:c r="B143">
        <x:v>975462002</x:v>
      </x:c>
      <x:c r="F143" t="s">
        <x:v>3413</x:v>
      </x:c>
    </x:row>
    <x:row r="144">
      <x:c r="A144" t="s">
        <x:v>3414</x:v>
      </x:c>
      <x:c r="B144">
        <x:v>981604885</x:v>
      </x:c>
    </x:row>
    <x:row r="145">
      <x:c r="A145" t="s">
        <x:v>3415</x:v>
      </x:c>
      <x:c r="B145">
        <x:v>982769481</x:v>
      </x:c>
      <x:c r="F145" t="s">
        <x:v>3416</x:v>
      </x:c>
    </x:row>
    <x:row r="146">
      <x:c r="A146" t="s">
        <x:v>3417</x:v>
      </x:c>
      <x:c r="B146">
        <x:v>985473445</x:v>
      </x:c>
      <x:c r="F146" t="s">
        <x:v>2049</x:v>
      </x:c>
    </x:row>
    <x:row r="147">
      <x:c r="A147" t="s">
        <x:v>1372</x:v>
      </x:c>
      <x:c r="B147">
        <x:v>994336842</x:v>
      </x:c>
    </x:row>
    <x:row r="148">
      <x:c r="A148" t="s">
        <x:v>3418</x:v>
      </x:c>
      <x:c r="B148">
        <x:v>995829641</x:v>
      </x:c>
    </x:row>
    <x:row r="149">
      <x:c r="A149" t="s">
        <x:v>3419</x:v>
      </x:c>
      <x:c r="B149">
        <x:v>997213990</x:v>
      </x:c>
    </x:row>
    <x:row r="150">
      <x:c r="A150" t="s">
        <x:v>3420</x:v>
      </x:c>
      <x:c r="B150">
        <x:v>998862127</x:v>
      </x:c>
    </x:row>
    <x:row r="151">
      <x:c r="A151" t="s">
        <x:v>3421</x:v>
      </x:c>
      <x:c r="B151">
        <x:v>999015993</x:v>
      </x:c>
      <x:c r="F151" t="s">
        <x:v>210</x:v>
      </x:c>
    </x:row>
    <x:row r="152">
      <x:c r="A152" t="s">
        <x:v>3422</x:v>
      </x:c>
      <x:c r="B152">
        <x:v>999043101</x:v>
      </x:c>
      <x:c r="F152" t="s">
        <x:v>2344</x:v>
      </x:c>
    </x:row>
    <x:row r="153">
      <x:c r="A153" t="s">
        <x:v>2733</x:v>
      </x:c>
      <x:c r="B153">
        <x:v>999270600</x:v>
      </x:c>
      <x:c r="F153" t="s">
        <x:v>2734</x:v>
      </x:c>
    </x:row>
    <x:row r="154">
      <x:c r="A154" t="s">
        <x:v>3423</x:v>
      </x:c>
      <x:c r="B154">
        <x:v>999722695</x:v>
      </x:c>
      <x:c r="F154" t="s">
        <x:v>3413</x:v>
      </x:c>
    </x:row>
    <x:row r="155">
      <x:c r="A155" t="s">
        <x:v>3424</x:v>
      </x:c>
      <x:c r="B155">
        <x:v>999972724</x:v>
      </x:c>
    </x:row>
    <x:row r="156">
      <x:c r="A156" t="s">
        <x:v>3425</x:v>
      </x:c>
      <x:c r="B156">
        <x:v>992759957</x:v>
      </x:c>
      <x:c r="F156" t="s">
        <x:v>210</x:v>
      </x:c>
    </x:row>
    <x:row r="157">
      <x:c r="A157" t="s">
        <x:v>3426</x:v>
      </x:c>
    </x:row>
    <x:row r="158">
      <x:c r="A158" t="s">
        <x:v>3427</x:v>
      </x:c>
    </x:row>
    <x:row r="159">
      <x:c r="A159" t="s">
        <x:v>3428</x:v>
      </x:c>
    </x:row>
    <x:row r="160">
      <x:c r="A160" t="s">
        <x:v>3429</x:v>
      </x:c>
    </x:row>
    <x:row r="161">
      <x:c r="A161" t="s">
        <x:v>3430</x:v>
      </x:c>
    </x:row>
    <x:row r="162">
      <x:c r="A162" t="s">
        <x:v>3431</x:v>
      </x:c>
    </x:row>
    <x:row r="163">
      <x:c r="A163" t="s">
        <x:v>3432</x:v>
      </x:c>
    </x:row>
    <x:row r="164">
      <x:c r="A164" t="s">
        <x:v>3433</x:v>
      </x:c>
    </x:row>
    <x:row r="165">
      <x:c r="A165" t="s">
        <x:v>3434</x:v>
      </x:c>
    </x:row>
    <x:row r="166">
      <x:c r="A166" t="s">
        <x:v>3435</x:v>
      </x:c>
      <x:c r="F166" t="s">
        <x:v>1906</x:v>
      </x:c>
    </x:row>
    <x:row r="167">
      <x:c r="A167" t="s">
        <x:v>3436</x:v>
      </x:c>
    </x:row>
    <x:row r="168">
      <x:c r="A168" t="s">
        <x:v>3437</x:v>
      </x:c>
    </x:row>
    <x:row r="169">
      <x:c r="A169" t="s">
        <x:v>1390</x:v>
      </x:c>
      <x:c r="C169" t="s">
        <x:v>3205</x:v>
      </x:c>
      <x:c r="D169" t="s">
        <x:v>1394</x:v>
      </x:c>
      <x:c r="E169" t="s">
        <x:v>3438</x:v>
      </x:c>
    </x:row>
    <x:row r="170">
      <x:c r="A170" t="s">
        <x:v>3439</x:v>
      </x:c>
      <x:c r="F170" t="s">
        <x:v>346</x:v>
      </x:c>
    </x:row>
    <x:row r="171">
      <x:c r="A171" t="s">
        <x:v>3440</x:v>
      </x:c>
      <x:c r="F171" t="s">
        <x:v>346</x:v>
      </x:c>
    </x:row>
    <x:row r="172">
      <x:c r="A172" t="s">
        <x:v>3441</x:v>
      </x:c>
      <x:c r="F172" t="s">
        <x:v>346</x:v>
      </x:c>
    </x:row>
    <x:row r="173">
      <x:c r="A173" t="s">
        <x:v>3442</x:v>
      </x:c>
      <x:c r="F173" t="s">
        <x:v>346</x:v>
      </x:c>
    </x:row>
    <x:row r="174">
      <x:c r="A174" t="s">
        <x:v>3443</x:v>
      </x:c>
      <x:c r="F174" t="s">
        <x:v>346</x:v>
      </x:c>
    </x:row>
    <x:row r="175">
      <x:c r="A175" t="s">
        <x:v>3444</x:v>
      </x:c>
      <x:c r="F175" t="s">
        <x:v>3445</x:v>
      </x:c>
    </x:row>
    <x:row r="176">
      <x:c r="A176" t="s">
        <x:v>3446</x:v>
      </x:c>
      <x:c r="F176" t="s">
        <x:v>3447</x:v>
      </x:c>
    </x:row>
    <x:row r="177">
      <x:c r="A177" t="s">
        <x:v>3448</x:v>
      </x:c>
      <x:c r="F177" t="s">
        <x:v>3184</x:v>
      </x:c>
    </x:row>
    <x:row r="178">
      <x:c r="A178" t="s">
        <x:v>3449</x:v>
      </x:c>
      <x:c r="F178" t="s">
        <x:v>3450</x:v>
      </x:c>
    </x:row>
    <x:row r="179">
      <x:c r="A179" t="s">
        <x:v>3451</x:v>
      </x:c>
      <x:c r="F179" t="s">
        <x:v>3450</x:v>
      </x:c>
    </x:row>
    <x:row r="180">
      <x:c r="A180" t="s">
        <x:v>3452</x:v>
      </x:c>
      <x:c r="F180" t="s">
        <x:v>3453</x:v>
      </x:c>
    </x:row>
    <x:row r="181">
      <x:c r="A181" t="s">
        <x:v>3454</x:v>
      </x:c>
      <x:c r="F181" t="s">
        <x:v>36</x:v>
      </x:c>
    </x:row>
    <x:row r="182">
      <x:c r="A182" t="s">
        <x:v>3455</x:v>
      </x:c>
      <x:c r="F182" t="s">
        <x:v>3456</x:v>
      </x:c>
    </x:row>
    <x:row r="183">
      <x:c r="A183" t="s">
        <x:v>3457</x:v>
      </x:c>
      <x:c r="F183" t="s">
        <x:v>3458</x:v>
      </x:c>
    </x:row>
    <x:row r="184">
      <x:c r="A184" t="s">
        <x:v>3459</x:v>
      </x:c>
      <x:c r="F184" t="s">
        <x:v>631</x:v>
      </x:c>
    </x:row>
    <x:row r="185">
      <x:c r="A185" t="s">
        <x:v>3460</x:v>
      </x:c>
      <x:c r="F185" t="s">
        <x:v>631</x:v>
      </x:c>
    </x:row>
    <x:row r="186">
      <x:c r="A186" t="s">
        <x:v>3461</x:v>
      </x:c>
      <x:c r="F186" t="s">
        <x:v>631</x:v>
      </x:c>
    </x:row>
    <x:row r="187">
      <x:c r="A187" t="s">
        <x:v>3462</x:v>
      </x:c>
      <x:c r="F187" t="s">
        <x:v>631</x:v>
      </x:c>
    </x:row>
    <x:row r="188">
      <x:c r="A188" t="s">
        <x:v>3463</x:v>
      </x:c>
      <x:c r="F188" t="s">
        <x:v>631</x:v>
      </x:c>
    </x:row>
    <x:row r="189">
      <x:c r="A189" t="s">
        <x:v>3464</x:v>
      </x:c>
      <x:c r="F189" t="s">
        <x:v>3093</x:v>
      </x:c>
    </x:row>
    <x:row r="190">
      <x:c r="A190" t="s">
        <x:v>3465</x:v>
      </x:c>
      <x:c r="F190" t="s">
        <x:v>3466</x:v>
      </x:c>
    </x:row>
    <x:row r="191">
      <x:c r="A191" t="s">
        <x:v>3467</x:v>
      </x:c>
      <x:c r="F191" t="s">
        <x:v>1427</x:v>
      </x:c>
    </x:row>
    <x:row r="192">
      <x:c r="A192" t="s">
        <x:v>1426</x:v>
      </x:c>
      <x:c r="F192" t="s">
        <x:v>1427</x:v>
      </x:c>
    </x:row>
    <x:row r="193">
      <x:c r="A193" t="s">
        <x:v>2404</x:v>
      </x:c>
      <x:c r="B193">
        <x:v>991104175</x:v>
      </x:c>
      <x:c r="F193" t="s">
        <x:v>1427</x:v>
      </x:c>
    </x:row>
    <x:row r="194">
      <x:c r="A194" t="s">
        <x:v>3468</x:v>
      </x:c>
      <x:c r="F194" t="s">
        <x:v>3469</x:v>
      </x:c>
    </x:row>
    <x:row r="195">
      <x:c r="A195" t="s">
        <x:v>3470</x:v>
      </x:c>
      <x:c r="F195" t="s">
        <x:v>3471</x:v>
      </x:c>
    </x:row>
    <x:row r="196">
      <x:c r="A196" t="s">
        <x:v>3472</x:v>
      </x:c>
      <x:c r="F196" t="s">
        <x:v>2996</x:v>
      </x:c>
    </x:row>
    <x:row r="197">
      <x:c r="A197" t="s">
        <x:v>3473</x:v>
      </x:c>
      <x:c r="F197" t="s">
        <x:v>2996</x:v>
      </x:c>
    </x:row>
    <x:row r="198">
      <x:c r="A198" t="s">
        <x:v>3474</x:v>
      </x:c>
      <x:c r="F198" t="s">
        <x:v>2996</x:v>
      </x:c>
    </x:row>
    <x:row r="199">
      <x:c r="A199" t="s">
        <x:v>3475</x:v>
      </x:c>
      <x:c r="F199" t="s">
        <x:v>2996</x:v>
      </x:c>
    </x:row>
    <x:row r="200">
      <x:c r="A200" t="s">
        <x:v>3476</x:v>
      </x:c>
      <x:c r="F200" t="s">
        <x:v>2996</x:v>
      </x:c>
    </x:row>
    <x:row r="201">
      <x:c r="A201" t="s">
        <x:v>3477</x:v>
      </x:c>
      <x:c r="F201" t="s">
        <x:v>2996</x:v>
      </x:c>
    </x:row>
    <x:row r="202">
      <x:c r="A202" t="s">
        <x:v>1444</x:v>
      </x:c>
      <x:c r="B202">
        <x:v>999418834</x:v>
      </x:c>
      <x:c r="C202" t="s">
        <x:v>3205</x:v>
      </x:c>
      <x:c r="D202" t="s">
        <x:v>1446</x:v>
      </x:c>
      <x:c r="E202" t="s">
        <x:v>3478</x:v>
      </x:c>
      <x:c r="F202" t="s">
        <x:v>1100</x:v>
      </x:c>
      <x:c r="G202" t="s">
        <x:v>3479</x:v>
      </x:c>
    </x:row>
    <x:row r="203">
      <x:c r="A203" t="s">
        <x:v>1099</x:v>
      </x:c>
      <x:c r="C203" t="s">
        <x:v>3205</x:v>
      </x:c>
      <x:c r="D203" t="s">
        <x:v>1104</x:v>
      </x:c>
      <x:c r="E203" t="s">
        <x:v>3480</x:v>
      </x:c>
      <x:c r="F203" t="s">
        <x:v>1100</x:v>
      </x:c>
    </x:row>
    <x:row r="204">
      <x:c r="A204" t="s">
        <x:v>3481</x:v>
      </x:c>
      <x:c r="F204" t="s">
        <x:v>1100</x:v>
      </x:c>
    </x:row>
    <x:row r="205">
      <x:c r="A205" t="s">
        <x:v>3482</x:v>
      </x:c>
      <x:c r="F205" t="s">
        <x:v>1100</x:v>
      </x:c>
    </x:row>
    <x:row r="206">
      <x:c r="A206" t="s">
        <x:v>3483</x:v>
      </x:c>
      <x:c r="F206" t="s">
        <x:v>1167</x:v>
      </x:c>
    </x:row>
    <x:row r="207">
      <x:c r="A207" t="s">
        <x:v>3484</x:v>
      </x:c>
      <x:c r="F207" t="s">
        <x:v>3485</x:v>
      </x:c>
    </x:row>
    <x:row r="208">
      <x:c r="A208" t="s">
        <x:v>3486</x:v>
      </x:c>
      <x:c r="F208" t="s">
        <x:v>346</x:v>
      </x:c>
    </x:row>
    <x:row r="209">
      <x:c r="A209" t="s">
        <x:v>3487</x:v>
      </x:c>
      <x:c r="F209" t="s">
        <x:v>346</x:v>
      </x:c>
    </x:row>
    <x:row r="210">
      <x:c r="A210" t="s">
        <x:v>3488</x:v>
      </x:c>
      <x:c r="F210" t="s">
        <x:v>346</x:v>
      </x:c>
    </x:row>
    <x:row r="211">
      <x:c r="A211" t="s">
        <x:v>3489</x:v>
      </x:c>
      <x:c r="F211" t="s">
        <x:v>3490</x:v>
      </x:c>
    </x:row>
    <x:row r="212">
      <x:c r="A212" t="s">
        <x:v>3491</x:v>
      </x:c>
      <x:c r="F212" t="s">
        <x:v>3490</x:v>
      </x:c>
    </x:row>
    <x:row r="213">
      <x:c r="A213" t="s">
        <x:v>3492</x:v>
      </x:c>
      <x:c r="F213" t="s">
        <x:v>3493</x:v>
      </x:c>
    </x:row>
    <x:row r="214">
      <x:c r="A214" t="s">
        <x:v>2460</x:v>
      </x:c>
      <x:c r="F214" t="s">
        <x:v>2461</x:v>
      </x:c>
    </x:row>
    <x:row r="215">
      <x:c r="A215" t="s">
        <x:v>3494</x:v>
      </x:c>
      <x:c r="F215" t="s">
        <x:v>2461</x:v>
      </x:c>
    </x:row>
    <x:row r="216">
      <x:c r="A216" t="s">
        <x:v>3495</x:v>
      </x:c>
      <x:c r="F216" t="s">
        <x:v>2461</x:v>
      </x:c>
    </x:row>
    <x:row r="217">
      <x:c r="A217" t="s">
        <x:v>3496</x:v>
      </x:c>
      <x:c r="F217" t="s">
        <x:v>2461</x:v>
      </x:c>
    </x:row>
    <x:row r="218">
      <x:c r="A218" t="s">
        <x:v>776</x:v>
      </x:c>
      <x:c r="F218" t="s">
        <x:v>777</x:v>
      </x:c>
    </x:row>
    <x:row r="219">
      <x:c r="A219" t="s">
        <x:v>3497</x:v>
      </x:c>
      <x:c r="F219" t="s">
        <x:v>777</x:v>
      </x:c>
    </x:row>
    <x:row r="220">
      <x:c r="A220" t="s">
        <x:v>3498</x:v>
      </x:c>
      <x:c r="F220" t="s">
        <x:v>3499</x:v>
      </x:c>
    </x:row>
    <x:row r="221">
      <x:c r="A221" t="s">
        <x:v>3500</x:v>
      </x:c>
      <x:c r="F221" t="s">
        <x:v>3501</x:v>
      </x:c>
    </x:row>
    <x:row r="222">
      <x:c r="A222" t="s">
        <x:v>3502</x:v>
      </x:c>
    </x:row>
    <x:row r="223">
      <x:c r="A223" t="s">
        <x:v>3503</x:v>
      </x:c>
      <x:c r="F223" t="s">
        <x:v>98</x:v>
      </x:c>
    </x:row>
    <x:row r="224">
      <x:c r="A224" t="s">
        <x:v>3504</x:v>
      </x:c>
      <x:c r="F224" t="s">
        <x:v>2600</x:v>
      </x:c>
    </x:row>
    <x:row r="225">
      <x:c r="A225" t="s">
        <x:v>3505</x:v>
      </x:c>
      <x:c r="F225" t="s">
        <x:v>2600</x:v>
      </x:c>
    </x:row>
    <x:row r="226">
      <x:c r="A226" t="s">
        <x:v>3506</x:v>
      </x:c>
      <x:c r="F226" t="s">
        <x:v>2600</x:v>
      </x:c>
    </x:row>
    <x:row r="227">
      <x:c r="A227" t="s">
        <x:v>2343</x:v>
      </x:c>
      <x:c r="B227">
        <x:v>996132853</x:v>
      </x:c>
      <x:c r="F227" t="s">
        <x:v>2344</x:v>
      </x:c>
    </x:row>
    <x:row r="228">
      <x:c r="A228" t="s">
        <x:v>3507</x:v>
      </x:c>
      <x:c r="F228" t="s">
        <x:v>2344</x:v>
      </x:c>
    </x:row>
    <x:row r="229">
      <x:c r="A229" t="s">
        <x:v>3508</x:v>
      </x:c>
      <x:c r="F229" t="s">
        <x:v>2344</x:v>
      </x:c>
    </x:row>
    <x:row r="230">
      <x:c r="A230" t="s">
        <x:v>3509</x:v>
      </x:c>
      <x:c r="F230" t="s">
        <x:v>3510</x:v>
      </x:c>
    </x:row>
    <x:row r="231">
      <x:c r="A231" t="s">
        <x:v>3511</x:v>
      </x:c>
      <x:c r="F231" t="s">
        <x:v>2996</x:v>
      </x:c>
    </x:row>
    <x:row r="232">
      <x:c r="A232" t="s">
        <x:v>3512</x:v>
      </x:c>
      <x:c r="F232" t="s">
        <x:v>2996</x:v>
      </x:c>
    </x:row>
    <x:row r="233">
      <x:c r="A233" t="s">
        <x:v>3513</x:v>
      </x:c>
      <x:c r="F233" t="s">
        <x:v>2996</x:v>
      </x:c>
    </x:row>
    <x:row r="234">
      <x:c r="A234" t="s">
        <x:v>3514</x:v>
      </x:c>
      <x:c r="F234" t="s">
        <x:v>3458</x:v>
      </x:c>
    </x:row>
    <x:row r="235">
      <x:c r="A235" t="s">
        <x:v>3515</x:v>
      </x:c>
      <x:c r="F235" t="s">
        <x:v>366</x:v>
      </x:c>
    </x:row>
    <x:row r="236">
      <x:c r="A236" t="s">
        <x:v>3516</x:v>
      </x:c>
      <x:c r="F236" t="s">
        <x:v>366</x:v>
      </x:c>
    </x:row>
    <x:row r="237">
      <x:c r="A237" t="s">
        <x:v>3517</x:v>
      </x:c>
      <x:c r="F237" t="s">
        <x:v>3518</x:v>
      </x:c>
    </x:row>
    <x:row r="238">
      <x:c r="A238" t="s">
        <x:v>3519</x:v>
      </x:c>
      <x:c r="F238" t="s">
        <x:v>2734</x:v>
      </x:c>
    </x:row>
    <x:row r="239">
      <x:c r="A239" t="s">
        <x:v>3520</x:v>
      </x:c>
      <x:c r="F239" t="s">
        <x:v>2734</x:v>
      </x:c>
    </x:row>
    <x:row r="240">
      <x:c r="A240" t="s">
        <x:v>3521</x:v>
      </x:c>
      <x:c r="F240" t="s">
        <x:v>1546</x:v>
      </x:c>
    </x:row>
    <x:row r="241">
      <x:c r="A241" t="s">
        <x:v>3522</x:v>
      </x:c>
      <x:c r="F241" t="s">
        <x:v>1546</x:v>
      </x:c>
    </x:row>
    <x:row r="242">
      <x:c r="A242" t="s">
        <x:v>3523</x:v>
      </x:c>
      <x:c r="F242" t="s">
        <x:v>1546</x:v>
      </x:c>
    </x:row>
    <x:row r="243">
      <x:c r="A243" t="s">
        <x:v>1166</x:v>
      </x:c>
      <x:c r="B243">
        <x:v>978548687</x:v>
      </x:c>
      <x:c r="C243" t="s">
        <x:v>3076</x:v>
      </x:c>
      <x:c r="D243" t="s">
        <x:v>1171</x:v>
      </x:c>
      <x:c r="E243" t="s">
        <x:v>3524</x:v>
      </x:c>
      <x:c r="F243" t="s">
        <x:v>1167</x:v>
      </x:c>
    </x:row>
    <x:row r="244">
      <x:c r="A244" t="s">
        <x:v>3525</x:v>
      </x:c>
      <x:c r="F244" t="s">
        <x:v>1546</x:v>
      </x:c>
    </x:row>
    <x:row r="245">
      <x:c r="A245" t="s">
        <x:v>3526</x:v>
      </x:c>
      <x:c r="F245" t="s">
        <x:v>3527</x:v>
      </x:c>
    </x:row>
    <x:row r="246">
      <x:c r="A246" t="s">
        <x:v>3528</x:v>
      </x:c>
      <x:c r="F246" t="s">
        <x:v>36</x:v>
      </x:c>
    </x:row>
    <x:row r="247">
      <x:c r="A247" t="s">
        <x:v>3529</x:v>
      </x:c>
      <x:c r="F247" t="s">
        <x:v>36</x:v>
      </x:c>
    </x:row>
    <x:row r="248">
      <x:c r="A248" t="s">
        <x:v>3530</x:v>
      </x:c>
      <x:c r="F248" t="s">
        <x:v>210</x:v>
      </x:c>
    </x:row>
    <x:row r="249">
      <x:c r="A249" t="s">
        <x:v>3531</x:v>
      </x:c>
      <x:c r="F249" t="s">
        <x:v>3532</x:v>
      </x:c>
    </x:row>
    <x:row r="250">
      <x:c r="A250" t="s">
        <x:v>3533</x:v>
      </x:c>
      <x:c r="F250" t="s">
        <x:v>3534</x:v>
      </x:c>
    </x:row>
    <x:row r="251">
      <x:c r="A251" t="s">
        <x:v>3535</x:v>
      </x:c>
      <x:c r="F251" t="s">
        <x:v>3534</x:v>
      </x:c>
    </x:row>
    <x:row r="252">
      <x:c r="A252" t="s">
        <x:v>3536</x:v>
      </x:c>
      <x:c r="F252" t="s">
        <x:v>1906</x:v>
      </x:c>
    </x:row>
    <x:row r="253">
      <x:c r="A253" t="s">
        <x:v>3537</x:v>
      </x:c>
      <x:c r="F253" t="s">
        <x:v>3538</x:v>
      </x:c>
    </x:row>
    <x:row r="254">
      <x:c r="A254" t="s">
        <x:v>3539</x:v>
      </x:c>
      <x:c r="F254" t="s">
        <x:v>631</x:v>
      </x:c>
    </x:row>
    <x:row r="255">
      <x:c r="A255" t="s">
        <x:v>209</x:v>
      </x:c>
      <x:c r="F255" t="s">
        <x:v>210</x:v>
      </x:c>
    </x:row>
    <x:row r="256">
      <x:c r="A256" t="s">
        <x:v>3540</x:v>
      </x:c>
      <x:c r="F256" t="s">
        <x:v>3541</x:v>
      </x:c>
    </x:row>
    <x:row r="257">
      <x:c r="A257" t="s">
        <x:v>3542</x:v>
      </x:c>
      <x:c r="F257" t="s">
        <x:v>3458</x:v>
      </x:c>
    </x:row>
    <x:row r="258">
      <x:c r="A258" t="s">
        <x:v>3543</x:v>
      </x:c>
      <x:c r="F258" t="s">
        <x:v>3544</x:v>
      </x:c>
    </x:row>
    <x:row r="259">
      <x:c r="A259" t="s">
        <x:v>3545</x:v>
      </x:c>
      <x:c r="F259" t="s">
        <x:v>3546</x:v>
      </x:c>
    </x:row>
    <x:row r="260">
      <x:c r="A260" t="s">
        <x:v>3547</x:v>
      </x:c>
      <x:c r="F260" t="s">
        <x:v>1485</x:v>
      </x:c>
    </x:row>
    <x:row r="261">
      <x:c r="A261" t="s">
        <x:v>1484</x:v>
      </x:c>
      <x:c r="F261" t="s">
        <x:v>1485</x:v>
      </x:c>
    </x:row>
    <x:row r="262">
      <x:c r="A262" t="s">
        <x:v>3548</x:v>
      </x:c>
      <x:c r="F262" t="s">
        <x:v>3499</x:v>
      </x:c>
    </x:row>
    <x:row r="263">
      <x:c r="A263" t="s">
        <x:v>3549</x:v>
      </x:c>
      <x:c r="F263" t="s">
        <x:v>3550</x:v>
      </x:c>
    </x:row>
    <x:row r="264">
      <x:c r="A264" t="s">
        <x:v>2363</x:v>
      </x:c>
      <x:c r="F264" t="s">
        <x:v>707</x:v>
      </x:c>
    </x:row>
    <x:row r="265">
      <x:c r="A265" t="s">
        <x:v>3551</x:v>
      </x:c>
      <x:c r="F265" t="s">
        <x:v>3552</x:v>
      </x:c>
    </x:row>
    <x:row r="266">
      <x:c r="A266" t="s">
        <x:v>3553</x:v>
      </x:c>
      <x:c r="F266" t="s">
        <x:v>3554</x:v>
      </x:c>
    </x:row>
    <x:row r="267">
      <x:c r="A267" t="s">
        <x:v>3555</x:v>
      </x:c>
      <x:c r="F267" t="s">
        <x:v>3554</x:v>
      </x:c>
    </x:row>
    <x:row r="268">
      <x:c r="A268" t="s">
        <x:v>3556</x:v>
      </x:c>
      <x:c r="F268" t="s">
        <x:v>3557</x:v>
      </x:c>
    </x:row>
    <x:row r="269">
      <x:c r="A269" t="s">
        <x:v>3558</x:v>
      </x:c>
      <x:c r="F269" t="s">
        <x:v>3559</x:v>
      </x:c>
    </x:row>
    <x:row r="270">
      <x:c r="A270" t="s">
        <x:v>3560</x:v>
      </x:c>
      <x:c r="F270" t="s">
        <x:v>3136</x:v>
      </x:c>
    </x:row>
    <x:row r="271">
      <x:c r="A271" t="s">
        <x:v>3561</x:v>
      </x:c>
      <x:c r="F271" t="s">
        <x:v>3562</x:v>
      </x:c>
    </x:row>
    <x:row r="272">
      <x:c r="A272" t="s">
        <x:v>3563</x:v>
      </x:c>
      <x:c r="F272" t="s">
        <x:v>3564</x:v>
      </x:c>
    </x:row>
    <x:row r="273">
      <x:c r="A273" t="s">
        <x:v>3565</x:v>
      </x:c>
      <x:c r="F273" t="s">
        <x:v>3566</x:v>
      </x:c>
    </x:row>
    <x:row r="274">
      <x:c r="A274" t="s">
        <x:v>3567</x:v>
      </x:c>
      <x:c r="F274" t="s">
        <x:v>210</x:v>
      </x:c>
    </x:row>
    <x:row r="275">
      <x:c r="A275" t="s">
        <x:v>3568</x:v>
      </x:c>
      <x:c r="F275" t="s">
        <x:v>3569</x:v>
      </x:c>
    </x:row>
    <x:row r="276">
      <x:c r="A276" t="s">
        <x:v>3570</x:v>
      </x:c>
      <x:c r="F276" t="s">
        <x:v>3569</x:v>
      </x:c>
    </x:row>
    <x:row r="277">
      <x:c r="A277" t="s">
        <x:v>3571</x:v>
      </x:c>
    </x:row>
    <x:row r="278">
      <x:c r="A278" t="s">
        <x:v>3572</x:v>
      </x:c>
      <x:c r="F278" t="s">
        <x:v>1546</x:v>
      </x:c>
    </x:row>
    <x:row r="279">
      <x:c r="A279" t="s">
        <x:v>3573</x:v>
      </x:c>
      <x:c r="F279" t="s">
        <x:v>3574</x:v>
      </x:c>
    </x:row>
    <x:row r="280">
      <x:c r="A280" t="s">
        <x:v>3575</x:v>
      </x:c>
      <x:c r="F280" t="s">
        <x:v>3576</x:v>
      </x:c>
    </x:row>
    <x:row r="281">
      <x:c r="A281" t="s">
        <x:v>3577</x:v>
      </x:c>
      <x:c r="F281" t="s">
        <x:v>3208</x:v>
      </x:c>
    </x:row>
    <x:row r="282">
      <x:c r="A282" t="s">
        <x:v>3578</x:v>
      </x:c>
      <x:c r="F282" t="s">
        <x:v>3208</x:v>
      </x:c>
    </x:row>
    <x:row r="283">
      <x:c r="A283" t="s">
        <x:v>1714</x:v>
      </x:c>
    </x:row>
    <x:row r="284">
      <x:c r="A284" t="s">
        <x:v>1381</x:v>
      </x:c>
    </x:row>
    <x:row r="285">
      <x:c r="A285" t="s">
        <x:v>3579</x:v>
      </x:c>
      <x:c r="B285">
        <x:v>971430775</x:v>
      </x:c>
      <x:c r="F285" t="s">
        <x:v>210</x:v>
      </x:c>
    </x:row>
    <x:row r="286">
      <x:c r="A286" t="s">
        <x:v>3580</x:v>
      </x:c>
      <x:c r="B286">
        <x:v>990440701</x:v>
      </x:c>
      <x:c r="F286" t="s">
        <x:v>631</x:v>
      </x:c>
    </x:row>
    <x:row r="287">
      <x:c r="A287" t="s">
        <x:v>1452</x:v>
      </x:c>
    </x:row>
    <x:row r="288">
      <x:c r="A288" t="s">
        <x:v>3581</x:v>
      </x:c>
      <x:c r="F288" t="s">
        <x:v>631</x:v>
      </x:c>
    </x:row>
    <x:row r="289">
      <x:c r="A289" t="s">
        <x:v>1619</x:v>
      </x:c>
      <x:c r="B289">
        <x:v>950418896</x:v>
      </x:c>
      <x:c r="F289" t="s">
        <x:v>1620</x:v>
      </x:c>
    </x:row>
    <x:row r="290">
      <x:c r="A290" t="s">
        <x:v>2169</x:v>
      </x:c>
      <x:c r="B290">
        <x:v>990006387</x:v>
      </x:c>
      <x:c r="F290" t="s">
        <x:v>2170</x:v>
      </x:c>
    </x:row>
    <x:row r="291">
      <x:c r="A291" t="s">
        <x:v>1471</x:v>
      </x:c>
      <x:c r="B291">
        <x:v>946789080</x:v>
      </x:c>
      <x:c r="F291" t="s">
        <x:v>631</x:v>
      </x:c>
    </x:row>
    <x:row r="292">
      <x:c r="A292" t="s">
        <x:v>1494</x:v>
      </x:c>
      <x:c r="B292">
        <x:v>975750204</x:v>
      </x:c>
      <x:c r="F292" t="s">
        <x:v>346</x:v>
      </x:c>
    </x:row>
    <x:row r="293">
      <x:c r="A293" t="s">
        <x:v>1610</x:v>
      </x:c>
      <x:c r="B293">
        <x:v>944212985</x:v>
      </x:c>
      <x:c r="F293" t="s">
        <x:v>210</x:v>
      </x:c>
    </x:row>
    <x:row r="294">
      <x:c r="A294" t="s">
        <x:v>1688</x:v>
      </x:c>
      <x:c r="B294">
        <x:v>987483056</x:v>
      </x:c>
      <x:c r="F294" t="s">
        <x:v>1689</x:v>
      </x:c>
    </x:row>
    <x:row r="295">
      <x:c r="A295" t="s">
        <x:v>1877</x:v>
      </x:c>
      <x:c r="B295">
        <x:v>901918745</x:v>
      </x:c>
      <x:c r="F295" t="s">
        <x:v>1878</x:v>
      </x:c>
    </x:row>
    <x:row r="296">
      <x:c r="A296" t="s">
        <x:v>2152</x:v>
      </x:c>
      <x:c r="B296">
        <x:v>943089042</x:v>
      </x:c>
      <x:c r="F296" t="s">
        <x:v>1546</x:v>
      </x:c>
    </x:row>
    <x:row r="297">
      <x:c r="A297" t="s">
        <x:v>2274</x:v>
      </x:c>
      <x:c r="B297">
        <x:v>996106133</x:v>
      </x:c>
      <x:c r="F297" t="s">
        <x:v>210</x:v>
      </x:c>
    </x:row>
    <x:row r="298">
      <x:c r="A298" t="s">
        <x:v>2324</x:v>
      </x:c>
      <x:c r="B298">
        <x:v>945093839</x:v>
      </x:c>
      <x:c r="C298" t="s">
        <x:v>3076</x:v>
      </x:c>
      <x:c r="D298" t="s">
        <x:v>2328</x:v>
      </x:c>
      <x:c r="E298" t="s">
        <x:v>3582</x:v>
      </x:c>
      <x:c r="F298" t="s">
        <x:v>1546</x:v>
      </x:c>
    </x:row>
    <x:row r="299">
      <x:c r="A299" t="s">
        <x:v>2334</x:v>
      </x:c>
      <x:c r="B299">
        <x:v>999700200</x:v>
      </x:c>
      <x:c r="F299" t="s">
        <x:v>210</x:v>
      </x:c>
    </x:row>
    <x:row r="300">
      <x:c r="A300" t="s">
        <x:v>3583</x:v>
      </x:c>
      <x:c r="B300">
        <x:v>993356222</x:v>
      </x:c>
      <x:c r="F300" t="s">
        <x:v>210</x:v>
      </x:c>
    </x:row>
    <x:row r="301">
      <x:c r="A301" t="s">
        <x:v>1213</x:v>
      </x:c>
    </x:row>
    <x:row r="302">
      <x:c r="A302" t="s">
        <x:v>1520</x:v>
      </x:c>
      <x:c r="B302">
        <x:v>947422476</x:v>
      </x:c>
      <x:c r="F302" t="s">
        <x:v>631</x:v>
      </x:c>
    </x:row>
    <x:row r="303">
      <x:c r="A303" t="s">
        <x:v>3584</x:v>
      </x:c>
    </x:row>
    <x:row r="304">
      <x:c r="A304" t="s">
        <x:v>2255</x:v>
      </x:c>
    </x:row>
    <x:row r="305">
      <x:c r="A305" t="s">
        <x:v>2784</x:v>
      </x:c>
    </x:row>
    <x:row r="306">
      <x:c r="A306" t="s">
        <x:v>3585</x:v>
      </x:c>
      <x:c r="B306">
        <x:v>926323940</x:v>
      </x:c>
      <x:c r="F306" t="s">
        <x:v>3208</x:v>
      </x:c>
      <x:c r="G306" t="s">
        <x:v>3586</x:v>
      </x:c>
    </x:row>
    <x:row r="307">
      <x:c r="A307" t="s">
        <x:v>3587</x:v>
      </x:c>
      <x:c r="B307">
        <x:v>997061004</x:v>
      </x:c>
      <x:c r="F307" t="s">
        <x:v>210</x:v>
      </x:c>
    </x:row>
  </x:sheetData>
  <x:pageMargins left="0.7" right="0.7" top="0.75" bottom="0.75" header="0.3" footer="0.3"/>
  <x:tableParts count="1">
    <x:tablePart xmlns:r="http://schemas.openxmlformats.org/officeDocument/2006/relationships" r:id="R45c1824bc1914ead"/>
  </x:tableParts>
</x:worksheet>
</file>

<file path=xl/worksheets/sheet3.xml><?xml version="1.0" encoding="utf-8"?>
<x:worksheet xmlns:x="http://schemas.openxmlformats.org/spreadsheetml/2006/main">
  <x:sheetFormatPr baseColWidth="10" defaultRowHeight="14.399999618530273"/>
  <x:cols>
    <x:col min="1" max="1" width="40.109375" customWidth="1"/>
    <x:col min="2" max="2" width="13" customWidth="1"/>
  </x:cols>
  <x:sheetData>
    <x:row r="1">
      <x:c r="A1" t="s">
        <x:v>3588</x:v>
      </x:c>
      <x:c r="B1" t="s">
        <x:v>3589</x:v>
      </x:c>
    </x:row>
    <x:row r="2">
      <x:c r="A2" t="s">
        <x:v>1159</x:v>
      </x:c>
      <x:c r="B2">
        <x:v>100</x:v>
      </x:c>
    </x:row>
    <x:row r="3">
      <x:c r="A3" t="s">
        <x:v>202</x:v>
      </x:c>
      <x:c r="B3">
        <x:v>30</x:v>
      </x:c>
    </x:row>
    <x:row r="4">
      <x:c r="A4" t="s">
        <x:v>160</x:v>
      </x:c>
      <x:c r="B4">
        <x:v>30</x:v>
      </x:c>
    </x:row>
    <x:row r="5">
      <x:c r="A5" t="s">
        <x:v>91</x:v>
      </x:c>
      <x:c r="B5">
        <x:v>30</x:v>
      </x:c>
    </x:row>
    <x:row r="6">
      <x:c r="A6" t="s">
        <x:v>203</x:v>
      </x:c>
      <x:c r="B6">
        <x:v>30</x:v>
      </x:c>
    </x:row>
    <x:row r="7">
      <x:c r="A7" t="s">
        <x:v>3590</x:v>
      </x:c>
      <x:c r="B7">
        <x:v>50</x:v>
      </x:c>
    </x:row>
    <x:row r="8">
      <x:c r="A8" t="s">
        <x:v>41</x:v>
      </x:c>
      <x:c r="B8">
        <x:v>50</x:v>
      </x:c>
    </x:row>
    <x:row r="9">
      <x:c r="A9" t="s">
        <x:v>102</x:v>
      </x:c>
      <x:c r="B9">
        <x:v>50</x:v>
      </x:c>
    </x:row>
    <x:row r="10">
      <x:c r="A10" t="s">
        <x:v>2925</x:v>
      </x:c>
      <x:c r="B10">
        <x:v>50</x:v>
      </x:c>
    </x:row>
    <x:row r="11">
      <x:c r="A11" t="s">
        <x:v>159</x:v>
      </x:c>
      <x:c r="B11">
        <x:v>30</x:v>
      </x:c>
    </x:row>
    <x:row r="12">
      <x:c r="A12" t="s">
        <x:v>131</x:v>
      </x:c>
      <x:c r="B12">
        <x:v>30</x:v>
      </x:c>
    </x:row>
    <x:row r="13">
      <x:c r="A13" t="s">
        <x:v>350</x:v>
      </x:c>
      <x:c r="B13">
        <x:v>50</x:v>
      </x:c>
    </x:row>
    <x:row r="14">
      <x:c r="A14" t="s">
        <x:v>3591</x:v>
      </x:c>
      <x:c r="B14">
        <x:v>50</x:v>
      </x:c>
    </x:row>
    <x:row r="15">
      <x:c r="A15" t="s">
        <x:v>3592</x:v>
      </x:c>
      <x:c r="B15">
        <x:v>50</x:v>
      </x:c>
    </x:row>
    <x:row r="16">
      <x:c r="A16" t="s">
        <x:v>3593</x:v>
      </x:c>
      <x:c r="B16">
        <x:v>50</x:v>
      </x:c>
    </x:row>
    <x:row r="17">
      <x:c r="A17" t="s">
        <x:v>1180</x:v>
      </x:c>
      <x:c r="B17">
        <x:v>50</x:v>
      </x:c>
    </x:row>
    <x:row r="18">
      <x:c r="A18" t="s">
        <x:v>3594</x:v>
      </x:c>
      <x:c r="B18">
        <x:v>30</x:v>
      </x:c>
    </x:row>
  </x:sheetData>
  <x:pageMargins left="0.7" right="0.7" top="0.75" bottom="0.75" header="0.3" footer="0.3"/>
  <x:tableParts count="1">
    <x:tablePart xmlns:r="http://schemas.openxmlformats.org/officeDocument/2006/relationships" r:id="R15571ef302034b9a"/>
  </x:tableParts>
</x:worksheet>
</file>

<file path=xl/worksheets/sheet4.xml><?xml version="1.0" encoding="utf-8"?>
<x:worksheet xmlns:x="http://schemas.openxmlformats.org/spreadsheetml/2006/main">
  <x:sheetFormatPr baseColWidth="10" defaultRowHeight="14.399999618530273"/>
  <x:cols>
    <x:col min="1" max="1" width="10.5546875" customWidth="1"/>
    <x:col min="2" max="2" width="9.6640625" customWidth="1"/>
    <x:col min="3" max="3" width="8.109375" customWidth="1"/>
    <x:col min="4" max="4" width="14.6640625" customWidth="1"/>
    <x:col min="5" max="5" width="9" customWidth="1"/>
    <x:col min="6" max="6" width="10.44140625" customWidth="1"/>
    <x:col min="7" max="7" width="9.44140625" customWidth="1"/>
    <x:col min="8" max="8" width="45.5546875" customWidth="1"/>
    <x:col min="9" max="9" width="11.33203125" customWidth="1"/>
    <x:col min="10" max="10" width="42.88671875" customWidth="1"/>
    <x:col min="11" max="11" width="35.6640625" customWidth="1"/>
    <x:col min="12" max="12" width="8.88671875" customWidth="1"/>
    <x:col min="13" max="13" width="9.109375" customWidth="1"/>
    <x:col min="14" max="14" width="17.77734375" customWidth="1"/>
    <x:col min="15" max="15" width="65.77734375" customWidth="1"/>
    <x:col min="16" max="16" width="12.44140625" customWidth="1"/>
    <x:col min="17" max="17" width="43.88671875" customWidth="1"/>
    <x:col min="18" max="18" width="9.88671875" customWidth="1"/>
    <x:col min="19" max="19" width="13.5546875" customWidth="1"/>
    <x:col min="20" max="21" width="42.33203125" customWidth="1"/>
    <x:col min="22" max="22" width="9.5546875" customWidth="1"/>
    <x:col min="23" max="23" width="12.88671875" customWidth="1"/>
    <x:col min="24" max="24" width="10.21875" customWidth="1"/>
    <x:col min="25" max="25" width="18.77734375" customWidth="1"/>
    <x:col min="26" max="26" width="15.88671875" customWidth="1"/>
    <x:col min="27" max="27" width="8.109375" customWidth="1"/>
    <x:col min="28" max="28" width="10.33203125" customWidth="1"/>
    <x:col min="29" max="29" width="21.5546875" customWidth="1"/>
    <x:col min="30" max="30" width="5.21875" customWidth="1"/>
  </x:cols>
  <x:sheetData>
    <x:row r="1">
      <x:c r="A1" t="s">
        <x:v>0</x:v>
      </x:c>
      <x:c r="B1" t="s">
        <x:v>3595</x:v>
      </x:c>
      <x:c r="C1" t="s">
        <x:v>1</x:v>
      </x:c>
      <x:c r="D1" t="s">
        <x:v>2</x:v>
      </x:c>
      <x:c r="E1" t="s">
        <x:v>3</x:v>
      </x:c>
      <x:c r="F1" t="s">
        <x:v>4</x:v>
      </x:c>
      <x:c r="G1" t="s">
        <x:v>5</x:v>
      </x:c>
      <x:c r="H1" t="s">
        <x:v>6</x:v>
      </x:c>
      <x:c r="I1" t="s">
        <x:v>7</x:v>
      </x:c>
      <x:c r="J1" t="s">
        <x:v>8</x:v>
      </x:c>
      <x:c r="K1" t="s">
        <x:v>9</x:v>
      </x:c>
      <x:c r="L1" t="s">
        <x:v>10</x:v>
      </x:c>
      <x:c r="M1" t="s">
        <x:v>11</x:v>
      </x:c>
      <x:c r="N1" t="s">
        <x:v>12</x:v>
      </x:c>
      <x:c r="O1" t="s">
        <x:v>13</x:v>
      </x:c>
      <x:c r="P1" t="s">
        <x:v>14</x:v>
      </x:c>
      <x:c r="Q1" t="s">
        <x:v>15</x:v>
      </x:c>
      <x:c r="R1" t="s">
        <x:v>16</x:v>
      </x:c>
      <x:c r="S1" t="s">
        <x:v>17</x:v>
      </x:c>
      <x:c r="T1" t="s">
        <x:v>18</x:v>
      </x:c>
      <x:c r="U1" t="s">
        <x:v>19</x:v>
      </x:c>
      <x:c r="V1" t="s">
        <x:v>20</x:v>
      </x:c>
      <x:c r="W1" t="s">
        <x:v>21</x:v>
      </x:c>
      <x:c r="X1" t="s">
        <x:v>22</x:v>
      </x:c>
      <x:c r="Y1" t="s">
        <x:v>23</x:v>
      </x:c>
      <x:c r="Z1" t="s">
        <x:v>24</x:v>
      </x:c>
      <x:c r="AA1" t="s">
        <x:v>25</x:v>
      </x:c>
      <x:c r="AB1" t="s">
        <x:v>26</x:v>
      </x:c>
      <x:c r="AC1" t="s">
        <x:v>27</x:v>
      </x:c>
      <x:c r="AD1" t="s">
        <x:v>3596</x:v>
      </x:c>
    </x:row>
    <x:row r="2">
      <x:c r="A2" s="1">
        <x:v>46174</x:v>
      </x:c>
      <x:c r="B2" t="s">
        <x:v>3597</x:v>
      </x:c>
      <x:c r="C2" t="s">
        <x:v>28</x:v>
      </x:c>
      <x:c r="D2" t="s">
        <x:v>29</x:v>
      </x:c>
      <x:c r="E2" t="s">
        <x:v>30</x:v>
      </x:c>
      <x:c r="F2" t="s">
        <x:v>31</x:v>
      </x:c>
      <x:c r="G2" t="s">
        <x:v>32</x:v>
      </x:c>
      <x:c r="H2" t="s">
        <x:v>33</x:v>
      </x:c>
      <x:c r="I2" t="s">
        <x:v>34</x:v>
      </x:c>
      <x:c r="J2" t="s">
        <x:v>35</x:v>
      </x:c>
      <x:c r="K2" t="s">
        <x:v>36</x:v>
      </x:c>
      <x:c r="L2" t="s">
        <x:v>37</x:v>
      </x:c>
      <x:c r="M2" t="s">
        <x:v>38</x:v>
      </x:c>
      <x:c r="N2" t="s">
        <x:v>39</x:v>
      </x:c>
      <x:c r="O2" t="s">
        <x:v>33</x:v>
      </x:c>
      <x:c r="P2" t="s">
        <x:v>40</x:v>
      </x:c>
      <x:c r="Q2" t="s">
        <x:v>41</x:v>
      </x:c>
      <x:c r="R2">
        <x:v>1</x:v>
      </x:c>
      <x:c r="S2" t="s">
        <x:v>42</x:v>
      </x:c>
      <x:c r="T2" t="s">
        <x:v>43</x:v>
      </x:c>
      <x:c r="U2" t="s">
        <x:v>44</x:v>
      </x:c>
      <x:c r="V2" t="s">
        <x:v>45</x:v>
      </x:c>
      <x:c r="W2" t="s">
        <x:v>46</x:v>
      </x:c>
      <x:c r="X2">
        <x:v>186.44</x:v>
      </x:c>
      <x:c r="Y2" t="s">
        <x:v>47</x:v>
      </x:c>
      <x:c r="Z2" t="s">
        <x:v>48</x:v>
      </x:c>
      <x:c r="AA2" t="s">
        <x:v>49</x:v>
      </x:c>
      <x:c r="AB2">
        <x:v>999996347</x:v>
      </x:c>
      <x:c r="AC2" t="s">
        <x:v>50</x:v>
      </x:c>
      <x:c r="AD2">
        <x:v>50</x:v>
      </x:c>
    </x:row>
    <x:row r="3">
      <x:c r="A3" s="1">
        <x:v>46174</x:v>
      </x:c>
      <x:c r="B3" t="s">
        <x:v>3597</x:v>
      </x:c>
      <x:c r="C3" t="s">
        <x:v>104</x:v>
      </x:c>
      <x:c r="D3" t="s">
        <x:v>29</x:v>
      </x:c>
      <x:c r="E3" t="s">
        <x:v>105</x:v>
      </x:c>
      <x:c r="F3" t="s">
        <x:v>31</x:v>
      </x:c>
      <x:c r="G3" t="s">
        <x:v>106</x:v>
      </x:c>
      <x:c r="H3" t="s">
        <x:v>107</x:v>
      </x:c>
      <x:c r="I3" t="s">
        <x:v>108</x:v>
      </x:c>
      <x:c r="J3" t="s">
        <x:v>97</x:v>
      </x:c>
      <x:c r="K3" t="s">
        <x:v>98</x:v>
      </x:c>
      <x:c r="L3" t="s">
        <x:v>37</x:v>
      </x:c>
      <x:c r="M3" t="s">
        <x:v>109</x:v>
      </x:c>
      <x:c r="N3" t="s">
        <x:v>110</x:v>
      </x:c>
      <x:c r="O3" t="s">
        <x:v>107</x:v>
      </x:c>
      <x:c r="P3" t="s">
        <x:v>111</x:v>
      </x:c>
      <x:c r="Q3" t="s">
        <x:v>41</x:v>
      </x:c>
      <x:c r="R3">
        <x:v>1</x:v>
      </x:c>
      <x:c r="S3" t="s">
        <x:v>42</x:v>
      </x:c>
      <x:c r="T3" t="s">
        <x:v>43</x:v>
      </x:c>
      <x:c r="U3" t="s">
        <x:v>44</x:v>
      </x:c>
      <x:c r="V3" t="s">
        <x:v>45</x:v>
      </x:c>
      <x:c r="W3" t="s">
        <x:v>60</x:v>
      </x:c>
      <x:c r="X3">
        <x:v>186.44</x:v>
      </x:c>
      <x:c r="Y3" t="s">
        <x:v>47</x:v>
      </x:c>
      <x:c r="Z3" t="s">
        <x:v>48</x:v>
      </x:c>
      <x:c r="AA3" t="s">
        <x:v>49</x:v>
      </x:c>
      <x:c r="AB3">
        <x:v>964328569</x:v>
      </x:c>
      <x:c r="AC3" t="s">
        <x:v>103</x:v>
      </x:c>
      <x:c r="AD3">
        <x:v>50</x:v>
      </x:c>
    </x:row>
    <x:row r="4">
      <x:c r="A4" s="1">
        <x:v>46174</x:v>
      </x:c>
      <x:c r="B4" t="s">
        <x:v>3597</x:v>
      </x:c>
      <x:c r="C4" t="s">
        <x:v>82</x:v>
      </x:c>
      <x:c r="D4" t="s">
        <x:v>29</x:v>
      </x:c>
      <x:c r="E4" t="s">
        <x:v>83</x:v>
      </x:c>
      <x:c r="F4" t="s">
        <x:v>31</x:v>
      </x:c>
      <x:c r="G4" t="s">
        <x:v>84</x:v>
      </x:c>
      <x:c r="H4" t="s">
        <x:v>85</x:v>
      </x:c>
      <x:c r="I4" t="s">
        <x:v>86</x:v>
      </x:c>
      <x:c r="J4" t="s">
        <x:v>3435</x:v>
      </x:c>
      <x:c r="K4" t="s">
        <x:v>1906</x:v>
      </x:c>
      <x:c r="L4" t="s">
        <x:v>37</x:v>
      </x:c>
      <x:c r="M4" t="s">
        <x:v>88</x:v>
      </x:c>
      <x:c r="N4" t="s">
        <x:v>89</x:v>
      </x:c>
      <x:c r="O4" t="s">
        <x:v>85</x:v>
      </x:c>
      <x:c r="P4" t="s">
        <x:v>90</x:v>
      </x:c>
      <x:c r="Q4" t="s">
        <x:v>91</x:v>
      </x:c>
      <x:c r="R4">
        <x:v>1</x:v>
      </x:c>
      <x:c r="S4" t="s">
        <x:v>42</x:v>
      </x:c>
      <x:c r="T4" t="s">
        <x:v>43</x:v>
      </x:c>
      <x:c r="U4" t="s">
        <x:v>44</x:v>
      </x:c>
      <x:c r="V4" t="s">
        <x:v>45</x:v>
      </x:c>
      <x:c r="W4" t="s">
        <x:v>46</x:v>
      </x:c>
      <x:c r="X4">
        <x:v>135.59</x:v>
      </x:c>
      <x:c r="Y4" t="s">
        <x:v>47</x:v>
      </x:c>
      <x:c r="Z4" t="s">
        <x:v>48</x:v>
      </x:c>
      <x:c r="AA4" t="s">
        <x:v>49</x:v>
      </x:c>
      <x:c r="AB4">
        <x:v>999421990</x:v>
      </x:c>
      <x:c r="AD4">
        <x:v>30</x:v>
      </x:c>
    </x:row>
    <x:row r="5">
      <x:c r="A5" s="1">
        <x:v>46174</x:v>
      </x:c>
      <x:c r="B5" t="s">
        <x:v>3597</x:v>
      </x:c>
      <x:c r="C5" t="s">
        <x:v>112</x:v>
      </x:c>
      <x:c r="D5" t="s">
        <x:v>29</x:v>
      </x:c>
      <x:c r="E5" t="s">
        <x:v>113</x:v>
      </x:c>
      <x:c r="F5" t="s">
        <x:v>31</x:v>
      </x:c>
      <x:c r="G5" t="s">
        <x:v>114</x:v>
      </x:c>
      <x:c r="H5" t="s">
        <x:v>115</x:v>
      </x:c>
      <x:c r="I5" t="s">
        <x:v>116</x:v>
      </x:c>
      <x:c r="J5" t="s">
        <x:v>117</x:v>
      </x:c>
      <x:c r="K5" t="s">
        <x:v>118</x:v>
      </x:c>
      <x:c r="L5" t="s">
        <x:v>37</x:v>
      </x:c>
      <x:c r="M5" t="s">
        <x:v>119</x:v>
      </x:c>
      <x:c r="N5" t="s">
        <x:v>120</x:v>
      </x:c>
      <x:c r="O5" t="s">
        <x:v>115</x:v>
      </x:c>
      <x:c r="P5" t="s">
        <x:v>121</x:v>
      </x:c>
      <x:c r="Q5" t="s">
        <x:v>91</x:v>
      </x:c>
      <x:c r="R5">
        <x:v>1</x:v>
      </x:c>
      <x:c r="S5" t="s">
        <x:v>42</x:v>
      </x:c>
      <x:c r="T5" t="s">
        <x:v>43</x:v>
      </x:c>
      <x:c r="U5" t="s">
        <x:v>44</x:v>
      </x:c>
      <x:c r="V5" t="s">
        <x:v>45</x:v>
      </x:c>
      <x:c r="W5" t="s">
        <x:v>60</x:v>
      </x:c>
      <x:c r="X5">
        <x:v>135.59</x:v>
      </x:c>
      <x:c r="Y5" t="s">
        <x:v>47</x:v>
      </x:c>
      <x:c r="Z5" t="s">
        <x:v>48</x:v>
      </x:c>
      <x:c r="AA5" t="s">
        <x:v>49</x:v>
      </x:c>
      <x:c r="AB5">
        <x:v>945319366</x:v>
      </x:c>
      <x:c r="AC5" t="s">
        <x:v>122</x:v>
      </x:c>
      <x:c r="AD5">
        <x:v>30</x:v>
      </x:c>
    </x:row>
    <x:row r="6">
      <x:c r="A6" s="1">
        <x:v>46174</x:v>
      </x:c>
      <x:c r="B6" t="s">
        <x:v>3597</x:v>
      </x:c>
      <x:c r="C6" t="s">
        <x:v>132</x:v>
      </x:c>
      <x:c r="D6" t="s">
        <x:v>29</x:v>
      </x:c>
      <x:c r="E6" t="s">
        <x:v>133</x:v>
      </x:c>
      <x:c r="F6" t="s">
        <x:v>31</x:v>
      </x:c>
      <x:c r="G6" t="s">
        <x:v>134</x:v>
      </x:c>
      <x:c r="H6" t="s">
        <x:v>135</x:v>
      </x:c>
      <x:c r="I6" t="s">
        <x:v>136</x:v>
      </x:c>
      <x:c r="J6" t="s">
        <x:v>137</x:v>
      </x:c>
      <x:c r="K6" t="s">
        <x:v>138</x:v>
      </x:c>
      <x:c r="L6" t="s">
        <x:v>37</x:v>
      </x:c>
      <x:c r="M6" t="s">
        <x:v>139</x:v>
      </x:c>
      <x:c r="N6" t="s">
        <x:v>140</x:v>
      </x:c>
      <x:c r="O6" t="s">
        <x:v>135</x:v>
      </x:c>
      <x:c r="P6" t="s">
        <x:v>141</x:v>
      </x:c>
      <x:c r="Q6" t="s">
        <x:v>91</x:v>
      </x:c>
      <x:c r="R6">
        <x:v>1</x:v>
      </x:c>
      <x:c r="S6" t="s">
        <x:v>70</x:v>
      </x:c>
      <x:c r="T6" t="s">
        <x:v>43</x:v>
      </x:c>
      <x:c r="U6" t="s">
        <x:v>44</x:v>
      </x:c>
      <x:c r="V6" t="s">
        <x:v>71</x:v>
      </x:c>
      <x:c r="W6" t="s">
        <x:v>72</x:v>
      </x:c>
      <x:c r="X6">
        <x:v>135.59</x:v>
      </x:c>
      <x:c r="Y6" t="s">
        <x:v>47</x:v>
      </x:c>
      <x:c r="Z6" t="s">
        <x:v>48</x:v>
      </x:c>
      <x:c r="AA6" t="s">
        <x:v>73</x:v>
      </x:c>
      <x:c r="AB6">
        <x:v>987407712</x:v>
      </x:c>
      <x:c r="AC6" t="s">
        <x:v>142</x:v>
      </x:c>
      <x:c r="AD6">
        <x:v>30</x:v>
      </x:c>
    </x:row>
    <x:row r="7">
      <x:c r="A7" s="1">
        <x:v>46174</x:v>
      </x:c>
      <x:c r="B7" t="s">
        <x:v>3597</x:v>
      </x:c>
      <x:c r="C7" t="s">
        <x:v>92</x:v>
      </x:c>
      <x:c r="D7" t="s">
        <x:v>29</x:v>
      </x:c>
      <x:c r="E7" t="s">
        <x:v>93</x:v>
      </x:c>
      <x:c r="F7" t="s">
        <x:v>31</x:v>
      </x:c>
      <x:c r="G7" t="s">
        <x:v>94</x:v>
      </x:c>
      <x:c r="H7" t="s">
        <x:v>95</x:v>
      </x:c>
      <x:c r="I7" t="s">
        <x:v>96</x:v>
      </x:c>
      <x:c r="J7" t="s">
        <x:v>97</x:v>
      </x:c>
      <x:c r="K7" t="s">
        <x:v>98</x:v>
      </x:c>
      <x:c r="L7" t="s">
        <x:v>37</x:v>
      </x:c>
      <x:c r="M7" t="s">
        <x:v>99</x:v>
      </x:c>
      <x:c r="N7" t="s">
        <x:v>100</x:v>
      </x:c>
      <x:c r="O7" t="s">
        <x:v>95</x:v>
      </x:c>
      <x:c r="P7" t="s">
        <x:v>101</x:v>
      </x:c>
      <x:c r="Q7" t="s">
        <x:v>102</x:v>
      </x:c>
      <x:c r="R7">
        <x:v>1</x:v>
      </x:c>
      <x:c r="S7" t="s">
        <x:v>42</x:v>
      </x:c>
      <x:c r="T7" t="s">
        <x:v>43</x:v>
      </x:c>
      <x:c r="U7" t="s">
        <x:v>44</x:v>
      </x:c>
      <x:c r="V7" t="s">
        <x:v>45</x:v>
      </x:c>
      <x:c r="W7" t="s">
        <x:v>60</x:v>
      </x:c>
      <x:c r="X7">
        <x:v>186.44</x:v>
      </x:c>
      <x:c r="Y7" t="s">
        <x:v>47</x:v>
      </x:c>
      <x:c r="Z7" t="s">
        <x:v>48</x:v>
      </x:c>
      <x:c r="AA7" t="s">
        <x:v>49</x:v>
      </x:c>
      <x:c r="AB7">
        <x:v>964328569</x:v>
      </x:c>
      <x:c r="AC7" t="s">
        <x:v>103</x:v>
      </x:c>
      <x:c r="AD7">
        <x:v>50</x:v>
      </x:c>
    </x:row>
    <x:row r="8">
      <x:c r="A8" s="1">
        <x:v>46175</x:v>
      </x:c>
      <x:c r="B8" t="s">
        <x:v>3597</x:v>
      </x:c>
      <x:c r="C8" t="s">
        <x:v>204</x:v>
      </x:c>
      <x:c r="D8" t="s">
        <x:v>29</x:v>
      </x:c>
      <x:c r="E8" t="s">
        <x:v>205</x:v>
      </x:c>
      <x:c r="F8" t="s">
        <x:v>31</x:v>
      </x:c>
      <x:c r="G8" t="s">
        <x:v>206</x:v>
      </x:c>
      <x:c r="H8" t="s">
        <x:v>207</x:v>
      </x:c>
      <x:c r="I8" t="s">
        <x:v>208</x:v>
      </x:c>
      <x:c r="J8" t="s">
        <x:v>209</x:v>
      </x:c>
      <x:c r="K8" t="s">
        <x:v>210</x:v>
      </x:c>
      <x:c r="L8" t="s">
        <x:v>37</x:v>
      </x:c>
      <x:c r="M8" t="s">
        <x:v>211</x:v>
      </x:c>
      <x:c r="N8" t="s">
        <x:v>212</x:v>
      </x:c>
      <x:c r="O8" t="s">
        <x:v>207</x:v>
      </x:c>
      <x:c r="P8" t="s">
        <x:v>213</x:v>
      </x:c>
      <x:c r="Q8" t="s">
        <x:v>214</x:v>
      </x:c>
      <x:c r="R8">
        <x:v>1</x:v>
      </x:c>
      <x:c r="S8" t="s">
        <x:v>42</x:v>
      </x:c>
      <x:c r="T8" t="s">
        <x:v>43</x:v>
      </x:c>
      <x:c r="U8" t="s">
        <x:v>44</x:v>
      </x:c>
      <x:c r="V8" t="s">
        <x:v>45</x:v>
      </x:c>
      <x:c r="W8" t="s">
        <x:v>46</x:v>
      </x:c>
      <x:c r="X8">
        <x:v>254.24</x:v>
      </x:c>
      <x:c r="Y8" t="s">
        <x:v>61</x:v>
      </x:c>
      <x:c r="Z8" t="s">
        <x:v>48</x:v>
      </x:c>
      <x:c r="AA8" t="s">
        <x:v>49</x:v>
      </x:c>
    </x:row>
    <x:row r="9">
      <x:c r="A9" s="1">
        <x:v>46176</x:v>
      </x:c>
      <x:c r="B9" t="s">
        <x:v>3597</x:v>
      </x:c>
      <x:c r="C9" t="s">
        <x:v>223</x:v>
      </x:c>
      <x:c r="D9" t="s">
        <x:v>29</x:v>
      </x:c>
      <x:c r="E9" t="s">
        <x:v>224</x:v>
      </x:c>
      <x:c r="F9" t="s">
        <x:v>31</x:v>
      </x:c>
      <x:c r="G9" t="s">
        <x:v>225</x:v>
      </x:c>
      <x:c r="H9" t="s">
        <x:v>226</x:v>
      </x:c>
      <x:c r="I9" t="s">
        <x:v>227</x:v>
      </x:c>
      <x:c r="J9" t="s">
        <x:v>3598</x:v>
      </x:c>
      <x:c r="K9" t="s">
        <x:v>777</x:v>
      </x:c>
      <x:c r="L9" t="s">
        <x:v>37</x:v>
      </x:c>
      <x:c r="M9" t="s">
        <x:v>229</x:v>
      </x:c>
      <x:c r="N9" t="s">
        <x:v>230</x:v>
      </x:c>
      <x:c r="O9" t="s">
        <x:v>226</x:v>
      </x:c>
      <x:c r="P9" t="s">
        <x:v>231</x:v>
      </x:c>
      <x:c r="Q9" t="s">
        <x:v>160</x:v>
      </x:c>
      <x:c r="R9">
        <x:v>1</x:v>
      </x:c>
      <x:c r="S9" t="s">
        <x:v>42</x:v>
      </x:c>
      <x:c r="T9" t="s">
        <x:v>43</x:v>
      </x:c>
      <x:c r="U9" t="s">
        <x:v>44</x:v>
      </x:c>
      <x:c r="V9" t="s">
        <x:v>45</x:v>
      </x:c>
      <x:c r="W9" t="s">
        <x:v>46</x:v>
      </x:c>
      <x:c r="X9">
        <x:v>135.59</x:v>
      </x:c>
      <x:c r="Y9" t="s">
        <x:v>47</x:v>
      </x:c>
      <x:c r="Z9" t="s">
        <x:v>48</x:v>
      </x:c>
      <x:c r="AA9" t="s">
        <x:v>49</x:v>
      </x:c>
      <x:c r="AD9">
        <x:v>30</x:v>
      </x:c>
    </x:row>
    <x:row r="10">
      <x:c r="A10" s="1">
        <x:v>46176</x:v>
      </x:c>
      <x:c r="B10" t="s">
        <x:v>3597</x:v>
      </x:c>
      <x:c r="C10" t="s">
        <x:v>232</x:v>
      </x:c>
      <x:c r="D10" t="s">
        <x:v>29</x:v>
      </x:c>
      <x:c r="E10" t="s">
        <x:v>233</x:v>
      </x:c>
      <x:c r="F10" t="s">
        <x:v>31</x:v>
      </x:c>
      <x:c r="G10" t="s">
        <x:v>234</x:v>
      </x:c>
      <x:c r="H10" t="s">
        <x:v>235</x:v>
      </x:c>
      <x:c r="I10" t="s">
        <x:v>236</x:v>
      </x:c>
      <x:c r="J10" t="s">
        <x:v>412</x:v>
      </x:c>
      <x:c r="K10" t="s">
        <x:v>413</x:v>
      </x:c>
      <x:c r="L10" t="s">
        <x:v>37</x:v>
      </x:c>
      <x:c r="M10" t="s">
        <x:v>238</x:v>
      </x:c>
      <x:c r="N10" t="s">
        <x:v>239</x:v>
      </x:c>
      <x:c r="O10" t="s">
        <x:v>235</x:v>
      </x:c>
      <x:c r="P10" t="s">
        <x:v>240</x:v>
      </x:c>
      <x:c r="Q10" t="s">
        <x:v>41</x:v>
      </x:c>
      <x:c r="R10">
        <x:v>1</x:v>
      </x:c>
      <x:c r="S10" t="s">
        <x:v>42</x:v>
      </x:c>
      <x:c r="T10" t="s">
        <x:v>43</x:v>
      </x:c>
      <x:c r="U10" t="s">
        <x:v>44</x:v>
      </x:c>
      <x:c r="V10" t="s">
        <x:v>45</x:v>
      </x:c>
      <x:c r="W10" t="s">
        <x:v>60</x:v>
      </x:c>
      <x:c r="X10">
        <x:v>186.44</x:v>
      </x:c>
      <x:c r="Y10" t="s">
        <x:v>47</x:v>
      </x:c>
      <x:c r="Z10" t="s">
        <x:v>48</x:v>
      </x:c>
      <x:c r="AA10" t="s">
        <x:v>49</x:v>
      </x:c>
      <x:c r="AB10">
        <x:v>982673362</x:v>
      </x:c>
      <x:c r="AC10" t="s">
        <x:v>417</x:v>
      </x:c>
      <x:c r="AD10">
        <x:v>50</x:v>
      </x:c>
    </x:row>
    <x:row r="11">
      <x:c r="A11" s="1">
        <x:v>46176</x:v>
      </x:c>
      <x:c r="B11" t="s">
        <x:v>3597</x:v>
      </x:c>
      <x:c r="C11" t="s">
        <x:v>232</x:v>
      </x:c>
      <x:c r="D11" t="s">
        <x:v>29</x:v>
      </x:c>
      <x:c r="E11" t="s">
        <x:v>233</x:v>
      </x:c>
      <x:c r="F11" t="s">
        <x:v>31</x:v>
      </x:c>
      <x:c r="G11" t="s">
        <x:v>234</x:v>
      </x:c>
      <x:c r="H11" t="s">
        <x:v>235</x:v>
      </x:c>
      <x:c r="I11" t="s">
        <x:v>236</x:v>
      </x:c>
      <x:c r="J11" t="s">
        <x:v>412</x:v>
      </x:c>
      <x:c r="K11" t="s">
        <x:v>413</x:v>
      </x:c>
      <x:c r="L11" t="s">
        <x:v>37</x:v>
      </x:c>
      <x:c r="M11" t="s">
        <x:v>238</x:v>
      </x:c>
      <x:c r="N11" t="s">
        <x:v>239</x:v>
      </x:c>
      <x:c r="O11" t="s">
        <x:v>235</x:v>
      </x:c>
      <x:c r="P11" t="s">
        <x:v>240</x:v>
      </x:c>
      <x:c r="Q11" t="s">
        <x:v>102</x:v>
      </x:c>
      <x:c r="R11">
        <x:v>1</x:v>
      </x:c>
      <x:c r="S11" t="s">
        <x:v>42</x:v>
      </x:c>
      <x:c r="T11" t="s">
        <x:v>43</x:v>
      </x:c>
      <x:c r="U11" t="s">
        <x:v>44</x:v>
      </x:c>
      <x:c r="V11" t="s">
        <x:v>45</x:v>
      </x:c>
      <x:c r="W11" t="s">
        <x:v>60</x:v>
      </x:c>
      <x:c r="X11">
        <x:v>186.44</x:v>
      </x:c>
      <x:c r="Y11" t="s">
        <x:v>47</x:v>
      </x:c>
      <x:c r="Z11" t="s">
        <x:v>48</x:v>
      </x:c>
      <x:c r="AA11" t="s">
        <x:v>49</x:v>
      </x:c>
      <x:c r="AB11">
        <x:v>982673362</x:v>
      </x:c>
      <x:c r="AC11" t="s">
        <x:v>417</x:v>
      </x:c>
      <x:c r="AD11">
        <x:v>50</x:v>
      </x:c>
    </x:row>
    <x:row r="12">
      <x:c r="A12" s="1">
        <x:v>46176</x:v>
      </x:c>
      <x:c r="B12" t="s">
        <x:v>3597</x:v>
      </x:c>
      <x:c r="C12" t="s">
        <x:v>241</x:v>
      </x:c>
      <x:c r="D12" t="s">
        <x:v>29</x:v>
      </x:c>
      <x:c r="E12" t="s">
        <x:v>242</x:v>
      </x:c>
      <x:c r="F12" t="s">
        <x:v>31</x:v>
      </x:c>
      <x:c r="G12" t="s">
        <x:v>243</x:v>
      </x:c>
      <x:c r="H12" t="s">
        <x:v>244</x:v>
      </x:c>
      <x:c r="I12" t="s">
        <x:v>245</x:v>
      </x:c>
      <x:c r="J12" t="s">
        <x:v>412</x:v>
      </x:c>
      <x:c r="K12" t="s">
        <x:v>413</x:v>
      </x:c>
      <x:c r="L12" t="s">
        <x:v>37</x:v>
      </x:c>
      <x:c r="M12" t="s">
        <x:v>246</x:v>
      </x:c>
      <x:c r="N12" t="s">
        <x:v>247</x:v>
      </x:c>
      <x:c r="O12" t="s">
        <x:v>244</x:v>
      </x:c>
      <x:c r="P12" t="s">
        <x:v>248</x:v>
      </x:c>
      <x:c r="Q12" t="s">
        <x:v>41</x:v>
      </x:c>
      <x:c r="R12">
        <x:v>1</x:v>
      </x:c>
      <x:c r="S12" t="s">
        <x:v>42</x:v>
      </x:c>
      <x:c r="T12" t="s">
        <x:v>43</x:v>
      </x:c>
      <x:c r="U12" t="s">
        <x:v>44</x:v>
      </x:c>
      <x:c r="V12" t="s">
        <x:v>45</x:v>
      </x:c>
      <x:c r="W12" t="s">
        <x:v>60</x:v>
      </x:c>
      <x:c r="X12">
        <x:v>186.44</x:v>
      </x:c>
      <x:c r="Y12" t="s">
        <x:v>47</x:v>
      </x:c>
      <x:c r="Z12" t="s">
        <x:v>48</x:v>
      </x:c>
      <x:c r="AA12" t="s">
        <x:v>49</x:v>
      </x:c>
      <x:c r="AB12">
        <x:v>982673362</x:v>
      </x:c>
      <x:c r="AC12" t="s">
        <x:v>417</x:v>
      </x:c>
      <x:c r="AD12">
        <x:v>50</x:v>
      </x:c>
    </x:row>
    <x:row r="13">
      <x:c r="A13" s="1">
        <x:v>46176</x:v>
      </x:c>
      <x:c r="B13" t="s">
        <x:v>3597</x:v>
      </x:c>
      <x:c r="C13" t="s">
        <x:v>241</x:v>
      </x:c>
      <x:c r="D13" t="s">
        <x:v>29</x:v>
      </x:c>
      <x:c r="E13" t="s">
        <x:v>242</x:v>
      </x:c>
      <x:c r="F13" t="s">
        <x:v>31</x:v>
      </x:c>
      <x:c r="G13" t="s">
        <x:v>243</x:v>
      </x:c>
      <x:c r="H13" t="s">
        <x:v>244</x:v>
      </x:c>
      <x:c r="I13" t="s">
        <x:v>245</x:v>
      </x:c>
      <x:c r="J13" t="s">
        <x:v>412</x:v>
      </x:c>
      <x:c r="K13" t="s">
        <x:v>413</x:v>
      </x:c>
      <x:c r="L13" t="s">
        <x:v>37</x:v>
      </x:c>
      <x:c r="M13" t="s">
        <x:v>246</x:v>
      </x:c>
      <x:c r="N13" t="s">
        <x:v>247</x:v>
      </x:c>
      <x:c r="O13" t="s">
        <x:v>244</x:v>
      </x:c>
      <x:c r="P13" t="s">
        <x:v>248</x:v>
      </x:c>
      <x:c r="Q13" t="s">
        <x:v>102</x:v>
      </x:c>
      <x:c r="R13">
        <x:v>1</x:v>
      </x:c>
      <x:c r="S13" t="s">
        <x:v>42</x:v>
      </x:c>
      <x:c r="T13" t="s">
        <x:v>43</x:v>
      </x:c>
      <x:c r="U13" t="s">
        <x:v>44</x:v>
      </x:c>
      <x:c r="V13" t="s">
        <x:v>45</x:v>
      </x:c>
      <x:c r="W13" t="s">
        <x:v>60</x:v>
      </x:c>
      <x:c r="X13">
        <x:v>186.44</x:v>
      </x:c>
      <x:c r="Y13" t="s">
        <x:v>47</x:v>
      </x:c>
      <x:c r="Z13" t="s">
        <x:v>48</x:v>
      </x:c>
      <x:c r="AA13" t="s">
        <x:v>49</x:v>
      </x:c>
      <x:c r="AB13">
        <x:v>982673362</x:v>
      </x:c>
      <x:c r="AC13" t="s">
        <x:v>417</x:v>
      </x:c>
      <x:c r="AD13">
        <x:v>50</x:v>
      </x:c>
    </x:row>
    <x:row r="14">
      <x:c r="A14" s="1">
        <x:v>46176</x:v>
      </x:c>
      <x:c r="B14" t="s">
        <x:v>3597</x:v>
      </x:c>
      <x:c r="C14" t="s">
        <x:v>257</x:v>
      </x:c>
      <x:c r="D14" t="s">
        <x:v>29</x:v>
      </x:c>
      <x:c r="E14" t="s">
        <x:v>258</x:v>
      </x:c>
      <x:c r="F14" t="s">
        <x:v>31</x:v>
      </x:c>
      <x:c r="G14" t="s">
        <x:v>259</x:v>
      </x:c>
      <x:c r="H14" t="s">
        <x:v>260</x:v>
      </x:c>
      <x:c r="I14" t="s">
        <x:v>261</x:v>
      </x:c>
      <x:c r="J14" t="s">
        <x:v>262</x:v>
      </x:c>
      <x:c r="K14" t="s">
        <x:v>263</x:v>
      </x:c>
      <x:c r="L14" t="s">
        <x:v>37</x:v>
      </x:c>
      <x:c r="M14" t="s">
        <x:v>264</x:v>
      </x:c>
      <x:c r="N14" t="s">
        <x:v>265</x:v>
      </x:c>
      <x:c r="O14" t="s">
        <x:v>260</x:v>
      </x:c>
      <x:c r="P14" t="s">
        <x:v>266</x:v>
      </x:c>
      <x:c r="Q14" t="s">
        <x:v>41</x:v>
      </x:c>
      <x:c r="R14">
        <x:v>1</x:v>
      </x:c>
      <x:c r="S14" t="s">
        <x:v>42</x:v>
      </x:c>
      <x:c r="T14" t="s">
        <x:v>43</x:v>
      </x:c>
      <x:c r="U14" t="s">
        <x:v>44</x:v>
      </x:c>
      <x:c r="V14" t="s">
        <x:v>45</x:v>
      </x:c>
      <x:c r="W14" t="s">
        <x:v>60</x:v>
      </x:c>
      <x:c r="X14">
        <x:v>186.44</x:v>
      </x:c>
      <x:c r="Y14" t="s">
        <x:v>47</x:v>
      </x:c>
      <x:c r="Z14" t="s">
        <x:v>48</x:v>
      </x:c>
      <x:c r="AA14" t="s">
        <x:v>49</x:v>
      </x:c>
      <x:c r="AB14">
        <x:v>981214114</x:v>
      </x:c>
      <x:c r="AC14" t="s">
        <x:v>267</x:v>
      </x:c>
      <x:c r="AD14">
        <x:v>50</x:v>
      </x:c>
    </x:row>
    <x:row r="15">
      <x:c r="A15" s="1">
        <x:v>46176</x:v>
      </x:c>
      <x:c r="B15" t="s">
        <x:v>3597</x:v>
      </x:c>
      <x:c r="C15" t="s">
        <x:v>257</x:v>
      </x:c>
      <x:c r="D15" t="s">
        <x:v>29</x:v>
      </x:c>
      <x:c r="E15" t="s">
        <x:v>258</x:v>
      </x:c>
      <x:c r="F15" t="s">
        <x:v>31</x:v>
      </x:c>
      <x:c r="G15" t="s">
        <x:v>259</x:v>
      </x:c>
      <x:c r="H15" t="s">
        <x:v>260</x:v>
      </x:c>
      <x:c r="I15" t="s">
        <x:v>261</x:v>
      </x:c>
      <x:c r="J15" t="s">
        <x:v>262</x:v>
      </x:c>
      <x:c r="K15" t="s">
        <x:v>263</x:v>
      </x:c>
      <x:c r="L15" t="s">
        <x:v>37</x:v>
      </x:c>
      <x:c r="M15" t="s">
        <x:v>264</x:v>
      </x:c>
      <x:c r="N15" t="s">
        <x:v>265</x:v>
      </x:c>
      <x:c r="O15" t="s">
        <x:v>260</x:v>
      </x:c>
      <x:c r="P15" t="s">
        <x:v>266</x:v>
      </x:c>
      <x:c r="Q15" t="s">
        <x:v>159</x:v>
      </x:c>
      <x:c r="R15">
        <x:v>1</x:v>
      </x:c>
      <x:c r="S15" t="s">
        <x:v>42</x:v>
      </x:c>
      <x:c r="T15" t="s">
        <x:v>43</x:v>
      </x:c>
      <x:c r="U15" t="s">
        <x:v>44</x:v>
      </x:c>
      <x:c r="V15" t="s">
        <x:v>45</x:v>
      </x:c>
      <x:c r="W15" t="s">
        <x:v>60</x:v>
      </x:c>
      <x:c r="X15">
        <x:v>152.54</x:v>
      </x:c>
      <x:c r="Y15" t="s">
        <x:v>47</x:v>
      </x:c>
      <x:c r="Z15" t="s">
        <x:v>48</x:v>
      </x:c>
      <x:c r="AA15" t="s">
        <x:v>49</x:v>
      </x:c>
      <x:c r="AB15">
        <x:v>981214114</x:v>
      </x:c>
      <x:c r="AC15" t="s">
        <x:v>267</x:v>
      </x:c>
      <x:c r="AD15">
        <x:v>30</x:v>
      </x:c>
    </x:row>
    <x:row r="16">
      <x:c r="A16" s="1">
        <x:v>46177</x:v>
      </x:c>
      <x:c r="B16" t="s">
        <x:v>3597</x:v>
      </x:c>
      <x:c r="C16" t="s">
        <x:v>143</x:v>
      </x:c>
      <x:c r="D16" t="s">
        <x:v>29</x:v>
      </x:c>
      <x:c r="E16" t="s">
        <x:v>144</x:v>
      </x:c>
      <x:c r="F16" t="s">
        <x:v>31</x:v>
      </x:c>
      <x:c r="G16" t="s">
        <x:v>145</x:v>
      </x:c>
      <x:c r="H16" t="s">
        <x:v>146</x:v>
      </x:c>
      <x:c r="I16" t="s">
        <x:v>147</x:v>
      </x:c>
      <x:c r="J16" t="s">
        <x:v>137</x:v>
      </x:c>
      <x:c r="K16" t="s">
        <x:v>138</x:v>
      </x:c>
      <x:c r="L16" t="s">
        <x:v>37</x:v>
      </x:c>
      <x:c r="M16" t="s">
        <x:v>148</x:v>
      </x:c>
      <x:c r="N16" t="s">
        <x:v>149</x:v>
      </x:c>
      <x:c r="O16" t="s">
        <x:v>146</x:v>
      </x:c>
      <x:c r="P16" t="s">
        <x:v>150</x:v>
      </x:c>
      <x:c r="Q16" t="s">
        <x:v>41</x:v>
      </x:c>
      <x:c r="R16">
        <x:v>1</x:v>
      </x:c>
      <x:c r="S16" t="s">
        <x:v>42</x:v>
      </x:c>
      <x:c r="T16" t="s">
        <x:v>43</x:v>
      </x:c>
      <x:c r="U16" t="s">
        <x:v>44</x:v>
      </x:c>
      <x:c r="V16" t="s">
        <x:v>45</x:v>
      </x:c>
      <x:c r="W16" t="s">
        <x:v>46</x:v>
      </x:c>
      <x:c r="X16">
        <x:v>186.44</x:v>
      </x:c>
      <x:c r="Y16" t="s">
        <x:v>47</x:v>
      </x:c>
      <x:c r="Z16" t="s">
        <x:v>48</x:v>
      </x:c>
      <x:c r="AA16" t="s">
        <x:v>49</x:v>
      </x:c>
      <x:c r="AB16">
        <x:v>987407712</x:v>
      </x:c>
      <x:c r="AC16" t="s">
        <x:v>142</x:v>
      </x:c>
      <x:c r="AD16">
        <x:v>50</x:v>
      </x:c>
    </x:row>
    <x:row r="17">
      <x:c r="A17" s="1">
        <x:v>46177</x:v>
      </x:c>
      <x:c r="B17" t="s">
        <x:v>3597</x:v>
      </x:c>
      <x:c r="C17" t="s">
        <x:v>340</x:v>
      </x:c>
      <x:c r="D17" t="s">
        <x:v>29</x:v>
      </x:c>
      <x:c r="E17" t="s">
        <x:v>341</x:v>
      </x:c>
      <x:c r="F17" t="s">
        <x:v>31</x:v>
      </x:c>
      <x:c r="G17" t="s">
        <x:v>342</x:v>
      </x:c>
      <x:c r="H17" t="s">
        <x:v>343</x:v>
      </x:c>
      <x:c r="I17" t="s">
        <x:v>344</x:v>
      </x:c>
      <x:c r="J17" t="s">
        <x:v>345</x:v>
      </x:c>
      <x:c r="K17" t="s">
        <x:v>346</x:v>
      </x:c>
      <x:c r="L17" t="s">
        <x:v>37</x:v>
      </x:c>
      <x:c r="M17" t="s">
        <x:v>347</x:v>
      </x:c>
      <x:c r="N17" t="s">
        <x:v>348</x:v>
      </x:c>
      <x:c r="O17" t="s">
        <x:v>343</x:v>
      </x:c>
      <x:c r="P17" t="s">
        <x:v>349</x:v>
      </x:c>
      <x:c r="Q17" t="s">
        <x:v>350</x:v>
      </x:c>
      <x:c r="R17">
        <x:v>1</x:v>
      </x:c>
      <x:c r="S17" t="s">
        <x:v>42</x:v>
      </x:c>
      <x:c r="T17" t="s">
        <x:v>43</x:v>
      </x:c>
      <x:c r="U17" t="s">
        <x:v>44</x:v>
      </x:c>
      <x:c r="V17" t="s">
        <x:v>45</x:v>
      </x:c>
      <x:c r="W17" t="s">
        <x:v>60</x:v>
      </x:c>
      <x:c r="X17">
        <x:v>169.49</x:v>
      </x:c>
      <x:c r="Y17" t="s">
        <x:v>47</x:v>
      </x:c>
      <x:c r="Z17" t="s">
        <x:v>48</x:v>
      </x:c>
      <x:c r="AA17" t="s">
        <x:v>49</x:v>
      </x:c>
      <x:c r="AB17">
        <x:v>966697811</x:v>
      </x:c>
      <x:c r="AC17" t="s">
        <x:v>351</x:v>
      </x:c>
      <x:c r="AD17">
        <x:v>50</x:v>
      </x:c>
    </x:row>
    <x:row r="18">
      <x:c r="A18" s="1">
        <x:v>46177</x:v>
      </x:c>
      <x:c r="B18" t="s">
        <x:v>3597</x:v>
      </x:c>
      <x:c r="C18" t="s">
        <x:v>340</x:v>
      </x:c>
      <x:c r="D18" t="s">
        <x:v>29</x:v>
      </x:c>
      <x:c r="E18" t="s">
        <x:v>341</x:v>
      </x:c>
      <x:c r="F18" t="s">
        <x:v>31</x:v>
      </x:c>
      <x:c r="G18" t="s">
        <x:v>342</x:v>
      </x:c>
      <x:c r="H18" t="s">
        <x:v>343</x:v>
      </x:c>
      <x:c r="I18" t="s">
        <x:v>344</x:v>
      </x:c>
      <x:c r="J18" t="s">
        <x:v>345</x:v>
      </x:c>
      <x:c r="K18" t="s">
        <x:v>346</x:v>
      </x:c>
      <x:c r="L18" t="s">
        <x:v>37</x:v>
      </x:c>
      <x:c r="M18" t="s">
        <x:v>347</x:v>
      </x:c>
      <x:c r="N18" t="s">
        <x:v>348</x:v>
      </x:c>
      <x:c r="O18" t="s">
        <x:v>343</x:v>
      </x:c>
      <x:c r="P18" t="s">
        <x:v>349</x:v>
      </x:c>
      <x:c r="Q18" t="s">
        <x:v>41</x:v>
      </x:c>
      <x:c r="R18">
        <x:v>1</x:v>
      </x:c>
      <x:c r="S18" t="s">
        <x:v>42</x:v>
      </x:c>
      <x:c r="T18" t="s">
        <x:v>43</x:v>
      </x:c>
      <x:c r="U18" t="s">
        <x:v>44</x:v>
      </x:c>
      <x:c r="V18" t="s">
        <x:v>45</x:v>
      </x:c>
      <x:c r="W18" t="s">
        <x:v>60</x:v>
      </x:c>
      <x:c r="X18">
        <x:v>186.44</x:v>
      </x:c>
      <x:c r="Y18" t="s">
        <x:v>47</x:v>
      </x:c>
      <x:c r="Z18" t="s">
        <x:v>48</x:v>
      </x:c>
      <x:c r="AA18" t="s">
        <x:v>49</x:v>
      </x:c>
      <x:c r="AB18">
        <x:v>966697811</x:v>
      </x:c>
      <x:c r="AC18" t="s">
        <x:v>351</x:v>
      </x:c>
      <x:c r="AD18">
        <x:v>50</x:v>
      </x:c>
    </x:row>
    <x:row r="19">
      <x:c r="A19" s="1">
        <x:v>46177</x:v>
      </x:c>
      <x:c r="B19" t="s">
        <x:v>3597</x:v>
      </x:c>
      <x:c r="C19" t="s">
        <x:v>340</x:v>
      </x:c>
      <x:c r="D19" t="s">
        <x:v>29</x:v>
      </x:c>
      <x:c r="E19" t="s">
        <x:v>341</x:v>
      </x:c>
      <x:c r="F19" t="s">
        <x:v>31</x:v>
      </x:c>
      <x:c r="G19" t="s">
        <x:v>342</x:v>
      </x:c>
      <x:c r="H19" t="s">
        <x:v>343</x:v>
      </x:c>
      <x:c r="I19" t="s">
        <x:v>344</x:v>
      </x:c>
      <x:c r="J19" t="s">
        <x:v>345</x:v>
      </x:c>
      <x:c r="K19" t="s">
        <x:v>346</x:v>
      </x:c>
      <x:c r="L19" t="s">
        <x:v>37</x:v>
      </x:c>
      <x:c r="M19" t="s">
        <x:v>347</x:v>
      </x:c>
      <x:c r="N19" t="s">
        <x:v>348</x:v>
      </x:c>
      <x:c r="O19" t="s">
        <x:v>343</x:v>
      </x:c>
      <x:c r="P19" t="s">
        <x:v>349</x:v>
      </x:c>
      <x:c r="Q19" t="s">
        <x:v>102</x:v>
      </x:c>
      <x:c r="R19">
        <x:v>1</x:v>
      </x:c>
      <x:c r="S19" t="s">
        <x:v>42</x:v>
      </x:c>
      <x:c r="T19" t="s">
        <x:v>43</x:v>
      </x:c>
      <x:c r="U19" t="s">
        <x:v>44</x:v>
      </x:c>
      <x:c r="V19" t="s">
        <x:v>45</x:v>
      </x:c>
      <x:c r="W19" t="s">
        <x:v>60</x:v>
      </x:c>
      <x:c r="X19">
        <x:v>186.44</x:v>
      </x:c>
      <x:c r="Y19" t="s">
        <x:v>47</x:v>
      </x:c>
      <x:c r="Z19" t="s">
        <x:v>48</x:v>
      </x:c>
      <x:c r="AA19" t="s">
        <x:v>49</x:v>
      </x:c>
      <x:c r="AB19">
        <x:v>966697811</x:v>
      </x:c>
      <x:c r="AC19" t="s">
        <x:v>351</x:v>
      </x:c>
      <x:c r="AD19">
        <x:v>50</x:v>
      </x:c>
    </x:row>
    <x:row r="20">
      <x:c r="A20" s="1">
        <x:v>46177</x:v>
      </x:c>
      <x:c r="B20" t="s">
        <x:v>3597</x:v>
      </x:c>
      <x:c r="C20" t="s">
        <x:v>268</x:v>
      </x:c>
      <x:c r="D20" t="s">
        <x:v>269</x:v>
      </x:c>
      <x:c r="E20" t="s">
        <x:v>270</x:v>
      </x:c>
      <x:c r="F20" t="s">
        <x:v>31</x:v>
      </x:c>
      <x:c r="G20" t="s">
        <x:v>271</x:v>
      </x:c>
      <x:c r="H20" t="s">
        <x:v>272</x:v>
      </x:c>
      <x:c r="I20" t="s">
        <x:v>273</x:v>
      </x:c>
      <x:c r="J20" t="s">
        <x:v>274</x:v>
      </x:c>
      <x:c r="K20" t="s">
        <x:v>275</x:v>
      </x:c>
      <x:c r="L20" t="s">
        <x:v>37</x:v>
      </x:c>
      <x:c r="M20" t="s">
        <x:v>276</x:v>
      </x:c>
      <x:c r="N20" t="s">
        <x:v>277</x:v>
      </x:c>
      <x:c r="O20" t="s">
        <x:v>278</x:v>
      </x:c>
      <x:c r="P20" t="s">
        <x:v>279</x:v>
      </x:c>
      <x:c r="Q20" t="s">
        <x:v>202</x:v>
      </x:c>
      <x:c r="R20">
        <x:v>1</x:v>
      </x:c>
      <x:c r="S20" t="s">
        <x:v>42</x:v>
      </x:c>
      <x:c r="T20" t="s">
        <x:v>43</x:v>
      </x:c>
      <x:c r="U20" t="s">
        <x:v>44</x:v>
      </x:c>
      <x:c r="V20" t="s">
        <x:v>45</x:v>
      </x:c>
      <x:c r="W20" t="s">
        <x:v>60</x:v>
      </x:c>
      <x:c r="X20">
        <x:v>152.54</x:v>
      </x:c>
      <x:c r="Y20" t="s">
        <x:v>47</x:v>
      </x:c>
      <x:c r="Z20" t="s">
        <x:v>48</x:v>
      </x:c>
      <x:c r="AA20" t="s">
        <x:v>49</x:v>
      </x:c>
      <x:c r="AB20">
        <x:v>950133748</x:v>
      </x:c>
      <x:c r="AC20" t="s">
        <x:v>280</x:v>
      </x:c>
      <x:c r="AD20">
        <x:v>30</x:v>
      </x:c>
    </x:row>
    <x:row r="21">
      <x:c r="A21" s="1">
        <x:v>46177</x:v>
      </x:c>
      <x:c r="B21" t="s">
        <x:v>3597</x:v>
      </x:c>
      <x:c r="C21" t="s">
        <x:v>268</x:v>
      </x:c>
      <x:c r="D21" t="s">
        <x:v>269</x:v>
      </x:c>
      <x:c r="E21" t="s">
        <x:v>270</x:v>
      </x:c>
      <x:c r="F21" t="s">
        <x:v>31</x:v>
      </x:c>
      <x:c r="G21" t="s">
        <x:v>271</x:v>
      </x:c>
      <x:c r="H21" t="s">
        <x:v>272</x:v>
      </x:c>
      <x:c r="I21" t="s">
        <x:v>273</x:v>
      </x:c>
      <x:c r="J21" t="s">
        <x:v>274</x:v>
      </x:c>
      <x:c r="K21" t="s">
        <x:v>275</x:v>
      </x:c>
      <x:c r="L21" t="s">
        <x:v>37</x:v>
      </x:c>
      <x:c r="M21" t="s">
        <x:v>276</x:v>
      </x:c>
      <x:c r="N21" t="s">
        <x:v>277</x:v>
      </x:c>
      <x:c r="O21" t="s">
        <x:v>278</x:v>
      </x:c>
      <x:c r="P21" t="s">
        <x:v>279</x:v>
      </x:c>
      <x:c r="Q21" t="s">
        <x:v>203</x:v>
      </x:c>
      <x:c r="R21">
        <x:v>1</x:v>
      </x:c>
      <x:c r="S21" t="s">
        <x:v>42</x:v>
      </x:c>
      <x:c r="T21" t="s">
        <x:v>43</x:v>
      </x:c>
      <x:c r="U21" t="s">
        <x:v>44</x:v>
      </x:c>
      <x:c r="V21" t="s">
        <x:v>45</x:v>
      </x:c>
      <x:c r="W21" t="s">
        <x:v>60</x:v>
      </x:c>
      <x:c r="X21">
        <x:v>135.59</x:v>
      </x:c>
      <x:c r="Y21" t="s">
        <x:v>47</x:v>
      </x:c>
      <x:c r="Z21" t="s">
        <x:v>48</x:v>
      </x:c>
      <x:c r="AA21" t="s">
        <x:v>49</x:v>
      </x:c>
      <x:c r="AB21">
        <x:v>950133748</x:v>
      </x:c>
      <x:c r="AC21" t="s">
        <x:v>280</x:v>
      </x:c>
      <x:c r="AD21">
        <x:v>30</x:v>
      </x:c>
    </x:row>
    <x:row r="22">
      <x:c r="A22" s="1">
        <x:v>46177</x:v>
      </x:c>
      <x:c r="B22" t="s">
        <x:v>3597</x:v>
      </x:c>
      <x:c r="C22" t="s">
        <x:v>281</x:v>
      </x:c>
      <x:c r="D22" t="s">
        <x:v>269</x:v>
      </x:c>
      <x:c r="E22" t="s">
        <x:v>282</x:v>
      </x:c>
      <x:c r="F22" t="s">
        <x:v>31</x:v>
      </x:c>
      <x:c r="G22" t="s">
        <x:v>283</x:v>
      </x:c>
      <x:c r="H22" t="s">
        <x:v>284</x:v>
      </x:c>
      <x:c r="I22" t="s">
        <x:v>285</x:v>
      </x:c>
      <x:c r="J22" t="s">
        <x:v>274</x:v>
      </x:c>
      <x:c r="K22" t="s">
        <x:v>275</x:v>
      </x:c>
      <x:c r="L22" t="s">
        <x:v>37</x:v>
      </x:c>
      <x:c r="M22" t="s">
        <x:v>286</x:v>
      </x:c>
      <x:c r="N22" t="s">
        <x:v>287</x:v>
      </x:c>
      <x:c r="O22" t="s">
        <x:v>278</x:v>
      </x:c>
      <x:c r="P22" t="s">
        <x:v>288</x:v>
      </x:c>
      <x:c r="Q22" t="s">
        <x:v>289</x:v>
      </x:c>
      <x:c r="R22">
        <x:v>1</x:v>
      </x:c>
      <x:c r="S22" t="s">
        <x:v>42</x:v>
      </x:c>
      <x:c r="T22" t="s">
        <x:v>43</x:v>
      </x:c>
      <x:c r="U22" t="s">
        <x:v>44</x:v>
      </x:c>
      <x:c r="V22" t="s">
        <x:v>45</x:v>
      </x:c>
      <x:c r="W22" t="s">
        <x:v>46</x:v>
      </x:c>
      <x:c r="X22">
        <x:v>0</x:v>
      </x:c>
      <x:c r="Y22" t="s">
        <x:v>290</x:v>
      </x:c>
      <x:c r="Z22" t="s">
        <x:v>48</x:v>
      </x:c>
      <x:c r="AA22" t="s">
        <x:v>49</x:v>
      </x:c>
      <x:c r="AB22">
        <x:v>950133748</x:v>
      </x:c>
      <x:c r="AC22" t="s">
        <x:v>280</x:v>
      </x:c>
    </x:row>
    <x:row r="23">
      <x:c r="A23" s="1">
        <x:v>46177</x:v>
      </x:c>
      <x:c r="B23" t="s">
        <x:v>3597</x:v>
      </x:c>
      <x:c r="C23" t="s">
        <x:v>281</x:v>
      </x:c>
      <x:c r="D23" t="s">
        <x:v>269</x:v>
      </x:c>
      <x:c r="E23" t="s">
        <x:v>282</x:v>
      </x:c>
      <x:c r="F23" t="s">
        <x:v>31</x:v>
      </x:c>
      <x:c r="G23" t="s">
        <x:v>283</x:v>
      </x:c>
      <x:c r="H23" t="s">
        <x:v>284</x:v>
      </x:c>
      <x:c r="I23" t="s">
        <x:v>285</x:v>
      </x:c>
      <x:c r="J23" t="s">
        <x:v>274</x:v>
      </x:c>
      <x:c r="K23" t="s">
        <x:v>275</x:v>
      </x:c>
      <x:c r="L23" t="s">
        <x:v>37</x:v>
      </x:c>
      <x:c r="M23" t="s">
        <x:v>286</x:v>
      </x:c>
      <x:c r="N23" t="s">
        <x:v>287</x:v>
      </x:c>
      <x:c r="O23" t="s">
        <x:v>278</x:v>
      </x:c>
      <x:c r="P23" t="s">
        <x:v>288</x:v>
      </x:c>
      <x:c r="Q23" t="s">
        <x:v>291</x:v>
      </x:c>
      <x:c r="R23">
        <x:v>1</x:v>
      </x:c>
      <x:c r="S23" t="s">
        <x:v>42</x:v>
      </x:c>
      <x:c r="T23" t="s">
        <x:v>43</x:v>
      </x:c>
      <x:c r="U23" t="s">
        <x:v>44</x:v>
      </x:c>
      <x:c r="V23" t="s">
        <x:v>45</x:v>
      </x:c>
      <x:c r="W23" t="s">
        <x:v>46</x:v>
      </x:c>
      <x:c r="X23">
        <x:v>1050.8499999999999</x:v>
      </x:c>
      <x:c r="Y23" t="s">
        <x:v>290</x:v>
      </x:c>
      <x:c r="Z23" t="s">
        <x:v>48</x:v>
      </x:c>
      <x:c r="AA23" t="s">
        <x:v>49</x:v>
      </x:c>
      <x:c r="AB23">
        <x:v>950133748</x:v>
      </x:c>
      <x:c r="AC23" t="s">
        <x:v>280</x:v>
      </x:c>
    </x:row>
    <x:row r="24">
      <x:c r="A24" s="1">
        <x:v>46177</x:v>
      </x:c>
      <x:c r="B24" t="s">
        <x:v>3597</x:v>
      </x:c>
      <x:c r="C24" t="s">
        <x:v>292</x:v>
      </x:c>
      <x:c r="D24" t="s">
        <x:v>269</x:v>
      </x:c>
      <x:c r="E24" t="s">
        <x:v>293</x:v>
      </x:c>
      <x:c r="F24" t="s">
        <x:v>31</x:v>
      </x:c>
      <x:c r="G24" t="s">
        <x:v>294</x:v>
      </x:c>
      <x:c r="H24" t="s">
        <x:v>272</x:v>
      </x:c>
      <x:c r="I24" t="s">
        <x:v>273</x:v>
      </x:c>
      <x:c r="J24" t="s">
        <x:v>274</x:v>
      </x:c>
      <x:c r="K24" t="s">
        <x:v>275</x:v>
      </x:c>
      <x:c r="L24" t="s">
        <x:v>37</x:v>
      </x:c>
      <x:c r="M24" t="s">
        <x:v>276</x:v>
      </x:c>
      <x:c r="N24" t="s">
        <x:v>277</x:v>
      </x:c>
      <x:c r="O24" t="s">
        <x:v>278</x:v>
      </x:c>
      <x:c r="P24" t="s">
        <x:v>295</x:v>
      </x:c>
      <x:c r="Q24" t="s">
        <x:v>289</x:v>
      </x:c>
      <x:c r="R24">
        <x:v>1</x:v>
      </x:c>
      <x:c r="S24" t="s">
        <x:v>42</x:v>
      </x:c>
      <x:c r="T24" t="s">
        <x:v>43</x:v>
      </x:c>
      <x:c r="U24" t="s">
        <x:v>44</x:v>
      </x:c>
      <x:c r="V24" t="s">
        <x:v>45</x:v>
      </x:c>
      <x:c r="W24" t="s">
        <x:v>46</x:v>
      </x:c>
      <x:c r="X24">
        <x:v>0</x:v>
      </x:c>
      <x:c r="Y24" t="s">
        <x:v>290</x:v>
      </x:c>
      <x:c r="Z24" t="s">
        <x:v>48</x:v>
      </x:c>
      <x:c r="AA24" t="s">
        <x:v>49</x:v>
      </x:c>
      <x:c r="AB24">
        <x:v>950133748</x:v>
      </x:c>
      <x:c r="AC24" t="s">
        <x:v>280</x:v>
      </x:c>
    </x:row>
    <x:row r="25">
      <x:c r="A25" s="1">
        <x:v>46177</x:v>
      </x:c>
      <x:c r="B25" t="s">
        <x:v>3597</x:v>
      </x:c>
      <x:c r="C25" t="s">
        <x:v>292</x:v>
      </x:c>
      <x:c r="D25" t="s">
        <x:v>269</x:v>
      </x:c>
      <x:c r="E25" t="s">
        <x:v>293</x:v>
      </x:c>
      <x:c r="F25" t="s">
        <x:v>31</x:v>
      </x:c>
      <x:c r="G25" t="s">
        <x:v>294</x:v>
      </x:c>
      <x:c r="H25" t="s">
        <x:v>272</x:v>
      </x:c>
      <x:c r="I25" t="s">
        <x:v>273</x:v>
      </x:c>
      <x:c r="J25" t="s">
        <x:v>274</x:v>
      </x:c>
      <x:c r="K25" t="s">
        <x:v>275</x:v>
      </x:c>
      <x:c r="L25" t="s">
        <x:v>37</x:v>
      </x:c>
      <x:c r="M25" t="s">
        <x:v>276</x:v>
      </x:c>
      <x:c r="N25" t="s">
        <x:v>277</x:v>
      </x:c>
      <x:c r="O25" t="s">
        <x:v>278</x:v>
      </x:c>
      <x:c r="P25" t="s">
        <x:v>295</x:v>
      </x:c>
      <x:c r="Q25" t="s">
        <x:v>291</x:v>
      </x:c>
      <x:c r="R25">
        <x:v>1</x:v>
      </x:c>
      <x:c r="S25" t="s">
        <x:v>42</x:v>
      </x:c>
      <x:c r="T25" t="s">
        <x:v>43</x:v>
      </x:c>
      <x:c r="U25" t="s">
        <x:v>44</x:v>
      </x:c>
      <x:c r="V25" t="s">
        <x:v>45</x:v>
      </x:c>
      <x:c r="W25" t="s">
        <x:v>46</x:v>
      </x:c>
      <x:c r="X25">
        <x:v>1050.8499999999999</x:v>
      </x:c>
      <x:c r="Y25" t="s">
        <x:v>290</x:v>
      </x:c>
      <x:c r="Z25" t="s">
        <x:v>48</x:v>
      </x:c>
      <x:c r="AA25" t="s">
        <x:v>49</x:v>
      </x:c>
      <x:c r="AB25">
        <x:v>950133748</x:v>
      </x:c>
      <x:c r="AC25" t="s">
        <x:v>280</x:v>
      </x:c>
    </x:row>
    <x:row r="26">
      <x:c r="A26" s="1">
        <x:v>46177</x:v>
      </x:c>
      <x:c r="B26" t="s">
        <x:v>3597</x:v>
      </x:c>
      <x:c r="C26" t="s">
        <x:v>430</x:v>
      </x:c>
      <x:c r="D26" t="s">
        <x:v>29</x:v>
      </x:c>
      <x:c r="E26" t="s">
        <x:v>431</x:v>
      </x:c>
      <x:c r="F26" t="s">
        <x:v>31</x:v>
      </x:c>
      <x:c r="G26" t="s">
        <x:v>432</x:v>
      </x:c>
      <x:c r="H26" t="s">
        <x:v>433</x:v>
      </x:c>
      <x:c r="I26" t="s">
        <x:v>434</x:v>
      </x:c>
      <x:c r="J26" t="s">
        <x:v>435</x:v>
      </x:c>
      <x:c r="K26" t="s">
        <x:v>436</x:v>
      </x:c>
      <x:c r="L26" t="s">
        <x:v>37</x:v>
      </x:c>
      <x:c r="M26" t="s">
        <x:v>437</x:v>
      </x:c>
      <x:c r="N26" t="s">
        <x:v>438</x:v>
      </x:c>
      <x:c r="O26" t="s">
        <x:v>433</x:v>
      </x:c>
      <x:c r="P26" t="s">
        <x:v>439</x:v>
      </x:c>
      <x:c r="Q26" t="s">
        <x:v>41</x:v>
      </x:c>
      <x:c r="R26">
        <x:v>1</x:v>
      </x:c>
      <x:c r="S26" t="s">
        <x:v>70</x:v>
      </x:c>
      <x:c r="T26" t="s">
        <x:v>43</x:v>
      </x:c>
      <x:c r="U26" t="s">
        <x:v>44</x:v>
      </x:c>
      <x:c r="V26" t="s">
        <x:v>71</x:v>
      </x:c>
      <x:c r="W26" t="s">
        <x:v>185</x:v>
      </x:c>
      <x:c r="X26">
        <x:v>186.44</x:v>
      </x:c>
      <x:c r="Y26" t="s">
        <x:v>47</x:v>
      </x:c>
      <x:c r="Z26" t="s">
        <x:v>48</x:v>
      </x:c>
      <x:c r="AA26" t="s">
        <x:v>73</x:v>
      </x:c>
      <x:c r="AB26">
        <x:v>992903716</x:v>
      </x:c>
      <x:c r="AC26" t="s">
        <x:v>440</x:v>
      </x:c>
      <x:c r="AD26">
        <x:v>50</x:v>
      </x:c>
    </x:row>
    <x:row r="27">
      <x:c r="A27" s="1">
        <x:v>46177</x:v>
      </x:c>
      <x:c r="B27" t="s">
        <x:v>3597</x:v>
      </x:c>
      <x:c r="C27" t="s">
        <x:v>430</x:v>
      </x:c>
      <x:c r="D27" t="s">
        <x:v>29</x:v>
      </x:c>
      <x:c r="E27" t="s">
        <x:v>431</x:v>
      </x:c>
      <x:c r="F27" t="s">
        <x:v>31</x:v>
      </x:c>
      <x:c r="G27" t="s">
        <x:v>432</x:v>
      </x:c>
      <x:c r="H27" t="s">
        <x:v>433</x:v>
      </x:c>
      <x:c r="I27" t="s">
        <x:v>434</x:v>
      </x:c>
      <x:c r="J27" t="s">
        <x:v>435</x:v>
      </x:c>
      <x:c r="K27" t="s">
        <x:v>436</x:v>
      </x:c>
      <x:c r="L27" t="s">
        <x:v>37</x:v>
      </x:c>
      <x:c r="M27" t="s">
        <x:v>437</x:v>
      </x:c>
      <x:c r="N27" t="s">
        <x:v>438</x:v>
      </x:c>
      <x:c r="O27" t="s">
        <x:v>433</x:v>
      </x:c>
      <x:c r="P27" t="s">
        <x:v>439</x:v>
      </x:c>
      <x:c r="Q27" t="s">
        <x:v>102</x:v>
      </x:c>
      <x:c r="R27">
        <x:v>1</x:v>
      </x:c>
      <x:c r="S27" t="s">
        <x:v>70</x:v>
      </x:c>
      <x:c r="T27" t="s">
        <x:v>43</x:v>
      </x:c>
      <x:c r="U27" t="s">
        <x:v>44</x:v>
      </x:c>
      <x:c r="V27" t="s">
        <x:v>71</x:v>
      </x:c>
      <x:c r="W27" t="s">
        <x:v>185</x:v>
      </x:c>
      <x:c r="X27">
        <x:v>186.44</x:v>
      </x:c>
      <x:c r="Y27" t="s">
        <x:v>47</x:v>
      </x:c>
      <x:c r="Z27" t="s">
        <x:v>48</x:v>
      </x:c>
      <x:c r="AA27" t="s">
        <x:v>73</x:v>
      </x:c>
      <x:c r="AB27">
        <x:v>992903716</x:v>
      </x:c>
      <x:c r="AC27" t="s">
        <x:v>440</x:v>
      </x:c>
      <x:c r="AD27">
        <x:v>50</x:v>
      </x:c>
    </x:row>
    <x:row r="28">
      <x:c r="A28" s="1">
        <x:v>46178</x:v>
      </x:c>
      <x:c r="B28" t="s">
        <x:v>3597</x:v>
      </x:c>
      <x:c r="C28" t="s">
        <x:v>498</x:v>
      </x:c>
      <x:c r="D28" t="s">
        <x:v>29</x:v>
      </x:c>
      <x:c r="E28" t="s">
        <x:v>499</x:v>
      </x:c>
      <x:c r="F28" t="s">
        <x:v>31</x:v>
      </x:c>
      <x:c r="G28" t="s">
        <x:v>500</x:v>
      </x:c>
      <x:c r="H28" t="s">
        <x:v>501</x:v>
      </x:c>
      <x:c r="I28" t="s">
        <x:v>502</x:v>
      </x:c>
      <x:c r="J28" t="s">
        <x:v>2048</x:v>
      </x:c>
      <x:c r="K28" t="s">
        <x:v>2049</x:v>
      </x:c>
      <x:c r="L28" t="s">
        <x:v>37</x:v>
      </x:c>
      <x:c r="M28" t="s">
        <x:v>504</x:v>
      </x:c>
      <x:c r="N28" t="s">
        <x:v>505</x:v>
      </x:c>
      <x:c r="O28" t="s">
        <x:v>501</x:v>
      </x:c>
      <x:c r="P28" t="s">
        <x:v>506</x:v>
      </x:c>
      <x:c r="Q28" t="s">
        <x:v>102</x:v>
      </x:c>
      <x:c r="R28">
        <x:v>1</x:v>
      </x:c>
      <x:c r="S28" t="s">
        <x:v>42</x:v>
      </x:c>
      <x:c r="T28" t="s">
        <x:v>43</x:v>
      </x:c>
      <x:c r="U28" t="s">
        <x:v>44</x:v>
      </x:c>
      <x:c r="V28" t="s">
        <x:v>45</x:v>
      </x:c>
      <x:c r="W28" t="s">
        <x:v>46</x:v>
      </x:c>
      <x:c r="X28">
        <x:v>186.44</x:v>
      </x:c>
      <x:c r="Y28" t="s">
        <x:v>47</x:v>
      </x:c>
      <x:c r="Z28" t="s">
        <x:v>48</x:v>
      </x:c>
      <x:c r="AA28" t="s">
        <x:v>49</x:v>
      </x:c>
      <x:c r="AB28">
        <x:v>986661693</x:v>
      </x:c>
      <x:c r="AC28" t="s">
        <x:v>2053</x:v>
      </x:c>
      <x:c r="AD28">
        <x:v>50</x:v>
      </x:c>
    </x:row>
    <x:row r="29">
      <x:c r="A29" s="1">
        <x:v>46178</x:v>
      </x:c>
      <x:c r="B29" t="s">
        <x:v>3597</x:v>
      </x:c>
      <x:c r="C29" t="s">
        <x:v>473</x:v>
      </x:c>
      <x:c r="D29" t="s">
        <x:v>400</x:v>
      </x:c>
      <x:c r="E29" t="s">
        <x:v>474</x:v>
      </x:c>
      <x:c r="F29" t="s">
        <x:v>401</x:v>
      </x:c>
      <x:c r="G29" t="s">
        <x:v>475</x:v>
      </x:c>
      <x:c r="H29" t="s">
        <x:v>476</x:v>
      </x:c>
      <x:c r="I29" t="s">
        <x:v>477</x:v>
      </x:c>
      <x:c r="J29" t="s">
        <x:v>478</x:v>
      </x:c>
      <x:c r="K29" t="s">
        <x:v>210</x:v>
      </x:c>
      <x:c r="L29" t="s">
        <x:v>401</x:v>
      </x:c>
      <x:c r="M29" t="s">
        <x:v>479</x:v>
      </x:c>
      <x:c r="N29" t="s">
        <x:v>480</x:v>
      </x:c>
      <x:c r="O29" t="s">
        <x:v>476</x:v>
      </x:c>
      <x:c r="P29" t="s">
        <x:v>481</x:v>
      </x:c>
      <x:c r="Q29" t="s">
        <x:v>482</x:v>
      </x:c>
      <x:c r="R29">
        <x:v>2</x:v>
      </x:c>
      <x:c r="S29" t="s">
        <x:v>42</x:v>
      </x:c>
      <x:c r="T29" t="s">
        <x:v>43</x:v>
      </x:c>
      <x:c r="U29" t="s">
        <x:v>44</x:v>
      </x:c>
      <x:c r="V29" t="s">
        <x:v>45</x:v>
      </x:c>
      <x:c r="W29" t="s">
        <x:v>46</x:v>
      </x:c>
      <x:c r="X29">
        <x:v>-203.39</x:v>
      </x:c>
      <x:c r="Y29" t="s">
        <x:v>61</x:v>
      </x:c>
      <x:c r="Z29" t="s">
        <x:v>48</x:v>
      </x:c>
      <x:c r="AA29" t="s">
        <x:v>49</x:v>
      </x:c>
      <x:c r="AB29">
        <x:v>982536223</x:v>
      </x:c>
      <x:c r="AC29" t="s">
        <x:v>483</x:v>
      </x:c>
    </x:row>
    <x:row r="30">
      <x:c r="A30" s="1">
        <x:v>46178</x:v>
      </x:c>
      <x:c r="B30" t="s">
        <x:v>3597</x:v>
      </x:c>
      <x:c r="C30" t="s">
        <x:v>484</x:v>
      </x:c>
      <x:c r="D30" t="s">
        <x:v>269</x:v>
      </x:c>
      <x:c r="E30" t="s">
        <x:v>485</x:v>
      </x:c>
      <x:c r="F30" t="s">
        <x:v>31</x:v>
      </x:c>
      <x:c r="G30" t="s">
        <x:v>486</x:v>
      </x:c>
      <x:c r="H30" t="s">
        <x:v>476</x:v>
      </x:c>
      <x:c r="I30" t="s">
        <x:v>477</x:v>
      </x:c>
      <x:c r="J30" t="s">
        <x:v>478</x:v>
      </x:c>
      <x:c r="K30" t="s">
        <x:v>210</x:v>
      </x:c>
      <x:c r="L30" t="s">
        <x:v>37</x:v>
      </x:c>
      <x:c r="M30" t="s">
        <x:v>479</x:v>
      </x:c>
      <x:c r="N30" t="s">
        <x:v>480</x:v>
      </x:c>
      <x:c r="O30" t="s">
        <x:v>487</x:v>
      </x:c>
      <x:c r="P30" t="s">
        <x:v>488</x:v>
      </x:c>
      <x:c r="Q30" t="s">
        <x:v>482</x:v>
      </x:c>
      <x:c r="R30">
        <x:v>2</x:v>
      </x:c>
      <x:c r="S30" t="s">
        <x:v>42</x:v>
      </x:c>
      <x:c r="T30" t="s">
        <x:v>43</x:v>
      </x:c>
      <x:c r="U30" t="s">
        <x:v>44</x:v>
      </x:c>
      <x:c r="V30" t="s">
        <x:v>45</x:v>
      </x:c>
      <x:c r="W30" t="s">
        <x:v>46</x:v>
      </x:c>
      <x:c r="X30">
        <x:v>203.39</x:v>
      </x:c>
      <x:c r="Y30" t="s">
        <x:v>61</x:v>
      </x:c>
      <x:c r="Z30" t="s">
        <x:v>48</x:v>
      </x:c>
      <x:c r="AA30" t="s">
        <x:v>49</x:v>
      </x:c>
      <x:c r="AB30">
        <x:v>982536223</x:v>
      </x:c>
      <x:c r="AC30" t="s">
        <x:v>483</x:v>
      </x:c>
    </x:row>
    <x:row r="31">
      <x:c r="A31" s="1">
        <x:v>46178</x:v>
      </x:c>
      <x:c r="B31" t="s">
        <x:v>3597</x:v>
      </x:c>
      <x:c r="C31" t="s">
        <x:v>473</x:v>
      </x:c>
      <x:c r="D31" t="s">
        <x:v>29</x:v>
      </x:c>
      <x:c r="E31" t="s">
        <x:v>474</x:v>
      </x:c>
      <x:c r="F31" t="s">
        <x:v>401</x:v>
      </x:c>
      <x:c r="G31" t="s">
        <x:v>489</x:v>
      </x:c>
      <x:c r="H31" t="s">
        <x:v>476</x:v>
      </x:c>
      <x:c r="I31" t="s">
        <x:v>477</x:v>
      </x:c>
      <x:c r="J31" t="s">
        <x:v>478</x:v>
      </x:c>
      <x:c r="K31" t="s">
        <x:v>210</x:v>
      </x:c>
      <x:c r="L31" t="s">
        <x:v>401</x:v>
      </x:c>
      <x:c r="M31" t="s">
        <x:v>479</x:v>
      </x:c>
      <x:c r="N31" t="s">
        <x:v>480</x:v>
      </x:c>
      <x:c r="O31" t="s">
        <x:v>476</x:v>
      </x:c>
      <x:c r="P31" t="s">
        <x:v>481</x:v>
      </x:c>
      <x:c r="Q31" t="s">
        <x:v>482</x:v>
      </x:c>
      <x:c r="R31">
        <x:v>2</x:v>
      </x:c>
      <x:c r="S31" t="s">
        <x:v>42</x:v>
      </x:c>
      <x:c r="T31" t="s">
        <x:v>43</x:v>
      </x:c>
      <x:c r="U31" t="s">
        <x:v>44</x:v>
      </x:c>
      <x:c r="V31" t="s">
        <x:v>45</x:v>
      </x:c>
      <x:c r="W31" t="s">
        <x:v>46</x:v>
      </x:c>
      <x:c r="X31">
        <x:v>203.39</x:v>
      </x:c>
      <x:c r="Y31" t="s">
        <x:v>61</x:v>
      </x:c>
      <x:c r="Z31" t="s">
        <x:v>48</x:v>
      </x:c>
      <x:c r="AA31" t="s">
        <x:v>49</x:v>
      </x:c>
      <x:c r="AB31">
        <x:v>982536223</x:v>
      </x:c>
      <x:c r="AC31" t="s">
        <x:v>483</x:v>
      </x:c>
    </x:row>
    <x:row r="32">
      <x:c r="A32" s="1">
        <x:v>46178</x:v>
      </x:c>
      <x:c r="B32" t="s">
        <x:v>3597</x:v>
      </x:c>
      <x:c r="C32" t="s">
        <x:v>507</x:v>
      </x:c>
      <x:c r="D32" t="s">
        <x:v>269</x:v>
      </x:c>
      <x:c r="E32" t="s">
        <x:v>508</x:v>
      </x:c>
      <x:c r="F32" t="s">
        <x:v>31</x:v>
      </x:c>
      <x:c r="G32" t="s">
        <x:v>509</x:v>
      </x:c>
      <x:c r="H32" t="s">
        <x:v>510</x:v>
      </x:c>
      <x:c r="I32" t="s">
        <x:v>511</x:v>
      </x:c>
      <x:c r="L32" t="s">
        <x:v>37</x:v>
      </x:c>
      <x:c r="M32" t="s">
        <x:v>512</x:v>
      </x:c>
      <x:c r="N32" t="s">
        <x:v>513</x:v>
      </x:c>
      <x:c r="O32" t="s">
        <x:v>487</x:v>
      </x:c>
      <x:c r="P32" t="s">
        <x:v>514</x:v>
      </x:c>
      <x:c r="Q32" t="s">
        <x:v>482</x:v>
      </x:c>
      <x:c r="R32">
        <x:v>2</x:v>
      </x:c>
      <x:c r="S32" t="s">
        <x:v>42</x:v>
      </x:c>
      <x:c r="T32" t="s">
        <x:v>43</x:v>
      </x:c>
      <x:c r="U32" t="s">
        <x:v>44</x:v>
      </x:c>
      <x:c r="V32" t="s">
        <x:v>45</x:v>
      </x:c>
      <x:c r="W32" t="s">
        <x:v>46</x:v>
      </x:c>
      <x:c r="X32">
        <x:v>203.39</x:v>
      </x:c>
      <x:c r="Y32" t="s">
        <x:v>61</x:v>
      </x:c>
      <x:c r="Z32" t="s">
        <x:v>48</x:v>
      </x:c>
      <x:c r="AA32" t="s">
        <x:v>49</x:v>
      </x:c>
    </x:row>
    <x:row r="33">
      <x:c r="A33" s="1">
        <x:v>46179</x:v>
      </x:c>
      <x:c r="B33" t="s">
        <x:v>3597</x:v>
      </x:c>
      <x:c r="C33" t="s">
        <x:v>441</x:v>
      </x:c>
      <x:c r="D33" t="s">
        <x:v>29</x:v>
      </x:c>
      <x:c r="E33" t="s">
        <x:v>442</x:v>
      </x:c>
      <x:c r="F33" t="s">
        <x:v>31</x:v>
      </x:c>
      <x:c r="G33" t="s">
        <x:v>443</x:v>
      </x:c>
      <x:c r="H33" t="s">
        <x:v>444</x:v>
      </x:c>
      <x:c r="I33" t="s">
        <x:v>445</x:v>
      </x:c>
      <x:c r="J33" t="s">
        <x:v>435</x:v>
      </x:c>
      <x:c r="K33" t="s">
        <x:v>436</x:v>
      </x:c>
      <x:c r="L33" t="s">
        <x:v>37</x:v>
      </x:c>
      <x:c r="M33" t="s">
        <x:v>446</x:v>
      </x:c>
      <x:c r="N33" t="s">
        <x:v>447</x:v>
      </x:c>
      <x:c r="O33" t="s">
        <x:v>444</x:v>
      </x:c>
      <x:c r="P33" t="s">
        <x:v>448</x:v>
      </x:c>
      <x:c r="Q33" t="s">
        <x:v>41</x:v>
      </x:c>
      <x:c r="R33">
        <x:v>1</x:v>
      </x:c>
      <x:c r="S33" t="s">
        <x:v>70</x:v>
      </x:c>
      <x:c r="T33" t="s">
        <x:v>43</x:v>
      </x:c>
      <x:c r="U33" t="s">
        <x:v>44</x:v>
      </x:c>
      <x:c r="V33" t="s">
        <x:v>71</x:v>
      </x:c>
      <x:c r="W33" t="s">
        <x:v>185</x:v>
      </x:c>
      <x:c r="X33">
        <x:v>186.44</x:v>
      </x:c>
      <x:c r="Y33" t="s">
        <x:v>47</x:v>
      </x:c>
      <x:c r="Z33" t="s">
        <x:v>48</x:v>
      </x:c>
      <x:c r="AA33" t="s">
        <x:v>73</x:v>
      </x:c>
      <x:c r="AB33">
        <x:v>992903716</x:v>
      </x:c>
      <x:c r="AC33" t="s">
        <x:v>440</x:v>
      </x:c>
      <x:c r="AD33">
        <x:v>50</x:v>
      </x:c>
    </x:row>
    <x:row r="34">
      <x:c r="A34" s="1">
        <x:v>46179</x:v>
      </x:c>
      <x:c r="B34" t="s">
        <x:v>3597</x:v>
      </x:c>
      <x:c r="C34" t="s">
        <x:v>625</x:v>
      </x:c>
      <x:c r="D34" t="s">
        <x:v>29</x:v>
      </x:c>
      <x:c r="E34" t="s">
        <x:v>626</x:v>
      </x:c>
      <x:c r="F34" t="s">
        <x:v>31</x:v>
      </x:c>
      <x:c r="G34" t="s">
        <x:v>627</x:v>
      </x:c>
      <x:c r="H34" t="s">
        <x:v>628</x:v>
      </x:c>
      <x:c r="I34" t="s">
        <x:v>629</x:v>
      </x:c>
      <x:c r="J34" t="s">
        <x:v>630</x:v>
      </x:c>
      <x:c r="K34" t="s">
        <x:v>631</x:v>
      </x:c>
      <x:c r="L34" t="s">
        <x:v>37</x:v>
      </x:c>
      <x:c r="M34" t="s">
        <x:v>632</x:v>
      </x:c>
      <x:c r="N34" t="s">
        <x:v>633</x:v>
      </x:c>
      <x:c r="O34" t="s">
        <x:v>628</x:v>
      </x:c>
      <x:c r="P34" t="s">
        <x:v>634</x:v>
      </x:c>
      <x:c r="Q34" t="s">
        <x:v>131</x:v>
      </x:c>
      <x:c r="R34">
        <x:v>1</x:v>
      </x:c>
      <x:c r="S34" t="s">
        <x:v>42</x:v>
      </x:c>
      <x:c r="T34" t="s">
        <x:v>43</x:v>
      </x:c>
      <x:c r="U34" t="s">
        <x:v>44</x:v>
      </x:c>
      <x:c r="V34" t="s">
        <x:v>45</x:v>
      </x:c>
      <x:c r="W34" t="s">
        <x:v>60</x:v>
      </x:c>
      <x:c r="X34">
        <x:v>152.54</x:v>
      </x:c>
      <x:c r="Y34" t="s">
        <x:v>47</x:v>
      </x:c>
      <x:c r="Z34" t="s">
        <x:v>48</x:v>
      </x:c>
      <x:c r="AA34" t="s">
        <x:v>49</x:v>
      </x:c>
      <x:c r="AB34">
        <x:v>978789268</x:v>
      </x:c>
      <x:c r="AC34" t="s">
        <x:v>635</x:v>
      </x:c>
      <x:c r="AD34">
        <x:v>30</x:v>
      </x:c>
    </x:row>
    <x:row r="35">
      <x:c r="A35" s="1">
        <x:v>46179</x:v>
      </x:c>
      <x:c r="B35" t="s">
        <x:v>3597</x:v>
      </x:c>
      <x:c r="C35" t="s">
        <x:v>648</x:v>
      </x:c>
      <x:c r="D35" t="s">
        <x:v>29</x:v>
      </x:c>
      <x:c r="E35" t="s">
        <x:v>649</x:v>
      </x:c>
      <x:c r="F35" t="s">
        <x:v>31</x:v>
      </x:c>
      <x:c r="G35" t="s">
        <x:v>650</x:v>
      </x:c>
      <x:c r="H35" t="s">
        <x:v>651</x:v>
      </x:c>
      <x:c r="I35" t="s">
        <x:v>652</x:v>
      </x:c>
      <x:c r="J35" t="s">
        <x:v>653</x:v>
      </x:c>
      <x:c r="K35" t="s">
        <x:v>654</x:v>
      </x:c>
      <x:c r="L35" t="s">
        <x:v>37</x:v>
      </x:c>
      <x:c r="M35" t="s">
        <x:v>655</x:v>
      </x:c>
      <x:c r="N35" t="s">
        <x:v>656</x:v>
      </x:c>
      <x:c r="O35" t="s">
        <x:v>651</x:v>
      </x:c>
      <x:c r="P35" t="s">
        <x:v>657</x:v>
      </x:c>
      <x:c r="Q35" t="s">
        <x:v>160</x:v>
      </x:c>
      <x:c r="R35">
        <x:v>1</x:v>
      </x:c>
      <x:c r="S35" t="s">
        <x:v>42</x:v>
      </x:c>
      <x:c r="T35" t="s">
        <x:v>43</x:v>
      </x:c>
      <x:c r="U35" t="s">
        <x:v>44</x:v>
      </x:c>
      <x:c r="V35" t="s">
        <x:v>45</x:v>
      </x:c>
      <x:c r="W35" t="s">
        <x:v>60</x:v>
      </x:c>
      <x:c r="X35">
        <x:v>135.59</x:v>
      </x:c>
      <x:c r="Y35" t="s">
        <x:v>47</x:v>
      </x:c>
      <x:c r="Z35" t="s">
        <x:v>48</x:v>
      </x:c>
      <x:c r="AA35" t="s">
        <x:v>49</x:v>
      </x:c>
      <x:c r="AB35">
        <x:v>987552890</x:v>
      </x:c>
      <x:c r="AC35" t="s">
        <x:v>658</x:v>
      </x:c>
      <x:c r="AD35">
        <x:v>30</x:v>
      </x:c>
    </x:row>
    <x:row r="36">
      <x:c r="A36" s="1">
        <x:v>46179</x:v>
      </x:c>
      <x:c r="B36" t="s">
        <x:v>3597</x:v>
      </x:c>
      <x:c r="C36" t="s">
        <x:v>648</x:v>
      </x:c>
      <x:c r="D36" t="s">
        <x:v>29</x:v>
      </x:c>
      <x:c r="E36" t="s">
        <x:v>649</x:v>
      </x:c>
      <x:c r="F36" t="s">
        <x:v>31</x:v>
      </x:c>
      <x:c r="G36" t="s">
        <x:v>650</x:v>
      </x:c>
      <x:c r="H36" t="s">
        <x:v>651</x:v>
      </x:c>
      <x:c r="I36" t="s">
        <x:v>652</x:v>
      </x:c>
      <x:c r="J36" t="s">
        <x:v>653</x:v>
      </x:c>
      <x:c r="K36" t="s">
        <x:v>654</x:v>
      </x:c>
      <x:c r="L36" t="s">
        <x:v>37</x:v>
      </x:c>
      <x:c r="M36" t="s">
        <x:v>655</x:v>
      </x:c>
      <x:c r="N36" t="s">
        <x:v>656</x:v>
      </x:c>
      <x:c r="O36" t="s">
        <x:v>651</x:v>
      </x:c>
      <x:c r="P36" t="s">
        <x:v>657</x:v>
      </x:c>
      <x:c r="Q36" t="s">
        <x:v>159</x:v>
      </x:c>
      <x:c r="R36">
        <x:v>1</x:v>
      </x:c>
      <x:c r="S36" t="s">
        <x:v>42</x:v>
      </x:c>
      <x:c r="T36" t="s">
        <x:v>43</x:v>
      </x:c>
      <x:c r="U36" t="s">
        <x:v>44</x:v>
      </x:c>
      <x:c r="V36" t="s">
        <x:v>45</x:v>
      </x:c>
      <x:c r="W36" t="s">
        <x:v>60</x:v>
      </x:c>
      <x:c r="X36">
        <x:v>152.54</x:v>
      </x:c>
      <x:c r="Y36" t="s">
        <x:v>47</x:v>
      </x:c>
      <x:c r="Z36" t="s">
        <x:v>48</x:v>
      </x:c>
      <x:c r="AA36" t="s">
        <x:v>49</x:v>
      </x:c>
      <x:c r="AB36">
        <x:v>987552890</x:v>
      </x:c>
      <x:c r="AC36" t="s">
        <x:v>658</x:v>
      </x:c>
      <x:c r="AD36">
        <x:v>30</x:v>
      </x:c>
    </x:row>
    <x:row r="37">
      <x:c r="A37" s="1">
        <x:v>46179</x:v>
      </x:c>
      <x:c r="B37" t="s">
        <x:v>3597</x:v>
      </x:c>
      <x:c r="C37" t="s">
        <x:v>648</x:v>
      </x:c>
      <x:c r="D37" t="s">
        <x:v>29</x:v>
      </x:c>
      <x:c r="E37" t="s">
        <x:v>649</x:v>
      </x:c>
      <x:c r="F37" t="s">
        <x:v>31</x:v>
      </x:c>
      <x:c r="G37" t="s">
        <x:v>650</x:v>
      </x:c>
      <x:c r="H37" t="s">
        <x:v>651</x:v>
      </x:c>
      <x:c r="I37" t="s">
        <x:v>652</x:v>
      </x:c>
      <x:c r="J37" t="s">
        <x:v>653</x:v>
      </x:c>
      <x:c r="K37" t="s">
        <x:v>654</x:v>
      </x:c>
      <x:c r="L37" t="s">
        <x:v>37</x:v>
      </x:c>
      <x:c r="M37" t="s">
        <x:v>655</x:v>
      </x:c>
      <x:c r="N37" t="s">
        <x:v>656</x:v>
      </x:c>
      <x:c r="O37" t="s">
        <x:v>651</x:v>
      </x:c>
      <x:c r="P37" t="s">
        <x:v>657</x:v>
      </x:c>
      <x:c r="Q37" t="s">
        <x:v>102</x:v>
      </x:c>
      <x:c r="R37">
        <x:v>1</x:v>
      </x:c>
      <x:c r="S37" t="s">
        <x:v>42</x:v>
      </x:c>
      <x:c r="T37" t="s">
        <x:v>43</x:v>
      </x:c>
      <x:c r="U37" t="s">
        <x:v>44</x:v>
      </x:c>
      <x:c r="V37" t="s">
        <x:v>45</x:v>
      </x:c>
      <x:c r="W37" t="s">
        <x:v>60</x:v>
      </x:c>
      <x:c r="X37">
        <x:v>186.44</x:v>
      </x:c>
      <x:c r="Y37" t="s">
        <x:v>47</x:v>
      </x:c>
      <x:c r="Z37" t="s">
        <x:v>48</x:v>
      </x:c>
      <x:c r="AA37" t="s">
        <x:v>49</x:v>
      </x:c>
      <x:c r="AB37">
        <x:v>987552890</x:v>
      </x:c>
      <x:c r="AC37" t="s">
        <x:v>658</x:v>
      </x:c>
      <x:c r="AD37">
        <x:v>50</x:v>
      </x:c>
    </x:row>
    <x:row r="38">
      <x:c r="A38" s="1">
        <x:v>46179</x:v>
      </x:c>
      <x:c r="B38" t="s">
        <x:v>3597</x:v>
      </x:c>
      <x:c r="C38" t="s">
        <x:v>712</x:v>
      </x:c>
      <x:c r="D38" t="s">
        <x:v>29</x:v>
      </x:c>
      <x:c r="E38" t="s">
        <x:v>713</x:v>
      </x:c>
      <x:c r="F38" t="s">
        <x:v>31</x:v>
      </x:c>
      <x:c r="G38" t="s">
        <x:v>714</x:v>
      </x:c>
      <x:c r="H38" t="s">
        <x:v>715</x:v>
      </x:c>
      <x:c r="I38" t="s">
        <x:v>716</x:v>
      </x:c>
      <x:c r="J38" t="s">
        <x:v>717</x:v>
      </x:c>
      <x:c r="K38" t="s">
        <x:v>718</x:v>
      </x:c>
      <x:c r="L38" t="s">
        <x:v>37</x:v>
      </x:c>
      <x:c r="M38" t="s">
        <x:v>719</x:v>
      </x:c>
      <x:c r="N38" t="s">
        <x:v>720</x:v>
      </x:c>
      <x:c r="O38" t="s">
        <x:v>715</x:v>
      </x:c>
      <x:c r="P38" t="s">
        <x:v>721</x:v>
      </x:c>
      <x:c r="Q38" t="s">
        <x:v>102</x:v>
      </x:c>
      <x:c r="R38">
        <x:v>1</x:v>
      </x:c>
      <x:c r="S38" t="s">
        <x:v>70</x:v>
      </x:c>
      <x:c r="T38" t="s">
        <x:v>43</x:v>
      </x:c>
      <x:c r="U38" t="s">
        <x:v>44</x:v>
      </x:c>
      <x:c r="V38" t="s">
        <x:v>71</x:v>
      </x:c>
      <x:c r="W38" t="s">
        <x:v>185</x:v>
      </x:c>
      <x:c r="X38">
        <x:v>186.44</x:v>
      </x:c>
      <x:c r="Y38" t="s">
        <x:v>47</x:v>
      </x:c>
      <x:c r="Z38" t="s">
        <x:v>48</x:v>
      </x:c>
      <x:c r="AA38" t="s">
        <x:v>73</x:v>
      </x:c>
      <x:c r="AB38">
        <x:v>955356636</x:v>
      </x:c>
      <x:c r="AC38" t="s">
        <x:v>722</x:v>
      </x:c>
      <x:c r="AD38">
        <x:v>50</x:v>
      </x:c>
    </x:row>
    <x:row r="39">
      <x:c r="A39" s="1">
        <x:v>46182</x:v>
      </x:c>
      <x:c r="B39" t="s">
        <x:v>3597</x:v>
      </x:c>
      <x:c r="C39" t="s">
        <x:v>296</x:v>
      </x:c>
      <x:c r="D39" t="s">
        <x:v>269</x:v>
      </x:c>
      <x:c r="E39" t="s">
        <x:v>297</x:v>
      </x:c>
      <x:c r="F39" t="s">
        <x:v>31</x:v>
      </x:c>
      <x:c r="G39" t="s">
        <x:v>298</x:v>
      </x:c>
      <x:c r="H39" t="s">
        <x:v>299</x:v>
      </x:c>
      <x:c r="I39" t="s">
        <x:v>300</x:v>
      </x:c>
      <x:c r="J39" t="s">
        <x:v>274</x:v>
      </x:c>
      <x:c r="K39" t="s">
        <x:v>275</x:v>
      </x:c>
      <x:c r="L39" t="s">
        <x:v>37</x:v>
      </x:c>
      <x:c r="M39" t="s">
        <x:v>301</x:v>
      </x:c>
      <x:c r="N39" t="s">
        <x:v>302</x:v>
      </x:c>
      <x:c r="O39" t="s">
        <x:v>278</x:v>
      </x:c>
      <x:c r="P39" t="s">
        <x:v>303</x:v>
      </x:c>
      <x:c r="Q39" t="s">
        <x:v>289</x:v>
      </x:c>
      <x:c r="R39">
        <x:v>1</x:v>
      </x:c>
      <x:c r="S39" t="s">
        <x:v>42</x:v>
      </x:c>
      <x:c r="T39" t="s">
        <x:v>43</x:v>
      </x:c>
      <x:c r="U39" t="s">
        <x:v>44</x:v>
      </x:c>
      <x:c r="V39" t="s">
        <x:v>45</x:v>
      </x:c>
      <x:c r="W39" t="s">
        <x:v>46</x:v>
      </x:c>
      <x:c r="X39">
        <x:v>0</x:v>
      </x:c>
      <x:c r="Y39" t="s">
        <x:v>290</x:v>
      </x:c>
      <x:c r="Z39" t="s">
        <x:v>48</x:v>
      </x:c>
      <x:c r="AA39" t="s">
        <x:v>49</x:v>
      </x:c>
      <x:c r="AB39">
        <x:v>950133748</x:v>
      </x:c>
      <x:c r="AC39" t="s">
        <x:v>280</x:v>
      </x:c>
    </x:row>
    <x:row r="40">
      <x:c r="A40" s="1">
        <x:v>46182</x:v>
      </x:c>
      <x:c r="B40" t="s">
        <x:v>3597</x:v>
      </x:c>
      <x:c r="C40" t="s">
        <x:v>296</x:v>
      </x:c>
      <x:c r="D40" t="s">
        <x:v>269</x:v>
      </x:c>
      <x:c r="E40" t="s">
        <x:v>297</x:v>
      </x:c>
      <x:c r="F40" t="s">
        <x:v>31</x:v>
      </x:c>
      <x:c r="G40" t="s">
        <x:v>298</x:v>
      </x:c>
      <x:c r="H40" t="s">
        <x:v>299</x:v>
      </x:c>
      <x:c r="I40" t="s">
        <x:v>300</x:v>
      </x:c>
      <x:c r="J40" t="s">
        <x:v>274</x:v>
      </x:c>
      <x:c r="K40" t="s">
        <x:v>275</x:v>
      </x:c>
      <x:c r="L40" t="s">
        <x:v>37</x:v>
      </x:c>
      <x:c r="M40" t="s">
        <x:v>301</x:v>
      </x:c>
      <x:c r="N40" t="s">
        <x:v>302</x:v>
      </x:c>
      <x:c r="O40" t="s">
        <x:v>278</x:v>
      </x:c>
      <x:c r="P40" t="s">
        <x:v>303</x:v>
      </x:c>
      <x:c r="Q40" t="s">
        <x:v>291</x:v>
      </x:c>
      <x:c r="R40">
        <x:v>1</x:v>
      </x:c>
      <x:c r="S40" t="s">
        <x:v>42</x:v>
      </x:c>
      <x:c r="T40" t="s">
        <x:v>43</x:v>
      </x:c>
      <x:c r="U40" t="s">
        <x:v>44</x:v>
      </x:c>
      <x:c r="V40" t="s">
        <x:v>45</x:v>
      </x:c>
      <x:c r="W40" t="s">
        <x:v>46</x:v>
      </x:c>
      <x:c r="X40">
        <x:v>1050.8499999999999</x:v>
      </x:c>
      <x:c r="Y40" t="s">
        <x:v>290</x:v>
      </x:c>
      <x:c r="Z40" t="s">
        <x:v>48</x:v>
      </x:c>
      <x:c r="AA40" t="s">
        <x:v>49</x:v>
      </x:c>
      <x:c r="AB40">
        <x:v>950133748</x:v>
      </x:c>
      <x:c r="AC40" t="s">
        <x:v>280</x:v>
      </x:c>
    </x:row>
    <x:row r="41">
      <x:c r="A41" s="1">
        <x:v>46182</x:v>
      </x:c>
      <x:c r="B41" t="s">
        <x:v>3597</x:v>
      </x:c>
      <x:c r="C41" t="s">
        <x:v>304</x:v>
      </x:c>
      <x:c r="D41" t="s">
        <x:v>269</x:v>
      </x:c>
      <x:c r="E41" t="s">
        <x:v>305</x:v>
      </x:c>
      <x:c r="F41" t="s">
        <x:v>31</x:v>
      </x:c>
      <x:c r="G41" t="s">
        <x:v>306</x:v>
      </x:c>
      <x:c r="H41" t="s">
        <x:v>307</x:v>
      </x:c>
      <x:c r="I41" t="s">
        <x:v>308</x:v>
      </x:c>
      <x:c r="J41" t="s">
        <x:v>274</x:v>
      </x:c>
      <x:c r="K41" t="s">
        <x:v>275</x:v>
      </x:c>
      <x:c r="L41" t="s">
        <x:v>37</x:v>
      </x:c>
      <x:c r="M41" t="s">
        <x:v>309</x:v>
      </x:c>
      <x:c r="N41" t="s">
        <x:v>310</x:v>
      </x:c>
      <x:c r="O41" t="s">
        <x:v>278</x:v>
      </x:c>
      <x:c r="P41" t="s">
        <x:v>311</x:v>
      </x:c>
      <x:c r="Q41" t="s">
        <x:v>289</x:v>
      </x:c>
      <x:c r="R41">
        <x:v>1</x:v>
      </x:c>
      <x:c r="S41" t="s">
        <x:v>42</x:v>
      </x:c>
      <x:c r="T41" t="s">
        <x:v>43</x:v>
      </x:c>
      <x:c r="U41" t="s">
        <x:v>44</x:v>
      </x:c>
      <x:c r="V41" t="s">
        <x:v>45</x:v>
      </x:c>
      <x:c r="W41" t="s">
        <x:v>46</x:v>
      </x:c>
      <x:c r="X41">
        <x:v>0</x:v>
      </x:c>
      <x:c r="Y41" t="s">
        <x:v>290</x:v>
      </x:c>
      <x:c r="Z41" t="s">
        <x:v>48</x:v>
      </x:c>
      <x:c r="AA41" t="s">
        <x:v>49</x:v>
      </x:c>
      <x:c r="AB41">
        <x:v>950133748</x:v>
      </x:c>
      <x:c r="AC41" t="s">
        <x:v>280</x:v>
      </x:c>
    </x:row>
    <x:row r="42">
      <x:c r="A42" s="1">
        <x:v>46182</x:v>
      </x:c>
      <x:c r="B42" t="s">
        <x:v>3597</x:v>
      </x:c>
      <x:c r="C42" t="s">
        <x:v>304</x:v>
      </x:c>
      <x:c r="D42" t="s">
        <x:v>269</x:v>
      </x:c>
      <x:c r="E42" t="s">
        <x:v>305</x:v>
      </x:c>
      <x:c r="F42" t="s">
        <x:v>31</x:v>
      </x:c>
      <x:c r="G42" t="s">
        <x:v>306</x:v>
      </x:c>
      <x:c r="H42" t="s">
        <x:v>307</x:v>
      </x:c>
      <x:c r="I42" t="s">
        <x:v>308</x:v>
      </x:c>
      <x:c r="J42" t="s">
        <x:v>274</x:v>
      </x:c>
      <x:c r="K42" t="s">
        <x:v>275</x:v>
      </x:c>
      <x:c r="L42" t="s">
        <x:v>37</x:v>
      </x:c>
      <x:c r="M42" t="s">
        <x:v>309</x:v>
      </x:c>
      <x:c r="N42" t="s">
        <x:v>310</x:v>
      </x:c>
      <x:c r="O42" t="s">
        <x:v>278</x:v>
      </x:c>
      <x:c r="P42" t="s">
        <x:v>311</x:v>
      </x:c>
      <x:c r="Q42" t="s">
        <x:v>291</x:v>
      </x:c>
      <x:c r="R42">
        <x:v>1</x:v>
      </x:c>
      <x:c r="S42" t="s">
        <x:v>42</x:v>
      </x:c>
      <x:c r="T42" t="s">
        <x:v>43</x:v>
      </x:c>
      <x:c r="U42" t="s">
        <x:v>44</x:v>
      </x:c>
      <x:c r="V42" t="s">
        <x:v>45</x:v>
      </x:c>
      <x:c r="W42" t="s">
        <x:v>46</x:v>
      </x:c>
      <x:c r="X42">
        <x:v>1050.8499999999999</x:v>
      </x:c>
      <x:c r="Y42" t="s">
        <x:v>290</x:v>
      </x:c>
      <x:c r="Z42" t="s">
        <x:v>48</x:v>
      </x:c>
      <x:c r="AA42" t="s">
        <x:v>49</x:v>
      </x:c>
      <x:c r="AB42">
        <x:v>950133748</x:v>
      </x:c>
      <x:c r="AC42" t="s">
        <x:v>280</x:v>
      </x:c>
    </x:row>
    <x:row r="43">
      <x:c r="A43" s="1">
        <x:v>46182</x:v>
      </x:c>
      <x:c r="B43" t="s">
        <x:v>3597</x:v>
      </x:c>
      <x:c r="C43" t="s">
        <x:v>759</x:v>
      </x:c>
      <x:c r="D43" t="s">
        <x:v>269</x:v>
      </x:c>
      <x:c r="E43" t="s">
        <x:v>760</x:v>
      </x:c>
      <x:c r="F43" t="s">
        <x:v>31</x:v>
      </x:c>
      <x:c r="G43" t="s">
        <x:v>761</x:v>
      </x:c>
      <x:c r="H43" t="s">
        <x:v>762</x:v>
      </x:c>
      <x:c r="I43" t="s">
        <x:v>763</x:v>
      </x:c>
      <x:c r="J43" t="s">
        <x:v>764</x:v>
      </x:c>
      <x:c r="K43" t="s">
        <x:v>210</x:v>
      </x:c>
      <x:c r="L43" t="s">
        <x:v>37</x:v>
      </x:c>
      <x:c r="M43" t="s">
        <x:v>765</x:v>
      </x:c>
      <x:c r="N43" t="s">
        <x:v>766</x:v>
      </x:c>
      <x:c r="O43" t="s">
        <x:v>767</x:v>
      </x:c>
      <x:c r="P43" t="s">
        <x:v>768</x:v>
      </x:c>
      <x:c r="Q43" t="s">
        <x:v>769</x:v>
      </x:c>
      <x:c r="R43">
        <x:v>1</x:v>
      </x:c>
      <x:c r="S43" t="s">
        <x:v>42</x:v>
      </x:c>
      <x:c r="T43" t="s">
        <x:v>43</x:v>
      </x:c>
      <x:c r="U43" t="s">
        <x:v>44</x:v>
      </x:c>
      <x:c r="V43" t="s">
        <x:v>45</x:v>
      </x:c>
      <x:c r="W43" t="s">
        <x:v>60</x:v>
      </x:c>
      <x:c r="X43">
        <x:v>169.49</x:v>
      </x:c>
      <x:c r="Y43" t="s">
        <x:v>61</x:v>
      </x:c>
      <x:c r="Z43" t="s">
        <x:v>48</x:v>
      </x:c>
      <x:c r="AA43" t="s">
        <x:v>49</x:v>
      </x:c>
      <x:c r="AB43">
        <x:v>969791876</x:v>
      </x:c>
      <x:c r="AC43" t="s">
        <x:v>770</x:v>
      </x:c>
    </x:row>
    <x:row r="44">
      <x:c r="A44" s="1">
        <x:v>46182</x:v>
      </x:c>
      <x:c r="B44" t="s">
        <x:v>3597</x:v>
      </x:c>
      <x:c r="C44" t="s">
        <x:v>771</x:v>
      </x:c>
      <x:c r="D44" t="s">
        <x:v>29</x:v>
      </x:c>
      <x:c r="E44" t="s">
        <x:v>772</x:v>
      </x:c>
      <x:c r="F44" t="s">
        <x:v>31</x:v>
      </x:c>
      <x:c r="G44" t="s">
        <x:v>773</x:v>
      </x:c>
      <x:c r="H44" t="s">
        <x:v>774</x:v>
      </x:c>
      <x:c r="I44" t="s">
        <x:v>775</x:v>
      </x:c>
      <x:c r="J44" t="s">
        <x:v>776</x:v>
      </x:c>
      <x:c r="K44" t="s">
        <x:v>777</x:v>
      </x:c>
      <x:c r="L44" t="s">
        <x:v>37</x:v>
      </x:c>
      <x:c r="M44" t="s">
        <x:v>778</x:v>
      </x:c>
      <x:c r="N44" t="s">
        <x:v>779</x:v>
      </x:c>
      <x:c r="O44" t="s">
        <x:v>774</x:v>
      </x:c>
      <x:c r="P44" t="s">
        <x:v>780</x:v>
      </x:c>
      <x:c r="Q44" t="s">
        <x:v>643</x:v>
      </x:c>
      <x:c r="R44">
        <x:v>1</x:v>
      </x:c>
      <x:c r="S44" t="s">
        <x:v>42</x:v>
      </x:c>
      <x:c r="T44" t="s">
        <x:v>43</x:v>
      </x:c>
      <x:c r="U44" t="s">
        <x:v>44</x:v>
      </x:c>
      <x:c r="V44" t="s">
        <x:v>45</x:v>
      </x:c>
      <x:c r="W44" t="s">
        <x:v>46</x:v>
      </x:c>
      <x:c r="X44">
        <x:v>84.75</x:v>
      </x:c>
      <x:c r="Y44" t="s">
        <x:v>47</x:v>
      </x:c>
      <x:c r="Z44" t="s">
        <x:v>48</x:v>
      </x:c>
      <x:c r="AA44" t="s">
        <x:v>49</x:v>
      </x:c>
    </x:row>
    <x:row r="45">
      <x:c r="A45" s="1">
        <x:v>46182</x:v>
      </x:c>
      <x:c r="B45" t="s">
        <x:v>3597</x:v>
      </x:c>
      <x:c r="C45" t="s">
        <x:v>781</x:v>
      </x:c>
      <x:c r="D45" t="s">
        <x:v>29</x:v>
      </x:c>
      <x:c r="E45" t="s">
        <x:v>782</x:v>
      </x:c>
      <x:c r="F45" t="s">
        <x:v>31</x:v>
      </x:c>
      <x:c r="G45" t="s">
        <x:v>783</x:v>
      </x:c>
      <x:c r="H45" t="s">
        <x:v>784</x:v>
      </x:c>
      <x:c r="I45" t="s">
        <x:v>785</x:v>
      </x:c>
      <x:c r="J45" t="s">
        <x:v>776</x:v>
      </x:c>
      <x:c r="K45" t="s">
        <x:v>777</x:v>
      </x:c>
      <x:c r="L45" t="s">
        <x:v>37</x:v>
      </x:c>
      <x:c r="M45" t="s">
        <x:v>786</x:v>
      </x:c>
      <x:c r="N45" t="s">
        <x:v>787</x:v>
      </x:c>
      <x:c r="O45" t="s">
        <x:v>784</x:v>
      </x:c>
      <x:c r="P45" t="s">
        <x:v>788</x:v>
      </x:c>
      <x:c r="Q45" t="s">
        <x:v>643</x:v>
      </x:c>
      <x:c r="R45">
        <x:v>1</x:v>
      </x:c>
      <x:c r="S45" t="s">
        <x:v>42</x:v>
      </x:c>
      <x:c r="T45" t="s">
        <x:v>43</x:v>
      </x:c>
      <x:c r="U45" t="s">
        <x:v>44</x:v>
      </x:c>
      <x:c r="V45" t="s">
        <x:v>45</x:v>
      </x:c>
      <x:c r="W45" t="s">
        <x:v>60</x:v>
      </x:c>
      <x:c r="X45">
        <x:v>84.75</x:v>
      </x:c>
      <x:c r="Y45" t="s">
        <x:v>47</x:v>
      </x:c>
      <x:c r="Z45" t="s">
        <x:v>48</x:v>
      </x:c>
      <x:c r="AA45" t="s">
        <x:v>49</x:v>
      </x:c>
    </x:row>
    <x:row r="46">
      <x:c r="A46" s="1">
        <x:v>46182</x:v>
      </x:c>
      <x:c r="B46" t="s">
        <x:v>3597</x:v>
      </x:c>
      <x:c r="C46" t="s">
        <x:v>789</x:v>
      </x:c>
      <x:c r="D46" t="s">
        <x:v>29</x:v>
      </x:c>
      <x:c r="E46" t="s">
        <x:v>790</x:v>
      </x:c>
      <x:c r="F46" t="s">
        <x:v>31</x:v>
      </x:c>
      <x:c r="G46" t="s">
        <x:v>791</x:v>
      </x:c>
      <x:c r="H46" t="s">
        <x:v>792</x:v>
      </x:c>
      <x:c r="I46" t="s">
        <x:v>793</x:v>
      </x:c>
      <x:c r="J46" t="s">
        <x:v>776</x:v>
      </x:c>
      <x:c r="K46" t="s">
        <x:v>777</x:v>
      </x:c>
      <x:c r="L46" t="s">
        <x:v>37</x:v>
      </x:c>
      <x:c r="M46" t="s">
        <x:v>794</x:v>
      </x:c>
      <x:c r="N46" t="s">
        <x:v>795</x:v>
      </x:c>
      <x:c r="O46" t="s">
        <x:v>792</x:v>
      </x:c>
      <x:c r="P46" t="s">
        <x:v>796</x:v>
      </x:c>
      <x:c r="Q46" t="s">
        <x:v>643</x:v>
      </x:c>
      <x:c r="R46">
        <x:v>1</x:v>
      </x:c>
      <x:c r="S46" t="s">
        <x:v>42</x:v>
      </x:c>
      <x:c r="T46" t="s">
        <x:v>43</x:v>
      </x:c>
      <x:c r="U46" t="s">
        <x:v>44</x:v>
      </x:c>
      <x:c r="V46" t="s">
        <x:v>45</x:v>
      </x:c>
      <x:c r="W46" t="s">
        <x:v>46</x:v>
      </x:c>
      <x:c r="X46">
        <x:v>84.75</x:v>
      </x:c>
      <x:c r="Y46" t="s">
        <x:v>47</x:v>
      </x:c>
      <x:c r="Z46" t="s">
        <x:v>48</x:v>
      </x:c>
      <x:c r="AA46" t="s">
        <x:v>49</x:v>
      </x:c>
    </x:row>
    <x:row r="47">
      <x:c r="A47" s="1">
        <x:v>46182</x:v>
      </x:c>
      <x:c r="B47" t="s">
        <x:v>3597</x:v>
      </x:c>
      <x:c r="C47" t="s">
        <x:v>797</x:v>
      </x:c>
      <x:c r="D47" t="s">
        <x:v>269</x:v>
      </x:c>
      <x:c r="E47" t="s">
        <x:v>798</x:v>
      </x:c>
      <x:c r="F47" t="s">
        <x:v>31</x:v>
      </x:c>
      <x:c r="G47" t="s">
        <x:v>799</x:v>
      </x:c>
      <x:c r="H47" t="s">
        <x:v>774</x:v>
      </x:c>
      <x:c r="I47" t="s">
        <x:v>775</x:v>
      </x:c>
      <x:c r="J47" t="s">
        <x:v>776</x:v>
      </x:c>
      <x:c r="K47" t="s">
        <x:v>777</x:v>
      </x:c>
      <x:c r="L47" t="s">
        <x:v>37</x:v>
      </x:c>
      <x:c r="M47" t="s">
        <x:v>778</x:v>
      </x:c>
      <x:c r="N47" t="s">
        <x:v>779</x:v>
      </x:c>
      <x:c r="O47" t="s">
        <x:v>800</x:v>
      </x:c>
      <x:c r="P47" t="s">
        <x:v>801</x:v>
      </x:c>
      <x:c r="Q47" t="s">
        <x:v>289</x:v>
      </x:c>
      <x:c r="R47">
        <x:v>1</x:v>
      </x:c>
      <x:c r="S47" t="s">
        <x:v>42</x:v>
      </x:c>
      <x:c r="T47" t="s">
        <x:v>43</x:v>
      </x:c>
      <x:c r="U47" t="s">
        <x:v>44</x:v>
      </x:c>
      <x:c r="V47" t="s">
        <x:v>45</x:v>
      </x:c>
      <x:c r="W47" t="s">
        <x:v>46</x:v>
      </x:c>
      <x:c r="X47">
        <x:v>0</x:v>
      </x:c>
      <x:c r="Y47" t="s">
        <x:v>290</x:v>
      </x:c>
      <x:c r="Z47" t="s">
        <x:v>48</x:v>
      </x:c>
      <x:c r="AA47" t="s">
        <x:v>49</x:v>
      </x:c>
    </x:row>
    <x:row r="48">
      <x:c r="A48" s="1">
        <x:v>46182</x:v>
      </x:c>
      <x:c r="B48" t="s">
        <x:v>3597</x:v>
      </x:c>
      <x:c r="C48" t="s">
        <x:v>797</x:v>
      </x:c>
      <x:c r="D48" t="s">
        <x:v>269</x:v>
      </x:c>
      <x:c r="E48" t="s">
        <x:v>798</x:v>
      </x:c>
      <x:c r="F48" t="s">
        <x:v>31</x:v>
      </x:c>
      <x:c r="G48" t="s">
        <x:v>799</x:v>
      </x:c>
      <x:c r="H48" t="s">
        <x:v>774</x:v>
      </x:c>
      <x:c r="I48" t="s">
        <x:v>775</x:v>
      </x:c>
      <x:c r="J48" t="s">
        <x:v>776</x:v>
      </x:c>
      <x:c r="K48" t="s">
        <x:v>777</x:v>
      </x:c>
      <x:c r="L48" t="s">
        <x:v>37</x:v>
      </x:c>
      <x:c r="M48" t="s">
        <x:v>778</x:v>
      </x:c>
      <x:c r="N48" t="s">
        <x:v>779</x:v>
      </x:c>
      <x:c r="O48" t="s">
        <x:v>800</x:v>
      </x:c>
      <x:c r="P48" t="s">
        <x:v>801</x:v>
      </x:c>
      <x:c r="Q48" t="s">
        <x:v>291</x:v>
      </x:c>
      <x:c r="R48">
        <x:v>1</x:v>
      </x:c>
      <x:c r="S48" t="s">
        <x:v>42</x:v>
      </x:c>
      <x:c r="T48" t="s">
        <x:v>43</x:v>
      </x:c>
      <x:c r="U48" t="s">
        <x:v>44</x:v>
      </x:c>
      <x:c r="V48" t="s">
        <x:v>45</x:v>
      </x:c>
      <x:c r="W48" t="s">
        <x:v>46</x:v>
      </x:c>
      <x:c r="X48">
        <x:v>1525.42</x:v>
      </x:c>
      <x:c r="Y48" t="s">
        <x:v>290</x:v>
      </x:c>
      <x:c r="Z48" t="s">
        <x:v>48</x:v>
      </x:c>
      <x:c r="AA48" t="s">
        <x:v>49</x:v>
      </x:c>
    </x:row>
    <x:row r="49">
      <x:c r="A49" s="1">
        <x:v>46182</x:v>
      </x:c>
      <x:c r="B49" t="s">
        <x:v>3597</x:v>
      </x:c>
      <x:c r="C49" t="s">
        <x:v>802</x:v>
      </x:c>
      <x:c r="D49" t="s">
        <x:v>269</x:v>
      </x:c>
      <x:c r="E49" t="s">
        <x:v>803</x:v>
      </x:c>
      <x:c r="F49" t="s">
        <x:v>31</x:v>
      </x:c>
      <x:c r="G49" t="s">
        <x:v>804</x:v>
      </x:c>
      <x:c r="H49" t="s">
        <x:v>792</x:v>
      </x:c>
      <x:c r="I49" t="s">
        <x:v>793</x:v>
      </x:c>
      <x:c r="J49" t="s">
        <x:v>776</x:v>
      </x:c>
      <x:c r="K49" t="s">
        <x:v>777</x:v>
      </x:c>
      <x:c r="L49" t="s">
        <x:v>37</x:v>
      </x:c>
      <x:c r="M49" t="s">
        <x:v>794</x:v>
      </x:c>
      <x:c r="N49" t="s">
        <x:v>795</x:v>
      </x:c>
      <x:c r="O49" t="s">
        <x:v>800</x:v>
      </x:c>
      <x:c r="P49" t="s">
        <x:v>805</x:v>
      </x:c>
      <x:c r="Q49" t="s">
        <x:v>289</x:v>
      </x:c>
      <x:c r="R49">
        <x:v>1</x:v>
      </x:c>
      <x:c r="S49" t="s">
        <x:v>42</x:v>
      </x:c>
      <x:c r="T49" t="s">
        <x:v>43</x:v>
      </x:c>
      <x:c r="U49" t="s">
        <x:v>44</x:v>
      </x:c>
      <x:c r="V49" t="s">
        <x:v>45</x:v>
      </x:c>
      <x:c r="W49" t="s">
        <x:v>46</x:v>
      </x:c>
      <x:c r="X49">
        <x:v>0</x:v>
      </x:c>
      <x:c r="Y49" t="s">
        <x:v>290</x:v>
      </x:c>
      <x:c r="Z49" t="s">
        <x:v>48</x:v>
      </x:c>
      <x:c r="AA49" t="s">
        <x:v>49</x:v>
      </x:c>
    </x:row>
    <x:row r="50">
      <x:c r="A50" s="1">
        <x:v>46182</x:v>
      </x:c>
      <x:c r="B50" t="s">
        <x:v>3597</x:v>
      </x:c>
      <x:c r="C50" t="s">
        <x:v>802</x:v>
      </x:c>
      <x:c r="D50" t="s">
        <x:v>269</x:v>
      </x:c>
      <x:c r="E50" t="s">
        <x:v>803</x:v>
      </x:c>
      <x:c r="F50" t="s">
        <x:v>31</x:v>
      </x:c>
      <x:c r="G50" t="s">
        <x:v>804</x:v>
      </x:c>
      <x:c r="H50" t="s">
        <x:v>792</x:v>
      </x:c>
      <x:c r="I50" t="s">
        <x:v>793</x:v>
      </x:c>
      <x:c r="J50" t="s">
        <x:v>776</x:v>
      </x:c>
      <x:c r="K50" t="s">
        <x:v>777</x:v>
      </x:c>
      <x:c r="L50" t="s">
        <x:v>37</x:v>
      </x:c>
      <x:c r="M50" t="s">
        <x:v>794</x:v>
      </x:c>
      <x:c r="N50" t="s">
        <x:v>795</x:v>
      </x:c>
      <x:c r="O50" t="s">
        <x:v>800</x:v>
      </x:c>
      <x:c r="P50" t="s">
        <x:v>805</x:v>
      </x:c>
      <x:c r="Q50" t="s">
        <x:v>291</x:v>
      </x:c>
      <x:c r="R50">
        <x:v>1</x:v>
      </x:c>
      <x:c r="S50" t="s">
        <x:v>42</x:v>
      </x:c>
      <x:c r="T50" t="s">
        <x:v>43</x:v>
      </x:c>
      <x:c r="U50" t="s">
        <x:v>44</x:v>
      </x:c>
      <x:c r="V50" t="s">
        <x:v>45</x:v>
      </x:c>
      <x:c r="W50" t="s">
        <x:v>46</x:v>
      </x:c>
      <x:c r="X50">
        <x:v>1525.42</x:v>
      </x:c>
      <x:c r="Y50" t="s">
        <x:v>290</x:v>
      </x:c>
      <x:c r="Z50" t="s">
        <x:v>48</x:v>
      </x:c>
      <x:c r="AA50" t="s">
        <x:v>49</x:v>
      </x:c>
    </x:row>
    <x:row r="51">
      <x:c r="A51" s="1">
        <x:v>46182</x:v>
      </x:c>
      <x:c r="B51" t="s">
        <x:v>3597</x:v>
      </x:c>
      <x:c r="C51" t="s">
        <x:v>806</x:v>
      </x:c>
      <x:c r="D51" t="s">
        <x:v>269</x:v>
      </x:c>
      <x:c r="E51" t="s">
        <x:v>807</x:v>
      </x:c>
      <x:c r="F51" t="s">
        <x:v>31</x:v>
      </x:c>
      <x:c r="G51" t="s">
        <x:v>808</x:v>
      </x:c>
      <x:c r="H51" t="s">
        <x:v>784</x:v>
      </x:c>
      <x:c r="I51" t="s">
        <x:v>785</x:v>
      </x:c>
      <x:c r="J51" t="s">
        <x:v>776</x:v>
      </x:c>
      <x:c r="K51" t="s">
        <x:v>777</x:v>
      </x:c>
      <x:c r="L51" t="s">
        <x:v>37</x:v>
      </x:c>
      <x:c r="M51" t="s">
        <x:v>786</x:v>
      </x:c>
      <x:c r="N51" t="s">
        <x:v>787</x:v>
      </x:c>
      <x:c r="O51" t="s">
        <x:v>800</x:v>
      </x:c>
      <x:c r="P51" t="s">
        <x:v>809</x:v>
      </x:c>
      <x:c r="Q51" t="s">
        <x:v>289</x:v>
      </x:c>
      <x:c r="R51">
        <x:v>1</x:v>
      </x:c>
      <x:c r="S51" t="s">
        <x:v>42</x:v>
      </x:c>
      <x:c r="T51" t="s">
        <x:v>43</x:v>
      </x:c>
      <x:c r="U51" t="s">
        <x:v>44</x:v>
      </x:c>
      <x:c r="V51" t="s">
        <x:v>45</x:v>
      </x:c>
      <x:c r="W51" t="s">
        <x:v>60</x:v>
      </x:c>
      <x:c r="X51">
        <x:v>0</x:v>
      </x:c>
      <x:c r="Y51" t="s">
        <x:v>290</x:v>
      </x:c>
      <x:c r="Z51" t="s">
        <x:v>48</x:v>
      </x:c>
      <x:c r="AA51" t="s">
        <x:v>49</x:v>
      </x:c>
    </x:row>
    <x:row r="52">
      <x:c r="A52" s="1">
        <x:v>46182</x:v>
      </x:c>
      <x:c r="B52" t="s">
        <x:v>3597</x:v>
      </x:c>
      <x:c r="C52" t="s">
        <x:v>806</x:v>
      </x:c>
      <x:c r="D52" t="s">
        <x:v>269</x:v>
      </x:c>
      <x:c r="E52" t="s">
        <x:v>807</x:v>
      </x:c>
      <x:c r="F52" t="s">
        <x:v>31</x:v>
      </x:c>
      <x:c r="G52" t="s">
        <x:v>808</x:v>
      </x:c>
      <x:c r="H52" t="s">
        <x:v>784</x:v>
      </x:c>
      <x:c r="I52" t="s">
        <x:v>785</x:v>
      </x:c>
      <x:c r="J52" t="s">
        <x:v>776</x:v>
      </x:c>
      <x:c r="K52" t="s">
        <x:v>777</x:v>
      </x:c>
      <x:c r="L52" t="s">
        <x:v>37</x:v>
      </x:c>
      <x:c r="M52" t="s">
        <x:v>786</x:v>
      </x:c>
      <x:c r="N52" t="s">
        <x:v>787</x:v>
      </x:c>
      <x:c r="O52" t="s">
        <x:v>800</x:v>
      </x:c>
      <x:c r="P52" t="s">
        <x:v>809</x:v>
      </x:c>
      <x:c r="Q52" t="s">
        <x:v>291</x:v>
      </x:c>
      <x:c r="R52">
        <x:v>1</x:v>
      </x:c>
      <x:c r="S52" t="s">
        <x:v>42</x:v>
      </x:c>
      <x:c r="T52" t="s">
        <x:v>43</x:v>
      </x:c>
      <x:c r="U52" t="s">
        <x:v>44</x:v>
      </x:c>
      <x:c r="V52" t="s">
        <x:v>45</x:v>
      </x:c>
      <x:c r="W52" t="s">
        <x:v>60</x:v>
      </x:c>
      <x:c r="X52">
        <x:v>762.71</x:v>
      </x:c>
      <x:c r="Y52" t="s">
        <x:v>290</x:v>
      </x:c>
      <x:c r="Z52" t="s">
        <x:v>48</x:v>
      </x:c>
      <x:c r="AA52" t="s">
        <x:v>49</x:v>
      </x:c>
    </x:row>
    <x:row r="53">
      <x:c r="A53" s="1">
        <x:v>46183</x:v>
      </x:c>
      <x:c r="B53" t="s">
        <x:v>3597</x:v>
      </x:c>
      <x:c r="C53" t="s">
        <x:v>723</x:v>
      </x:c>
      <x:c r="D53" t="s">
        <x:v>29</x:v>
      </x:c>
      <x:c r="E53" t="s">
        <x:v>724</x:v>
      </x:c>
      <x:c r="F53" t="s">
        <x:v>31</x:v>
      </x:c>
      <x:c r="G53" t="s">
        <x:v>725</x:v>
      </x:c>
      <x:c r="H53" t="s">
        <x:v>180</x:v>
      </x:c>
      <x:c r="I53" t="s">
        <x:v>181</x:v>
      </x:c>
      <x:c r="J53" t="s">
        <x:v>717</x:v>
      </x:c>
      <x:c r="K53" t="s">
        <x:v>718</x:v>
      </x:c>
      <x:c r="L53" t="s">
        <x:v>37</x:v>
      </x:c>
      <x:c r="M53" t="s">
        <x:v>182</x:v>
      </x:c>
      <x:c r="N53" t="s">
        <x:v>183</x:v>
      </x:c>
      <x:c r="O53" t="s">
        <x:v>180</x:v>
      </x:c>
      <x:c r="P53" t="s">
        <x:v>726</x:v>
      </x:c>
      <x:c r="Q53" t="s">
        <x:v>91</x:v>
      </x:c>
      <x:c r="R53">
        <x:v>1</x:v>
      </x:c>
      <x:c r="S53" t="s">
        <x:v>70</x:v>
      </x:c>
      <x:c r="T53" t="s">
        <x:v>43</x:v>
      </x:c>
      <x:c r="U53" t="s">
        <x:v>44</x:v>
      </x:c>
      <x:c r="V53" t="s">
        <x:v>71</x:v>
      </x:c>
      <x:c r="W53" t="s">
        <x:v>72</x:v>
      </x:c>
      <x:c r="X53">
        <x:v>135.59</x:v>
      </x:c>
      <x:c r="Y53" t="s">
        <x:v>47</x:v>
      </x:c>
      <x:c r="Z53" t="s">
        <x:v>48</x:v>
      </x:c>
      <x:c r="AA53" t="s">
        <x:v>73</x:v>
      </x:c>
      <x:c r="AB53">
        <x:v>955356636</x:v>
      </x:c>
      <x:c r="AC53" t="s">
        <x:v>722</x:v>
      </x:c>
      <x:c r="AD53">
        <x:v>30</x:v>
      </x:c>
    </x:row>
    <x:row r="54">
      <x:c r="A54" s="1">
        <x:v>46184</x:v>
      </x:c>
      <x:c r="B54" t="s">
        <x:v>3597</x:v>
      </x:c>
      <x:c r="C54" t="s">
        <x:v>810</x:v>
      </x:c>
      <x:c r="D54" t="s">
        <x:v>29</x:v>
      </x:c>
      <x:c r="E54" t="s">
        <x:v>811</x:v>
      </x:c>
      <x:c r="F54" t="s">
        <x:v>31</x:v>
      </x:c>
      <x:c r="G54" t="s">
        <x:v>812</x:v>
      </x:c>
      <x:c r="H54" t="s">
        <x:v>813</x:v>
      </x:c>
      <x:c r="I54" t="s">
        <x:v>814</x:v>
      </x:c>
      <x:c r="J54" t="s">
        <x:v>776</x:v>
      </x:c>
      <x:c r="K54" t="s">
        <x:v>777</x:v>
      </x:c>
      <x:c r="L54" t="s">
        <x:v>37</x:v>
      </x:c>
      <x:c r="M54" t="s">
        <x:v>815</x:v>
      </x:c>
      <x:c r="N54" t="s">
        <x:v>816</x:v>
      </x:c>
      <x:c r="O54" t="s">
        <x:v>813</x:v>
      </x:c>
      <x:c r="P54" t="s">
        <x:v>817</x:v>
      </x:c>
      <x:c r="Q54" t="s">
        <x:v>643</x:v>
      </x:c>
      <x:c r="R54">
        <x:v>1</x:v>
      </x:c>
      <x:c r="S54" t="s">
        <x:v>42</x:v>
      </x:c>
      <x:c r="T54" t="s">
        <x:v>43</x:v>
      </x:c>
      <x:c r="U54" t="s">
        <x:v>44</x:v>
      </x:c>
      <x:c r="V54" t="s">
        <x:v>45</x:v>
      </x:c>
      <x:c r="W54" t="s">
        <x:v>46</x:v>
      </x:c>
      <x:c r="X54">
        <x:v>84.75</x:v>
      </x:c>
      <x:c r="Y54" t="s">
        <x:v>47</x:v>
      </x:c>
      <x:c r="Z54" t="s">
        <x:v>48</x:v>
      </x:c>
      <x:c r="AA54" t="s">
        <x:v>49</x:v>
      </x:c>
    </x:row>
    <x:row r="55">
      <x:c r="A55" s="1">
        <x:v>46184</x:v>
      </x:c>
      <x:c r="B55" t="s">
        <x:v>3597</x:v>
      </x:c>
      <x:c r="C55" t="s">
        <x:v>818</x:v>
      </x:c>
      <x:c r="D55" t="s">
        <x:v>29</x:v>
      </x:c>
      <x:c r="E55" t="s">
        <x:v>819</x:v>
      </x:c>
      <x:c r="F55" t="s">
        <x:v>31</x:v>
      </x:c>
      <x:c r="G55" t="s">
        <x:v>820</x:v>
      </x:c>
      <x:c r="H55" t="s">
        <x:v>821</x:v>
      </x:c>
      <x:c r="I55" t="s">
        <x:v>822</x:v>
      </x:c>
      <x:c r="J55" t="s">
        <x:v>776</x:v>
      </x:c>
      <x:c r="K55" t="s">
        <x:v>777</x:v>
      </x:c>
      <x:c r="L55" t="s">
        <x:v>37</x:v>
      </x:c>
      <x:c r="M55" t="s">
        <x:v>823</x:v>
      </x:c>
      <x:c r="N55" t="s">
        <x:v>824</x:v>
      </x:c>
      <x:c r="O55" t="s">
        <x:v>821</x:v>
      </x:c>
      <x:c r="P55" t="s">
        <x:v>825</x:v>
      </x:c>
      <x:c r="Q55" t="s">
        <x:v>643</x:v>
      </x:c>
      <x:c r="R55">
        <x:v>1</x:v>
      </x:c>
      <x:c r="S55" t="s">
        <x:v>42</x:v>
      </x:c>
      <x:c r="T55" t="s">
        <x:v>43</x:v>
      </x:c>
      <x:c r="U55" t="s">
        <x:v>44</x:v>
      </x:c>
      <x:c r="V55" t="s">
        <x:v>45</x:v>
      </x:c>
      <x:c r="W55" t="s">
        <x:v>60</x:v>
      </x:c>
      <x:c r="X55">
        <x:v>84.75</x:v>
      </x:c>
      <x:c r="Y55" t="s">
        <x:v>47</x:v>
      </x:c>
      <x:c r="Z55" t="s">
        <x:v>48</x:v>
      </x:c>
      <x:c r="AA55" t="s">
        <x:v>49</x:v>
      </x:c>
    </x:row>
    <x:row r="56">
      <x:c r="A56" s="1">
        <x:v>46184</x:v>
      </x:c>
      <x:c r="B56" t="s">
        <x:v>3597</x:v>
      </x:c>
      <x:c r="C56" t="s">
        <x:v>826</x:v>
      </x:c>
      <x:c r="D56" t="s">
        <x:v>29</x:v>
      </x:c>
      <x:c r="E56" t="s">
        <x:v>827</x:v>
      </x:c>
      <x:c r="F56" t="s">
        <x:v>31</x:v>
      </x:c>
      <x:c r="G56" t="s">
        <x:v>828</x:v>
      </x:c>
      <x:c r="H56" t="s">
        <x:v>821</x:v>
      </x:c>
      <x:c r="I56" t="s">
        <x:v>822</x:v>
      </x:c>
      <x:c r="J56" t="s">
        <x:v>776</x:v>
      </x:c>
      <x:c r="K56" t="s">
        <x:v>777</x:v>
      </x:c>
      <x:c r="L56" t="s">
        <x:v>37</x:v>
      </x:c>
      <x:c r="M56" t="s">
        <x:v>823</x:v>
      </x:c>
      <x:c r="N56" t="s">
        <x:v>824</x:v>
      </x:c>
      <x:c r="O56" t="s">
        <x:v>821</x:v>
      </x:c>
      <x:c r="P56" t="s">
        <x:v>829</x:v>
      </x:c>
      <x:c r="Q56" t="s">
        <x:v>830</x:v>
      </x:c>
      <x:c r="R56">
        <x:v>1</x:v>
      </x:c>
      <x:c r="S56" t="s">
        <x:v>42</x:v>
      </x:c>
      <x:c r="T56" t="s">
        <x:v>43</x:v>
      </x:c>
      <x:c r="U56" t="s">
        <x:v>44</x:v>
      </x:c>
      <x:c r="V56" t="s">
        <x:v>45</x:v>
      </x:c>
      <x:c r="W56" t="s">
        <x:v>60</x:v>
      </x:c>
      <x:c r="X56">
        <x:v>127.12</x:v>
      </x:c>
      <x:c r="Y56" t="s">
        <x:v>47</x:v>
      </x:c>
      <x:c r="Z56" t="s">
        <x:v>48</x:v>
      </x:c>
      <x:c r="AA56" t="s">
        <x:v>49</x:v>
      </x:c>
    </x:row>
    <x:row r="57">
      <x:c r="A57" s="1">
        <x:v>46184</x:v>
      </x:c>
      <x:c r="B57" t="s">
        <x:v>3597</x:v>
      </x:c>
      <x:c r="C57" t="s">
        <x:v>831</x:v>
      </x:c>
      <x:c r="D57" t="s">
        <x:v>29</x:v>
      </x:c>
      <x:c r="E57" t="s">
        <x:v>832</x:v>
      </x:c>
      <x:c r="F57" t="s">
        <x:v>31</x:v>
      </x:c>
      <x:c r="G57" t="s">
        <x:v>833</x:v>
      </x:c>
      <x:c r="H57" t="s">
        <x:v>821</x:v>
      </x:c>
      <x:c r="I57" t="s">
        <x:v>822</x:v>
      </x:c>
      <x:c r="J57" t="s">
        <x:v>776</x:v>
      </x:c>
      <x:c r="K57" t="s">
        <x:v>777</x:v>
      </x:c>
      <x:c r="L57" t="s">
        <x:v>37</x:v>
      </x:c>
      <x:c r="M57" t="s">
        <x:v>823</x:v>
      </x:c>
      <x:c r="N57" t="s">
        <x:v>824</x:v>
      </x:c>
      <x:c r="O57" t="s">
        <x:v>821</x:v>
      </x:c>
      <x:c r="P57" t="s">
        <x:v>834</x:v>
      </x:c>
      <x:c r="Q57" t="s">
        <x:v>620</x:v>
      </x:c>
      <x:c r="R57">
        <x:v>1</x:v>
      </x:c>
      <x:c r="S57" t="s">
        <x:v>42</x:v>
      </x:c>
      <x:c r="T57" t="s">
        <x:v>43</x:v>
      </x:c>
      <x:c r="U57" t="s">
        <x:v>44</x:v>
      </x:c>
      <x:c r="V57" t="s">
        <x:v>45</x:v>
      </x:c>
      <x:c r="W57" t="s">
        <x:v>60</x:v>
      </x:c>
      <x:c r="X57">
        <x:v>12.71</x:v>
      </x:c>
      <x:c r="Y57" t="s">
        <x:v>621</x:v>
      </x:c>
      <x:c r="Z57" t="s">
        <x:v>48</x:v>
      </x:c>
      <x:c r="AA57" t="s">
        <x:v>49</x:v>
      </x:c>
    </x:row>
    <x:row r="58">
      <x:c r="A58" s="1">
        <x:v>46184</x:v>
      </x:c>
      <x:c r="B58" t="s">
        <x:v>3597</x:v>
      </x:c>
      <x:c r="C58" t="s">
        <x:v>831</x:v>
      </x:c>
      <x:c r="D58" t="s">
        <x:v>29</x:v>
      </x:c>
      <x:c r="E58" t="s">
        <x:v>832</x:v>
      </x:c>
      <x:c r="F58" t="s">
        <x:v>31</x:v>
      </x:c>
      <x:c r="G58" t="s">
        <x:v>833</x:v>
      </x:c>
      <x:c r="H58" t="s">
        <x:v>821</x:v>
      </x:c>
      <x:c r="I58" t="s">
        <x:v>822</x:v>
      </x:c>
      <x:c r="J58" t="s">
        <x:v>776</x:v>
      </x:c>
      <x:c r="K58" t="s">
        <x:v>777</x:v>
      </x:c>
      <x:c r="L58" t="s">
        <x:v>37</x:v>
      </x:c>
      <x:c r="M58" t="s">
        <x:v>823</x:v>
      </x:c>
      <x:c r="N58" t="s">
        <x:v>824</x:v>
      </x:c>
      <x:c r="O58" t="s">
        <x:v>821</x:v>
      </x:c>
      <x:c r="P58" t="s">
        <x:v>834</x:v>
      </x:c>
      <x:c r="Q58" t="s">
        <x:v>622</x:v>
      </x:c>
      <x:c r="R58">
        <x:v>1</x:v>
      </x:c>
      <x:c r="S58" t="s">
        <x:v>42</x:v>
      </x:c>
      <x:c r="T58" t="s">
        <x:v>43</x:v>
      </x:c>
      <x:c r="U58" t="s">
        <x:v>44</x:v>
      </x:c>
      <x:c r="V58" t="s">
        <x:v>45</x:v>
      </x:c>
      <x:c r="W58" t="s">
        <x:v>60</x:v>
      </x:c>
      <x:c r="X58">
        <x:v>21.19</x:v>
      </x:c>
      <x:c r="Y58" t="s">
        <x:v>621</x:v>
      </x:c>
      <x:c r="Z58" t="s">
        <x:v>48</x:v>
      </x:c>
      <x:c r="AA58" t="s">
        <x:v>49</x:v>
      </x:c>
    </x:row>
    <x:row r="59">
      <x:c r="A59" s="1">
        <x:v>46184</x:v>
      </x:c>
      <x:c r="B59" t="s">
        <x:v>3597</x:v>
      </x:c>
      <x:c r="C59" t="s">
        <x:v>831</x:v>
      </x:c>
      <x:c r="D59" t="s">
        <x:v>29</x:v>
      </x:c>
      <x:c r="E59" t="s">
        <x:v>832</x:v>
      </x:c>
      <x:c r="F59" t="s">
        <x:v>31</x:v>
      </x:c>
      <x:c r="G59" t="s">
        <x:v>833</x:v>
      </x:c>
      <x:c r="H59" t="s">
        <x:v>821</x:v>
      </x:c>
      <x:c r="I59" t="s">
        <x:v>822</x:v>
      </x:c>
      <x:c r="J59" t="s">
        <x:v>776</x:v>
      </x:c>
      <x:c r="K59" t="s">
        <x:v>777</x:v>
      </x:c>
      <x:c r="L59" t="s">
        <x:v>37</x:v>
      </x:c>
      <x:c r="M59" t="s">
        <x:v>823</x:v>
      </x:c>
      <x:c r="N59" t="s">
        <x:v>824</x:v>
      </x:c>
      <x:c r="O59" t="s">
        <x:v>821</x:v>
      </x:c>
      <x:c r="P59" t="s">
        <x:v>834</x:v>
      </x:c>
      <x:c r="Q59" t="s">
        <x:v>623</x:v>
      </x:c>
      <x:c r="R59">
        <x:v>1</x:v>
      </x:c>
      <x:c r="S59" t="s">
        <x:v>42</x:v>
      </x:c>
      <x:c r="T59" t="s">
        <x:v>43</x:v>
      </x:c>
      <x:c r="U59" t="s">
        <x:v>44</x:v>
      </x:c>
      <x:c r="V59" t="s">
        <x:v>45</x:v>
      </x:c>
      <x:c r="W59" t="s">
        <x:v>60</x:v>
      </x:c>
      <x:c r="X59">
        <x:v>12.71</x:v>
      </x:c>
      <x:c r="Y59" t="s">
        <x:v>621</x:v>
      </x:c>
      <x:c r="Z59" t="s">
        <x:v>48</x:v>
      </x:c>
      <x:c r="AA59" t="s">
        <x:v>49</x:v>
      </x:c>
    </x:row>
    <x:row r="60">
      <x:c r="A60" s="1">
        <x:v>46184</x:v>
      </x:c>
      <x:c r="B60" t="s">
        <x:v>3597</x:v>
      </x:c>
      <x:c r="C60" t="s">
        <x:v>831</x:v>
      </x:c>
      <x:c r="D60" t="s">
        <x:v>29</x:v>
      </x:c>
      <x:c r="E60" t="s">
        <x:v>832</x:v>
      </x:c>
      <x:c r="F60" t="s">
        <x:v>31</x:v>
      </x:c>
      <x:c r="G60" t="s">
        <x:v>833</x:v>
      </x:c>
      <x:c r="H60" t="s">
        <x:v>821</x:v>
      </x:c>
      <x:c r="I60" t="s">
        <x:v>822</x:v>
      </x:c>
      <x:c r="J60" t="s">
        <x:v>776</x:v>
      </x:c>
      <x:c r="K60" t="s">
        <x:v>777</x:v>
      </x:c>
      <x:c r="L60" t="s">
        <x:v>37</x:v>
      </x:c>
      <x:c r="M60" t="s">
        <x:v>823</x:v>
      </x:c>
      <x:c r="N60" t="s">
        <x:v>824</x:v>
      </x:c>
      <x:c r="O60" t="s">
        <x:v>821</x:v>
      </x:c>
      <x:c r="P60" t="s">
        <x:v>834</x:v>
      </x:c>
      <x:c r="Q60" t="s">
        <x:v>624</x:v>
      </x:c>
      <x:c r="R60">
        <x:v>1</x:v>
      </x:c>
      <x:c r="S60" t="s">
        <x:v>42</x:v>
      </x:c>
      <x:c r="T60" t="s">
        <x:v>43</x:v>
      </x:c>
      <x:c r="U60" t="s">
        <x:v>44</x:v>
      </x:c>
      <x:c r="V60" t="s">
        <x:v>45</x:v>
      </x:c>
      <x:c r="W60" t="s">
        <x:v>60</x:v>
      </x:c>
      <x:c r="X60">
        <x:v>12.71</x:v>
      </x:c>
      <x:c r="Y60" t="s">
        <x:v>621</x:v>
      </x:c>
      <x:c r="Z60" t="s">
        <x:v>48</x:v>
      </x:c>
      <x:c r="AA60" t="s">
        <x:v>49</x:v>
      </x:c>
    </x:row>
    <x:row r="61">
      <x:c r="A61" s="1">
        <x:v>46184</x:v>
      </x:c>
      <x:c r="B61" t="s">
        <x:v>3597</x:v>
      </x:c>
      <x:c r="C61" t="s">
        <x:v>831</x:v>
      </x:c>
      <x:c r="D61" t="s">
        <x:v>29</x:v>
      </x:c>
      <x:c r="E61" t="s">
        <x:v>832</x:v>
      </x:c>
      <x:c r="F61" t="s">
        <x:v>31</x:v>
      </x:c>
      <x:c r="G61" t="s">
        <x:v>833</x:v>
      </x:c>
      <x:c r="H61" t="s">
        <x:v>821</x:v>
      </x:c>
      <x:c r="I61" t="s">
        <x:v>822</x:v>
      </x:c>
      <x:c r="J61" t="s">
        <x:v>776</x:v>
      </x:c>
      <x:c r="K61" t="s">
        <x:v>777</x:v>
      </x:c>
      <x:c r="L61" t="s">
        <x:v>37</x:v>
      </x:c>
      <x:c r="M61" t="s">
        <x:v>823</x:v>
      </x:c>
      <x:c r="N61" t="s">
        <x:v>824</x:v>
      </x:c>
      <x:c r="O61" t="s">
        <x:v>821</x:v>
      </x:c>
      <x:c r="P61" t="s">
        <x:v>834</x:v>
      </x:c>
      <x:c r="Q61" t="s">
        <x:v>835</x:v>
      </x:c>
      <x:c r="R61">
        <x:v>1</x:v>
      </x:c>
      <x:c r="S61" t="s">
        <x:v>42</x:v>
      </x:c>
      <x:c r="T61" t="s">
        <x:v>43</x:v>
      </x:c>
      <x:c r="U61" t="s">
        <x:v>44</x:v>
      </x:c>
      <x:c r="V61" t="s">
        <x:v>45</x:v>
      </x:c>
      <x:c r="W61" t="s">
        <x:v>60</x:v>
      </x:c>
      <x:c r="X61">
        <x:v>50.85</x:v>
      </x:c>
      <x:c r="Y61" t="s">
        <x:v>621</x:v>
      </x:c>
      <x:c r="Z61" t="s">
        <x:v>48</x:v>
      </x:c>
      <x:c r="AA61" t="s">
        <x:v>49</x:v>
      </x:c>
    </x:row>
    <x:row r="62">
      <x:c r="A62" s="1">
        <x:v>46184</x:v>
      </x:c>
      <x:c r="B62" t="s">
        <x:v>3597</x:v>
      </x:c>
      <x:c r="C62" t="s">
        <x:v>836</x:v>
      </x:c>
      <x:c r="D62" t="s">
        <x:v>29</x:v>
      </x:c>
      <x:c r="E62" t="s">
        <x:v>837</x:v>
      </x:c>
      <x:c r="F62" t="s">
        <x:v>31</x:v>
      </x:c>
      <x:c r="G62" t="s">
        <x:v>838</x:v>
      </x:c>
      <x:c r="H62" t="s">
        <x:v>839</x:v>
      </x:c>
      <x:c r="I62" t="s">
        <x:v>840</x:v>
      </x:c>
      <x:c r="J62" t="s">
        <x:v>776</x:v>
      </x:c>
      <x:c r="K62" t="s">
        <x:v>777</x:v>
      </x:c>
      <x:c r="L62" t="s">
        <x:v>37</x:v>
      </x:c>
      <x:c r="M62" t="s">
        <x:v>841</x:v>
      </x:c>
      <x:c r="N62" t="s">
        <x:v>842</x:v>
      </x:c>
      <x:c r="O62" t="s">
        <x:v>839</x:v>
      </x:c>
      <x:c r="P62" t="s">
        <x:v>843</x:v>
      </x:c>
      <x:c r="Q62" t="s">
        <x:v>620</x:v>
      </x:c>
      <x:c r="R62">
        <x:v>1</x:v>
      </x:c>
      <x:c r="S62" t="s">
        <x:v>42</x:v>
      </x:c>
      <x:c r="T62" t="s">
        <x:v>43</x:v>
      </x:c>
      <x:c r="U62" t="s">
        <x:v>44</x:v>
      </x:c>
      <x:c r="V62" t="s">
        <x:v>45</x:v>
      </x:c>
      <x:c r="W62" t="s">
        <x:v>60</x:v>
      </x:c>
      <x:c r="X62">
        <x:v>12.71</x:v>
      </x:c>
      <x:c r="Y62" t="s">
        <x:v>621</x:v>
      </x:c>
      <x:c r="Z62" t="s">
        <x:v>48</x:v>
      </x:c>
      <x:c r="AA62" t="s">
        <x:v>49</x:v>
      </x:c>
    </x:row>
    <x:row r="63">
      <x:c r="A63" s="1">
        <x:v>46184</x:v>
      </x:c>
      <x:c r="B63" t="s">
        <x:v>3597</x:v>
      </x:c>
      <x:c r="C63" t="s">
        <x:v>836</x:v>
      </x:c>
      <x:c r="D63" t="s">
        <x:v>29</x:v>
      </x:c>
      <x:c r="E63" t="s">
        <x:v>837</x:v>
      </x:c>
      <x:c r="F63" t="s">
        <x:v>31</x:v>
      </x:c>
      <x:c r="G63" t="s">
        <x:v>838</x:v>
      </x:c>
      <x:c r="H63" t="s">
        <x:v>839</x:v>
      </x:c>
      <x:c r="I63" t="s">
        <x:v>840</x:v>
      </x:c>
      <x:c r="J63" t="s">
        <x:v>776</x:v>
      </x:c>
      <x:c r="K63" t="s">
        <x:v>777</x:v>
      </x:c>
      <x:c r="L63" t="s">
        <x:v>37</x:v>
      </x:c>
      <x:c r="M63" t="s">
        <x:v>841</x:v>
      </x:c>
      <x:c r="N63" t="s">
        <x:v>842</x:v>
      </x:c>
      <x:c r="O63" t="s">
        <x:v>839</x:v>
      </x:c>
      <x:c r="P63" t="s">
        <x:v>843</x:v>
      </x:c>
      <x:c r="Q63" t="s">
        <x:v>622</x:v>
      </x:c>
      <x:c r="R63">
        <x:v>1</x:v>
      </x:c>
      <x:c r="S63" t="s">
        <x:v>42</x:v>
      </x:c>
      <x:c r="T63" t="s">
        <x:v>43</x:v>
      </x:c>
      <x:c r="U63" t="s">
        <x:v>44</x:v>
      </x:c>
      <x:c r="V63" t="s">
        <x:v>45</x:v>
      </x:c>
      <x:c r="W63" t="s">
        <x:v>60</x:v>
      </x:c>
      <x:c r="X63">
        <x:v>21.19</x:v>
      </x:c>
      <x:c r="Y63" t="s">
        <x:v>621</x:v>
      </x:c>
      <x:c r="Z63" t="s">
        <x:v>48</x:v>
      </x:c>
      <x:c r="AA63" t="s">
        <x:v>49</x:v>
      </x:c>
    </x:row>
    <x:row r="64">
      <x:c r="A64" s="1">
        <x:v>46184</x:v>
      </x:c>
      <x:c r="B64" t="s">
        <x:v>3597</x:v>
      </x:c>
      <x:c r="C64" t="s">
        <x:v>836</x:v>
      </x:c>
      <x:c r="D64" t="s">
        <x:v>29</x:v>
      </x:c>
      <x:c r="E64" t="s">
        <x:v>837</x:v>
      </x:c>
      <x:c r="F64" t="s">
        <x:v>31</x:v>
      </x:c>
      <x:c r="G64" t="s">
        <x:v>838</x:v>
      </x:c>
      <x:c r="H64" t="s">
        <x:v>839</x:v>
      </x:c>
      <x:c r="I64" t="s">
        <x:v>840</x:v>
      </x:c>
      <x:c r="J64" t="s">
        <x:v>776</x:v>
      </x:c>
      <x:c r="K64" t="s">
        <x:v>777</x:v>
      </x:c>
      <x:c r="L64" t="s">
        <x:v>37</x:v>
      </x:c>
      <x:c r="M64" t="s">
        <x:v>841</x:v>
      </x:c>
      <x:c r="N64" t="s">
        <x:v>842</x:v>
      </x:c>
      <x:c r="O64" t="s">
        <x:v>839</x:v>
      </x:c>
      <x:c r="P64" t="s">
        <x:v>843</x:v>
      </x:c>
      <x:c r="Q64" t="s">
        <x:v>623</x:v>
      </x:c>
      <x:c r="R64">
        <x:v>1</x:v>
      </x:c>
      <x:c r="S64" t="s">
        <x:v>42</x:v>
      </x:c>
      <x:c r="T64" t="s">
        <x:v>43</x:v>
      </x:c>
      <x:c r="U64" t="s">
        <x:v>44</x:v>
      </x:c>
      <x:c r="V64" t="s">
        <x:v>45</x:v>
      </x:c>
      <x:c r="W64" t="s">
        <x:v>60</x:v>
      </x:c>
      <x:c r="X64">
        <x:v>12.71</x:v>
      </x:c>
      <x:c r="Y64" t="s">
        <x:v>621</x:v>
      </x:c>
      <x:c r="Z64" t="s">
        <x:v>48</x:v>
      </x:c>
      <x:c r="AA64" t="s">
        <x:v>49</x:v>
      </x:c>
    </x:row>
    <x:row r="65">
      <x:c r="A65" s="1">
        <x:v>46184</x:v>
      </x:c>
      <x:c r="B65" t="s">
        <x:v>3597</x:v>
      </x:c>
      <x:c r="C65" t="s">
        <x:v>836</x:v>
      </x:c>
      <x:c r="D65" t="s">
        <x:v>29</x:v>
      </x:c>
      <x:c r="E65" t="s">
        <x:v>837</x:v>
      </x:c>
      <x:c r="F65" t="s">
        <x:v>31</x:v>
      </x:c>
      <x:c r="G65" t="s">
        <x:v>838</x:v>
      </x:c>
      <x:c r="H65" t="s">
        <x:v>839</x:v>
      </x:c>
      <x:c r="I65" t="s">
        <x:v>840</x:v>
      </x:c>
      <x:c r="J65" t="s">
        <x:v>776</x:v>
      </x:c>
      <x:c r="K65" t="s">
        <x:v>777</x:v>
      </x:c>
      <x:c r="L65" t="s">
        <x:v>37</x:v>
      </x:c>
      <x:c r="M65" t="s">
        <x:v>841</x:v>
      </x:c>
      <x:c r="N65" t="s">
        <x:v>842</x:v>
      </x:c>
      <x:c r="O65" t="s">
        <x:v>839</x:v>
      </x:c>
      <x:c r="P65" t="s">
        <x:v>843</x:v>
      </x:c>
      <x:c r="Q65" t="s">
        <x:v>624</x:v>
      </x:c>
      <x:c r="R65">
        <x:v>1</x:v>
      </x:c>
      <x:c r="S65" t="s">
        <x:v>42</x:v>
      </x:c>
      <x:c r="T65" t="s">
        <x:v>43</x:v>
      </x:c>
      <x:c r="U65" t="s">
        <x:v>44</x:v>
      </x:c>
      <x:c r="V65" t="s">
        <x:v>45</x:v>
      </x:c>
      <x:c r="W65" t="s">
        <x:v>60</x:v>
      </x:c>
      <x:c r="X65">
        <x:v>12.71</x:v>
      </x:c>
      <x:c r="Y65" t="s">
        <x:v>621</x:v>
      </x:c>
      <x:c r="Z65" t="s">
        <x:v>48</x:v>
      </x:c>
      <x:c r="AA65" t="s">
        <x:v>49</x:v>
      </x:c>
    </x:row>
    <x:row r="66">
      <x:c r="A66" s="1">
        <x:v>46184</x:v>
      </x:c>
      <x:c r="B66" t="s">
        <x:v>3597</x:v>
      </x:c>
      <x:c r="C66" t="s">
        <x:v>836</x:v>
      </x:c>
      <x:c r="D66" t="s">
        <x:v>29</x:v>
      </x:c>
      <x:c r="E66" t="s">
        <x:v>837</x:v>
      </x:c>
      <x:c r="F66" t="s">
        <x:v>31</x:v>
      </x:c>
      <x:c r="G66" t="s">
        <x:v>838</x:v>
      </x:c>
      <x:c r="H66" t="s">
        <x:v>839</x:v>
      </x:c>
      <x:c r="I66" t="s">
        <x:v>840</x:v>
      </x:c>
      <x:c r="J66" t="s">
        <x:v>776</x:v>
      </x:c>
      <x:c r="K66" t="s">
        <x:v>777</x:v>
      </x:c>
      <x:c r="L66" t="s">
        <x:v>37</x:v>
      </x:c>
      <x:c r="M66" t="s">
        <x:v>841</x:v>
      </x:c>
      <x:c r="N66" t="s">
        <x:v>842</x:v>
      </x:c>
      <x:c r="O66" t="s">
        <x:v>839</x:v>
      </x:c>
      <x:c r="P66" t="s">
        <x:v>843</x:v>
      </x:c>
      <x:c r="Q66" t="s">
        <x:v>835</x:v>
      </x:c>
      <x:c r="R66">
        <x:v>1</x:v>
      </x:c>
      <x:c r="S66" t="s">
        <x:v>42</x:v>
      </x:c>
      <x:c r="T66" t="s">
        <x:v>43</x:v>
      </x:c>
      <x:c r="U66" t="s">
        <x:v>44</x:v>
      </x:c>
      <x:c r="V66" t="s">
        <x:v>45</x:v>
      </x:c>
      <x:c r="W66" t="s">
        <x:v>60</x:v>
      </x:c>
      <x:c r="X66">
        <x:v>50.85</x:v>
      </x:c>
      <x:c r="Y66" t="s">
        <x:v>621</x:v>
      </x:c>
      <x:c r="Z66" t="s">
        <x:v>48</x:v>
      </x:c>
      <x:c r="AA66" t="s">
        <x:v>49</x:v>
      </x:c>
    </x:row>
    <x:row r="67">
      <x:c r="A67" s="1">
        <x:v>46184</x:v>
      </x:c>
      <x:c r="B67" t="s">
        <x:v>3597</x:v>
      </x:c>
      <x:c r="C67" t="s">
        <x:v>844</x:v>
      </x:c>
      <x:c r="D67" t="s">
        <x:v>29</x:v>
      </x:c>
      <x:c r="E67" t="s">
        <x:v>845</x:v>
      </x:c>
      <x:c r="F67" t="s">
        <x:v>31</x:v>
      </x:c>
      <x:c r="G67" t="s">
        <x:v>846</x:v>
      </x:c>
      <x:c r="H67" t="s">
        <x:v>839</x:v>
      </x:c>
      <x:c r="I67" t="s">
        <x:v>840</x:v>
      </x:c>
      <x:c r="J67" t="s">
        <x:v>776</x:v>
      </x:c>
      <x:c r="K67" t="s">
        <x:v>777</x:v>
      </x:c>
      <x:c r="L67" t="s">
        <x:v>37</x:v>
      </x:c>
      <x:c r="M67" t="s">
        <x:v>841</x:v>
      </x:c>
      <x:c r="N67" t="s">
        <x:v>842</x:v>
      </x:c>
      <x:c r="O67" t="s">
        <x:v>839</x:v>
      </x:c>
      <x:c r="P67" t="s">
        <x:v>847</x:v>
      </x:c>
      <x:c r="Q67" t="s">
        <x:v>830</x:v>
      </x:c>
      <x:c r="R67">
        <x:v>1</x:v>
      </x:c>
      <x:c r="S67" t="s">
        <x:v>42</x:v>
      </x:c>
      <x:c r="T67" t="s">
        <x:v>43</x:v>
      </x:c>
      <x:c r="U67" t="s">
        <x:v>44</x:v>
      </x:c>
      <x:c r="V67" t="s">
        <x:v>45</x:v>
      </x:c>
      <x:c r="W67" t="s">
        <x:v>60</x:v>
      </x:c>
      <x:c r="X67">
        <x:v>127.12</x:v>
      </x:c>
      <x:c r="Y67" t="s">
        <x:v>47</x:v>
      </x:c>
      <x:c r="Z67" t="s">
        <x:v>48</x:v>
      </x:c>
      <x:c r="AA67" t="s">
        <x:v>49</x:v>
      </x:c>
    </x:row>
    <x:row r="68">
      <x:c r="A68" s="1">
        <x:v>46184</x:v>
      </x:c>
      <x:c r="B68" t="s">
        <x:v>3597</x:v>
      </x:c>
      <x:c r="C68" t="s">
        <x:v>848</x:v>
      </x:c>
      <x:c r="D68" t="s">
        <x:v>29</x:v>
      </x:c>
      <x:c r="E68" t="s">
        <x:v>849</x:v>
      </x:c>
      <x:c r="F68" t="s">
        <x:v>31</x:v>
      </x:c>
      <x:c r="G68" t="s">
        <x:v>850</x:v>
      </x:c>
      <x:c r="H68" t="s">
        <x:v>851</x:v>
      </x:c>
      <x:c r="I68" t="s">
        <x:v>852</x:v>
      </x:c>
      <x:c r="J68" t="s">
        <x:v>776</x:v>
      </x:c>
      <x:c r="K68" t="s">
        <x:v>777</x:v>
      </x:c>
      <x:c r="L68" t="s">
        <x:v>37</x:v>
      </x:c>
      <x:c r="M68" t="s">
        <x:v>853</x:v>
      </x:c>
      <x:c r="N68" t="s">
        <x:v>854</x:v>
      </x:c>
      <x:c r="O68" t="s">
        <x:v>851</x:v>
      </x:c>
      <x:c r="P68" t="s">
        <x:v>855</x:v>
      </x:c>
      <x:c r="Q68" t="s">
        <x:v>643</x:v>
      </x:c>
      <x:c r="R68">
        <x:v>1</x:v>
      </x:c>
      <x:c r="S68" t="s">
        <x:v>42</x:v>
      </x:c>
      <x:c r="T68" t="s">
        <x:v>43</x:v>
      </x:c>
      <x:c r="U68" t="s">
        <x:v>44</x:v>
      </x:c>
      <x:c r="V68" t="s">
        <x:v>45</x:v>
      </x:c>
      <x:c r="W68" t="s">
        <x:v>46</x:v>
      </x:c>
      <x:c r="X68">
        <x:v>84.75</x:v>
      </x:c>
      <x:c r="Y68" t="s">
        <x:v>47</x:v>
      </x:c>
      <x:c r="Z68" t="s">
        <x:v>48</x:v>
      </x:c>
      <x:c r="AA68" t="s">
        <x:v>49</x:v>
      </x:c>
    </x:row>
    <x:row r="69">
      <x:c r="A69" s="1">
        <x:v>46184</x:v>
      </x:c>
      <x:c r="B69" t="s">
        <x:v>3597</x:v>
      </x:c>
      <x:c r="C69" t="s">
        <x:v>856</x:v>
      </x:c>
      <x:c r="D69" t="s">
        <x:v>29</x:v>
      </x:c>
      <x:c r="E69" t="s">
        <x:v>857</x:v>
      </x:c>
      <x:c r="F69" t="s">
        <x:v>31</x:v>
      </x:c>
      <x:c r="G69" t="s">
        <x:v>858</x:v>
      </x:c>
      <x:c r="H69" t="s">
        <x:v>839</x:v>
      </x:c>
      <x:c r="I69" t="s">
        <x:v>840</x:v>
      </x:c>
      <x:c r="J69" t="s">
        <x:v>776</x:v>
      </x:c>
      <x:c r="K69" t="s">
        <x:v>777</x:v>
      </x:c>
      <x:c r="L69" t="s">
        <x:v>37</x:v>
      </x:c>
      <x:c r="M69" t="s">
        <x:v>841</x:v>
      </x:c>
      <x:c r="N69" t="s">
        <x:v>842</x:v>
      </x:c>
      <x:c r="O69" t="s">
        <x:v>839</x:v>
      </x:c>
      <x:c r="P69" t="s">
        <x:v>859</x:v>
      </x:c>
      <x:c r="Q69" t="s">
        <x:v>643</x:v>
      </x:c>
      <x:c r="R69">
        <x:v>1</x:v>
      </x:c>
      <x:c r="S69" t="s">
        <x:v>42</x:v>
      </x:c>
      <x:c r="T69" t="s">
        <x:v>43</x:v>
      </x:c>
      <x:c r="U69" t="s">
        <x:v>44</x:v>
      </x:c>
      <x:c r="V69" t="s">
        <x:v>45</x:v>
      </x:c>
      <x:c r="W69" t="s">
        <x:v>60</x:v>
      </x:c>
      <x:c r="X69">
        <x:v>84.75</x:v>
      </x:c>
      <x:c r="Y69" t="s">
        <x:v>47</x:v>
      </x:c>
      <x:c r="Z69" t="s">
        <x:v>48</x:v>
      </x:c>
      <x:c r="AA69" t="s">
        <x:v>49</x:v>
      </x:c>
    </x:row>
    <x:row r="70">
      <x:c r="A70" s="1">
        <x:v>46184</x:v>
      </x:c>
      <x:c r="B70" t="s">
        <x:v>3597</x:v>
      </x:c>
      <x:c r="C70" t="s">
        <x:v>1061</x:v>
      </x:c>
      <x:c r="D70" t="s">
        <x:v>29</x:v>
      </x:c>
      <x:c r="E70" t="s">
        <x:v>1062</x:v>
      </x:c>
      <x:c r="F70" t="s">
        <x:v>31</x:v>
      </x:c>
      <x:c r="G70" t="s">
        <x:v>1063</x:v>
      </x:c>
      <x:c r="H70" t="s">
        <x:v>1064</x:v>
      </x:c>
      <x:c r="I70" t="s">
        <x:v>1065</x:v>
      </x:c>
      <x:c r="J70" t="s">
        <x:v>1066</x:v>
      </x:c>
      <x:c r="L70" t="s">
        <x:v>37</x:v>
      </x:c>
      <x:c r="M70" t="s">
        <x:v>1067</x:v>
      </x:c>
      <x:c r="N70" t="s">
        <x:v>1068</x:v>
      </x:c>
      <x:c r="O70" t="s">
        <x:v>1064</x:v>
      </x:c>
      <x:c r="P70" t="s">
        <x:v>1069</x:v>
      </x:c>
      <x:c r="Q70" t="s">
        <x:v>91</x:v>
      </x:c>
      <x:c r="R70">
        <x:v>1</x:v>
      </x:c>
      <x:c r="S70" t="s">
        <x:v>42</x:v>
      </x:c>
      <x:c r="T70" t="s">
        <x:v>43</x:v>
      </x:c>
      <x:c r="U70" t="s">
        <x:v>44</x:v>
      </x:c>
      <x:c r="V70" t="s">
        <x:v>45</x:v>
      </x:c>
      <x:c r="W70" t="s">
        <x:v>60</x:v>
      </x:c>
      <x:c r="X70">
        <x:v>135.59</x:v>
      </x:c>
      <x:c r="Y70" t="s">
        <x:v>47</x:v>
      </x:c>
      <x:c r="Z70" t="s">
        <x:v>48</x:v>
      </x:c>
      <x:c r="AA70" t="s">
        <x:v>49</x:v>
      </x:c>
      <x:c r="AD70">
        <x:v>30</x:v>
      </x:c>
    </x:row>
    <x:row r="71">
      <x:c r="A71" s="1">
        <x:v>46185</x:v>
      </x:c>
      <x:c r="B71" t="s">
        <x:v>3597</x:v>
      </x:c>
      <x:c r="C71" t="s">
        <x:v>659</x:v>
      </x:c>
      <x:c r="D71" t="s">
        <x:v>29</x:v>
      </x:c>
      <x:c r="E71" t="s">
        <x:v>660</x:v>
      </x:c>
      <x:c r="F71" t="s">
        <x:v>31</x:v>
      </x:c>
      <x:c r="G71" t="s">
        <x:v>661</x:v>
      </x:c>
      <x:c r="H71" t="s">
        <x:v>662</x:v>
      </x:c>
      <x:c r="I71" t="s">
        <x:v>663</x:v>
      </x:c>
      <x:c r="J71" t="s">
        <x:v>664</x:v>
      </x:c>
      <x:c r="K71" t="s">
        <x:v>36</x:v>
      </x:c>
      <x:c r="L71" t="s">
        <x:v>37</x:v>
      </x:c>
      <x:c r="M71" t="s">
        <x:v>665</x:v>
      </x:c>
      <x:c r="N71" t="s">
        <x:v>666</x:v>
      </x:c>
      <x:c r="O71" t="s">
        <x:v>662</x:v>
      </x:c>
      <x:c r="P71" t="s">
        <x:v>667</x:v>
      </x:c>
      <x:c r="Q71" t="s">
        <x:v>482</x:v>
      </x:c>
      <x:c r="R71">
        <x:v>2</x:v>
      </x:c>
      <x:c r="S71" t="s">
        <x:v>42</x:v>
      </x:c>
      <x:c r="T71" t="s">
        <x:v>43</x:v>
      </x:c>
      <x:c r="U71" t="s">
        <x:v>44</x:v>
      </x:c>
      <x:c r="V71" t="s">
        <x:v>45</x:v>
      </x:c>
      <x:c r="W71" t="s">
        <x:v>60</x:v>
      </x:c>
      <x:c r="X71">
        <x:v>203.39</x:v>
      </x:c>
      <x:c r="Y71" t="s">
        <x:v>61</x:v>
      </x:c>
      <x:c r="Z71" t="s">
        <x:v>48</x:v>
      </x:c>
      <x:c r="AA71" t="s">
        <x:v>49</x:v>
      </x:c>
      <x:c r="AB71">
        <x:v>997145685</x:v>
      </x:c>
      <x:c r="AC71" t="s">
        <x:v>668</x:v>
      </x:c>
    </x:row>
    <x:row r="72">
      <x:c r="A72" s="1">
        <x:v>46185</x:v>
      </x:c>
      <x:c r="B72" t="s">
        <x:v>3597</x:v>
      </x:c>
      <x:c r="C72" t="s">
        <x:v>860</x:v>
      </x:c>
      <x:c r="D72" t="s">
        <x:v>269</x:v>
      </x:c>
      <x:c r="E72" t="s">
        <x:v>861</x:v>
      </x:c>
      <x:c r="F72" t="s">
        <x:v>31</x:v>
      </x:c>
      <x:c r="G72" t="s">
        <x:v>862</x:v>
      </x:c>
      <x:c r="H72" t="s">
        <x:v>839</x:v>
      </x:c>
      <x:c r="I72" t="s">
        <x:v>840</x:v>
      </x:c>
      <x:c r="J72" t="s">
        <x:v>776</x:v>
      </x:c>
      <x:c r="K72" t="s">
        <x:v>777</x:v>
      </x:c>
      <x:c r="L72" t="s">
        <x:v>37</x:v>
      </x:c>
      <x:c r="M72" t="s">
        <x:v>841</x:v>
      </x:c>
      <x:c r="N72" t="s">
        <x:v>842</x:v>
      </x:c>
      <x:c r="O72" t="s">
        <x:v>800</x:v>
      </x:c>
      <x:c r="P72" t="s">
        <x:v>863</x:v>
      </x:c>
      <x:c r="Q72" t="s">
        <x:v>289</x:v>
      </x:c>
      <x:c r="R72">
        <x:v>1</x:v>
      </x:c>
      <x:c r="S72" t="s">
        <x:v>42</x:v>
      </x:c>
      <x:c r="T72" t="s">
        <x:v>43</x:v>
      </x:c>
      <x:c r="U72" t="s">
        <x:v>44</x:v>
      </x:c>
      <x:c r="V72" t="s">
        <x:v>45</x:v>
      </x:c>
      <x:c r="W72" t="s">
        <x:v>60</x:v>
      </x:c>
      <x:c r="X72">
        <x:v>0</x:v>
      </x:c>
      <x:c r="Y72" t="s">
        <x:v>290</x:v>
      </x:c>
      <x:c r="Z72" t="s">
        <x:v>48</x:v>
      </x:c>
      <x:c r="AA72" t="s">
        <x:v>49</x:v>
      </x:c>
    </x:row>
    <x:row r="73">
      <x:c r="A73" s="1">
        <x:v>46185</x:v>
      </x:c>
      <x:c r="B73" t="s">
        <x:v>3597</x:v>
      </x:c>
      <x:c r="C73" t="s">
        <x:v>860</x:v>
      </x:c>
      <x:c r="D73" t="s">
        <x:v>269</x:v>
      </x:c>
      <x:c r="E73" t="s">
        <x:v>861</x:v>
      </x:c>
      <x:c r="F73" t="s">
        <x:v>31</x:v>
      </x:c>
      <x:c r="G73" t="s">
        <x:v>862</x:v>
      </x:c>
      <x:c r="H73" t="s">
        <x:v>839</x:v>
      </x:c>
      <x:c r="I73" t="s">
        <x:v>840</x:v>
      </x:c>
      <x:c r="J73" t="s">
        <x:v>776</x:v>
      </x:c>
      <x:c r="K73" t="s">
        <x:v>777</x:v>
      </x:c>
      <x:c r="L73" t="s">
        <x:v>37</x:v>
      </x:c>
      <x:c r="M73" t="s">
        <x:v>841</x:v>
      </x:c>
      <x:c r="N73" t="s">
        <x:v>842</x:v>
      </x:c>
      <x:c r="O73" t="s">
        <x:v>800</x:v>
      </x:c>
      <x:c r="P73" t="s">
        <x:v>863</x:v>
      </x:c>
      <x:c r="Q73" t="s">
        <x:v>291</x:v>
      </x:c>
      <x:c r="R73">
        <x:v>1</x:v>
      </x:c>
      <x:c r="S73" t="s">
        <x:v>42</x:v>
      </x:c>
      <x:c r="T73" t="s">
        <x:v>43</x:v>
      </x:c>
      <x:c r="U73" t="s">
        <x:v>44</x:v>
      </x:c>
      <x:c r="V73" t="s">
        <x:v>45</x:v>
      </x:c>
      <x:c r="W73" t="s">
        <x:v>60</x:v>
      </x:c>
      <x:c r="X73">
        <x:v>762.71</x:v>
      </x:c>
      <x:c r="Y73" t="s">
        <x:v>290</x:v>
      </x:c>
      <x:c r="Z73" t="s">
        <x:v>48</x:v>
      </x:c>
      <x:c r="AA73" t="s">
        <x:v>49</x:v>
      </x:c>
    </x:row>
    <x:row r="74">
      <x:c r="A74" s="1">
        <x:v>46185</x:v>
      </x:c>
      <x:c r="B74" t="s">
        <x:v>3597</x:v>
      </x:c>
      <x:c r="C74" t="s">
        <x:v>864</x:v>
      </x:c>
      <x:c r="D74" t="s">
        <x:v>269</x:v>
      </x:c>
      <x:c r="E74" t="s">
        <x:v>865</x:v>
      </x:c>
      <x:c r="F74" t="s">
        <x:v>31</x:v>
      </x:c>
      <x:c r="G74" t="s">
        <x:v>866</x:v>
      </x:c>
      <x:c r="H74" t="s">
        <x:v>821</x:v>
      </x:c>
      <x:c r="I74" t="s">
        <x:v>822</x:v>
      </x:c>
      <x:c r="J74" t="s">
        <x:v>776</x:v>
      </x:c>
      <x:c r="K74" t="s">
        <x:v>777</x:v>
      </x:c>
      <x:c r="L74" t="s">
        <x:v>37</x:v>
      </x:c>
      <x:c r="M74" t="s">
        <x:v>823</x:v>
      </x:c>
      <x:c r="N74" t="s">
        <x:v>824</x:v>
      </x:c>
      <x:c r="O74" t="s">
        <x:v>800</x:v>
      </x:c>
      <x:c r="P74" t="s">
        <x:v>867</x:v>
      </x:c>
      <x:c r="Q74" t="s">
        <x:v>289</x:v>
      </x:c>
      <x:c r="R74">
        <x:v>1</x:v>
      </x:c>
      <x:c r="S74" t="s">
        <x:v>42</x:v>
      </x:c>
      <x:c r="T74" t="s">
        <x:v>43</x:v>
      </x:c>
      <x:c r="U74" t="s">
        <x:v>44</x:v>
      </x:c>
      <x:c r="V74" t="s">
        <x:v>45</x:v>
      </x:c>
      <x:c r="W74" t="s">
        <x:v>60</x:v>
      </x:c>
      <x:c r="X74">
        <x:v>0</x:v>
      </x:c>
      <x:c r="Y74" t="s">
        <x:v>290</x:v>
      </x:c>
      <x:c r="Z74" t="s">
        <x:v>48</x:v>
      </x:c>
      <x:c r="AA74" t="s">
        <x:v>49</x:v>
      </x:c>
    </x:row>
    <x:row r="75">
      <x:c r="A75" s="1">
        <x:v>46185</x:v>
      </x:c>
      <x:c r="B75" t="s">
        <x:v>3597</x:v>
      </x:c>
      <x:c r="C75" t="s">
        <x:v>864</x:v>
      </x:c>
      <x:c r="D75" t="s">
        <x:v>269</x:v>
      </x:c>
      <x:c r="E75" t="s">
        <x:v>865</x:v>
      </x:c>
      <x:c r="F75" t="s">
        <x:v>31</x:v>
      </x:c>
      <x:c r="G75" t="s">
        <x:v>866</x:v>
      </x:c>
      <x:c r="H75" t="s">
        <x:v>821</x:v>
      </x:c>
      <x:c r="I75" t="s">
        <x:v>822</x:v>
      </x:c>
      <x:c r="J75" t="s">
        <x:v>776</x:v>
      </x:c>
      <x:c r="K75" t="s">
        <x:v>777</x:v>
      </x:c>
      <x:c r="L75" t="s">
        <x:v>37</x:v>
      </x:c>
      <x:c r="M75" t="s">
        <x:v>823</x:v>
      </x:c>
      <x:c r="N75" t="s">
        <x:v>824</x:v>
      </x:c>
      <x:c r="O75" t="s">
        <x:v>800</x:v>
      </x:c>
      <x:c r="P75" t="s">
        <x:v>867</x:v>
      </x:c>
      <x:c r="Q75" t="s">
        <x:v>291</x:v>
      </x:c>
      <x:c r="R75">
        <x:v>1</x:v>
      </x:c>
      <x:c r="S75" t="s">
        <x:v>42</x:v>
      </x:c>
      <x:c r="T75" t="s">
        <x:v>43</x:v>
      </x:c>
      <x:c r="U75" t="s">
        <x:v>44</x:v>
      </x:c>
      <x:c r="V75" t="s">
        <x:v>45</x:v>
      </x:c>
      <x:c r="W75" t="s">
        <x:v>60</x:v>
      </x:c>
      <x:c r="X75">
        <x:v>1525.42</x:v>
      </x:c>
      <x:c r="Y75" t="s">
        <x:v>290</x:v>
      </x:c>
      <x:c r="Z75" t="s">
        <x:v>48</x:v>
      </x:c>
      <x:c r="AA75" t="s">
        <x:v>49</x:v>
      </x:c>
    </x:row>
    <x:row r="76">
      <x:c r="A76" s="1">
        <x:v>46185</x:v>
      </x:c>
      <x:c r="B76" t="s">
        <x:v>3597</x:v>
      </x:c>
      <x:c r="C76" t="s">
        <x:v>1051</x:v>
      </x:c>
      <x:c r="D76" t="s">
        <x:v>29</x:v>
      </x:c>
      <x:c r="E76" t="s">
        <x:v>1052</x:v>
      </x:c>
      <x:c r="F76" t="s">
        <x:v>31</x:v>
      </x:c>
      <x:c r="G76" t="s">
        <x:v>1053</x:v>
      </x:c>
      <x:c r="H76" t="s">
        <x:v>1054</x:v>
      </x:c>
      <x:c r="I76" t="s">
        <x:v>1055</x:v>
      </x:c>
      <x:c r="J76" t="s">
        <x:v>1056</x:v>
      </x:c>
      <x:c r="K76" t="s">
        <x:v>263</x:v>
      </x:c>
      <x:c r="L76" t="s">
        <x:v>37</x:v>
      </x:c>
      <x:c r="M76" t="s">
        <x:v>1057</x:v>
      </x:c>
      <x:c r="N76" t="s">
        <x:v>1058</x:v>
      </x:c>
      <x:c r="O76" t="s">
        <x:v>1054</x:v>
      </x:c>
      <x:c r="P76" t="s">
        <x:v>1059</x:v>
      </x:c>
      <x:c r="Q76" t="s">
        <x:v>41</x:v>
      </x:c>
      <x:c r="R76">
        <x:v>1</x:v>
      </x:c>
      <x:c r="S76" t="s">
        <x:v>42</x:v>
      </x:c>
      <x:c r="T76" t="s">
        <x:v>43</x:v>
      </x:c>
      <x:c r="U76" t="s">
        <x:v>44</x:v>
      </x:c>
      <x:c r="V76" t="s">
        <x:v>45</x:v>
      </x:c>
      <x:c r="W76" t="s">
        <x:v>60</x:v>
      </x:c>
      <x:c r="X76">
        <x:v>186.44</x:v>
      </x:c>
      <x:c r="Y76" t="s">
        <x:v>47</x:v>
      </x:c>
      <x:c r="Z76" t="s">
        <x:v>48</x:v>
      </x:c>
      <x:c r="AA76" t="s">
        <x:v>49</x:v>
      </x:c>
      <x:c r="AB76">
        <x:v>947054605</x:v>
      </x:c>
      <x:c r="AC76" t="s">
        <x:v>1060</x:v>
      </x:c>
      <x:c r="AD76">
        <x:v>50</x:v>
      </x:c>
    </x:row>
    <x:row r="77">
      <x:c r="A77" s="1">
        <x:v>46185</x:v>
      </x:c>
      <x:c r="B77" t="s">
        <x:v>3597</x:v>
      </x:c>
      <x:c r="C77" t="s">
        <x:v>1070</x:v>
      </x:c>
      <x:c r="D77" t="s">
        <x:v>400</x:v>
      </x:c>
      <x:c r="E77" t="s">
        <x:v>1071</x:v>
      </x:c>
      <x:c r="F77" t="s">
        <x:v>401</x:v>
      </x:c>
      <x:c r="G77" t="s">
        <x:v>1072</x:v>
      </x:c>
      <x:c r="H77" t="s">
        <x:v>1073</x:v>
      </x:c>
      <x:c r="I77" t="s">
        <x:v>1074</x:v>
      </x:c>
      <x:c r="J77" t="s">
        <x:v>1075</x:v>
      </x:c>
      <x:c r="K77" t="s">
        <x:v>98</x:v>
      </x:c>
      <x:c r="L77" t="s">
        <x:v>401</x:v>
      </x:c>
      <x:c r="M77" t="s">
        <x:v>1076</x:v>
      </x:c>
      <x:c r="N77" t="s">
        <x:v>1077</x:v>
      </x:c>
      <x:c r="O77" t="s">
        <x:v>1073</x:v>
      </x:c>
      <x:c r="P77" t="s">
        <x:v>1078</x:v>
      </x:c>
      <x:c r="Q77" t="s">
        <x:v>102</x:v>
      </x:c>
      <x:c r="R77">
        <x:v>1</x:v>
      </x:c>
      <x:c r="S77" t="s">
        <x:v>42</x:v>
      </x:c>
      <x:c r="T77" t="s">
        <x:v>43</x:v>
      </x:c>
      <x:c r="U77" t="s">
        <x:v>44</x:v>
      </x:c>
      <x:c r="V77" t="s">
        <x:v>45</x:v>
      </x:c>
      <x:c r="W77" t="s">
        <x:v>60</x:v>
      </x:c>
      <x:c r="X77">
        <x:v>-186.44</x:v>
      </x:c>
      <x:c r="Y77" t="s">
        <x:v>47</x:v>
      </x:c>
      <x:c r="Z77" t="s">
        <x:v>48</x:v>
      </x:c>
      <x:c r="AA77" t="s">
        <x:v>49</x:v>
      </x:c>
      <x:c r="AB77">
        <x:v>999986041</x:v>
      </x:c>
      <x:c r="AC77" t="s">
        <x:v>1079</x:v>
      </x:c>
      <x:c r="AD77">
        <x:v>50</x:v>
      </x:c>
    </x:row>
    <x:row r="78">
      <x:c r="A78" s="1">
        <x:v>46185</x:v>
      </x:c>
      <x:c r="B78" t="s">
        <x:v>3597</x:v>
      </x:c>
      <x:c r="C78" t="s">
        <x:v>1080</x:v>
      </x:c>
      <x:c r="D78" t="s">
        <x:v>269</x:v>
      </x:c>
      <x:c r="E78" t="s">
        <x:v>1081</x:v>
      </x:c>
      <x:c r="F78" t="s">
        <x:v>31</x:v>
      </x:c>
      <x:c r="G78" t="s">
        <x:v>1082</x:v>
      </x:c>
      <x:c r="H78" t="s">
        <x:v>1073</x:v>
      </x:c>
      <x:c r="I78" t="s">
        <x:v>1074</x:v>
      </x:c>
      <x:c r="J78" t="s">
        <x:v>1075</x:v>
      </x:c>
      <x:c r="K78" t="s">
        <x:v>98</x:v>
      </x:c>
      <x:c r="L78" t="s">
        <x:v>37</x:v>
      </x:c>
      <x:c r="M78" t="s">
        <x:v>1076</x:v>
      </x:c>
      <x:c r="N78" t="s">
        <x:v>1077</x:v>
      </x:c>
      <x:c r="O78" t="s">
        <x:v>1083</x:v>
      </x:c>
      <x:c r="P78" t="s">
        <x:v>1084</x:v>
      </x:c>
      <x:c r="Q78" t="s">
        <x:v>102</x:v>
      </x:c>
      <x:c r="R78">
        <x:v>1</x:v>
      </x:c>
      <x:c r="S78" t="s">
        <x:v>42</x:v>
      </x:c>
      <x:c r="T78" t="s">
        <x:v>43</x:v>
      </x:c>
      <x:c r="U78" t="s">
        <x:v>44</x:v>
      </x:c>
      <x:c r="V78" t="s">
        <x:v>45</x:v>
      </x:c>
      <x:c r="W78" t="s">
        <x:v>60</x:v>
      </x:c>
      <x:c r="X78">
        <x:v>186.44</x:v>
      </x:c>
      <x:c r="Y78" t="s">
        <x:v>47</x:v>
      </x:c>
      <x:c r="Z78" t="s">
        <x:v>48</x:v>
      </x:c>
      <x:c r="AA78" t="s">
        <x:v>49</x:v>
      </x:c>
      <x:c r="AB78">
        <x:v>999986041</x:v>
      </x:c>
      <x:c r="AC78" t="s">
        <x:v>1079</x:v>
      </x:c>
      <x:c r="AD78">
        <x:v>50</x:v>
      </x:c>
    </x:row>
    <x:row r="79">
      <x:c r="A79" s="1">
        <x:v>46185</x:v>
      </x:c>
      <x:c r="B79" t="s">
        <x:v>3597</x:v>
      </x:c>
      <x:c r="C79" t="s">
        <x:v>1070</x:v>
      </x:c>
      <x:c r="D79" t="s">
        <x:v>29</x:v>
      </x:c>
      <x:c r="E79" t="s">
        <x:v>1071</x:v>
      </x:c>
      <x:c r="F79" t="s">
        <x:v>401</x:v>
      </x:c>
      <x:c r="G79" t="s">
        <x:v>1085</x:v>
      </x:c>
      <x:c r="H79" t="s">
        <x:v>1073</x:v>
      </x:c>
      <x:c r="I79" t="s">
        <x:v>1074</x:v>
      </x:c>
      <x:c r="J79" t="s">
        <x:v>1075</x:v>
      </x:c>
      <x:c r="K79" t="s">
        <x:v>98</x:v>
      </x:c>
      <x:c r="L79" t="s">
        <x:v>401</x:v>
      </x:c>
      <x:c r="M79" t="s">
        <x:v>1076</x:v>
      </x:c>
      <x:c r="N79" t="s">
        <x:v>1077</x:v>
      </x:c>
      <x:c r="O79" t="s">
        <x:v>1073</x:v>
      </x:c>
      <x:c r="P79" t="s">
        <x:v>1078</x:v>
      </x:c>
      <x:c r="Q79" t="s">
        <x:v>102</x:v>
      </x:c>
      <x:c r="R79">
        <x:v>1</x:v>
      </x:c>
      <x:c r="S79" t="s">
        <x:v>42</x:v>
      </x:c>
      <x:c r="T79" t="s">
        <x:v>43</x:v>
      </x:c>
      <x:c r="U79" t="s">
        <x:v>44</x:v>
      </x:c>
      <x:c r="V79" t="s">
        <x:v>45</x:v>
      </x:c>
      <x:c r="W79" t="s">
        <x:v>60</x:v>
      </x:c>
      <x:c r="X79">
        <x:v>186.44</x:v>
      </x:c>
      <x:c r="Y79" t="s">
        <x:v>47</x:v>
      </x:c>
      <x:c r="Z79" t="s">
        <x:v>48</x:v>
      </x:c>
      <x:c r="AA79" t="s">
        <x:v>49</x:v>
      </x:c>
      <x:c r="AB79">
        <x:v>999986041</x:v>
      </x:c>
      <x:c r="AC79" t="s">
        <x:v>1079</x:v>
      </x:c>
      <x:c r="AD79">
        <x:v>50</x:v>
      </x:c>
    </x:row>
    <x:row r="80">
      <x:c r="A80" s="1">
        <x:v>46185</x:v>
      </x:c>
      <x:c r="B80" t="s">
        <x:v>3597</x:v>
      </x:c>
      <x:c r="C80" t="s">
        <x:v>1094</x:v>
      </x:c>
      <x:c r="D80" t="s">
        <x:v>29</x:v>
      </x:c>
      <x:c r="E80" t="s">
        <x:v>1095</x:v>
      </x:c>
      <x:c r="F80" t="s">
        <x:v>31</x:v>
      </x:c>
      <x:c r="G80" t="s">
        <x:v>1096</x:v>
      </x:c>
      <x:c r="H80" t="s">
        <x:v>1097</x:v>
      </x:c>
      <x:c r="I80" t="s">
        <x:v>1098</x:v>
      </x:c>
      <x:c r="J80" t="s">
        <x:v>1099</x:v>
      </x:c>
      <x:c r="K80" t="s">
        <x:v>1100</x:v>
      </x:c>
      <x:c r="L80" t="s">
        <x:v>37</x:v>
      </x:c>
      <x:c r="M80" t="s">
        <x:v>1101</x:v>
      </x:c>
      <x:c r="N80" t="s">
        <x:v>1102</x:v>
      </x:c>
      <x:c r="O80" t="s">
        <x:v>1097</x:v>
      </x:c>
      <x:c r="P80" t="s">
        <x:v>1103</x:v>
      </x:c>
      <x:c r="Q80" t="s">
        <x:v>160</x:v>
      </x:c>
      <x:c r="R80">
        <x:v>1</x:v>
      </x:c>
      <x:c r="S80" t="s">
        <x:v>42</x:v>
      </x:c>
      <x:c r="T80" t="s">
        <x:v>43</x:v>
      </x:c>
      <x:c r="U80" t="s">
        <x:v>44</x:v>
      </x:c>
      <x:c r="V80" t="s">
        <x:v>45</x:v>
      </x:c>
      <x:c r="W80" t="s">
        <x:v>46</x:v>
      </x:c>
      <x:c r="X80">
        <x:v>135.59</x:v>
      </x:c>
      <x:c r="Y80" t="s">
        <x:v>47</x:v>
      </x:c>
      <x:c r="Z80" t="s">
        <x:v>48</x:v>
      </x:c>
      <x:c r="AA80" t="s">
        <x:v>49</x:v>
      </x:c>
      <x:c r="AC80" t="s">
        <x:v>1104</x:v>
      </x:c>
      <x:c r="AD80">
        <x:v>30</x:v>
      </x:c>
    </x:row>
    <x:row r="81">
      <x:c r="A81" s="1">
        <x:v>46185</x:v>
      </x:c>
      <x:c r="B81" t="s">
        <x:v>3597</x:v>
      </x:c>
      <x:c r="C81" t="s">
        <x:v>1105</x:v>
      </x:c>
      <x:c r="D81" t="s">
        <x:v>269</x:v>
      </x:c>
      <x:c r="E81" t="s">
        <x:v>1106</x:v>
      </x:c>
      <x:c r="F81" t="s">
        <x:v>31</x:v>
      </x:c>
      <x:c r="G81" t="s">
        <x:v>1107</x:v>
      </x:c>
      <x:c r="H81" t="s">
        <x:v>1108</x:v>
      </x:c>
      <x:c r="I81" t="s">
        <x:v>1109</x:v>
      </x:c>
      <x:c r="J81" t="s">
        <x:v>1110</x:v>
      </x:c>
      <x:c r="K81" t="s">
        <x:v>210</x:v>
      </x:c>
      <x:c r="L81" t="s">
        <x:v>37</x:v>
      </x:c>
      <x:c r="M81" t="s">
        <x:v>1111</x:v>
      </x:c>
      <x:c r="N81" t="s">
        <x:v>1112</x:v>
      </x:c>
      <x:c r="O81" t="s">
        <x:v>1113</x:v>
      </x:c>
      <x:c r="P81" t="s">
        <x:v>1114</x:v>
      </x:c>
      <x:c r="Q81" t="s">
        <x:v>214</x:v>
      </x:c>
      <x:c r="R81">
        <x:v>1</x:v>
      </x:c>
      <x:c r="S81" t="s">
        <x:v>42</x:v>
      </x:c>
      <x:c r="T81" t="s">
        <x:v>43</x:v>
      </x:c>
      <x:c r="U81" t="s">
        <x:v>44</x:v>
      </x:c>
      <x:c r="V81" t="s">
        <x:v>45</x:v>
      </x:c>
      <x:c r="W81" t="s">
        <x:v>60</x:v>
      </x:c>
      <x:c r="X81">
        <x:v>254.24</x:v>
      </x:c>
      <x:c r="Y81" t="s">
        <x:v>61</x:v>
      </x:c>
      <x:c r="Z81" t="s">
        <x:v>48</x:v>
      </x:c>
      <x:c r="AA81" t="s">
        <x:v>49</x:v>
      </x:c>
      <x:c r="AB81">
        <x:v>970582106</x:v>
      </x:c>
      <x:c r="AC81" t="s">
        <x:v>1115</x:v>
      </x:c>
    </x:row>
    <x:row r="82">
      <x:c r="A82" s="1">
        <x:v>46188</x:v>
      </x:c>
      <x:c r="B82" t="s">
        <x:v>3597</x:v>
      </x:c>
      <x:c r="C82" t="s">
        <x:v>669</x:v>
      </x:c>
      <x:c r="D82" t="s">
        <x:v>29</x:v>
      </x:c>
      <x:c r="E82" t="s">
        <x:v>670</x:v>
      </x:c>
      <x:c r="F82" t="s">
        <x:v>31</x:v>
      </x:c>
      <x:c r="G82" t="s">
        <x:v>671</x:v>
      </x:c>
      <x:c r="H82" t="s">
        <x:v>672</x:v>
      </x:c>
      <x:c r="I82" t="s">
        <x:v>673</x:v>
      </x:c>
      <x:c r="J82" t="s">
        <x:v>664</x:v>
      </x:c>
      <x:c r="K82" t="s">
        <x:v>36</x:v>
      </x:c>
      <x:c r="L82" t="s">
        <x:v>37</x:v>
      </x:c>
      <x:c r="M82" t="s">
        <x:v>674</x:v>
      </x:c>
      <x:c r="N82" t="s">
        <x:v>675</x:v>
      </x:c>
      <x:c r="O82" t="s">
        <x:v>672</x:v>
      </x:c>
      <x:c r="P82" t="s">
        <x:v>676</x:v>
      </x:c>
      <x:c r="Q82" t="s">
        <x:v>202</x:v>
      </x:c>
      <x:c r="R82">
        <x:v>1</x:v>
      </x:c>
      <x:c r="S82" t="s">
        <x:v>42</x:v>
      </x:c>
      <x:c r="T82" t="s">
        <x:v>43</x:v>
      </x:c>
      <x:c r="U82" t="s">
        <x:v>44</x:v>
      </x:c>
      <x:c r="V82" t="s">
        <x:v>45</x:v>
      </x:c>
      <x:c r="W82" t="s">
        <x:v>46</x:v>
      </x:c>
      <x:c r="X82">
        <x:v>152.54</x:v>
      </x:c>
      <x:c r="Y82" t="s">
        <x:v>47</x:v>
      </x:c>
      <x:c r="Z82" t="s">
        <x:v>48</x:v>
      </x:c>
      <x:c r="AA82" t="s">
        <x:v>49</x:v>
      </x:c>
      <x:c r="AB82">
        <x:v>997145685</x:v>
      </x:c>
      <x:c r="AC82" t="s">
        <x:v>668</x:v>
      </x:c>
      <x:c r="AD82">
        <x:v>30</x:v>
      </x:c>
    </x:row>
    <x:row r="83">
      <x:c r="A83" s="1">
        <x:v>46188</x:v>
      </x:c>
      <x:c r="B83" t="s">
        <x:v>3597</x:v>
      </x:c>
      <x:c r="C83" t="s">
        <x:v>1161</x:v>
      </x:c>
      <x:c r="D83" t="s">
        <x:v>29</x:v>
      </x:c>
      <x:c r="E83" t="s">
        <x:v>1162</x:v>
      </x:c>
      <x:c r="F83" t="s">
        <x:v>31</x:v>
      </x:c>
      <x:c r="G83" t="s">
        <x:v>1163</x:v>
      </x:c>
      <x:c r="H83" t="s">
        <x:v>1164</x:v>
      </x:c>
      <x:c r="I83" t="s">
        <x:v>1165</x:v>
      </x:c>
      <x:c r="J83" t="s">
        <x:v>1166</x:v>
      </x:c>
      <x:c r="K83" t="s">
        <x:v>1167</x:v>
      </x:c>
      <x:c r="L83" t="s">
        <x:v>37</x:v>
      </x:c>
      <x:c r="M83" t="s">
        <x:v>1168</x:v>
      </x:c>
      <x:c r="N83" t="s">
        <x:v>1169</x:v>
      </x:c>
      <x:c r="O83" t="s">
        <x:v>1164</x:v>
      </x:c>
      <x:c r="P83" t="s">
        <x:v>1170</x:v>
      </x:c>
      <x:c r="Q83" t="s">
        <x:v>1159</x:v>
      </x:c>
      <x:c r="R83">
        <x:v>1</x:v>
      </x:c>
      <x:c r="S83" t="s">
        <x:v>42</x:v>
      </x:c>
      <x:c r="T83" t="s">
        <x:v>43</x:v>
      </x:c>
      <x:c r="U83" t="s">
        <x:v>44</x:v>
      </x:c>
      <x:c r="V83" t="s">
        <x:v>45</x:v>
      </x:c>
      <x:c r="W83" t="s">
        <x:v>60</x:v>
      </x:c>
      <x:c r="X83">
        <x:v>338.98</x:v>
      </x:c>
      <x:c r="Y83" t="s">
        <x:v>47</x:v>
      </x:c>
      <x:c r="Z83" t="s">
        <x:v>48</x:v>
      </x:c>
      <x:c r="AA83" t="s">
        <x:v>49</x:v>
      </x:c>
      <x:c r="AB83">
        <x:v>978548687</x:v>
      </x:c>
      <x:c r="AC83" t="s">
        <x:v>1171</x:v>
      </x:c>
      <x:c r="AD83">
        <x:v>100</x:v>
      </x:c>
    </x:row>
    <x:row r="84">
      <x:c r="A84" s="1">
        <x:v>46189</x:v>
      </x:c>
      <x:c r="B84" t="s">
        <x:v>3597</x:v>
      </x:c>
      <x:c r="C84" t="s">
        <x:v>151</x:v>
      </x:c>
      <x:c r="D84" t="s">
        <x:v>29</x:v>
      </x:c>
      <x:c r="E84" t="s">
        <x:v>152</x:v>
      </x:c>
      <x:c r="F84" t="s">
        <x:v>31</x:v>
      </x:c>
      <x:c r="G84" t="s">
        <x:v>153</x:v>
      </x:c>
      <x:c r="H84" t="s">
        <x:v>154</x:v>
      </x:c>
      <x:c r="I84" t="s">
        <x:v>155</x:v>
      </x:c>
      <x:c r="J84" t="s">
        <x:v>137</x:v>
      </x:c>
      <x:c r="K84" t="s">
        <x:v>138</x:v>
      </x:c>
      <x:c r="L84" t="s">
        <x:v>37</x:v>
      </x:c>
      <x:c r="M84" t="s">
        <x:v>156</x:v>
      </x:c>
      <x:c r="N84" t="s">
        <x:v>157</x:v>
      </x:c>
      <x:c r="O84" t="s">
        <x:v>154</x:v>
      </x:c>
      <x:c r="P84" t="s">
        <x:v>158</x:v>
      </x:c>
      <x:c r="Q84" t="s">
        <x:v>160</x:v>
      </x:c>
      <x:c r="R84">
        <x:v>1</x:v>
      </x:c>
      <x:c r="S84" t="s">
        <x:v>42</x:v>
      </x:c>
      <x:c r="T84" t="s">
        <x:v>44</x:v>
      </x:c>
      <x:c r="U84" t="s">
        <x:v>44</x:v>
      </x:c>
      <x:c r="V84" t="s">
        <x:v>45</x:v>
      </x:c>
      <x:c r="W84" t="s">
        <x:v>60</x:v>
      </x:c>
      <x:c r="X84">
        <x:v>135.59</x:v>
      </x:c>
      <x:c r="Y84" t="s">
        <x:v>47</x:v>
      </x:c>
      <x:c r="Z84" t="s">
        <x:v>48</x:v>
      </x:c>
      <x:c r="AA84" t="s">
        <x:v>49</x:v>
      </x:c>
      <x:c r="AB84">
        <x:v>987407712</x:v>
      </x:c>
      <x:c r="AC84" t="s">
        <x:v>142</x:v>
      </x:c>
      <x:c r="AD84">
        <x:v>30</x:v>
      </x:c>
    </x:row>
    <x:row r="85">
      <x:c r="A85" s="1">
        <x:v>46189</x:v>
      </x:c>
      <x:c r="B85" t="s">
        <x:v>3597</x:v>
      </x:c>
      <x:c r="C85" t="s">
        <x:v>151</x:v>
      </x:c>
      <x:c r="D85" t="s">
        <x:v>29</x:v>
      </x:c>
      <x:c r="E85" t="s">
        <x:v>152</x:v>
      </x:c>
      <x:c r="F85" t="s">
        <x:v>31</x:v>
      </x:c>
      <x:c r="G85" t="s">
        <x:v>153</x:v>
      </x:c>
      <x:c r="H85" t="s">
        <x:v>154</x:v>
      </x:c>
      <x:c r="I85" t="s">
        <x:v>155</x:v>
      </x:c>
      <x:c r="J85" t="s">
        <x:v>137</x:v>
      </x:c>
      <x:c r="K85" t="s">
        <x:v>138</x:v>
      </x:c>
      <x:c r="L85" t="s">
        <x:v>37</x:v>
      </x:c>
      <x:c r="M85" t="s">
        <x:v>156</x:v>
      </x:c>
      <x:c r="N85" t="s">
        <x:v>157</x:v>
      </x:c>
      <x:c r="O85" t="s">
        <x:v>154</x:v>
      </x:c>
      <x:c r="P85" t="s">
        <x:v>158</x:v>
      </x:c>
      <x:c r="Q85" t="s">
        <x:v>102</x:v>
      </x:c>
      <x:c r="R85">
        <x:v>1</x:v>
      </x:c>
      <x:c r="S85" t="s">
        <x:v>42</x:v>
      </x:c>
      <x:c r="T85" t="s">
        <x:v>44</x:v>
      </x:c>
      <x:c r="U85" t="s">
        <x:v>44</x:v>
      </x:c>
      <x:c r="V85" t="s">
        <x:v>45</x:v>
      </x:c>
      <x:c r="W85" t="s">
        <x:v>60</x:v>
      </x:c>
      <x:c r="X85">
        <x:v>186.44</x:v>
      </x:c>
      <x:c r="Y85" t="s">
        <x:v>47</x:v>
      </x:c>
      <x:c r="Z85" t="s">
        <x:v>48</x:v>
      </x:c>
      <x:c r="AA85" t="s">
        <x:v>49</x:v>
      </x:c>
      <x:c r="AB85">
        <x:v>987407712</x:v>
      </x:c>
      <x:c r="AC85" t="s">
        <x:v>142</x:v>
      </x:c>
      <x:c r="AD85">
        <x:v>50</x:v>
      </x:c>
    </x:row>
    <x:row r="86">
      <x:c r="A86" s="1">
        <x:v>46189</x:v>
      </x:c>
      <x:c r="B86" t="s">
        <x:v>3597</x:v>
      </x:c>
      <x:c r="C86" t="s">
        <x:v>151</x:v>
      </x:c>
      <x:c r="D86" t="s">
        <x:v>29</x:v>
      </x:c>
      <x:c r="E86" t="s">
        <x:v>152</x:v>
      </x:c>
      <x:c r="F86" t="s">
        <x:v>31</x:v>
      </x:c>
      <x:c r="G86" t="s">
        <x:v>153</x:v>
      </x:c>
      <x:c r="H86" t="s">
        <x:v>154</x:v>
      </x:c>
      <x:c r="I86" t="s">
        <x:v>155</x:v>
      </x:c>
      <x:c r="J86" t="s">
        <x:v>137</x:v>
      </x:c>
      <x:c r="K86" t="s">
        <x:v>138</x:v>
      </x:c>
      <x:c r="L86" t="s">
        <x:v>37</x:v>
      </x:c>
      <x:c r="M86" t="s">
        <x:v>156</x:v>
      </x:c>
      <x:c r="N86" t="s">
        <x:v>157</x:v>
      </x:c>
      <x:c r="O86" t="s">
        <x:v>154</x:v>
      </x:c>
      <x:c r="P86" t="s">
        <x:v>158</x:v>
      </x:c>
      <x:c r="Q86" t="s">
        <x:v>159</x:v>
      </x:c>
      <x:c r="R86">
        <x:v>1</x:v>
      </x:c>
      <x:c r="S86" t="s">
        <x:v>42</x:v>
      </x:c>
      <x:c r="T86" t="s">
        <x:v>44</x:v>
      </x:c>
      <x:c r="U86" t="s">
        <x:v>44</x:v>
      </x:c>
      <x:c r="V86" t="s">
        <x:v>45</x:v>
      </x:c>
      <x:c r="W86" t="s">
        <x:v>60</x:v>
      </x:c>
      <x:c r="X86">
        <x:v>152.54</x:v>
      </x:c>
      <x:c r="Y86" t="s">
        <x:v>47</x:v>
      </x:c>
      <x:c r="Z86" t="s">
        <x:v>48</x:v>
      </x:c>
      <x:c r="AA86" t="s">
        <x:v>49</x:v>
      </x:c>
      <x:c r="AB86">
        <x:v>987407712</x:v>
      </x:c>
      <x:c r="AC86" t="s">
        <x:v>142</x:v>
      </x:c>
      <x:c r="AD86">
        <x:v>30</x:v>
      </x:c>
    </x:row>
    <x:row r="87">
      <x:c r="A87" s="1">
        <x:v>46189</x:v>
      </x:c>
      <x:c r="B87" t="s">
        <x:v>3597</x:v>
      </x:c>
      <x:c r="C87" t="s">
        <x:v>352</x:v>
      </x:c>
      <x:c r="D87" t="s">
        <x:v>29</x:v>
      </x:c>
      <x:c r="E87" t="s">
        <x:v>353</x:v>
      </x:c>
      <x:c r="F87" t="s">
        <x:v>31</x:v>
      </x:c>
      <x:c r="G87" t="s">
        <x:v>354</x:v>
      </x:c>
      <x:c r="H87" t="s">
        <x:v>355</x:v>
      </x:c>
      <x:c r="I87" t="s">
        <x:v>356</x:v>
      </x:c>
      <x:c r="J87" t="s">
        <x:v>345</x:v>
      </x:c>
      <x:c r="K87" t="s">
        <x:v>346</x:v>
      </x:c>
      <x:c r="L87" t="s">
        <x:v>37</x:v>
      </x:c>
      <x:c r="M87" t="s">
        <x:v>357</x:v>
      </x:c>
      <x:c r="N87" t="s">
        <x:v>358</x:v>
      </x:c>
      <x:c r="O87" t="s">
        <x:v>355</x:v>
      </x:c>
      <x:c r="P87" t="s">
        <x:v>359</x:v>
      </x:c>
      <x:c r="Q87" t="s">
        <x:v>102</x:v>
      </x:c>
      <x:c r="R87">
        <x:v>1</x:v>
      </x:c>
      <x:c r="S87" t="s">
        <x:v>42</x:v>
      </x:c>
      <x:c r="T87" t="s">
        <x:v>44</x:v>
      </x:c>
      <x:c r="U87" t="s">
        <x:v>44</x:v>
      </x:c>
      <x:c r="V87" t="s">
        <x:v>45</x:v>
      </x:c>
      <x:c r="W87" t="s">
        <x:v>60</x:v>
      </x:c>
      <x:c r="X87">
        <x:v>186.44</x:v>
      </x:c>
      <x:c r="Y87" t="s">
        <x:v>47</x:v>
      </x:c>
      <x:c r="Z87" t="s">
        <x:v>48</x:v>
      </x:c>
      <x:c r="AA87" t="s">
        <x:v>49</x:v>
      </x:c>
      <x:c r="AB87">
        <x:v>966697811</x:v>
      </x:c>
      <x:c r="AC87" t="s">
        <x:v>351</x:v>
      </x:c>
      <x:c r="AD87">
        <x:v>50</x:v>
      </x:c>
    </x:row>
    <x:row r="88">
      <x:c r="A88" s="1">
        <x:v>46189</x:v>
      </x:c>
      <x:c r="B88" t="s">
        <x:v>3597</x:v>
      </x:c>
      <x:c r="C88" t="s">
        <x:v>868</x:v>
      </x:c>
      <x:c r="D88" t="s">
        <x:v>29</x:v>
      </x:c>
      <x:c r="E88" t="s">
        <x:v>869</x:v>
      </x:c>
      <x:c r="F88" t="s">
        <x:v>31</x:v>
      </x:c>
      <x:c r="G88" t="s">
        <x:v>870</x:v>
      </x:c>
      <x:c r="H88" t="s">
        <x:v>871</x:v>
      </x:c>
      <x:c r="I88" t="s">
        <x:v>872</x:v>
      </x:c>
      <x:c r="J88" t="s">
        <x:v>776</x:v>
      </x:c>
      <x:c r="K88" t="s">
        <x:v>777</x:v>
      </x:c>
      <x:c r="L88" t="s">
        <x:v>37</x:v>
      </x:c>
      <x:c r="M88" t="s">
        <x:v>873</x:v>
      </x:c>
      <x:c r="N88" t="s">
        <x:v>874</x:v>
      </x:c>
      <x:c r="O88" t="s">
        <x:v>871</x:v>
      </x:c>
      <x:c r="P88" t="s">
        <x:v>875</x:v>
      </x:c>
      <x:c r="Q88" t="s">
        <x:v>202</x:v>
      </x:c>
      <x:c r="R88">
        <x:v>1</x:v>
      </x:c>
      <x:c r="S88" t="s">
        <x:v>42</x:v>
      </x:c>
      <x:c r="T88" t="s">
        <x:v>44</x:v>
      </x:c>
      <x:c r="U88" t="s">
        <x:v>44</x:v>
      </x:c>
      <x:c r="V88" t="s">
        <x:v>45</x:v>
      </x:c>
      <x:c r="W88" t="s">
        <x:v>60</x:v>
      </x:c>
      <x:c r="X88">
        <x:v>42.37</x:v>
      </x:c>
      <x:c r="Y88" t="s">
        <x:v>47</x:v>
      </x:c>
      <x:c r="Z88" t="s">
        <x:v>48</x:v>
      </x:c>
      <x:c r="AA88" t="s">
        <x:v>49</x:v>
      </x:c>
      <x:c r="AD88">
        <x:v>30</x:v>
      </x:c>
    </x:row>
    <x:row r="89">
      <x:c r="A89" s="1">
        <x:v>46189</x:v>
      </x:c>
      <x:c r="B89" t="s">
        <x:v>3597</x:v>
      </x:c>
      <x:c r="C89" t="s">
        <x:v>868</x:v>
      </x:c>
      <x:c r="D89" t="s">
        <x:v>29</x:v>
      </x:c>
      <x:c r="E89" t="s">
        <x:v>869</x:v>
      </x:c>
      <x:c r="F89" t="s">
        <x:v>31</x:v>
      </x:c>
      <x:c r="G89" t="s">
        <x:v>870</x:v>
      </x:c>
      <x:c r="H89" t="s">
        <x:v>871</x:v>
      </x:c>
      <x:c r="I89" t="s">
        <x:v>872</x:v>
      </x:c>
      <x:c r="J89" t="s">
        <x:v>776</x:v>
      </x:c>
      <x:c r="K89" t="s">
        <x:v>777</x:v>
      </x:c>
      <x:c r="L89" t="s">
        <x:v>37</x:v>
      </x:c>
      <x:c r="M89" t="s">
        <x:v>873</x:v>
      </x:c>
      <x:c r="N89" t="s">
        <x:v>874</x:v>
      </x:c>
      <x:c r="O89" t="s">
        <x:v>871</x:v>
      </x:c>
      <x:c r="P89" t="s">
        <x:v>875</x:v>
      </x:c>
      <x:c r="Q89" t="s">
        <x:v>203</x:v>
      </x:c>
      <x:c r="R89">
        <x:v>1</x:v>
      </x:c>
      <x:c r="S89" t="s">
        <x:v>42</x:v>
      </x:c>
      <x:c r="T89" t="s">
        <x:v>44</x:v>
      </x:c>
      <x:c r="U89" t="s">
        <x:v>44</x:v>
      </x:c>
      <x:c r="V89" t="s">
        <x:v>45</x:v>
      </x:c>
      <x:c r="W89" t="s">
        <x:v>60</x:v>
      </x:c>
      <x:c r="X89">
        <x:v>42.37</x:v>
      </x:c>
      <x:c r="Y89" t="s">
        <x:v>47</x:v>
      </x:c>
      <x:c r="Z89" t="s">
        <x:v>48</x:v>
      </x:c>
      <x:c r="AA89" t="s">
        <x:v>49</x:v>
      </x:c>
      <x:c r="AD89">
        <x:v>30</x:v>
      </x:c>
    </x:row>
    <x:row r="90">
      <x:c r="A90" s="1">
        <x:v>46189</x:v>
      </x:c>
      <x:c r="B90" t="s">
        <x:v>3597</x:v>
      </x:c>
      <x:c r="C90" t="s">
        <x:v>1181</x:v>
      </x:c>
      <x:c r="D90" t="s">
        <x:v>29</x:v>
      </x:c>
      <x:c r="E90" t="s">
        <x:v>1182</x:v>
      </x:c>
      <x:c r="F90" t="s">
        <x:v>31</x:v>
      </x:c>
      <x:c r="G90" t="s">
        <x:v>1183</x:v>
      </x:c>
      <x:c r="H90" t="s">
        <x:v>1184</x:v>
      </x:c>
      <x:c r="I90" t="s">
        <x:v>1185</x:v>
      </x:c>
      <x:c r="J90" t="s">
        <x:v>1186</x:v>
      </x:c>
      <x:c r="K90" t="s">
        <x:v>210</x:v>
      </x:c>
      <x:c r="L90" t="s">
        <x:v>37</x:v>
      </x:c>
      <x:c r="M90" t="s">
        <x:v>1187</x:v>
      </x:c>
      <x:c r="N90" t="s">
        <x:v>1188</x:v>
      </x:c>
      <x:c r="O90" t="s">
        <x:v>1184</x:v>
      </x:c>
      <x:c r="P90" t="s">
        <x:v>1189</x:v>
      </x:c>
      <x:c r="Q90" t="s">
        <x:v>41</x:v>
      </x:c>
      <x:c r="R90">
        <x:v>1</x:v>
      </x:c>
      <x:c r="S90" t="s">
        <x:v>42</x:v>
      </x:c>
      <x:c r="T90" t="s">
        <x:v>43</x:v>
      </x:c>
      <x:c r="U90" t="s">
        <x:v>44</x:v>
      </x:c>
      <x:c r="V90" t="s">
        <x:v>45</x:v>
      </x:c>
      <x:c r="W90" t="s">
        <x:v>60</x:v>
      </x:c>
      <x:c r="X90">
        <x:v>186.44</x:v>
      </x:c>
      <x:c r="Y90" t="s">
        <x:v>47</x:v>
      </x:c>
      <x:c r="Z90" t="s">
        <x:v>48</x:v>
      </x:c>
      <x:c r="AA90" t="s">
        <x:v>49</x:v>
      </x:c>
      <x:c r="AB90">
        <x:v>981227454</x:v>
      </x:c>
      <x:c r="AC90" t="s">
        <x:v>1190</x:v>
      </x:c>
      <x:c r="AD90">
        <x:v>50</x:v>
      </x:c>
    </x:row>
    <x:row r="91">
      <x:c r="A91" s="1">
        <x:v>46189</x:v>
      </x:c>
      <x:c r="B91" t="s">
        <x:v>3597</x:v>
      </x:c>
      <x:c r="C91" t="s">
        <x:v>1199</x:v>
      </x:c>
      <x:c r="D91" t="s">
        <x:v>29</x:v>
      </x:c>
      <x:c r="E91" t="s">
        <x:v>1200</x:v>
      </x:c>
      <x:c r="F91" t="s">
        <x:v>31</x:v>
      </x:c>
      <x:c r="G91" t="s">
        <x:v>1201</x:v>
      </x:c>
      <x:c r="H91" t="s">
        <x:v>1202</x:v>
      </x:c>
      <x:c r="I91" t="s">
        <x:v>1203</x:v>
      </x:c>
      <x:c r="J91" t="s">
        <x:v>1204</x:v>
      </x:c>
      <x:c r="L91" t="s">
        <x:v>37</x:v>
      </x:c>
      <x:c r="M91" t="s">
        <x:v>1205</x:v>
      </x:c>
      <x:c r="N91" t="s">
        <x:v>1206</x:v>
      </x:c>
      <x:c r="O91" t="s">
        <x:v>1202</x:v>
      </x:c>
      <x:c r="P91" t="s">
        <x:v>1207</x:v>
      </x:c>
      <x:c r="Q91" t="s">
        <x:v>160</x:v>
      </x:c>
      <x:c r="R91">
        <x:v>1</x:v>
      </x:c>
      <x:c r="S91" t="s">
        <x:v>42</x:v>
      </x:c>
      <x:c r="T91" t="s">
        <x:v>44</x:v>
      </x:c>
      <x:c r="U91" t="s">
        <x:v>44</x:v>
      </x:c>
      <x:c r="V91" t="s">
        <x:v>45</x:v>
      </x:c>
      <x:c r="W91" t="s">
        <x:v>46</x:v>
      </x:c>
      <x:c r="X91">
        <x:v>135.59</x:v>
      </x:c>
      <x:c r="Y91" t="s">
        <x:v>47</x:v>
      </x:c>
      <x:c r="Z91" t="s">
        <x:v>48</x:v>
      </x:c>
      <x:c r="AA91" t="s">
        <x:v>49</x:v>
      </x:c>
      <x:c r="AD91">
        <x:v>30</x:v>
      </x:c>
    </x:row>
    <x:row r="92">
      <x:c r="A92" s="1">
        <x:v>46190</x:v>
      </x:c>
      <x:c r="B92" t="s">
        <x:v>3597</x:v>
      </x:c>
      <x:c r="C92" t="s">
        <x:v>51</x:v>
      </x:c>
      <x:c r="D92" t="s">
        <x:v>29</x:v>
      </x:c>
      <x:c r="E92" t="s">
        <x:v>52</x:v>
      </x:c>
      <x:c r="F92" t="s">
        <x:v>31</x:v>
      </x:c>
      <x:c r="G92" t="s">
        <x:v>53</x:v>
      </x:c>
      <x:c r="H92" t="s">
        <x:v>54</x:v>
      </x:c>
      <x:c r="I92" t="s">
        <x:v>55</x:v>
      </x:c>
      <x:c r="J92" t="s">
        <x:v>35</x:v>
      </x:c>
      <x:c r="K92" t="s">
        <x:v>36</x:v>
      </x:c>
      <x:c r="L92" t="s">
        <x:v>37</x:v>
      </x:c>
      <x:c r="M92" t="s">
        <x:v>56</x:v>
      </x:c>
      <x:c r="N92" t="s">
        <x:v>57</x:v>
      </x:c>
      <x:c r="O92" t="s">
        <x:v>54</x:v>
      </x:c>
      <x:c r="P92" t="s">
        <x:v>58</x:v>
      </x:c>
      <x:c r="Q92" t="s">
        <x:v>59</x:v>
      </x:c>
      <x:c r="R92">
        <x:v>1</x:v>
      </x:c>
      <x:c r="S92" t="s">
        <x:v>42</x:v>
      </x:c>
      <x:c r="T92" t="s">
        <x:v>44</x:v>
      </x:c>
      <x:c r="U92" t="s">
        <x:v>44</x:v>
      </x:c>
      <x:c r="V92" t="s">
        <x:v>45</x:v>
      </x:c>
      <x:c r="W92" t="s">
        <x:v>60</x:v>
      </x:c>
      <x:c r="X92">
        <x:v>101.69</x:v>
      </x:c>
      <x:c r="Y92" t="s">
        <x:v>61</x:v>
      </x:c>
      <x:c r="Z92" t="s">
        <x:v>48</x:v>
      </x:c>
      <x:c r="AA92" t="s">
        <x:v>49</x:v>
      </x:c>
      <x:c r="AB92">
        <x:v>999996347</x:v>
      </x:c>
      <x:c r="AC92" t="s">
        <x:v>50</x:v>
      </x:c>
    </x:row>
    <x:row r="93">
      <x:c r="A93" s="1">
        <x:v>46190</x:v>
      </x:c>
      <x:c r="B93" t="s">
        <x:v>3597</x:v>
      </x:c>
      <x:c r="C93" t="s">
        <x:v>161</x:v>
      </x:c>
      <x:c r="D93" t="s">
        <x:v>29</x:v>
      </x:c>
      <x:c r="E93" t="s">
        <x:v>162</x:v>
      </x:c>
      <x:c r="F93" t="s">
        <x:v>31</x:v>
      </x:c>
      <x:c r="G93" t="s">
        <x:v>163</x:v>
      </x:c>
      <x:c r="H93" t="s">
        <x:v>164</x:v>
      </x:c>
      <x:c r="I93" t="s">
        <x:v>165</x:v>
      </x:c>
      <x:c r="J93" t="s">
        <x:v>137</x:v>
      </x:c>
      <x:c r="K93" t="s">
        <x:v>138</x:v>
      </x:c>
      <x:c r="L93" t="s">
        <x:v>37</x:v>
      </x:c>
      <x:c r="M93" t="s">
        <x:v>166</x:v>
      </x:c>
      <x:c r="N93" t="s">
        <x:v>167</x:v>
      </x:c>
      <x:c r="O93" t="s">
        <x:v>164</x:v>
      </x:c>
      <x:c r="P93" t="s">
        <x:v>168</x:v>
      </x:c>
      <x:c r="Q93" t="s">
        <x:v>102</x:v>
      </x:c>
      <x:c r="R93">
        <x:v>1</x:v>
      </x:c>
      <x:c r="S93" t="s">
        <x:v>42</x:v>
      </x:c>
      <x:c r="T93" t="s">
        <x:v>44</x:v>
      </x:c>
      <x:c r="U93" t="s">
        <x:v>44</x:v>
      </x:c>
      <x:c r="V93" t="s">
        <x:v>45</x:v>
      </x:c>
      <x:c r="W93" t="s">
        <x:v>60</x:v>
      </x:c>
      <x:c r="X93">
        <x:v>186.44</x:v>
      </x:c>
      <x:c r="Y93" t="s">
        <x:v>47</x:v>
      </x:c>
      <x:c r="Z93" t="s">
        <x:v>48</x:v>
      </x:c>
      <x:c r="AA93" t="s">
        <x:v>49</x:v>
      </x:c>
      <x:c r="AB93">
        <x:v>987407712</x:v>
      </x:c>
      <x:c r="AC93" t="s">
        <x:v>142</x:v>
      </x:c>
      <x:c r="AD93">
        <x:v>50</x:v>
      </x:c>
    </x:row>
    <x:row r="94">
      <x:c r="A94" s="1">
        <x:v>46190</x:v>
      </x:c>
      <x:c r="B94" t="s">
        <x:v>3597</x:v>
      </x:c>
      <x:c r="C94" t="s">
        <x:v>876</x:v>
      </x:c>
      <x:c r="D94" t="s">
        <x:v>269</x:v>
      </x:c>
      <x:c r="E94" t="s">
        <x:v>877</x:v>
      </x:c>
      <x:c r="F94" t="s">
        <x:v>31</x:v>
      </x:c>
      <x:c r="G94" t="s">
        <x:v>878</x:v>
      </x:c>
      <x:c r="H94" t="s">
        <x:v>851</x:v>
      </x:c>
      <x:c r="I94" t="s">
        <x:v>852</x:v>
      </x:c>
      <x:c r="J94" t="s">
        <x:v>776</x:v>
      </x:c>
      <x:c r="K94" t="s">
        <x:v>777</x:v>
      </x:c>
      <x:c r="L94" t="s">
        <x:v>37</x:v>
      </x:c>
      <x:c r="M94" t="s">
        <x:v>853</x:v>
      </x:c>
      <x:c r="N94" t="s">
        <x:v>854</x:v>
      </x:c>
      <x:c r="O94" t="s">
        <x:v>800</x:v>
      </x:c>
      <x:c r="P94" t="s">
        <x:v>879</x:v>
      </x:c>
      <x:c r="Q94" t="s">
        <x:v>289</x:v>
      </x:c>
      <x:c r="R94">
        <x:v>1</x:v>
      </x:c>
      <x:c r="S94" t="s">
        <x:v>42</x:v>
      </x:c>
      <x:c r="T94" t="s">
        <x:v>43</x:v>
      </x:c>
      <x:c r="U94" t="s">
        <x:v>44</x:v>
      </x:c>
      <x:c r="V94" t="s">
        <x:v>45</x:v>
      </x:c>
      <x:c r="W94" t="s">
        <x:v>60</x:v>
      </x:c>
      <x:c r="X94">
        <x:v>0</x:v>
      </x:c>
      <x:c r="Y94" t="s">
        <x:v>290</x:v>
      </x:c>
      <x:c r="Z94" t="s">
        <x:v>48</x:v>
      </x:c>
      <x:c r="AA94" t="s">
        <x:v>49</x:v>
      </x:c>
    </x:row>
    <x:row r="95">
      <x:c r="A95" s="1">
        <x:v>46190</x:v>
      </x:c>
      <x:c r="B95" t="s">
        <x:v>3597</x:v>
      </x:c>
      <x:c r="C95" t="s">
        <x:v>876</x:v>
      </x:c>
      <x:c r="D95" t="s">
        <x:v>269</x:v>
      </x:c>
      <x:c r="E95" t="s">
        <x:v>877</x:v>
      </x:c>
      <x:c r="F95" t="s">
        <x:v>31</x:v>
      </x:c>
      <x:c r="G95" t="s">
        <x:v>878</x:v>
      </x:c>
      <x:c r="H95" t="s">
        <x:v>851</x:v>
      </x:c>
      <x:c r="I95" t="s">
        <x:v>852</x:v>
      </x:c>
      <x:c r="J95" t="s">
        <x:v>776</x:v>
      </x:c>
      <x:c r="K95" t="s">
        <x:v>777</x:v>
      </x:c>
      <x:c r="L95" t="s">
        <x:v>37</x:v>
      </x:c>
      <x:c r="M95" t="s">
        <x:v>853</x:v>
      </x:c>
      <x:c r="N95" t="s">
        <x:v>854</x:v>
      </x:c>
      <x:c r="O95" t="s">
        <x:v>800</x:v>
      </x:c>
      <x:c r="P95" t="s">
        <x:v>879</x:v>
      </x:c>
      <x:c r="Q95" t="s">
        <x:v>291</x:v>
      </x:c>
      <x:c r="R95">
        <x:v>1</x:v>
      </x:c>
      <x:c r="S95" t="s">
        <x:v>42</x:v>
      </x:c>
      <x:c r="T95" t="s">
        <x:v>43</x:v>
      </x:c>
      <x:c r="U95" t="s">
        <x:v>44</x:v>
      </x:c>
      <x:c r="V95" t="s">
        <x:v>45</x:v>
      </x:c>
      <x:c r="W95" t="s">
        <x:v>60</x:v>
      </x:c>
      <x:c r="X95">
        <x:v>762.71</x:v>
      </x:c>
      <x:c r="Y95" t="s">
        <x:v>290</x:v>
      </x:c>
      <x:c r="Z95" t="s">
        <x:v>48</x:v>
      </x:c>
      <x:c r="AA95" t="s">
        <x:v>49</x:v>
      </x:c>
    </x:row>
    <x:row r="96">
      <x:c r="A96" s="1">
        <x:v>46190</x:v>
      </x:c>
      <x:c r="B96" t="s">
        <x:v>3597</x:v>
      </x:c>
      <x:c r="C96" t="s">
        <x:v>880</x:v>
      </x:c>
      <x:c r="D96" t="s">
        <x:v>269</x:v>
      </x:c>
      <x:c r="E96" t="s">
        <x:v>881</x:v>
      </x:c>
      <x:c r="F96" t="s">
        <x:v>31</x:v>
      </x:c>
      <x:c r="G96" t="s">
        <x:v>882</x:v>
      </x:c>
      <x:c r="H96" t="s">
        <x:v>871</x:v>
      </x:c>
      <x:c r="I96" t="s">
        <x:v>872</x:v>
      </x:c>
      <x:c r="J96" t="s">
        <x:v>776</x:v>
      </x:c>
      <x:c r="K96" t="s">
        <x:v>777</x:v>
      </x:c>
      <x:c r="L96" t="s">
        <x:v>37</x:v>
      </x:c>
      <x:c r="M96" t="s">
        <x:v>873</x:v>
      </x:c>
      <x:c r="N96" t="s">
        <x:v>874</x:v>
      </x:c>
      <x:c r="O96" t="s">
        <x:v>800</x:v>
      </x:c>
      <x:c r="P96" t="s">
        <x:v>883</x:v>
      </x:c>
      <x:c r="Q96" t="s">
        <x:v>289</x:v>
      </x:c>
      <x:c r="R96">
        <x:v>1</x:v>
      </x:c>
      <x:c r="S96" t="s">
        <x:v>42</x:v>
      </x:c>
      <x:c r="T96" t="s">
        <x:v>43</x:v>
      </x:c>
      <x:c r="U96" t="s">
        <x:v>44</x:v>
      </x:c>
      <x:c r="V96" t="s">
        <x:v>45</x:v>
      </x:c>
      <x:c r="W96" t="s">
        <x:v>60</x:v>
      </x:c>
      <x:c r="X96">
        <x:v>0</x:v>
      </x:c>
      <x:c r="Y96" t="s">
        <x:v>290</x:v>
      </x:c>
      <x:c r="Z96" t="s">
        <x:v>48</x:v>
      </x:c>
      <x:c r="AA96" t="s">
        <x:v>49</x:v>
      </x:c>
    </x:row>
    <x:row r="97">
      <x:c r="A97" s="1">
        <x:v>46190</x:v>
      </x:c>
      <x:c r="B97" t="s">
        <x:v>3597</x:v>
      </x:c>
      <x:c r="C97" t="s">
        <x:v>880</x:v>
      </x:c>
      <x:c r="D97" t="s">
        <x:v>269</x:v>
      </x:c>
      <x:c r="E97" t="s">
        <x:v>881</x:v>
      </x:c>
      <x:c r="F97" t="s">
        <x:v>31</x:v>
      </x:c>
      <x:c r="G97" t="s">
        <x:v>882</x:v>
      </x:c>
      <x:c r="H97" t="s">
        <x:v>871</x:v>
      </x:c>
      <x:c r="I97" t="s">
        <x:v>872</x:v>
      </x:c>
      <x:c r="J97" t="s">
        <x:v>776</x:v>
      </x:c>
      <x:c r="K97" t="s">
        <x:v>777</x:v>
      </x:c>
      <x:c r="L97" t="s">
        <x:v>37</x:v>
      </x:c>
      <x:c r="M97" t="s">
        <x:v>873</x:v>
      </x:c>
      <x:c r="N97" t="s">
        <x:v>874</x:v>
      </x:c>
      <x:c r="O97" t="s">
        <x:v>800</x:v>
      </x:c>
      <x:c r="P97" t="s">
        <x:v>883</x:v>
      </x:c>
      <x:c r="Q97" t="s">
        <x:v>372</x:v>
      </x:c>
      <x:c r="R97">
        <x:v>1</x:v>
      </x:c>
      <x:c r="S97" t="s">
        <x:v>42</x:v>
      </x:c>
      <x:c r="T97" t="s">
        <x:v>43</x:v>
      </x:c>
      <x:c r="U97" t="s">
        <x:v>44</x:v>
      </x:c>
      <x:c r="V97" t="s">
        <x:v>45</x:v>
      </x:c>
      <x:c r="W97" t="s">
        <x:v>60</x:v>
      </x:c>
      <x:c r="X97">
        <x:v>550.85</x:v>
      </x:c>
      <x:c r="Y97" t="s">
        <x:v>290</x:v>
      </x:c>
      <x:c r="Z97" t="s">
        <x:v>48</x:v>
      </x:c>
      <x:c r="AA97" t="s">
        <x:v>49</x:v>
      </x:c>
    </x:row>
    <x:row r="98">
      <x:c r="A98" s="1">
        <x:v>46190</x:v>
      </x:c>
      <x:c r="B98" t="s">
        <x:v>3597</x:v>
      </x:c>
      <x:c r="C98" t="s">
        <x:v>1208</x:v>
      </x:c>
      <x:c r="D98" t="s">
        <x:v>29</x:v>
      </x:c>
      <x:c r="E98" t="s">
        <x:v>1209</x:v>
      </x:c>
      <x:c r="F98" t="s">
        <x:v>31</x:v>
      </x:c>
      <x:c r="G98" t="s">
        <x:v>1210</x:v>
      </x:c>
      <x:c r="H98" t="s">
        <x:v>1211</x:v>
      </x:c>
      <x:c r="I98" t="s">
        <x:v>1212</x:v>
      </x:c>
      <x:c r="J98" t="s">
        <x:v>1213</x:v>
      </x:c>
      <x:c r="K98" t="s">
        <x:v>3599</x:v>
      </x:c>
      <x:c r="L98" t="s">
        <x:v>37</x:v>
      </x:c>
      <x:c r="M98" t="s">
        <x:v>1214</x:v>
      </x:c>
      <x:c r="N98" t="s">
        <x:v>1215</x:v>
      </x:c>
      <x:c r="O98" t="s">
        <x:v>1211</x:v>
      </x:c>
      <x:c r="P98" t="s">
        <x:v>1216</x:v>
      </x:c>
      <x:c r="Q98" t="s">
        <x:v>289</x:v>
      </x:c>
      <x:c r="R98">
        <x:v>1</x:v>
      </x:c>
      <x:c r="S98" t="s">
        <x:v>42</x:v>
      </x:c>
      <x:c r="T98" t="s">
        <x:v>44</x:v>
      </x:c>
      <x:c r="U98" t="s">
        <x:v>44</x:v>
      </x:c>
      <x:c r="V98" t="s">
        <x:v>45</x:v>
      </x:c>
      <x:c r="W98" t="s">
        <x:v>60</x:v>
      </x:c>
      <x:c r="X98">
        <x:v>0</x:v>
      </x:c>
      <x:c r="Y98" t="s">
        <x:v>290</x:v>
      </x:c>
      <x:c r="Z98" t="s">
        <x:v>48</x:v>
      </x:c>
      <x:c r="AA98" t="s">
        <x:v>49</x:v>
      </x:c>
    </x:row>
    <x:row r="99">
      <x:c r="A99" s="1">
        <x:v>46190</x:v>
      </x:c>
      <x:c r="B99" t="s">
        <x:v>3597</x:v>
      </x:c>
      <x:c r="C99" t="s">
        <x:v>1208</x:v>
      </x:c>
      <x:c r="D99" t="s">
        <x:v>29</x:v>
      </x:c>
      <x:c r="E99" t="s">
        <x:v>1209</x:v>
      </x:c>
      <x:c r="F99" t="s">
        <x:v>31</x:v>
      </x:c>
      <x:c r="G99" t="s">
        <x:v>1210</x:v>
      </x:c>
      <x:c r="H99" t="s">
        <x:v>1211</x:v>
      </x:c>
      <x:c r="I99" t="s">
        <x:v>1212</x:v>
      </x:c>
      <x:c r="J99" t="s">
        <x:v>1213</x:v>
      </x:c>
      <x:c r="K99" t="s">
        <x:v>3599</x:v>
      </x:c>
      <x:c r="L99" t="s">
        <x:v>37</x:v>
      </x:c>
      <x:c r="M99" t="s">
        <x:v>1214</x:v>
      </x:c>
      <x:c r="N99" t="s">
        <x:v>1215</x:v>
      </x:c>
      <x:c r="O99" t="s">
        <x:v>1211</x:v>
      </x:c>
      <x:c r="P99" t="s">
        <x:v>1216</x:v>
      </x:c>
      <x:c r="Q99" t="s">
        <x:v>1217</x:v>
      </x:c>
      <x:c r="R99">
        <x:v>1</x:v>
      </x:c>
      <x:c r="S99" t="s">
        <x:v>42</x:v>
      </x:c>
      <x:c r="T99" t="s">
        <x:v>44</x:v>
      </x:c>
      <x:c r="U99" t="s">
        <x:v>44</x:v>
      </x:c>
      <x:c r="V99" t="s">
        <x:v>45</x:v>
      </x:c>
      <x:c r="W99" t="s">
        <x:v>60</x:v>
      </x:c>
      <x:c r="X99">
        <x:v>139.83000000000001</x:v>
      </x:c>
      <x:c r="Y99" t="s">
        <x:v>290</x:v>
      </x:c>
      <x:c r="Z99" t="s">
        <x:v>48</x:v>
      </x:c>
      <x:c r="AA99" t="s">
        <x:v>49</x:v>
      </x:c>
    </x:row>
    <x:row r="100">
      <x:c r="A100" s="1">
        <x:v>46191</x:v>
      </x:c>
      <x:c r="B100" t="s">
        <x:v>3597</x:v>
      </x:c>
      <x:c r="C100" t="s">
        <x:v>312</x:v>
      </x:c>
      <x:c r="D100" t="s">
        <x:v>29</x:v>
      </x:c>
      <x:c r="E100" t="s">
        <x:v>313</x:v>
      </x:c>
      <x:c r="F100" t="s">
        <x:v>31</x:v>
      </x:c>
      <x:c r="G100" t="s">
        <x:v>314</x:v>
      </x:c>
      <x:c r="H100" t="s">
        <x:v>315</x:v>
      </x:c>
      <x:c r="I100" t="s">
        <x:v>316</x:v>
      </x:c>
      <x:c r="J100" t="s">
        <x:v>274</x:v>
      </x:c>
      <x:c r="K100" t="s">
        <x:v>275</x:v>
      </x:c>
      <x:c r="L100" t="s">
        <x:v>37</x:v>
      </x:c>
      <x:c r="M100" t="s">
        <x:v>317</x:v>
      </x:c>
      <x:c r="N100" t="s">
        <x:v>318</x:v>
      </x:c>
      <x:c r="O100" t="s">
        <x:v>315</x:v>
      </x:c>
      <x:c r="P100" t="s">
        <x:v>319</x:v>
      </x:c>
      <x:c r="Q100" t="s">
        <x:v>202</x:v>
      </x:c>
      <x:c r="R100">
        <x:v>1</x:v>
      </x:c>
      <x:c r="S100" t="s">
        <x:v>42</x:v>
      </x:c>
      <x:c r="T100" t="s">
        <x:v>44</x:v>
      </x:c>
      <x:c r="U100" t="s">
        <x:v>44</x:v>
      </x:c>
      <x:c r="V100" t="s">
        <x:v>45</x:v>
      </x:c>
      <x:c r="W100" t="s">
        <x:v>46</x:v>
      </x:c>
      <x:c r="X100">
        <x:v>42.37</x:v>
      </x:c>
      <x:c r="Y100" t="s">
        <x:v>47</x:v>
      </x:c>
      <x:c r="Z100" t="s">
        <x:v>48</x:v>
      </x:c>
      <x:c r="AA100" t="s">
        <x:v>49</x:v>
      </x:c>
      <x:c r="AB100">
        <x:v>950133748</x:v>
      </x:c>
      <x:c r="AC100" t="s">
        <x:v>280</x:v>
      </x:c>
      <x:c r="AD100">
        <x:v>30</x:v>
      </x:c>
    </x:row>
    <x:row r="101">
      <x:c r="A101" s="1">
        <x:v>46191</x:v>
      </x:c>
      <x:c r="B101" t="s">
        <x:v>3597</x:v>
      </x:c>
      <x:c r="C101" t="s">
        <x:v>312</x:v>
      </x:c>
      <x:c r="D101" t="s">
        <x:v>29</x:v>
      </x:c>
      <x:c r="E101" t="s">
        <x:v>313</x:v>
      </x:c>
      <x:c r="F101" t="s">
        <x:v>31</x:v>
      </x:c>
      <x:c r="G101" t="s">
        <x:v>314</x:v>
      </x:c>
      <x:c r="H101" t="s">
        <x:v>315</x:v>
      </x:c>
      <x:c r="I101" t="s">
        <x:v>316</x:v>
      </x:c>
      <x:c r="J101" t="s">
        <x:v>274</x:v>
      </x:c>
      <x:c r="K101" t="s">
        <x:v>275</x:v>
      </x:c>
      <x:c r="L101" t="s">
        <x:v>37</x:v>
      </x:c>
      <x:c r="M101" t="s">
        <x:v>317</x:v>
      </x:c>
      <x:c r="N101" t="s">
        <x:v>318</x:v>
      </x:c>
      <x:c r="O101" t="s">
        <x:v>315</x:v>
      </x:c>
      <x:c r="P101" t="s">
        <x:v>319</x:v>
      </x:c>
      <x:c r="Q101" t="s">
        <x:v>203</x:v>
      </x:c>
      <x:c r="R101">
        <x:v>1</x:v>
      </x:c>
      <x:c r="S101" t="s">
        <x:v>42</x:v>
      </x:c>
      <x:c r="T101" t="s">
        <x:v>44</x:v>
      </x:c>
      <x:c r="U101" t="s">
        <x:v>44</x:v>
      </x:c>
      <x:c r="V101" t="s">
        <x:v>45</x:v>
      </x:c>
      <x:c r="W101" t="s">
        <x:v>46</x:v>
      </x:c>
      <x:c r="X101">
        <x:v>42.37</x:v>
      </x:c>
      <x:c r="Y101" t="s">
        <x:v>47</x:v>
      </x:c>
      <x:c r="Z101" t="s">
        <x:v>48</x:v>
      </x:c>
      <x:c r="AA101" t="s">
        <x:v>49</x:v>
      </x:c>
      <x:c r="AB101">
        <x:v>950133748</x:v>
      </x:c>
      <x:c r="AC101" t="s">
        <x:v>280</x:v>
      </x:c>
      <x:c r="AD101">
        <x:v>30</x:v>
      </x:c>
    </x:row>
    <x:row r="102">
      <x:c r="A102" s="1">
        <x:v>46191</x:v>
      </x:c>
      <x:c r="B102" t="s">
        <x:v>3597</x:v>
      </x:c>
      <x:c r="C102" t="s">
        <x:v>449</x:v>
      </x:c>
      <x:c r="D102" t="s">
        <x:v>29</x:v>
      </x:c>
      <x:c r="E102" t="s">
        <x:v>450</x:v>
      </x:c>
      <x:c r="F102" t="s">
        <x:v>31</x:v>
      </x:c>
      <x:c r="G102" t="s">
        <x:v>451</x:v>
      </x:c>
      <x:c r="H102" t="s">
        <x:v>452</x:v>
      </x:c>
      <x:c r="I102" t="s">
        <x:v>453</x:v>
      </x:c>
      <x:c r="J102" t="s">
        <x:v>435</x:v>
      </x:c>
      <x:c r="K102" t="s">
        <x:v>436</x:v>
      </x:c>
      <x:c r="L102" t="s">
        <x:v>37</x:v>
      </x:c>
      <x:c r="M102" t="s">
        <x:v>454</x:v>
      </x:c>
      <x:c r="N102" t="s">
        <x:v>455</x:v>
      </x:c>
      <x:c r="O102" t="s">
        <x:v>452</x:v>
      </x:c>
      <x:c r="P102" t="s">
        <x:v>456</x:v>
      </x:c>
      <x:c r="Q102" t="s">
        <x:v>41</x:v>
      </x:c>
      <x:c r="R102">
        <x:v>1</x:v>
      </x:c>
      <x:c r="S102" t="s">
        <x:v>70</x:v>
      </x:c>
      <x:c r="T102" t="s">
        <x:v>43</x:v>
      </x:c>
      <x:c r="U102" t="s">
        <x:v>44</x:v>
      </x:c>
      <x:c r="V102" t="s">
        <x:v>71</x:v>
      </x:c>
      <x:c r="W102" t="s">
        <x:v>72</x:v>
      </x:c>
      <x:c r="X102">
        <x:v>186.44</x:v>
      </x:c>
      <x:c r="Y102" t="s">
        <x:v>47</x:v>
      </x:c>
      <x:c r="Z102" t="s">
        <x:v>48</x:v>
      </x:c>
      <x:c r="AA102" t="s">
        <x:v>73</x:v>
      </x:c>
      <x:c r="AB102">
        <x:v>992903716</x:v>
      </x:c>
      <x:c r="AC102" t="s">
        <x:v>440</x:v>
      </x:c>
      <x:c r="AD102">
        <x:v>50</x:v>
      </x:c>
    </x:row>
    <x:row r="103">
      <x:c r="A103" s="1">
        <x:v>46191</x:v>
      </x:c>
      <x:c r="B103" t="s">
        <x:v>3597</x:v>
      </x:c>
      <x:c r="C103" t="s">
        <x:v>884</x:v>
      </x:c>
      <x:c r="D103" t="s">
        <x:v>29</x:v>
      </x:c>
      <x:c r="E103" t="s">
        <x:v>885</x:v>
      </x:c>
      <x:c r="F103" t="s">
        <x:v>31</x:v>
      </x:c>
      <x:c r="G103" t="s">
        <x:v>886</x:v>
      </x:c>
      <x:c r="H103" t="s">
        <x:v>315</x:v>
      </x:c>
      <x:c r="I103" t="s">
        <x:v>316</x:v>
      </x:c>
      <x:c r="J103" t="s">
        <x:v>776</x:v>
      </x:c>
      <x:c r="K103" t="s">
        <x:v>777</x:v>
      </x:c>
      <x:c r="L103" t="s">
        <x:v>37</x:v>
      </x:c>
      <x:c r="M103" t="s">
        <x:v>317</x:v>
      </x:c>
      <x:c r="N103" t="s">
        <x:v>318</x:v>
      </x:c>
      <x:c r="O103" t="s">
        <x:v>315</x:v>
      </x:c>
      <x:c r="P103" t="s">
        <x:v>887</x:v>
      </x:c>
      <x:c r="Q103" t="s">
        <x:v>620</x:v>
      </x:c>
      <x:c r="R103">
        <x:v>1</x:v>
      </x:c>
      <x:c r="S103" t="s">
        <x:v>42</x:v>
      </x:c>
      <x:c r="T103" t="s">
        <x:v>44</x:v>
      </x:c>
      <x:c r="U103" t="s">
        <x:v>44</x:v>
      </x:c>
      <x:c r="V103" t="s">
        <x:v>45</x:v>
      </x:c>
      <x:c r="W103" t="s">
        <x:v>46</x:v>
      </x:c>
      <x:c r="X103">
        <x:v>12.71</x:v>
      </x:c>
      <x:c r="Y103" t="s">
        <x:v>621</x:v>
      </x:c>
      <x:c r="Z103" t="s">
        <x:v>48</x:v>
      </x:c>
      <x:c r="AA103" t="s">
        <x:v>49</x:v>
      </x:c>
    </x:row>
    <x:row r="104">
      <x:c r="A104" s="1">
        <x:v>46191</x:v>
      </x:c>
      <x:c r="B104" t="s">
        <x:v>3597</x:v>
      </x:c>
      <x:c r="C104" t="s">
        <x:v>884</x:v>
      </x:c>
      <x:c r="D104" t="s">
        <x:v>29</x:v>
      </x:c>
      <x:c r="E104" t="s">
        <x:v>885</x:v>
      </x:c>
      <x:c r="F104" t="s">
        <x:v>31</x:v>
      </x:c>
      <x:c r="G104" t="s">
        <x:v>886</x:v>
      </x:c>
      <x:c r="H104" t="s">
        <x:v>315</x:v>
      </x:c>
      <x:c r="I104" t="s">
        <x:v>316</x:v>
      </x:c>
      <x:c r="J104" t="s">
        <x:v>776</x:v>
      </x:c>
      <x:c r="K104" t="s">
        <x:v>777</x:v>
      </x:c>
      <x:c r="L104" t="s">
        <x:v>37</x:v>
      </x:c>
      <x:c r="M104" t="s">
        <x:v>317</x:v>
      </x:c>
      <x:c r="N104" t="s">
        <x:v>318</x:v>
      </x:c>
      <x:c r="O104" t="s">
        <x:v>315</x:v>
      </x:c>
      <x:c r="P104" t="s">
        <x:v>887</x:v>
      </x:c>
      <x:c r="Q104" t="s">
        <x:v>622</x:v>
      </x:c>
      <x:c r="R104">
        <x:v>1</x:v>
      </x:c>
      <x:c r="S104" t="s">
        <x:v>42</x:v>
      </x:c>
      <x:c r="T104" t="s">
        <x:v>44</x:v>
      </x:c>
      <x:c r="U104" t="s">
        <x:v>44</x:v>
      </x:c>
      <x:c r="V104" t="s">
        <x:v>45</x:v>
      </x:c>
      <x:c r="W104" t="s">
        <x:v>46</x:v>
      </x:c>
      <x:c r="X104">
        <x:v>21.19</x:v>
      </x:c>
      <x:c r="Y104" t="s">
        <x:v>621</x:v>
      </x:c>
      <x:c r="Z104" t="s">
        <x:v>48</x:v>
      </x:c>
      <x:c r="AA104" t="s">
        <x:v>49</x:v>
      </x:c>
    </x:row>
    <x:row r="105">
      <x:c r="A105" s="1">
        <x:v>46191</x:v>
      </x:c>
      <x:c r="B105" t="s">
        <x:v>3597</x:v>
      </x:c>
      <x:c r="C105" t="s">
        <x:v>884</x:v>
      </x:c>
      <x:c r="D105" t="s">
        <x:v>29</x:v>
      </x:c>
      <x:c r="E105" t="s">
        <x:v>885</x:v>
      </x:c>
      <x:c r="F105" t="s">
        <x:v>31</x:v>
      </x:c>
      <x:c r="G105" t="s">
        <x:v>886</x:v>
      </x:c>
      <x:c r="H105" t="s">
        <x:v>315</x:v>
      </x:c>
      <x:c r="I105" t="s">
        <x:v>316</x:v>
      </x:c>
      <x:c r="J105" t="s">
        <x:v>776</x:v>
      </x:c>
      <x:c r="K105" t="s">
        <x:v>777</x:v>
      </x:c>
      <x:c r="L105" t="s">
        <x:v>37</x:v>
      </x:c>
      <x:c r="M105" t="s">
        <x:v>317</x:v>
      </x:c>
      <x:c r="N105" t="s">
        <x:v>318</x:v>
      </x:c>
      <x:c r="O105" t="s">
        <x:v>315</x:v>
      </x:c>
      <x:c r="P105" t="s">
        <x:v>887</x:v>
      </x:c>
      <x:c r="Q105" t="s">
        <x:v>623</x:v>
      </x:c>
      <x:c r="R105">
        <x:v>1</x:v>
      </x:c>
      <x:c r="S105" t="s">
        <x:v>42</x:v>
      </x:c>
      <x:c r="T105" t="s">
        <x:v>44</x:v>
      </x:c>
      <x:c r="U105" t="s">
        <x:v>44</x:v>
      </x:c>
      <x:c r="V105" t="s">
        <x:v>45</x:v>
      </x:c>
      <x:c r="W105" t="s">
        <x:v>46</x:v>
      </x:c>
      <x:c r="X105">
        <x:v>12.71</x:v>
      </x:c>
      <x:c r="Y105" t="s">
        <x:v>621</x:v>
      </x:c>
      <x:c r="Z105" t="s">
        <x:v>48</x:v>
      </x:c>
      <x:c r="AA105" t="s">
        <x:v>49</x:v>
      </x:c>
    </x:row>
    <x:row r="106">
      <x:c r="A106" s="1">
        <x:v>46191</x:v>
      </x:c>
      <x:c r="B106" t="s">
        <x:v>3597</x:v>
      </x:c>
      <x:c r="C106" t="s">
        <x:v>884</x:v>
      </x:c>
      <x:c r="D106" t="s">
        <x:v>29</x:v>
      </x:c>
      <x:c r="E106" t="s">
        <x:v>885</x:v>
      </x:c>
      <x:c r="F106" t="s">
        <x:v>31</x:v>
      </x:c>
      <x:c r="G106" t="s">
        <x:v>886</x:v>
      </x:c>
      <x:c r="H106" t="s">
        <x:v>315</x:v>
      </x:c>
      <x:c r="I106" t="s">
        <x:v>316</x:v>
      </x:c>
      <x:c r="J106" t="s">
        <x:v>776</x:v>
      </x:c>
      <x:c r="K106" t="s">
        <x:v>777</x:v>
      </x:c>
      <x:c r="L106" t="s">
        <x:v>37</x:v>
      </x:c>
      <x:c r="M106" t="s">
        <x:v>317</x:v>
      </x:c>
      <x:c r="N106" t="s">
        <x:v>318</x:v>
      </x:c>
      <x:c r="O106" t="s">
        <x:v>315</x:v>
      </x:c>
      <x:c r="P106" t="s">
        <x:v>887</x:v>
      </x:c>
      <x:c r="Q106" t="s">
        <x:v>624</x:v>
      </x:c>
      <x:c r="R106">
        <x:v>1</x:v>
      </x:c>
      <x:c r="S106" t="s">
        <x:v>42</x:v>
      </x:c>
      <x:c r="T106" t="s">
        <x:v>44</x:v>
      </x:c>
      <x:c r="U106" t="s">
        <x:v>44</x:v>
      </x:c>
      <x:c r="V106" t="s">
        <x:v>45</x:v>
      </x:c>
      <x:c r="W106" t="s">
        <x:v>46</x:v>
      </x:c>
      <x:c r="X106">
        <x:v>12.71</x:v>
      </x:c>
      <x:c r="Y106" t="s">
        <x:v>621</x:v>
      </x:c>
      <x:c r="Z106" t="s">
        <x:v>48</x:v>
      </x:c>
      <x:c r="AA106" t="s">
        <x:v>49</x:v>
      </x:c>
    </x:row>
    <x:row r="107">
      <x:c r="A107" s="1">
        <x:v>46191</x:v>
      </x:c>
      <x:c r="B107" t="s">
        <x:v>3597</x:v>
      </x:c>
      <x:c r="C107" t="s">
        <x:v>884</x:v>
      </x:c>
      <x:c r="D107" t="s">
        <x:v>29</x:v>
      </x:c>
      <x:c r="E107" t="s">
        <x:v>885</x:v>
      </x:c>
      <x:c r="F107" t="s">
        <x:v>31</x:v>
      </x:c>
      <x:c r="G107" t="s">
        <x:v>886</x:v>
      </x:c>
      <x:c r="H107" t="s">
        <x:v>315</x:v>
      </x:c>
      <x:c r="I107" t="s">
        <x:v>316</x:v>
      </x:c>
      <x:c r="J107" t="s">
        <x:v>776</x:v>
      </x:c>
      <x:c r="K107" t="s">
        <x:v>777</x:v>
      </x:c>
      <x:c r="L107" t="s">
        <x:v>37</x:v>
      </x:c>
      <x:c r="M107" t="s">
        <x:v>317</x:v>
      </x:c>
      <x:c r="N107" t="s">
        <x:v>318</x:v>
      </x:c>
      <x:c r="O107" t="s">
        <x:v>315</x:v>
      </x:c>
      <x:c r="P107" t="s">
        <x:v>887</x:v>
      </x:c>
      <x:c r="Q107" t="s">
        <x:v>835</x:v>
      </x:c>
      <x:c r="R107">
        <x:v>1</x:v>
      </x:c>
      <x:c r="S107" t="s">
        <x:v>42</x:v>
      </x:c>
      <x:c r="T107" t="s">
        <x:v>44</x:v>
      </x:c>
      <x:c r="U107" t="s">
        <x:v>44</x:v>
      </x:c>
      <x:c r="V107" t="s">
        <x:v>45</x:v>
      </x:c>
      <x:c r="W107" t="s">
        <x:v>46</x:v>
      </x:c>
      <x:c r="X107">
        <x:v>50.85</x:v>
      </x:c>
      <x:c r="Y107" t="s">
        <x:v>621</x:v>
      </x:c>
      <x:c r="Z107" t="s">
        <x:v>48</x:v>
      </x:c>
      <x:c r="AA107" t="s">
        <x:v>49</x:v>
      </x:c>
    </x:row>
    <x:row r="108">
      <x:c r="A108" s="1">
        <x:v>46191</x:v>
      </x:c>
      <x:c r="B108" t="s">
        <x:v>3597</x:v>
      </x:c>
      <x:c r="C108" t="s">
        <x:v>888</x:v>
      </x:c>
      <x:c r="D108" t="s">
        <x:v>29</x:v>
      </x:c>
      <x:c r="E108" t="s">
        <x:v>889</x:v>
      </x:c>
      <x:c r="F108" t="s">
        <x:v>31</x:v>
      </x:c>
      <x:c r="G108" t="s">
        <x:v>890</x:v>
      </x:c>
      <x:c r="H108" t="s">
        <x:v>315</x:v>
      </x:c>
      <x:c r="I108" t="s">
        <x:v>316</x:v>
      </x:c>
      <x:c r="J108" t="s">
        <x:v>776</x:v>
      </x:c>
      <x:c r="K108" t="s">
        <x:v>777</x:v>
      </x:c>
      <x:c r="L108" t="s">
        <x:v>37</x:v>
      </x:c>
      <x:c r="M108" t="s">
        <x:v>317</x:v>
      </x:c>
      <x:c r="N108" t="s">
        <x:v>318</x:v>
      </x:c>
      <x:c r="O108" t="s">
        <x:v>315</x:v>
      </x:c>
      <x:c r="P108" t="s">
        <x:v>891</x:v>
      </x:c>
      <x:c r="Q108" t="s">
        <x:v>830</x:v>
      </x:c>
      <x:c r="R108">
        <x:v>1</x:v>
      </x:c>
      <x:c r="S108" t="s">
        <x:v>42</x:v>
      </x:c>
      <x:c r="T108" t="s">
        <x:v>44</x:v>
      </x:c>
      <x:c r="U108" t="s">
        <x:v>44</x:v>
      </x:c>
      <x:c r="V108" t="s">
        <x:v>45</x:v>
      </x:c>
      <x:c r="W108" t="s">
        <x:v>46</x:v>
      </x:c>
      <x:c r="X108">
        <x:v>127.12</x:v>
      </x:c>
      <x:c r="Y108" t="s">
        <x:v>47</x:v>
      </x:c>
      <x:c r="Z108" t="s">
        <x:v>48</x:v>
      </x:c>
      <x:c r="AA108" t="s">
        <x:v>49</x:v>
      </x:c>
    </x:row>
    <x:row r="109">
      <x:c r="A109" s="1">
        <x:v>46191</x:v>
      </x:c>
      <x:c r="B109" t="s">
        <x:v>3597</x:v>
      </x:c>
      <x:c r="C109" t="s">
        <x:v>892</x:v>
      </x:c>
      <x:c r="D109" t="s">
        <x:v>269</x:v>
      </x:c>
      <x:c r="E109" t="s">
        <x:v>893</x:v>
      </x:c>
      <x:c r="F109" t="s">
        <x:v>31</x:v>
      </x:c>
      <x:c r="G109" t="s">
        <x:v>894</x:v>
      </x:c>
      <x:c r="H109" t="s">
        <x:v>315</x:v>
      </x:c>
      <x:c r="I109" t="s">
        <x:v>316</x:v>
      </x:c>
      <x:c r="J109" t="s">
        <x:v>776</x:v>
      </x:c>
      <x:c r="K109" t="s">
        <x:v>777</x:v>
      </x:c>
      <x:c r="L109" t="s">
        <x:v>37</x:v>
      </x:c>
      <x:c r="M109" t="s">
        <x:v>317</x:v>
      </x:c>
      <x:c r="N109" t="s">
        <x:v>318</x:v>
      </x:c>
      <x:c r="O109" t="s">
        <x:v>800</x:v>
      </x:c>
      <x:c r="P109" t="s">
        <x:v>895</x:v>
      </x:c>
      <x:c r="Q109" t="s">
        <x:v>289</x:v>
      </x:c>
      <x:c r="R109">
        <x:v>1</x:v>
      </x:c>
      <x:c r="S109" t="s">
        <x:v>42</x:v>
      </x:c>
      <x:c r="T109" t="s">
        <x:v>44</x:v>
      </x:c>
      <x:c r="U109" t="s">
        <x:v>44</x:v>
      </x:c>
      <x:c r="V109" t="s">
        <x:v>45</x:v>
      </x:c>
      <x:c r="W109" t="s">
        <x:v>46</x:v>
      </x:c>
      <x:c r="X109">
        <x:v>0</x:v>
      </x:c>
      <x:c r="Y109" t="s">
        <x:v>290</x:v>
      </x:c>
      <x:c r="Z109" t="s">
        <x:v>48</x:v>
      </x:c>
      <x:c r="AA109" t="s">
        <x:v>49</x:v>
      </x:c>
    </x:row>
    <x:row r="110">
      <x:c r="A110" s="1">
        <x:v>46191</x:v>
      </x:c>
      <x:c r="B110" t="s">
        <x:v>3597</x:v>
      </x:c>
      <x:c r="C110" t="s">
        <x:v>892</x:v>
      </x:c>
      <x:c r="D110" t="s">
        <x:v>269</x:v>
      </x:c>
      <x:c r="E110" t="s">
        <x:v>893</x:v>
      </x:c>
      <x:c r="F110" t="s">
        <x:v>31</x:v>
      </x:c>
      <x:c r="G110" t="s">
        <x:v>894</x:v>
      </x:c>
      <x:c r="H110" t="s">
        <x:v>315</x:v>
      </x:c>
      <x:c r="I110" t="s">
        <x:v>316</x:v>
      </x:c>
      <x:c r="J110" t="s">
        <x:v>776</x:v>
      </x:c>
      <x:c r="K110" t="s">
        <x:v>777</x:v>
      </x:c>
      <x:c r="L110" t="s">
        <x:v>37</x:v>
      </x:c>
      <x:c r="M110" t="s">
        <x:v>317</x:v>
      </x:c>
      <x:c r="N110" t="s">
        <x:v>318</x:v>
      </x:c>
      <x:c r="O110" t="s">
        <x:v>800</x:v>
      </x:c>
      <x:c r="P110" t="s">
        <x:v>895</x:v>
      </x:c>
      <x:c r="Q110" t="s">
        <x:v>291</x:v>
      </x:c>
      <x:c r="R110">
        <x:v>1</x:v>
      </x:c>
      <x:c r="S110" t="s">
        <x:v>42</x:v>
      </x:c>
      <x:c r="T110" t="s">
        <x:v>44</x:v>
      </x:c>
      <x:c r="U110" t="s">
        <x:v>44</x:v>
      </x:c>
      <x:c r="V110" t="s">
        <x:v>45</x:v>
      </x:c>
      <x:c r="W110" t="s">
        <x:v>46</x:v>
      </x:c>
      <x:c r="X110">
        <x:v>762.71</x:v>
      </x:c>
      <x:c r="Y110" t="s">
        <x:v>290</x:v>
      </x:c>
      <x:c r="Z110" t="s">
        <x:v>48</x:v>
      </x:c>
      <x:c r="AA110" t="s">
        <x:v>49</x:v>
      </x:c>
    </x:row>
    <x:row r="111">
      <x:c r="A111" s="1">
        <x:v>46191</x:v>
      </x:c>
      <x:c r="B111" t="s">
        <x:v>3597</x:v>
      </x:c>
      <x:c r="C111" t="s">
        <x:v>1218</x:v>
      </x:c>
      <x:c r="D111" t="s">
        <x:v>29</x:v>
      </x:c>
      <x:c r="E111" t="s">
        <x:v>1219</x:v>
      </x:c>
      <x:c r="F111" t="s">
        <x:v>31</x:v>
      </x:c>
      <x:c r="G111" t="s">
        <x:v>1220</x:v>
      </x:c>
      <x:c r="H111" t="s">
        <x:v>1221</x:v>
      </x:c>
      <x:c r="I111" t="s">
        <x:v>1222</x:v>
      </x:c>
      <x:c r="J111" t="s">
        <x:v>1223</x:v>
      </x:c>
      <x:c r="K111" t="s">
        <x:v>1224</x:v>
      </x:c>
      <x:c r="L111" t="s">
        <x:v>37</x:v>
      </x:c>
      <x:c r="M111" t="s">
        <x:v>1225</x:v>
      </x:c>
      <x:c r="N111" t="s">
        <x:v>1226</x:v>
      </x:c>
      <x:c r="O111" t="s">
        <x:v>1221</x:v>
      </x:c>
      <x:c r="P111" t="s">
        <x:v>1227</x:v>
      </x:c>
      <x:c r="Q111" t="s">
        <x:v>160</x:v>
      </x:c>
      <x:c r="R111">
        <x:v>1</x:v>
      </x:c>
      <x:c r="S111" t="s">
        <x:v>42</x:v>
      </x:c>
      <x:c r="T111" t="s">
        <x:v>44</x:v>
      </x:c>
      <x:c r="U111" t="s">
        <x:v>44</x:v>
      </x:c>
      <x:c r="V111" t="s">
        <x:v>45</x:v>
      </x:c>
      <x:c r="W111" t="s">
        <x:v>46</x:v>
      </x:c>
      <x:c r="X111">
        <x:v>135.59</x:v>
      </x:c>
      <x:c r="Y111" t="s">
        <x:v>47</x:v>
      </x:c>
      <x:c r="Z111" t="s">
        <x:v>48</x:v>
      </x:c>
      <x:c r="AA111" t="s">
        <x:v>49</x:v>
      </x:c>
      <x:c r="AB111">
        <x:v>986089286</x:v>
      </x:c>
      <x:c r="AC111" t="s">
        <x:v>1228</x:v>
      </x:c>
      <x:c r="AD111">
        <x:v>30</x:v>
      </x:c>
    </x:row>
    <x:row r="112">
      <x:c r="A112" s="1">
        <x:v>46192</x:v>
      </x:c>
      <x:c r="B112" t="s">
        <x:v>3597</x:v>
      </x:c>
      <x:c r="C112" t="s">
        <x:v>515</x:v>
      </x:c>
      <x:c r="D112" t="s">
        <x:v>29</x:v>
      </x:c>
      <x:c r="E112" t="s">
        <x:v>516</x:v>
      </x:c>
      <x:c r="F112" t="s">
        <x:v>31</x:v>
      </x:c>
      <x:c r="G112" t="s">
        <x:v>517</x:v>
      </x:c>
      <x:c r="H112" t="s">
        <x:v>518</x:v>
      </x:c>
      <x:c r="I112" t="s">
        <x:v>519</x:v>
      </x:c>
      <x:c r="L112" t="s">
        <x:v>37</x:v>
      </x:c>
      <x:c r="M112" t="s">
        <x:v>520</x:v>
      </x:c>
      <x:c r="N112" t="s">
        <x:v>521</x:v>
      </x:c>
      <x:c r="O112" t="s">
        <x:v>518</x:v>
      </x:c>
      <x:c r="P112" t="s">
        <x:v>522</x:v>
      </x:c>
      <x:c r="Q112" t="s">
        <x:v>160</x:v>
      </x:c>
      <x:c r="R112">
        <x:v>1</x:v>
      </x:c>
      <x:c r="S112" t="s">
        <x:v>70</x:v>
      </x:c>
      <x:c r="T112" t="s">
        <x:v>43</x:v>
      </x:c>
      <x:c r="U112" t="s">
        <x:v>44</x:v>
      </x:c>
      <x:c r="V112" t="s">
        <x:v>71</x:v>
      </x:c>
      <x:c r="W112" t="s">
        <x:v>72</x:v>
      </x:c>
      <x:c r="X112">
        <x:v>135.59</x:v>
      </x:c>
      <x:c r="Y112" t="s">
        <x:v>47</x:v>
      </x:c>
      <x:c r="Z112" t="s">
        <x:v>48</x:v>
      </x:c>
      <x:c r="AA112" t="s">
        <x:v>73</x:v>
      </x:c>
      <x:c r="AD112">
        <x:v>30</x:v>
      </x:c>
    </x:row>
    <x:row r="113">
      <x:c r="A113" s="1">
        <x:v>46192</x:v>
      </x:c>
      <x:c r="B113" t="s">
        <x:v>3597</x:v>
      </x:c>
      <x:c r="C113" t="s">
        <x:v>515</x:v>
      </x:c>
      <x:c r="D113" t="s">
        <x:v>29</x:v>
      </x:c>
      <x:c r="E113" t="s">
        <x:v>516</x:v>
      </x:c>
      <x:c r="F113" t="s">
        <x:v>31</x:v>
      </x:c>
      <x:c r="G113" t="s">
        <x:v>517</x:v>
      </x:c>
      <x:c r="H113" t="s">
        <x:v>518</x:v>
      </x:c>
      <x:c r="I113" t="s">
        <x:v>519</x:v>
      </x:c>
      <x:c r="L113" t="s">
        <x:v>37</x:v>
      </x:c>
      <x:c r="M113" t="s">
        <x:v>520</x:v>
      </x:c>
      <x:c r="N113" t="s">
        <x:v>521</x:v>
      </x:c>
      <x:c r="O113" t="s">
        <x:v>518</x:v>
      </x:c>
      <x:c r="P113" t="s">
        <x:v>522</x:v>
      </x:c>
      <x:c r="Q113" t="s">
        <x:v>159</x:v>
      </x:c>
      <x:c r="R113">
        <x:v>1</x:v>
      </x:c>
      <x:c r="S113" t="s">
        <x:v>70</x:v>
      </x:c>
      <x:c r="T113" t="s">
        <x:v>43</x:v>
      </x:c>
      <x:c r="U113" t="s">
        <x:v>44</x:v>
      </x:c>
      <x:c r="V113" t="s">
        <x:v>71</x:v>
      </x:c>
      <x:c r="W113" t="s">
        <x:v>72</x:v>
      </x:c>
      <x:c r="X113">
        <x:v>152.54</x:v>
      </x:c>
      <x:c r="Y113" t="s">
        <x:v>47</x:v>
      </x:c>
      <x:c r="Z113" t="s">
        <x:v>48</x:v>
      </x:c>
      <x:c r="AA113" t="s">
        <x:v>73</x:v>
      </x:c>
      <x:c r="AD113">
        <x:v>30</x:v>
      </x:c>
    </x:row>
    <x:row r="114">
      <x:c r="A114" s="1">
        <x:v>46192</x:v>
      </x:c>
      <x:c r="B114" t="s">
        <x:v>3597</x:v>
      </x:c>
      <x:c r="C114" t="s">
        <x:v>515</x:v>
      </x:c>
      <x:c r="D114" t="s">
        <x:v>29</x:v>
      </x:c>
      <x:c r="E114" t="s">
        <x:v>516</x:v>
      </x:c>
      <x:c r="F114" t="s">
        <x:v>31</x:v>
      </x:c>
      <x:c r="G114" t="s">
        <x:v>517</x:v>
      </x:c>
      <x:c r="H114" t="s">
        <x:v>518</x:v>
      </x:c>
      <x:c r="I114" t="s">
        <x:v>519</x:v>
      </x:c>
      <x:c r="L114" t="s">
        <x:v>37</x:v>
      </x:c>
      <x:c r="M114" t="s">
        <x:v>520</x:v>
      </x:c>
      <x:c r="N114" t="s">
        <x:v>521</x:v>
      </x:c>
      <x:c r="O114" t="s">
        <x:v>518</x:v>
      </x:c>
      <x:c r="P114" t="s">
        <x:v>522</x:v>
      </x:c>
      <x:c r="Q114" t="s">
        <x:v>102</x:v>
      </x:c>
      <x:c r="R114">
        <x:v>1</x:v>
      </x:c>
      <x:c r="S114" t="s">
        <x:v>70</x:v>
      </x:c>
      <x:c r="T114" t="s">
        <x:v>43</x:v>
      </x:c>
      <x:c r="U114" t="s">
        <x:v>44</x:v>
      </x:c>
      <x:c r="V114" t="s">
        <x:v>71</x:v>
      </x:c>
      <x:c r="W114" t="s">
        <x:v>72</x:v>
      </x:c>
      <x:c r="X114">
        <x:v>186.44</x:v>
      </x:c>
      <x:c r="Y114" t="s">
        <x:v>47</x:v>
      </x:c>
      <x:c r="Z114" t="s">
        <x:v>48</x:v>
      </x:c>
      <x:c r="AA114" t="s">
        <x:v>73</x:v>
      </x:c>
      <x:c r="AD114">
        <x:v>50</x:v>
      </x:c>
    </x:row>
    <x:row r="115">
      <x:c r="A115" s="1">
        <x:v>46193</x:v>
      </x:c>
      <x:c r="B115" t="s">
        <x:v>3597</x:v>
      </x:c>
      <x:c r="C115" t="s">
        <x:v>490</x:v>
      </x:c>
      <x:c r="D115" t="s">
        <x:v>269</x:v>
      </x:c>
      <x:c r="E115" t="s">
        <x:v>491</x:v>
      </x:c>
      <x:c r="F115" t="s">
        <x:v>31</x:v>
      </x:c>
      <x:c r="G115" t="s">
        <x:v>492</x:v>
      </x:c>
      <x:c r="H115" t="s">
        <x:v>493</x:v>
      </x:c>
      <x:c r="I115" t="s">
        <x:v>494</x:v>
      </x:c>
      <x:c r="J115" t="s">
        <x:v>478</x:v>
      </x:c>
      <x:c r="K115" t="s">
        <x:v>210</x:v>
      </x:c>
      <x:c r="L115" t="s">
        <x:v>37</x:v>
      </x:c>
      <x:c r="M115" t="s">
        <x:v>495</x:v>
      </x:c>
      <x:c r="N115" t="s">
        <x:v>496</x:v>
      </x:c>
      <x:c r="O115" t="s">
        <x:v>487</x:v>
      </x:c>
      <x:c r="P115" t="s">
        <x:v>497</x:v>
      </x:c>
      <x:c r="Q115" t="s">
        <x:v>59</x:v>
      </x:c>
      <x:c r="R115">
        <x:v>2</x:v>
      </x:c>
      <x:c r="S115" t="s">
        <x:v>42</x:v>
      </x:c>
      <x:c r="T115" t="s">
        <x:v>44</x:v>
      </x:c>
      <x:c r="U115" t="s">
        <x:v>44</x:v>
      </x:c>
      <x:c r="V115" t="s">
        <x:v>45</x:v>
      </x:c>
      <x:c r="W115" t="s">
        <x:v>60</x:v>
      </x:c>
      <x:c r="X115">
        <x:v>203.39</x:v>
      </x:c>
      <x:c r="Y115" t="s">
        <x:v>61</x:v>
      </x:c>
      <x:c r="Z115" t="s">
        <x:v>48</x:v>
      </x:c>
      <x:c r="AA115" t="s">
        <x:v>49</x:v>
      </x:c>
      <x:c r="AB115">
        <x:v>982536223</x:v>
      </x:c>
      <x:c r="AC115" t="s">
        <x:v>483</x:v>
      </x:c>
    </x:row>
    <x:row r="116">
      <x:c r="A116" s="1">
        <x:v>46195</x:v>
      </x:c>
      <x:c r="B116" t="s">
        <x:v>3597</x:v>
      </x:c>
      <x:c r="C116" t="s">
        <x:v>727</x:v>
      </x:c>
      <x:c r="D116" t="s">
        <x:v>29</x:v>
      </x:c>
      <x:c r="E116" t="s">
        <x:v>728</x:v>
      </x:c>
      <x:c r="F116" t="s">
        <x:v>31</x:v>
      </x:c>
      <x:c r="G116" t="s">
        <x:v>729</x:v>
      </x:c>
      <x:c r="H116" t="s">
        <x:v>730</x:v>
      </x:c>
      <x:c r="I116" t="s">
        <x:v>731</x:v>
      </x:c>
      <x:c r="J116" t="s">
        <x:v>717</x:v>
      </x:c>
      <x:c r="K116" t="s">
        <x:v>718</x:v>
      </x:c>
      <x:c r="L116" t="s">
        <x:v>37</x:v>
      </x:c>
      <x:c r="M116" t="s">
        <x:v>732</x:v>
      </x:c>
      <x:c r="N116" t="s">
        <x:v>733</x:v>
      </x:c>
      <x:c r="O116" t="s">
        <x:v>730</x:v>
      </x:c>
      <x:c r="P116" t="s">
        <x:v>734</x:v>
      </x:c>
      <x:c r="Q116" t="s">
        <x:v>102</x:v>
      </x:c>
      <x:c r="R116">
        <x:v>1</x:v>
      </x:c>
      <x:c r="S116" t="s">
        <x:v>42</x:v>
      </x:c>
      <x:c r="T116" t="s">
        <x:v>44</x:v>
      </x:c>
      <x:c r="U116" t="s">
        <x:v>44</x:v>
      </x:c>
      <x:c r="V116" t="s">
        <x:v>45</x:v>
      </x:c>
      <x:c r="W116" t="s">
        <x:v>60</x:v>
      </x:c>
      <x:c r="X116">
        <x:v>186.44</x:v>
      </x:c>
      <x:c r="Y116" t="s">
        <x:v>47</x:v>
      </x:c>
      <x:c r="Z116" t="s">
        <x:v>48</x:v>
      </x:c>
      <x:c r="AA116" t="s">
        <x:v>49</x:v>
      </x:c>
      <x:c r="AB116">
        <x:v>955356636</x:v>
      </x:c>
      <x:c r="AC116" t="s">
        <x:v>722</x:v>
      </x:c>
      <x:c r="AD116">
        <x:v>50</x:v>
      </x:c>
    </x:row>
    <x:row r="117">
      <x:c r="A117" s="1">
        <x:v>46195</x:v>
      </x:c>
      <x:c r="B117" t="s">
        <x:v>3597</x:v>
      </x:c>
      <x:c r="C117" t="s">
        <x:v>1290</x:v>
      </x:c>
      <x:c r="D117" t="s">
        <x:v>29</x:v>
      </x:c>
      <x:c r="E117" t="s">
        <x:v>1291</x:v>
      </x:c>
      <x:c r="F117" t="s">
        <x:v>31</x:v>
      </x:c>
      <x:c r="G117" t="s">
        <x:v>1292</x:v>
      </x:c>
      <x:c r="H117" t="s">
        <x:v>1293</x:v>
      </x:c>
      <x:c r="I117" t="s">
        <x:v>1294</x:v>
      </x:c>
      <x:c r="J117" t="s">
        <x:v>1444</x:v>
      </x:c>
      <x:c r="K117" t="s">
        <x:v>1100</x:v>
      </x:c>
      <x:c r="L117" t="s">
        <x:v>37</x:v>
      </x:c>
      <x:c r="M117" t="s">
        <x:v>1296</x:v>
      </x:c>
      <x:c r="N117" t="s">
        <x:v>1297</x:v>
      </x:c>
      <x:c r="O117" t="s">
        <x:v>1293</x:v>
      </x:c>
      <x:c r="P117" t="s">
        <x:v>1298</x:v>
      </x:c>
      <x:c r="Q117" t="s">
        <x:v>160</x:v>
      </x:c>
      <x:c r="R117">
        <x:v>1</x:v>
      </x:c>
      <x:c r="S117" t="s">
        <x:v>42</x:v>
      </x:c>
      <x:c r="T117" t="s">
        <x:v>44</x:v>
      </x:c>
      <x:c r="U117" t="s">
        <x:v>44</x:v>
      </x:c>
      <x:c r="V117" t="s">
        <x:v>45</x:v>
      </x:c>
      <x:c r="W117" t="s">
        <x:v>60</x:v>
      </x:c>
      <x:c r="X117">
        <x:v>135.59</x:v>
      </x:c>
      <x:c r="Y117" t="s">
        <x:v>47</x:v>
      </x:c>
      <x:c r="Z117" t="s">
        <x:v>48</x:v>
      </x:c>
      <x:c r="AA117" t="s">
        <x:v>49</x:v>
      </x:c>
      <x:c r="AB117">
        <x:v>999418834</x:v>
      </x:c>
      <x:c r="AC117" t="s">
        <x:v>1446</x:v>
      </x:c>
      <x:c r="AD117">
        <x:v>30</x:v>
      </x:c>
    </x:row>
    <x:row r="118">
      <x:c r="A118" s="1">
        <x:v>46196</x:v>
      </x:c>
      <x:c r="B118" t="s">
        <x:v>3597</x:v>
      </x:c>
      <x:c r="C118" t="s">
        <x:v>523</x:v>
      </x:c>
      <x:c r="D118" t="s">
        <x:v>29</x:v>
      </x:c>
      <x:c r="E118" t="s">
        <x:v>524</x:v>
      </x:c>
      <x:c r="F118" t="s">
        <x:v>31</x:v>
      </x:c>
      <x:c r="G118" t="s">
        <x:v>525</x:v>
      </x:c>
      <x:c r="H118" t="s">
        <x:v>526</x:v>
      </x:c>
      <x:c r="I118" t="s">
        <x:v>527</x:v>
      </x:c>
      <x:c r="L118" t="s">
        <x:v>37</x:v>
      </x:c>
      <x:c r="M118" t="s">
        <x:v>528</x:v>
      </x:c>
      <x:c r="N118" t="s">
        <x:v>529</x:v>
      </x:c>
      <x:c r="O118" t="s">
        <x:v>526</x:v>
      </x:c>
      <x:c r="P118" t="s">
        <x:v>530</x:v>
      </x:c>
      <x:c r="Q118" t="s">
        <x:v>531</x:v>
      </x:c>
      <x:c r="R118">
        <x:v>1</x:v>
      </x:c>
      <x:c r="S118" t="s">
        <x:v>42</x:v>
      </x:c>
      <x:c r="T118" t="s">
        <x:v>44</x:v>
      </x:c>
      <x:c r="U118" t="s">
        <x:v>44</x:v>
      </x:c>
      <x:c r="V118" t="s">
        <x:v>532</x:v>
      </x:c>
      <x:c r="W118" t="s">
        <x:v>533</x:v>
      </x:c>
      <x:c r="X118">
        <x:v>0.21</x:v>
      </x:c>
      <x:c r="Y118" t="s">
        <x:v>534</x:v>
      </x:c>
      <x:c r="Z118" t="s">
        <x:v>48</x:v>
      </x:c>
      <x:c r="AA118" t="s">
        <x:v>535</x:v>
      </x:c>
    </x:row>
    <x:row r="119">
      <x:c r="A119" s="1">
        <x:v>46196</x:v>
      </x:c>
      <x:c r="B119" t="s">
        <x:v>3597</x:v>
      </x:c>
      <x:c r="C119" t="s">
        <x:v>523</x:v>
      </x:c>
      <x:c r="D119" t="s">
        <x:v>29</x:v>
      </x:c>
      <x:c r="E119" t="s">
        <x:v>524</x:v>
      </x:c>
      <x:c r="F119" t="s">
        <x:v>31</x:v>
      </x:c>
      <x:c r="G119" t="s">
        <x:v>525</x:v>
      </x:c>
      <x:c r="H119" t="s">
        <x:v>526</x:v>
      </x:c>
      <x:c r="I119" t="s">
        <x:v>527</x:v>
      </x:c>
      <x:c r="L119" t="s">
        <x:v>37</x:v>
      </x:c>
      <x:c r="M119" t="s">
        <x:v>528</x:v>
      </x:c>
      <x:c r="N119" t="s">
        <x:v>529</x:v>
      </x:c>
      <x:c r="O119" t="s">
        <x:v>526</x:v>
      </x:c>
      <x:c r="P119" t="s">
        <x:v>530</x:v>
      </x:c>
      <x:c r="Q119" t="s">
        <x:v>536</x:v>
      </x:c>
      <x:c r="R119">
        <x:v>1</x:v>
      </x:c>
      <x:c r="S119" t="s">
        <x:v>42</x:v>
      </x:c>
      <x:c r="T119" t="s">
        <x:v>44</x:v>
      </x:c>
      <x:c r="U119" t="s">
        <x:v>44</x:v>
      </x:c>
      <x:c r="V119" t="s">
        <x:v>532</x:v>
      </x:c>
      <x:c r="W119" t="s">
        <x:v>533</x:v>
      </x:c>
      <x:c r="X119">
        <x:v>0.68</x:v>
      </x:c>
      <x:c r="Y119" t="s">
        <x:v>534</x:v>
      </x:c>
      <x:c r="Z119" t="s">
        <x:v>48</x:v>
      </x:c>
      <x:c r="AA119" t="s">
        <x:v>535</x:v>
      </x:c>
    </x:row>
    <x:row r="120">
      <x:c r="A120" s="1">
        <x:v>46196</x:v>
      </x:c>
      <x:c r="B120" t="s">
        <x:v>3597</x:v>
      </x:c>
      <x:c r="C120" t="s">
        <x:v>523</x:v>
      </x:c>
      <x:c r="D120" t="s">
        <x:v>29</x:v>
      </x:c>
      <x:c r="E120" t="s">
        <x:v>524</x:v>
      </x:c>
      <x:c r="F120" t="s">
        <x:v>31</x:v>
      </x:c>
      <x:c r="G120" t="s">
        <x:v>525</x:v>
      </x:c>
      <x:c r="H120" t="s">
        <x:v>526</x:v>
      </x:c>
      <x:c r="I120" t="s">
        <x:v>527</x:v>
      </x:c>
      <x:c r="L120" t="s">
        <x:v>37</x:v>
      </x:c>
      <x:c r="M120" t="s">
        <x:v>528</x:v>
      </x:c>
      <x:c r="N120" t="s">
        <x:v>529</x:v>
      </x:c>
      <x:c r="O120" t="s">
        <x:v>526</x:v>
      </x:c>
      <x:c r="P120" t="s">
        <x:v>530</x:v>
      </x:c>
      <x:c r="Q120" t="s">
        <x:v>537</x:v>
      </x:c>
      <x:c r="R120">
        <x:v>1</x:v>
      </x:c>
      <x:c r="S120" t="s">
        <x:v>42</x:v>
      </x:c>
      <x:c r="T120" t="s">
        <x:v>44</x:v>
      </x:c>
      <x:c r="U120" t="s">
        <x:v>44</x:v>
      </x:c>
      <x:c r="V120" t="s">
        <x:v>532</x:v>
      </x:c>
      <x:c r="W120" t="s">
        <x:v>533</x:v>
      </x:c>
      <x:c r="X120">
        <x:v>0.42</x:v>
      </x:c>
      <x:c r="Y120" t="s">
        <x:v>534</x:v>
      </x:c>
      <x:c r="Z120" t="s">
        <x:v>48</x:v>
      </x:c>
      <x:c r="AA120" t="s">
        <x:v>535</x:v>
      </x:c>
    </x:row>
    <x:row r="121">
      <x:c r="A121" s="1">
        <x:v>46196</x:v>
      </x:c>
      <x:c r="B121" t="s">
        <x:v>3597</x:v>
      </x:c>
      <x:c r="C121" t="s">
        <x:v>896</x:v>
      </x:c>
      <x:c r="D121" t="s">
        <x:v>29</x:v>
      </x:c>
      <x:c r="E121" t="s">
        <x:v>897</x:v>
      </x:c>
      <x:c r="F121" t="s">
        <x:v>31</x:v>
      </x:c>
      <x:c r="G121" t="s">
        <x:v>898</x:v>
      </x:c>
      <x:c r="H121" t="s">
        <x:v>899</x:v>
      </x:c>
      <x:c r="I121" t="s">
        <x:v>900</x:v>
      </x:c>
      <x:c r="J121" t="s">
        <x:v>776</x:v>
      </x:c>
      <x:c r="K121" t="s">
        <x:v>777</x:v>
      </x:c>
      <x:c r="L121" t="s">
        <x:v>37</x:v>
      </x:c>
      <x:c r="M121" t="s">
        <x:v>901</x:v>
      </x:c>
      <x:c r="N121" t="s">
        <x:v>902</x:v>
      </x:c>
      <x:c r="O121" t="s">
        <x:v>899</x:v>
      </x:c>
      <x:c r="P121" t="s">
        <x:v>903</x:v>
      </x:c>
      <x:c r="Q121" t="s">
        <x:v>830</x:v>
      </x:c>
      <x:c r="R121">
        <x:v>1</x:v>
      </x:c>
      <x:c r="S121" t="s">
        <x:v>42</x:v>
      </x:c>
      <x:c r="T121" t="s">
        <x:v>44</x:v>
      </x:c>
      <x:c r="U121" t="s">
        <x:v>44</x:v>
      </x:c>
      <x:c r="V121" t="s">
        <x:v>45</x:v>
      </x:c>
      <x:c r="W121" t="s">
        <x:v>60</x:v>
      </x:c>
      <x:c r="X121">
        <x:v>127.12</x:v>
      </x:c>
      <x:c r="Y121" t="s">
        <x:v>47</x:v>
      </x:c>
      <x:c r="Z121" t="s">
        <x:v>48</x:v>
      </x:c>
      <x:c r="AA121" t="s">
        <x:v>49</x:v>
      </x:c>
    </x:row>
    <x:row r="122">
      <x:c r="A122" s="1">
        <x:v>46196</x:v>
      </x:c>
      <x:c r="B122" t="s">
        <x:v>3597</x:v>
      </x:c>
      <x:c r="C122" t="s">
        <x:v>904</x:v>
      </x:c>
      <x:c r="D122" t="s">
        <x:v>29</x:v>
      </x:c>
      <x:c r="E122" t="s">
        <x:v>905</x:v>
      </x:c>
      <x:c r="F122" t="s">
        <x:v>31</x:v>
      </x:c>
      <x:c r="G122" t="s">
        <x:v>906</x:v>
      </x:c>
      <x:c r="H122" t="s">
        <x:v>899</x:v>
      </x:c>
      <x:c r="I122" t="s">
        <x:v>900</x:v>
      </x:c>
      <x:c r="J122" t="s">
        <x:v>776</x:v>
      </x:c>
      <x:c r="K122" t="s">
        <x:v>777</x:v>
      </x:c>
      <x:c r="L122" t="s">
        <x:v>37</x:v>
      </x:c>
      <x:c r="M122" t="s">
        <x:v>901</x:v>
      </x:c>
      <x:c r="N122" t="s">
        <x:v>902</x:v>
      </x:c>
      <x:c r="O122" t="s">
        <x:v>899</x:v>
      </x:c>
      <x:c r="P122" t="s">
        <x:v>907</x:v>
      </x:c>
      <x:c r="Q122" t="s">
        <x:v>620</x:v>
      </x:c>
      <x:c r="R122">
        <x:v>1</x:v>
      </x:c>
      <x:c r="S122" t="s">
        <x:v>42</x:v>
      </x:c>
      <x:c r="T122" t="s">
        <x:v>44</x:v>
      </x:c>
      <x:c r="U122" t="s">
        <x:v>44</x:v>
      </x:c>
      <x:c r="V122" t="s">
        <x:v>45</x:v>
      </x:c>
      <x:c r="W122" t="s">
        <x:v>60</x:v>
      </x:c>
      <x:c r="X122">
        <x:v>12.71</x:v>
      </x:c>
      <x:c r="Y122" t="s">
        <x:v>621</x:v>
      </x:c>
      <x:c r="Z122" t="s">
        <x:v>48</x:v>
      </x:c>
      <x:c r="AA122" t="s">
        <x:v>49</x:v>
      </x:c>
    </x:row>
    <x:row r="123">
      <x:c r="A123" s="1">
        <x:v>46196</x:v>
      </x:c>
      <x:c r="B123" t="s">
        <x:v>3597</x:v>
      </x:c>
      <x:c r="C123" t="s">
        <x:v>904</x:v>
      </x:c>
      <x:c r="D123" t="s">
        <x:v>29</x:v>
      </x:c>
      <x:c r="E123" t="s">
        <x:v>905</x:v>
      </x:c>
      <x:c r="F123" t="s">
        <x:v>31</x:v>
      </x:c>
      <x:c r="G123" t="s">
        <x:v>906</x:v>
      </x:c>
      <x:c r="H123" t="s">
        <x:v>899</x:v>
      </x:c>
      <x:c r="I123" t="s">
        <x:v>900</x:v>
      </x:c>
      <x:c r="J123" t="s">
        <x:v>776</x:v>
      </x:c>
      <x:c r="K123" t="s">
        <x:v>777</x:v>
      </x:c>
      <x:c r="L123" t="s">
        <x:v>37</x:v>
      </x:c>
      <x:c r="M123" t="s">
        <x:v>901</x:v>
      </x:c>
      <x:c r="N123" t="s">
        <x:v>902</x:v>
      </x:c>
      <x:c r="O123" t="s">
        <x:v>899</x:v>
      </x:c>
      <x:c r="P123" t="s">
        <x:v>907</x:v>
      </x:c>
      <x:c r="Q123" t="s">
        <x:v>622</x:v>
      </x:c>
      <x:c r="R123">
        <x:v>1</x:v>
      </x:c>
      <x:c r="S123" t="s">
        <x:v>42</x:v>
      </x:c>
      <x:c r="T123" t="s">
        <x:v>44</x:v>
      </x:c>
      <x:c r="U123" t="s">
        <x:v>44</x:v>
      </x:c>
      <x:c r="V123" t="s">
        <x:v>45</x:v>
      </x:c>
      <x:c r="W123" t="s">
        <x:v>60</x:v>
      </x:c>
      <x:c r="X123">
        <x:v>21.19</x:v>
      </x:c>
      <x:c r="Y123" t="s">
        <x:v>621</x:v>
      </x:c>
      <x:c r="Z123" t="s">
        <x:v>48</x:v>
      </x:c>
      <x:c r="AA123" t="s">
        <x:v>49</x:v>
      </x:c>
    </x:row>
    <x:row r="124">
      <x:c r="A124" s="1">
        <x:v>46196</x:v>
      </x:c>
      <x:c r="B124" t="s">
        <x:v>3597</x:v>
      </x:c>
      <x:c r="C124" t="s">
        <x:v>904</x:v>
      </x:c>
      <x:c r="D124" t="s">
        <x:v>29</x:v>
      </x:c>
      <x:c r="E124" t="s">
        <x:v>905</x:v>
      </x:c>
      <x:c r="F124" t="s">
        <x:v>31</x:v>
      </x:c>
      <x:c r="G124" t="s">
        <x:v>906</x:v>
      </x:c>
      <x:c r="H124" t="s">
        <x:v>899</x:v>
      </x:c>
      <x:c r="I124" t="s">
        <x:v>900</x:v>
      </x:c>
      <x:c r="J124" t="s">
        <x:v>776</x:v>
      </x:c>
      <x:c r="K124" t="s">
        <x:v>777</x:v>
      </x:c>
      <x:c r="L124" t="s">
        <x:v>37</x:v>
      </x:c>
      <x:c r="M124" t="s">
        <x:v>901</x:v>
      </x:c>
      <x:c r="N124" t="s">
        <x:v>902</x:v>
      </x:c>
      <x:c r="O124" t="s">
        <x:v>899</x:v>
      </x:c>
      <x:c r="P124" t="s">
        <x:v>907</x:v>
      </x:c>
      <x:c r="Q124" t="s">
        <x:v>623</x:v>
      </x:c>
      <x:c r="R124">
        <x:v>1</x:v>
      </x:c>
      <x:c r="S124" t="s">
        <x:v>42</x:v>
      </x:c>
      <x:c r="T124" t="s">
        <x:v>44</x:v>
      </x:c>
      <x:c r="U124" t="s">
        <x:v>44</x:v>
      </x:c>
      <x:c r="V124" t="s">
        <x:v>45</x:v>
      </x:c>
      <x:c r="W124" t="s">
        <x:v>60</x:v>
      </x:c>
      <x:c r="X124">
        <x:v>12.71</x:v>
      </x:c>
      <x:c r="Y124" t="s">
        <x:v>621</x:v>
      </x:c>
      <x:c r="Z124" t="s">
        <x:v>48</x:v>
      </x:c>
      <x:c r="AA124" t="s">
        <x:v>49</x:v>
      </x:c>
    </x:row>
    <x:row r="125">
      <x:c r="A125" s="1">
        <x:v>46196</x:v>
      </x:c>
      <x:c r="B125" t="s">
        <x:v>3597</x:v>
      </x:c>
      <x:c r="C125" t="s">
        <x:v>904</x:v>
      </x:c>
      <x:c r="D125" t="s">
        <x:v>29</x:v>
      </x:c>
      <x:c r="E125" t="s">
        <x:v>905</x:v>
      </x:c>
      <x:c r="F125" t="s">
        <x:v>31</x:v>
      </x:c>
      <x:c r="G125" t="s">
        <x:v>906</x:v>
      </x:c>
      <x:c r="H125" t="s">
        <x:v>899</x:v>
      </x:c>
      <x:c r="I125" t="s">
        <x:v>900</x:v>
      </x:c>
      <x:c r="J125" t="s">
        <x:v>776</x:v>
      </x:c>
      <x:c r="K125" t="s">
        <x:v>777</x:v>
      </x:c>
      <x:c r="L125" t="s">
        <x:v>37</x:v>
      </x:c>
      <x:c r="M125" t="s">
        <x:v>901</x:v>
      </x:c>
      <x:c r="N125" t="s">
        <x:v>902</x:v>
      </x:c>
      <x:c r="O125" t="s">
        <x:v>899</x:v>
      </x:c>
      <x:c r="P125" t="s">
        <x:v>907</x:v>
      </x:c>
      <x:c r="Q125" t="s">
        <x:v>624</x:v>
      </x:c>
      <x:c r="R125">
        <x:v>1</x:v>
      </x:c>
      <x:c r="S125" t="s">
        <x:v>42</x:v>
      </x:c>
      <x:c r="T125" t="s">
        <x:v>44</x:v>
      </x:c>
      <x:c r="U125" t="s">
        <x:v>44</x:v>
      </x:c>
      <x:c r="V125" t="s">
        <x:v>45</x:v>
      </x:c>
      <x:c r="W125" t="s">
        <x:v>60</x:v>
      </x:c>
      <x:c r="X125">
        <x:v>12.71</x:v>
      </x:c>
      <x:c r="Y125" t="s">
        <x:v>621</x:v>
      </x:c>
      <x:c r="Z125" t="s">
        <x:v>48</x:v>
      </x:c>
      <x:c r="AA125" t="s">
        <x:v>49</x:v>
      </x:c>
    </x:row>
    <x:row r="126">
      <x:c r="A126" s="1">
        <x:v>46196</x:v>
      </x:c>
      <x:c r="B126" t="s">
        <x:v>3597</x:v>
      </x:c>
      <x:c r="C126" t="s">
        <x:v>904</x:v>
      </x:c>
      <x:c r="D126" t="s">
        <x:v>29</x:v>
      </x:c>
      <x:c r="E126" t="s">
        <x:v>905</x:v>
      </x:c>
      <x:c r="F126" t="s">
        <x:v>31</x:v>
      </x:c>
      <x:c r="G126" t="s">
        <x:v>906</x:v>
      </x:c>
      <x:c r="H126" t="s">
        <x:v>899</x:v>
      </x:c>
      <x:c r="I126" t="s">
        <x:v>900</x:v>
      </x:c>
      <x:c r="J126" t="s">
        <x:v>776</x:v>
      </x:c>
      <x:c r="K126" t="s">
        <x:v>777</x:v>
      </x:c>
      <x:c r="L126" t="s">
        <x:v>37</x:v>
      </x:c>
      <x:c r="M126" t="s">
        <x:v>901</x:v>
      </x:c>
      <x:c r="N126" t="s">
        <x:v>902</x:v>
      </x:c>
      <x:c r="O126" t="s">
        <x:v>899</x:v>
      </x:c>
      <x:c r="P126" t="s">
        <x:v>907</x:v>
      </x:c>
      <x:c r="Q126" t="s">
        <x:v>835</x:v>
      </x:c>
      <x:c r="R126">
        <x:v>1</x:v>
      </x:c>
      <x:c r="S126" t="s">
        <x:v>42</x:v>
      </x:c>
      <x:c r="T126" t="s">
        <x:v>44</x:v>
      </x:c>
      <x:c r="U126" t="s">
        <x:v>44</x:v>
      </x:c>
      <x:c r="V126" t="s">
        <x:v>45</x:v>
      </x:c>
      <x:c r="W126" t="s">
        <x:v>60</x:v>
      </x:c>
      <x:c r="X126">
        <x:v>50.85</x:v>
      </x:c>
      <x:c r="Y126" t="s">
        <x:v>621</x:v>
      </x:c>
      <x:c r="Z126" t="s">
        <x:v>48</x:v>
      </x:c>
      <x:c r="AA126" t="s">
        <x:v>49</x:v>
      </x:c>
    </x:row>
    <x:row r="127">
      <x:c r="A127" s="1">
        <x:v>46196</x:v>
      </x:c>
      <x:c r="B127" t="s">
        <x:v>3597</x:v>
      </x:c>
      <x:c r="C127" t="s">
        <x:v>908</x:v>
      </x:c>
      <x:c r="D127" t="s">
        <x:v>29</x:v>
      </x:c>
      <x:c r="E127" t="s">
        <x:v>909</x:v>
      </x:c>
      <x:c r="F127" t="s">
        <x:v>31</x:v>
      </x:c>
      <x:c r="G127" t="s">
        <x:v>910</x:v>
      </x:c>
      <x:c r="H127" t="s">
        <x:v>899</x:v>
      </x:c>
      <x:c r="I127" t="s">
        <x:v>900</x:v>
      </x:c>
      <x:c r="J127" t="s">
        <x:v>776</x:v>
      </x:c>
      <x:c r="K127" t="s">
        <x:v>777</x:v>
      </x:c>
      <x:c r="L127" t="s">
        <x:v>37</x:v>
      </x:c>
      <x:c r="M127" t="s">
        <x:v>901</x:v>
      </x:c>
      <x:c r="N127" t="s">
        <x:v>902</x:v>
      </x:c>
      <x:c r="O127" t="s">
        <x:v>899</x:v>
      </x:c>
      <x:c r="P127" t="s">
        <x:v>911</x:v>
      </x:c>
      <x:c r="Q127" t="s">
        <x:v>202</x:v>
      </x:c>
      <x:c r="R127">
        <x:v>1</x:v>
      </x:c>
      <x:c r="S127" t="s">
        <x:v>42</x:v>
      </x:c>
      <x:c r="T127" t="s">
        <x:v>44</x:v>
      </x:c>
      <x:c r="U127" t="s">
        <x:v>44</x:v>
      </x:c>
      <x:c r="V127" t="s">
        <x:v>45</x:v>
      </x:c>
      <x:c r="W127" t="s">
        <x:v>60</x:v>
      </x:c>
      <x:c r="X127">
        <x:v>42.37</x:v>
      </x:c>
      <x:c r="Y127" t="s">
        <x:v>47</x:v>
      </x:c>
      <x:c r="Z127" t="s">
        <x:v>48</x:v>
      </x:c>
      <x:c r="AA127" t="s">
        <x:v>49</x:v>
      </x:c>
      <x:c r="AD127">
        <x:v>30</x:v>
      </x:c>
    </x:row>
    <x:row r="128">
      <x:c r="A128" s="1">
        <x:v>46196</x:v>
      </x:c>
      <x:c r="B128" t="s">
        <x:v>3597</x:v>
      </x:c>
      <x:c r="C128" t="s">
        <x:v>908</x:v>
      </x:c>
      <x:c r="D128" t="s">
        <x:v>29</x:v>
      </x:c>
      <x:c r="E128" t="s">
        <x:v>909</x:v>
      </x:c>
      <x:c r="F128" t="s">
        <x:v>31</x:v>
      </x:c>
      <x:c r="G128" t="s">
        <x:v>910</x:v>
      </x:c>
      <x:c r="H128" t="s">
        <x:v>899</x:v>
      </x:c>
      <x:c r="I128" t="s">
        <x:v>900</x:v>
      </x:c>
      <x:c r="J128" t="s">
        <x:v>776</x:v>
      </x:c>
      <x:c r="K128" t="s">
        <x:v>777</x:v>
      </x:c>
      <x:c r="L128" t="s">
        <x:v>37</x:v>
      </x:c>
      <x:c r="M128" t="s">
        <x:v>901</x:v>
      </x:c>
      <x:c r="N128" t="s">
        <x:v>902</x:v>
      </x:c>
      <x:c r="O128" t="s">
        <x:v>899</x:v>
      </x:c>
      <x:c r="P128" t="s">
        <x:v>911</x:v>
      </x:c>
      <x:c r="Q128" t="s">
        <x:v>203</x:v>
      </x:c>
      <x:c r="R128">
        <x:v>1</x:v>
      </x:c>
      <x:c r="S128" t="s">
        <x:v>42</x:v>
      </x:c>
      <x:c r="T128" t="s">
        <x:v>44</x:v>
      </x:c>
      <x:c r="U128" t="s">
        <x:v>44</x:v>
      </x:c>
      <x:c r="V128" t="s">
        <x:v>45</x:v>
      </x:c>
      <x:c r="W128" t="s">
        <x:v>60</x:v>
      </x:c>
      <x:c r="X128">
        <x:v>42.37</x:v>
      </x:c>
      <x:c r="Y128" t="s">
        <x:v>47</x:v>
      </x:c>
      <x:c r="Z128" t="s">
        <x:v>48</x:v>
      </x:c>
      <x:c r="AA128" t="s">
        <x:v>49</x:v>
      </x:c>
      <x:c r="AD128">
        <x:v>30</x:v>
      </x:c>
    </x:row>
    <x:row r="129">
      <x:c r="A129" s="1">
        <x:v>46196</x:v>
      </x:c>
      <x:c r="B129" t="s">
        <x:v>3597</x:v>
      </x:c>
      <x:c r="C129" t="s">
        <x:v>912</x:v>
      </x:c>
      <x:c r="D129" t="s">
        <x:v>29</x:v>
      </x:c>
      <x:c r="E129" t="s">
        <x:v>913</x:v>
      </x:c>
      <x:c r="F129" t="s">
        <x:v>31</x:v>
      </x:c>
      <x:c r="G129" t="s">
        <x:v>914</x:v>
      </x:c>
      <x:c r="H129" t="s">
        <x:v>915</x:v>
      </x:c>
      <x:c r="I129" t="s">
        <x:v>916</x:v>
      </x:c>
      <x:c r="J129" t="s">
        <x:v>776</x:v>
      </x:c>
      <x:c r="K129" t="s">
        <x:v>777</x:v>
      </x:c>
      <x:c r="L129" t="s">
        <x:v>37</x:v>
      </x:c>
      <x:c r="M129" t="s">
        <x:v>917</x:v>
      </x:c>
      <x:c r="N129" t="s">
        <x:v>918</x:v>
      </x:c>
      <x:c r="O129" t="s">
        <x:v>915</x:v>
      </x:c>
      <x:c r="P129" t="s">
        <x:v>919</x:v>
      </x:c>
      <x:c r="Q129" t="s">
        <x:v>202</x:v>
      </x:c>
      <x:c r="R129">
        <x:v>1</x:v>
      </x:c>
      <x:c r="S129" t="s">
        <x:v>42</x:v>
      </x:c>
      <x:c r="T129" t="s">
        <x:v>44</x:v>
      </x:c>
      <x:c r="U129" t="s">
        <x:v>44</x:v>
      </x:c>
      <x:c r="V129" t="s">
        <x:v>45</x:v>
      </x:c>
      <x:c r="W129" t="s">
        <x:v>60</x:v>
      </x:c>
      <x:c r="X129">
        <x:v>42.37</x:v>
      </x:c>
      <x:c r="Y129" t="s">
        <x:v>47</x:v>
      </x:c>
      <x:c r="Z129" t="s">
        <x:v>48</x:v>
      </x:c>
      <x:c r="AA129" t="s">
        <x:v>49</x:v>
      </x:c>
      <x:c r="AD129">
        <x:v>30</x:v>
      </x:c>
    </x:row>
    <x:row r="130">
      <x:c r="A130" s="1">
        <x:v>46196</x:v>
      </x:c>
      <x:c r="B130" t="s">
        <x:v>3597</x:v>
      </x:c>
      <x:c r="C130" t="s">
        <x:v>912</x:v>
      </x:c>
      <x:c r="D130" t="s">
        <x:v>29</x:v>
      </x:c>
      <x:c r="E130" t="s">
        <x:v>913</x:v>
      </x:c>
      <x:c r="F130" t="s">
        <x:v>31</x:v>
      </x:c>
      <x:c r="G130" t="s">
        <x:v>914</x:v>
      </x:c>
      <x:c r="H130" t="s">
        <x:v>915</x:v>
      </x:c>
      <x:c r="I130" t="s">
        <x:v>916</x:v>
      </x:c>
      <x:c r="J130" t="s">
        <x:v>776</x:v>
      </x:c>
      <x:c r="K130" t="s">
        <x:v>777</x:v>
      </x:c>
      <x:c r="L130" t="s">
        <x:v>37</x:v>
      </x:c>
      <x:c r="M130" t="s">
        <x:v>917</x:v>
      </x:c>
      <x:c r="N130" t="s">
        <x:v>918</x:v>
      </x:c>
      <x:c r="O130" t="s">
        <x:v>915</x:v>
      </x:c>
      <x:c r="P130" t="s">
        <x:v>919</x:v>
      </x:c>
      <x:c r="Q130" t="s">
        <x:v>203</x:v>
      </x:c>
      <x:c r="R130">
        <x:v>1</x:v>
      </x:c>
      <x:c r="S130" t="s">
        <x:v>42</x:v>
      </x:c>
      <x:c r="T130" t="s">
        <x:v>44</x:v>
      </x:c>
      <x:c r="U130" t="s">
        <x:v>44</x:v>
      </x:c>
      <x:c r="V130" t="s">
        <x:v>45</x:v>
      </x:c>
      <x:c r="W130" t="s">
        <x:v>60</x:v>
      </x:c>
      <x:c r="X130">
        <x:v>42.37</x:v>
      </x:c>
      <x:c r="Y130" t="s">
        <x:v>47</x:v>
      </x:c>
      <x:c r="Z130" t="s">
        <x:v>48</x:v>
      </x:c>
      <x:c r="AA130" t="s">
        <x:v>49</x:v>
      </x:c>
      <x:c r="AD130">
        <x:v>30</x:v>
      </x:c>
    </x:row>
    <x:row r="131">
      <x:c r="A131" s="1">
        <x:v>46196</x:v>
      </x:c>
      <x:c r="B131" t="s">
        <x:v>3597</x:v>
      </x:c>
      <x:c r="C131" t="s">
        <x:v>920</x:v>
      </x:c>
      <x:c r="D131" t="s">
        <x:v>29</x:v>
      </x:c>
      <x:c r="E131" t="s">
        <x:v>921</x:v>
      </x:c>
      <x:c r="F131" t="s">
        <x:v>31</x:v>
      </x:c>
      <x:c r="G131" t="s">
        <x:v>922</x:v>
      </x:c>
      <x:c r="H131" t="s">
        <x:v>923</x:v>
      </x:c>
      <x:c r="I131" t="s">
        <x:v>924</x:v>
      </x:c>
      <x:c r="J131" t="s">
        <x:v>776</x:v>
      </x:c>
      <x:c r="K131" t="s">
        <x:v>777</x:v>
      </x:c>
      <x:c r="L131" t="s">
        <x:v>37</x:v>
      </x:c>
      <x:c r="M131" t="s">
        <x:v>925</x:v>
      </x:c>
      <x:c r="N131" t="s">
        <x:v>610</x:v>
      </x:c>
      <x:c r="O131" t="s">
        <x:v>923</x:v>
      </x:c>
      <x:c r="P131" t="s">
        <x:v>926</x:v>
      </x:c>
      <x:c r="Q131" t="s">
        <x:v>202</x:v>
      </x:c>
      <x:c r="R131">
        <x:v>1</x:v>
      </x:c>
      <x:c r="S131" t="s">
        <x:v>42</x:v>
      </x:c>
      <x:c r="T131" t="s">
        <x:v>44</x:v>
      </x:c>
      <x:c r="U131" t="s">
        <x:v>44</x:v>
      </x:c>
      <x:c r="V131" t="s">
        <x:v>45</x:v>
      </x:c>
      <x:c r="W131" t="s">
        <x:v>60</x:v>
      </x:c>
      <x:c r="X131">
        <x:v>42.37</x:v>
      </x:c>
      <x:c r="Y131" t="s">
        <x:v>47</x:v>
      </x:c>
      <x:c r="Z131" t="s">
        <x:v>48</x:v>
      </x:c>
      <x:c r="AA131" t="s">
        <x:v>49</x:v>
      </x:c>
      <x:c r="AD131">
        <x:v>30</x:v>
      </x:c>
    </x:row>
    <x:row r="132">
      <x:c r="A132" s="1">
        <x:v>46196</x:v>
      </x:c>
      <x:c r="B132" t="s">
        <x:v>3597</x:v>
      </x:c>
      <x:c r="C132" t="s">
        <x:v>920</x:v>
      </x:c>
      <x:c r="D132" t="s">
        <x:v>29</x:v>
      </x:c>
      <x:c r="E132" t="s">
        <x:v>921</x:v>
      </x:c>
      <x:c r="F132" t="s">
        <x:v>31</x:v>
      </x:c>
      <x:c r="G132" t="s">
        <x:v>922</x:v>
      </x:c>
      <x:c r="H132" t="s">
        <x:v>923</x:v>
      </x:c>
      <x:c r="I132" t="s">
        <x:v>924</x:v>
      </x:c>
      <x:c r="J132" t="s">
        <x:v>776</x:v>
      </x:c>
      <x:c r="K132" t="s">
        <x:v>777</x:v>
      </x:c>
      <x:c r="L132" t="s">
        <x:v>37</x:v>
      </x:c>
      <x:c r="M132" t="s">
        <x:v>925</x:v>
      </x:c>
      <x:c r="N132" t="s">
        <x:v>610</x:v>
      </x:c>
      <x:c r="O132" t="s">
        <x:v>923</x:v>
      </x:c>
      <x:c r="P132" t="s">
        <x:v>926</x:v>
      </x:c>
      <x:c r="Q132" t="s">
        <x:v>203</x:v>
      </x:c>
      <x:c r="R132">
        <x:v>1</x:v>
      </x:c>
      <x:c r="S132" t="s">
        <x:v>42</x:v>
      </x:c>
      <x:c r="T132" t="s">
        <x:v>44</x:v>
      </x:c>
      <x:c r="U132" t="s">
        <x:v>44</x:v>
      </x:c>
      <x:c r="V132" t="s">
        <x:v>45</x:v>
      </x:c>
      <x:c r="W132" t="s">
        <x:v>60</x:v>
      </x:c>
      <x:c r="X132">
        <x:v>42.37</x:v>
      </x:c>
      <x:c r="Y132" t="s">
        <x:v>47</x:v>
      </x:c>
      <x:c r="Z132" t="s">
        <x:v>48</x:v>
      </x:c>
      <x:c r="AA132" t="s">
        <x:v>49</x:v>
      </x:c>
      <x:c r="AD132">
        <x:v>30</x:v>
      </x:c>
    </x:row>
    <x:row r="133">
      <x:c r="A133" s="1">
        <x:v>46196</x:v>
      </x:c>
      <x:c r="B133" t="s">
        <x:v>3597</x:v>
      </x:c>
      <x:c r="C133" t="s">
        <x:v>927</x:v>
      </x:c>
      <x:c r="D133" t="s">
        <x:v>269</x:v>
      </x:c>
      <x:c r="E133" t="s">
        <x:v>928</x:v>
      </x:c>
      <x:c r="F133" t="s">
        <x:v>31</x:v>
      </x:c>
      <x:c r="G133" t="s">
        <x:v>929</x:v>
      </x:c>
      <x:c r="H133" t="s">
        <x:v>915</x:v>
      </x:c>
      <x:c r="I133" t="s">
        <x:v>916</x:v>
      </x:c>
      <x:c r="J133" t="s">
        <x:v>776</x:v>
      </x:c>
      <x:c r="K133" t="s">
        <x:v>777</x:v>
      </x:c>
      <x:c r="L133" t="s">
        <x:v>37</x:v>
      </x:c>
      <x:c r="M133" t="s">
        <x:v>917</x:v>
      </x:c>
      <x:c r="N133" t="s">
        <x:v>918</x:v>
      </x:c>
      <x:c r="O133" t="s">
        <x:v>800</x:v>
      </x:c>
      <x:c r="P133" t="s">
        <x:v>930</x:v>
      </x:c>
      <x:c r="Q133" t="s">
        <x:v>289</x:v>
      </x:c>
      <x:c r="R133">
        <x:v>1</x:v>
      </x:c>
      <x:c r="S133" t="s">
        <x:v>42</x:v>
      </x:c>
      <x:c r="T133" t="s">
        <x:v>44</x:v>
      </x:c>
      <x:c r="U133" t="s">
        <x:v>44</x:v>
      </x:c>
      <x:c r="V133" t="s">
        <x:v>45</x:v>
      </x:c>
      <x:c r="W133" t="s">
        <x:v>60</x:v>
      </x:c>
      <x:c r="X133">
        <x:v>0</x:v>
      </x:c>
      <x:c r="Y133" t="s">
        <x:v>290</x:v>
      </x:c>
      <x:c r="Z133" t="s">
        <x:v>48</x:v>
      </x:c>
      <x:c r="AA133" t="s">
        <x:v>49</x:v>
      </x:c>
    </x:row>
    <x:row r="134">
      <x:c r="A134" s="1">
        <x:v>46196</x:v>
      </x:c>
      <x:c r="B134" t="s">
        <x:v>3597</x:v>
      </x:c>
      <x:c r="C134" t="s">
        <x:v>927</x:v>
      </x:c>
      <x:c r="D134" t="s">
        <x:v>269</x:v>
      </x:c>
      <x:c r="E134" t="s">
        <x:v>928</x:v>
      </x:c>
      <x:c r="F134" t="s">
        <x:v>31</x:v>
      </x:c>
      <x:c r="G134" t="s">
        <x:v>929</x:v>
      </x:c>
      <x:c r="H134" t="s">
        <x:v>915</x:v>
      </x:c>
      <x:c r="I134" t="s">
        <x:v>916</x:v>
      </x:c>
      <x:c r="J134" t="s">
        <x:v>776</x:v>
      </x:c>
      <x:c r="K134" t="s">
        <x:v>777</x:v>
      </x:c>
      <x:c r="L134" t="s">
        <x:v>37</x:v>
      </x:c>
      <x:c r="M134" t="s">
        <x:v>917</x:v>
      </x:c>
      <x:c r="N134" t="s">
        <x:v>918</x:v>
      </x:c>
      <x:c r="O134" t="s">
        <x:v>800</x:v>
      </x:c>
      <x:c r="P134" t="s">
        <x:v>930</x:v>
      </x:c>
      <x:c r="Q134" t="s">
        <x:v>291</x:v>
      </x:c>
      <x:c r="R134">
        <x:v>1</x:v>
      </x:c>
      <x:c r="S134" t="s">
        <x:v>42</x:v>
      </x:c>
      <x:c r="T134" t="s">
        <x:v>44</x:v>
      </x:c>
      <x:c r="U134" t="s">
        <x:v>44</x:v>
      </x:c>
      <x:c r="V134" t="s">
        <x:v>45</x:v>
      </x:c>
      <x:c r="W134" t="s">
        <x:v>60</x:v>
      </x:c>
      <x:c r="X134">
        <x:v>1525.42</x:v>
      </x:c>
      <x:c r="Y134" t="s">
        <x:v>290</x:v>
      </x:c>
      <x:c r="Z134" t="s">
        <x:v>48</x:v>
      </x:c>
      <x:c r="AA134" t="s">
        <x:v>49</x:v>
      </x:c>
    </x:row>
    <x:row r="135">
      <x:c r="A135" s="1">
        <x:v>46196</x:v>
      </x:c>
      <x:c r="B135" t="s">
        <x:v>3597</x:v>
      </x:c>
      <x:c r="C135" t="s">
        <x:v>931</x:v>
      </x:c>
      <x:c r="D135" t="s">
        <x:v>269</x:v>
      </x:c>
      <x:c r="E135" t="s">
        <x:v>932</x:v>
      </x:c>
      <x:c r="F135" t="s">
        <x:v>31</x:v>
      </x:c>
      <x:c r="G135" t="s">
        <x:v>933</x:v>
      </x:c>
      <x:c r="H135" t="s">
        <x:v>923</x:v>
      </x:c>
      <x:c r="I135" t="s">
        <x:v>924</x:v>
      </x:c>
      <x:c r="J135" t="s">
        <x:v>776</x:v>
      </x:c>
      <x:c r="K135" t="s">
        <x:v>777</x:v>
      </x:c>
      <x:c r="L135" t="s">
        <x:v>37</x:v>
      </x:c>
      <x:c r="M135" t="s">
        <x:v>925</x:v>
      </x:c>
      <x:c r="N135" t="s">
        <x:v>610</x:v>
      </x:c>
      <x:c r="O135" t="s">
        <x:v>800</x:v>
      </x:c>
      <x:c r="P135" t="s">
        <x:v>934</x:v>
      </x:c>
      <x:c r="Q135" t="s">
        <x:v>289</x:v>
      </x:c>
      <x:c r="R135">
        <x:v>1</x:v>
      </x:c>
      <x:c r="S135" t="s">
        <x:v>42</x:v>
      </x:c>
      <x:c r="T135" t="s">
        <x:v>44</x:v>
      </x:c>
      <x:c r="U135" t="s">
        <x:v>44</x:v>
      </x:c>
      <x:c r="V135" t="s">
        <x:v>45</x:v>
      </x:c>
      <x:c r="W135" t="s">
        <x:v>60</x:v>
      </x:c>
      <x:c r="X135">
        <x:v>0</x:v>
      </x:c>
      <x:c r="Y135" t="s">
        <x:v>290</x:v>
      </x:c>
      <x:c r="Z135" t="s">
        <x:v>48</x:v>
      </x:c>
      <x:c r="AA135" t="s">
        <x:v>49</x:v>
      </x:c>
    </x:row>
    <x:row r="136">
      <x:c r="A136" s="1">
        <x:v>46196</x:v>
      </x:c>
      <x:c r="B136" t="s">
        <x:v>3597</x:v>
      </x:c>
      <x:c r="C136" t="s">
        <x:v>931</x:v>
      </x:c>
      <x:c r="D136" t="s">
        <x:v>269</x:v>
      </x:c>
      <x:c r="E136" t="s">
        <x:v>932</x:v>
      </x:c>
      <x:c r="F136" t="s">
        <x:v>31</x:v>
      </x:c>
      <x:c r="G136" t="s">
        <x:v>933</x:v>
      </x:c>
      <x:c r="H136" t="s">
        <x:v>923</x:v>
      </x:c>
      <x:c r="I136" t="s">
        <x:v>924</x:v>
      </x:c>
      <x:c r="J136" t="s">
        <x:v>776</x:v>
      </x:c>
      <x:c r="K136" t="s">
        <x:v>777</x:v>
      </x:c>
      <x:c r="L136" t="s">
        <x:v>37</x:v>
      </x:c>
      <x:c r="M136" t="s">
        <x:v>925</x:v>
      </x:c>
      <x:c r="N136" t="s">
        <x:v>610</x:v>
      </x:c>
      <x:c r="O136" t="s">
        <x:v>800</x:v>
      </x:c>
      <x:c r="P136" t="s">
        <x:v>934</x:v>
      </x:c>
      <x:c r="Q136" t="s">
        <x:v>291</x:v>
      </x:c>
      <x:c r="R136">
        <x:v>1</x:v>
      </x:c>
      <x:c r="S136" t="s">
        <x:v>42</x:v>
      </x:c>
      <x:c r="T136" t="s">
        <x:v>44</x:v>
      </x:c>
      <x:c r="U136" t="s">
        <x:v>44</x:v>
      </x:c>
      <x:c r="V136" t="s">
        <x:v>45</x:v>
      </x:c>
      <x:c r="W136" t="s">
        <x:v>60</x:v>
      </x:c>
      <x:c r="X136">
        <x:v>1525.42</x:v>
      </x:c>
      <x:c r="Y136" t="s">
        <x:v>290</x:v>
      </x:c>
      <x:c r="Z136" t="s">
        <x:v>48</x:v>
      </x:c>
      <x:c r="AA136" t="s">
        <x:v>49</x:v>
      </x:c>
    </x:row>
    <x:row r="137">
      <x:c r="A137" s="1">
        <x:v>46196</x:v>
      </x:c>
      <x:c r="B137" t="s">
        <x:v>3597</x:v>
      </x:c>
      <x:c r="C137" t="s">
        <x:v>935</x:v>
      </x:c>
      <x:c r="D137" t="s">
        <x:v>269</x:v>
      </x:c>
      <x:c r="E137" t="s">
        <x:v>936</x:v>
      </x:c>
      <x:c r="F137" t="s">
        <x:v>31</x:v>
      </x:c>
      <x:c r="G137" t="s">
        <x:v>937</x:v>
      </x:c>
      <x:c r="H137" t="s">
        <x:v>899</x:v>
      </x:c>
      <x:c r="I137" t="s">
        <x:v>900</x:v>
      </x:c>
      <x:c r="J137" t="s">
        <x:v>776</x:v>
      </x:c>
      <x:c r="K137" t="s">
        <x:v>777</x:v>
      </x:c>
      <x:c r="L137" t="s">
        <x:v>37</x:v>
      </x:c>
      <x:c r="M137" t="s">
        <x:v>901</x:v>
      </x:c>
      <x:c r="N137" t="s">
        <x:v>902</x:v>
      </x:c>
      <x:c r="O137" t="s">
        <x:v>800</x:v>
      </x:c>
      <x:c r="P137" t="s">
        <x:v>938</x:v>
      </x:c>
      <x:c r="Q137" t="s">
        <x:v>289</x:v>
      </x:c>
      <x:c r="R137">
        <x:v>1</x:v>
      </x:c>
      <x:c r="S137" t="s">
        <x:v>42</x:v>
      </x:c>
      <x:c r="T137" t="s">
        <x:v>44</x:v>
      </x:c>
      <x:c r="U137" t="s">
        <x:v>44</x:v>
      </x:c>
      <x:c r="V137" t="s">
        <x:v>45</x:v>
      </x:c>
      <x:c r="W137" t="s">
        <x:v>60</x:v>
      </x:c>
      <x:c r="X137">
        <x:v>0</x:v>
      </x:c>
      <x:c r="Y137" t="s">
        <x:v>290</x:v>
      </x:c>
      <x:c r="Z137" t="s">
        <x:v>48</x:v>
      </x:c>
      <x:c r="AA137" t="s">
        <x:v>49</x:v>
      </x:c>
    </x:row>
    <x:row r="138">
      <x:c r="A138" s="1">
        <x:v>46196</x:v>
      </x:c>
      <x:c r="B138" t="s">
        <x:v>3597</x:v>
      </x:c>
      <x:c r="C138" t="s">
        <x:v>935</x:v>
      </x:c>
      <x:c r="D138" t="s">
        <x:v>269</x:v>
      </x:c>
      <x:c r="E138" t="s">
        <x:v>936</x:v>
      </x:c>
      <x:c r="F138" t="s">
        <x:v>31</x:v>
      </x:c>
      <x:c r="G138" t="s">
        <x:v>937</x:v>
      </x:c>
      <x:c r="H138" t="s">
        <x:v>899</x:v>
      </x:c>
      <x:c r="I138" t="s">
        <x:v>900</x:v>
      </x:c>
      <x:c r="J138" t="s">
        <x:v>776</x:v>
      </x:c>
      <x:c r="K138" t="s">
        <x:v>777</x:v>
      </x:c>
      <x:c r="L138" t="s">
        <x:v>37</x:v>
      </x:c>
      <x:c r="M138" t="s">
        <x:v>901</x:v>
      </x:c>
      <x:c r="N138" t="s">
        <x:v>902</x:v>
      </x:c>
      <x:c r="O138" t="s">
        <x:v>800</x:v>
      </x:c>
      <x:c r="P138" t="s">
        <x:v>938</x:v>
      </x:c>
      <x:c r="Q138" t="s">
        <x:v>291</x:v>
      </x:c>
      <x:c r="R138">
        <x:v>1</x:v>
      </x:c>
      <x:c r="S138" t="s">
        <x:v>42</x:v>
      </x:c>
      <x:c r="T138" t="s">
        <x:v>44</x:v>
      </x:c>
      <x:c r="U138" t="s">
        <x:v>44</x:v>
      </x:c>
      <x:c r="V138" t="s">
        <x:v>45</x:v>
      </x:c>
      <x:c r="W138" t="s">
        <x:v>60</x:v>
      </x:c>
      <x:c r="X138">
        <x:v>1525.42</x:v>
      </x:c>
      <x:c r="Y138" t="s">
        <x:v>290</x:v>
      </x:c>
      <x:c r="Z138" t="s">
        <x:v>48</x:v>
      </x:c>
      <x:c r="AA138" t="s">
        <x:v>49</x:v>
      </x:c>
    </x:row>
    <x:row r="139">
      <x:c r="A139" s="1">
        <x:v>46196</x:v>
      </x:c>
      <x:c r="B139" t="s">
        <x:v>3597</x:v>
      </x:c>
      <x:c r="C139" t="s">
        <x:v>1339</x:v>
      </x:c>
      <x:c r="D139" t="s">
        <x:v>29</x:v>
      </x:c>
      <x:c r="E139" t="s">
        <x:v>1340</x:v>
      </x:c>
      <x:c r="F139" t="s">
        <x:v>31</x:v>
      </x:c>
      <x:c r="G139" t="s">
        <x:v>1341</x:v>
      </x:c>
      <x:c r="H139" t="s">
        <x:v>1342</x:v>
      </x:c>
      <x:c r="I139" t="s">
        <x:v>1343</x:v>
      </x:c>
      <x:c r="J139" t="s">
        <x:v>1344</x:v>
      </x:c>
      <x:c r="L139" t="s">
        <x:v>37</x:v>
      </x:c>
      <x:c r="M139" t="s">
        <x:v>1345</x:v>
      </x:c>
      <x:c r="N139" t="s">
        <x:v>1346</x:v>
      </x:c>
      <x:c r="O139" t="s">
        <x:v>1342</x:v>
      </x:c>
      <x:c r="P139" t="s">
        <x:v>1347</x:v>
      </x:c>
      <x:c r="Q139" t="s">
        <x:v>91</x:v>
      </x:c>
      <x:c r="R139">
        <x:v>1</x:v>
      </x:c>
      <x:c r="S139" t="s">
        <x:v>42</x:v>
      </x:c>
      <x:c r="T139" t="s">
        <x:v>44</x:v>
      </x:c>
      <x:c r="U139" t="s">
        <x:v>44</x:v>
      </x:c>
      <x:c r="V139" t="s">
        <x:v>45</x:v>
      </x:c>
      <x:c r="W139" t="s">
        <x:v>60</x:v>
      </x:c>
      <x:c r="X139">
        <x:v>135.59</x:v>
      </x:c>
      <x:c r="Y139" t="s">
        <x:v>47</x:v>
      </x:c>
      <x:c r="Z139" t="s">
        <x:v>48</x:v>
      </x:c>
      <x:c r="AA139" t="s">
        <x:v>49</x:v>
      </x:c>
      <x:c r="AD139">
        <x:v>30</x:v>
      </x:c>
    </x:row>
    <x:row r="140">
      <x:c r="A140" s="1">
        <x:v>46197</x:v>
      </x:c>
      <x:c r="B140" t="s">
        <x:v>3597</x:v>
      </x:c>
      <x:c r="C140" t="s">
        <x:v>169</x:v>
      </x:c>
      <x:c r="D140" t="s">
        <x:v>29</x:v>
      </x:c>
      <x:c r="E140" t="s">
        <x:v>170</x:v>
      </x:c>
      <x:c r="F140" t="s">
        <x:v>31</x:v>
      </x:c>
      <x:c r="G140" t="s">
        <x:v>171</x:v>
      </x:c>
      <x:c r="H140" t="s">
        <x:v>172</x:v>
      </x:c>
      <x:c r="I140" t="s">
        <x:v>173</x:v>
      </x:c>
      <x:c r="J140" t="s">
        <x:v>137</x:v>
      </x:c>
      <x:c r="K140" t="s">
        <x:v>138</x:v>
      </x:c>
      <x:c r="L140" t="s">
        <x:v>37</x:v>
      </x:c>
      <x:c r="M140" t="s">
        <x:v>174</x:v>
      </x:c>
      <x:c r="N140" t="s">
        <x:v>175</x:v>
      </x:c>
      <x:c r="O140" t="s">
        <x:v>172</x:v>
      </x:c>
      <x:c r="P140" t="s">
        <x:v>176</x:v>
      </x:c>
      <x:c r="Q140" t="s">
        <x:v>102</x:v>
      </x:c>
      <x:c r="R140">
        <x:v>1</x:v>
      </x:c>
      <x:c r="S140" t="s">
        <x:v>42</x:v>
      </x:c>
      <x:c r="T140" t="s">
        <x:v>44</x:v>
      </x:c>
      <x:c r="U140" t="s">
        <x:v>44</x:v>
      </x:c>
      <x:c r="V140" t="s">
        <x:v>45</x:v>
      </x:c>
      <x:c r="W140" t="s">
        <x:v>60</x:v>
      </x:c>
      <x:c r="X140">
        <x:v>186.44</x:v>
      </x:c>
      <x:c r="Y140" t="s">
        <x:v>47</x:v>
      </x:c>
      <x:c r="Z140" t="s">
        <x:v>48</x:v>
      </x:c>
      <x:c r="AA140" t="s">
        <x:v>49</x:v>
      </x:c>
      <x:c r="AB140">
        <x:v>987407712</x:v>
      </x:c>
      <x:c r="AC140" t="s">
        <x:v>142</x:v>
      </x:c>
      <x:c r="AD140">
        <x:v>50</x:v>
      </x:c>
    </x:row>
    <x:row r="141">
      <x:c r="A141" s="1">
        <x:v>46197</x:v>
      </x:c>
      <x:c r="B141" t="s">
        <x:v>3597</x:v>
      </x:c>
      <x:c r="C141" t="s">
        <x:v>320</x:v>
      </x:c>
      <x:c r="D141" t="s">
        <x:v>269</x:v>
      </x:c>
      <x:c r="E141" t="s">
        <x:v>321</x:v>
      </x:c>
      <x:c r="F141" t="s">
        <x:v>31</x:v>
      </x:c>
      <x:c r="G141" t="s">
        <x:v>322</x:v>
      </x:c>
      <x:c r="H141" t="s">
        <x:v>323</x:v>
      </x:c>
      <x:c r="I141" t="s">
        <x:v>324</x:v>
      </x:c>
      <x:c r="J141" t="s">
        <x:v>274</x:v>
      </x:c>
      <x:c r="K141" t="s">
        <x:v>275</x:v>
      </x:c>
      <x:c r="L141" t="s">
        <x:v>37</x:v>
      </x:c>
      <x:c r="M141" t="s">
        <x:v>325</x:v>
      </x:c>
      <x:c r="N141" t="s">
        <x:v>326</x:v>
      </x:c>
      <x:c r="O141" t="s">
        <x:v>278</x:v>
      </x:c>
      <x:c r="P141" t="s">
        <x:v>327</x:v>
      </x:c>
      <x:c r="Q141" t="s">
        <x:v>289</x:v>
      </x:c>
      <x:c r="R141">
        <x:v>1</x:v>
      </x:c>
      <x:c r="S141" t="s">
        <x:v>42</x:v>
      </x:c>
      <x:c r="T141" t="s">
        <x:v>44</x:v>
      </x:c>
      <x:c r="U141" t="s">
        <x:v>44</x:v>
      </x:c>
      <x:c r="V141" t="s">
        <x:v>45</x:v>
      </x:c>
      <x:c r="W141" t="s">
        <x:v>60</x:v>
      </x:c>
      <x:c r="X141">
        <x:v>0</x:v>
      </x:c>
      <x:c r="Y141" t="s">
        <x:v>290</x:v>
      </x:c>
      <x:c r="Z141" t="s">
        <x:v>48</x:v>
      </x:c>
      <x:c r="AA141" t="s">
        <x:v>49</x:v>
      </x:c>
      <x:c r="AB141">
        <x:v>950133748</x:v>
      </x:c>
      <x:c r="AC141" t="s">
        <x:v>280</x:v>
      </x:c>
    </x:row>
    <x:row r="142">
      <x:c r="A142" s="1">
        <x:v>46197</x:v>
      </x:c>
      <x:c r="B142" t="s">
        <x:v>3597</x:v>
      </x:c>
      <x:c r="C142" t="s">
        <x:v>320</x:v>
      </x:c>
      <x:c r="D142" t="s">
        <x:v>269</x:v>
      </x:c>
      <x:c r="E142" t="s">
        <x:v>321</x:v>
      </x:c>
      <x:c r="F142" t="s">
        <x:v>31</x:v>
      </x:c>
      <x:c r="G142" t="s">
        <x:v>322</x:v>
      </x:c>
      <x:c r="H142" t="s">
        <x:v>323</x:v>
      </x:c>
      <x:c r="I142" t="s">
        <x:v>324</x:v>
      </x:c>
      <x:c r="J142" t="s">
        <x:v>274</x:v>
      </x:c>
      <x:c r="K142" t="s">
        <x:v>275</x:v>
      </x:c>
      <x:c r="L142" t="s">
        <x:v>37</x:v>
      </x:c>
      <x:c r="M142" t="s">
        <x:v>325</x:v>
      </x:c>
      <x:c r="N142" t="s">
        <x:v>326</x:v>
      </x:c>
      <x:c r="O142" t="s">
        <x:v>278</x:v>
      </x:c>
      <x:c r="P142" t="s">
        <x:v>327</x:v>
      </x:c>
      <x:c r="Q142" t="s">
        <x:v>291</x:v>
      </x:c>
      <x:c r="R142">
        <x:v>1</x:v>
      </x:c>
      <x:c r="S142" t="s">
        <x:v>42</x:v>
      </x:c>
      <x:c r="T142" t="s">
        <x:v>44</x:v>
      </x:c>
      <x:c r="U142" t="s">
        <x:v>44</x:v>
      </x:c>
      <x:c r="V142" t="s">
        <x:v>45</x:v>
      </x:c>
      <x:c r="W142" t="s">
        <x:v>60</x:v>
      </x:c>
      <x:c r="X142">
        <x:v>3211.86</x:v>
      </x:c>
      <x:c r="Y142" t="s">
        <x:v>290</x:v>
      </x:c>
      <x:c r="Z142" t="s">
        <x:v>48</x:v>
      </x:c>
      <x:c r="AA142" t="s">
        <x:v>49</x:v>
      </x:c>
      <x:c r="AB142">
        <x:v>950133748</x:v>
      </x:c>
      <x:c r="AC142" t="s">
        <x:v>280</x:v>
      </x:c>
    </x:row>
    <x:row r="143">
      <x:c r="A143" s="1">
        <x:v>46197</x:v>
      </x:c>
      <x:c r="B143" t="s">
        <x:v>3597</x:v>
      </x:c>
      <x:c r="C143" t="s">
        <x:v>360</x:v>
      </x:c>
      <x:c r="D143" t="s">
        <x:v>269</x:v>
      </x:c>
      <x:c r="E143" t="s">
        <x:v>361</x:v>
      </x:c>
      <x:c r="F143" t="s">
        <x:v>31</x:v>
      </x:c>
      <x:c r="G143" t="s">
        <x:v>362</x:v>
      </x:c>
      <x:c r="H143" t="s">
        <x:v>363</x:v>
      </x:c>
      <x:c r="I143" t="s">
        <x:v>364</x:v>
      </x:c>
      <x:c r="J143" t="s">
        <x:v>365</x:v>
      </x:c>
      <x:c r="K143" t="s">
        <x:v>366</x:v>
      </x:c>
      <x:c r="L143" t="s">
        <x:v>37</x:v>
      </x:c>
      <x:c r="M143" t="s">
        <x:v>367</x:v>
      </x:c>
      <x:c r="N143" t="s">
        <x:v>368</x:v>
      </x:c>
      <x:c r="O143" t="s">
        <x:v>369</x:v>
      </x:c>
      <x:c r="P143" t="s">
        <x:v>370</x:v>
      </x:c>
      <x:c r="Q143" t="s">
        <x:v>289</x:v>
      </x:c>
      <x:c r="R143">
        <x:v>1</x:v>
      </x:c>
      <x:c r="S143" t="s">
        <x:v>42</x:v>
      </x:c>
      <x:c r="T143" t="s">
        <x:v>44</x:v>
      </x:c>
      <x:c r="U143" t="s">
        <x:v>44</x:v>
      </x:c>
      <x:c r="V143" t="s">
        <x:v>45</x:v>
      </x:c>
      <x:c r="W143" t="s">
        <x:v>60</x:v>
      </x:c>
      <x:c r="X143">
        <x:v>0</x:v>
      </x:c>
      <x:c r="Y143" t="s">
        <x:v>290</x:v>
      </x:c>
      <x:c r="Z143" t="s">
        <x:v>48</x:v>
      </x:c>
      <x:c r="AA143" t="s">
        <x:v>49</x:v>
      </x:c>
      <x:c r="AB143">
        <x:v>976922608</x:v>
      </x:c>
      <x:c r="AC143" t="s">
        <x:v>371</x:v>
      </x:c>
    </x:row>
    <x:row r="144">
      <x:c r="A144" s="1">
        <x:v>46197</x:v>
      </x:c>
      <x:c r="B144" t="s">
        <x:v>3597</x:v>
      </x:c>
      <x:c r="C144" t="s">
        <x:v>360</x:v>
      </x:c>
      <x:c r="D144" t="s">
        <x:v>269</x:v>
      </x:c>
      <x:c r="E144" t="s">
        <x:v>361</x:v>
      </x:c>
      <x:c r="F144" t="s">
        <x:v>31</x:v>
      </x:c>
      <x:c r="G144" t="s">
        <x:v>362</x:v>
      </x:c>
      <x:c r="H144" t="s">
        <x:v>363</x:v>
      </x:c>
      <x:c r="I144" t="s">
        <x:v>364</x:v>
      </x:c>
      <x:c r="J144" t="s">
        <x:v>365</x:v>
      </x:c>
      <x:c r="K144" t="s">
        <x:v>366</x:v>
      </x:c>
      <x:c r="L144" t="s">
        <x:v>37</x:v>
      </x:c>
      <x:c r="M144" t="s">
        <x:v>367</x:v>
      </x:c>
      <x:c r="N144" t="s">
        <x:v>368</x:v>
      </x:c>
      <x:c r="O144" t="s">
        <x:v>369</x:v>
      </x:c>
      <x:c r="P144" t="s">
        <x:v>370</x:v>
      </x:c>
      <x:c r="Q144" t="s">
        <x:v>372</x:v>
      </x:c>
      <x:c r="R144">
        <x:v>1</x:v>
      </x:c>
      <x:c r="S144" t="s">
        <x:v>42</x:v>
      </x:c>
      <x:c r="T144" t="s">
        <x:v>44</x:v>
      </x:c>
      <x:c r="U144" t="s">
        <x:v>44</x:v>
      </x:c>
      <x:c r="V144" t="s">
        <x:v>45</x:v>
      </x:c>
      <x:c r="W144" t="s">
        <x:v>60</x:v>
      </x:c>
      <x:c r="X144">
        <x:v>550.85</x:v>
      </x:c>
      <x:c r="Y144" t="s">
        <x:v>290</x:v>
      </x:c>
      <x:c r="Z144" t="s">
        <x:v>48</x:v>
      </x:c>
      <x:c r="AA144" t="s">
        <x:v>49</x:v>
      </x:c>
      <x:c r="AB144">
        <x:v>976922608</x:v>
      </x:c>
      <x:c r="AC144" t="s">
        <x:v>371</x:v>
      </x:c>
    </x:row>
    <x:row r="145">
      <x:c r="A145" s="1">
        <x:v>46197</x:v>
      </x:c>
      <x:c r="B145" t="s">
        <x:v>3597</x:v>
      </x:c>
      <x:c r="C145" t="s">
        <x:v>373</x:v>
      </x:c>
      <x:c r="D145" t="s">
        <x:v>269</x:v>
      </x:c>
      <x:c r="E145" t="s">
        <x:v>374</x:v>
      </x:c>
      <x:c r="F145" t="s">
        <x:v>31</x:v>
      </x:c>
      <x:c r="G145" t="s">
        <x:v>375</x:v>
      </x:c>
      <x:c r="H145" t="s">
        <x:v>363</x:v>
      </x:c>
      <x:c r="I145" t="s">
        <x:v>364</x:v>
      </x:c>
      <x:c r="J145" t="s">
        <x:v>365</x:v>
      </x:c>
      <x:c r="K145" t="s">
        <x:v>366</x:v>
      </x:c>
      <x:c r="L145" t="s">
        <x:v>37</x:v>
      </x:c>
      <x:c r="M145" t="s">
        <x:v>367</x:v>
      </x:c>
      <x:c r="N145" t="s">
        <x:v>368</x:v>
      </x:c>
      <x:c r="O145" t="s">
        <x:v>369</x:v>
      </x:c>
      <x:c r="P145" t="s">
        <x:v>376</x:v>
      </x:c>
      <x:c r="Q145" t="s">
        <x:v>131</x:v>
      </x:c>
      <x:c r="R145">
        <x:v>1</x:v>
      </x:c>
      <x:c r="S145" t="s">
        <x:v>42</x:v>
      </x:c>
      <x:c r="T145" t="s">
        <x:v>44</x:v>
      </x:c>
      <x:c r="U145" t="s">
        <x:v>44</x:v>
      </x:c>
      <x:c r="V145" t="s">
        <x:v>45</x:v>
      </x:c>
      <x:c r="W145" t="s">
        <x:v>60</x:v>
      </x:c>
      <x:c r="X145">
        <x:v>152.54</x:v>
      </x:c>
      <x:c r="Y145" t="s">
        <x:v>47</x:v>
      </x:c>
      <x:c r="Z145" t="s">
        <x:v>48</x:v>
      </x:c>
      <x:c r="AA145" t="s">
        <x:v>49</x:v>
      </x:c>
      <x:c r="AB145">
        <x:v>976922608</x:v>
      </x:c>
      <x:c r="AC145" t="s">
        <x:v>371</x:v>
      </x:c>
      <x:c r="AD145">
        <x:v>30</x:v>
      </x:c>
    </x:row>
    <x:row r="146">
      <x:c r="A146" s="1">
        <x:v>46197</x:v>
      </x:c>
      <x:c r="B146" t="s">
        <x:v>3597</x:v>
      </x:c>
      <x:c r="C146" t="s">
        <x:v>377</x:v>
      </x:c>
      <x:c r="D146" t="s">
        <x:v>269</x:v>
      </x:c>
      <x:c r="E146" t="s">
        <x:v>378</x:v>
      </x:c>
      <x:c r="F146" t="s">
        <x:v>31</x:v>
      </x:c>
      <x:c r="G146" t="s">
        <x:v>379</x:v>
      </x:c>
      <x:c r="H146" t="s">
        <x:v>363</x:v>
      </x:c>
      <x:c r="I146" t="s">
        <x:v>364</x:v>
      </x:c>
      <x:c r="J146" t="s">
        <x:v>365</x:v>
      </x:c>
      <x:c r="K146" t="s">
        <x:v>366</x:v>
      </x:c>
      <x:c r="L146" t="s">
        <x:v>37</x:v>
      </x:c>
      <x:c r="M146" t="s">
        <x:v>367</x:v>
      </x:c>
      <x:c r="N146" t="s">
        <x:v>368</x:v>
      </x:c>
      <x:c r="O146" t="s">
        <x:v>369</x:v>
      </x:c>
      <x:c r="P146" t="s">
        <x:v>380</x:v>
      </x:c>
      <x:c r="Q146" t="s">
        <x:v>381</x:v>
      </x:c>
      <x:c r="R146">
        <x:v>1</x:v>
      </x:c>
      <x:c r="S146" t="s">
        <x:v>42</x:v>
      </x:c>
      <x:c r="T146" t="s">
        <x:v>44</x:v>
      </x:c>
      <x:c r="U146" t="s">
        <x:v>44</x:v>
      </x:c>
      <x:c r="V146" t="s">
        <x:v>45</x:v>
      </x:c>
      <x:c r="W146" t="s">
        <x:v>60</x:v>
      </x:c>
      <x:c r="X146">
        <x:v>33.9</x:v>
      </x:c>
      <x:c r="Y146" t="s">
        <x:v>47</x:v>
      </x:c>
      <x:c r="Z146" t="s">
        <x:v>48</x:v>
      </x:c>
      <x:c r="AA146" t="s">
        <x:v>49</x:v>
      </x:c>
      <x:c r="AB146">
        <x:v>976922608</x:v>
      </x:c>
      <x:c r="AC146" t="s">
        <x:v>371</x:v>
      </x:c>
    </x:row>
    <x:row r="147">
      <x:c r="A147" s="1">
        <x:v>46197</x:v>
      </x:c>
      <x:c r="B147" t="s">
        <x:v>3597</x:v>
      </x:c>
      <x:c r="C147" t="s">
        <x:v>735</x:v>
      </x:c>
      <x:c r="D147" t="s">
        <x:v>29</x:v>
      </x:c>
      <x:c r="E147" t="s">
        <x:v>736</x:v>
      </x:c>
      <x:c r="F147" t="s">
        <x:v>31</x:v>
      </x:c>
      <x:c r="G147" t="s">
        <x:v>737</x:v>
      </x:c>
      <x:c r="H147" t="s">
        <x:v>738</x:v>
      </x:c>
      <x:c r="I147" t="s">
        <x:v>739</x:v>
      </x:c>
      <x:c r="J147" t="s">
        <x:v>717</x:v>
      </x:c>
      <x:c r="K147" t="s">
        <x:v>718</x:v>
      </x:c>
      <x:c r="L147" t="s">
        <x:v>37</x:v>
      </x:c>
      <x:c r="M147" t="s">
        <x:v>740</x:v>
      </x:c>
      <x:c r="N147" t="s">
        <x:v>741</x:v>
      </x:c>
      <x:c r="O147" t="s">
        <x:v>738</x:v>
      </x:c>
      <x:c r="P147" t="s">
        <x:v>742</x:v>
      </x:c>
      <x:c r="Q147" t="s">
        <x:v>102</x:v>
      </x:c>
      <x:c r="R147">
        <x:v>1</x:v>
      </x:c>
      <x:c r="S147" t="s">
        <x:v>70</x:v>
      </x:c>
      <x:c r="T147" t="s">
        <x:v>43</x:v>
      </x:c>
      <x:c r="U147" t="s">
        <x:v>44</x:v>
      </x:c>
      <x:c r="V147" t="s">
        <x:v>71</x:v>
      </x:c>
      <x:c r="W147" t="s">
        <x:v>185</x:v>
      </x:c>
      <x:c r="X147">
        <x:v>186.44</x:v>
      </x:c>
      <x:c r="Y147" t="s">
        <x:v>47</x:v>
      </x:c>
      <x:c r="Z147" t="s">
        <x:v>48</x:v>
      </x:c>
      <x:c r="AA147" t="s">
        <x:v>73</x:v>
      </x:c>
      <x:c r="AB147">
        <x:v>955356636</x:v>
      </x:c>
      <x:c r="AC147" t="s">
        <x:v>722</x:v>
      </x:c>
      <x:c r="AD147">
        <x:v>50</x:v>
      </x:c>
    </x:row>
    <x:row r="148">
      <x:c r="A148" s="1">
        <x:v>46197</x:v>
      </x:c>
      <x:c r="B148" t="s">
        <x:v>3597</x:v>
      </x:c>
      <x:c r="C148" t="s">
        <x:v>735</x:v>
      </x:c>
      <x:c r="D148" t="s">
        <x:v>29</x:v>
      </x:c>
      <x:c r="E148" t="s">
        <x:v>736</x:v>
      </x:c>
      <x:c r="F148" t="s">
        <x:v>31</x:v>
      </x:c>
      <x:c r="G148" t="s">
        <x:v>737</x:v>
      </x:c>
      <x:c r="H148" t="s">
        <x:v>738</x:v>
      </x:c>
      <x:c r="I148" t="s">
        <x:v>739</x:v>
      </x:c>
      <x:c r="J148" t="s">
        <x:v>717</x:v>
      </x:c>
      <x:c r="K148" t="s">
        <x:v>718</x:v>
      </x:c>
      <x:c r="L148" t="s">
        <x:v>37</x:v>
      </x:c>
      <x:c r="M148" t="s">
        <x:v>740</x:v>
      </x:c>
      <x:c r="N148" t="s">
        <x:v>741</x:v>
      </x:c>
      <x:c r="O148" t="s">
        <x:v>738</x:v>
      </x:c>
      <x:c r="P148" t="s">
        <x:v>742</x:v>
      </x:c>
      <x:c r="Q148" t="s">
        <x:v>160</x:v>
      </x:c>
      <x:c r="R148">
        <x:v>1</x:v>
      </x:c>
      <x:c r="S148" t="s">
        <x:v>70</x:v>
      </x:c>
      <x:c r="T148" t="s">
        <x:v>43</x:v>
      </x:c>
      <x:c r="U148" t="s">
        <x:v>44</x:v>
      </x:c>
      <x:c r="V148" t="s">
        <x:v>71</x:v>
      </x:c>
      <x:c r="W148" t="s">
        <x:v>185</x:v>
      </x:c>
      <x:c r="X148">
        <x:v>135.59</x:v>
      </x:c>
      <x:c r="Y148" t="s">
        <x:v>47</x:v>
      </x:c>
      <x:c r="Z148" t="s">
        <x:v>48</x:v>
      </x:c>
      <x:c r="AA148" t="s">
        <x:v>73</x:v>
      </x:c>
      <x:c r="AB148">
        <x:v>955356636</x:v>
      </x:c>
      <x:c r="AC148" t="s">
        <x:v>722</x:v>
      </x:c>
      <x:c r="AD148">
        <x:v>30</x:v>
      </x:c>
    </x:row>
    <x:row r="149">
      <x:c r="A149" s="1">
        <x:v>46197</x:v>
      </x:c>
      <x:c r="B149" t="s">
        <x:v>3597</x:v>
      </x:c>
      <x:c r="C149" t="s">
        <x:v>1116</x:v>
      </x:c>
      <x:c r="D149" t="s">
        <x:v>29</x:v>
      </x:c>
      <x:c r="E149" t="s">
        <x:v>1117</x:v>
      </x:c>
      <x:c r="F149" t="s">
        <x:v>31</x:v>
      </x:c>
      <x:c r="G149" t="s">
        <x:v>1118</x:v>
      </x:c>
      <x:c r="H149" t="s">
        <x:v>1119</x:v>
      </x:c>
      <x:c r="I149" t="s">
        <x:v>1120</x:v>
      </x:c>
      <x:c r="J149" t="s">
        <x:v>1121</x:v>
      </x:c>
      <x:c r="K149" t="s">
        <x:v>1122</x:v>
      </x:c>
      <x:c r="L149" t="s">
        <x:v>37</x:v>
      </x:c>
      <x:c r="M149" t="s">
        <x:v>1123</x:v>
      </x:c>
      <x:c r="N149" t="s">
        <x:v>1124</x:v>
      </x:c>
      <x:c r="O149" t="s">
        <x:v>1119</x:v>
      </x:c>
      <x:c r="P149" t="s">
        <x:v>1125</x:v>
      </x:c>
      <x:c r="Q149" t="s">
        <x:v>202</x:v>
      </x:c>
      <x:c r="R149">
        <x:v>1</x:v>
      </x:c>
      <x:c r="S149" t="s">
        <x:v>42</x:v>
      </x:c>
      <x:c r="T149" t="s">
        <x:v>44</x:v>
      </x:c>
      <x:c r="U149" t="s">
        <x:v>44</x:v>
      </x:c>
      <x:c r="V149" t="s">
        <x:v>45</x:v>
      </x:c>
      <x:c r="W149" t="s">
        <x:v>60</x:v>
      </x:c>
      <x:c r="X149">
        <x:v>42.37</x:v>
      </x:c>
      <x:c r="Y149" t="s">
        <x:v>47</x:v>
      </x:c>
      <x:c r="Z149" t="s">
        <x:v>48</x:v>
      </x:c>
      <x:c r="AA149" t="s">
        <x:v>49</x:v>
      </x:c>
      <x:c r="AB149">
        <x:v>993540760</x:v>
      </x:c>
      <x:c r="AC149" t="s">
        <x:v>1126</x:v>
      </x:c>
      <x:c r="AD149">
        <x:v>30</x:v>
      </x:c>
    </x:row>
    <x:row r="150">
      <x:c r="A150" s="1">
        <x:v>46197</x:v>
      </x:c>
      <x:c r="B150" t="s">
        <x:v>3597</x:v>
      </x:c>
      <x:c r="C150" t="s">
        <x:v>1116</x:v>
      </x:c>
      <x:c r="D150" t="s">
        <x:v>29</x:v>
      </x:c>
      <x:c r="E150" t="s">
        <x:v>1117</x:v>
      </x:c>
      <x:c r="F150" t="s">
        <x:v>31</x:v>
      </x:c>
      <x:c r="G150" t="s">
        <x:v>1118</x:v>
      </x:c>
      <x:c r="H150" t="s">
        <x:v>1119</x:v>
      </x:c>
      <x:c r="I150" t="s">
        <x:v>1120</x:v>
      </x:c>
      <x:c r="J150" t="s">
        <x:v>1121</x:v>
      </x:c>
      <x:c r="K150" t="s">
        <x:v>1122</x:v>
      </x:c>
      <x:c r="L150" t="s">
        <x:v>37</x:v>
      </x:c>
      <x:c r="M150" t="s">
        <x:v>1123</x:v>
      </x:c>
      <x:c r="N150" t="s">
        <x:v>1124</x:v>
      </x:c>
      <x:c r="O150" t="s">
        <x:v>1119</x:v>
      </x:c>
      <x:c r="P150" t="s">
        <x:v>1125</x:v>
      </x:c>
      <x:c r="Q150" t="s">
        <x:v>203</x:v>
      </x:c>
      <x:c r="R150">
        <x:v>1</x:v>
      </x:c>
      <x:c r="S150" t="s">
        <x:v>42</x:v>
      </x:c>
      <x:c r="T150" t="s">
        <x:v>44</x:v>
      </x:c>
      <x:c r="U150" t="s">
        <x:v>44</x:v>
      </x:c>
      <x:c r="V150" t="s">
        <x:v>45</x:v>
      </x:c>
      <x:c r="W150" t="s">
        <x:v>60</x:v>
      </x:c>
      <x:c r="X150">
        <x:v>42.37</x:v>
      </x:c>
      <x:c r="Y150" t="s">
        <x:v>47</x:v>
      </x:c>
      <x:c r="Z150" t="s">
        <x:v>48</x:v>
      </x:c>
      <x:c r="AA150" t="s">
        <x:v>49</x:v>
      </x:c>
      <x:c r="AB150">
        <x:v>993540760</x:v>
      </x:c>
      <x:c r="AC150" t="s">
        <x:v>1126</x:v>
      </x:c>
      <x:c r="AD150">
        <x:v>30</x:v>
      </x:c>
    </x:row>
    <x:row r="151">
      <x:c r="A151" s="1">
        <x:v>46197</x:v>
      </x:c>
      <x:c r="B151" t="s">
        <x:v>3597</x:v>
      </x:c>
      <x:c r="C151" t="s">
        <x:v>1127</x:v>
      </x:c>
      <x:c r="D151" t="s">
        <x:v>29</x:v>
      </x:c>
      <x:c r="E151" t="s">
        <x:v>1128</x:v>
      </x:c>
      <x:c r="F151" t="s">
        <x:v>31</x:v>
      </x:c>
      <x:c r="G151" t="s">
        <x:v>1129</x:v>
      </x:c>
      <x:c r="H151" t="s">
        <x:v>1119</x:v>
      </x:c>
      <x:c r="I151" t="s">
        <x:v>1120</x:v>
      </x:c>
      <x:c r="J151" t="s">
        <x:v>1121</x:v>
      </x:c>
      <x:c r="K151" t="s">
        <x:v>1122</x:v>
      </x:c>
      <x:c r="L151" t="s">
        <x:v>37</x:v>
      </x:c>
      <x:c r="M151" t="s">
        <x:v>1123</x:v>
      </x:c>
      <x:c r="N151" t="s">
        <x:v>1124</x:v>
      </x:c>
      <x:c r="O151" t="s">
        <x:v>1119</x:v>
      </x:c>
      <x:c r="P151" t="s">
        <x:v>1130</x:v>
      </x:c>
      <x:c r="Q151" t="s">
        <x:v>620</x:v>
      </x:c>
      <x:c r="R151">
        <x:v>1</x:v>
      </x:c>
      <x:c r="S151" t="s">
        <x:v>42</x:v>
      </x:c>
      <x:c r="T151" t="s">
        <x:v>44</x:v>
      </x:c>
      <x:c r="U151" t="s">
        <x:v>44</x:v>
      </x:c>
      <x:c r="V151" t="s">
        <x:v>45</x:v>
      </x:c>
      <x:c r="W151" t="s">
        <x:v>60</x:v>
      </x:c>
      <x:c r="X151">
        <x:v>12.71</x:v>
      </x:c>
      <x:c r="Y151" t="s">
        <x:v>621</x:v>
      </x:c>
      <x:c r="Z151" t="s">
        <x:v>48</x:v>
      </x:c>
      <x:c r="AA151" t="s">
        <x:v>49</x:v>
      </x:c>
      <x:c r="AB151">
        <x:v>993540760</x:v>
      </x:c>
      <x:c r="AC151" t="s">
        <x:v>1126</x:v>
      </x:c>
    </x:row>
    <x:row r="152">
      <x:c r="A152" s="1">
        <x:v>46197</x:v>
      </x:c>
      <x:c r="B152" t="s">
        <x:v>3597</x:v>
      </x:c>
      <x:c r="C152" t="s">
        <x:v>1127</x:v>
      </x:c>
      <x:c r="D152" t="s">
        <x:v>29</x:v>
      </x:c>
      <x:c r="E152" t="s">
        <x:v>1128</x:v>
      </x:c>
      <x:c r="F152" t="s">
        <x:v>31</x:v>
      </x:c>
      <x:c r="G152" t="s">
        <x:v>1129</x:v>
      </x:c>
      <x:c r="H152" t="s">
        <x:v>1119</x:v>
      </x:c>
      <x:c r="I152" t="s">
        <x:v>1120</x:v>
      </x:c>
      <x:c r="J152" t="s">
        <x:v>1121</x:v>
      </x:c>
      <x:c r="K152" t="s">
        <x:v>1122</x:v>
      </x:c>
      <x:c r="L152" t="s">
        <x:v>37</x:v>
      </x:c>
      <x:c r="M152" t="s">
        <x:v>1123</x:v>
      </x:c>
      <x:c r="N152" t="s">
        <x:v>1124</x:v>
      </x:c>
      <x:c r="O152" t="s">
        <x:v>1119</x:v>
      </x:c>
      <x:c r="P152" t="s">
        <x:v>1130</x:v>
      </x:c>
      <x:c r="Q152" t="s">
        <x:v>622</x:v>
      </x:c>
      <x:c r="R152">
        <x:v>1</x:v>
      </x:c>
      <x:c r="S152" t="s">
        <x:v>42</x:v>
      </x:c>
      <x:c r="T152" t="s">
        <x:v>44</x:v>
      </x:c>
      <x:c r="U152" t="s">
        <x:v>44</x:v>
      </x:c>
      <x:c r="V152" t="s">
        <x:v>45</x:v>
      </x:c>
      <x:c r="W152" t="s">
        <x:v>60</x:v>
      </x:c>
      <x:c r="X152">
        <x:v>21.19</x:v>
      </x:c>
      <x:c r="Y152" t="s">
        <x:v>621</x:v>
      </x:c>
      <x:c r="Z152" t="s">
        <x:v>48</x:v>
      </x:c>
      <x:c r="AA152" t="s">
        <x:v>49</x:v>
      </x:c>
      <x:c r="AB152">
        <x:v>993540760</x:v>
      </x:c>
      <x:c r="AC152" t="s">
        <x:v>1126</x:v>
      </x:c>
    </x:row>
    <x:row r="153">
      <x:c r="A153" s="1">
        <x:v>46197</x:v>
      </x:c>
      <x:c r="B153" t="s">
        <x:v>3597</x:v>
      </x:c>
      <x:c r="C153" t="s">
        <x:v>1127</x:v>
      </x:c>
      <x:c r="D153" t="s">
        <x:v>29</x:v>
      </x:c>
      <x:c r="E153" t="s">
        <x:v>1128</x:v>
      </x:c>
      <x:c r="F153" t="s">
        <x:v>31</x:v>
      </x:c>
      <x:c r="G153" t="s">
        <x:v>1129</x:v>
      </x:c>
      <x:c r="H153" t="s">
        <x:v>1119</x:v>
      </x:c>
      <x:c r="I153" t="s">
        <x:v>1120</x:v>
      </x:c>
      <x:c r="J153" t="s">
        <x:v>1121</x:v>
      </x:c>
      <x:c r="K153" t="s">
        <x:v>1122</x:v>
      </x:c>
      <x:c r="L153" t="s">
        <x:v>37</x:v>
      </x:c>
      <x:c r="M153" t="s">
        <x:v>1123</x:v>
      </x:c>
      <x:c r="N153" t="s">
        <x:v>1124</x:v>
      </x:c>
      <x:c r="O153" t="s">
        <x:v>1119</x:v>
      </x:c>
      <x:c r="P153" t="s">
        <x:v>1130</x:v>
      </x:c>
      <x:c r="Q153" t="s">
        <x:v>623</x:v>
      </x:c>
      <x:c r="R153">
        <x:v>1</x:v>
      </x:c>
      <x:c r="S153" t="s">
        <x:v>42</x:v>
      </x:c>
      <x:c r="T153" t="s">
        <x:v>44</x:v>
      </x:c>
      <x:c r="U153" t="s">
        <x:v>44</x:v>
      </x:c>
      <x:c r="V153" t="s">
        <x:v>45</x:v>
      </x:c>
      <x:c r="W153" t="s">
        <x:v>60</x:v>
      </x:c>
      <x:c r="X153">
        <x:v>12.71</x:v>
      </x:c>
      <x:c r="Y153" t="s">
        <x:v>621</x:v>
      </x:c>
      <x:c r="Z153" t="s">
        <x:v>48</x:v>
      </x:c>
      <x:c r="AA153" t="s">
        <x:v>49</x:v>
      </x:c>
      <x:c r="AB153">
        <x:v>993540760</x:v>
      </x:c>
      <x:c r="AC153" t="s">
        <x:v>1126</x:v>
      </x:c>
    </x:row>
    <x:row r="154">
      <x:c r="A154" s="1">
        <x:v>46197</x:v>
      </x:c>
      <x:c r="B154" t="s">
        <x:v>3597</x:v>
      </x:c>
      <x:c r="C154" t="s">
        <x:v>1127</x:v>
      </x:c>
      <x:c r="D154" t="s">
        <x:v>29</x:v>
      </x:c>
      <x:c r="E154" t="s">
        <x:v>1128</x:v>
      </x:c>
      <x:c r="F154" t="s">
        <x:v>31</x:v>
      </x:c>
      <x:c r="G154" t="s">
        <x:v>1129</x:v>
      </x:c>
      <x:c r="H154" t="s">
        <x:v>1119</x:v>
      </x:c>
      <x:c r="I154" t="s">
        <x:v>1120</x:v>
      </x:c>
      <x:c r="J154" t="s">
        <x:v>1121</x:v>
      </x:c>
      <x:c r="K154" t="s">
        <x:v>1122</x:v>
      </x:c>
      <x:c r="L154" t="s">
        <x:v>37</x:v>
      </x:c>
      <x:c r="M154" t="s">
        <x:v>1123</x:v>
      </x:c>
      <x:c r="N154" t="s">
        <x:v>1124</x:v>
      </x:c>
      <x:c r="O154" t="s">
        <x:v>1119</x:v>
      </x:c>
      <x:c r="P154" t="s">
        <x:v>1130</x:v>
      </x:c>
      <x:c r="Q154" t="s">
        <x:v>624</x:v>
      </x:c>
      <x:c r="R154">
        <x:v>1</x:v>
      </x:c>
      <x:c r="S154" t="s">
        <x:v>42</x:v>
      </x:c>
      <x:c r="T154" t="s">
        <x:v>44</x:v>
      </x:c>
      <x:c r="U154" t="s">
        <x:v>44</x:v>
      </x:c>
      <x:c r="V154" t="s">
        <x:v>45</x:v>
      </x:c>
      <x:c r="W154" t="s">
        <x:v>60</x:v>
      </x:c>
      <x:c r="X154">
        <x:v>12.71</x:v>
      </x:c>
      <x:c r="Y154" t="s">
        <x:v>621</x:v>
      </x:c>
      <x:c r="Z154" t="s">
        <x:v>48</x:v>
      </x:c>
      <x:c r="AA154" t="s">
        <x:v>49</x:v>
      </x:c>
      <x:c r="AB154">
        <x:v>993540760</x:v>
      </x:c>
      <x:c r="AC154" t="s">
        <x:v>1126</x:v>
      </x:c>
    </x:row>
    <x:row r="155">
      <x:c r="A155" s="1">
        <x:v>46197</x:v>
      </x:c>
      <x:c r="B155" t="s">
        <x:v>3597</x:v>
      </x:c>
      <x:c r="C155" t="s">
        <x:v>1127</x:v>
      </x:c>
      <x:c r="D155" t="s">
        <x:v>29</x:v>
      </x:c>
      <x:c r="E155" t="s">
        <x:v>1128</x:v>
      </x:c>
      <x:c r="F155" t="s">
        <x:v>31</x:v>
      </x:c>
      <x:c r="G155" t="s">
        <x:v>1129</x:v>
      </x:c>
      <x:c r="H155" t="s">
        <x:v>1119</x:v>
      </x:c>
      <x:c r="I155" t="s">
        <x:v>1120</x:v>
      </x:c>
      <x:c r="J155" t="s">
        <x:v>1121</x:v>
      </x:c>
      <x:c r="K155" t="s">
        <x:v>1122</x:v>
      </x:c>
      <x:c r="L155" t="s">
        <x:v>37</x:v>
      </x:c>
      <x:c r="M155" t="s">
        <x:v>1123</x:v>
      </x:c>
      <x:c r="N155" t="s">
        <x:v>1124</x:v>
      </x:c>
      <x:c r="O155" t="s">
        <x:v>1119</x:v>
      </x:c>
      <x:c r="P155" t="s">
        <x:v>1130</x:v>
      </x:c>
      <x:c r="Q155" t="s">
        <x:v>835</x:v>
      </x:c>
      <x:c r="R155">
        <x:v>1</x:v>
      </x:c>
      <x:c r="S155" t="s">
        <x:v>42</x:v>
      </x:c>
      <x:c r="T155" t="s">
        <x:v>44</x:v>
      </x:c>
      <x:c r="U155" t="s">
        <x:v>44</x:v>
      </x:c>
      <x:c r="V155" t="s">
        <x:v>45</x:v>
      </x:c>
      <x:c r="W155" t="s">
        <x:v>60</x:v>
      </x:c>
      <x:c r="X155">
        <x:v>50.85</x:v>
      </x:c>
      <x:c r="Y155" t="s">
        <x:v>621</x:v>
      </x:c>
      <x:c r="Z155" t="s">
        <x:v>48</x:v>
      </x:c>
      <x:c r="AA155" t="s">
        <x:v>49</x:v>
      </x:c>
      <x:c r="AB155">
        <x:v>993540760</x:v>
      </x:c>
      <x:c r="AC155" t="s">
        <x:v>1126</x:v>
      </x:c>
    </x:row>
    <x:row r="156">
      <x:c r="A156" s="1">
        <x:v>46197</x:v>
      </x:c>
      <x:c r="B156" t="s">
        <x:v>3597</x:v>
      </x:c>
      <x:c r="C156" t="s">
        <x:v>1131</x:v>
      </x:c>
      <x:c r="D156" t="s">
        <x:v>29</x:v>
      </x:c>
      <x:c r="E156" t="s">
        <x:v>1132</x:v>
      </x:c>
      <x:c r="F156" t="s">
        <x:v>31</x:v>
      </x:c>
      <x:c r="G156" t="s">
        <x:v>1133</x:v>
      </x:c>
      <x:c r="H156" t="s">
        <x:v>1119</x:v>
      </x:c>
      <x:c r="I156" t="s">
        <x:v>1120</x:v>
      </x:c>
      <x:c r="J156" t="s">
        <x:v>1121</x:v>
      </x:c>
      <x:c r="K156" t="s">
        <x:v>1122</x:v>
      </x:c>
      <x:c r="L156" t="s">
        <x:v>37</x:v>
      </x:c>
      <x:c r="M156" t="s">
        <x:v>1123</x:v>
      </x:c>
      <x:c r="N156" t="s">
        <x:v>1124</x:v>
      </x:c>
      <x:c r="O156" t="s">
        <x:v>1119</x:v>
      </x:c>
      <x:c r="P156" t="s">
        <x:v>1134</x:v>
      </x:c>
      <x:c r="Q156" t="s">
        <x:v>830</x:v>
      </x:c>
      <x:c r="R156">
        <x:v>1</x:v>
      </x:c>
      <x:c r="S156" t="s">
        <x:v>42</x:v>
      </x:c>
      <x:c r="T156" t="s">
        <x:v>44</x:v>
      </x:c>
      <x:c r="U156" t="s">
        <x:v>44</x:v>
      </x:c>
      <x:c r="V156" t="s">
        <x:v>45</x:v>
      </x:c>
      <x:c r="W156" t="s">
        <x:v>60</x:v>
      </x:c>
      <x:c r="X156">
        <x:v>127.12</x:v>
      </x:c>
      <x:c r="Y156" t="s">
        <x:v>47</x:v>
      </x:c>
      <x:c r="Z156" t="s">
        <x:v>48</x:v>
      </x:c>
      <x:c r="AA156" t="s">
        <x:v>49</x:v>
      </x:c>
      <x:c r="AB156">
        <x:v>993540760</x:v>
      </x:c>
      <x:c r="AC156" t="s">
        <x:v>1126</x:v>
      </x:c>
    </x:row>
    <x:row r="157">
      <x:c r="A157" s="1">
        <x:v>46197</x:v>
      </x:c>
      <x:c r="B157" t="s">
        <x:v>3597</x:v>
      </x:c>
      <x:c r="C157" t="s">
        <x:v>1358</x:v>
      </x:c>
      <x:c r="D157" t="s">
        <x:v>29</x:v>
      </x:c>
      <x:c r="E157" t="s">
        <x:v>1359</x:v>
      </x:c>
      <x:c r="F157" t="s">
        <x:v>31</x:v>
      </x:c>
      <x:c r="G157" t="s">
        <x:v>1360</x:v>
      </x:c>
      <x:c r="H157" t="s">
        <x:v>1361</x:v>
      </x:c>
      <x:c r="I157" t="s">
        <x:v>1362</x:v>
      </x:c>
      <x:c r="J157" t="s">
        <x:v>1363</x:v>
      </x:c>
      <x:c r="L157" t="s">
        <x:v>37</x:v>
      </x:c>
      <x:c r="M157" t="s">
        <x:v>1364</x:v>
      </x:c>
      <x:c r="N157" t="s">
        <x:v>1365</x:v>
      </x:c>
      <x:c r="O157" t="s">
        <x:v>1361</x:v>
      </x:c>
      <x:c r="P157" t="s">
        <x:v>1366</x:v>
      </x:c>
      <x:c r="Q157" t="s">
        <x:v>1159</x:v>
      </x:c>
      <x:c r="R157">
        <x:v>1</x:v>
      </x:c>
      <x:c r="S157" t="s">
        <x:v>42</x:v>
      </x:c>
      <x:c r="T157" t="s">
        <x:v>44</x:v>
      </x:c>
      <x:c r="U157" t="s">
        <x:v>44</x:v>
      </x:c>
      <x:c r="V157" t="s">
        <x:v>45</x:v>
      </x:c>
      <x:c r="W157" t="s">
        <x:v>60</x:v>
      </x:c>
      <x:c r="X157">
        <x:v>338.98</x:v>
      </x:c>
      <x:c r="Y157" t="s">
        <x:v>47</x:v>
      </x:c>
      <x:c r="Z157" t="s">
        <x:v>48</x:v>
      </x:c>
      <x:c r="AA157" t="s">
        <x:v>49</x:v>
      </x:c>
      <x:c r="AD157">
        <x:v>100</x:v>
      </x:c>
    </x:row>
    <x:row r="158">
      <x:c r="A158" s="1">
        <x:v>46198</x:v>
      </x:c>
      <x:c r="B158" t="s">
        <x:v>3597</x:v>
      </x:c>
      <x:c r="C158" t="s">
        <x:v>177</x:v>
      </x:c>
      <x:c r="D158" t="s">
        <x:v>29</x:v>
      </x:c>
      <x:c r="E158" t="s">
        <x:v>178</x:v>
      </x:c>
      <x:c r="F158" t="s">
        <x:v>31</x:v>
      </x:c>
      <x:c r="G158" t="s">
        <x:v>179</x:v>
      </x:c>
      <x:c r="H158" t="s">
        <x:v>180</x:v>
      </x:c>
      <x:c r="I158" t="s">
        <x:v>181</x:v>
      </x:c>
      <x:c r="J158" t="s">
        <x:v>137</x:v>
      </x:c>
      <x:c r="K158" t="s">
        <x:v>138</x:v>
      </x:c>
      <x:c r="L158" t="s">
        <x:v>37</x:v>
      </x:c>
      <x:c r="M158" t="s">
        <x:v>182</x:v>
      </x:c>
      <x:c r="N158" t="s">
        <x:v>183</x:v>
      </x:c>
      <x:c r="O158" t="s">
        <x:v>180</x:v>
      </x:c>
      <x:c r="P158" t="s">
        <x:v>184</x:v>
      </x:c>
      <x:c r="Q158" t="s">
        <x:v>91</x:v>
      </x:c>
      <x:c r="R158">
        <x:v>1</x:v>
      </x:c>
      <x:c r="S158" t="s">
        <x:v>70</x:v>
      </x:c>
      <x:c r="T158" t="s">
        <x:v>43</x:v>
      </x:c>
      <x:c r="U158" t="s">
        <x:v>44</x:v>
      </x:c>
      <x:c r="V158" t="s">
        <x:v>71</x:v>
      </x:c>
      <x:c r="W158" t="s">
        <x:v>185</x:v>
      </x:c>
      <x:c r="X158">
        <x:v>135.59</x:v>
      </x:c>
      <x:c r="Y158" t="s">
        <x:v>47</x:v>
      </x:c>
      <x:c r="Z158" t="s">
        <x:v>48</x:v>
      </x:c>
      <x:c r="AA158" t="s">
        <x:v>73</x:v>
      </x:c>
      <x:c r="AB158">
        <x:v>987407712</x:v>
      </x:c>
      <x:c r="AC158" t="s">
        <x:v>142</x:v>
      </x:c>
      <x:c r="AD158">
        <x:v>30</x:v>
      </x:c>
    </x:row>
    <x:row r="159">
      <x:c r="A159" s="1">
        <x:v>46198</x:v>
      </x:c>
      <x:c r="B159" t="s">
        <x:v>3597</x:v>
      </x:c>
      <x:c r="C159" t="s">
        <x:v>215</x:v>
      </x:c>
      <x:c r="D159" t="s">
        <x:v>29</x:v>
      </x:c>
      <x:c r="E159" t="s">
        <x:v>216</x:v>
      </x:c>
      <x:c r="F159" t="s">
        <x:v>31</x:v>
      </x:c>
      <x:c r="G159" t="s">
        <x:v>217</x:v>
      </x:c>
      <x:c r="H159" t="s">
        <x:v>218</x:v>
      </x:c>
      <x:c r="I159" t="s">
        <x:v>219</x:v>
      </x:c>
      <x:c r="J159" t="s">
        <x:v>209</x:v>
      </x:c>
      <x:c r="K159" t="s">
        <x:v>210</x:v>
      </x:c>
      <x:c r="L159" t="s">
        <x:v>37</x:v>
      </x:c>
      <x:c r="M159" t="s">
        <x:v>220</x:v>
      </x:c>
      <x:c r="N159" t="s">
        <x:v>221</x:v>
      </x:c>
      <x:c r="O159" t="s">
        <x:v>218</x:v>
      </x:c>
      <x:c r="P159" t="s">
        <x:v>222</x:v>
      </x:c>
      <x:c r="Q159" t="s">
        <x:v>59</x:v>
      </x:c>
      <x:c r="R159">
        <x:v>1</x:v>
      </x:c>
      <x:c r="S159" t="s">
        <x:v>42</x:v>
      </x:c>
      <x:c r="T159" t="s">
        <x:v>44</x:v>
      </x:c>
      <x:c r="U159" t="s">
        <x:v>44</x:v>
      </x:c>
      <x:c r="V159" t="s">
        <x:v>45</x:v>
      </x:c>
      <x:c r="W159" t="s">
        <x:v>60</x:v>
      </x:c>
      <x:c r="X159">
        <x:v>101.69</x:v>
      </x:c>
      <x:c r="Y159" t="s">
        <x:v>61</x:v>
      </x:c>
      <x:c r="Z159" t="s">
        <x:v>48</x:v>
      </x:c>
      <x:c r="AA159" t="s">
        <x:v>49</x:v>
      </x:c>
    </x:row>
    <x:row r="160">
      <x:c r="A160" s="1">
        <x:v>46198</x:v>
      </x:c>
      <x:c r="B160" t="s">
        <x:v>3597</x:v>
      </x:c>
      <x:c r="C160" t="s">
        <x:v>1247</x:v>
      </x:c>
      <x:c r="D160" t="s">
        <x:v>269</x:v>
      </x:c>
      <x:c r="E160" t="s">
        <x:v>1248</x:v>
      </x:c>
      <x:c r="F160" t="s">
        <x:v>31</x:v>
      </x:c>
      <x:c r="G160" t="s">
        <x:v>1249</x:v>
      </x:c>
      <x:c r="H160" t="s">
        <x:v>1250</x:v>
      </x:c>
      <x:c r="I160" t="s">
        <x:v>1251</x:v>
      </x:c>
      <x:c r="J160" t="s">
        <x:v>2841</x:v>
      </x:c>
      <x:c r="K160" t="s">
        <x:v>210</x:v>
      </x:c>
      <x:c r="L160" t="s">
        <x:v>37</x:v>
      </x:c>
      <x:c r="M160" t="s">
        <x:v>1253</x:v>
      </x:c>
      <x:c r="N160" t="s">
        <x:v>610</x:v>
      </x:c>
      <x:c r="O160" t="s">
        <x:v>1254</x:v>
      </x:c>
      <x:c r="P160" t="s">
        <x:v>1255</x:v>
      </x:c>
      <x:c r="Q160" t="s">
        <x:v>289</x:v>
      </x:c>
      <x:c r="R160">
        <x:v>1</x:v>
      </x:c>
      <x:c r="S160" t="s">
        <x:v>42</x:v>
      </x:c>
      <x:c r="T160" t="s">
        <x:v>44</x:v>
      </x:c>
      <x:c r="U160" t="s">
        <x:v>44</x:v>
      </x:c>
      <x:c r="V160" t="s">
        <x:v>45</x:v>
      </x:c>
      <x:c r="W160" t="s">
        <x:v>60</x:v>
      </x:c>
      <x:c r="X160">
        <x:v>0</x:v>
      </x:c>
      <x:c r="Y160" t="s">
        <x:v>290</x:v>
      </x:c>
      <x:c r="Z160" t="s">
        <x:v>48</x:v>
      </x:c>
      <x:c r="AA160" t="s">
        <x:v>49</x:v>
      </x:c>
      <x:c r="AB160">
        <x:v>994872106</x:v>
      </x:c>
      <x:c r="AC160" t="s">
        <x:v>1256</x:v>
      </x:c>
    </x:row>
    <x:row r="161">
      <x:c r="A161" s="1">
        <x:v>46198</x:v>
      </x:c>
      <x:c r="B161" t="s">
        <x:v>3597</x:v>
      </x:c>
      <x:c r="C161" t="s">
        <x:v>1247</x:v>
      </x:c>
      <x:c r="D161" t="s">
        <x:v>269</x:v>
      </x:c>
      <x:c r="E161" t="s">
        <x:v>1248</x:v>
      </x:c>
      <x:c r="F161" t="s">
        <x:v>31</x:v>
      </x:c>
      <x:c r="G161" t="s">
        <x:v>1249</x:v>
      </x:c>
      <x:c r="H161" t="s">
        <x:v>1250</x:v>
      </x:c>
      <x:c r="I161" t="s">
        <x:v>1251</x:v>
      </x:c>
      <x:c r="J161" t="s">
        <x:v>2841</x:v>
      </x:c>
      <x:c r="K161" t="s">
        <x:v>210</x:v>
      </x:c>
      <x:c r="L161" t="s">
        <x:v>37</x:v>
      </x:c>
      <x:c r="M161" t="s">
        <x:v>1253</x:v>
      </x:c>
      <x:c r="N161" t="s">
        <x:v>610</x:v>
      </x:c>
      <x:c r="O161" t="s">
        <x:v>1254</x:v>
      </x:c>
      <x:c r="P161" t="s">
        <x:v>1255</x:v>
      </x:c>
      <x:c r="Q161" t="s">
        <x:v>1257</x:v>
      </x:c>
      <x:c r="R161">
        <x:v>1</x:v>
      </x:c>
      <x:c r="S161" t="s">
        <x:v>42</x:v>
      </x:c>
      <x:c r="T161" t="s">
        <x:v>44</x:v>
      </x:c>
      <x:c r="U161" t="s">
        <x:v>44</x:v>
      </x:c>
      <x:c r="V161" t="s">
        <x:v>45</x:v>
      </x:c>
      <x:c r="W161" t="s">
        <x:v>60</x:v>
      </x:c>
      <x:c r="X161">
        <x:v>139.83000000000001</x:v>
      </x:c>
      <x:c r="Y161" t="s">
        <x:v>290</x:v>
      </x:c>
      <x:c r="Z161" t="s">
        <x:v>48</x:v>
      </x:c>
      <x:c r="AA161" t="s">
        <x:v>49</x:v>
      </x:c>
      <x:c r="AB161">
        <x:v>994872106</x:v>
      </x:c>
      <x:c r="AC161" t="s">
        <x:v>1256</x:v>
      </x:c>
    </x:row>
    <x:row r="162">
      <x:c r="A162" s="1">
        <x:v>46203</x:v>
      </x:c>
      <x:c r="B162" t="s">
        <x:v>3597</x:v>
      </x:c>
      <x:c r="C162" t="s">
        <x:v>538</x:v>
      </x:c>
      <x:c r="D162" t="s">
        <x:v>29</x:v>
      </x:c>
      <x:c r="E162" t="s">
        <x:v>539</x:v>
      </x:c>
      <x:c r="F162" t="s">
        <x:v>31</x:v>
      </x:c>
      <x:c r="G162" t="s">
        <x:v>540</x:v>
      </x:c>
      <x:c r="H162" t="s">
        <x:v>541</x:v>
      </x:c>
      <x:c r="I162" t="s">
        <x:v>542</x:v>
      </x:c>
      <x:c r="L162" t="s">
        <x:v>37</x:v>
      </x:c>
      <x:c r="M162" t="s">
        <x:v>543</x:v>
      </x:c>
      <x:c r="N162" t="s">
        <x:v>544</x:v>
      </x:c>
      <x:c r="O162" t="s">
        <x:v>541</x:v>
      </x:c>
      <x:c r="P162" t="s">
        <x:v>545</x:v>
      </x:c>
      <x:c r="Q162" t="s">
        <x:v>102</x:v>
      </x:c>
      <x:c r="R162">
        <x:v>1</x:v>
      </x:c>
      <x:c r="S162" t="s">
        <x:v>70</x:v>
      </x:c>
      <x:c r="T162" t="s">
        <x:v>43</x:v>
      </x:c>
      <x:c r="U162" t="s">
        <x:v>44</x:v>
      </x:c>
      <x:c r="V162" t="s">
        <x:v>71</x:v>
      </x:c>
      <x:c r="W162" t="s">
        <x:v>72</x:v>
      </x:c>
      <x:c r="X162">
        <x:v>186.44</x:v>
      </x:c>
      <x:c r="Y162" t="s">
        <x:v>47</x:v>
      </x:c>
      <x:c r="Z162" t="s">
        <x:v>48</x:v>
      </x:c>
      <x:c r="AA162" t="s">
        <x:v>73</x:v>
      </x:c>
      <x:c r="AD162">
        <x:v>50</x:v>
      </x:c>
    </x:row>
    <x:row r="163">
      <x:c r="A163" s="1">
        <x:v>46203</x:v>
      </x:c>
      <x:c r="B163" t="s">
        <x:v>3597</x:v>
      </x:c>
      <x:c r="C163" t="s">
        <x:v>1140</x:v>
      </x:c>
      <x:c r="D163" t="s">
        <x:v>269</x:v>
      </x:c>
      <x:c r="E163" t="s">
        <x:v>1141</x:v>
      </x:c>
      <x:c r="F163" t="s">
        <x:v>31</x:v>
      </x:c>
      <x:c r="G163" t="s">
        <x:v>1142</x:v>
      </x:c>
      <x:c r="H163" t="s">
        <x:v>1143</x:v>
      </x:c>
      <x:c r="I163" t="s">
        <x:v>1144</x:v>
      </x:c>
      <x:c r="J163" t="s">
        <x:v>1145</x:v>
      </x:c>
      <x:c r="K163" t="s">
        <x:v>366</x:v>
      </x:c>
      <x:c r="L163" t="s">
        <x:v>37</x:v>
      </x:c>
      <x:c r="M163" t="s">
        <x:v>1146</x:v>
      </x:c>
      <x:c r="N163" t="s">
        <x:v>1147</x:v>
      </x:c>
      <x:c r="O163" t="s">
        <x:v>1143</x:v>
      </x:c>
      <x:c r="P163" t="s">
        <x:v>1148</x:v>
      </x:c>
      <x:c r="Q163" t="s">
        <x:v>41</x:v>
      </x:c>
      <x:c r="R163">
        <x:v>1</x:v>
      </x:c>
      <x:c r="S163" t="s">
        <x:v>42</x:v>
      </x:c>
      <x:c r="T163" t="s">
        <x:v>44</x:v>
      </x:c>
      <x:c r="U163" t="s">
        <x:v>44</x:v>
      </x:c>
      <x:c r="V163" t="s">
        <x:v>45</x:v>
      </x:c>
      <x:c r="W163" t="s">
        <x:v>60</x:v>
      </x:c>
      <x:c r="X163">
        <x:v>186.44</x:v>
      </x:c>
      <x:c r="Y163" t="s">
        <x:v>47</x:v>
      </x:c>
      <x:c r="Z163" t="s">
        <x:v>48</x:v>
      </x:c>
      <x:c r="AA163" t="s">
        <x:v>49</x:v>
      </x:c>
      <x:c r="AB163">
        <x:v>995833213</x:v>
      </x:c>
      <x:c r="AC163" t="s">
        <x:v>1149</x:v>
      </x:c>
      <x:c r="AD163">
        <x:v>50</x:v>
      </x:c>
    </x:row>
    <x:row r="164">
      <x:c r="A164" s="1">
        <x:v>46204</x:v>
      </x:c>
      <x:c r="B164" t="s">
        <x:v>3600</x:v>
      </x:c>
      <x:c r="C164" t="s">
        <x:v>123</x:v>
      </x:c>
      <x:c r="D164" t="s">
        <x:v>29</x:v>
      </x:c>
      <x:c r="E164" t="s">
        <x:v>124</x:v>
      </x:c>
      <x:c r="F164" t="s">
        <x:v>31</x:v>
      </x:c>
      <x:c r="G164" t="s">
        <x:v>125</x:v>
      </x:c>
      <x:c r="H164" t="s">
        <x:v>126</x:v>
      </x:c>
      <x:c r="I164" t="s">
        <x:v>127</x:v>
      </x:c>
      <x:c r="J164" t="s">
        <x:v>117</x:v>
      </x:c>
      <x:c r="K164" t="s">
        <x:v>118</x:v>
      </x:c>
      <x:c r="L164" t="s">
        <x:v>37</x:v>
      </x:c>
      <x:c r="M164" t="s">
        <x:v>128</x:v>
      </x:c>
      <x:c r="N164" t="s">
        <x:v>129</x:v>
      </x:c>
      <x:c r="O164" t="s">
        <x:v>126</x:v>
      </x:c>
      <x:c r="P164" t="s">
        <x:v>130</x:v>
      </x:c>
      <x:c r="Q164" t="s">
        <x:v>131</x:v>
      </x:c>
      <x:c r="R164">
        <x:v>1</x:v>
      </x:c>
      <x:c r="S164" t="s">
        <x:v>42</x:v>
      </x:c>
      <x:c r="T164" t="s">
        <x:v>44</x:v>
      </x:c>
      <x:c r="U164" t="s">
        <x:v>44</x:v>
      </x:c>
      <x:c r="V164" t="s">
        <x:v>45</x:v>
      </x:c>
      <x:c r="W164" t="s">
        <x:v>60</x:v>
      </x:c>
      <x:c r="X164">
        <x:v>152.54</x:v>
      </x:c>
      <x:c r="Y164" t="s">
        <x:v>47</x:v>
      </x:c>
      <x:c r="Z164" t="s">
        <x:v>48</x:v>
      </x:c>
      <x:c r="AA164" t="s">
        <x:v>49</x:v>
      </x:c>
      <x:c r="AB164">
        <x:v>945319366</x:v>
      </x:c>
      <x:c r="AC164" t="s">
        <x:v>122</x:v>
      </x:c>
      <x:c r="AD164">
        <x:v>30</x:v>
      </x:c>
    </x:row>
    <x:row r="165">
      <x:c r="A165" s="1">
        <x:v>46204</x:v>
      </x:c>
      <x:c r="B165" t="s">
        <x:v>3600</x:v>
      </x:c>
      <x:c r="C165" t="s">
        <x:v>1086</x:v>
      </x:c>
      <x:c r="D165" t="s">
        <x:v>29</x:v>
      </x:c>
      <x:c r="E165" t="s">
        <x:v>1087</x:v>
      </x:c>
      <x:c r="F165" t="s">
        <x:v>31</x:v>
      </x:c>
      <x:c r="G165" t="s">
        <x:v>1088</x:v>
      </x:c>
      <x:c r="H165" t="s">
        <x:v>1089</x:v>
      </x:c>
      <x:c r="I165" t="s">
        <x:v>1090</x:v>
      </x:c>
      <x:c r="J165" t="s">
        <x:v>1075</x:v>
      </x:c>
      <x:c r="K165" t="s">
        <x:v>98</x:v>
      </x:c>
      <x:c r="L165" t="s">
        <x:v>37</x:v>
      </x:c>
      <x:c r="M165" t="s">
        <x:v>1091</x:v>
      </x:c>
      <x:c r="N165" t="s">
        <x:v>1092</x:v>
      </x:c>
      <x:c r="O165" t="s">
        <x:v>1089</x:v>
      </x:c>
      <x:c r="P165" t="s">
        <x:v>1093</x:v>
      </x:c>
      <x:c r="Q165" t="s">
        <x:v>202</x:v>
      </x:c>
      <x:c r="R165">
        <x:v>1</x:v>
      </x:c>
      <x:c r="S165" t="s">
        <x:v>42</x:v>
      </x:c>
      <x:c r="T165" t="s">
        <x:v>44</x:v>
      </x:c>
      <x:c r="U165" t="s">
        <x:v>44</x:v>
      </x:c>
      <x:c r="V165" t="s">
        <x:v>45</x:v>
      </x:c>
      <x:c r="W165" t="s">
        <x:v>60</x:v>
      </x:c>
      <x:c r="X165">
        <x:v>152.54</x:v>
      </x:c>
      <x:c r="Y165" t="s">
        <x:v>47</x:v>
      </x:c>
      <x:c r="Z165" t="s">
        <x:v>48</x:v>
      </x:c>
      <x:c r="AA165" t="s">
        <x:v>49</x:v>
      </x:c>
      <x:c r="AB165">
        <x:v>999986041</x:v>
      </x:c>
      <x:c r="AC165" t="s">
        <x:v>1079</x:v>
      </x:c>
      <x:c r="AD165">
        <x:v>30</x:v>
      </x:c>
    </x:row>
    <x:row r="166">
      <x:c r="A166" s="1">
        <x:v>46204</x:v>
      </x:c>
      <x:c r="B166" t="s">
        <x:v>3600</x:v>
      </x:c>
      <x:c r="C166" t="s">
        <x:v>1150</x:v>
      </x:c>
      <x:c r="D166" t="s">
        <x:v>29</x:v>
      </x:c>
      <x:c r="E166" t="s">
        <x:v>1151</x:v>
      </x:c>
      <x:c r="F166" t="s">
        <x:v>31</x:v>
      </x:c>
      <x:c r="G166" t="s">
        <x:v>1152</x:v>
      </x:c>
      <x:c r="H166" t="s">
        <x:v>1153</x:v>
      </x:c>
      <x:c r="I166" t="s">
        <x:v>1154</x:v>
      </x:c>
      <x:c r="J166" t="s">
        <x:v>1155</x:v>
      </x:c>
      <x:c r="K166" t="s">
        <x:v>1156</x:v>
      </x:c>
      <x:c r="L166" t="s">
        <x:v>37</x:v>
      </x:c>
      <x:c r="M166" t="s">
        <x:v>1157</x:v>
      </x:c>
      <x:c r="N166" t="s">
        <x:v>610</x:v>
      </x:c>
      <x:c r="O166" t="s">
        <x:v>1153</x:v>
      </x:c>
      <x:c r="P166" t="s">
        <x:v>1158</x:v>
      </x:c>
      <x:c r="Q166" t="s">
        <x:v>1159</x:v>
      </x:c>
      <x:c r="R166">
        <x:v>1</x:v>
      </x:c>
      <x:c r="S166" t="s">
        <x:v>42</x:v>
      </x:c>
      <x:c r="T166" t="s">
        <x:v>44</x:v>
      </x:c>
      <x:c r="U166" t="s">
        <x:v>44</x:v>
      </x:c>
      <x:c r="V166" t="s">
        <x:v>45</x:v>
      </x:c>
      <x:c r="W166" t="s">
        <x:v>60</x:v>
      </x:c>
      <x:c r="X166">
        <x:v>338.98</x:v>
      </x:c>
      <x:c r="Y166" t="s">
        <x:v>47</x:v>
      </x:c>
      <x:c r="Z166" t="s">
        <x:v>48</x:v>
      </x:c>
      <x:c r="AA166" t="s">
        <x:v>49</x:v>
      </x:c>
      <x:c r="AB166">
        <x:v>995868651</x:v>
      </x:c>
      <x:c r="AC166" t="s">
        <x:v>1160</x:v>
      </x:c>
      <x:c r="AD166">
        <x:v>100</x:v>
      </x:c>
    </x:row>
    <x:row r="167">
      <x:c r="A167" s="1">
        <x:v>46204</x:v>
      </x:c>
      <x:c r="B167" t="s">
        <x:v>3600</x:v>
      </x:c>
      <x:c r="C167" t="s">
        <x:v>1258</x:v>
      </x:c>
      <x:c r="D167" t="s">
        <x:v>269</x:v>
      </x:c>
      <x:c r="E167" t="s">
        <x:v>1259</x:v>
      </x:c>
      <x:c r="F167" t="s">
        <x:v>31</x:v>
      </x:c>
      <x:c r="G167" t="s">
        <x:v>1260</x:v>
      </x:c>
      <x:c r="H167" t="s">
        <x:v>1261</x:v>
      </x:c>
      <x:c r="I167" t="s">
        <x:v>1262</x:v>
      </x:c>
      <x:c r="J167" t="s">
        <x:v>2841</x:v>
      </x:c>
      <x:c r="K167" t="s">
        <x:v>210</x:v>
      </x:c>
      <x:c r="L167" t="s">
        <x:v>37</x:v>
      </x:c>
      <x:c r="M167" t="s">
        <x:v>1263</x:v>
      </x:c>
      <x:c r="N167" t="s">
        <x:v>610</x:v>
      </x:c>
      <x:c r="O167" t="s">
        <x:v>1254</x:v>
      </x:c>
      <x:c r="P167" t="s">
        <x:v>1264</x:v>
      </x:c>
      <x:c r="Q167" t="s">
        <x:v>289</x:v>
      </x:c>
      <x:c r="R167">
        <x:v>1</x:v>
      </x:c>
      <x:c r="S167" t="s">
        <x:v>42</x:v>
      </x:c>
      <x:c r="T167" t="s">
        <x:v>44</x:v>
      </x:c>
      <x:c r="U167" t="s">
        <x:v>44</x:v>
      </x:c>
      <x:c r="V167" t="s">
        <x:v>45</x:v>
      </x:c>
      <x:c r="W167" t="s">
        <x:v>60</x:v>
      </x:c>
      <x:c r="X167">
        <x:v>0</x:v>
      </x:c>
      <x:c r="Y167" t="s">
        <x:v>290</x:v>
      </x:c>
      <x:c r="Z167" t="s">
        <x:v>48</x:v>
      </x:c>
      <x:c r="AA167" t="s">
        <x:v>49</x:v>
      </x:c>
      <x:c r="AB167">
        <x:v>994872106</x:v>
      </x:c>
      <x:c r="AC167" t="s">
        <x:v>1256</x:v>
      </x:c>
    </x:row>
    <x:row r="168">
      <x:c r="A168" s="1">
        <x:v>46204</x:v>
      </x:c>
      <x:c r="B168" t="s">
        <x:v>3600</x:v>
      </x:c>
      <x:c r="C168" t="s">
        <x:v>1258</x:v>
      </x:c>
      <x:c r="D168" t="s">
        <x:v>269</x:v>
      </x:c>
      <x:c r="E168" t="s">
        <x:v>1259</x:v>
      </x:c>
      <x:c r="F168" t="s">
        <x:v>31</x:v>
      </x:c>
      <x:c r="G168" t="s">
        <x:v>1260</x:v>
      </x:c>
      <x:c r="H168" t="s">
        <x:v>1261</x:v>
      </x:c>
      <x:c r="I168" t="s">
        <x:v>1262</x:v>
      </x:c>
      <x:c r="J168" t="s">
        <x:v>2841</x:v>
      </x:c>
      <x:c r="K168" t="s">
        <x:v>210</x:v>
      </x:c>
      <x:c r="L168" t="s">
        <x:v>37</x:v>
      </x:c>
      <x:c r="M168" t="s">
        <x:v>1263</x:v>
      </x:c>
      <x:c r="N168" t="s">
        <x:v>610</x:v>
      </x:c>
      <x:c r="O168" t="s">
        <x:v>1254</x:v>
      </x:c>
      <x:c r="P168" t="s">
        <x:v>1264</x:v>
      </x:c>
      <x:c r="Q168" t="s">
        <x:v>1624</x:v>
      </x:c>
      <x:c r="R168">
        <x:v>1</x:v>
      </x:c>
      <x:c r="S168" t="s">
        <x:v>42</x:v>
      </x:c>
      <x:c r="T168" t="s">
        <x:v>44</x:v>
      </x:c>
      <x:c r="U168" t="s">
        <x:v>44</x:v>
      </x:c>
      <x:c r="V168" t="s">
        <x:v>45</x:v>
      </x:c>
      <x:c r="W168" t="s">
        <x:v>60</x:v>
      </x:c>
      <x:c r="X168">
        <x:v>139.83000000000001</x:v>
      </x:c>
      <x:c r="Y168" t="s">
        <x:v>290</x:v>
      </x:c>
      <x:c r="Z168" t="s">
        <x:v>48</x:v>
      </x:c>
      <x:c r="AA168" t="s">
        <x:v>49</x:v>
      </x:c>
      <x:c r="AB168">
        <x:v>994872106</x:v>
      </x:c>
      <x:c r="AC168" t="s">
        <x:v>1256</x:v>
      </x:c>
    </x:row>
    <x:row r="169">
      <x:c r="A169" s="1">
        <x:v>46204</x:v>
      </x:c>
      <x:c r="B169" t="s">
        <x:v>3600</x:v>
      </x:c>
      <x:c r="C169" t="s">
        <x:v>1321</x:v>
      </x:c>
      <x:c r="D169" t="s">
        <x:v>29</x:v>
      </x:c>
      <x:c r="E169" t="s">
        <x:v>1322</x:v>
      </x:c>
      <x:c r="F169" t="s">
        <x:v>31</x:v>
      </x:c>
      <x:c r="G169" t="s">
        <x:v>1323</x:v>
      </x:c>
      <x:c r="H169" t="s">
        <x:v>1324</x:v>
      </x:c>
      <x:c r="I169" t="s">
        <x:v>1325</x:v>
      </x:c>
      <x:c r="J169" t="s">
        <x:v>1326</x:v>
      </x:c>
      <x:c r="K169" t="s">
        <x:v>36</x:v>
      </x:c>
      <x:c r="L169" t="s">
        <x:v>37</x:v>
      </x:c>
      <x:c r="M169" t="s">
        <x:v>1327</x:v>
      </x:c>
      <x:c r="N169" t="s">
        <x:v>1328</x:v>
      </x:c>
      <x:c r="O169" t="s">
        <x:v>1324</x:v>
      </x:c>
      <x:c r="P169" t="s">
        <x:v>1329</x:v>
      </x:c>
      <x:c r="Q169" t="s">
        <x:v>102</x:v>
      </x:c>
      <x:c r="R169">
        <x:v>1</x:v>
      </x:c>
      <x:c r="S169" t="s">
        <x:v>42</x:v>
      </x:c>
      <x:c r="T169" t="s">
        <x:v>44</x:v>
      </x:c>
      <x:c r="U169" t="s">
        <x:v>44</x:v>
      </x:c>
      <x:c r="V169" t="s">
        <x:v>45</x:v>
      </x:c>
      <x:c r="W169" t="s">
        <x:v>60</x:v>
      </x:c>
      <x:c r="X169">
        <x:v>186.44</x:v>
      </x:c>
      <x:c r="Y169" t="s">
        <x:v>47</x:v>
      </x:c>
      <x:c r="Z169" t="s">
        <x:v>48</x:v>
      </x:c>
      <x:c r="AA169" t="s">
        <x:v>49</x:v>
      </x:c>
      <x:c r="AB169">
        <x:v>999111362</x:v>
      </x:c>
      <x:c r="AC169" t="s">
        <x:v>1330</x:v>
      </x:c>
      <x:c r="AD169">
        <x:v>50</x:v>
      </x:c>
    </x:row>
    <x:row r="170">
      <x:c r="A170" s="1">
        <x:v>46204</x:v>
      </x:c>
      <x:c r="B170" t="s">
        <x:v>3600</x:v>
      </x:c>
      <x:c r="C170" t="s">
        <x:v>1376</x:v>
      </x:c>
      <x:c r="D170" t="s">
        <x:v>29</x:v>
      </x:c>
      <x:c r="E170" t="s">
        <x:v>1377</x:v>
      </x:c>
      <x:c r="F170" t="s">
        <x:v>31</x:v>
      </x:c>
      <x:c r="G170" t="s">
        <x:v>1378</x:v>
      </x:c>
      <x:c r="H170" t="s">
        <x:v>1379</x:v>
      </x:c>
      <x:c r="I170" t="s">
        <x:v>1380</x:v>
      </x:c>
      <x:c r="J170" t="s">
        <x:v>3601</x:v>
      </x:c>
      <x:c r="K170" t="s">
        <x:v>3602</x:v>
      </x:c>
      <x:c r="L170" t="s">
        <x:v>37</x:v>
      </x:c>
      <x:c r="M170" t="s">
        <x:v>1382</x:v>
      </x:c>
      <x:c r="N170" t="s">
        <x:v>1383</x:v>
      </x:c>
      <x:c r="O170" t="s">
        <x:v>1379</x:v>
      </x:c>
      <x:c r="P170" t="s">
        <x:v>1384</x:v>
      </x:c>
      <x:c r="Q170" t="s">
        <x:v>102</x:v>
      </x:c>
      <x:c r="R170">
        <x:v>1</x:v>
      </x:c>
      <x:c r="S170" t="s">
        <x:v>42</x:v>
      </x:c>
      <x:c r="T170" t="s">
        <x:v>44</x:v>
      </x:c>
      <x:c r="U170" t="s">
        <x:v>44</x:v>
      </x:c>
      <x:c r="V170" t="s">
        <x:v>45</x:v>
      </x:c>
      <x:c r="W170" t="s">
        <x:v>60</x:v>
      </x:c>
      <x:c r="X170">
        <x:v>186.44</x:v>
      </x:c>
      <x:c r="Y170" t="s">
        <x:v>47</x:v>
      </x:c>
      <x:c r="Z170" t="s">
        <x:v>48</x:v>
      </x:c>
      <x:c r="AA170" t="s">
        <x:v>49</x:v>
      </x:c>
      <x:c r="AD170">
        <x:v>50</x:v>
      </x:c>
    </x:row>
    <x:row r="171">
      <x:c r="A171" s="1">
        <x:v>46205</x:v>
      </x:c>
      <x:c r="B171" t="s">
        <x:v>3600</x:v>
      </x:c>
      <x:c r="C171" t="s">
        <x:v>1395</x:v>
      </x:c>
      <x:c r="D171" t="s">
        <x:v>29</x:v>
      </x:c>
      <x:c r="E171" t="s">
        <x:v>1396</x:v>
      </x:c>
      <x:c r="F171" t="s">
        <x:v>31</x:v>
      </x:c>
      <x:c r="G171" t="s">
        <x:v>1397</x:v>
      </x:c>
      <x:c r="H171" t="s">
        <x:v>1398</x:v>
      </x:c>
      <x:c r="I171" t="s">
        <x:v>1399</x:v>
      </x:c>
      <x:c r="J171" t="s">
        <x:v>478</x:v>
      </x:c>
      <x:c r="K171" t="s">
        <x:v>210</x:v>
      </x:c>
      <x:c r="L171" t="s">
        <x:v>37</x:v>
      </x:c>
      <x:c r="M171" t="s">
        <x:v>1401</x:v>
      </x:c>
      <x:c r="N171" t="s">
        <x:v>1402</x:v>
      </x:c>
      <x:c r="O171" t="s">
        <x:v>1398</x:v>
      </x:c>
      <x:c r="P171" t="s">
        <x:v>1403</x:v>
      </x:c>
      <x:c r="Q171" t="s">
        <x:v>160</x:v>
      </x:c>
      <x:c r="R171">
        <x:v>1</x:v>
      </x:c>
      <x:c r="S171" t="s">
        <x:v>42</x:v>
      </x:c>
      <x:c r="T171" t="s">
        <x:v>44</x:v>
      </x:c>
      <x:c r="U171" t="s">
        <x:v>44</x:v>
      </x:c>
      <x:c r="V171" t="s">
        <x:v>45</x:v>
      </x:c>
      <x:c r="W171" t="s">
        <x:v>60</x:v>
      </x:c>
      <x:c r="X171">
        <x:v>135.59</x:v>
      </x:c>
      <x:c r="Y171" t="s">
        <x:v>47</x:v>
      </x:c>
      <x:c r="Z171" t="s">
        <x:v>48</x:v>
      </x:c>
      <x:c r="AA171" t="s">
        <x:v>49</x:v>
      </x:c>
      <x:c r="AB171">
        <x:v>982536223</x:v>
      </x:c>
      <x:c r="AC171" t="s">
        <x:v>483</x:v>
      </x:c>
      <x:c r="AD171">
        <x:v>30</x:v>
      </x:c>
    </x:row>
    <x:row r="172">
      <x:c r="A172" s="1">
        <x:v>46205</x:v>
      </x:c>
      <x:c r="B172" t="s">
        <x:v>3600</x:v>
      </x:c>
      <x:c r="C172" t="s">
        <x:v>1395</x:v>
      </x:c>
      <x:c r="D172" t="s">
        <x:v>29</x:v>
      </x:c>
      <x:c r="E172" t="s">
        <x:v>1396</x:v>
      </x:c>
      <x:c r="F172" t="s">
        <x:v>31</x:v>
      </x:c>
      <x:c r="G172" t="s">
        <x:v>1397</x:v>
      </x:c>
      <x:c r="H172" t="s">
        <x:v>1398</x:v>
      </x:c>
      <x:c r="I172" t="s">
        <x:v>1399</x:v>
      </x:c>
      <x:c r="J172" t="s">
        <x:v>478</x:v>
      </x:c>
      <x:c r="K172" t="s">
        <x:v>210</x:v>
      </x:c>
      <x:c r="L172" t="s">
        <x:v>37</x:v>
      </x:c>
      <x:c r="M172" t="s">
        <x:v>1401</x:v>
      </x:c>
      <x:c r="N172" t="s">
        <x:v>1402</x:v>
      </x:c>
      <x:c r="O172" t="s">
        <x:v>1398</x:v>
      </x:c>
      <x:c r="P172" t="s">
        <x:v>1403</x:v>
      </x:c>
      <x:c r="Q172" t="s">
        <x:v>102</x:v>
      </x:c>
      <x:c r="R172">
        <x:v>1</x:v>
      </x:c>
      <x:c r="S172" t="s">
        <x:v>42</x:v>
      </x:c>
      <x:c r="T172" t="s">
        <x:v>44</x:v>
      </x:c>
      <x:c r="U172" t="s">
        <x:v>44</x:v>
      </x:c>
      <x:c r="V172" t="s">
        <x:v>45</x:v>
      </x:c>
      <x:c r="W172" t="s">
        <x:v>60</x:v>
      </x:c>
      <x:c r="X172">
        <x:v>186.44</x:v>
      </x:c>
      <x:c r="Y172" t="s">
        <x:v>47</x:v>
      </x:c>
      <x:c r="Z172" t="s">
        <x:v>48</x:v>
      </x:c>
      <x:c r="AA172" t="s">
        <x:v>49</x:v>
      </x:c>
      <x:c r="AB172">
        <x:v>982536223</x:v>
      </x:c>
      <x:c r="AC172" t="s">
        <x:v>483</x:v>
      </x:c>
      <x:c r="AD172">
        <x:v>50</x:v>
      </x:c>
    </x:row>
    <x:row r="173">
      <x:c r="A173" s="1">
        <x:v>46205</x:v>
      </x:c>
      <x:c r="B173" t="s">
        <x:v>3600</x:v>
      </x:c>
      <x:c r="C173" t="s">
        <x:v>1395</x:v>
      </x:c>
      <x:c r="D173" t="s">
        <x:v>29</x:v>
      </x:c>
      <x:c r="E173" t="s">
        <x:v>1396</x:v>
      </x:c>
      <x:c r="F173" t="s">
        <x:v>31</x:v>
      </x:c>
      <x:c r="G173" t="s">
        <x:v>1397</x:v>
      </x:c>
      <x:c r="H173" t="s">
        <x:v>1398</x:v>
      </x:c>
      <x:c r="I173" t="s">
        <x:v>1399</x:v>
      </x:c>
      <x:c r="J173" t="s">
        <x:v>478</x:v>
      </x:c>
      <x:c r="K173" t="s">
        <x:v>210</x:v>
      </x:c>
      <x:c r="L173" t="s">
        <x:v>37</x:v>
      </x:c>
      <x:c r="M173" t="s">
        <x:v>1401</x:v>
      </x:c>
      <x:c r="N173" t="s">
        <x:v>1402</x:v>
      </x:c>
      <x:c r="O173" t="s">
        <x:v>1398</x:v>
      </x:c>
      <x:c r="P173" t="s">
        <x:v>1403</x:v>
      </x:c>
      <x:c r="Q173" t="s">
        <x:v>159</x:v>
      </x:c>
      <x:c r="R173">
        <x:v>1</x:v>
      </x:c>
      <x:c r="S173" t="s">
        <x:v>42</x:v>
      </x:c>
      <x:c r="T173" t="s">
        <x:v>44</x:v>
      </x:c>
      <x:c r="U173" t="s">
        <x:v>44</x:v>
      </x:c>
      <x:c r="V173" t="s">
        <x:v>45</x:v>
      </x:c>
      <x:c r="W173" t="s">
        <x:v>60</x:v>
      </x:c>
      <x:c r="X173">
        <x:v>152.54</x:v>
      </x:c>
      <x:c r="Y173" t="s">
        <x:v>47</x:v>
      </x:c>
      <x:c r="Z173" t="s">
        <x:v>48</x:v>
      </x:c>
      <x:c r="AA173" t="s">
        <x:v>49</x:v>
      </x:c>
      <x:c r="AB173">
        <x:v>982536223</x:v>
      </x:c>
      <x:c r="AC173" t="s">
        <x:v>483</x:v>
      </x:c>
      <x:c r="AD173">
        <x:v>30</x:v>
      </x:c>
    </x:row>
    <x:row r="174">
      <x:c r="A174" s="1">
        <x:v>46205</x:v>
      </x:c>
      <x:c r="B174" t="s">
        <x:v>3600</x:v>
      </x:c>
      <x:c r="C174" t="s">
        <x:v>939</x:v>
      </x:c>
      <x:c r="D174" t="s">
        <x:v>29</x:v>
      </x:c>
      <x:c r="E174" t="s">
        <x:v>940</x:v>
      </x:c>
      <x:c r="F174" t="s">
        <x:v>31</x:v>
      </x:c>
      <x:c r="G174" t="s">
        <x:v>941</x:v>
      </x:c>
      <x:c r="H174" t="s">
        <x:v>942</x:v>
      </x:c>
      <x:c r="I174" t="s">
        <x:v>943</x:v>
      </x:c>
      <x:c r="J174" t="s">
        <x:v>776</x:v>
      </x:c>
      <x:c r="K174" t="s">
        <x:v>777</x:v>
      </x:c>
      <x:c r="L174" t="s">
        <x:v>37</x:v>
      </x:c>
      <x:c r="M174" t="s">
        <x:v>944</x:v>
      </x:c>
      <x:c r="N174" t="s">
        <x:v>945</x:v>
      </x:c>
      <x:c r="O174" t="s">
        <x:v>942</x:v>
      </x:c>
      <x:c r="P174" t="s">
        <x:v>946</x:v>
      </x:c>
      <x:c r="Q174" t="s">
        <x:v>620</x:v>
      </x:c>
      <x:c r="R174">
        <x:v>1</x:v>
      </x:c>
      <x:c r="S174" t="s">
        <x:v>42</x:v>
      </x:c>
      <x:c r="T174" t="s">
        <x:v>44</x:v>
      </x:c>
      <x:c r="U174" t="s">
        <x:v>44</x:v>
      </x:c>
      <x:c r="V174" t="s">
        <x:v>45</x:v>
      </x:c>
      <x:c r="W174" t="s">
        <x:v>46</x:v>
      </x:c>
      <x:c r="X174">
        <x:v>12.71</x:v>
      </x:c>
      <x:c r="Y174" t="s">
        <x:v>621</x:v>
      </x:c>
      <x:c r="Z174" t="s">
        <x:v>48</x:v>
      </x:c>
      <x:c r="AA174" t="s">
        <x:v>49</x:v>
      </x:c>
    </x:row>
    <x:row r="175">
      <x:c r="A175" s="1">
        <x:v>46205</x:v>
      </x:c>
      <x:c r="B175" t="s">
        <x:v>3600</x:v>
      </x:c>
      <x:c r="C175" t="s">
        <x:v>939</x:v>
      </x:c>
      <x:c r="D175" t="s">
        <x:v>29</x:v>
      </x:c>
      <x:c r="E175" t="s">
        <x:v>940</x:v>
      </x:c>
      <x:c r="F175" t="s">
        <x:v>31</x:v>
      </x:c>
      <x:c r="G175" t="s">
        <x:v>941</x:v>
      </x:c>
      <x:c r="H175" t="s">
        <x:v>942</x:v>
      </x:c>
      <x:c r="I175" t="s">
        <x:v>943</x:v>
      </x:c>
      <x:c r="J175" t="s">
        <x:v>776</x:v>
      </x:c>
      <x:c r="K175" t="s">
        <x:v>777</x:v>
      </x:c>
      <x:c r="L175" t="s">
        <x:v>37</x:v>
      </x:c>
      <x:c r="M175" t="s">
        <x:v>944</x:v>
      </x:c>
      <x:c r="N175" t="s">
        <x:v>945</x:v>
      </x:c>
      <x:c r="O175" t="s">
        <x:v>942</x:v>
      </x:c>
      <x:c r="P175" t="s">
        <x:v>946</x:v>
      </x:c>
      <x:c r="Q175" t="s">
        <x:v>622</x:v>
      </x:c>
      <x:c r="R175">
        <x:v>1</x:v>
      </x:c>
      <x:c r="S175" t="s">
        <x:v>42</x:v>
      </x:c>
      <x:c r="T175" t="s">
        <x:v>44</x:v>
      </x:c>
      <x:c r="U175" t="s">
        <x:v>44</x:v>
      </x:c>
      <x:c r="V175" t="s">
        <x:v>45</x:v>
      </x:c>
      <x:c r="W175" t="s">
        <x:v>46</x:v>
      </x:c>
      <x:c r="X175">
        <x:v>21.19</x:v>
      </x:c>
      <x:c r="Y175" t="s">
        <x:v>621</x:v>
      </x:c>
      <x:c r="Z175" t="s">
        <x:v>48</x:v>
      </x:c>
      <x:c r="AA175" t="s">
        <x:v>49</x:v>
      </x:c>
    </x:row>
    <x:row r="176">
      <x:c r="A176" s="1">
        <x:v>46205</x:v>
      </x:c>
      <x:c r="B176" t="s">
        <x:v>3600</x:v>
      </x:c>
      <x:c r="C176" t="s">
        <x:v>939</x:v>
      </x:c>
      <x:c r="D176" t="s">
        <x:v>29</x:v>
      </x:c>
      <x:c r="E176" t="s">
        <x:v>940</x:v>
      </x:c>
      <x:c r="F176" t="s">
        <x:v>31</x:v>
      </x:c>
      <x:c r="G176" t="s">
        <x:v>941</x:v>
      </x:c>
      <x:c r="H176" t="s">
        <x:v>942</x:v>
      </x:c>
      <x:c r="I176" t="s">
        <x:v>943</x:v>
      </x:c>
      <x:c r="J176" t="s">
        <x:v>776</x:v>
      </x:c>
      <x:c r="K176" t="s">
        <x:v>777</x:v>
      </x:c>
      <x:c r="L176" t="s">
        <x:v>37</x:v>
      </x:c>
      <x:c r="M176" t="s">
        <x:v>944</x:v>
      </x:c>
      <x:c r="N176" t="s">
        <x:v>945</x:v>
      </x:c>
      <x:c r="O176" t="s">
        <x:v>942</x:v>
      </x:c>
      <x:c r="P176" t="s">
        <x:v>946</x:v>
      </x:c>
      <x:c r="Q176" t="s">
        <x:v>623</x:v>
      </x:c>
      <x:c r="R176">
        <x:v>1</x:v>
      </x:c>
      <x:c r="S176" t="s">
        <x:v>42</x:v>
      </x:c>
      <x:c r="T176" t="s">
        <x:v>44</x:v>
      </x:c>
      <x:c r="U176" t="s">
        <x:v>44</x:v>
      </x:c>
      <x:c r="V176" t="s">
        <x:v>45</x:v>
      </x:c>
      <x:c r="W176" t="s">
        <x:v>46</x:v>
      </x:c>
      <x:c r="X176">
        <x:v>12.71</x:v>
      </x:c>
      <x:c r="Y176" t="s">
        <x:v>621</x:v>
      </x:c>
      <x:c r="Z176" t="s">
        <x:v>48</x:v>
      </x:c>
      <x:c r="AA176" t="s">
        <x:v>49</x:v>
      </x:c>
    </x:row>
    <x:row r="177">
      <x:c r="A177" s="1">
        <x:v>46205</x:v>
      </x:c>
      <x:c r="B177" t="s">
        <x:v>3600</x:v>
      </x:c>
      <x:c r="C177" t="s">
        <x:v>939</x:v>
      </x:c>
      <x:c r="D177" t="s">
        <x:v>29</x:v>
      </x:c>
      <x:c r="E177" t="s">
        <x:v>940</x:v>
      </x:c>
      <x:c r="F177" t="s">
        <x:v>31</x:v>
      </x:c>
      <x:c r="G177" t="s">
        <x:v>941</x:v>
      </x:c>
      <x:c r="H177" t="s">
        <x:v>942</x:v>
      </x:c>
      <x:c r="I177" t="s">
        <x:v>943</x:v>
      </x:c>
      <x:c r="J177" t="s">
        <x:v>776</x:v>
      </x:c>
      <x:c r="K177" t="s">
        <x:v>777</x:v>
      </x:c>
      <x:c r="L177" t="s">
        <x:v>37</x:v>
      </x:c>
      <x:c r="M177" t="s">
        <x:v>944</x:v>
      </x:c>
      <x:c r="N177" t="s">
        <x:v>945</x:v>
      </x:c>
      <x:c r="O177" t="s">
        <x:v>942</x:v>
      </x:c>
      <x:c r="P177" t="s">
        <x:v>946</x:v>
      </x:c>
      <x:c r="Q177" t="s">
        <x:v>624</x:v>
      </x:c>
      <x:c r="R177">
        <x:v>1</x:v>
      </x:c>
      <x:c r="S177" t="s">
        <x:v>42</x:v>
      </x:c>
      <x:c r="T177" t="s">
        <x:v>44</x:v>
      </x:c>
      <x:c r="U177" t="s">
        <x:v>44</x:v>
      </x:c>
      <x:c r="V177" t="s">
        <x:v>45</x:v>
      </x:c>
      <x:c r="W177" t="s">
        <x:v>46</x:v>
      </x:c>
      <x:c r="X177">
        <x:v>12.71</x:v>
      </x:c>
      <x:c r="Y177" t="s">
        <x:v>621</x:v>
      </x:c>
      <x:c r="Z177" t="s">
        <x:v>48</x:v>
      </x:c>
      <x:c r="AA177" t="s">
        <x:v>49</x:v>
      </x:c>
    </x:row>
    <x:row r="178">
      <x:c r="A178" s="1">
        <x:v>46205</x:v>
      </x:c>
      <x:c r="B178" t="s">
        <x:v>3600</x:v>
      </x:c>
      <x:c r="C178" t="s">
        <x:v>939</x:v>
      </x:c>
      <x:c r="D178" t="s">
        <x:v>29</x:v>
      </x:c>
      <x:c r="E178" t="s">
        <x:v>940</x:v>
      </x:c>
      <x:c r="F178" t="s">
        <x:v>31</x:v>
      </x:c>
      <x:c r="G178" t="s">
        <x:v>941</x:v>
      </x:c>
      <x:c r="H178" t="s">
        <x:v>942</x:v>
      </x:c>
      <x:c r="I178" t="s">
        <x:v>943</x:v>
      </x:c>
      <x:c r="J178" t="s">
        <x:v>776</x:v>
      </x:c>
      <x:c r="K178" t="s">
        <x:v>777</x:v>
      </x:c>
      <x:c r="L178" t="s">
        <x:v>37</x:v>
      </x:c>
      <x:c r="M178" t="s">
        <x:v>944</x:v>
      </x:c>
      <x:c r="N178" t="s">
        <x:v>945</x:v>
      </x:c>
      <x:c r="O178" t="s">
        <x:v>942</x:v>
      </x:c>
      <x:c r="P178" t="s">
        <x:v>946</x:v>
      </x:c>
      <x:c r="Q178" t="s">
        <x:v>835</x:v>
      </x:c>
      <x:c r="R178">
        <x:v>1</x:v>
      </x:c>
      <x:c r="S178" t="s">
        <x:v>42</x:v>
      </x:c>
      <x:c r="T178" t="s">
        <x:v>44</x:v>
      </x:c>
      <x:c r="U178" t="s">
        <x:v>44</x:v>
      </x:c>
      <x:c r="V178" t="s">
        <x:v>45</x:v>
      </x:c>
      <x:c r="W178" t="s">
        <x:v>46</x:v>
      </x:c>
      <x:c r="X178">
        <x:v>50.85</x:v>
      </x:c>
      <x:c r="Y178" t="s">
        <x:v>621</x:v>
      </x:c>
      <x:c r="Z178" t="s">
        <x:v>48</x:v>
      </x:c>
      <x:c r="AA178" t="s">
        <x:v>49</x:v>
      </x:c>
    </x:row>
    <x:row r="179">
      <x:c r="A179" s="1">
        <x:v>46205</x:v>
      </x:c>
      <x:c r="B179" t="s">
        <x:v>3600</x:v>
      </x:c>
      <x:c r="C179" t="s">
        <x:v>947</x:v>
      </x:c>
      <x:c r="D179" t="s">
        <x:v>29</x:v>
      </x:c>
      <x:c r="E179" t="s">
        <x:v>948</x:v>
      </x:c>
      <x:c r="F179" t="s">
        <x:v>31</x:v>
      </x:c>
      <x:c r="G179" t="s">
        <x:v>949</x:v>
      </x:c>
      <x:c r="H179" t="s">
        <x:v>942</x:v>
      </x:c>
      <x:c r="I179" t="s">
        <x:v>943</x:v>
      </x:c>
      <x:c r="J179" t="s">
        <x:v>776</x:v>
      </x:c>
      <x:c r="K179" t="s">
        <x:v>777</x:v>
      </x:c>
      <x:c r="L179" t="s">
        <x:v>37</x:v>
      </x:c>
      <x:c r="M179" t="s">
        <x:v>944</x:v>
      </x:c>
      <x:c r="N179" t="s">
        <x:v>945</x:v>
      </x:c>
      <x:c r="O179" t="s">
        <x:v>942</x:v>
      </x:c>
      <x:c r="P179" t="s">
        <x:v>950</x:v>
      </x:c>
      <x:c r="Q179" t="s">
        <x:v>202</x:v>
      </x:c>
      <x:c r="R179">
        <x:v>1</x:v>
      </x:c>
      <x:c r="S179" t="s">
        <x:v>42</x:v>
      </x:c>
      <x:c r="T179" t="s">
        <x:v>44</x:v>
      </x:c>
      <x:c r="U179" t="s">
        <x:v>44</x:v>
      </x:c>
      <x:c r="V179" t="s">
        <x:v>45</x:v>
      </x:c>
      <x:c r="W179" t="s">
        <x:v>46</x:v>
      </x:c>
      <x:c r="X179">
        <x:v>42.37</x:v>
      </x:c>
      <x:c r="Y179" t="s">
        <x:v>47</x:v>
      </x:c>
      <x:c r="Z179" t="s">
        <x:v>48</x:v>
      </x:c>
      <x:c r="AA179" t="s">
        <x:v>49</x:v>
      </x:c>
      <x:c r="AD179">
        <x:v>30</x:v>
      </x:c>
    </x:row>
    <x:row r="180">
      <x:c r="A180" s="1">
        <x:v>46205</x:v>
      </x:c>
      <x:c r="B180" t="s">
        <x:v>3600</x:v>
      </x:c>
      <x:c r="C180" t="s">
        <x:v>947</x:v>
      </x:c>
      <x:c r="D180" t="s">
        <x:v>29</x:v>
      </x:c>
      <x:c r="E180" t="s">
        <x:v>948</x:v>
      </x:c>
      <x:c r="F180" t="s">
        <x:v>31</x:v>
      </x:c>
      <x:c r="G180" t="s">
        <x:v>949</x:v>
      </x:c>
      <x:c r="H180" t="s">
        <x:v>942</x:v>
      </x:c>
      <x:c r="I180" t="s">
        <x:v>943</x:v>
      </x:c>
      <x:c r="J180" t="s">
        <x:v>776</x:v>
      </x:c>
      <x:c r="K180" t="s">
        <x:v>777</x:v>
      </x:c>
      <x:c r="L180" t="s">
        <x:v>37</x:v>
      </x:c>
      <x:c r="M180" t="s">
        <x:v>944</x:v>
      </x:c>
      <x:c r="N180" t="s">
        <x:v>945</x:v>
      </x:c>
      <x:c r="O180" t="s">
        <x:v>942</x:v>
      </x:c>
      <x:c r="P180" t="s">
        <x:v>950</x:v>
      </x:c>
      <x:c r="Q180" t="s">
        <x:v>203</x:v>
      </x:c>
      <x:c r="R180">
        <x:v>1</x:v>
      </x:c>
      <x:c r="S180" t="s">
        <x:v>42</x:v>
      </x:c>
      <x:c r="T180" t="s">
        <x:v>44</x:v>
      </x:c>
      <x:c r="U180" t="s">
        <x:v>44</x:v>
      </x:c>
      <x:c r="V180" t="s">
        <x:v>45</x:v>
      </x:c>
      <x:c r="W180" t="s">
        <x:v>46</x:v>
      </x:c>
      <x:c r="X180">
        <x:v>42.37</x:v>
      </x:c>
      <x:c r="Y180" t="s">
        <x:v>47</x:v>
      </x:c>
      <x:c r="Z180" t="s">
        <x:v>48</x:v>
      </x:c>
      <x:c r="AA180" t="s">
        <x:v>49</x:v>
      </x:c>
      <x:c r="AD180">
        <x:v>30</x:v>
      </x:c>
    </x:row>
    <x:row r="181">
      <x:c r="A181" s="1">
        <x:v>46205</x:v>
      </x:c>
      <x:c r="B181" t="s">
        <x:v>3600</x:v>
      </x:c>
      <x:c r="C181" t="s">
        <x:v>951</x:v>
      </x:c>
      <x:c r="D181" t="s">
        <x:v>29</x:v>
      </x:c>
      <x:c r="E181" t="s">
        <x:v>952</x:v>
      </x:c>
      <x:c r="F181" t="s">
        <x:v>31</x:v>
      </x:c>
      <x:c r="G181" t="s">
        <x:v>953</x:v>
      </x:c>
      <x:c r="H181" t="s">
        <x:v>942</x:v>
      </x:c>
      <x:c r="I181" t="s">
        <x:v>943</x:v>
      </x:c>
      <x:c r="J181" t="s">
        <x:v>776</x:v>
      </x:c>
      <x:c r="K181" t="s">
        <x:v>777</x:v>
      </x:c>
      <x:c r="L181" t="s">
        <x:v>37</x:v>
      </x:c>
      <x:c r="M181" t="s">
        <x:v>944</x:v>
      </x:c>
      <x:c r="N181" t="s">
        <x:v>945</x:v>
      </x:c>
      <x:c r="O181" t="s">
        <x:v>942</x:v>
      </x:c>
      <x:c r="P181" t="s">
        <x:v>954</x:v>
      </x:c>
      <x:c r="Q181" t="s">
        <x:v>830</x:v>
      </x:c>
      <x:c r="R181">
        <x:v>1</x:v>
      </x:c>
      <x:c r="S181" t="s">
        <x:v>42</x:v>
      </x:c>
      <x:c r="T181" t="s">
        <x:v>44</x:v>
      </x:c>
      <x:c r="U181" t="s">
        <x:v>44</x:v>
      </x:c>
      <x:c r="V181" t="s">
        <x:v>45</x:v>
      </x:c>
      <x:c r="W181" t="s">
        <x:v>46</x:v>
      </x:c>
      <x:c r="X181">
        <x:v>127.12</x:v>
      </x:c>
      <x:c r="Y181" t="s">
        <x:v>47</x:v>
      </x:c>
      <x:c r="Z181" t="s">
        <x:v>48</x:v>
      </x:c>
      <x:c r="AA181" t="s">
        <x:v>49</x:v>
      </x:c>
    </x:row>
    <x:row r="182">
      <x:c r="A182" s="1">
        <x:v>46205</x:v>
      </x:c>
      <x:c r="B182" t="s">
        <x:v>3600</x:v>
      </x:c>
      <x:c r="C182" t="s">
        <x:v>955</x:v>
      </x:c>
      <x:c r="D182" t="s">
        <x:v>29</x:v>
      </x:c>
      <x:c r="E182" t="s">
        <x:v>956</x:v>
      </x:c>
      <x:c r="F182" t="s">
        <x:v>31</x:v>
      </x:c>
      <x:c r="G182" t="s">
        <x:v>957</x:v>
      </x:c>
      <x:c r="H182" t="s">
        <x:v>958</x:v>
      </x:c>
      <x:c r="I182" t="s">
        <x:v>959</x:v>
      </x:c>
      <x:c r="J182" t="s">
        <x:v>776</x:v>
      </x:c>
      <x:c r="K182" t="s">
        <x:v>777</x:v>
      </x:c>
      <x:c r="L182" t="s">
        <x:v>37</x:v>
      </x:c>
      <x:c r="M182" t="s">
        <x:v>960</x:v>
      </x:c>
      <x:c r="N182" t="s">
        <x:v>961</x:v>
      </x:c>
      <x:c r="O182" t="s">
        <x:v>958</x:v>
      </x:c>
      <x:c r="P182" t="s">
        <x:v>962</x:v>
      </x:c>
      <x:c r="Q182" t="s">
        <x:v>202</x:v>
      </x:c>
      <x:c r="R182">
        <x:v>1</x:v>
      </x:c>
      <x:c r="S182" t="s">
        <x:v>42</x:v>
      </x:c>
      <x:c r="T182" t="s">
        <x:v>44</x:v>
      </x:c>
      <x:c r="U182" t="s">
        <x:v>44</x:v>
      </x:c>
      <x:c r="V182" t="s">
        <x:v>45</x:v>
      </x:c>
      <x:c r="W182" t="s">
        <x:v>60</x:v>
      </x:c>
      <x:c r="X182">
        <x:v>42.37</x:v>
      </x:c>
      <x:c r="Y182" t="s">
        <x:v>47</x:v>
      </x:c>
      <x:c r="Z182" t="s">
        <x:v>48</x:v>
      </x:c>
      <x:c r="AA182" t="s">
        <x:v>49</x:v>
      </x:c>
      <x:c r="AD182">
        <x:v>30</x:v>
      </x:c>
    </x:row>
    <x:row r="183">
      <x:c r="A183" s="1">
        <x:v>46205</x:v>
      </x:c>
      <x:c r="B183" t="s">
        <x:v>3600</x:v>
      </x:c>
      <x:c r="C183" t="s">
        <x:v>955</x:v>
      </x:c>
      <x:c r="D183" t="s">
        <x:v>29</x:v>
      </x:c>
      <x:c r="E183" t="s">
        <x:v>956</x:v>
      </x:c>
      <x:c r="F183" t="s">
        <x:v>31</x:v>
      </x:c>
      <x:c r="G183" t="s">
        <x:v>957</x:v>
      </x:c>
      <x:c r="H183" t="s">
        <x:v>958</x:v>
      </x:c>
      <x:c r="I183" t="s">
        <x:v>959</x:v>
      </x:c>
      <x:c r="J183" t="s">
        <x:v>776</x:v>
      </x:c>
      <x:c r="K183" t="s">
        <x:v>777</x:v>
      </x:c>
      <x:c r="L183" t="s">
        <x:v>37</x:v>
      </x:c>
      <x:c r="M183" t="s">
        <x:v>960</x:v>
      </x:c>
      <x:c r="N183" t="s">
        <x:v>961</x:v>
      </x:c>
      <x:c r="O183" t="s">
        <x:v>958</x:v>
      </x:c>
      <x:c r="P183" t="s">
        <x:v>962</x:v>
      </x:c>
      <x:c r="Q183" t="s">
        <x:v>203</x:v>
      </x:c>
      <x:c r="R183">
        <x:v>1</x:v>
      </x:c>
      <x:c r="S183" t="s">
        <x:v>42</x:v>
      </x:c>
      <x:c r="T183" t="s">
        <x:v>44</x:v>
      </x:c>
      <x:c r="U183" t="s">
        <x:v>44</x:v>
      </x:c>
      <x:c r="V183" t="s">
        <x:v>45</x:v>
      </x:c>
      <x:c r="W183" t="s">
        <x:v>60</x:v>
      </x:c>
      <x:c r="X183">
        <x:v>42.37</x:v>
      </x:c>
      <x:c r="Y183" t="s">
        <x:v>47</x:v>
      </x:c>
      <x:c r="Z183" t="s">
        <x:v>48</x:v>
      </x:c>
      <x:c r="AA183" t="s">
        <x:v>49</x:v>
      </x:c>
      <x:c r="AD183">
        <x:v>30</x:v>
      </x:c>
    </x:row>
    <x:row r="184">
      <x:c r="A184" s="1">
        <x:v>46205</x:v>
      </x:c>
      <x:c r="B184" t="s">
        <x:v>3600</x:v>
      </x:c>
      <x:c r="C184" t="s">
        <x:v>963</x:v>
      </x:c>
      <x:c r="D184" t="s">
        <x:v>29</x:v>
      </x:c>
      <x:c r="E184" t="s">
        <x:v>964</x:v>
      </x:c>
      <x:c r="F184" t="s">
        <x:v>31</x:v>
      </x:c>
      <x:c r="G184" t="s">
        <x:v>965</x:v>
      </x:c>
      <x:c r="H184" t="s">
        <x:v>966</x:v>
      </x:c>
      <x:c r="I184" t="s">
        <x:v>967</x:v>
      </x:c>
      <x:c r="J184" t="s">
        <x:v>776</x:v>
      </x:c>
      <x:c r="K184" t="s">
        <x:v>777</x:v>
      </x:c>
      <x:c r="L184" t="s">
        <x:v>37</x:v>
      </x:c>
      <x:c r="M184" t="s">
        <x:v>968</x:v>
      </x:c>
      <x:c r="N184" t="s">
        <x:v>969</x:v>
      </x:c>
      <x:c r="O184" t="s">
        <x:v>966</x:v>
      </x:c>
      <x:c r="P184" t="s">
        <x:v>970</x:v>
      </x:c>
      <x:c r="Q184" t="s">
        <x:v>202</x:v>
      </x:c>
      <x:c r="R184">
        <x:v>1</x:v>
      </x:c>
      <x:c r="S184" t="s">
        <x:v>42</x:v>
      </x:c>
      <x:c r="T184" t="s">
        <x:v>44</x:v>
      </x:c>
      <x:c r="U184" t="s">
        <x:v>44</x:v>
      </x:c>
      <x:c r="V184" t="s">
        <x:v>45</x:v>
      </x:c>
      <x:c r="W184" t="s">
        <x:v>46</x:v>
      </x:c>
      <x:c r="X184">
        <x:v>42.37</x:v>
      </x:c>
      <x:c r="Y184" t="s">
        <x:v>47</x:v>
      </x:c>
      <x:c r="Z184" t="s">
        <x:v>48</x:v>
      </x:c>
      <x:c r="AA184" t="s">
        <x:v>49</x:v>
      </x:c>
      <x:c r="AD184">
        <x:v>30</x:v>
      </x:c>
    </x:row>
    <x:row r="185">
      <x:c r="A185" s="1">
        <x:v>46205</x:v>
      </x:c>
      <x:c r="B185" t="s">
        <x:v>3600</x:v>
      </x:c>
      <x:c r="C185" t="s">
        <x:v>963</x:v>
      </x:c>
      <x:c r="D185" t="s">
        <x:v>29</x:v>
      </x:c>
      <x:c r="E185" t="s">
        <x:v>964</x:v>
      </x:c>
      <x:c r="F185" t="s">
        <x:v>31</x:v>
      </x:c>
      <x:c r="G185" t="s">
        <x:v>965</x:v>
      </x:c>
      <x:c r="H185" t="s">
        <x:v>966</x:v>
      </x:c>
      <x:c r="I185" t="s">
        <x:v>967</x:v>
      </x:c>
      <x:c r="J185" t="s">
        <x:v>776</x:v>
      </x:c>
      <x:c r="K185" t="s">
        <x:v>777</x:v>
      </x:c>
      <x:c r="L185" t="s">
        <x:v>37</x:v>
      </x:c>
      <x:c r="M185" t="s">
        <x:v>968</x:v>
      </x:c>
      <x:c r="N185" t="s">
        <x:v>969</x:v>
      </x:c>
      <x:c r="O185" t="s">
        <x:v>966</x:v>
      </x:c>
      <x:c r="P185" t="s">
        <x:v>970</x:v>
      </x:c>
      <x:c r="Q185" t="s">
        <x:v>203</x:v>
      </x:c>
      <x:c r="R185">
        <x:v>1</x:v>
      </x:c>
      <x:c r="S185" t="s">
        <x:v>42</x:v>
      </x:c>
      <x:c r="T185" t="s">
        <x:v>44</x:v>
      </x:c>
      <x:c r="U185" t="s">
        <x:v>44</x:v>
      </x:c>
      <x:c r="V185" t="s">
        <x:v>45</x:v>
      </x:c>
      <x:c r="W185" t="s">
        <x:v>46</x:v>
      </x:c>
      <x:c r="X185">
        <x:v>42.37</x:v>
      </x:c>
      <x:c r="Y185" t="s">
        <x:v>47</x:v>
      </x:c>
      <x:c r="Z185" t="s">
        <x:v>48</x:v>
      </x:c>
      <x:c r="AA185" t="s">
        <x:v>49</x:v>
      </x:c>
      <x:c r="AD185">
        <x:v>30</x:v>
      </x:c>
    </x:row>
    <x:row r="186">
      <x:c r="A186" s="1">
        <x:v>46205</x:v>
      </x:c>
      <x:c r="B186" t="s">
        <x:v>3600</x:v>
      </x:c>
      <x:c r="C186" t="s">
        <x:v>1412</x:v>
      </x:c>
      <x:c r="D186" t="s">
        <x:v>29</x:v>
      </x:c>
      <x:c r="E186" t="s">
        <x:v>1413</x:v>
      </x:c>
      <x:c r="F186" t="s">
        <x:v>31</x:v>
      </x:c>
      <x:c r="G186" t="s">
        <x:v>1414</x:v>
      </x:c>
      <x:c r="H186" t="s">
        <x:v>1415</x:v>
      </x:c>
      <x:c r="I186" t="s">
        <x:v>1416</x:v>
      </x:c>
      <x:c r="J186" t="s">
        <x:v>3581</x:v>
      </x:c>
      <x:c r="K186" t="s">
        <x:v>631</x:v>
      </x:c>
      <x:c r="L186" t="s">
        <x:v>37</x:v>
      </x:c>
      <x:c r="M186" t="s">
        <x:v>1418</x:v>
      </x:c>
      <x:c r="N186" t="s">
        <x:v>1419</x:v>
      </x:c>
      <x:c r="O186" t="s">
        <x:v>1415</x:v>
      </x:c>
      <x:c r="P186" t="s">
        <x:v>1420</x:v>
      </x:c>
      <x:c r="Q186" t="s">
        <x:v>160</x:v>
      </x:c>
      <x:c r="R186">
        <x:v>1</x:v>
      </x:c>
      <x:c r="S186" t="s">
        <x:v>42</x:v>
      </x:c>
      <x:c r="T186" t="s">
        <x:v>44</x:v>
      </x:c>
      <x:c r="U186" t="s">
        <x:v>44</x:v>
      </x:c>
      <x:c r="V186" t="s">
        <x:v>45</x:v>
      </x:c>
      <x:c r="W186" t="s">
        <x:v>60</x:v>
      </x:c>
      <x:c r="X186">
        <x:v>135.59</x:v>
      </x:c>
      <x:c r="Y186" t="s">
        <x:v>47</x:v>
      </x:c>
      <x:c r="Z186" t="s">
        <x:v>48</x:v>
      </x:c>
      <x:c r="AA186" t="s">
        <x:v>49</x:v>
      </x:c>
      <x:c r="AD186">
        <x:v>30</x:v>
      </x:c>
    </x:row>
    <x:row r="187">
      <x:c r="A187" s="1">
        <x:v>46206</x:v>
      </x:c>
      <x:c r="B187" t="s">
        <x:v>3600</x:v>
      </x:c>
      <x:c r="C187" t="s">
        <x:v>186</x:v>
      </x:c>
      <x:c r="D187" t="s">
        <x:v>29</x:v>
      </x:c>
      <x:c r="E187" t="s">
        <x:v>187</x:v>
      </x:c>
      <x:c r="F187" t="s">
        <x:v>31</x:v>
      </x:c>
      <x:c r="G187" t="s">
        <x:v>188</x:v>
      </x:c>
      <x:c r="H187" t="s">
        <x:v>189</x:v>
      </x:c>
      <x:c r="I187" t="s">
        <x:v>190</x:v>
      </x:c>
      <x:c r="J187" t="s">
        <x:v>137</x:v>
      </x:c>
      <x:c r="K187" t="s">
        <x:v>138</x:v>
      </x:c>
      <x:c r="L187" t="s">
        <x:v>37</x:v>
      </x:c>
      <x:c r="M187" t="s">
        <x:v>191</x:v>
      </x:c>
      <x:c r="N187" t="s">
        <x:v>192</x:v>
      </x:c>
      <x:c r="O187" t="s">
        <x:v>189</x:v>
      </x:c>
      <x:c r="P187" t="s">
        <x:v>193</x:v>
      </x:c>
      <x:c r="Q187" t="s">
        <x:v>102</x:v>
      </x:c>
      <x:c r="R187">
        <x:v>1</x:v>
      </x:c>
      <x:c r="S187" t="s">
        <x:v>42</x:v>
      </x:c>
      <x:c r="T187" t="s">
        <x:v>44</x:v>
      </x:c>
      <x:c r="U187" t="s">
        <x:v>44</x:v>
      </x:c>
      <x:c r="V187" t="s">
        <x:v>45</x:v>
      </x:c>
      <x:c r="W187" t="s">
        <x:v>60</x:v>
      </x:c>
      <x:c r="X187">
        <x:v>186.44</x:v>
      </x:c>
      <x:c r="Y187" t="s">
        <x:v>47</x:v>
      </x:c>
      <x:c r="Z187" t="s">
        <x:v>48</x:v>
      </x:c>
      <x:c r="AA187" t="s">
        <x:v>49</x:v>
      </x:c>
      <x:c r="AB187">
        <x:v>987407712</x:v>
      </x:c>
      <x:c r="AC187" t="s">
        <x:v>142</x:v>
      </x:c>
      <x:c r="AD187">
        <x:v>50</x:v>
      </x:c>
    </x:row>
    <x:row r="188">
      <x:c r="A188" s="1">
        <x:v>46206</x:v>
      </x:c>
      <x:c r="B188" t="s">
        <x:v>3600</x:v>
      </x:c>
      <x:c r="C188" t="s">
        <x:v>457</x:v>
      </x:c>
      <x:c r="D188" t="s">
        <x:v>29</x:v>
      </x:c>
      <x:c r="E188" t="s">
        <x:v>458</x:v>
      </x:c>
      <x:c r="F188" t="s">
        <x:v>31</x:v>
      </x:c>
      <x:c r="G188" t="s">
        <x:v>459</x:v>
      </x:c>
      <x:c r="H188" t="s">
        <x:v>460</x:v>
      </x:c>
      <x:c r="I188" t="s">
        <x:v>461</x:v>
      </x:c>
      <x:c r="J188" t="s">
        <x:v>435</x:v>
      </x:c>
      <x:c r="K188" t="s">
        <x:v>436</x:v>
      </x:c>
      <x:c r="L188" t="s">
        <x:v>37</x:v>
      </x:c>
      <x:c r="M188" t="s">
        <x:v>462</x:v>
      </x:c>
      <x:c r="N188" t="s">
        <x:v>463</x:v>
      </x:c>
      <x:c r="O188" t="s">
        <x:v>460</x:v>
      </x:c>
      <x:c r="P188" t="s">
        <x:v>464</x:v>
      </x:c>
      <x:c r="Q188" t="s">
        <x:v>102</x:v>
      </x:c>
      <x:c r="R188">
        <x:v>1</x:v>
      </x:c>
      <x:c r="S188" t="s">
        <x:v>42</x:v>
      </x:c>
      <x:c r="T188" t="s">
        <x:v>44</x:v>
      </x:c>
      <x:c r="U188" t="s">
        <x:v>44</x:v>
      </x:c>
      <x:c r="V188" t="s">
        <x:v>71</x:v>
      </x:c>
      <x:c r="W188" t="s">
        <x:v>185</x:v>
      </x:c>
      <x:c r="X188">
        <x:v>186.44</x:v>
      </x:c>
      <x:c r="Y188" t="s">
        <x:v>47</x:v>
      </x:c>
      <x:c r="Z188" t="s">
        <x:v>48</x:v>
      </x:c>
      <x:c r="AA188" t="s">
        <x:v>73</x:v>
      </x:c>
      <x:c r="AB188">
        <x:v>992903716</x:v>
      </x:c>
      <x:c r="AC188" t="s">
        <x:v>440</x:v>
      </x:c>
      <x:c r="AD188">
        <x:v>50</x:v>
      </x:c>
    </x:row>
    <x:row r="189">
      <x:c r="A189" s="1">
        <x:v>46206</x:v>
      </x:c>
      <x:c r="B189" t="s">
        <x:v>3600</x:v>
      </x:c>
      <x:c r="C189" t="s">
        <x:v>457</x:v>
      </x:c>
      <x:c r="D189" t="s">
        <x:v>29</x:v>
      </x:c>
      <x:c r="E189" t="s">
        <x:v>458</x:v>
      </x:c>
      <x:c r="F189" t="s">
        <x:v>31</x:v>
      </x:c>
      <x:c r="G189" t="s">
        <x:v>459</x:v>
      </x:c>
      <x:c r="H189" t="s">
        <x:v>460</x:v>
      </x:c>
      <x:c r="I189" t="s">
        <x:v>461</x:v>
      </x:c>
      <x:c r="J189" t="s">
        <x:v>435</x:v>
      </x:c>
      <x:c r="K189" t="s">
        <x:v>436</x:v>
      </x:c>
      <x:c r="L189" t="s">
        <x:v>37</x:v>
      </x:c>
      <x:c r="M189" t="s">
        <x:v>462</x:v>
      </x:c>
      <x:c r="N189" t="s">
        <x:v>463</x:v>
      </x:c>
      <x:c r="O189" t="s">
        <x:v>460</x:v>
      </x:c>
      <x:c r="P189" t="s">
        <x:v>464</x:v>
      </x:c>
      <x:c r="Q189" t="s">
        <x:v>160</x:v>
      </x:c>
      <x:c r="R189">
        <x:v>1</x:v>
      </x:c>
      <x:c r="S189" t="s">
        <x:v>42</x:v>
      </x:c>
      <x:c r="T189" t="s">
        <x:v>44</x:v>
      </x:c>
      <x:c r="U189" t="s">
        <x:v>44</x:v>
      </x:c>
      <x:c r="V189" t="s">
        <x:v>71</x:v>
      </x:c>
      <x:c r="W189" t="s">
        <x:v>185</x:v>
      </x:c>
      <x:c r="X189">
        <x:v>135.59</x:v>
      </x:c>
      <x:c r="Y189" t="s">
        <x:v>47</x:v>
      </x:c>
      <x:c r="Z189" t="s">
        <x:v>48</x:v>
      </x:c>
      <x:c r="AA189" t="s">
        <x:v>73</x:v>
      </x:c>
      <x:c r="AB189">
        <x:v>992903716</x:v>
      </x:c>
      <x:c r="AC189" t="s">
        <x:v>440</x:v>
      </x:c>
      <x:c r="AD189">
        <x:v>30</x:v>
      </x:c>
    </x:row>
    <x:row r="190">
      <x:c r="A190" s="1">
        <x:v>46206</x:v>
      </x:c>
      <x:c r="B190" t="s">
        <x:v>3600</x:v>
      </x:c>
      <x:c r="C190" t="s">
        <x:v>457</x:v>
      </x:c>
      <x:c r="D190" t="s">
        <x:v>29</x:v>
      </x:c>
      <x:c r="E190" t="s">
        <x:v>458</x:v>
      </x:c>
      <x:c r="F190" t="s">
        <x:v>31</x:v>
      </x:c>
      <x:c r="G190" t="s">
        <x:v>459</x:v>
      </x:c>
      <x:c r="H190" t="s">
        <x:v>460</x:v>
      </x:c>
      <x:c r="I190" t="s">
        <x:v>461</x:v>
      </x:c>
      <x:c r="J190" t="s">
        <x:v>435</x:v>
      </x:c>
      <x:c r="K190" t="s">
        <x:v>436</x:v>
      </x:c>
      <x:c r="L190" t="s">
        <x:v>37</x:v>
      </x:c>
      <x:c r="M190" t="s">
        <x:v>462</x:v>
      </x:c>
      <x:c r="N190" t="s">
        <x:v>463</x:v>
      </x:c>
      <x:c r="O190" t="s">
        <x:v>460</x:v>
      </x:c>
      <x:c r="P190" t="s">
        <x:v>464</x:v>
      </x:c>
      <x:c r="Q190" t="s">
        <x:v>159</x:v>
      </x:c>
      <x:c r="R190">
        <x:v>1</x:v>
      </x:c>
      <x:c r="S190" t="s">
        <x:v>42</x:v>
      </x:c>
      <x:c r="T190" t="s">
        <x:v>44</x:v>
      </x:c>
      <x:c r="U190" t="s">
        <x:v>44</x:v>
      </x:c>
      <x:c r="V190" t="s">
        <x:v>71</x:v>
      </x:c>
      <x:c r="W190" t="s">
        <x:v>185</x:v>
      </x:c>
      <x:c r="X190">
        <x:v>152.54</x:v>
      </x:c>
      <x:c r="Y190" t="s">
        <x:v>47</x:v>
      </x:c>
      <x:c r="Z190" t="s">
        <x:v>48</x:v>
      </x:c>
      <x:c r="AA190" t="s">
        <x:v>73</x:v>
      </x:c>
      <x:c r="AB190">
        <x:v>992903716</x:v>
      </x:c>
      <x:c r="AC190" t="s">
        <x:v>440</x:v>
      </x:c>
      <x:c r="AD190">
        <x:v>30</x:v>
      </x:c>
    </x:row>
    <x:row r="191">
      <x:c r="A191" s="1">
        <x:v>46206</x:v>
      </x:c>
      <x:c r="B191" t="s">
        <x:v>3600</x:v>
      </x:c>
      <x:c r="C191" t="s">
        <x:v>1404</x:v>
      </x:c>
      <x:c r="D191" t="s">
        <x:v>269</x:v>
      </x:c>
      <x:c r="E191" t="s">
        <x:v>1405</x:v>
      </x:c>
      <x:c r="F191" t="s">
        <x:v>31</x:v>
      </x:c>
      <x:c r="G191" t="s">
        <x:v>1406</x:v>
      </x:c>
      <x:c r="H191" t="s">
        <x:v>1407</x:v>
      </x:c>
      <x:c r="I191" t="s">
        <x:v>1408</x:v>
      </x:c>
      <x:c r="J191" t="s">
        <x:v>478</x:v>
      </x:c>
      <x:c r="K191" t="s">
        <x:v>210</x:v>
      </x:c>
      <x:c r="L191" t="s">
        <x:v>37</x:v>
      </x:c>
      <x:c r="M191" t="s">
        <x:v>1409</x:v>
      </x:c>
      <x:c r="N191" t="s">
        <x:v>1410</x:v>
      </x:c>
      <x:c r="O191" t="s">
        <x:v>487</x:v>
      </x:c>
      <x:c r="P191" t="s">
        <x:v>1411</x:v>
      </x:c>
      <x:c r="Q191" t="s">
        <x:v>482</x:v>
      </x:c>
      <x:c r="R191">
        <x:v>2</x:v>
      </x:c>
      <x:c r="S191" t="s">
        <x:v>42</x:v>
      </x:c>
      <x:c r="T191" t="s">
        <x:v>44</x:v>
      </x:c>
      <x:c r="U191" t="s">
        <x:v>44</x:v>
      </x:c>
      <x:c r="V191" t="s">
        <x:v>45</x:v>
      </x:c>
      <x:c r="W191" t="s">
        <x:v>46</x:v>
      </x:c>
      <x:c r="X191">
        <x:v>203.39</x:v>
      </x:c>
      <x:c r="Y191" t="s">
        <x:v>61</x:v>
      </x:c>
      <x:c r="Z191" t="s">
        <x:v>48</x:v>
      </x:c>
      <x:c r="AA191" t="s">
        <x:v>49</x:v>
      </x:c>
      <x:c r="AB191">
        <x:v>982536223</x:v>
      </x:c>
      <x:c r="AC191" t="s">
        <x:v>483</x:v>
      </x:c>
    </x:row>
    <x:row r="192">
      <x:c r="A192" s="1">
        <x:v>46206</x:v>
      </x:c>
      <x:c r="B192" t="s">
        <x:v>3600</x:v>
      </x:c>
      <x:c r="C192" t="s">
        <x:v>546</x:v>
      </x:c>
      <x:c r="D192" t="s">
        <x:v>269</x:v>
      </x:c>
      <x:c r="E192" t="s">
        <x:v>547</x:v>
      </x:c>
      <x:c r="F192" t="s">
        <x:v>31</x:v>
      </x:c>
      <x:c r="G192" t="s">
        <x:v>548</x:v>
      </x:c>
      <x:c r="H192" t="s">
        <x:v>549</x:v>
      </x:c>
      <x:c r="I192" t="s">
        <x:v>550</x:v>
      </x:c>
      <x:c r="L192" t="s">
        <x:v>37</x:v>
      </x:c>
      <x:c r="M192" t="s">
        <x:v>551</x:v>
      </x:c>
      <x:c r="N192" t="s">
        <x:v>552</x:v>
      </x:c>
      <x:c r="O192" t="s">
        <x:v>553</x:v>
      </x:c>
      <x:c r="P192" t="s">
        <x:v>554</x:v>
      </x:c>
      <x:c r="Q192" t="s">
        <x:v>289</x:v>
      </x:c>
      <x:c r="R192">
        <x:v>1</x:v>
      </x:c>
      <x:c r="S192" t="s">
        <x:v>42</x:v>
      </x:c>
      <x:c r="T192" t="s">
        <x:v>44</x:v>
      </x:c>
      <x:c r="U192" t="s">
        <x:v>44</x:v>
      </x:c>
      <x:c r="V192" t="s">
        <x:v>45</x:v>
      </x:c>
      <x:c r="W192" t="s">
        <x:v>46</x:v>
      </x:c>
      <x:c r="X192">
        <x:v>0</x:v>
      </x:c>
      <x:c r="Y192" t="s">
        <x:v>290</x:v>
      </x:c>
      <x:c r="Z192" t="s">
        <x:v>48</x:v>
      </x:c>
      <x:c r="AA192" t="s">
        <x:v>49</x:v>
      </x:c>
    </x:row>
    <x:row r="193">
      <x:c r="A193" s="1">
        <x:v>46206</x:v>
      </x:c>
      <x:c r="B193" t="s">
        <x:v>3600</x:v>
      </x:c>
      <x:c r="C193" t="s">
        <x:v>546</x:v>
      </x:c>
      <x:c r="D193" t="s">
        <x:v>269</x:v>
      </x:c>
      <x:c r="E193" t="s">
        <x:v>547</x:v>
      </x:c>
      <x:c r="F193" t="s">
        <x:v>31</x:v>
      </x:c>
      <x:c r="G193" t="s">
        <x:v>548</x:v>
      </x:c>
      <x:c r="H193" t="s">
        <x:v>549</x:v>
      </x:c>
      <x:c r="I193" t="s">
        <x:v>550</x:v>
      </x:c>
      <x:c r="L193" t="s">
        <x:v>37</x:v>
      </x:c>
      <x:c r="M193" t="s">
        <x:v>551</x:v>
      </x:c>
      <x:c r="N193" t="s">
        <x:v>552</x:v>
      </x:c>
      <x:c r="O193" t="s">
        <x:v>553</x:v>
      </x:c>
      <x:c r="P193" t="s">
        <x:v>554</x:v>
      </x:c>
      <x:c r="Q193" t="s">
        <x:v>1624</x:v>
      </x:c>
      <x:c r="R193">
        <x:v>1</x:v>
      </x:c>
      <x:c r="S193" t="s">
        <x:v>42</x:v>
      </x:c>
      <x:c r="T193" t="s">
        <x:v>44</x:v>
      </x:c>
      <x:c r="U193" t="s">
        <x:v>44</x:v>
      </x:c>
      <x:c r="V193" t="s">
        <x:v>45</x:v>
      </x:c>
      <x:c r="W193" t="s">
        <x:v>46</x:v>
      </x:c>
      <x:c r="X193">
        <x:v>847.46</x:v>
      </x:c>
      <x:c r="Y193" t="s">
        <x:v>290</x:v>
      </x:c>
      <x:c r="Z193" t="s">
        <x:v>48</x:v>
      </x:c>
      <x:c r="AA193" t="s">
        <x:v>49</x:v>
      </x:c>
    </x:row>
    <x:row r="194">
      <x:c r="A194" s="1">
        <x:v>46206</x:v>
      </x:c>
      <x:c r="B194" t="s">
        <x:v>3600</x:v>
      </x:c>
      <x:c r="C194" t="s">
        <x:v>677</x:v>
      </x:c>
      <x:c r="D194" t="s">
        <x:v>29</x:v>
      </x:c>
      <x:c r="E194" t="s">
        <x:v>678</x:v>
      </x:c>
      <x:c r="F194" t="s">
        <x:v>31</x:v>
      </x:c>
      <x:c r="G194" t="s">
        <x:v>679</x:v>
      </x:c>
      <x:c r="H194" t="s">
        <x:v>680</x:v>
      </x:c>
      <x:c r="I194" t="s">
        <x:v>681</x:v>
      </x:c>
      <x:c r="J194" t="s">
        <x:v>664</x:v>
      </x:c>
      <x:c r="K194" t="s">
        <x:v>36</x:v>
      </x:c>
      <x:c r="L194" t="s">
        <x:v>37</x:v>
      </x:c>
      <x:c r="M194" t="s">
        <x:v>682</x:v>
      </x:c>
      <x:c r="N194" t="s">
        <x:v>683</x:v>
      </x:c>
      <x:c r="O194" t="s">
        <x:v>680</x:v>
      </x:c>
      <x:c r="P194" t="s">
        <x:v>684</x:v>
      </x:c>
      <x:c r="Q194" t="s">
        <x:v>202</x:v>
      </x:c>
      <x:c r="R194">
        <x:v>1</x:v>
      </x:c>
      <x:c r="S194" t="s">
        <x:v>42</x:v>
      </x:c>
      <x:c r="T194" t="s">
        <x:v>44</x:v>
      </x:c>
      <x:c r="U194" t="s">
        <x:v>44</x:v>
      </x:c>
      <x:c r="V194" t="s">
        <x:v>45</x:v>
      </x:c>
      <x:c r="W194" t="s">
        <x:v>46</x:v>
      </x:c>
      <x:c r="X194">
        <x:v>152.54</x:v>
      </x:c>
      <x:c r="Y194" t="s">
        <x:v>47</x:v>
      </x:c>
      <x:c r="Z194" t="s">
        <x:v>48</x:v>
      </x:c>
      <x:c r="AA194" t="s">
        <x:v>49</x:v>
      </x:c>
      <x:c r="AB194">
        <x:v>997145685</x:v>
      </x:c>
      <x:c r="AC194" t="s">
        <x:v>668</x:v>
      </x:c>
      <x:c r="AD194">
        <x:v>30</x:v>
      </x:c>
    </x:row>
    <x:row r="195">
      <x:c r="A195" s="1">
        <x:v>46206</x:v>
      </x:c>
      <x:c r="B195" t="s">
        <x:v>3600</x:v>
      </x:c>
      <x:c r="C195" t="s">
        <x:v>701</x:v>
      </x:c>
      <x:c r="D195" t="s">
        <x:v>29</x:v>
      </x:c>
      <x:c r="E195" t="s">
        <x:v>702</x:v>
      </x:c>
      <x:c r="F195" t="s">
        <x:v>31</x:v>
      </x:c>
      <x:c r="G195" t="s">
        <x:v>703</x:v>
      </x:c>
      <x:c r="H195" t="s">
        <x:v>704</x:v>
      </x:c>
      <x:c r="I195" t="s">
        <x:v>705</x:v>
      </x:c>
      <x:c r="J195" t="s">
        <x:v>706</x:v>
      </x:c>
      <x:c r="K195" t="s">
        <x:v>707</x:v>
      </x:c>
      <x:c r="L195" t="s">
        <x:v>37</x:v>
      </x:c>
      <x:c r="M195" t="s">
        <x:v>708</x:v>
      </x:c>
      <x:c r="N195" t="s">
        <x:v>709</x:v>
      </x:c>
      <x:c r="O195" t="s">
        <x:v>704</x:v>
      </x:c>
      <x:c r="P195" t="s">
        <x:v>710</x:v>
      </x:c>
      <x:c r="Q195" t="s">
        <x:v>160</x:v>
      </x:c>
      <x:c r="R195">
        <x:v>1</x:v>
      </x:c>
      <x:c r="S195" t="s">
        <x:v>42</x:v>
      </x:c>
      <x:c r="T195" t="s">
        <x:v>44</x:v>
      </x:c>
      <x:c r="U195" t="s">
        <x:v>44</x:v>
      </x:c>
      <x:c r="V195" t="s">
        <x:v>45</x:v>
      </x:c>
      <x:c r="W195" t="s">
        <x:v>60</x:v>
      </x:c>
      <x:c r="X195">
        <x:v>135.59</x:v>
      </x:c>
      <x:c r="Y195" t="s">
        <x:v>47</x:v>
      </x:c>
      <x:c r="Z195" t="s">
        <x:v>48</x:v>
      </x:c>
      <x:c r="AA195" t="s">
        <x:v>49</x:v>
      </x:c>
      <x:c r="AB195">
        <x:v>998418895</x:v>
      </x:c>
      <x:c r="AC195" t="s">
        <x:v>711</x:v>
      </x:c>
      <x:c r="AD195">
        <x:v>30</x:v>
      </x:c>
    </x:row>
    <x:row r="196">
      <x:c r="A196" s="1">
        <x:v>46206</x:v>
      </x:c>
      <x:c r="B196" t="s">
        <x:v>3600</x:v>
      </x:c>
      <x:c r="C196" t="s">
        <x:v>701</x:v>
      </x:c>
      <x:c r="D196" t="s">
        <x:v>29</x:v>
      </x:c>
      <x:c r="E196" t="s">
        <x:v>702</x:v>
      </x:c>
      <x:c r="F196" t="s">
        <x:v>31</x:v>
      </x:c>
      <x:c r="G196" t="s">
        <x:v>703</x:v>
      </x:c>
      <x:c r="H196" t="s">
        <x:v>704</x:v>
      </x:c>
      <x:c r="I196" t="s">
        <x:v>705</x:v>
      </x:c>
      <x:c r="J196" t="s">
        <x:v>706</x:v>
      </x:c>
      <x:c r="K196" t="s">
        <x:v>707</x:v>
      </x:c>
      <x:c r="L196" t="s">
        <x:v>37</x:v>
      </x:c>
      <x:c r="M196" t="s">
        <x:v>708</x:v>
      </x:c>
      <x:c r="N196" t="s">
        <x:v>709</x:v>
      </x:c>
      <x:c r="O196" t="s">
        <x:v>704</x:v>
      </x:c>
      <x:c r="P196" t="s">
        <x:v>710</x:v>
      </x:c>
      <x:c r="Q196" t="s">
        <x:v>159</x:v>
      </x:c>
      <x:c r="R196">
        <x:v>1</x:v>
      </x:c>
      <x:c r="S196" t="s">
        <x:v>42</x:v>
      </x:c>
      <x:c r="T196" t="s">
        <x:v>44</x:v>
      </x:c>
      <x:c r="U196" t="s">
        <x:v>44</x:v>
      </x:c>
      <x:c r="V196" t="s">
        <x:v>45</x:v>
      </x:c>
      <x:c r="W196" t="s">
        <x:v>60</x:v>
      </x:c>
      <x:c r="X196">
        <x:v>152.54</x:v>
      </x:c>
      <x:c r="Y196" t="s">
        <x:v>47</x:v>
      </x:c>
      <x:c r="Z196" t="s">
        <x:v>48</x:v>
      </x:c>
      <x:c r="AA196" t="s">
        <x:v>49</x:v>
      </x:c>
      <x:c r="AB196">
        <x:v>998418895</x:v>
      </x:c>
      <x:c r="AC196" t="s">
        <x:v>711</x:v>
      </x:c>
      <x:c r="AD196">
        <x:v>30</x:v>
      </x:c>
    </x:row>
    <x:row r="197">
      <x:c r="A197" s="1">
        <x:v>46206</x:v>
      </x:c>
      <x:c r="B197" t="s">
        <x:v>3600</x:v>
      </x:c>
      <x:c r="C197" t="s">
        <x:v>701</x:v>
      </x:c>
      <x:c r="D197" t="s">
        <x:v>29</x:v>
      </x:c>
      <x:c r="E197" t="s">
        <x:v>702</x:v>
      </x:c>
      <x:c r="F197" t="s">
        <x:v>31</x:v>
      </x:c>
      <x:c r="G197" t="s">
        <x:v>703</x:v>
      </x:c>
      <x:c r="H197" t="s">
        <x:v>704</x:v>
      </x:c>
      <x:c r="I197" t="s">
        <x:v>705</x:v>
      </x:c>
      <x:c r="J197" t="s">
        <x:v>706</x:v>
      </x:c>
      <x:c r="K197" t="s">
        <x:v>707</x:v>
      </x:c>
      <x:c r="L197" t="s">
        <x:v>37</x:v>
      </x:c>
      <x:c r="M197" t="s">
        <x:v>708</x:v>
      </x:c>
      <x:c r="N197" t="s">
        <x:v>709</x:v>
      </x:c>
      <x:c r="O197" t="s">
        <x:v>704</x:v>
      </x:c>
      <x:c r="P197" t="s">
        <x:v>710</x:v>
      </x:c>
      <x:c r="Q197" t="s">
        <x:v>102</x:v>
      </x:c>
      <x:c r="R197">
        <x:v>1</x:v>
      </x:c>
      <x:c r="S197" t="s">
        <x:v>42</x:v>
      </x:c>
      <x:c r="T197" t="s">
        <x:v>44</x:v>
      </x:c>
      <x:c r="U197" t="s">
        <x:v>44</x:v>
      </x:c>
      <x:c r="V197" t="s">
        <x:v>45</x:v>
      </x:c>
      <x:c r="W197" t="s">
        <x:v>60</x:v>
      </x:c>
      <x:c r="X197">
        <x:v>186.44</x:v>
      </x:c>
      <x:c r="Y197" t="s">
        <x:v>47</x:v>
      </x:c>
      <x:c r="Z197" t="s">
        <x:v>48</x:v>
      </x:c>
      <x:c r="AA197" t="s">
        <x:v>49</x:v>
      </x:c>
      <x:c r="AB197">
        <x:v>998418895</x:v>
      </x:c>
      <x:c r="AC197" t="s">
        <x:v>711</x:v>
      </x:c>
      <x:c r="AD197">
        <x:v>50</x:v>
      </x:c>
    </x:row>
    <x:row r="198">
      <x:c r="A198" s="1">
        <x:v>46206</x:v>
      </x:c>
      <x:c r="B198" t="s">
        <x:v>3600</x:v>
      </x:c>
      <x:c r="C198" t="s">
        <x:v>743</x:v>
      </x:c>
      <x:c r="D198" t="s">
        <x:v>29</x:v>
      </x:c>
      <x:c r="E198" t="s">
        <x:v>744</x:v>
      </x:c>
      <x:c r="F198" t="s">
        <x:v>31</x:v>
      </x:c>
      <x:c r="G198" t="s">
        <x:v>745</x:v>
      </x:c>
      <x:c r="H198" t="s">
        <x:v>746</x:v>
      </x:c>
      <x:c r="I198" t="s">
        <x:v>747</x:v>
      </x:c>
      <x:c r="J198" t="s">
        <x:v>717</x:v>
      </x:c>
      <x:c r="K198" t="s">
        <x:v>718</x:v>
      </x:c>
      <x:c r="L198" t="s">
        <x:v>37</x:v>
      </x:c>
      <x:c r="M198" t="s">
        <x:v>748</x:v>
      </x:c>
      <x:c r="N198" t="s">
        <x:v>749</x:v>
      </x:c>
      <x:c r="O198" t="s">
        <x:v>746</x:v>
      </x:c>
      <x:c r="P198" t="s">
        <x:v>750</x:v>
      </x:c>
      <x:c r="Q198" t="s">
        <x:v>41</x:v>
      </x:c>
      <x:c r="R198">
        <x:v>1</x:v>
      </x:c>
      <x:c r="S198" t="s">
        <x:v>70</x:v>
      </x:c>
      <x:c r="T198" t="s">
        <x:v>43</x:v>
      </x:c>
      <x:c r="U198" t="s">
        <x:v>44</x:v>
      </x:c>
      <x:c r="V198" t="s">
        <x:v>71</x:v>
      </x:c>
      <x:c r="W198" t="s">
        <x:v>72</x:v>
      </x:c>
      <x:c r="X198">
        <x:v>186.44</x:v>
      </x:c>
      <x:c r="Y198" t="s">
        <x:v>47</x:v>
      </x:c>
      <x:c r="Z198" t="s">
        <x:v>48</x:v>
      </x:c>
      <x:c r="AA198" t="s">
        <x:v>73</x:v>
      </x:c>
      <x:c r="AB198">
        <x:v>955356636</x:v>
      </x:c>
      <x:c r="AC198" t="s">
        <x:v>722</x:v>
      </x:c>
      <x:c r="AD198">
        <x:v>50</x:v>
      </x:c>
    </x:row>
    <x:row r="199">
      <x:c r="A199" s="1">
        <x:v>46206</x:v>
      </x:c>
      <x:c r="B199" t="s">
        <x:v>3600</x:v>
      </x:c>
      <x:c r="C199" t="s">
        <x:v>751</x:v>
      </x:c>
      <x:c r="D199" t="s">
        <x:v>29</x:v>
      </x:c>
      <x:c r="E199" t="s">
        <x:v>752</x:v>
      </x:c>
      <x:c r="F199" t="s">
        <x:v>31</x:v>
      </x:c>
      <x:c r="G199" t="s">
        <x:v>753</x:v>
      </x:c>
      <x:c r="H199" t="s">
        <x:v>754</x:v>
      </x:c>
      <x:c r="I199" t="s">
        <x:v>755</x:v>
      </x:c>
      <x:c r="J199" t="s">
        <x:v>717</x:v>
      </x:c>
      <x:c r="K199" t="s">
        <x:v>718</x:v>
      </x:c>
      <x:c r="L199" t="s">
        <x:v>37</x:v>
      </x:c>
      <x:c r="M199" t="s">
        <x:v>756</x:v>
      </x:c>
      <x:c r="N199" t="s">
        <x:v>757</x:v>
      </x:c>
      <x:c r="O199" t="s">
        <x:v>754</x:v>
      </x:c>
      <x:c r="P199" t="s">
        <x:v>758</x:v>
      </x:c>
      <x:c r="Q199" t="s">
        <x:v>41</x:v>
      </x:c>
      <x:c r="R199">
        <x:v>1</x:v>
      </x:c>
      <x:c r="S199" t="s">
        <x:v>70</x:v>
      </x:c>
      <x:c r="T199" t="s">
        <x:v>43</x:v>
      </x:c>
      <x:c r="U199" t="s">
        <x:v>44</x:v>
      </x:c>
      <x:c r="V199" t="s">
        <x:v>71</x:v>
      </x:c>
      <x:c r="W199" t="s">
        <x:v>72</x:v>
      </x:c>
      <x:c r="X199">
        <x:v>186.44</x:v>
      </x:c>
      <x:c r="Y199" t="s">
        <x:v>47</x:v>
      </x:c>
      <x:c r="Z199" t="s">
        <x:v>48</x:v>
      </x:c>
      <x:c r="AA199" t="s">
        <x:v>73</x:v>
      </x:c>
      <x:c r="AB199">
        <x:v>955356636</x:v>
      </x:c>
      <x:c r="AC199" t="s">
        <x:v>722</x:v>
      </x:c>
      <x:c r="AD199">
        <x:v>50</x:v>
      </x:c>
    </x:row>
    <x:row r="200">
      <x:c r="A200" s="1">
        <x:v>46206</x:v>
      </x:c>
      <x:c r="B200" t="s">
        <x:v>3600</x:v>
      </x:c>
      <x:c r="C200" t="s">
        <x:v>751</x:v>
      </x:c>
      <x:c r="D200" t="s">
        <x:v>29</x:v>
      </x:c>
      <x:c r="E200" t="s">
        <x:v>752</x:v>
      </x:c>
      <x:c r="F200" t="s">
        <x:v>31</x:v>
      </x:c>
      <x:c r="G200" t="s">
        <x:v>753</x:v>
      </x:c>
      <x:c r="H200" t="s">
        <x:v>754</x:v>
      </x:c>
      <x:c r="I200" t="s">
        <x:v>755</x:v>
      </x:c>
      <x:c r="J200" t="s">
        <x:v>717</x:v>
      </x:c>
      <x:c r="K200" t="s">
        <x:v>718</x:v>
      </x:c>
      <x:c r="L200" t="s">
        <x:v>37</x:v>
      </x:c>
      <x:c r="M200" t="s">
        <x:v>756</x:v>
      </x:c>
      <x:c r="N200" t="s">
        <x:v>757</x:v>
      </x:c>
      <x:c r="O200" t="s">
        <x:v>754</x:v>
      </x:c>
      <x:c r="P200" t="s">
        <x:v>758</x:v>
      </x:c>
      <x:c r="Q200" t="s">
        <x:v>102</x:v>
      </x:c>
      <x:c r="R200">
        <x:v>1</x:v>
      </x:c>
      <x:c r="S200" t="s">
        <x:v>70</x:v>
      </x:c>
      <x:c r="T200" t="s">
        <x:v>43</x:v>
      </x:c>
      <x:c r="U200" t="s">
        <x:v>44</x:v>
      </x:c>
      <x:c r="V200" t="s">
        <x:v>71</x:v>
      </x:c>
      <x:c r="W200" t="s">
        <x:v>72</x:v>
      </x:c>
      <x:c r="X200">
        <x:v>186.44</x:v>
      </x:c>
      <x:c r="Y200" t="s">
        <x:v>47</x:v>
      </x:c>
      <x:c r="Z200" t="s">
        <x:v>48</x:v>
      </x:c>
      <x:c r="AA200" t="s">
        <x:v>73</x:v>
      </x:c>
      <x:c r="AB200">
        <x:v>955356636</x:v>
      </x:c>
      <x:c r="AC200" t="s">
        <x:v>722</x:v>
      </x:c>
      <x:c r="AD200">
        <x:v>50</x:v>
      </x:c>
    </x:row>
    <x:row r="201">
      <x:c r="A201" s="1">
        <x:v>46206</x:v>
      </x:c>
      <x:c r="B201" t="s">
        <x:v>3600</x:v>
      </x:c>
      <x:c r="C201" t="s">
        <x:v>971</x:v>
      </x:c>
      <x:c r="D201" t="s">
        <x:v>269</x:v>
      </x:c>
      <x:c r="E201" t="s">
        <x:v>972</x:v>
      </x:c>
      <x:c r="F201" t="s">
        <x:v>31</x:v>
      </x:c>
      <x:c r="G201" t="s">
        <x:v>973</x:v>
      </x:c>
      <x:c r="H201" t="s">
        <x:v>966</x:v>
      </x:c>
      <x:c r="I201" t="s">
        <x:v>967</x:v>
      </x:c>
      <x:c r="J201" t="s">
        <x:v>776</x:v>
      </x:c>
      <x:c r="K201" t="s">
        <x:v>777</x:v>
      </x:c>
      <x:c r="L201" t="s">
        <x:v>37</x:v>
      </x:c>
      <x:c r="M201" t="s">
        <x:v>968</x:v>
      </x:c>
      <x:c r="N201" t="s">
        <x:v>969</x:v>
      </x:c>
      <x:c r="O201" t="s">
        <x:v>800</x:v>
      </x:c>
      <x:c r="P201" t="s">
        <x:v>974</x:v>
      </x:c>
      <x:c r="Q201" t="s">
        <x:v>289</x:v>
      </x:c>
      <x:c r="R201">
        <x:v>1</x:v>
      </x:c>
      <x:c r="S201" t="s">
        <x:v>42</x:v>
      </x:c>
      <x:c r="T201" t="s">
        <x:v>44</x:v>
      </x:c>
      <x:c r="U201" t="s">
        <x:v>44</x:v>
      </x:c>
      <x:c r="V201" t="s">
        <x:v>45</x:v>
      </x:c>
      <x:c r="W201" t="s">
        <x:v>46</x:v>
      </x:c>
      <x:c r="X201">
        <x:v>0</x:v>
      </x:c>
      <x:c r="Y201" t="s">
        <x:v>290</x:v>
      </x:c>
      <x:c r="Z201" t="s">
        <x:v>48</x:v>
      </x:c>
      <x:c r="AA201" t="s">
        <x:v>49</x:v>
      </x:c>
    </x:row>
    <x:row r="202">
      <x:c r="A202" s="1">
        <x:v>46206</x:v>
      </x:c>
      <x:c r="B202" t="s">
        <x:v>3600</x:v>
      </x:c>
      <x:c r="C202" t="s">
        <x:v>971</x:v>
      </x:c>
      <x:c r="D202" t="s">
        <x:v>269</x:v>
      </x:c>
      <x:c r="E202" t="s">
        <x:v>972</x:v>
      </x:c>
      <x:c r="F202" t="s">
        <x:v>31</x:v>
      </x:c>
      <x:c r="G202" t="s">
        <x:v>973</x:v>
      </x:c>
      <x:c r="H202" t="s">
        <x:v>966</x:v>
      </x:c>
      <x:c r="I202" t="s">
        <x:v>967</x:v>
      </x:c>
      <x:c r="J202" t="s">
        <x:v>776</x:v>
      </x:c>
      <x:c r="K202" t="s">
        <x:v>777</x:v>
      </x:c>
      <x:c r="L202" t="s">
        <x:v>37</x:v>
      </x:c>
      <x:c r="M202" t="s">
        <x:v>968</x:v>
      </x:c>
      <x:c r="N202" t="s">
        <x:v>969</x:v>
      </x:c>
      <x:c r="O202" t="s">
        <x:v>800</x:v>
      </x:c>
      <x:c r="P202" t="s">
        <x:v>974</x:v>
      </x:c>
      <x:c r="Q202" t="s">
        <x:v>1624</x:v>
      </x:c>
      <x:c r="R202">
        <x:v>1</x:v>
      </x:c>
      <x:c r="S202" t="s">
        <x:v>42</x:v>
      </x:c>
      <x:c r="T202" t="s">
        <x:v>44</x:v>
      </x:c>
      <x:c r="U202" t="s">
        <x:v>44</x:v>
      </x:c>
      <x:c r="V202" t="s">
        <x:v>45</x:v>
      </x:c>
      <x:c r="W202" t="s">
        <x:v>46</x:v>
      </x:c>
      <x:c r="X202">
        <x:v>1483.05</x:v>
      </x:c>
      <x:c r="Y202" t="s">
        <x:v>290</x:v>
      </x:c>
      <x:c r="Z202" t="s">
        <x:v>48</x:v>
      </x:c>
      <x:c r="AA202" t="s">
        <x:v>49</x:v>
      </x:c>
    </x:row>
    <x:row r="203">
      <x:c r="A203" s="1">
        <x:v>46206</x:v>
      </x:c>
      <x:c r="B203" t="s">
        <x:v>3600</x:v>
      </x:c>
      <x:c r="C203" t="s">
        <x:v>1265</x:v>
      </x:c>
      <x:c r="D203" t="s">
        <x:v>29</x:v>
      </x:c>
      <x:c r="E203" t="s">
        <x:v>1266</x:v>
      </x:c>
      <x:c r="F203" t="s">
        <x:v>31</x:v>
      </x:c>
      <x:c r="G203" t="s">
        <x:v>1267</x:v>
      </x:c>
      <x:c r="H203" t="s">
        <x:v>1268</x:v>
      </x:c>
      <x:c r="I203" t="s">
        <x:v>1269</x:v>
      </x:c>
      <x:c r="J203" t="s">
        <x:v>2841</x:v>
      </x:c>
      <x:c r="K203" t="s">
        <x:v>210</x:v>
      </x:c>
      <x:c r="L203" t="s">
        <x:v>37</x:v>
      </x:c>
      <x:c r="M203" t="s">
        <x:v>1270</x:v>
      </x:c>
      <x:c r="N203" t="s">
        <x:v>610</x:v>
      </x:c>
      <x:c r="O203" t="s">
        <x:v>1268</x:v>
      </x:c>
      <x:c r="P203" t="s">
        <x:v>1271</x:v>
      </x:c>
      <x:c r="Q203" t="s">
        <x:v>289</x:v>
      </x:c>
      <x:c r="R203">
        <x:v>1</x:v>
      </x:c>
      <x:c r="S203" t="s">
        <x:v>42</x:v>
      </x:c>
      <x:c r="T203" t="s">
        <x:v>44</x:v>
      </x:c>
      <x:c r="U203" t="s">
        <x:v>44</x:v>
      </x:c>
      <x:c r="V203" t="s">
        <x:v>45</x:v>
      </x:c>
      <x:c r="W203" t="s">
        <x:v>46</x:v>
      </x:c>
      <x:c r="X203">
        <x:v>0</x:v>
      </x:c>
      <x:c r="Y203" t="s">
        <x:v>290</x:v>
      </x:c>
      <x:c r="Z203" t="s">
        <x:v>48</x:v>
      </x:c>
      <x:c r="AA203" t="s">
        <x:v>49</x:v>
      </x:c>
      <x:c r="AB203">
        <x:v>994872106</x:v>
      </x:c>
      <x:c r="AC203" t="s">
        <x:v>1256</x:v>
      </x:c>
    </x:row>
    <x:row r="204">
      <x:c r="A204" s="1">
        <x:v>46206</x:v>
      </x:c>
      <x:c r="B204" t="s">
        <x:v>3600</x:v>
      </x:c>
      <x:c r="C204" t="s">
        <x:v>1265</x:v>
      </x:c>
      <x:c r="D204" t="s">
        <x:v>29</x:v>
      </x:c>
      <x:c r="E204" t="s">
        <x:v>1266</x:v>
      </x:c>
      <x:c r="F204" t="s">
        <x:v>31</x:v>
      </x:c>
      <x:c r="G204" t="s">
        <x:v>1267</x:v>
      </x:c>
      <x:c r="H204" t="s">
        <x:v>1268</x:v>
      </x:c>
      <x:c r="I204" t="s">
        <x:v>1269</x:v>
      </x:c>
      <x:c r="J204" t="s">
        <x:v>2841</x:v>
      </x:c>
      <x:c r="K204" t="s">
        <x:v>210</x:v>
      </x:c>
      <x:c r="L204" t="s">
        <x:v>37</x:v>
      </x:c>
      <x:c r="M204" t="s">
        <x:v>1270</x:v>
      </x:c>
      <x:c r="N204" t="s">
        <x:v>610</x:v>
      </x:c>
      <x:c r="O204" t="s">
        <x:v>1268</x:v>
      </x:c>
      <x:c r="P204" t="s">
        <x:v>1271</x:v>
      </x:c>
      <x:c r="Q204" t="s">
        <x:v>1624</x:v>
      </x:c>
      <x:c r="R204">
        <x:v>1</x:v>
      </x:c>
      <x:c r="S204" t="s">
        <x:v>42</x:v>
      </x:c>
      <x:c r="T204" t="s">
        <x:v>44</x:v>
      </x:c>
      <x:c r="U204" t="s">
        <x:v>44</x:v>
      </x:c>
      <x:c r="V204" t="s">
        <x:v>45</x:v>
      </x:c>
      <x:c r="W204" t="s">
        <x:v>46</x:v>
      </x:c>
      <x:c r="X204">
        <x:v>139.83000000000001</x:v>
      </x:c>
      <x:c r="Y204" t="s">
        <x:v>290</x:v>
      </x:c>
      <x:c r="Z204" t="s">
        <x:v>48</x:v>
      </x:c>
      <x:c r="AA204" t="s">
        <x:v>49</x:v>
      </x:c>
      <x:c r="AB204">
        <x:v>994872106</x:v>
      </x:c>
      <x:c r="AC204" t="s">
        <x:v>1256</x:v>
      </x:c>
    </x:row>
    <x:row r="205">
      <x:c r="A205" s="1">
        <x:v>46207</x:v>
      </x:c>
      <x:c r="B205" t="s">
        <x:v>3600</x:v>
      </x:c>
      <x:c r="C205" t="s">
        <x:v>1432</x:v>
      </x:c>
      <x:c r="D205" t="s">
        <x:v>29</x:v>
      </x:c>
      <x:c r="E205" t="s">
        <x:v>1433</x:v>
      </x:c>
      <x:c r="F205" t="s">
        <x:v>31</x:v>
      </x:c>
      <x:c r="G205" t="s">
        <x:v>1434</x:v>
      </x:c>
      <x:c r="H205" t="s">
        <x:v>1435</x:v>
      </x:c>
      <x:c r="I205" t="s">
        <x:v>1436</x:v>
      </x:c>
      <x:c r="J205" t="s">
        <x:v>3097</x:v>
      </x:c>
      <x:c r="K205" t="s">
        <x:v>210</x:v>
      </x:c>
      <x:c r="L205" t="s">
        <x:v>37</x:v>
      </x:c>
      <x:c r="M205" t="s">
        <x:v>1438</x:v>
      </x:c>
      <x:c r="N205" t="s">
        <x:v>1439</x:v>
      </x:c>
      <x:c r="O205" t="s">
        <x:v>1435</x:v>
      </x:c>
      <x:c r="P205" t="s">
        <x:v>1440</x:v>
      </x:c>
      <x:c r="Q205" t="s">
        <x:v>41</x:v>
      </x:c>
      <x:c r="R205">
        <x:v>1</x:v>
      </x:c>
      <x:c r="S205" t="s">
        <x:v>42</x:v>
      </x:c>
      <x:c r="T205" t="s">
        <x:v>44</x:v>
      </x:c>
      <x:c r="U205" t="s">
        <x:v>44</x:v>
      </x:c>
      <x:c r="V205" t="s">
        <x:v>45</x:v>
      </x:c>
      <x:c r="W205" t="s">
        <x:v>60</x:v>
      </x:c>
      <x:c r="X205">
        <x:v>186.44</x:v>
      </x:c>
      <x:c r="Y205" t="s">
        <x:v>47</x:v>
      </x:c>
      <x:c r="Z205" t="s">
        <x:v>48</x:v>
      </x:c>
      <x:c r="AA205" t="s">
        <x:v>49</x:v>
      </x:c>
      <x:c r="AB205">
        <x:v>948878123</x:v>
      </x:c>
      <x:c r="AC205" t="s">
        <x:v>3098</x:v>
      </x:c>
      <x:c r="AD205">
        <x:v>50</x:v>
      </x:c>
    </x:row>
    <x:row r="206">
      <x:c r="A206" s="1">
        <x:v>46207</x:v>
      </x:c>
      <x:c r="B206" t="s">
        <x:v>3600</x:v>
      </x:c>
      <x:c r="C206" t="s">
        <x:v>1432</x:v>
      </x:c>
      <x:c r="D206" t="s">
        <x:v>29</x:v>
      </x:c>
      <x:c r="E206" t="s">
        <x:v>1433</x:v>
      </x:c>
      <x:c r="F206" t="s">
        <x:v>31</x:v>
      </x:c>
      <x:c r="G206" t="s">
        <x:v>1434</x:v>
      </x:c>
      <x:c r="H206" t="s">
        <x:v>1435</x:v>
      </x:c>
      <x:c r="I206" t="s">
        <x:v>1436</x:v>
      </x:c>
      <x:c r="J206" t="s">
        <x:v>3097</x:v>
      </x:c>
      <x:c r="K206" t="s">
        <x:v>210</x:v>
      </x:c>
      <x:c r="L206" t="s">
        <x:v>37</x:v>
      </x:c>
      <x:c r="M206" t="s">
        <x:v>1438</x:v>
      </x:c>
      <x:c r="N206" t="s">
        <x:v>1439</x:v>
      </x:c>
      <x:c r="O206" t="s">
        <x:v>1435</x:v>
      </x:c>
      <x:c r="P206" t="s">
        <x:v>1440</x:v>
      </x:c>
      <x:c r="Q206" t="s">
        <x:v>102</x:v>
      </x:c>
      <x:c r="R206">
        <x:v>1</x:v>
      </x:c>
      <x:c r="S206" t="s">
        <x:v>42</x:v>
      </x:c>
      <x:c r="T206" t="s">
        <x:v>44</x:v>
      </x:c>
      <x:c r="U206" t="s">
        <x:v>44</x:v>
      </x:c>
      <x:c r="V206" t="s">
        <x:v>45</x:v>
      </x:c>
      <x:c r="W206" t="s">
        <x:v>60</x:v>
      </x:c>
      <x:c r="X206">
        <x:v>186.44</x:v>
      </x:c>
      <x:c r="Y206" t="s">
        <x:v>47</x:v>
      </x:c>
      <x:c r="Z206" t="s">
        <x:v>48</x:v>
      </x:c>
      <x:c r="AA206" t="s">
        <x:v>49</x:v>
      </x:c>
      <x:c r="AB206">
        <x:v>948878123</x:v>
      </x:c>
      <x:c r="AC206" t="s">
        <x:v>3098</x:v>
      </x:c>
      <x:c r="AD206">
        <x:v>50</x:v>
      </x:c>
    </x:row>
    <x:row r="207">
      <x:c r="A207" s="1">
        <x:v>46207</x:v>
      </x:c>
      <x:c r="B207" t="s">
        <x:v>3600</x:v>
      </x:c>
      <x:c r="C207" t="s">
        <x:v>1432</x:v>
      </x:c>
      <x:c r="D207" t="s">
        <x:v>29</x:v>
      </x:c>
      <x:c r="E207" t="s">
        <x:v>1433</x:v>
      </x:c>
      <x:c r="F207" t="s">
        <x:v>31</x:v>
      </x:c>
      <x:c r="G207" t="s">
        <x:v>1434</x:v>
      </x:c>
      <x:c r="H207" t="s">
        <x:v>1435</x:v>
      </x:c>
      <x:c r="I207" t="s">
        <x:v>1436</x:v>
      </x:c>
      <x:c r="J207" t="s">
        <x:v>3097</x:v>
      </x:c>
      <x:c r="K207" t="s">
        <x:v>210</x:v>
      </x:c>
      <x:c r="L207" t="s">
        <x:v>37</x:v>
      </x:c>
      <x:c r="M207" t="s">
        <x:v>1438</x:v>
      </x:c>
      <x:c r="N207" t="s">
        <x:v>1439</x:v>
      </x:c>
      <x:c r="O207" t="s">
        <x:v>1435</x:v>
      </x:c>
      <x:c r="P207" t="s">
        <x:v>1440</x:v>
      </x:c>
      <x:c r="Q207" t="s">
        <x:v>160</x:v>
      </x:c>
      <x:c r="R207">
        <x:v>1</x:v>
      </x:c>
      <x:c r="S207" t="s">
        <x:v>42</x:v>
      </x:c>
      <x:c r="T207" t="s">
        <x:v>44</x:v>
      </x:c>
      <x:c r="U207" t="s">
        <x:v>44</x:v>
      </x:c>
      <x:c r="V207" t="s">
        <x:v>45</x:v>
      </x:c>
      <x:c r="W207" t="s">
        <x:v>60</x:v>
      </x:c>
      <x:c r="X207">
        <x:v>135.59</x:v>
      </x:c>
      <x:c r="Y207" t="s">
        <x:v>47</x:v>
      </x:c>
      <x:c r="Z207" t="s">
        <x:v>48</x:v>
      </x:c>
      <x:c r="AA207" t="s">
        <x:v>49</x:v>
      </x:c>
      <x:c r="AB207">
        <x:v>948878123</x:v>
      </x:c>
      <x:c r="AC207" t="s">
        <x:v>3098</x:v>
      </x:c>
      <x:c r="AD207">
        <x:v>30</x:v>
      </x:c>
    </x:row>
    <x:row r="208">
      <x:c r="A208" s="1">
        <x:v>46209</x:v>
      </x:c>
      <x:c r="B208" t="s">
        <x:v>3600</x:v>
      </x:c>
      <x:c r="C208" t="s">
        <x:v>1310</x:v>
      </x:c>
      <x:c r="D208" t="s">
        <x:v>269</x:v>
      </x:c>
      <x:c r="E208" t="s">
        <x:v>1311</x:v>
      </x:c>
      <x:c r="F208" t="s">
        <x:v>31</x:v>
      </x:c>
      <x:c r="G208" t="s">
        <x:v>1312</x:v>
      </x:c>
      <x:c r="H208" t="s">
        <x:v>1313</x:v>
      </x:c>
      <x:c r="I208" t="s">
        <x:v>1314</x:v>
      </x:c>
      <x:c r="J208" t="s">
        <x:v>1315</x:v>
      </x:c>
      <x:c r="K208" t="s">
        <x:v>36</x:v>
      </x:c>
      <x:c r="L208" t="s">
        <x:v>37</x:v>
      </x:c>
      <x:c r="M208" t="s">
        <x:v>1316</x:v>
      </x:c>
      <x:c r="N208" t="s">
        <x:v>1317</x:v>
      </x:c>
      <x:c r="O208" t="s">
        <x:v>1318</x:v>
      </x:c>
      <x:c r="P208" t="s">
        <x:v>1319</x:v>
      </x:c>
      <x:c r="Q208" t="s">
        <x:v>59</x:v>
      </x:c>
      <x:c r="R208">
        <x:v>1</x:v>
      </x:c>
      <x:c r="S208" t="s">
        <x:v>42</x:v>
      </x:c>
      <x:c r="T208" t="s">
        <x:v>44</x:v>
      </x:c>
      <x:c r="U208" t="s">
        <x:v>44</x:v>
      </x:c>
      <x:c r="V208" t="s">
        <x:v>45</x:v>
      </x:c>
      <x:c r="W208" t="s">
        <x:v>46</x:v>
      </x:c>
      <x:c r="X208">
        <x:v>101.69</x:v>
      </x:c>
      <x:c r="Y208" t="s">
        <x:v>61</x:v>
      </x:c>
      <x:c r="Z208" t="s">
        <x:v>48</x:v>
      </x:c>
      <x:c r="AA208" t="s">
        <x:v>49</x:v>
      </x:c>
      <x:c r="AB208">
        <x:v>993496032</x:v>
      </x:c>
      <x:c r="AC208" t="s">
        <x:v>1320</x:v>
      </x:c>
    </x:row>
    <x:row r="209">
      <x:c r="A209" s="1">
        <x:v>46209</x:v>
      </x:c>
      <x:c r="B209" t="s">
        <x:v>3600</x:v>
      </x:c>
      <x:c r="C209" t="s">
        <x:v>1421</x:v>
      </x:c>
      <x:c r="D209" t="s">
        <x:v>269</x:v>
      </x:c>
      <x:c r="E209" t="s">
        <x:v>1422</x:v>
      </x:c>
      <x:c r="F209" t="s">
        <x:v>31</x:v>
      </x:c>
      <x:c r="G209" t="s">
        <x:v>1423</x:v>
      </x:c>
      <x:c r="H209" t="s">
        <x:v>1424</x:v>
      </x:c>
      <x:c r="I209" t="s">
        <x:v>1425</x:v>
      </x:c>
      <x:c r="J209" t="s">
        <x:v>1426</x:v>
      </x:c>
      <x:c r="K209" t="s">
        <x:v>1427</x:v>
      </x:c>
      <x:c r="L209" t="s">
        <x:v>37</x:v>
      </x:c>
      <x:c r="M209" t="s">
        <x:v>1428</x:v>
      </x:c>
      <x:c r="N209" t="s">
        <x:v>1429</x:v>
      </x:c>
      <x:c r="O209" t="s">
        <x:v>1430</x:v>
      </x:c>
      <x:c r="P209" t="s">
        <x:v>1431</x:v>
      </x:c>
      <x:c r="Q209" t="s">
        <x:v>41</x:v>
      </x:c>
      <x:c r="R209">
        <x:v>1</x:v>
      </x:c>
      <x:c r="S209" t="s">
        <x:v>42</x:v>
      </x:c>
      <x:c r="T209" t="s">
        <x:v>44</x:v>
      </x:c>
      <x:c r="U209" t="s">
        <x:v>44</x:v>
      </x:c>
      <x:c r="V209" t="s">
        <x:v>45</x:v>
      </x:c>
      <x:c r="W209" t="s">
        <x:v>60</x:v>
      </x:c>
      <x:c r="X209">
        <x:v>186.44</x:v>
      </x:c>
      <x:c r="Y209" t="s">
        <x:v>47</x:v>
      </x:c>
      <x:c r="Z209" t="s">
        <x:v>48</x:v>
      </x:c>
      <x:c r="AA209" t="s">
        <x:v>49</x:v>
      </x:c>
      <x:c r="AD209">
        <x:v>50</x:v>
      </x:c>
    </x:row>
    <x:row r="210">
      <x:c r="A210" s="1">
        <x:v>46209</x:v>
      </x:c>
      <x:c r="B210" t="s">
        <x:v>3600</x:v>
      </x:c>
      <x:c r="C210" t="s">
        <x:v>1421</x:v>
      </x:c>
      <x:c r="D210" t="s">
        <x:v>269</x:v>
      </x:c>
      <x:c r="E210" t="s">
        <x:v>1422</x:v>
      </x:c>
      <x:c r="F210" t="s">
        <x:v>31</x:v>
      </x:c>
      <x:c r="G210" t="s">
        <x:v>1423</x:v>
      </x:c>
      <x:c r="H210" t="s">
        <x:v>1424</x:v>
      </x:c>
      <x:c r="I210" t="s">
        <x:v>1425</x:v>
      </x:c>
      <x:c r="J210" t="s">
        <x:v>1426</x:v>
      </x:c>
      <x:c r="K210" t="s">
        <x:v>1427</x:v>
      </x:c>
      <x:c r="L210" t="s">
        <x:v>37</x:v>
      </x:c>
      <x:c r="M210" t="s">
        <x:v>1428</x:v>
      </x:c>
      <x:c r="N210" t="s">
        <x:v>1429</x:v>
      </x:c>
      <x:c r="O210" t="s">
        <x:v>1430</x:v>
      </x:c>
      <x:c r="P210" t="s">
        <x:v>1431</x:v>
      </x:c>
      <x:c r="Q210" t="s">
        <x:v>102</x:v>
      </x:c>
      <x:c r="R210">
        <x:v>1</x:v>
      </x:c>
      <x:c r="S210" t="s">
        <x:v>42</x:v>
      </x:c>
      <x:c r="T210" t="s">
        <x:v>44</x:v>
      </x:c>
      <x:c r="U210" t="s">
        <x:v>44</x:v>
      </x:c>
      <x:c r="V210" t="s">
        <x:v>45</x:v>
      </x:c>
      <x:c r="W210" t="s">
        <x:v>60</x:v>
      </x:c>
      <x:c r="X210">
        <x:v>186.44</x:v>
      </x:c>
      <x:c r="Y210" t="s">
        <x:v>47</x:v>
      </x:c>
      <x:c r="Z210" t="s">
        <x:v>48</x:v>
      </x:c>
      <x:c r="AA210" t="s">
        <x:v>49</x:v>
      </x:c>
      <x:c r="AD210">
        <x:v>50</x:v>
      </x:c>
    </x:row>
    <x:row r="211">
      <x:c r="A211" s="1">
        <x:v>46209</x:v>
      </x:c>
      <x:c r="B211" t="s">
        <x:v>3600</x:v>
      </x:c>
      <x:c r="C211" t="s">
        <x:v>1421</x:v>
      </x:c>
      <x:c r="D211" t="s">
        <x:v>269</x:v>
      </x:c>
      <x:c r="E211" t="s">
        <x:v>1422</x:v>
      </x:c>
      <x:c r="F211" t="s">
        <x:v>31</x:v>
      </x:c>
      <x:c r="G211" t="s">
        <x:v>1423</x:v>
      </x:c>
      <x:c r="H211" t="s">
        <x:v>1424</x:v>
      </x:c>
      <x:c r="I211" t="s">
        <x:v>1425</x:v>
      </x:c>
      <x:c r="J211" t="s">
        <x:v>1426</x:v>
      </x:c>
      <x:c r="K211" t="s">
        <x:v>1427</x:v>
      </x:c>
      <x:c r="L211" t="s">
        <x:v>37</x:v>
      </x:c>
      <x:c r="M211" t="s">
        <x:v>1428</x:v>
      </x:c>
      <x:c r="N211" t="s">
        <x:v>1429</x:v>
      </x:c>
      <x:c r="O211" t="s">
        <x:v>1430</x:v>
      </x:c>
      <x:c r="P211" t="s">
        <x:v>1431</x:v>
      </x:c>
      <x:c r="Q211" t="s">
        <x:v>160</x:v>
      </x:c>
      <x:c r="R211">
        <x:v>1</x:v>
      </x:c>
      <x:c r="S211" t="s">
        <x:v>42</x:v>
      </x:c>
      <x:c r="T211" t="s">
        <x:v>44</x:v>
      </x:c>
      <x:c r="U211" t="s">
        <x:v>44</x:v>
      </x:c>
      <x:c r="V211" t="s">
        <x:v>45</x:v>
      </x:c>
      <x:c r="W211" t="s">
        <x:v>60</x:v>
      </x:c>
      <x:c r="X211">
        <x:v>135.59</x:v>
      </x:c>
      <x:c r="Y211" t="s">
        <x:v>47</x:v>
      </x:c>
      <x:c r="Z211" t="s">
        <x:v>48</x:v>
      </x:c>
      <x:c r="AA211" t="s">
        <x:v>49</x:v>
      </x:c>
      <x:c r="AD211">
        <x:v>30</x:v>
      </x:c>
    </x:row>
    <x:row r="212">
      <x:c r="A212" s="1">
        <x:v>46209</x:v>
      </x:c>
      <x:c r="B212" t="s">
        <x:v>3600</x:v>
      </x:c>
      <x:c r="C212" t="s">
        <x:v>1421</x:v>
      </x:c>
      <x:c r="D212" t="s">
        <x:v>269</x:v>
      </x:c>
      <x:c r="E212" t="s">
        <x:v>1422</x:v>
      </x:c>
      <x:c r="F212" t="s">
        <x:v>31</x:v>
      </x:c>
      <x:c r="G212" t="s">
        <x:v>1423</x:v>
      </x:c>
      <x:c r="H212" t="s">
        <x:v>1424</x:v>
      </x:c>
      <x:c r="I212" t="s">
        <x:v>1425</x:v>
      </x:c>
      <x:c r="J212" t="s">
        <x:v>1426</x:v>
      </x:c>
      <x:c r="K212" t="s">
        <x:v>1427</x:v>
      </x:c>
      <x:c r="L212" t="s">
        <x:v>37</x:v>
      </x:c>
      <x:c r="M212" t="s">
        <x:v>1428</x:v>
      </x:c>
      <x:c r="N212" t="s">
        <x:v>1429</x:v>
      </x:c>
      <x:c r="O212" t="s">
        <x:v>1430</x:v>
      </x:c>
      <x:c r="P212" t="s">
        <x:v>1431</x:v>
      </x:c>
      <x:c r="Q212" t="s">
        <x:v>203</x:v>
      </x:c>
      <x:c r="R212">
        <x:v>1</x:v>
      </x:c>
      <x:c r="S212" t="s">
        <x:v>42</x:v>
      </x:c>
      <x:c r="T212" t="s">
        <x:v>44</x:v>
      </x:c>
      <x:c r="U212" t="s">
        <x:v>44</x:v>
      </x:c>
      <x:c r="V212" t="s">
        <x:v>45</x:v>
      </x:c>
      <x:c r="W212" t="s">
        <x:v>60</x:v>
      </x:c>
      <x:c r="X212">
        <x:v>135.59</x:v>
      </x:c>
      <x:c r="Y212" t="s">
        <x:v>47</x:v>
      </x:c>
      <x:c r="Z212" t="s">
        <x:v>48</x:v>
      </x:c>
      <x:c r="AA212" t="s">
        <x:v>49</x:v>
      </x:c>
      <x:c r="AD212">
        <x:v>30</x:v>
      </x:c>
    </x:row>
    <x:row r="213">
      <x:c r="A213" s="1">
        <x:v>46209</x:v>
      </x:c>
      <x:c r="B213" t="s">
        <x:v>3600</x:v>
      </x:c>
      <x:c r="C213" t="s">
        <x:v>1421</x:v>
      </x:c>
      <x:c r="D213" t="s">
        <x:v>269</x:v>
      </x:c>
      <x:c r="E213" t="s">
        <x:v>1422</x:v>
      </x:c>
      <x:c r="F213" t="s">
        <x:v>31</x:v>
      </x:c>
      <x:c r="G213" t="s">
        <x:v>1423</x:v>
      </x:c>
      <x:c r="H213" t="s">
        <x:v>1424</x:v>
      </x:c>
      <x:c r="I213" t="s">
        <x:v>1425</x:v>
      </x:c>
      <x:c r="J213" t="s">
        <x:v>1426</x:v>
      </x:c>
      <x:c r="K213" t="s">
        <x:v>1427</x:v>
      </x:c>
      <x:c r="L213" t="s">
        <x:v>37</x:v>
      </x:c>
      <x:c r="M213" t="s">
        <x:v>1428</x:v>
      </x:c>
      <x:c r="N213" t="s">
        <x:v>1429</x:v>
      </x:c>
      <x:c r="O213" t="s">
        <x:v>1430</x:v>
      </x:c>
      <x:c r="P213" t="s">
        <x:v>1431</x:v>
      </x:c>
      <x:c r="Q213" t="s">
        <x:v>202</x:v>
      </x:c>
      <x:c r="R213">
        <x:v>1</x:v>
      </x:c>
      <x:c r="S213" t="s">
        <x:v>42</x:v>
      </x:c>
      <x:c r="T213" t="s">
        <x:v>44</x:v>
      </x:c>
      <x:c r="U213" t="s">
        <x:v>44</x:v>
      </x:c>
      <x:c r="V213" t="s">
        <x:v>45</x:v>
      </x:c>
      <x:c r="W213" t="s">
        <x:v>60</x:v>
      </x:c>
      <x:c r="X213">
        <x:v>152.54</x:v>
      </x:c>
      <x:c r="Y213" t="s">
        <x:v>47</x:v>
      </x:c>
      <x:c r="Z213" t="s">
        <x:v>48</x:v>
      </x:c>
      <x:c r="AA213" t="s">
        <x:v>49</x:v>
      </x:c>
      <x:c r="AD213">
        <x:v>30</x:v>
      </x:c>
    </x:row>
    <x:row r="214">
      <x:c r="A214" s="1">
        <x:v>46210</x:v>
      </x:c>
      <x:c r="B214" t="s">
        <x:v>3600</x:v>
      </x:c>
      <x:c r="C214" t="s">
        <x:v>62</x:v>
      </x:c>
      <x:c r="D214" t="s">
        <x:v>29</x:v>
      </x:c>
      <x:c r="E214" t="s">
        <x:v>63</x:v>
      </x:c>
      <x:c r="F214" t="s">
        <x:v>31</x:v>
      </x:c>
      <x:c r="G214" t="s">
        <x:v>64</x:v>
      </x:c>
      <x:c r="H214" t="s">
        <x:v>65</x:v>
      </x:c>
      <x:c r="I214" t="s">
        <x:v>66</x:v>
      </x:c>
      <x:c r="J214" t="s">
        <x:v>35</x:v>
      </x:c>
      <x:c r="K214" t="s">
        <x:v>36</x:v>
      </x:c>
      <x:c r="L214" t="s">
        <x:v>37</x:v>
      </x:c>
      <x:c r="M214" t="s">
        <x:v>67</x:v>
      </x:c>
      <x:c r="N214" t="s">
        <x:v>68</x:v>
      </x:c>
      <x:c r="O214" t="s">
        <x:v>65</x:v>
      </x:c>
      <x:c r="P214" t="s">
        <x:v>69</x:v>
      </x:c>
      <x:c r="Q214" t="s">
        <x:v>41</x:v>
      </x:c>
      <x:c r="R214">
        <x:v>1</x:v>
      </x:c>
      <x:c r="S214" t="s">
        <x:v>70</x:v>
      </x:c>
      <x:c r="T214" t="s">
        <x:v>43</x:v>
      </x:c>
      <x:c r="U214" t="s">
        <x:v>44</x:v>
      </x:c>
      <x:c r="V214" t="s">
        <x:v>71</x:v>
      </x:c>
      <x:c r="W214" t="s">
        <x:v>72</x:v>
      </x:c>
      <x:c r="X214">
        <x:v>186.44</x:v>
      </x:c>
      <x:c r="Y214" t="s">
        <x:v>47</x:v>
      </x:c>
      <x:c r="Z214" t="s">
        <x:v>48</x:v>
      </x:c>
      <x:c r="AA214" t="s">
        <x:v>73</x:v>
      </x:c>
      <x:c r="AB214">
        <x:v>999996347</x:v>
      </x:c>
      <x:c r="AC214" t="s">
        <x:v>50</x:v>
      </x:c>
      <x:c r="AD214">
        <x:v>50</x:v>
      </x:c>
    </x:row>
    <x:row r="215">
      <x:c r="A215" s="1">
        <x:v>46210</x:v>
      </x:c>
      <x:c r="B215" t="s">
        <x:v>3600</x:v>
      </x:c>
      <x:c r="C215" t="s">
        <x:v>74</x:v>
      </x:c>
      <x:c r="D215" t="s">
        <x:v>29</x:v>
      </x:c>
      <x:c r="E215" t="s">
        <x:v>75</x:v>
      </x:c>
      <x:c r="F215" t="s">
        <x:v>31</x:v>
      </x:c>
      <x:c r="G215" t="s">
        <x:v>76</x:v>
      </x:c>
      <x:c r="H215" t="s">
        <x:v>77</x:v>
      </x:c>
      <x:c r="I215" t="s">
        <x:v>78</x:v>
      </x:c>
      <x:c r="J215" t="s">
        <x:v>35</x:v>
      </x:c>
      <x:c r="K215" t="s">
        <x:v>36</x:v>
      </x:c>
      <x:c r="L215" t="s">
        <x:v>37</x:v>
      </x:c>
      <x:c r="M215" t="s">
        <x:v>79</x:v>
      </x:c>
      <x:c r="N215" t="s">
        <x:v>80</x:v>
      </x:c>
      <x:c r="O215" t="s">
        <x:v>77</x:v>
      </x:c>
      <x:c r="P215" t="s">
        <x:v>81</x:v>
      </x:c>
      <x:c r="Q215" t="s">
        <x:v>59</x:v>
      </x:c>
      <x:c r="R215">
        <x:v>1</x:v>
      </x:c>
      <x:c r="S215" t="s">
        <x:v>42</x:v>
      </x:c>
      <x:c r="T215" t="s">
        <x:v>44</x:v>
      </x:c>
      <x:c r="U215" t="s">
        <x:v>44</x:v>
      </x:c>
      <x:c r="V215" t="s">
        <x:v>45</x:v>
      </x:c>
      <x:c r="W215" t="s">
        <x:v>60</x:v>
      </x:c>
      <x:c r="X215">
        <x:v>101.69</x:v>
      </x:c>
      <x:c r="Y215" t="s">
        <x:v>61</x:v>
      </x:c>
      <x:c r="Z215" t="s">
        <x:v>48</x:v>
      </x:c>
      <x:c r="AA215" t="s">
        <x:v>49</x:v>
      </x:c>
      <x:c r="AB215">
        <x:v>999996347</x:v>
      </x:c>
      <x:c r="AC215" t="s">
        <x:v>50</x:v>
      </x:c>
    </x:row>
    <x:row r="216">
      <x:c r="A216" s="1">
        <x:v>46210</x:v>
      </x:c>
      <x:c r="B216" t="s">
        <x:v>3600</x:v>
      </x:c>
      <x:c r="C216" t="s">
        <x:v>194</x:v>
      </x:c>
      <x:c r="D216" t="s">
        <x:v>29</x:v>
      </x:c>
      <x:c r="E216" t="s">
        <x:v>195</x:v>
      </x:c>
      <x:c r="F216" t="s">
        <x:v>31</x:v>
      </x:c>
      <x:c r="G216" t="s">
        <x:v>196</x:v>
      </x:c>
      <x:c r="H216" t="s">
        <x:v>197</x:v>
      </x:c>
      <x:c r="I216" t="s">
        <x:v>198</x:v>
      </x:c>
      <x:c r="J216" t="s">
        <x:v>137</x:v>
      </x:c>
      <x:c r="K216" t="s">
        <x:v>138</x:v>
      </x:c>
      <x:c r="L216" t="s">
        <x:v>37</x:v>
      </x:c>
      <x:c r="M216" t="s">
        <x:v>199</x:v>
      </x:c>
      <x:c r="N216" t="s">
        <x:v>200</x:v>
      </x:c>
      <x:c r="O216" t="s">
        <x:v>197</x:v>
      </x:c>
      <x:c r="P216" t="s">
        <x:v>201</x:v>
      </x:c>
      <x:c r="Q216" t="s">
        <x:v>202</x:v>
      </x:c>
      <x:c r="R216">
        <x:v>1</x:v>
      </x:c>
      <x:c r="S216" t="s">
        <x:v>42</x:v>
      </x:c>
      <x:c r="T216" t="s">
        <x:v>44</x:v>
      </x:c>
      <x:c r="U216" t="s">
        <x:v>44</x:v>
      </x:c>
      <x:c r="V216" t="s">
        <x:v>45</x:v>
      </x:c>
      <x:c r="W216" t="s">
        <x:v>60</x:v>
      </x:c>
      <x:c r="X216">
        <x:v>152.54</x:v>
      </x:c>
      <x:c r="Y216" t="s">
        <x:v>47</x:v>
      </x:c>
      <x:c r="Z216" t="s">
        <x:v>48</x:v>
      </x:c>
      <x:c r="AA216" t="s">
        <x:v>49</x:v>
      </x:c>
      <x:c r="AB216">
        <x:v>987407712</x:v>
      </x:c>
      <x:c r="AC216" t="s">
        <x:v>142</x:v>
      </x:c>
      <x:c r="AD216">
        <x:v>30</x:v>
      </x:c>
    </x:row>
    <x:row r="217">
      <x:c r="A217" s="1">
        <x:v>46210</x:v>
      </x:c>
      <x:c r="B217" t="s">
        <x:v>3600</x:v>
      </x:c>
      <x:c r="C217" t="s">
        <x:v>194</x:v>
      </x:c>
      <x:c r="D217" t="s">
        <x:v>29</x:v>
      </x:c>
      <x:c r="E217" t="s">
        <x:v>195</x:v>
      </x:c>
      <x:c r="F217" t="s">
        <x:v>31</x:v>
      </x:c>
      <x:c r="G217" t="s">
        <x:v>196</x:v>
      </x:c>
      <x:c r="H217" t="s">
        <x:v>197</x:v>
      </x:c>
      <x:c r="I217" t="s">
        <x:v>198</x:v>
      </x:c>
      <x:c r="J217" t="s">
        <x:v>137</x:v>
      </x:c>
      <x:c r="K217" t="s">
        <x:v>138</x:v>
      </x:c>
      <x:c r="L217" t="s">
        <x:v>37</x:v>
      </x:c>
      <x:c r="M217" t="s">
        <x:v>199</x:v>
      </x:c>
      <x:c r="N217" t="s">
        <x:v>200</x:v>
      </x:c>
      <x:c r="O217" t="s">
        <x:v>197</x:v>
      </x:c>
      <x:c r="P217" t="s">
        <x:v>201</x:v>
      </x:c>
      <x:c r="Q217" t="s">
        <x:v>203</x:v>
      </x:c>
      <x:c r="R217">
        <x:v>1</x:v>
      </x:c>
      <x:c r="S217" t="s">
        <x:v>42</x:v>
      </x:c>
      <x:c r="T217" t="s">
        <x:v>44</x:v>
      </x:c>
      <x:c r="U217" t="s">
        <x:v>44</x:v>
      </x:c>
      <x:c r="V217" t="s">
        <x:v>45</x:v>
      </x:c>
      <x:c r="W217" t="s">
        <x:v>60</x:v>
      </x:c>
      <x:c r="X217">
        <x:v>135.59</x:v>
      </x:c>
      <x:c r="Y217" t="s">
        <x:v>47</x:v>
      </x:c>
      <x:c r="Z217" t="s">
        <x:v>48</x:v>
      </x:c>
      <x:c r="AA217" t="s">
        <x:v>49</x:v>
      </x:c>
      <x:c r="AB217">
        <x:v>987407712</x:v>
      </x:c>
      <x:c r="AC217" t="s">
        <x:v>142</x:v>
      </x:c>
      <x:c r="AD217">
        <x:v>30</x:v>
      </x:c>
    </x:row>
    <x:row r="218">
      <x:c r="A218" s="1">
        <x:v>46210</x:v>
      </x:c>
      <x:c r="B218" t="s">
        <x:v>3600</x:v>
      </x:c>
      <x:c r="C218" t="s">
        <x:v>976</x:v>
      </x:c>
      <x:c r="D218" t="s">
        <x:v>269</x:v>
      </x:c>
      <x:c r="E218" t="s">
        <x:v>977</x:v>
      </x:c>
      <x:c r="F218" t="s">
        <x:v>31</x:v>
      </x:c>
      <x:c r="G218" t="s">
        <x:v>978</x:v>
      </x:c>
      <x:c r="H218" t="s">
        <x:v>958</x:v>
      </x:c>
      <x:c r="I218" t="s">
        <x:v>959</x:v>
      </x:c>
      <x:c r="J218" t="s">
        <x:v>776</x:v>
      </x:c>
      <x:c r="K218" t="s">
        <x:v>777</x:v>
      </x:c>
      <x:c r="L218" t="s">
        <x:v>37</x:v>
      </x:c>
      <x:c r="M218" t="s">
        <x:v>960</x:v>
      </x:c>
      <x:c r="N218" t="s">
        <x:v>961</x:v>
      </x:c>
      <x:c r="O218" t="s">
        <x:v>800</x:v>
      </x:c>
      <x:c r="P218" t="s">
        <x:v>979</x:v>
      </x:c>
      <x:c r="Q218" t="s">
        <x:v>289</x:v>
      </x:c>
      <x:c r="R218">
        <x:v>1</x:v>
      </x:c>
      <x:c r="S218" t="s">
        <x:v>42</x:v>
      </x:c>
      <x:c r="T218" t="s">
        <x:v>44</x:v>
      </x:c>
      <x:c r="U218" t="s">
        <x:v>44</x:v>
      </x:c>
      <x:c r="V218" t="s">
        <x:v>45</x:v>
      </x:c>
      <x:c r="W218" t="s">
        <x:v>60</x:v>
      </x:c>
      <x:c r="X218">
        <x:v>0</x:v>
      </x:c>
      <x:c r="Y218" t="s">
        <x:v>290</x:v>
      </x:c>
      <x:c r="Z218" t="s">
        <x:v>48</x:v>
      </x:c>
      <x:c r="AA218" t="s">
        <x:v>49</x:v>
      </x:c>
    </x:row>
    <x:row r="219">
      <x:c r="A219" s="1">
        <x:v>46210</x:v>
      </x:c>
      <x:c r="B219" t="s">
        <x:v>3600</x:v>
      </x:c>
      <x:c r="C219" t="s">
        <x:v>976</x:v>
      </x:c>
      <x:c r="D219" t="s">
        <x:v>269</x:v>
      </x:c>
      <x:c r="E219" t="s">
        <x:v>977</x:v>
      </x:c>
      <x:c r="F219" t="s">
        <x:v>31</x:v>
      </x:c>
      <x:c r="G219" t="s">
        <x:v>978</x:v>
      </x:c>
      <x:c r="H219" t="s">
        <x:v>958</x:v>
      </x:c>
      <x:c r="I219" t="s">
        <x:v>959</x:v>
      </x:c>
      <x:c r="J219" t="s">
        <x:v>776</x:v>
      </x:c>
      <x:c r="K219" t="s">
        <x:v>777</x:v>
      </x:c>
      <x:c r="L219" t="s">
        <x:v>37</x:v>
      </x:c>
      <x:c r="M219" t="s">
        <x:v>960</x:v>
      </x:c>
      <x:c r="N219" t="s">
        <x:v>961</x:v>
      </x:c>
      <x:c r="O219" t="s">
        <x:v>800</x:v>
      </x:c>
      <x:c r="P219" t="s">
        <x:v>979</x:v>
      </x:c>
      <x:c r="Q219" t="s">
        <x:v>1624</x:v>
      </x:c>
      <x:c r="R219">
        <x:v>1</x:v>
      </x:c>
      <x:c r="S219" t="s">
        <x:v>42</x:v>
      </x:c>
      <x:c r="T219" t="s">
        <x:v>44</x:v>
      </x:c>
      <x:c r="U219" t="s">
        <x:v>44</x:v>
      </x:c>
      <x:c r="V219" t="s">
        <x:v>45</x:v>
      </x:c>
      <x:c r="W219" t="s">
        <x:v>60</x:v>
      </x:c>
      <x:c r="X219">
        <x:v>762.71</x:v>
      </x:c>
      <x:c r="Y219" t="s">
        <x:v>290</x:v>
      </x:c>
      <x:c r="Z219" t="s">
        <x:v>48</x:v>
      </x:c>
      <x:c r="AA219" t="s">
        <x:v>49</x:v>
      </x:c>
    </x:row>
    <x:row r="220">
      <x:c r="A220" s="1">
        <x:v>46210</x:v>
      </x:c>
      <x:c r="B220" t="s">
        <x:v>3600</x:v>
      </x:c>
      <x:c r="C220" t="s">
        <x:v>1447</x:v>
      </x:c>
      <x:c r="D220" t="s">
        <x:v>29</x:v>
      </x:c>
      <x:c r="E220" t="s">
        <x:v>1448</x:v>
      </x:c>
      <x:c r="F220" t="s">
        <x:v>31</x:v>
      </x:c>
      <x:c r="G220" t="s">
        <x:v>1449</x:v>
      </x:c>
      <x:c r="H220" t="s">
        <x:v>1450</x:v>
      </x:c>
      <x:c r="I220" t="s">
        <x:v>1451</x:v>
      </x:c>
      <x:c r="J220" t="s">
        <x:v>1452</x:v>
      </x:c>
      <x:c r="K220" t="s">
        <x:v>3603</x:v>
      </x:c>
      <x:c r="L220" t="s">
        <x:v>37</x:v>
      </x:c>
      <x:c r="M220" t="s">
        <x:v>1453</x:v>
      </x:c>
      <x:c r="N220" t="s">
        <x:v>1454</x:v>
      </x:c>
      <x:c r="O220" t="s">
        <x:v>1450</x:v>
      </x:c>
      <x:c r="P220" t="s">
        <x:v>1455</x:v>
      </x:c>
      <x:c r="Q220" t="s">
        <x:v>1159</x:v>
      </x:c>
      <x:c r="R220">
        <x:v>1</x:v>
      </x:c>
      <x:c r="S220" t="s">
        <x:v>42</x:v>
      </x:c>
      <x:c r="T220" t="s">
        <x:v>44</x:v>
      </x:c>
      <x:c r="U220" t="s">
        <x:v>44</x:v>
      </x:c>
      <x:c r="V220" t="s">
        <x:v>45</x:v>
      </x:c>
      <x:c r="W220" t="s">
        <x:v>60</x:v>
      </x:c>
      <x:c r="X220">
        <x:v>338.98</x:v>
      </x:c>
      <x:c r="Y220" t="s">
        <x:v>47</x:v>
      </x:c>
      <x:c r="Z220" t="s">
        <x:v>48</x:v>
      </x:c>
      <x:c r="AA220" t="s">
        <x:v>49</x:v>
      </x:c>
      <x:c r="AD220">
        <x:v>100</x:v>
      </x:c>
    </x:row>
    <x:row r="221">
      <x:c r="A221" s="1">
        <x:v>46211</x:v>
      </x:c>
      <x:c r="B221" t="s">
        <x:v>3600</x:v>
      </x:c>
      <x:c r="C221" t="s">
        <x:v>556</x:v>
      </x:c>
      <x:c r="D221" t="s">
        <x:v>29</x:v>
      </x:c>
      <x:c r="E221" t="s">
        <x:v>557</x:v>
      </x:c>
      <x:c r="F221" t="s">
        <x:v>31</x:v>
      </x:c>
      <x:c r="G221" t="s">
        <x:v>558</x:v>
      </x:c>
      <x:c r="H221" t="s">
        <x:v>559</x:v>
      </x:c>
      <x:c r="I221" t="s">
        <x:v>560</x:v>
      </x:c>
      <x:c r="L221" t="s">
        <x:v>37</x:v>
      </x:c>
      <x:c r="M221" t="s">
        <x:v>561</x:v>
      </x:c>
      <x:c r="N221" t="s">
        <x:v>562</x:v>
      </x:c>
      <x:c r="O221" t="s">
        <x:v>559</x:v>
      </x:c>
      <x:c r="P221" t="s">
        <x:v>563</x:v>
      </x:c>
      <x:c r="Q221" t="s">
        <x:v>91</x:v>
      </x:c>
      <x:c r="R221">
        <x:v>1</x:v>
      </x:c>
      <x:c r="S221" t="s">
        <x:v>42</x:v>
      </x:c>
      <x:c r="T221" t="s">
        <x:v>44</x:v>
      </x:c>
      <x:c r="U221" t="s">
        <x:v>44</x:v>
      </x:c>
      <x:c r="V221" t="s">
        <x:v>71</x:v>
      </x:c>
      <x:c r="W221" t="s">
        <x:v>185</x:v>
      </x:c>
      <x:c r="X221">
        <x:v>135.59</x:v>
      </x:c>
      <x:c r="Y221" t="s">
        <x:v>47</x:v>
      </x:c>
      <x:c r="Z221" t="s">
        <x:v>48</x:v>
      </x:c>
      <x:c r="AA221" t="s">
        <x:v>73</x:v>
      </x:c>
      <x:c r="AD221">
        <x:v>30</x:v>
      </x:c>
    </x:row>
    <x:row r="222">
      <x:c r="A222" s="1">
        <x:v>46211</x:v>
      </x:c>
      <x:c r="B222" t="s">
        <x:v>3600</x:v>
      </x:c>
      <x:c r="C222" t="s">
        <x:v>564</x:v>
      </x:c>
      <x:c r="D222" t="s">
        <x:v>29</x:v>
      </x:c>
      <x:c r="E222" t="s">
        <x:v>565</x:v>
      </x:c>
      <x:c r="F222" t="s">
        <x:v>31</x:v>
      </x:c>
      <x:c r="G222" t="s">
        <x:v>566</x:v>
      </x:c>
      <x:c r="H222" t="s">
        <x:v>567</x:v>
      </x:c>
      <x:c r="I222" t="s">
        <x:v>568</x:v>
      </x:c>
      <x:c r="L222" t="s">
        <x:v>37</x:v>
      </x:c>
      <x:c r="M222" t="s">
        <x:v>569</x:v>
      </x:c>
      <x:c r="N222" t="s">
        <x:v>570</x:v>
      </x:c>
      <x:c r="O222" t="s">
        <x:v>567</x:v>
      </x:c>
      <x:c r="P222" t="s">
        <x:v>571</x:v>
      </x:c>
      <x:c r="Q222" t="s">
        <x:v>91</x:v>
      </x:c>
      <x:c r="R222">
        <x:v>1</x:v>
      </x:c>
      <x:c r="S222" t="s">
        <x:v>42</x:v>
      </x:c>
      <x:c r="T222" t="s">
        <x:v>44</x:v>
      </x:c>
      <x:c r="U222" t="s">
        <x:v>44</x:v>
      </x:c>
      <x:c r="V222" t="s">
        <x:v>71</x:v>
      </x:c>
      <x:c r="W222" t="s">
        <x:v>185</x:v>
      </x:c>
      <x:c r="X222">
        <x:v>135.59</x:v>
      </x:c>
      <x:c r="Y222" t="s">
        <x:v>47</x:v>
      </x:c>
      <x:c r="Z222" t="s">
        <x:v>48</x:v>
      </x:c>
      <x:c r="AA222" t="s">
        <x:v>73</x:v>
      </x:c>
      <x:c r="AD222">
        <x:v>30</x:v>
      </x:c>
    </x:row>
    <x:row r="223">
      <x:c r="A223" s="1">
        <x:v>46211</x:v>
      </x:c>
      <x:c r="B223" t="s">
        <x:v>3600</x:v>
      </x:c>
      <x:c r="C223" t="s">
        <x:v>685</x:v>
      </x:c>
      <x:c r="D223" t="s">
        <x:v>29</x:v>
      </x:c>
      <x:c r="E223" t="s">
        <x:v>686</x:v>
      </x:c>
      <x:c r="F223" t="s">
        <x:v>31</x:v>
      </x:c>
      <x:c r="G223" t="s">
        <x:v>687</x:v>
      </x:c>
      <x:c r="H223" t="s">
        <x:v>688</x:v>
      </x:c>
      <x:c r="I223" t="s">
        <x:v>689</x:v>
      </x:c>
      <x:c r="J223" t="s">
        <x:v>664</x:v>
      </x:c>
      <x:c r="K223" t="s">
        <x:v>36</x:v>
      </x:c>
      <x:c r="L223" t="s">
        <x:v>37</x:v>
      </x:c>
      <x:c r="M223" t="s">
        <x:v>690</x:v>
      </x:c>
      <x:c r="N223" t="s">
        <x:v>691</x:v>
      </x:c>
      <x:c r="O223" t="s">
        <x:v>688</x:v>
      </x:c>
      <x:c r="P223" t="s">
        <x:v>692</x:v>
      </x:c>
      <x:c r="Q223" t="s">
        <x:v>102</x:v>
      </x:c>
      <x:c r="R223">
        <x:v>1</x:v>
      </x:c>
      <x:c r="S223" t="s">
        <x:v>42</x:v>
      </x:c>
      <x:c r="T223" t="s">
        <x:v>44</x:v>
      </x:c>
      <x:c r="U223" t="s">
        <x:v>44</x:v>
      </x:c>
      <x:c r="V223" t="s">
        <x:v>45</x:v>
      </x:c>
      <x:c r="W223" t="s">
        <x:v>60</x:v>
      </x:c>
      <x:c r="X223">
        <x:v>186.44</x:v>
      </x:c>
      <x:c r="Y223" t="s">
        <x:v>47</x:v>
      </x:c>
      <x:c r="Z223" t="s">
        <x:v>48</x:v>
      </x:c>
      <x:c r="AA223" t="s">
        <x:v>49</x:v>
      </x:c>
      <x:c r="AB223">
        <x:v>997145685</x:v>
      </x:c>
      <x:c r="AC223" t="s">
        <x:v>668</x:v>
      </x:c>
      <x:c r="AD223">
        <x:v>50</x:v>
      </x:c>
    </x:row>
    <x:row r="224">
      <x:c r="A224" s="1">
        <x:v>46211</x:v>
      </x:c>
      <x:c r="B224" t="s">
        <x:v>3600</x:v>
      </x:c>
      <x:c r="C224" t="s">
        <x:v>1441</x:v>
      </x:c>
      <x:c r="D224" t="s">
        <x:v>29</x:v>
      </x:c>
      <x:c r="E224" t="s">
        <x:v>1442</x:v>
      </x:c>
      <x:c r="F224" t="s">
        <x:v>31</x:v>
      </x:c>
      <x:c r="G224" t="s">
        <x:v>1443</x:v>
      </x:c>
      <x:c r="H224" t="s">
        <x:v>1293</x:v>
      </x:c>
      <x:c r="I224" t="s">
        <x:v>1294</x:v>
      </x:c>
      <x:c r="J224" t="s">
        <x:v>1444</x:v>
      </x:c>
      <x:c r="K224" t="s">
        <x:v>1100</x:v>
      </x:c>
      <x:c r="L224" t="s">
        <x:v>37</x:v>
      </x:c>
      <x:c r="M224" t="s">
        <x:v>1296</x:v>
      </x:c>
      <x:c r="N224" t="s">
        <x:v>1297</x:v>
      </x:c>
      <x:c r="O224" t="s">
        <x:v>1293</x:v>
      </x:c>
      <x:c r="P224" t="s">
        <x:v>1445</x:v>
      </x:c>
      <x:c r="Q224" t="s">
        <x:v>41</x:v>
      </x:c>
      <x:c r="R224">
        <x:v>1</x:v>
      </x:c>
      <x:c r="S224" t="s">
        <x:v>42</x:v>
      </x:c>
      <x:c r="T224" t="s">
        <x:v>44</x:v>
      </x:c>
      <x:c r="U224" t="s">
        <x:v>44</x:v>
      </x:c>
      <x:c r="V224" t="s">
        <x:v>45</x:v>
      </x:c>
      <x:c r="W224" t="s">
        <x:v>60</x:v>
      </x:c>
      <x:c r="X224">
        <x:v>186.44</x:v>
      </x:c>
      <x:c r="Y224" t="s">
        <x:v>47</x:v>
      </x:c>
      <x:c r="Z224" t="s">
        <x:v>48</x:v>
      </x:c>
      <x:c r="AA224" t="s">
        <x:v>49</x:v>
      </x:c>
      <x:c r="AB224">
        <x:v>999418834</x:v>
      </x:c>
      <x:c r="AC224" t="s">
        <x:v>1446</x:v>
      </x:c>
      <x:c r="AD224">
        <x:v>50</x:v>
      </x:c>
    </x:row>
    <x:row r="225">
      <x:c r="A225" s="1">
        <x:v>46211</x:v>
      </x:c>
      <x:c r="B225" t="s">
        <x:v>3600</x:v>
      </x:c>
      <x:c r="C225" t="s">
        <x:v>1441</x:v>
      </x:c>
      <x:c r="D225" t="s">
        <x:v>29</x:v>
      </x:c>
      <x:c r="E225" t="s">
        <x:v>1442</x:v>
      </x:c>
      <x:c r="F225" t="s">
        <x:v>31</x:v>
      </x:c>
      <x:c r="G225" t="s">
        <x:v>1443</x:v>
      </x:c>
      <x:c r="H225" t="s">
        <x:v>1293</x:v>
      </x:c>
      <x:c r="I225" t="s">
        <x:v>1294</x:v>
      </x:c>
      <x:c r="J225" t="s">
        <x:v>1444</x:v>
      </x:c>
      <x:c r="K225" t="s">
        <x:v>1100</x:v>
      </x:c>
      <x:c r="L225" t="s">
        <x:v>37</x:v>
      </x:c>
      <x:c r="M225" t="s">
        <x:v>1296</x:v>
      </x:c>
      <x:c r="N225" t="s">
        <x:v>1297</x:v>
      </x:c>
      <x:c r="O225" t="s">
        <x:v>1293</x:v>
      </x:c>
      <x:c r="P225" t="s">
        <x:v>1445</x:v>
      </x:c>
      <x:c r="Q225" t="s">
        <x:v>102</x:v>
      </x:c>
      <x:c r="R225">
        <x:v>1</x:v>
      </x:c>
      <x:c r="S225" t="s">
        <x:v>42</x:v>
      </x:c>
      <x:c r="T225" t="s">
        <x:v>44</x:v>
      </x:c>
      <x:c r="U225" t="s">
        <x:v>44</x:v>
      </x:c>
      <x:c r="V225" t="s">
        <x:v>45</x:v>
      </x:c>
      <x:c r="W225" t="s">
        <x:v>60</x:v>
      </x:c>
      <x:c r="X225">
        <x:v>186.44</x:v>
      </x:c>
      <x:c r="Y225" t="s">
        <x:v>47</x:v>
      </x:c>
      <x:c r="Z225" t="s">
        <x:v>48</x:v>
      </x:c>
      <x:c r="AA225" t="s">
        <x:v>49</x:v>
      </x:c>
      <x:c r="AB225">
        <x:v>999418834</x:v>
      </x:c>
      <x:c r="AC225" t="s">
        <x:v>1446</x:v>
      </x:c>
      <x:c r="AD225">
        <x:v>50</x:v>
      </x:c>
    </x:row>
    <x:row r="226">
      <x:c r="A226" s="1">
        <x:v>46212</x:v>
      </x:c>
      <x:c r="B226" t="s">
        <x:v>3600</x:v>
      </x:c>
      <x:c r="C226" t="s">
        <x:v>249</x:v>
      </x:c>
      <x:c r="D226" t="s">
        <x:v>29</x:v>
      </x:c>
      <x:c r="E226" t="s">
        <x:v>250</x:v>
      </x:c>
      <x:c r="F226" t="s">
        <x:v>31</x:v>
      </x:c>
      <x:c r="G226" t="s">
        <x:v>251</x:v>
      </x:c>
      <x:c r="H226" t="s">
        <x:v>252</x:v>
      </x:c>
      <x:c r="I226" t="s">
        <x:v>253</x:v>
      </x:c>
      <x:c r="J226" t="s">
        <x:v>412</x:v>
      </x:c>
      <x:c r="K226" t="s">
        <x:v>413</x:v>
      </x:c>
      <x:c r="L226" t="s">
        <x:v>37</x:v>
      </x:c>
      <x:c r="M226" t="s">
        <x:v>254</x:v>
      </x:c>
      <x:c r="N226" t="s">
        <x:v>255</x:v>
      </x:c>
      <x:c r="O226" t="s">
        <x:v>252</x:v>
      </x:c>
      <x:c r="P226" t="s">
        <x:v>256</x:v>
      </x:c>
      <x:c r="Q226" t="s">
        <x:v>41</x:v>
      </x:c>
      <x:c r="R226">
        <x:v>1</x:v>
      </x:c>
      <x:c r="S226" t="s">
        <x:v>42</x:v>
      </x:c>
      <x:c r="T226" t="s">
        <x:v>44</x:v>
      </x:c>
      <x:c r="U226" t="s">
        <x:v>44</x:v>
      </x:c>
      <x:c r="V226" t="s">
        <x:v>45</x:v>
      </x:c>
      <x:c r="W226" t="s">
        <x:v>46</x:v>
      </x:c>
      <x:c r="X226">
        <x:v>186.44</x:v>
      </x:c>
      <x:c r="Y226" t="s">
        <x:v>47</x:v>
      </x:c>
      <x:c r="Z226" t="s">
        <x:v>48</x:v>
      </x:c>
      <x:c r="AA226" t="s">
        <x:v>49</x:v>
      </x:c>
      <x:c r="AB226">
        <x:v>982673362</x:v>
      </x:c>
      <x:c r="AC226" t="s">
        <x:v>417</x:v>
      </x:c>
      <x:c r="AD226">
        <x:v>50</x:v>
      </x:c>
    </x:row>
    <x:row r="227">
      <x:c r="A227" s="1">
        <x:v>46212</x:v>
      </x:c>
      <x:c r="B227" t="s">
        <x:v>3600</x:v>
      </x:c>
      <x:c r="C227" t="s">
        <x:v>249</x:v>
      </x:c>
      <x:c r="D227" t="s">
        <x:v>29</x:v>
      </x:c>
      <x:c r="E227" t="s">
        <x:v>250</x:v>
      </x:c>
      <x:c r="F227" t="s">
        <x:v>31</x:v>
      </x:c>
      <x:c r="G227" t="s">
        <x:v>251</x:v>
      </x:c>
      <x:c r="H227" t="s">
        <x:v>252</x:v>
      </x:c>
      <x:c r="I227" t="s">
        <x:v>253</x:v>
      </x:c>
      <x:c r="J227" t="s">
        <x:v>412</x:v>
      </x:c>
      <x:c r="K227" t="s">
        <x:v>413</x:v>
      </x:c>
      <x:c r="L227" t="s">
        <x:v>37</x:v>
      </x:c>
      <x:c r="M227" t="s">
        <x:v>254</x:v>
      </x:c>
      <x:c r="N227" t="s">
        <x:v>255</x:v>
      </x:c>
      <x:c r="O227" t="s">
        <x:v>252</x:v>
      </x:c>
      <x:c r="P227" t="s">
        <x:v>256</x:v>
      </x:c>
      <x:c r="Q227" t="s">
        <x:v>102</x:v>
      </x:c>
      <x:c r="R227">
        <x:v>1</x:v>
      </x:c>
      <x:c r="S227" t="s">
        <x:v>42</x:v>
      </x:c>
      <x:c r="T227" t="s">
        <x:v>44</x:v>
      </x:c>
      <x:c r="U227" t="s">
        <x:v>44</x:v>
      </x:c>
      <x:c r="V227" t="s">
        <x:v>45</x:v>
      </x:c>
      <x:c r="W227" t="s">
        <x:v>46</x:v>
      </x:c>
      <x:c r="X227">
        <x:v>186.44</x:v>
      </x:c>
      <x:c r="Y227" t="s">
        <x:v>47</x:v>
      </x:c>
      <x:c r="Z227" t="s">
        <x:v>48</x:v>
      </x:c>
      <x:c r="AA227" t="s">
        <x:v>49</x:v>
      </x:c>
      <x:c r="AB227">
        <x:v>982673362</x:v>
      </x:c>
      <x:c r="AC227" t="s">
        <x:v>417</x:v>
      </x:c>
      <x:c r="AD227">
        <x:v>50</x:v>
      </x:c>
    </x:row>
    <x:row r="228">
      <x:c r="A228" s="1">
        <x:v>46212</x:v>
      </x:c>
      <x:c r="B228" t="s">
        <x:v>3600</x:v>
      </x:c>
      <x:c r="C228" t="s">
        <x:v>580</x:v>
      </x:c>
      <x:c r="D228" t="s">
        <x:v>29</x:v>
      </x:c>
      <x:c r="E228" t="s">
        <x:v>581</x:v>
      </x:c>
      <x:c r="F228" t="s">
        <x:v>31</x:v>
      </x:c>
      <x:c r="G228" t="s">
        <x:v>582</x:v>
      </x:c>
      <x:c r="H228" t="s">
        <x:v>583</x:v>
      </x:c>
      <x:c r="I228" t="s">
        <x:v>584</x:v>
      </x:c>
      <x:c r="J228" t="s">
        <x:v>435</x:v>
      </x:c>
      <x:c r="K228" t="s">
        <x:v>436</x:v>
      </x:c>
      <x:c r="L228" t="s">
        <x:v>37</x:v>
      </x:c>
      <x:c r="M228" t="s">
        <x:v>585</x:v>
      </x:c>
      <x:c r="N228" t="s">
        <x:v>586</x:v>
      </x:c>
      <x:c r="O228" t="s">
        <x:v>583</x:v>
      </x:c>
      <x:c r="P228" t="s">
        <x:v>587</x:v>
      </x:c>
      <x:c r="Q228" t="s">
        <x:v>131</x:v>
      </x:c>
      <x:c r="R228">
        <x:v>1</x:v>
      </x:c>
      <x:c r="S228" t="s">
        <x:v>42</x:v>
      </x:c>
      <x:c r="T228" t="s">
        <x:v>44</x:v>
      </x:c>
      <x:c r="U228" t="s">
        <x:v>44</x:v>
      </x:c>
      <x:c r="V228" t="s">
        <x:v>71</x:v>
      </x:c>
      <x:c r="W228" t="s">
        <x:v>185</x:v>
      </x:c>
      <x:c r="X228">
        <x:v>152.54</x:v>
      </x:c>
      <x:c r="Y228" t="s">
        <x:v>47</x:v>
      </x:c>
      <x:c r="Z228" t="s">
        <x:v>48</x:v>
      </x:c>
      <x:c r="AA228" t="s">
        <x:v>73</x:v>
      </x:c>
      <x:c r="AB228">
        <x:v>992903716</x:v>
      </x:c>
      <x:c r="AC228" t="s">
        <x:v>440</x:v>
      </x:c>
      <x:c r="AD228">
        <x:v>30</x:v>
      </x:c>
    </x:row>
    <x:row r="229">
      <x:c r="A229" s="1">
        <x:v>46212</x:v>
      </x:c>
      <x:c r="B229" t="s">
        <x:v>3600</x:v>
      </x:c>
      <x:c r="C229" t="s">
        <x:v>572</x:v>
      </x:c>
      <x:c r="D229" t="s">
        <x:v>29</x:v>
      </x:c>
      <x:c r="E229" t="s">
        <x:v>573</x:v>
      </x:c>
      <x:c r="F229" t="s">
        <x:v>31</x:v>
      </x:c>
      <x:c r="G229" t="s">
        <x:v>574</x:v>
      </x:c>
      <x:c r="H229" t="s">
        <x:v>575</x:v>
      </x:c>
      <x:c r="I229" t="s">
        <x:v>576</x:v>
      </x:c>
      <x:c r="J229" t="s">
        <x:v>717</x:v>
      </x:c>
      <x:c r="K229" t="s">
        <x:v>718</x:v>
      </x:c>
      <x:c r="L229" t="s">
        <x:v>37</x:v>
      </x:c>
      <x:c r="M229" t="s">
        <x:v>577</x:v>
      </x:c>
      <x:c r="N229" t="s">
        <x:v>578</x:v>
      </x:c>
      <x:c r="O229" t="s">
        <x:v>575</x:v>
      </x:c>
      <x:c r="P229" t="s">
        <x:v>579</x:v>
      </x:c>
      <x:c r="Q229" t="s">
        <x:v>160</x:v>
      </x:c>
      <x:c r="R229">
        <x:v>1</x:v>
      </x:c>
      <x:c r="S229" t="s">
        <x:v>70</x:v>
      </x:c>
      <x:c r="T229" t="s">
        <x:v>43</x:v>
      </x:c>
      <x:c r="U229" t="s">
        <x:v>44</x:v>
      </x:c>
      <x:c r="V229" t="s">
        <x:v>71</x:v>
      </x:c>
      <x:c r="W229" t="s">
        <x:v>72</x:v>
      </x:c>
      <x:c r="X229">
        <x:v>135.59</x:v>
      </x:c>
      <x:c r="Y229" t="s">
        <x:v>47</x:v>
      </x:c>
      <x:c r="Z229" t="s">
        <x:v>48</x:v>
      </x:c>
      <x:c r="AA229" t="s">
        <x:v>73</x:v>
      </x:c>
      <x:c r="AB229">
        <x:v>955356636</x:v>
      </x:c>
      <x:c r="AC229" t="s">
        <x:v>722</x:v>
      </x:c>
      <x:c r="AD229">
        <x:v>30</x:v>
      </x:c>
    </x:row>
    <x:row r="230">
      <x:c r="A230" s="1">
        <x:v>46212</x:v>
      </x:c>
      <x:c r="B230" t="s">
        <x:v>3600</x:v>
      </x:c>
      <x:c r="C230" t="s">
        <x:v>988</x:v>
      </x:c>
      <x:c r="D230" t="s">
        <x:v>29</x:v>
      </x:c>
      <x:c r="E230" t="s">
        <x:v>989</x:v>
      </x:c>
      <x:c r="F230" t="s">
        <x:v>31</x:v>
      </x:c>
      <x:c r="G230" t="s">
        <x:v>990</x:v>
      </x:c>
      <x:c r="H230" t="s">
        <x:v>983</x:v>
      </x:c>
      <x:c r="I230" t="s">
        <x:v>984</x:v>
      </x:c>
      <x:c r="J230" t="s">
        <x:v>776</x:v>
      </x:c>
      <x:c r="K230" t="s">
        <x:v>777</x:v>
      </x:c>
      <x:c r="L230" t="s">
        <x:v>37</x:v>
      </x:c>
      <x:c r="M230" t="s">
        <x:v>985</x:v>
      </x:c>
      <x:c r="N230" t="s">
        <x:v>986</x:v>
      </x:c>
      <x:c r="O230" t="s">
        <x:v>983</x:v>
      </x:c>
      <x:c r="P230" t="s">
        <x:v>991</x:v>
      </x:c>
      <x:c r="Q230" t="s">
        <x:v>643</x:v>
      </x:c>
      <x:c r="R230">
        <x:v>1</x:v>
      </x:c>
      <x:c r="S230" t="s">
        <x:v>42</x:v>
      </x:c>
      <x:c r="T230" t="s">
        <x:v>44</x:v>
      </x:c>
      <x:c r="U230" t="s">
        <x:v>44</x:v>
      </x:c>
      <x:c r="V230" t="s">
        <x:v>45</x:v>
      </x:c>
      <x:c r="W230" t="s">
        <x:v>46</x:v>
      </x:c>
      <x:c r="X230">
        <x:v>84.75</x:v>
      </x:c>
      <x:c r="Y230" t="s">
        <x:v>47</x:v>
      </x:c>
      <x:c r="Z230" t="s">
        <x:v>48</x:v>
      </x:c>
      <x:c r="AA230" t="s">
        <x:v>49</x:v>
      </x:c>
    </x:row>
    <x:row r="231">
      <x:c r="A231" s="1">
        <x:v>46212</x:v>
      </x:c>
      <x:c r="B231" t="s">
        <x:v>3600</x:v>
      </x:c>
      <x:c r="C231" t="s">
        <x:v>980</x:v>
      </x:c>
      <x:c r="D231" t="s">
        <x:v>29</x:v>
      </x:c>
      <x:c r="E231" t="s">
        <x:v>981</x:v>
      </x:c>
      <x:c r="F231" t="s">
        <x:v>31</x:v>
      </x:c>
      <x:c r="G231" t="s">
        <x:v>982</x:v>
      </x:c>
      <x:c r="H231" t="s">
        <x:v>983</x:v>
      </x:c>
      <x:c r="I231" t="s">
        <x:v>984</x:v>
      </x:c>
      <x:c r="J231" t="s">
        <x:v>776</x:v>
      </x:c>
      <x:c r="K231" t="s">
        <x:v>777</x:v>
      </x:c>
      <x:c r="L231" t="s">
        <x:v>37</x:v>
      </x:c>
      <x:c r="M231" t="s">
        <x:v>985</x:v>
      </x:c>
      <x:c r="N231" t="s">
        <x:v>986</x:v>
      </x:c>
      <x:c r="O231" t="s">
        <x:v>983</x:v>
      </x:c>
      <x:c r="P231" t="s">
        <x:v>987</x:v>
      </x:c>
      <x:c r="Q231" t="s">
        <x:v>620</x:v>
      </x:c>
      <x:c r="R231">
        <x:v>1</x:v>
      </x:c>
      <x:c r="S231" t="s">
        <x:v>42</x:v>
      </x:c>
      <x:c r="T231" t="s">
        <x:v>44</x:v>
      </x:c>
      <x:c r="U231" t="s">
        <x:v>44</x:v>
      </x:c>
      <x:c r="V231" t="s">
        <x:v>45</x:v>
      </x:c>
      <x:c r="W231" t="s">
        <x:v>46</x:v>
      </x:c>
      <x:c r="X231">
        <x:v>12.71</x:v>
      </x:c>
      <x:c r="Y231" t="s">
        <x:v>621</x:v>
      </x:c>
      <x:c r="Z231" t="s">
        <x:v>48</x:v>
      </x:c>
      <x:c r="AA231" t="s">
        <x:v>49</x:v>
      </x:c>
    </x:row>
    <x:row r="232">
      <x:c r="A232" s="1">
        <x:v>46212</x:v>
      </x:c>
      <x:c r="B232" t="s">
        <x:v>3600</x:v>
      </x:c>
      <x:c r="C232" t="s">
        <x:v>980</x:v>
      </x:c>
      <x:c r="D232" t="s">
        <x:v>29</x:v>
      </x:c>
      <x:c r="E232" t="s">
        <x:v>981</x:v>
      </x:c>
      <x:c r="F232" t="s">
        <x:v>31</x:v>
      </x:c>
      <x:c r="G232" t="s">
        <x:v>982</x:v>
      </x:c>
      <x:c r="H232" t="s">
        <x:v>983</x:v>
      </x:c>
      <x:c r="I232" t="s">
        <x:v>984</x:v>
      </x:c>
      <x:c r="J232" t="s">
        <x:v>776</x:v>
      </x:c>
      <x:c r="K232" t="s">
        <x:v>777</x:v>
      </x:c>
      <x:c r="L232" t="s">
        <x:v>37</x:v>
      </x:c>
      <x:c r="M232" t="s">
        <x:v>985</x:v>
      </x:c>
      <x:c r="N232" t="s">
        <x:v>986</x:v>
      </x:c>
      <x:c r="O232" t="s">
        <x:v>983</x:v>
      </x:c>
      <x:c r="P232" t="s">
        <x:v>987</x:v>
      </x:c>
      <x:c r="Q232" t="s">
        <x:v>622</x:v>
      </x:c>
      <x:c r="R232">
        <x:v>1</x:v>
      </x:c>
      <x:c r="S232" t="s">
        <x:v>42</x:v>
      </x:c>
      <x:c r="T232" t="s">
        <x:v>44</x:v>
      </x:c>
      <x:c r="U232" t="s">
        <x:v>44</x:v>
      </x:c>
      <x:c r="V232" t="s">
        <x:v>45</x:v>
      </x:c>
      <x:c r="W232" t="s">
        <x:v>46</x:v>
      </x:c>
      <x:c r="X232">
        <x:v>21.19</x:v>
      </x:c>
      <x:c r="Y232" t="s">
        <x:v>621</x:v>
      </x:c>
      <x:c r="Z232" t="s">
        <x:v>48</x:v>
      </x:c>
      <x:c r="AA232" t="s">
        <x:v>49</x:v>
      </x:c>
    </x:row>
    <x:row r="233">
      <x:c r="A233" s="1">
        <x:v>46212</x:v>
      </x:c>
      <x:c r="B233" t="s">
        <x:v>3600</x:v>
      </x:c>
      <x:c r="C233" t="s">
        <x:v>980</x:v>
      </x:c>
      <x:c r="D233" t="s">
        <x:v>29</x:v>
      </x:c>
      <x:c r="E233" t="s">
        <x:v>981</x:v>
      </x:c>
      <x:c r="F233" t="s">
        <x:v>31</x:v>
      </x:c>
      <x:c r="G233" t="s">
        <x:v>982</x:v>
      </x:c>
      <x:c r="H233" t="s">
        <x:v>983</x:v>
      </x:c>
      <x:c r="I233" t="s">
        <x:v>984</x:v>
      </x:c>
      <x:c r="J233" t="s">
        <x:v>776</x:v>
      </x:c>
      <x:c r="K233" t="s">
        <x:v>777</x:v>
      </x:c>
      <x:c r="L233" t="s">
        <x:v>37</x:v>
      </x:c>
      <x:c r="M233" t="s">
        <x:v>985</x:v>
      </x:c>
      <x:c r="N233" t="s">
        <x:v>986</x:v>
      </x:c>
      <x:c r="O233" t="s">
        <x:v>983</x:v>
      </x:c>
      <x:c r="P233" t="s">
        <x:v>987</x:v>
      </x:c>
      <x:c r="Q233" t="s">
        <x:v>623</x:v>
      </x:c>
      <x:c r="R233">
        <x:v>1</x:v>
      </x:c>
      <x:c r="S233" t="s">
        <x:v>42</x:v>
      </x:c>
      <x:c r="T233" t="s">
        <x:v>44</x:v>
      </x:c>
      <x:c r="U233" t="s">
        <x:v>44</x:v>
      </x:c>
      <x:c r="V233" t="s">
        <x:v>45</x:v>
      </x:c>
      <x:c r="W233" t="s">
        <x:v>46</x:v>
      </x:c>
      <x:c r="X233">
        <x:v>12.71</x:v>
      </x:c>
      <x:c r="Y233" t="s">
        <x:v>621</x:v>
      </x:c>
      <x:c r="Z233" t="s">
        <x:v>48</x:v>
      </x:c>
      <x:c r="AA233" t="s">
        <x:v>49</x:v>
      </x:c>
    </x:row>
    <x:row r="234">
      <x:c r="A234" s="1">
        <x:v>46212</x:v>
      </x:c>
      <x:c r="B234" t="s">
        <x:v>3600</x:v>
      </x:c>
      <x:c r="C234" t="s">
        <x:v>980</x:v>
      </x:c>
      <x:c r="D234" t="s">
        <x:v>29</x:v>
      </x:c>
      <x:c r="E234" t="s">
        <x:v>981</x:v>
      </x:c>
      <x:c r="F234" t="s">
        <x:v>31</x:v>
      </x:c>
      <x:c r="G234" t="s">
        <x:v>982</x:v>
      </x:c>
      <x:c r="H234" t="s">
        <x:v>983</x:v>
      </x:c>
      <x:c r="I234" t="s">
        <x:v>984</x:v>
      </x:c>
      <x:c r="J234" t="s">
        <x:v>776</x:v>
      </x:c>
      <x:c r="K234" t="s">
        <x:v>777</x:v>
      </x:c>
      <x:c r="L234" t="s">
        <x:v>37</x:v>
      </x:c>
      <x:c r="M234" t="s">
        <x:v>985</x:v>
      </x:c>
      <x:c r="N234" t="s">
        <x:v>986</x:v>
      </x:c>
      <x:c r="O234" t="s">
        <x:v>983</x:v>
      </x:c>
      <x:c r="P234" t="s">
        <x:v>987</x:v>
      </x:c>
      <x:c r="Q234" t="s">
        <x:v>624</x:v>
      </x:c>
      <x:c r="R234">
        <x:v>1</x:v>
      </x:c>
      <x:c r="S234" t="s">
        <x:v>42</x:v>
      </x:c>
      <x:c r="T234" t="s">
        <x:v>44</x:v>
      </x:c>
      <x:c r="U234" t="s">
        <x:v>44</x:v>
      </x:c>
      <x:c r="V234" t="s">
        <x:v>45</x:v>
      </x:c>
      <x:c r="W234" t="s">
        <x:v>46</x:v>
      </x:c>
      <x:c r="X234">
        <x:v>12.71</x:v>
      </x:c>
      <x:c r="Y234" t="s">
        <x:v>621</x:v>
      </x:c>
      <x:c r="Z234" t="s">
        <x:v>48</x:v>
      </x:c>
      <x:c r="AA234" t="s">
        <x:v>49</x:v>
      </x:c>
    </x:row>
    <x:row r="235">
      <x:c r="A235" s="1">
        <x:v>46212</x:v>
      </x:c>
      <x:c r="B235" t="s">
        <x:v>3600</x:v>
      </x:c>
      <x:c r="C235" t="s">
        <x:v>980</x:v>
      </x:c>
      <x:c r="D235" t="s">
        <x:v>29</x:v>
      </x:c>
      <x:c r="E235" t="s">
        <x:v>981</x:v>
      </x:c>
      <x:c r="F235" t="s">
        <x:v>31</x:v>
      </x:c>
      <x:c r="G235" t="s">
        <x:v>982</x:v>
      </x:c>
      <x:c r="H235" t="s">
        <x:v>983</x:v>
      </x:c>
      <x:c r="I235" t="s">
        <x:v>984</x:v>
      </x:c>
      <x:c r="J235" t="s">
        <x:v>776</x:v>
      </x:c>
      <x:c r="K235" t="s">
        <x:v>777</x:v>
      </x:c>
      <x:c r="L235" t="s">
        <x:v>37</x:v>
      </x:c>
      <x:c r="M235" t="s">
        <x:v>985</x:v>
      </x:c>
      <x:c r="N235" t="s">
        <x:v>986</x:v>
      </x:c>
      <x:c r="O235" t="s">
        <x:v>983</x:v>
      </x:c>
      <x:c r="P235" t="s">
        <x:v>987</x:v>
      </x:c>
      <x:c r="Q235" t="s">
        <x:v>835</x:v>
      </x:c>
      <x:c r="R235">
        <x:v>1</x:v>
      </x:c>
      <x:c r="S235" t="s">
        <x:v>42</x:v>
      </x:c>
      <x:c r="T235" t="s">
        <x:v>44</x:v>
      </x:c>
      <x:c r="U235" t="s">
        <x:v>44</x:v>
      </x:c>
      <x:c r="V235" t="s">
        <x:v>45</x:v>
      </x:c>
      <x:c r="W235" t="s">
        <x:v>46</x:v>
      </x:c>
      <x:c r="X235">
        <x:v>50.85</x:v>
      </x:c>
      <x:c r="Y235" t="s">
        <x:v>621</x:v>
      </x:c>
      <x:c r="Z235" t="s">
        <x:v>48</x:v>
      </x:c>
      <x:c r="AA235" t="s">
        <x:v>49</x:v>
      </x:c>
    </x:row>
    <x:row r="236">
      <x:c r="A236" s="1">
        <x:v>46212</x:v>
      </x:c>
      <x:c r="B236" t="s">
        <x:v>3600</x:v>
      </x:c>
      <x:c r="C236" t="s">
        <x:v>999</x:v>
      </x:c>
      <x:c r="D236" t="s">
        <x:v>29</x:v>
      </x:c>
      <x:c r="E236" t="s">
        <x:v>1000</x:v>
      </x:c>
      <x:c r="F236" t="s">
        <x:v>31</x:v>
      </x:c>
      <x:c r="G236" t="s">
        <x:v>1001</x:v>
      </x:c>
      <x:c r="H236" t="s">
        <x:v>983</x:v>
      </x:c>
      <x:c r="I236" t="s">
        <x:v>984</x:v>
      </x:c>
      <x:c r="J236" t="s">
        <x:v>776</x:v>
      </x:c>
      <x:c r="K236" t="s">
        <x:v>777</x:v>
      </x:c>
      <x:c r="L236" t="s">
        <x:v>37</x:v>
      </x:c>
      <x:c r="M236" t="s">
        <x:v>985</x:v>
      </x:c>
      <x:c r="N236" t="s">
        <x:v>986</x:v>
      </x:c>
      <x:c r="O236" t="s">
        <x:v>983</x:v>
      </x:c>
      <x:c r="P236" t="s">
        <x:v>1002</x:v>
      </x:c>
      <x:c r="Q236" t="s">
        <x:v>830</x:v>
      </x:c>
      <x:c r="R236">
        <x:v>1</x:v>
      </x:c>
      <x:c r="S236" t="s">
        <x:v>42</x:v>
      </x:c>
      <x:c r="T236" t="s">
        <x:v>44</x:v>
      </x:c>
      <x:c r="U236" t="s">
        <x:v>44</x:v>
      </x:c>
      <x:c r="V236" t="s">
        <x:v>45</x:v>
      </x:c>
      <x:c r="W236" t="s">
        <x:v>46</x:v>
      </x:c>
      <x:c r="X236">
        <x:v>127.12</x:v>
      </x:c>
      <x:c r="Y236" t="s">
        <x:v>47</x:v>
      </x:c>
      <x:c r="Z236" t="s">
        <x:v>48</x:v>
      </x:c>
      <x:c r="AA236" t="s">
        <x:v>49</x:v>
      </x:c>
    </x:row>
    <x:row r="237">
      <x:c r="A237" s="1">
        <x:v>46212</x:v>
      </x:c>
      <x:c r="B237" t="s">
        <x:v>3600</x:v>
      </x:c>
      <x:c r="C237" t="s">
        <x:v>992</x:v>
      </x:c>
      <x:c r="D237" t="s">
        <x:v>29</x:v>
      </x:c>
      <x:c r="E237" t="s">
        <x:v>993</x:v>
      </x:c>
      <x:c r="F237" t="s">
        <x:v>31</x:v>
      </x:c>
      <x:c r="G237" t="s">
        <x:v>994</x:v>
      </x:c>
      <x:c r="H237" t="s">
        <x:v>995</x:v>
      </x:c>
      <x:c r="I237" t="s">
        <x:v>996</x:v>
      </x:c>
      <x:c r="J237" t="s">
        <x:v>776</x:v>
      </x:c>
      <x:c r="K237" t="s">
        <x:v>777</x:v>
      </x:c>
      <x:c r="L237" t="s">
        <x:v>37</x:v>
      </x:c>
      <x:c r="M237" t="s">
        <x:v>997</x:v>
      </x:c>
      <x:c r="N237" t="s">
        <x:v>986</x:v>
      </x:c>
      <x:c r="O237" t="s">
        <x:v>995</x:v>
      </x:c>
      <x:c r="P237" t="s">
        <x:v>998</x:v>
      </x:c>
      <x:c r="Q237" t="s">
        <x:v>643</x:v>
      </x:c>
      <x:c r="R237">
        <x:v>1</x:v>
      </x:c>
      <x:c r="S237" t="s">
        <x:v>42</x:v>
      </x:c>
      <x:c r="T237" t="s">
        <x:v>44</x:v>
      </x:c>
      <x:c r="U237" t="s">
        <x:v>44</x:v>
      </x:c>
      <x:c r="V237" t="s">
        <x:v>45</x:v>
      </x:c>
      <x:c r="W237" t="s">
        <x:v>60</x:v>
      </x:c>
      <x:c r="X237">
        <x:v>84.75</x:v>
      </x:c>
      <x:c r="Y237" t="s">
        <x:v>47</x:v>
      </x:c>
      <x:c r="Z237" t="s">
        <x:v>48</x:v>
      </x:c>
      <x:c r="AA237" t="s">
        <x:v>49</x:v>
      </x:c>
    </x:row>
    <x:row r="238">
      <x:c r="A238" s="1">
        <x:v>46212</x:v>
      </x:c>
      <x:c r="B238" t="s">
        <x:v>3600</x:v>
      </x:c>
      <x:c r="C238" t="s">
        <x:v>1272</x:v>
      </x:c>
      <x:c r="D238" t="s">
        <x:v>269</x:v>
      </x:c>
      <x:c r="E238" t="s">
        <x:v>1273</x:v>
      </x:c>
      <x:c r="F238" t="s">
        <x:v>31</x:v>
      </x:c>
      <x:c r="G238" t="s">
        <x:v>1274</x:v>
      </x:c>
      <x:c r="H238" t="s">
        <x:v>1275</x:v>
      </x:c>
      <x:c r="I238" t="s">
        <x:v>1276</x:v>
      </x:c>
      <x:c r="J238" t="s">
        <x:v>2841</x:v>
      </x:c>
      <x:c r="K238" t="s">
        <x:v>210</x:v>
      </x:c>
      <x:c r="L238" t="s">
        <x:v>37</x:v>
      </x:c>
      <x:c r="M238" t="s">
        <x:v>1277</x:v>
      </x:c>
      <x:c r="N238" t="s">
        <x:v>610</x:v>
      </x:c>
      <x:c r="O238" t="s">
        <x:v>1254</x:v>
      </x:c>
      <x:c r="P238" t="s">
        <x:v>1278</x:v>
      </x:c>
      <x:c r="Q238" t="s">
        <x:v>289</x:v>
      </x:c>
      <x:c r="R238">
        <x:v>1</x:v>
      </x:c>
      <x:c r="S238" t="s">
        <x:v>42</x:v>
      </x:c>
      <x:c r="T238" t="s">
        <x:v>44</x:v>
      </x:c>
      <x:c r="U238" t="s">
        <x:v>44</x:v>
      </x:c>
      <x:c r="V238" t="s">
        <x:v>45</x:v>
      </x:c>
      <x:c r="W238" t="s">
        <x:v>46</x:v>
      </x:c>
      <x:c r="X238">
        <x:v>0</x:v>
      </x:c>
      <x:c r="Y238" t="s">
        <x:v>290</x:v>
      </x:c>
      <x:c r="Z238" t="s">
        <x:v>48</x:v>
      </x:c>
      <x:c r="AA238" t="s">
        <x:v>49</x:v>
      </x:c>
      <x:c r="AB238">
        <x:v>994872106</x:v>
      </x:c>
      <x:c r="AC238" t="s">
        <x:v>1256</x:v>
      </x:c>
    </x:row>
    <x:row r="239">
      <x:c r="A239" s="1">
        <x:v>46212</x:v>
      </x:c>
      <x:c r="B239" t="s">
        <x:v>3600</x:v>
      </x:c>
      <x:c r="C239" t="s">
        <x:v>1272</x:v>
      </x:c>
      <x:c r="D239" t="s">
        <x:v>269</x:v>
      </x:c>
      <x:c r="E239" t="s">
        <x:v>1273</x:v>
      </x:c>
      <x:c r="F239" t="s">
        <x:v>31</x:v>
      </x:c>
      <x:c r="G239" t="s">
        <x:v>1274</x:v>
      </x:c>
      <x:c r="H239" t="s">
        <x:v>1275</x:v>
      </x:c>
      <x:c r="I239" t="s">
        <x:v>1276</x:v>
      </x:c>
      <x:c r="J239" t="s">
        <x:v>2841</x:v>
      </x:c>
      <x:c r="K239" t="s">
        <x:v>210</x:v>
      </x:c>
      <x:c r="L239" t="s">
        <x:v>37</x:v>
      </x:c>
      <x:c r="M239" t="s">
        <x:v>1277</x:v>
      </x:c>
      <x:c r="N239" t="s">
        <x:v>610</x:v>
      </x:c>
      <x:c r="O239" t="s">
        <x:v>1254</x:v>
      </x:c>
      <x:c r="P239" t="s">
        <x:v>1278</x:v>
      </x:c>
      <x:c r="Q239" t="s">
        <x:v>1624</x:v>
      </x:c>
      <x:c r="R239">
        <x:v>1</x:v>
      </x:c>
      <x:c r="S239" t="s">
        <x:v>42</x:v>
      </x:c>
      <x:c r="T239" t="s">
        <x:v>44</x:v>
      </x:c>
      <x:c r="U239" t="s">
        <x:v>44</x:v>
      </x:c>
      <x:c r="V239" t="s">
        <x:v>45</x:v>
      </x:c>
      <x:c r="W239" t="s">
        <x:v>46</x:v>
      </x:c>
      <x:c r="X239">
        <x:v>279.66000000000003</x:v>
      </x:c>
      <x:c r="Y239" t="s">
        <x:v>290</x:v>
      </x:c>
      <x:c r="Z239" t="s">
        <x:v>48</x:v>
      </x:c>
      <x:c r="AA239" t="s">
        <x:v>49</x:v>
      </x:c>
      <x:c r="AB239">
        <x:v>994872106</x:v>
      </x:c>
      <x:c r="AC239" t="s">
        <x:v>1256</x:v>
      </x:c>
    </x:row>
    <x:row r="240">
      <x:c r="A240" s="1">
        <x:v>46213</x:v>
      </x:c>
      <x:c r="B240" t="s">
        <x:v>3600</x:v>
      </x:c>
      <x:c r="C240" t="s">
        <x:v>1003</x:v>
      </x:c>
      <x:c r="D240" t="s">
        <x:v>269</x:v>
      </x:c>
      <x:c r="E240" t="s">
        <x:v>1004</x:v>
      </x:c>
      <x:c r="F240" t="s">
        <x:v>31</x:v>
      </x:c>
      <x:c r="G240" t="s">
        <x:v>1005</x:v>
      </x:c>
      <x:c r="H240" t="s">
        <x:v>995</x:v>
      </x:c>
      <x:c r="I240" t="s">
        <x:v>996</x:v>
      </x:c>
      <x:c r="J240" t="s">
        <x:v>776</x:v>
      </x:c>
      <x:c r="K240" t="s">
        <x:v>777</x:v>
      </x:c>
      <x:c r="L240" t="s">
        <x:v>37</x:v>
      </x:c>
      <x:c r="M240" t="s">
        <x:v>997</x:v>
      </x:c>
      <x:c r="N240" t="s">
        <x:v>986</x:v>
      </x:c>
      <x:c r="O240" t="s">
        <x:v>800</x:v>
      </x:c>
      <x:c r="P240" t="s">
        <x:v>1006</x:v>
      </x:c>
      <x:c r="Q240" t="s">
        <x:v>289</x:v>
      </x:c>
      <x:c r="R240">
        <x:v>1</x:v>
      </x:c>
      <x:c r="S240" t="s">
        <x:v>42</x:v>
      </x:c>
      <x:c r="T240" t="s">
        <x:v>44</x:v>
      </x:c>
      <x:c r="U240" t="s">
        <x:v>44</x:v>
      </x:c>
      <x:c r="V240" t="s">
        <x:v>45</x:v>
      </x:c>
      <x:c r="W240" t="s">
        <x:v>60</x:v>
      </x:c>
      <x:c r="X240">
        <x:v>0</x:v>
      </x:c>
      <x:c r="Y240" t="s">
        <x:v>290</x:v>
      </x:c>
      <x:c r="Z240" t="s">
        <x:v>48</x:v>
      </x:c>
      <x:c r="AA240" t="s">
        <x:v>49</x:v>
      </x:c>
    </x:row>
    <x:row r="241">
      <x:c r="A241" s="1">
        <x:v>46213</x:v>
      </x:c>
      <x:c r="B241" t="s">
        <x:v>3600</x:v>
      </x:c>
      <x:c r="C241" t="s">
        <x:v>1003</x:v>
      </x:c>
      <x:c r="D241" t="s">
        <x:v>269</x:v>
      </x:c>
      <x:c r="E241" t="s">
        <x:v>1004</x:v>
      </x:c>
      <x:c r="F241" t="s">
        <x:v>31</x:v>
      </x:c>
      <x:c r="G241" t="s">
        <x:v>1005</x:v>
      </x:c>
      <x:c r="H241" t="s">
        <x:v>995</x:v>
      </x:c>
      <x:c r="I241" t="s">
        <x:v>996</x:v>
      </x:c>
      <x:c r="J241" t="s">
        <x:v>776</x:v>
      </x:c>
      <x:c r="K241" t="s">
        <x:v>777</x:v>
      </x:c>
      <x:c r="L241" t="s">
        <x:v>37</x:v>
      </x:c>
      <x:c r="M241" t="s">
        <x:v>997</x:v>
      </x:c>
      <x:c r="N241" t="s">
        <x:v>986</x:v>
      </x:c>
      <x:c r="O241" t="s">
        <x:v>800</x:v>
      </x:c>
      <x:c r="P241" t="s">
        <x:v>1006</x:v>
      </x:c>
      <x:c r="Q241" t="s">
        <x:v>1624</x:v>
      </x:c>
      <x:c r="R241">
        <x:v>1</x:v>
      </x:c>
      <x:c r="S241" t="s">
        <x:v>42</x:v>
      </x:c>
      <x:c r="T241" t="s">
        <x:v>44</x:v>
      </x:c>
      <x:c r="U241" t="s">
        <x:v>44</x:v>
      </x:c>
      <x:c r="V241" t="s">
        <x:v>45</x:v>
      </x:c>
      <x:c r="W241" t="s">
        <x:v>60</x:v>
      </x:c>
      <x:c r="X241">
        <x:v>762.71</x:v>
      </x:c>
      <x:c r="Y241" t="s">
        <x:v>290</x:v>
      </x:c>
      <x:c r="Z241" t="s">
        <x:v>48</x:v>
      </x:c>
      <x:c r="AA241" t="s">
        <x:v>49</x:v>
      </x:c>
    </x:row>
    <x:row r="242">
      <x:c r="A242" s="1">
        <x:v>46213</x:v>
      </x:c>
      <x:c r="B242" t="s">
        <x:v>3600</x:v>
      </x:c>
      <x:c r="C242" t="s">
        <x:v>1007</x:v>
      </x:c>
      <x:c r="D242" t="s">
        <x:v>269</x:v>
      </x:c>
      <x:c r="E242" t="s">
        <x:v>1008</x:v>
      </x:c>
      <x:c r="F242" t="s">
        <x:v>31</x:v>
      </x:c>
      <x:c r="G242" t="s">
        <x:v>1009</x:v>
      </x:c>
      <x:c r="H242" t="s">
        <x:v>983</x:v>
      </x:c>
      <x:c r="I242" t="s">
        <x:v>984</x:v>
      </x:c>
      <x:c r="J242" t="s">
        <x:v>776</x:v>
      </x:c>
      <x:c r="K242" t="s">
        <x:v>777</x:v>
      </x:c>
      <x:c r="L242" t="s">
        <x:v>37</x:v>
      </x:c>
      <x:c r="M242" t="s">
        <x:v>985</x:v>
      </x:c>
      <x:c r="N242" t="s">
        <x:v>986</x:v>
      </x:c>
      <x:c r="O242" t="s">
        <x:v>800</x:v>
      </x:c>
      <x:c r="P242" t="s">
        <x:v>1010</x:v>
      </x:c>
      <x:c r="Q242" t="s">
        <x:v>289</x:v>
      </x:c>
      <x:c r="R242">
        <x:v>1</x:v>
      </x:c>
      <x:c r="S242" t="s">
        <x:v>42</x:v>
      </x:c>
      <x:c r="T242" t="s">
        <x:v>44</x:v>
      </x:c>
      <x:c r="U242" t="s">
        <x:v>44</x:v>
      </x:c>
      <x:c r="V242" t="s">
        <x:v>45</x:v>
      </x:c>
      <x:c r="W242" t="s">
        <x:v>60</x:v>
      </x:c>
      <x:c r="X242">
        <x:v>0</x:v>
      </x:c>
      <x:c r="Y242" t="s">
        <x:v>290</x:v>
      </x:c>
      <x:c r="Z242" t="s">
        <x:v>48</x:v>
      </x:c>
      <x:c r="AA242" t="s">
        <x:v>49</x:v>
      </x:c>
    </x:row>
    <x:row r="243">
      <x:c r="A243" s="1">
        <x:v>46213</x:v>
      </x:c>
      <x:c r="B243" t="s">
        <x:v>3600</x:v>
      </x:c>
      <x:c r="C243" t="s">
        <x:v>1007</x:v>
      </x:c>
      <x:c r="D243" t="s">
        <x:v>269</x:v>
      </x:c>
      <x:c r="E243" t="s">
        <x:v>1008</x:v>
      </x:c>
      <x:c r="F243" t="s">
        <x:v>31</x:v>
      </x:c>
      <x:c r="G243" t="s">
        <x:v>1009</x:v>
      </x:c>
      <x:c r="H243" t="s">
        <x:v>983</x:v>
      </x:c>
      <x:c r="I243" t="s">
        <x:v>984</x:v>
      </x:c>
      <x:c r="J243" t="s">
        <x:v>776</x:v>
      </x:c>
      <x:c r="K243" t="s">
        <x:v>777</x:v>
      </x:c>
      <x:c r="L243" t="s">
        <x:v>37</x:v>
      </x:c>
      <x:c r="M243" t="s">
        <x:v>985</x:v>
      </x:c>
      <x:c r="N243" t="s">
        <x:v>986</x:v>
      </x:c>
      <x:c r="O243" t="s">
        <x:v>800</x:v>
      </x:c>
      <x:c r="P243" t="s">
        <x:v>1010</x:v>
      </x:c>
      <x:c r="Q243" t="s">
        <x:v>1624</x:v>
      </x:c>
      <x:c r="R243">
        <x:v>1</x:v>
      </x:c>
      <x:c r="S243" t="s">
        <x:v>42</x:v>
      </x:c>
      <x:c r="T243" t="s">
        <x:v>44</x:v>
      </x:c>
      <x:c r="U243" t="s">
        <x:v>44</x:v>
      </x:c>
      <x:c r="V243" t="s">
        <x:v>45</x:v>
      </x:c>
      <x:c r="W243" t="s">
        <x:v>60</x:v>
      </x:c>
      <x:c r="X243">
        <x:v>762.71</x:v>
      </x:c>
      <x:c r="Y243" t="s">
        <x:v>290</x:v>
      </x:c>
      <x:c r="Z243" t="s">
        <x:v>48</x:v>
      </x:c>
      <x:c r="AA243" t="s">
        <x:v>49</x:v>
      </x:c>
    </x:row>
    <x:row r="244">
      <x:c r="A244" s="1">
        <x:v>46213</x:v>
      </x:c>
      <x:c r="B244" t="s">
        <x:v>3600</x:v>
      </x:c>
      <x:c r="C244" t="s">
        <x:v>588</x:v>
      </x:c>
      <x:c r="D244" t="s">
        <x:v>29</x:v>
      </x:c>
      <x:c r="E244" t="s">
        <x:v>589</x:v>
      </x:c>
      <x:c r="F244" t="s">
        <x:v>31</x:v>
      </x:c>
      <x:c r="G244" t="s">
        <x:v>590</x:v>
      </x:c>
      <x:c r="H244" t="s">
        <x:v>591</x:v>
      </x:c>
      <x:c r="I244" t="s">
        <x:v>592</x:v>
      </x:c>
      <x:c r="J244" t="s">
        <x:v>1075</x:v>
      </x:c>
      <x:c r="K244" t="s">
        <x:v>98</x:v>
      </x:c>
      <x:c r="L244" t="s">
        <x:v>37</x:v>
      </x:c>
      <x:c r="M244" t="s">
        <x:v>593</x:v>
      </x:c>
      <x:c r="N244" t="s">
        <x:v>594</x:v>
      </x:c>
      <x:c r="O244" t="s">
        <x:v>591</x:v>
      </x:c>
      <x:c r="P244" t="s">
        <x:v>595</x:v>
      </x:c>
      <x:c r="Q244" t="s">
        <x:v>160</x:v>
      </x:c>
      <x:c r="R244">
        <x:v>1</x:v>
      </x:c>
      <x:c r="S244" t="s">
        <x:v>70</x:v>
      </x:c>
      <x:c r="T244" t="s">
        <x:v>43</x:v>
      </x:c>
      <x:c r="U244" t="s">
        <x:v>44</x:v>
      </x:c>
      <x:c r="V244" t="s">
        <x:v>71</x:v>
      </x:c>
      <x:c r="W244" t="s">
        <x:v>72</x:v>
      </x:c>
      <x:c r="X244">
        <x:v>135.59</x:v>
      </x:c>
      <x:c r="Y244" t="s">
        <x:v>47</x:v>
      </x:c>
      <x:c r="Z244" t="s">
        <x:v>48</x:v>
      </x:c>
      <x:c r="AA244" t="s">
        <x:v>73</x:v>
      </x:c>
      <x:c r="AB244">
        <x:v>999986041</x:v>
      </x:c>
      <x:c r="AC244" t="s">
        <x:v>1079</x:v>
      </x:c>
      <x:c r="AD244">
        <x:v>30</x:v>
      </x:c>
    </x:row>
    <x:row r="245">
      <x:c r="A245" s="1">
        <x:v>46213</x:v>
      </x:c>
      <x:c r="B245" t="s">
        <x:v>3600</x:v>
      </x:c>
      <x:c r="C245" t="s">
        <x:v>3604</x:v>
      </x:c>
      <x:c r="D245" t="s">
        <x:v>29</x:v>
      </x:c>
      <x:c r="E245" t="s">
        <x:v>1457</x:v>
      </x:c>
      <x:c r="F245" t="s">
        <x:v>31</x:v>
      </x:c>
      <x:c r="G245" t="s">
        <x:v>1465</x:v>
      </x:c>
      <x:c r="H245" t="s">
        <x:v>1459</x:v>
      </x:c>
      <x:c r="I245" t="s">
        <x:v>1460</x:v>
      </x:c>
      <x:c r="J245" t="s">
        <x:v>1714</x:v>
      </x:c>
      <x:c r="K245" t="s">
        <x:v>1167</x:v>
      </x:c>
      <x:c r="L245" t="s">
        <x:v>37</x:v>
      </x:c>
      <x:c r="M245" t="s">
        <x:v>1462</x:v>
      </x:c>
      <x:c r="N245" t="s">
        <x:v>1463</x:v>
      </x:c>
      <x:c r="O245" t="s">
        <x:v>1459</x:v>
      </x:c>
      <x:c r="P245" t="s">
        <x:v>1464</x:v>
      </x:c>
      <x:c r="Q245" t="s">
        <x:v>160</x:v>
      </x:c>
      <x:c r="R245">
        <x:v>1</x:v>
      </x:c>
      <x:c r="S245" t="s">
        <x:v>42</x:v>
      </x:c>
      <x:c r="T245" t="s">
        <x:v>44</x:v>
      </x:c>
      <x:c r="U245" t="s">
        <x:v>44</x:v>
      </x:c>
      <x:c r="V245" t="s">
        <x:v>45</x:v>
      </x:c>
      <x:c r="W245" t="s">
        <x:v>60</x:v>
      </x:c>
      <x:c r="X245">
        <x:v>135.59</x:v>
      </x:c>
      <x:c r="Y245" t="s">
        <x:v>47</x:v>
      </x:c>
      <x:c r="Z245" t="s">
        <x:v>48</x:v>
      </x:c>
      <x:c r="AA245" t="s">
        <x:v>49</x:v>
      </x:c>
      <x:c r="AD245">
        <x:v>30</x:v>
      </x:c>
    </x:row>
    <x:row r="246">
      <x:c r="A246" s="1">
        <x:v>46213</x:v>
      </x:c>
      <x:c r="B246" t="s">
        <x:v>3600</x:v>
      </x:c>
      <x:c r="C246" t="s">
        <x:v>1456</x:v>
      </x:c>
      <x:c r="D246" t="s">
        <x:v>400</x:v>
      </x:c>
      <x:c r="E246" t="s">
        <x:v>1457</x:v>
      </x:c>
      <x:c r="F246" t="s">
        <x:v>401</x:v>
      </x:c>
      <x:c r="G246" t="s">
        <x:v>1458</x:v>
      </x:c>
      <x:c r="H246" t="s">
        <x:v>1459</x:v>
      </x:c>
      <x:c r="I246" t="s">
        <x:v>1460</x:v>
      </x:c>
      <x:c r="J246" t="s">
        <x:v>1714</x:v>
      </x:c>
      <x:c r="K246" t="s">
        <x:v>1167</x:v>
      </x:c>
      <x:c r="L246" t="s">
        <x:v>401</x:v>
      </x:c>
      <x:c r="M246" t="s">
        <x:v>1462</x:v>
      </x:c>
      <x:c r="N246" t="s">
        <x:v>1463</x:v>
      </x:c>
      <x:c r="O246" t="s">
        <x:v>1459</x:v>
      </x:c>
      <x:c r="P246" t="s">
        <x:v>1464</x:v>
      </x:c>
      <x:c r="Q246" t="s">
        <x:v>160</x:v>
      </x:c>
      <x:c r="R246">
        <x:v>1</x:v>
      </x:c>
      <x:c r="S246" t="s">
        <x:v>42</x:v>
      </x:c>
      <x:c r="T246" t="s">
        <x:v>44</x:v>
      </x:c>
      <x:c r="U246" t="s">
        <x:v>44</x:v>
      </x:c>
      <x:c r="V246" t="s">
        <x:v>45</x:v>
      </x:c>
      <x:c r="W246" t="s">
        <x:v>60</x:v>
      </x:c>
      <x:c r="X246">
        <x:v>-135.59</x:v>
      </x:c>
      <x:c r="Y246" t="s">
        <x:v>47</x:v>
      </x:c>
      <x:c r="Z246" t="s">
        <x:v>48</x:v>
      </x:c>
      <x:c r="AA246" t="s">
        <x:v>49</x:v>
      </x:c>
      <x:c r="AD246">
        <x:v>30</x:v>
      </x:c>
    </x:row>
    <x:row r="247">
      <x:c r="A247" s="1">
        <x:v>46214</x:v>
      </x:c>
      <x:c r="B247" t="s">
        <x:v>3600</x:v>
      </x:c>
      <x:c r="C247" t="s">
        <x:v>596</x:v>
      </x:c>
      <x:c r="D247" t="s">
        <x:v>29</x:v>
      </x:c>
      <x:c r="E247" t="s">
        <x:v>597</x:v>
      </x:c>
      <x:c r="F247" t="s">
        <x:v>31</x:v>
      </x:c>
      <x:c r="G247" t="s">
        <x:v>598</x:v>
      </x:c>
      <x:c r="H247" t="s">
        <x:v>599</x:v>
      </x:c>
      <x:c r="I247" t="s">
        <x:v>600</x:v>
      </x:c>
      <x:c r="J247" t="s">
        <x:v>435</x:v>
      </x:c>
      <x:c r="K247" t="s">
        <x:v>436</x:v>
      </x:c>
      <x:c r="L247" t="s">
        <x:v>37</x:v>
      </x:c>
      <x:c r="M247" t="s">
        <x:v>601</x:v>
      </x:c>
      <x:c r="N247" t="s">
        <x:v>602</x:v>
      </x:c>
      <x:c r="O247" t="s">
        <x:v>599</x:v>
      </x:c>
      <x:c r="P247" t="s">
        <x:v>603</x:v>
      </x:c>
      <x:c r="Q247" t="s">
        <x:v>91</x:v>
      </x:c>
      <x:c r="R247">
        <x:v>1</x:v>
      </x:c>
      <x:c r="S247" t="s">
        <x:v>70</x:v>
      </x:c>
      <x:c r="T247" t="s">
        <x:v>43</x:v>
      </x:c>
      <x:c r="U247" t="s">
        <x:v>44</x:v>
      </x:c>
      <x:c r="V247" t="s">
        <x:v>71</x:v>
      </x:c>
      <x:c r="W247" t="s">
        <x:v>72</x:v>
      </x:c>
      <x:c r="X247">
        <x:v>135.59</x:v>
      </x:c>
      <x:c r="Y247" t="s">
        <x:v>47</x:v>
      </x:c>
      <x:c r="Z247" t="s">
        <x:v>48</x:v>
      </x:c>
      <x:c r="AA247" t="s">
        <x:v>73</x:v>
      </x:c>
      <x:c r="AB247">
        <x:v>992903716</x:v>
      </x:c>
      <x:c r="AC247" t="s">
        <x:v>440</x:v>
      </x:c>
      <x:c r="AD247">
        <x:v>30</x:v>
      </x:c>
    </x:row>
    <x:row r="248">
      <x:c r="A248" s="1">
        <x:v>46214</x:v>
      </x:c>
      <x:c r="B248" t="s">
        <x:v>3600</x:v>
      </x:c>
      <x:c r="C248" t="s">
        <x:v>596</x:v>
      </x:c>
      <x:c r="D248" t="s">
        <x:v>29</x:v>
      </x:c>
      <x:c r="E248" t="s">
        <x:v>597</x:v>
      </x:c>
      <x:c r="F248" t="s">
        <x:v>31</x:v>
      </x:c>
      <x:c r="G248" t="s">
        <x:v>598</x:v>
      </x:c>
      <x:c r="H248" t="s">
        <x:v>599</x:v>
      </x:c>
      <x:c r="I248" t="s">
        <x:v>600</x:v>
      </x:c>
      <x:c r="J248" t="s">
        <x:v>435</x:v>
      </x:c>
      <x:c r="K248" t="s">
        <x:v>436</x:v>
      </x:c>
      <x:c r="L248" t="s">
        <x:v>37</x:v>
      </x:c>
      <x:c r="M248" t="s">
        <x:v>601</x:v>
      </x:c>
      <x:c r="N248" t="s">
        <x:v>602</x:v>
      </x:c>
      <x:c r="O248" t="s">
        <x:v>599</x:v>
      </x:c>
      <x:c r="P248" t="s">
        <x:v>603</x:v>
      </x:c>
      <x:c r="Q248" t="s">
        <x:v>102</x:v>
      </x:c>
      <x:c r="R248">
        <x:v>1</x:v>
      </x:c>
      <x:c r="S248" t="s">
        <x:v>70</x:v>
      </x:c>
      <x:c r="T248" t="s">
        <x:v>43</x:v>
      </x:c>
      <x:c r="U248" t="s">
        <x:v>44</x:v>
      </x:c>
      <x:c r="V248" t="s">
        <x:v>71</x:v>
      </x:c>
      <x:c r="W248" t="s">
        <x:v>72</x:v>
      </x:c>
      <x:c r="X248">
        <x:v>186.44</x:v>
      </x:c>
      <x:c r="Y248" t="s">
        <x:v>47</x:v>
      </x:c>
      <x:c r="Z248" t="s">
        <x:v>48</x:v>
      </x:c>
      <x:c r="AA248" t="s">
        <x:v>73</x:v>
      </x:c>
      <x:c r="AB248">
        <x:v>992903716</x:v>
      </x:c>
      <x:c r="AC248" t="s">
        <x:v>440</x:v>
      </x:c>
      <x:c r="AD248">
        <x:v>50</x:v>
      </x:c>
    </x:row>
    <x:row r="249">
      <x:c r="A249" s="1">
        <x:v>46214</x:v>
      </x:c>
      <x:c r="B249" t="s">
        <x:v>3600</x:v>
      </x:c>
      <x:c r="C249" t="s">
        <x:v>1135</x:v>
      </x:c>
      <x:c r="D249" t="s">
        <x:v>269</x:v>
      </x:c>
      <x:c r="E249" t="s">
        <x:v>1136</x:v>
      </x:c>
      <x:c r="F249" t="s">
        <x:v>31</x:v>
      </x:c>
      <x:c r="G249" t="s">
        <x:v>1137</x:v>
      </x:c>
      <x:c r="H249" t="s">
        <x:v>1119</x:v>
      </x:c>
      <x:c r="I249" t="s">
        <x:v>1120</x:v>
      </x:c>
      <x:c r="J249" t="s">
        <x:v>1121</x:v>
      </x:c>
      <x:c r="K249" t="s">
        <x:v>1122</x:v>
      </x:c>
      <x:c r="L249" t="s">
        <x:v>37</x:v>
      </x:c>
      <x:c r="M249" t="s">
        <x:v>1123</x:v>
      </x:c>
      <x:c r="N249" t="s">
        <x:v>1124</x:v>
      </x:c>
      <x:c r="O249" t="s">
        <x:v>553</x:v>
      </x:c>
      <x:c r="P249" t="s">
        <x:v>1138</x:v>
      </x:c>
      <x:c r="Q249" t="s">
        <x:v>289</x:v>
      </x:c>
      <x:c r="R249">
        <x:v>1</x:v>
      </x:c>
      <x:c r="S249" t="s">
        <x:v>42</x:v>
      </x:c>
      <x:c r="T249" t="s">
        <x:v>44</x:v>
      </x:c>
      <x:c r="U249" t="s">
        <x:v>44</x:v>
      </x:c>
      <x:c r="V249" t="s">
        <x:v>45</x:v>
      </x:c>
      <x:c r="W249" t="s">
        <x:v>46</x:v>
      </x:c>
      <x:c r="X249">
        <x:v>0</x:v>
      </x:c>
      <x:c r="Y249" t="s">
        <x:v>290</x:v>
      </x:c>
      <x:c r="Z249" t="s">
        <x:v>48</x:v>
      </x:c>
      <x:c r="AA249" t="s">
        <x:v>49</x:v>
      </x:c>
      <x:c r="AB249">
        <x:v>993540760</x:v>
      </x:c>
      <x:c r="AC249" t="s">
        <x:v>1126</x:v>
      </x:c>
    </x:row>
    <x:row r="250">
      <x:c r="A250" s="1">
        <x:v>46214</x:v>
      </x:c>
      <x:c r="B250" t="s">
        <x:v>3600</x:v>
      </x:c>
      <x:c r="C250" t="s">
        <x:v>1135</x:v>
      </x:c>
      <x:c r="D250" t="s">
        <x:v>269</x:v>
      </x:c>
      <x:c r="E250" t="s">
        <x:v>1136</x:v>
      </x:c>
      <x:c r="F250" t="s">
        <x:v>31</x:v>
      </x:c>
      <x:c r="G250" t="s">
        <x:v>1137</x:v>
      </x:c>
      <x:c r="H250" t="s">
        <x:v>1119</x:v>
      </x:c>
      <x:c r="I250" t="s">
        <x:v>1120</x:v>
      </x:c>
      <x:c r="J250" t="s">
        <x:v>1121</x:v>
      </x:c>
      <x:c r="K250" t="s">
        <x:v>1122</x:v>
      </x:c>
      <x:c r="L250" t="s">
        <x:v>37</x:v>
      </x:c>
      <x:c r="M250" t="s">
        <x:v>1123</x:v>
      </x:c>
      <x:c r="N250" t="s">
        <x:v>1124</x:v>
      </x:c>
      <x:c r="O250" t="s">
        <x:v>553</x:v>
      </x:c>
      <x:c r="P250" t="s">
        <x:v>1138</x:v>
      </x:c>
      <x:c r="Q250" t="s">
        <x:v>1624</x:v>
      </x:c>
      <x:c r="R250">
        <x:v>1</x:v>
      </x:c>
      <x:c r="S250" t="s">
        <x:v>42</x:v>
      </x:c>
      <x:c r="T250" t="s">
        <x:v>44</x:v>
      </x:c>
      <x:c r="U250" t="s">
        <x:v>44</x:v>
      </x:c>
      <x:c r="V250" t="s">
        <x:v>45</x:v>
      </x:c>
      <x:c r="W250" t="s">
        <x:v>46</x:v>
      </x:c>
      <x:c r="X250">
        <x:v>550.85</x:v>
      </x:c>
      <x:c r="Y250" t="s">
        <x:v>290</x:v>
      </x:c>
      <x:c r="Z250" t="s">
        <x:v>48</x:v>
      </x:c>
      <x:c r="AA250" t="s">
        <x:v>49</x:v>
      </x:c>
      <x:c r="AB250">
        <x:v>993540760</x:v>
      </x:c>
      <x:c r="AC250" t="s">
        <x:v>1126</x:v>
      </x:c>
    </x:row>
    <x:row r="251">
      <x:c r="A251" s="1">
        <x:v>46216</x:v>
      </x:c>
      <x:c r="B251" t="s">
        <x:v>3600</x:v>
      </x:c>
      <x:c r="C251" t="s">
        <x:v>3605</x:v>
      </x:c>
      <x:c r="D251" t="s">
        <x:v>269</x:v>
      </x:c>
      <x:c r="E251" t="s">
        <x:v>3606</x:v>
      </x:c>
      <x:c r="F251" t="s">
        <x:v>31</x:v>
      </x:c>
      <x:c r="G251" t="s">
        <x:v>3607</x:v>
      </x:c>
      <x:c r="H251" t="s">
        <x:v>3608</x:v>
      </x:c>
      <x:c r="I251" t="s">
        <x:v>3609</x:v>
      </x:c>
      <x:c r="J251" t="s">
        <x:v>478</x:v>
      </x:c>
      <x:c r="K251" t="s">
        <x:v>210</x:v>
      </x:c>
      <x:c r="L251" t="s">
        <x:v>37</x:v>
      </x:c>
      <x:c r="M251" t="s">
        <x:v>3610</x:v>
      </x:c>
      <x:c r="N251" t="s">
        <x:v>3611</x:v>
      </x:c>
      <x:c r="O251" t="s">
        <x:v>487</x:v>
      </x:c>
      <x:c r="P251" t="s">
        <x:v>3612</x:v>
      </x:c>
      <x:c r="Q251" t="s">
        <x:v>59</x:v>
      </x:c>
      <x:c r="R251">
        <x:v>1</x:v>
      </x:c>
      <x:c r="S251" t="s">
        <x:v>42</x:v>
      </x:c>
      <x:c r="T251" t="s">
        <x:v>44</x:v>
      </x:c>
      <x:c r="U251" t="s">
        <x:v>44</x:v>
      </x:c>
      <x:c r="V251" t="s">
        <x:v>45</x:v>
      </x:c>
      <x:c r="W251" t="s">
        <x:v>46</x:v>
      </x:c>
      <x:c r="X251">
        <x:v>101.69</x:v>
      </x:c>
      <x:c r="Y251" t="s">
        <x:v>61</x:v>
      </x:c>
      <x:c r="Z251" t="s">
        <x:v>48</x:v>
      </x:c>
      <x:c r="AA251" t="s">
        <x:v>49</x:v>
      </x:c>
      <x:c r="AB251">
        <x:v>982536223</x:v>
      </x:c>
      <x:c r="AC251" t="s">
        <x:v>483</x:v>
      </x:c>
    </x:row>
    <x:row r="252">
      <x:c r="A252" s="1">
        <x:v>46216</x:v>
      </x:c>
      <x:c r="B252" t="s">
        <x:v>3600</x:v>
      </x:c>
      <x:c r="C252" t="s">
        <x:v>3613</x:v>
      </x:c>
      <x:c r="D252" t="s">
        <x:v>29</x:v>
      </x:c>
      <x:c r="E252" t="s">
        <x:v>3614</x:v>
      </x:c>
      <x:c r="F252" t="s">
        <x:v>31</x:v>
      </x:c>
      <x:c r="G252" t="s">
        <x:v>3615</x:v>
      </x:c>
      <x:c r="H252" t="s">
        <x:v>3616</x:v>
      </x:c>
      <x:c r="I252" t="s">
        <x:v>3617</x:v>
      </x:c>
      <x:c r="L252" t="s">
        <x:v>37</x:v>
      </x:c>
      <x:c r="M252" t="s">
        <x:v>3618</x:v>
      </x:c>
      <x:c r="N252" t="s">
        <x:v>3619</x:v>
      </x:c>
      <x:c r="O252" t="s">
        <x:v>3616</x:v>
      </x:c>
      <x:c r="P252" t="s">
        <x:v>3620</x:v>
      </x:c>
      <x:c r="Q252" t="s">
        <x:v>160</x:v>
      </x:c>
      <x:c r="R252">
        <x:v>1</x:v>
      </x:c>
      <x:c r="S252" t="s">
        <x:v>42</x:v>
      </x:c>
      <x:c r="T252" t="s">
        <x:v>44</x:v>
      </x:c>
      <x:c r="U252" t="s">
        <x:v>44</x:v>
      </x:c>
      <x:c r="V252" t="s">
        <x:v>45</x:v>
      </x:c>
      <x:c r="W252" t="s">
        <x:v>46</x:v>
      </x:c>
      <x:c r="X252">
        <x:v>135.59</x:v>
      </x:c>
      <x:c r="Y252" t="s">
        <x:v>47</x:v>
      </x:c>
      <x:c r="Z252" t="s">
        <x:v>48</x:v>
      </x:c>
      <x:c r="AA252" t="s">
        <x:v>49</x:v>
      </x:c>
      <x:c r="AD252">
        <x:v>30</x:v>
      </x:c>
    </x:row>
    <x:row r="253">
      <x:c r="A253" s="1">
        <x:v>46216</x:v>
      </x:c>
      <x:c r="B253" t="s">
        <x:v>3600</x:v>
      </x:c>
      <x:c r="C253" t="s">
        <x:v>3621</x:v>
      </x:c>
      <x:c r="D253" t="s">
        <x:v>29</x:v>
      </x:c>
      <x:c r="E253" t="s">
        <x:v>3622</x:v>
      </x:c>
      <x:c r="F253" t="s">
        <x:v>31</x:v>
      </x:c>
      <x:c r="G253" t="s">
        <x:v>3623</x:v>
      </x:c>
      <x:c r="H253" t="s">
        <x:v>3624</x:v>
      </x:c>
      <x:c r="I253" t="s">
        <x:v>3625</x:v>
      </x:c>
      <x:c r="L253" t="s">
        <x:v>37</x:v>
      </x:c>
      <x:c r="M253" t="s">
        <x:v>3626</x:v>
      </x:c>
      <x:c r="N253" t="s">
        <x:v>3627</x:v>
      </x:c>
      <x:c r="O253" t="s">
        <x:v>3624</x:v>
      </x:c>
      <x:c r="P253" t="s">
        <x:v>3628</x:v>
      </x:c>
      <x:c r="Q253" t="s">
        <x:v>41</x:v>
      </x:c>
      <x:c r="R253">
        <x:v>1</x:v>
      </x:c>
      <x:c r="S253" t="s">
        <x:v>42</x:v>
      </x:c>
      <x:c r="T253" t="s">
        <x:v>44</x:v>
      </x:c>
      <x:c r="U253" t="s">
        <x:v>44</x:v>
      </x:c>
      <x:c r="V253" t="s">
        <x:v>45</x:v>
      </x:c>
      <x:c r="W253" t="s">
        <x:v>60</x:v>
      </x:c>
      <x:c r="X253">
        <x:v>186.44</x:v>
      </x:c>
      <x:c r="Y253" t="s">
        <x:v>47</x:v>
      </x:c>
      <x:c r="Z253" t="s">
        <x:v>48</x:v>
      </x:c>
      <x:c r="AA253" t="s">
        <x:v>49</x:v>
      </x:c>
      <x:c r="AD253">
        <x:v>50</x:v>
      </x:c>
    </x:row>
    <x:row r="254">
      <x:c r="A254" s="1">
        <x:v>46216</x:v>
      </x:c>
      <x:c r="B254" t="s">
        <x:v>3600</x:v>
      </x:c>
      <x:c r="C254" t="s">
        <x:v>3621</x:v>
      </x:c>
      <x:c r="D254" t="s">
        <x:v>29</x:v>
      </x:c>
      <x:c r="E254" t="s">
        <x:v>3622</x:v>
      </x:c>
      <x:c r="F254" t="s">
        <x:v>31</x:v>
      </x:c>
      <x:c r="G254" t="s">
        <x:v>3623</x:v>
      </x:c>
      <x:c r="H254" t="s">
        <x:v>3624</x:v>
      </x:c>
      <x:c r="I254" t="s">
        <x:v>3625</x:v>
      </x:c>
      <x:c r="L254" t="s">
        <x:v>37</x:v>
      </x:c>
      <x:c r="M254" t="s">
        <x:v>3626</x:v>
      </x:c>
      <x:c r="N254" t="s">
        <x:v>3627</x:v>
      </x:c>
      <x:c r="O254" t="s">
        <x:v>3624</x:v>
      </x:c>
      <x:c r="P254" t="s">
        <x:v>3628</x:v>
      </x:c>
      <x:c r="Q254" t="s">
        <x:v>102</x:v>
      </x:c>
      <x:c r="R254">
        <x:v>1</x:v>
      </x:c>
      <x:c r="S254" t="s">
        <x:v>42</x:v>
      </x:c>
      <x:c r="T254" t="s">
        <x:v>44</x:v>
      </x:c>
      <x:c r="U254" t="s">
        <x:v>44</x:v>
      </x:c>
      <x:c r="V254" t="s">
        <x:v>45</x:v>
      </x:c>
      <x:c r="W254" t="s">
        <x:v>60</x:v>
      </x:c>
      <x:c r="X254">
        <x:v>186.44</x:v>
      </x:c>
      <x:c r="Y254" t="s">
        <x:v>47</x:v>
      </x:c>
      <x:c r="Z254" t="s">
        <x:v>48</x:v>
      </x:c>
      <x:c r="AA254" t="s">
        <x:v>49</x:v>
      </x:c>
      <x:c r="AD254">
        <x:v>50</x:v>
      </x:c>
    </x:row>
    <x:row r="255">
      <x:c r="A255" s="1">
        <x:v>46216</x:v>
      </x:c>
      <x:c r="B255" t="s">
        <x:v>3600</x:v>
      </x:c>
      <x:c r="C255" t="s">
        <x:v>3629</x:v>
      </x:c>
      <x:c r="D255" t="s">
        <x:v>29</x:v>
      </x:c>
      <x:c r="E255" t="s">
        <x:v>3630</x:v>
      </x:c>
      <x:c r="F255" t="s">
        <x:v>31</x:v>
      </x:c>
      <x:c r="G255" t="s">
        <x:v>3631</x:v>
      </x:c>
      <x:c r="H255" t="s">
        <x:v>3632</x:v>
      </x:c>
      <x:c r="I255" t="s">
        <x:v>3633</x:v>
      </x:c>
      <x:c r="L255" t="s">
        <x:v>37</x:v>
      </x:c>
      <x:c r="M255" t="s">
        <x:v>3634</x:v>
      </x:c>
      <x:c r="N255" t="s">
        <x:v>3635</x:v>
      </x:c>
      <x:c r="O255" t="s">
        <x:v>3632</x:v>
      </x:c>
      <x:c r="P255" t="s">
        <x:v>3636</x:v>
      </x:c>
      <x:c r="Q255" t="s">
        <x:v>160</x:v>
      </x:c>
      <x:c r="R255">
        <x:v>1</x:v>
      </x:c>
      <x:c r="S255" t="s">
        <x:v>42</x:v>
      </x:c>
      <x:c r="T255" t="s">
        <x:v>44</x:v>
      </x:c>
      <x:c r="U255" t="s">
        <x:v>44</x:v>
      </x:c>
      <x:c r="V255" t="s">
        <x:v>45</x:v>
      </x:c>
      <x:c r="W255" t="s">
        <x:v>46</x:v>
      </x:c>
      <x:c r="X255">
        <x:v>135.59</x:v>
      </x:c>
      <x:c r="Y255" t="s">
        <x:v>47</x:v>
      </x:c>
      <x:c r="Z255" t="s">
        <x:v>48</x:v>
      </x:c>
      <x:c r="AA255" t="s">
        <x:v>49</x:v>
      </x:c>
      <x:c r="AD255">
        <x:v>30</x:v>
      </x:c>
    </x:row>
    <x:row r="256">
      <x:c r="A256" s="1">
        <x:v>46216</x:v>
      </x:c>
      <x:c r="B256" t="s">
        <x:v>3600</x:v>
      </x:c>
      <x:c r="C256" t="s">
        <x:v>3637</x:v>
      </x:c>
      <x:c r="D256" t="s">
        <x:v>29</x:v>
      </x:c>
      <x:c r="E256" t="s">
        <x:v>3638</x:v>
      </x:c>
      <x:c r="F256" t="s">
        <x:v>31</x:v>
      </x:c>
      <x:c r="G256" t="s">
        <x:v>3639</x:v>
      </x:c>
      <x:c r="H256" t="s">
        <x:v>355</x:v>
      </x:c>
      <x:c r="I256" t="s">
        <x:v>356</x:v>
      </x:c>
      <x:c r="L256" t="s">
        <x:v>37</x:v>
      </x:c>
      <x:c r="M256" t="s">
        <x:v>357</x:v>
      </x:c>
      <x:c r="N256" t="s">
        <x:v>358</x:v>
      </x:c>
      <x:c r="O256" t="s">
        <x:v>355</x:v>
      </x:c>
      <x:c r="P256" t="s">
        <x:v>3640</x:v>
      </x:c>
      <x:c r="Q256" t="s">
        <x:v>160</x:v>
      </x:c>
      <x:c r="R256">
        <x:v>1</x:v>
      </x:c>
      <x:c r="S256" t="s">
        <x:v>42</x:v>
      </x:c>
      <x:c r="T256" t="s">
        <x:v>44</x:v>
      </x:c>
      <x:c r="U256" t="s">
        <x:v>44</x:v>
      </x:c>
      <x:c r="V256" t="s">
        <x:v>45</x:v>
      </x:c>
      <x:c r="W256" t="s">
        <x:v>60</x:v>
      </x:c>
      <x:c r="X256">
        <x:v>135.59</x:v>
      </x:c>
      <x:c r="Y256" t="s">
        <x:v>47</x:v>
      </x:c>
      <x:c r="Z256" t="s">
        <x:v>48</x:v>
      </x:c>
      <x:c r="AA256" t="s">
        <x:v>49</x:v>
      </x:c>
      <x:c r="AD256">
        <x:v>30</x:v>
      </x:c>
    </x:row>
    <x:row r="257">
      <x:c r="A257" s="1">
        <x:v>46216</x:v>
      </x:c>
      <x:c r="B257" t="s">
        <x:v>3600</x:v>
      </x:c>
      <x:c r="C257" t="s">
        <x:v>3641</x:v>
      </x:c>
      <x:c r="D257" t="s">
        <x:v>29</x:v>
      </x:c>
      <x:c r="E257" t="s">
        <x:v>3642</x:v>
      </x:c>
      <x:c r="F257" t="s">
        <x:v>31</x:v>
      </x:c>
      <x:c r="G257" t="s">
        <x:v>3643</x:v>
      </x:c>
      <x:c r="H257" t="s">
        <x:v>3644</x:v>
      </x:c>
      <x:c r="I257" t="s">
        <x:v>3645</x:v>
      </x:c>
      <x:c r="L257" t="s">
        <x:v>37</x:v>
      </x:c>
      <x:c r="M257" t="s">
        <x:v>3646</x:v>
      </x:c>
      <x:c r="N257" t="s">
        <x:v>3647</x:v>
      </x:c>
      <x:c r="O257" t="s">
        <x:v>3644</x:v>
      </x:c>
      <x:c r="P257" t="s">
        <x:v>3648</x:v>
      </x:c>
      <x:c r="Q257" t="s">
        <x:v>102</x:v>
      </x:c>
      <x:c r="R257">
        <x:v>1</x:v>
      </x:c>
      <x:c r="S257" t="s">
        <x:v>42</x:v>
      </x:c>
      <x:c r="T257" t="s">
        <x:v>44</x:v>
      </x:c>
      <x:c r="U257" t="s">
        <x:v>44</x:v>
      </x:c>
      <x:c r="V257" t="s">
        <x:v>45</x:v>
      </x:c>
      <x:c r="W257" t="s">
        <x:v>46</x:v>
      </x:c>
      <x:c r="X257">
        <x:v>186.44</x:v>
      </x:c>
      <x:c r="Y257" t="s">
        <x:v>47</x:v>
      </x:c>
      <x:c r="Z257" t="s">
        <x:v>48</x:v>
      </x:c>
      <x:c r="AA257" t="s">
        <x:v>49</x:v>
      </x:c>
      <x:c r="AD257">
        <x:v>50</x:v>
      </x:c>
    </x:row>
    <x:row r="258">
      <x:c r="A258" s="1">
        <x:v>46217</x:v>
      </x:c>
      <x:c r="B258" t="s">
        <x:v>3600</x:v>
      </x:c>
      <x:c r="C258" t="s">
        <x:v>3649</x:v>
      </x:c>
      <x:c r="D258" t="s">
        <x:v>269</x:v>
      </x:c>
      <x:c r="E258" t="s">
        <x:v>3650</x:v>
      </x:c>
      <x:c r="F258" t="s">
        <x:v>31</x:v>
      </x:c>
      <x:c r="G258" t="s">
        <x:v>3651</x:v>
      </x:c>
      <x:c r="H258" t="s">
        <x:v>3652</x:v>
      </x:c>
      <x:c r="I258" t="s">
        <x:v>3653</x:v>
      </x:c>
      <x:c r="L258" t="s">
        <x:v>37</x:v>
      </x:c>
      <x:c r="M258" t="s">
        <x:v>3654</x:v>
      </x:c>
      <x:c r="N258" t="s">
        <x:v>3655</x:v>
      </x:c>
      <x:c r="O258" t="s">
        <x:v>3656</x:v>
      </x:c>
      <x:c r="P258" t="s">
        <x:v>3657</x:v>
      </x:c>
      <x:c r="Q258" t="s">
        <x:v>203</x:v>
      </x:c>
      <x:c r="R258">
        <x:v>1</x:v>
      </x:c>
      <x:c r="S258" t="s">
        <x:v>42</x:v>
      </x:c>
      <x:c r="T258" t="s">
        <x:v>44</x:v>
      </x:c>
      <x:c r="U258" t="s">
        <x:v>44</x:v>
      </x:c>
      <x:c r="V258" t="s">
        <x:v>45</x:v>
      </x:c>
      <x:c r="W258" t="s">
        <x:v>46</x:v>
      </x:c>
      <x:c r="X258">
        <x:v>135.59</x:v>
      </x:c>
      <x:c r="Y258" t="s">
        <x:v>47</x:v>
      </x:c>
      <x:c r="Z258" t="s">
        <x:v>48</x:v>
      </x:c>
      <x:c r="AA258" t="s">
        <x:v>49</x:v>
      </x:c>
      <x:c r="AD258">
        <x:v>30</x:v>
      </x:c>
    </x:row>
    <x:row r="259">
      <x:c r="A259" s="1">
        <x:v>46217</x:v>
      </x:c>
      <x:c r="B259" t="s">
        <x:v>3600</x:v>
      </x:c>
      <x:c r="C259" t="s">
        <x:v>3658</x:v>
      </x:c>
      <x:c r="D259" t="s">
        <x:v>29</x:v>
      </x:c>
      <x:c r="E259" t="s">
        <x:v>3659</x:v>
      </x:c>
      <x:c r="F259" t="s">
        <x:v>31</x:v>
      </x:c>
      <x:c r="G259" t="s">
        <x:v>3660</x:v>
      </x:c>
      <x:c r="H259" t="s">
        <x:v>3661</x:v>
      </x:c>
      <x:c r="I259" t="s">
        <x:v>3662</x:v>
      </x:c>
      <x:c r="J259" t="s">
        <x:v>776</x:v>
      </x:c>
      <x:c r="K259" t="s">
        <x:v>777</x:v>
      </x:c>
      <x:c r="L259" t="s">
        <x:v>37</x:v>
      </x:c>
      <x:c r="M259" t="s">
        <x:v>3663</x:v>
      </x:c>
      <x:c r="N259" t="s">
        <x:v>3664</x:v>
      </x:c>
      <x:c r="O259" t="s">
        <x:v>3661</x:v>
      </x:c>
      <x:c r="P259" t="s">
        <x:v>3665</x:v>
      </x:c>
      <x:c r="Q259" t="s">
        <x:v>643</x:v>
      </x:c>
      <x:c r="R259">
        <x:v>1</x:v>
      </x:c>
      <x:c r="S259" t="s">
        <x:v>42</x:v>
      </x:c>
      <x:c r="T259" t="s">
        <x:v>44</x:v>
      </x:c>
      <x:c r="U259" t="s">
        <x:v>44</x:v>
      </x:c>
      <x:c r="V259" t="s">
        <x:v>45</x:v>
      </x:c>
      <x:c r="W259" t="s">
        <x:v>60</x:v>
      </x:c>
      <x:c r="X259">
        <x:v>84.75</x:v>
      </x:c>
      <x:c r="Y259" t="s">
        <x:v>47</x:v>
      </x:c>
      <x:c r="Z259" t="s">
        <x:v>48</x:v>
      </x:c>
      <x:c r="AA259" t="s">
        <x:v>49</x:v>
      </x:c>
    </x:row>
    <x:row r="260">
      <x:c r="A260" s="1">
        <x:v>46217</x:v>
      </x:c>
      <x:c r="B260" t="s">
        <x:v>3600</x:v>
      </x:c>
      <x:c r="C260" t="s">
        <x:v>3666</x:v>
      </x:c>
      <x:c r="D260" t="s">
        <x:v>29</x:v>
      </x:c>
      <x:c r="E260" t="s">
        <x:v>3667</x:v>
      </x:c>
      <x:c r="F260" t="s">
        <x:v>31</x:v>
      </x:c>
      <x:c r="G260" t="s">
        <x:v>3668</x:v>
      </x:c>
      <x:c r="H260" t="s">
        <x:v>3669</x:v>
      </x:c>
      <x:c r="I260" t="s">
        <x:v>3670</x:v>
      </x:c>
      <x:c r="J260" t="s">
        <x:v>776</x:v>
      </x:c>
      <x:c r="K260" t="s">
        <x:v>777</x:v>
      </x:c>
      <x:c r="L260" t="s">
        <x:v>37</x:v>
      </x:c>
      <x:c r="M260" t="s">
        <x:v>3671</x:v>
      </x:c>
      <x:c r="N260" t="s">
        <x:v>3672</x:v>
      </x:c>
      <x:c r="O260" t="s">
        <x:v>3669</x:v>
      </x:c>
      <x:c r="P260" t="s">
        <x:v>3673</x:v>
      </x:c>
      <x:c r="Q260" t="s">
        <x:v>620</x:v>
      </x:c>
      <x:c r="R260">
        <x:v>1</x:v>
      </x:c>
      <x:c r="S260" t="s">
        <x:v>42</x:v>
      </x:c>
      <x:c r="T260" t="s">
        <x:v>44</x:v>
      </x:c>
      <x:c r="U260" t="s">
        <x:v>44</x:v>
      </x:c>
      <x:c r="V260" t="s">
        <x:v>45</x:v>
      </x:c>
      <x:c r="W260" t="s">
        <x:v>46</x:v>
      </x:c>
      <x:c r="X260">
        <x:v>12.71</x:v>
      </x:c>
      <x:c r="Y260" t="s">
        <x:v>621</x:v>
      </x:c>
      <x:c r="Z260" t="s">
        <x:v>48</x:v>
      </x:c>
      <x:c r="AA260" t="s">
        <x:v>49</x:v>
      </x:c>
    </x:row>
    <x:row r="261">
      <x:c r="A261" s="1">
        <x:v>46217</x:v>
      </x:c>
      <x:c r="B261" t="s">
        <x:v>3600</x:v>
      </x:c>
      <x:c r="C261" t="s">
        <x:v>3666</x:v>
      </x:c>
      <x:c r="D261" t="s">
        <x:v>29</x:v>
      </x:c>
      <x:c r="E261" t="s">
        <x:v>3667</x:v>
      </x:c>
      <x:c r="F261" t="s">
        <x:v>31</x:v>
      </x:c>
      <x:c r="G261" t="s">
        <x:v>3668</x:v>
      </x:c>
      <x:c r="H261" t="s">
        <x:v>3669</x:v>
      </x:c>
      <x:c r="I261" t="s">
        <x:v>3670</x:v>
      </x:c>
      <x:c r="J261" t="s">
        <x:v>776</x:v>
      </x:c>
      <x:c r="K261" t="s">
        <x:v>777</x:v>
      </x:c>
      <x:c r="L261" t="s">
        <x:v>37</x:v>
      </x:c>
      <x:c r="M261" t="s">
        <x:v>3671</x:v>
      </x:c>
      <x:c r="N261" t="s">
        <x:v>3672</x:v>
      </x:c>
      <x:c r="O261" t="s">
        <x:v>3669</x:v>
      </x:c>
      <x:c r="P261" t="s">
        <x:v>3673</x:v>
      </x:c>
      <x:c r="Q261" t="s">
        <x:v>622</x:v>
      </x:c>
      <x:c r="R261">
        <x:v>1</x:v>
      </x:c>
      <x:c r="S261" t="s">
        <x:v>42</x:v>
      </x:c>
      <x:c r="T261" t="s">
        <x:v>44</x:v>
      </x:c>
      <x:c r="U261" t="s">
        <x:v>44</x:v>
      </x:c>
      <x:c r="V261" t="s">
        <x:v>45</x:v>
      </x:c>
      <x:c r="W261" t="s">
        <x:v>46</x:v>
      </x:c>
      <x:c r="X261">
        <x:v>21.19</x:v>
      </x:c>
      <x:c r="Y261" t="s">
        <x:v>621</x:v>
      </x:c>
      <x:c r="Z261" t="s">
        <x:v>48</x:v>
      </x:c>
      <x:c r="AA261" t="s">
        <x:v>49</x:v>
      </x:c>
    </x:row>
    <x:row r="262">
      <x:c r="A262" s="1">
        <x:v>46217</x:v>
      </x:c>
      <x:c r="B262" t="s">
        <x:v>3600</x:v>
      </x:c>
      <x:c r="C262" t="s">
        <x:v>3666</x:v>
      </x:c>
      <x:c r="D262" t="s">
        <x:v>29</x:v>
      </x:c>
      <x:c r="E262" t="s">
        <x:v>3667</x:v>
      </x:c>
      <x:c r="F262" t="s">
        <x:v>31</x:v>
      </x:c>
      <x:c r="G262" t="s">
        <x:v>3668</x:v>
      </x:c>
      <x:c r="H262" t="s">
        <x:v>3669</x:v>
      </x:c>
      <x:c r="I262" t="s">
        <x:v>3670</x:v>
      </x:c>
      <x:c r="J262" t="s">
        <x:v>776</x:v>
      </x:c>
      <x:c r="K262" t="s">
        <x:v>777</x:v>
      </x:c>
      <x:c r="L262" t="s">
        <x:v>37</x:v>
      </x:c>
      <x:c r="M262" t="s">
        <x:v>3671</x:v>
      </x:c>
      <x:c r="N262" t="s">
        <x:v>3672</x:v>
      </x:c>
      <x:c r="O262" t="s">
        <x:v>3669</x:v>
      </x:c>
      <x:c r="P262" t="s">
        <x:v>3673</x:v>
      </x:c>
      <x:c r="Q262" t="s">
        <x:v>623</x:v>
      </x:c>
      <x:c r="R262">
        <x:v>1</x:v>
      </x:c>
      <x:c r="S262" t="s">
        <x:v>42</x:v>
      </x:c>
      <x:c r="T262" t="s">
        <x:v>44</x:v>
      </x:c>
      <x:c r="U262" t="s">
        <x:v>44</x:v>
      </x:c>
      <x:c r="V262" t="s">
        <x:v>45</x:v>
      </x:c>
      <x:c r="W262" t="s">
        <x:v>46</x:v>
      </x:c>
      <x:c r="X262">
        <x:v>12.71</x:v>
      </x:c>
      <x:c r="Y262" t="s">
        <x:v>621</x:v>
      </x:c>
      <x:c r="Z262" t="s">
        <x:v>48</x:v>
      </x:c>
      <x:c r="AA262" t="s">
        <x:v>49</x:v>
      </x:c>
    </x:row>
    <x:row r="263">
      <x:c r="A263" s="1">
        <x:v>46217</x:v>
      </x:c>
      <x:c r="B263" t="s">
        <x:v>3600</x:v>
      </x:c>
      <x:c r="C263" t="s">
        <x:v>3666</x:v>
      </x:c>
      <x:c r="D263" t="s">
        <x:v>29</x:v>
      </x:c>
      <x:c r="E263" t="s">
        <x:v>3667</x:v>
      </x:c>
      <x:c r="F263" t="s">
        <x:v>31</x:v>
      </x:c>
      <x:c r="G263" t="s">
        <x:v>3668</x:v>
      </x:c>
      <x:c r="H263" t="s">
        <x:v>3669</x:v>
      </x:c>
      <x:c r="I263" t="s">
        <x:v>3670</x:v>
      </x:c>
      <x:c r="J263" t="s">
        <x:v>776</x:v>
      </x:c>
      <x:c r="K263" t="s">
        <x:v>777</x:v>
      </x:c>
      <x:c r="L263" t="s">
        <x:v>37</x:v>
      </x:c>
      <x:c r="M263" t="s">
        <x:v>3671</x:v>
      </x:c>
      <x:c r="N263" t="s">
        <x:v>3672</x:v>
      </x:c>
      <x:c r="O263" t="s">
        <x:v>3669</x:v>
      </x:c>
      <x:c r="P263" t="s">
        <x:v>3673</x:v>
      </x:c>
      <x:c r="Q263" t="s">
        <x:v>624</x:v>
      </x:c>
      <x:c r="R263">
        <x:v>1</x:v>
      </x:c>
      <x:c r="S263" t="s">
        <x:v>42</x:v>
      </x:c>
      <x:c r="T263" t="s">
        <x:v>44</x:v>
      </x:c>
      <x:c r="U263" t="s">
        <x:v>44</x:v>
      </x:c>
      <x:c r="V263" t="s">
        <x:v>45</x:v>
      </x:c>
      <x:c r="W263" t="s">
        <x:v>46</x:v>
      </x:c>
      <x:c r="X263">
        <x:v>12.71</x:v>
      </x:c>
      <x:c r="Y263" t="s">
        <x:v>621</x:v>
      </x:c>
      <x:c r="Z263" t="s">
        <x:v>48</x:v>
      </x:c>
      <x:c r="AA263" t="s">
        <x:v>49</x:v>
      </x:c>
    </x:row>
    <x:row r="264">
      <x:c r="A264" s="1">
        <x:v>46217</x:v>
      </x:c>
      <x:c r="B264" t="s">
        <x:v>3600</x:v>
      </x:c>
      <x:c r="C264" t="s">
        <x:v>3666</x:v>
      </x:c>
      <x:c r="D264" t="s">
        <x:v>29</x:v>
      </x:c>
      <x:c r="E264" t="s">
        <x:v>3667</x:v>
      </x:c>
      <x:c r="F264" t="s">
        <x:v>31</x:v>
      </x:c>
      <x:c r="G264" t="s">
        <x:v>3668</x:v>
      </x:c>
      <x:c r="H264" t="s">
        <x:v>3669</x:v>
      </x:c>
      <x:c r="I264" t="s">
        <x:v>3670</x:v>
      </x:c>
      <x:c r="J264" t="s">
        <x:v>776</x:v>
      </x:c>
      <x:c r="K264" t="s">
        <x:v>777</x:v>
      </x:c>
      <x:c r="L264" t="s">
        <x:v>37</x:v>
      </x:c>
      <x:c r="M264" t="s">
        <x:v>3671</x:v>
      </x:c>
      <x:c r="N264" t="s">
        <x:v>3672</x:v>
      </x:c>
      <x:c r="O264" t="s">
        <x:v>3669</x:v>
      </x:c>
      <x:c r="P264" t="s">
        <x:v>3673</x:v>
      </x:c>
      <x:c r="Q264" t="s">
        <x:v>835</x:v>
      </x:c>
      <x:c r="R264">
        <x:v>1</x:v>
      </x:c>
      <x:c r="S264" t="s">
        <x:v>42</x:v>
      </x:c>
      <x:c r="T264" t="s">
        <x:v>44</x:v>
      </x:c>
      <x:c r="U264" t="s">
        <x:v>44</x:v>
      </x:c>
      <x:c r="V264" t="s">
        <x:v>45</x:v>
      </x:c>
      <x:c r="W264" t="s">
        <x:v>46</x:v>
      </x:c>
      <x:c r="X264">
        <x:v>50.85</x:v>
      </x:c>
      <x:c r="Y264" t="s">
        <x:v>621</x:v>
      </x:c>
      <x:c r="Z264" t="s">
        <x:v>48</x:v>
      </x:c>
      <x:c r="AA264" t="s">
        <x:v>49</x:v>
      </x:c>
    </x:row>
    <x:row r="265">
      <x:c r="A265" s="1">
        <x:v>46217</x:v>
      </x:c>
      <x:c r="B265" t="s">
        <x:v>3600</x:v>
      </x:c>
      <x:c r="C265" t="s">
        <x:v>3674</x:v>
      </x:c>
      <x:c r="D265" t="s">
        <x:v>29</x:v>
      </x:c>
      <x:c r="E265" t="s">
        <x:v>3675</x:v>
      </x:c>
      <x:c r="F265" t="s">
        <x:v>31</x:v>
      </x:c>
      <x:c r="G265" t="s">
        <x:v>3676</x:v>
      </x:c>
      <x:c r="H265" t="s">
        <x:v>3669</x:v>
      </x:c>
      <x:c r="I265" t="s">
        <x:v>3670</x:v>
      </x:c>
      <x:c r="J265" t="s">
        <x:v>776</x:v>
      </x:c>
      <x:c r="K265" t="s">
        <x:v>777</x:v>
      </x:c>
      <x:c r="L265" t="s">
        <x:v>37</x:v>
      </x:c>
      <x:c r="M265" t="s">
        <x:v>3671</x:v>
      </x:c>
      <x:c r="N265" t="s">
        <x:v>3672</x:v>
      </x:c>
      <x:c r="O265" t="s">
        <x:v>3669</x:v>
      </x:c>
      <x:c r="P265" t="s">
        <x:v>3677</x:v>
      </x:c>
      <x:c r="Q265" t="s">
        <x:v>830</x:v>
      </x:c>
      <x:c r="R265">
        <x:v>1</x:v>
      </x:c>
      <x:c r="S265" t="s">
        <x:v>42</x:v>
      </x:c>
      <x:c r="T265" t="s">
        <x:v>44</x:v>
      </x:c>
      <x:c r="U265" t="s">
        <x:v>44</x:v>
      </x:c>
      <x:c r="V265" t="s">
        <x:v>45</x:v>
      </x:c>
      <x:c r="W265" t="s">
        <x:v>46</x:v>
      </x:c>
      <x:c r="X265">
        <x:v>127.12</x:v>
      </x:c>
      <x:c r="Y265" t="s">
        <x:v>47</x:v>
      </x:c>
      <x:c r="Z265" t="s">
        <x:v>48</x:v>
      </x:c>
      <x:c r="AA265" t="s">
        <x:v>49</x:v>
      </x:c>
    </x:row>
    <x:row r="266">
      <x:c r="A266" s="1">
        <x:v>46217</x:v>
      </x:c>
      <x:c r="B266" t="s">
        <x:v>3600</x:v>
      </x:c>
      <x:c r="C266" t="s">
        <x:v>3678</x:v>
      </x:c>
      <x:c r="D266" t="s">
        <x:v>29</x:v>
      </x:c>
      <x:c r="E266" t="s">
        <x:v>3679</x:v>
      </x:c>
      <x:c r="F266" t="s">
        <x:v>31</x:v>
      </x:c>
      <x:c r="G266" t="s">
        <x:v>3680</x:v>
      </x:c>
      <x:c r="H266" t="s">
        <x:v>3669</x:v>
      </x:c>
      <x:c r="I266" t="s">
        <x:v>3670</x:v>
      </x:c>
      <x:c r="J266" t="s">
        <x:v>776</x:v>
      </x:c>
      <x:c r="K266" t="s">
        <x:v>777</x:v>
      </x:c>
      <x:c r="L266" t="s">
        <x:v>37</x:v>
      </x:c>
      <x:c r="M266" t="s">
        <x:v>3671</x:v>
      </x:c>
      <x:c r="N266" t="s">
        <x:v>3672</x:v>
      </x:c>
      <x:c r="O266" t="s">
        <x:v>3669</x:v>
      </x:c>
      <x:c r="P266" t="s">
        <x:v>3681</x:v>
      </x:c>
      <x:c r="Q266" t="s">
        <x:v>643</x:v>
      </x:c>
      <x:c r="R266">
        <x:v>1</x:v>
      </x:c>
      <x:c r="S266" t="s">
        <x:v>42</x:v>
      </x:c>
      <x:c r="T266" t="s">
        <x:v>44</x:v>
      </x:c>
      <x:c r="U266" t="s">
        <x:v>44</x:v>
      </x:c>
      <x:c r="V266" t="s">
        <x:v>45</x:v>
      </x:c>
      <x:c r="W266" t="s">
        <x:v>46</x:v>
      </x:c>
      <x:c r="X266">
        <x:v>84.75</x:v>
      </x:c>
      <x:c r="Y266" t="s">
        <x:v>47</x:v>
      </x:c>
      <x:c r="Z266" t="s">
        <x:v>48</x:v>
      </x:c>
      <x:c r="AA266" t="s">
        <x:v>49</x:v>
      </x:c>
    </x:row>
    <x:row r="267">
      <x:c r="A267" s="1">
        <x:v>46217</x:v>
      </x:c>
      <x:c r="B267" t="s">
        <x:v>3600</x:v>
      </x:c>
      <x:c r="C267" t="s">
        <x:v>3682</x:v>
      </x:c>
      <x:c r="D267" t="s">
        <x:v>29</x:v>
      </x:c>
      <x:c r="E267" t="s">
        <x:v>341</x:v>
      </x:c>
      <x:c r="F267" t="s">
        <x:v>31</x:v>
      </x:c>
      <x:c r="G267" t="s">
        <x:v>342</x:v>
      </x:c>
      <x:c r="H267" t="s">
        <x:v>3683</x:v>
      </x:c>
      <x:c r="I267" t="s">
        <x:v>3684</x:v>
      </x:c>
      <x:c r="J267" t="s">
        <x:v>776</x:v>
      </x:c>
      <x:c r="K267" t="s">
        <x:v>777</x:v>
      </x:c>
      <x:c r="L267" t="s">
        <x:v>37</x:v>
      </x:c>
      <x:c r="M267" t="s">
        <x:v>3685</x:v>
      </x:c>
      <x:c r="N267" t="s">
        <x:v>3686</x:v>
      </x:c>
      <x:c r="O267" t="s">
        <x:v>3683</x:v>
      </x:c>
      <x:c r="P267" t="s">
        <x:v>3687</x:v>
      </x:c>
      <x:c r="Q267" t="s">
        <x:v>3688</x:v>
      </x:c>
      <x:c r="R267">
        <x:v>1</x:v>
      </x:c>
      <x:c r="S267" t="s">
        <x:v>42</x:v>
      </x:c>
      <x:c r="T267" t="s">
        <x:v>44</x:v>
      </x:c>
      <x:c r="U267" t="s">
        <x:v>44</x:v>
      </x:c>
      <x:c r="V267" t="s">
        <x:v>45</x:v>
      </x:c>
      <x:c r="W267" t="s">
        <x:v>3689</x:v>
      </x:c>
      <x:c r="X267">
        <x:v>84.75</x:v>
      </x:c>
      <x:c r="Y267" t="s">
        <x:v>3690</x:v>
      </x:c>
      <x:c r="Z267" t="s">
        <x:v>48</x:v>
      </x:c>
      <x:c r="AA267" t="s">
        <x:v>49</x:v>
      </x:c>
    </x:row>
    <x:row r="268">
      <x:c r="A268" s="1">
        <x:v>46217</x:v>
      </x:c>
      <x:c r="B268" t="s">
        <x:v>3600</x:v>
      </x:c>
      <x:c r="C268" t="s">
        <x:v>3691</x:v>
      </x:c>
      <x:c r="D268" t="s">
        <x:v>29</x:v>
      </x:c>
      <x:c r="E268" t="s">
        <x:v>3692</x:v>
      </x:c>
      <x:c r="F268" t="s">
        <x:v>31</x:v>
      </x:c>
      <x:c r="G268" t="s">
        <x:v>3693</x:v>
      </x:c>
      <x:c r="H268" t="s">
        <x:v>3694</x:v>
      </x:c>
      <x:c r="I268" t="s">
        <x:v>3695</x:v>
      </x:c>
      <x:c r="J268" t="s">
        <x:v>776</x:v>
      </x:c>
      <x:c r="K268" t="s">
        <x:v>777</x:v>
      </x:c>
      <x:c r="L268" t="s">
        <x:v>37</x:v>
      </x:c>
      <x:c r="M268" t="s">
        <x:v>3696</x:v>
      </x:c>
      <x:c r="N268" t="s">
        <x:v>3697</x:v>
      </x:c>
      <x:c r="O268" t="s">
        <x:v>3694</x:v>
      </x:c>
      <x:c r="P268" t="s">
        <x:v>3698</x:v>
      </x:c>
      <x:c r="Q268" t="s">
        <x:v>643</x:v>
      </x:c>
      <x:c r="R268">
        <x:v>1</x:v>
      </x:c>
      <x:c r="S268" t="s">
        <x:v>42</x:v>
      </x:c>
      <x:c r="T268" t="s">
        <x:v>44</x:v>
      </x:c>
      <x:c r="U268" t="s">
        <x:v>44</x:v>
      </x:c>
      <x:c r="V268" t="s">
        <x:v>45</x:v>
      </x:c>
      <x:c r="W268" t="s">
        <x:v>60</x:v>
      </x:c>
      <x:c r="X268">
        <x:v>84.75</x:v>
      </x:c>
      <x:c r="Y268" t="s">
        <x:v>47</x:v>
      </x:c>
      <x:c r="Z268" t="s">
        <x:v>48</x:v>
      </x:c>
      <x:c r="AA268" t="s">
        <x:v>49</x:v>
      </x:c>
    </x:row>
    <x:row r="269">
      <x:c r="A269" s="1">
        <x:v>46217</x:v>
      </x:c>
      <x:c r="B269" t="s">
        <x:v>3600</x:v>
      </x:c>
      <x:c r="C269" t="s">
        <x:v>3699</x:v>
      </x:c>
      <x:c r="D269" t="s">
        <x:v>269</x:v>
      </x:c>
      <x:c r="E269" t="s">
        <x:v>3700</x:v>
      </x:c>
      <x:c r="F269" t="s">
        <x:v>31</x:v>
      </x:c>
      <x:c r="G269" t="s">
        <x:v>3701</x:v>
      </x:c>
      <x:c r="H269" t="s">
        <x:v>3661</x:v>
      </x:c>
      <x:c r="I269" t="s">
        <x:v>3662</x:v>
      </x:c>
      <x:c r="J269" t="s">
        <x:v>776</x:v>
      </x:c>
      <x:c r="K269" t="s">
        <x:v>777</x:v>
      </x:c>
      <x:c r="L269" t="s">
        <x:v>37</x:v>
      </x:c>
      <x:c r="M269" t="s">
        <x:v>3663</x:v>
      </x:c>
      <x:c r="N269" t="s">
        <x:v>3664</x:v>
      </x:c>
      <x:c r="O269" t="s">
        <x:v>800</x:v>
      </x:c>
      <x:c r="P269" t="s">
        <x:v>3702</x:v>
      </x:c>
      <x:c r="Q269" t="s">
        <x:v>289</x:v>
      </x:c>
      <x:c r="R269">
        <x:v>1</x:v>
      </x:c>
      <x:c r="S269" t="s">
        <x:v>42</x:v>
      </x:c>
      <x:c r="T269" t="s">
        <x:v>44</x:v>
      </x:c>
      <x:c r="U269" t="s">
        <x:v>44</x:v>
      </x:c>
      <x:c r="V269" t="s">
        <x:v>45</x:v>
      </x:c>
      <x:c r="W269" t="s">
        <x:v>60</x:v>
      </x:c>
      <x:c r="X269">
        <x:v>0</x:v>
      </x:c>
      <x:c r="Y269" t="s">
        <x:v>290</x:v>
      </x:c>
      <x:c r="Z269" t="s">
        <x:v>48</x:v>
      </x:c>
      <x:c r="AA269" t="s">
        <x:v>49</x:v>
      </x:c>
    </x:row>
    <x:row r="270">
      <x:c r="A270" s="1">
        <x:v>46217</x:v>
      </x:c>
      <x:c r="B270" t="s">
        <x:v>3600</x:v>
      </x:c>
      <x:c r="C270" t="s">
        <x:v>3699</x:v>
      </x:c>
      <x:c r="D270" t="s">
        <x:v>269</x:v>
      </x:c>
      <x:c r="E270" t="s">
        <x:v>3700</x:v>
      </x:c>
      <x:c r="F270" t="s">
        <x:v>31</x:v>
      </x:c>
      <x:c r="G270" t="s">
        <x:v>3701</x:v>
      </x:c>
      <x:c r="H270" t="s">
        <x:v>3661</x:v>
      </x:c>
      <x:c r="I270" t="s">
        <x:v>3662</x:v>
      </x:c>
      <x:c r="J270" t="s">
        <x:v>776</x:v>
      </x:c>
      <x:c r="K270" t="s">
        <x:v>777</x:v>
      </x:c>
      <x:c r="L270" t="s">
        <x:v>37</x:v>
      </x:c>
      <x:c r="M270" t="s">
        <x:v>3663</x:v>
      </x:c>
      <x:c r="N270" t="s">
        <x:v>3664</x:v>
      </x:c>
      <x:c r="O270" t="s">
        <x:v>800</x:v>
      </x:c>
      <x:c r="P270" t="s">
        <x:v>3702</x:v>
      </x:c>
      <x:c r="Q270" t="s">
        <x:v>1624</x:v>
      </x:c>
      <x:c r="R270">
        <x:v>1</x:v>
      </x:c>
      <x:c r="S270" t="s">
        <x:v>42</x:v>
      </x:c>
      <x:c r="T270" t="s">
        <x:v>44</x:v>
      </x:c>
      <x:c r="U270" t="s">
        <x:v>44</x:v>
      </x:c>
      <x:c r="V270" t="s">
        <x:v>45</x:v>
      </x:c>
      <x:c r="W270" t="s">
        <x:v>60</x:v>
      </x:c>
      <x:c r="X270">
        <x:v>762.71</x:v>
      </x:c>
      <x:c r="Y270" t="s">
        <x:v>290</x:v>
      </x:c>
      <x:c r="Z270" t="s">
        <x:v>48</x:v>
      </x:c>
      <x:c r="AA270" t="s">
        <x:v>49</x:v>
      </x:c>
    </x:row>
    <x:row r="271">
      <x:c r="A271" s="1">
        <x:v>46217</x:v>
      </x:c>
      <x:c r="B271" t="s">
        <x:v>3600</x:v>
      </x:c>
      <x:c r="C271" t="s">
        <x:v>3703</x:v>
      </x:c>
      <x:c r="D271" t="s">
        <x:v>269</x:v>
      </x:c>
      <x:c r="E271" t="s">
        <x:v>3704</x:v>
      </x:c>
      <x:c r="F271" t="s">
        <x:v>31</x:v>
      </x:c>
      <x:c r="G271" t="s">
        <x:v>3705</x:v>
      </x:c>
      <x:c r="H271" t="s">
        <x:v>3683</x:v>
      </x:c>
      <x:c r="I271" t="s">
        <x:v>3684</x:v>
      </x:c>
      <x:c r="J271" t="s">
        <x:v>776</x:v>
      </x:c>
      <x:c r="K271" t="s">
        <x:v>777</x:v>
      </x:c>
      <x:c r="L271" t="s">
        <x:v>37</x:v>
      </x:c>
      <x:c r="M271" t="s">
        <x:v>3685</x:v>
      </x:c>
      <x:c r="N271" t="s">
        <x:v>3686</x:v>
      </x:c>
      <x:c r="O271" t="s">
        <x:v>800</x:v>
      </x:c>
      <x:c r="P271" t="s">
        <x:v>3706</x:v>
      </x:c>
      <x:c r="Q271" t="s">
        <x:v>289</x:v>
      </x:c>
      <x:c r="R271">
        <x:v>1</x:v>
      </x:c>
      <x:c r="S271" t="s">
        <x:v>42</x:v>
      </x:c>
      <x:c r="T271" t="s">
        <x:v>44</x:v>
      </x:c>
      <x:c r="U271" t="s">
        <x:v>44</x:v>
      </x:c>
      <x:c r="V271" t="s">
        <x:v>45</x:v>
      </x:c>
      <x:c r="W271" t="s">
        <x:v>60</x:v>
      </x:c>
      <x:c r="X271">
        <x:v>0</x:v>
      </x:c>
      <x:c r="Y271" t="s">
        <x:v>290</x:v>
      </x:c>
      <x:c r="Z271" t="s">
        <x:v>48</x:v>
      </x:c>
      <x:c r="AA271" t="s">
        <x:v>49</x:v>
      </x:c>
    </x:row>
    <x:row r="272">
      <x:c r="A272" s="1">
        <x:v>46217</x:v>
      </x:c>
      <x:c r="B272" t="s">
        <x:v>3600</x:v>
      </x:c>
      <x:c r="C272" t="s">
        <x:v>3703</x:v>
      </x:c>
      <x:c r="D272" t="s">
        <x:v>269</x:v>
      </x:c>
      <x:c r="E272" t="s">
        <x:v>3704</x:v>
      </x:c>
      <x:c r="F272" t="s">
        <x:v>31</x:v>
      </x:c>
      <x:c r="G272" t="s">
        <x:v>3705</x:v>
      </x:c>
      <x:c r="H272" t="s">
        <x:v>3683</x:v>
      </x:c>
      <x:c r="I272" t="s">
        <x:v>3684</x:v>
      </x:c>
      <x:c r="J272" t="s">
        <x:v>776</x:v>
      </x:c>
      <x:c r="K272" t="s">
        <x:v>777</x:v>
      </x:c>
      <x:c r="L272" t="s">
        <x:v>37</x:v>
      </x:c>
      <x:c r="M272" t="s">
        <x:v>3685</x:v>
      </x:c>
      <x:c r="N272" t="s">
        <x:v>3686</x:v>
      </x:c>
      <x:c r="O272" t="s">
        <x:v>800</x:v>
      </x:c>
      <x:c r="P272" t="s">
        <x:v>3706</x:v>
      </x:c>
      <x:c r="Q272" t="s">
        <x:v>1624</x:v>
      </x:c>
      <x:c r="R272">
        <x:v>1</x:v>
      </x:c>
      <x:c r="S272" t="s">
        <x:v>42</x:v>
      </x:c>
      <x:c r="T272" t="s">
        <x:v>44</x:v>
      </x:c>
      <x:c r="U272" t="s">
        <x:v>44</x:v>
      </x:c>
      <x:c r="V272" t="s">
        <x:v>45</x:v>
      </x:c>
      <x:c r="W272" t="s">
        <x:v>60</x:v>
      </x:c>
      <x:c r="X272">
        <x:v>1525.42</x:v>
      </x:c>
      <x:c r="Y272" t="s">
        <x:v>290</x:v>
      </x:c>
      <x:c r="Z272" t="s">
        <x:v>48</x:v>
      </x:c>
      <x:c r="AA272" t="s">
        <x:v>49</x:v>
      </x:c>
    </x:row>
    <x:row r="273">
      <x:c r="A273" s="1">
        <x:v>46217</x:v>
      </x:c>
      <x:c r="B273" t="s">
        <x:v>3600</x:v>
      </x:c>
      <x:c r="C273" t="s">
        <x:v>3707</x:v>
      </x:c>
      <x:c r="D273" t="s">
        <x:v>269</x:v>
      </x:c>
      <x:c r="E273" t="s">
        <x:v>3708</x:v>
      </x:c>
      <x:c r="F273" t="s">
        <x:v>31</x:v>
      </x:c>
      <x:c r="G273" t="s">
        <x:v>3709</x:v>
      </x:c>
      <x:c r="H273" t="s">
        <x:v>3694</x:v>
      </x:c>
      <x:c r="I273" t="s">
        <x:v>3695</x:v>
      </x:c>
      <x:c r="J273" t="s">
        <x:v>776</x:v>
      </x:c>
      <x:c r="K273" t="s">
        <x:v>777</x:v>
      </x:c>
      <x:c r="L273" t="s">
        <x:v>37</x:v>
      </x:c>
      <x:c r="M273" t="s">
        <x:v>3696</x:v>
      </x:c>
      <x:c r="N273" t="s">
        <x:v>3697</x:v>
      </x:c>
      <x:c r="O273" t="s">
        <x:v>800</x:v>
      </x:c>
      <x:c r="P273" t="s">
        <x:v>3710</x:v>
      </x:c>
      <x:c r="Q273" t="s">
        <x:v>289</x:v>
      </x:c>
      <x:c r="R273">
        <x:v>1</x:v>
      </x:c>
      <x:c r="S273" t="s">
        <x:v>42</x:v>
      </x:c>
      <x:c r="T273" t="s">
        <x:v>44</x:v>
      </x:c>
      <x:c r="U273" t="s">
        <x:v>44</x:v>
      </x:c>
      <x:c r="V273" t="s">
        <x:v>45</x:v>
      </x:c>
      <x:c r="W273" t="s">
        <x:v>60</x:v>
      </x:c>
      <x:c r="X273">
        <x:v>0</x:v>
      </x:c>
      <x:c r="Y273" t="s">
        <x:v>290</x:v>
      </x:c>
      <x:c r="Z273" t="s">
        <x:v>48</x:v>
      </x:c>
      <x:c r="AA273" t="s">
        <x:v>49</x:v>
      </x:c>
    </x:row>
    <x:row r="274">
      <x:c r="A274" s="1">
        <x:v>46217</x:v>
      </x:c>
      <x:c r="B274" t="s">
        <x:v>3600</x:v>
      </x:c>
      <x:c r="C274" t="s">
        <x:v>3707</x:v>
      </x:c>
      <x:c r="D274" t="s">
        <x:v>269</x:v>
      </x:c>
      <x:c r="E274" t="s">
        <x:v>3708</x:v>
      </x:c>
      <x:c r="F274" t="s">
        <x:v>31</x:v>
      </x:c>
      <x:c r="G274" t="s">
        <x:v>3709</x:v>
      </x:c>
      <x:c r="H274" t="s">
        <x:v>3694</x:v>
      </x:c>
      <x:c r="I274" t="s">
        <x:v>3695</x:v>
      </x:c>
      <x:c r="J274" t="s">
        <x:v>776</x:v>
      </x:c>
      <x:c r="K274" t="s">
        <x:v>777</x:v>
      </x:c>
      <x:c r="L274" t="s">
        <x:v>37</x:v>
      </x:c>
      <x:c r="M274" t="s">
        <x:v>3696</x:v>
      </x:c>
      <x:c r="N274" t="s">
        <x:v>3697</x:v>
      </x:c>
      <x:c r="O274" t="s">
        <x:v>800</x:v>
      </x:c>
      <x:c r="P274" t="s">
        <x:v>3710</x:v>
      </x:c>
      <x:c r="Q274" t="s">
        <x:v>1624</x:v>
      </x:c>
      <x:c r="R274">
        <x:v>1</x:v>
      </x:c>
      <x:c r="S274" t="s">
        <x:v>42</x:v>
      </x:c>
      <x:c r="T274" t="s">
        <x:v>44</x:v>
      </x:c>
      <x:c r="U274" t="s">
        <x:v>44</x:v>
      </x:c>
      <x:c r="V274" t="s">
        <x:v>45</x:v>
      </x:c>
      <x:c r="W274" t="s">
        <x:v>60</x:v>
      </x:c>
      <x:c r="X274">
        <x:v>762.71</x:v>
      </x:c>
      <x:c r="Y274" t="s">
        <x:v>290</x:v>
      </x:c>
      <x:c r="Z274" t="s">
        <x:v>48</x:v>
      </x:c>
      <x:c r="AA274" t="s">
        <x:v>49</x:v>
      </x:c>
    </x:row>
    <x:row r="275">
      <x:c r="A275" s="1">
        <x:v>46217</x:v>
      </x:c>
      <x:c r="B275" t="s">
        <x:v>3600</x:v>
      </x:c>
      <x:c r="C275" t="s">
        <x:v>3711</x:v>
      </x:c>
      <x:c r="D275" t="s">
        <x:v>29</x:v>
      </x:c>
      <x:c r="E275" t="s">
        <x:v>3712</x:v>
      </x:c>
      <x:c r="F275" t="s">
        <x:v>31</x:v>
      </x:c>
      <x:c r="G275" t="s">
        <x:v>3713</x:v>
      </x:c>
      <x:c r="H275" t="s">
        <x:v>3683</x:v>
      </x:c>
      <x:c r="I275" t="s">
        <x:v>3684</x:v>
      </x:c>
      <x:c r="J275" t="s">
        <x:v>776</x:v>
      </x:c>
      <x:c r="K275" t="s">
        <x:v>777</x:v>
      </x:c>
      <x:c r="L275" t="s">
        <x:v>37</x:v>
      </x:c>
      <x:c r="M275" t="s">
        <x:v>3685</x:v>
      </x:c>
      <x:c r="N275" t="s">
        <x:v>3686</x:v>
      </x:c>
      <x:c r="O275" t="s">
        <x:v>3683</x:v>
      </x:c>
      <x:c r="P275" t="s">
        <x:v>3714</x:v>
      </x:c>
      <x:c r="Q275" t="s">
        <x:v>643</x:v>
      </x:c>
      <x:c r="R275">
        <x:v>1</x:v>
      </x:c>
      <x:c r="S275" t="s">
        <x:v>42</x:v>
      </x:c>
      <x:c r="T275" t="s">
        <x:v>44</x:v>
      </x:c>
      <x:c r="U275" t="s">
        <x:v>44</x:v>
      </x:c>
      <x:c r="V275" t="s">
        <x:v>45</x:v>
      </x:c>
      <x:c r="W275" t="s">
        <x:v>60</x:v>
      </x:c>
      <x:c r="X275">
        <x:v>84.75</x:v>
      </x:c>
      <x:c r="Y275" t="s">
        <x:v>47</x:v>
      </x:c>
      <x:c r="Z275" t="s">
        <x:v>48</x:v>
      </x:c>
      <x:c r="AA275" t="s">
        <x:v>49</x:v>
      </x:c>
    </x:row>
    <x:row r="276">
      <x:c r="A276" s="1">
        <x:v>46218</x:v>
      </x:c>
      <x:c r="B276" t="s">
        <x:v>3600</x:v>
      </x:c>
      <x:c r="C276" t="s">
        <x:v>3715</x:v>
      </x:c>
      <x:c r="D276" t="s">
        <x:v>269</x:v>
      </x:c>
      <x:c r="E276" t="s">
        <x:v>3716</x:v>
      </x:c>
      <x:c r="F276" t="s">
        <x:v>31</x:v>
      </x:c>
      <x:c r="G276" t="s">
        <x:v>3717</x:v>
      </x:c>
      <x:c r="H276" t="s">
        <x:v>2217</x:v>
      </x:c>
      <x:c r="I276" t="s">
        <x:v>2218</x:v>
      </x:c>
      <x:c r="J276" t="s">
        <x:v>274</x:v>
      </x:c>
      <x:c r="K276" t="s">
        <x:v>275</x:v>
      </x:c>
      <x:c r="L276" t="s">
        <x:v>37</x:v>
      </x:c>
      <x:c r="M276" t="s">
        <x:v>2219</x:v>
      </x:c>
      <x:c r="N276" t="s">
        <x:v>2220</x:v>
      </x:c>
      <x:c r="O276" t="s">
        <x:v>278</x:v>
      </x:c>
      <x:c r="P276" t="s">
        <x:v>3718</x:v>
      </x:c>
      <x:c r="Q276" t="s">
        <x:v>202</x:v>
      </x:c>
      <x:c r="R276">
        <x:v>1</x:v>
      </x:c>
      <x:c r="S276" t="s">
        <x:v>42</x:v>
      </x:c>
      <x:c r="T276" t="s">
        <x:v>44</x:v>
      </x:c>
      <x:c r="U276" t="s">
        <x:v>44</x:v>
      </x:c>
      <x:c r="V276" t="s">
        <x:v>45</x:v>
      </x:c>
      <x:c r="W276" t="s">
        <x:v>46</x:v>
      </x:c>
      <x:c r="X276">
        <x:v>152.54</x:v>
      </x:c>
      <x:c r="Y276" t="s">
        <x:v>47</x:v>
      </x:c>
      <x:c r="Z276" t="s">
        <x:v>48</x:v>
      </x:c>
      <x:c r="AA276" t="s">
        <x:v>49</x:v>
      </x:c>
      <x:c r="AB276">
        <x:v>950133748</x:v>
      </x:c>
      <x:c r="AC276" t="s">
        <x:v>280</x:v>
      </x:c>
      <x:c r="AD276">
        <x:v>30</x:v>
      </x:c>
    </x:row>
    <x:row r="277">
      <x:c r="A277" s="1">
        <x:v>46219</x:v>
      </x:c>
      <x:c r="B277" t="s">
        <x:v>3600</x:v>
      </x:c>
      <x:c r="C277" t="s">
        <x:v>3719</x:v>
      </x:c>
      <x:c r="D277" t="s">
        <x:v>29</x:v>
      </x:c>
      <x:c r="E277" t="s">
        <x:v>3720</x:v>
      </x:c>
      <x:c r="F277" t="s">
        <x:v>31</x:v>
      </x:c>
      <x:c r="G277" t="s">
        <x:v>3721</x:v>
      </x:c>
      <x:c r="H277" t="s">
        <x:v>3722</x:v>
      </x:c>
      <x:c r="I277" t="s">
        <x:v>3723</x:v>
      </x:c>
      <x:c r="J277" t="s">
        <x:v>412</x:v>
      </x:c>
      <x:c r="K277" t="s">
        <x:v>413</x:v>
      </x:c>
      <x:c r="L277" t="s">
        <x:v>37</x:v>
      </x:c>
      <x:c r="M277" t="s">
        <x:v>3724</x:v>
      </x:c>
      <x:c r="N277" t="s">
        <x:v>3725</x:v>
      </x:c>
      <x:c r="O277" t="s">
        <x:v>3722</x:v>
      </x:c>
      <x:c r="P277" t="s">
        <x:v>3726</x:v>
      </x:c>
      <x:c r="Q277" t="s">
        <x:v>160</x:v>
      </x:c>
      <x:c r="R277">
        <x:v>1</x:v>
      </x:c>
      <x:c r="S277" t="s">
        <x:v>42</x:v>
      </x:c>
      <x:c r="T277" t="s">
        <x:v>44</x:v>
      </x:c>
      <x:c r="U277" t="s">
        <x:v>44</x:v>
      </x:c>
      <x:c r="V277" t="s">
        <x:v>45</x:v>
      </x:c>
      <x:c r="W277" t="s">
        <x:v>46</x:v>
      </x:c>
      <x:c r="X277">
        <x:v>135.59</x:v>
      </x:c>
      <x:c r="Y277" t="s">
        <x:v>47</x:v>
      </x:c>
      <x:c r="Z277" t="s">
        <x:v>48</x:v>
      </x:c>
      <x:c r="AA277" t="s">
        <x:v>49</x:v>
      </x:c>
      <x:c r="AB277">
        <x:v>982673362</x:v>
      </x:c>
      <x:c r="AC277" t="s">
        <x:v>417</x:v>
      </x:c>
      <x:c r="AD277">
        <x:v>30</x:v>
      </x:c>
    </x:row>
    <x:row r="278">
      <x:c r="A278" s="1">
        <x:v>46219</x:v>
      </x:c>
      <x:c r="B278" t="s">
        <x:v>3600</x:v>
      </x:c>
      <x:c r="C278" t="s">
        <x:v>3727</x:v>
      </x:c>
      <x:c r="D278" t="s">
        <x:v>29</x:v>
      </x:c>
      <x:c r="E278" t="s">
        <x:v>3728</x:v>
      </x:c>
      <x:c r="F278" t="s">
        <x:v>31</x:v>
      </x:c>
      <x:c r="G278" t="s">
        <x:v>3729</x:v>
      </x:c>
      <x:c r="H278" t="s">
        <x:v>3730</x:v>
      </x:c>
      <x:c r="I278" t="s">
        <x:v>3731</x:v>
      </x:c>
      <x:c r="J278" t="s">
        <x:v>2048</x:v>
      </x:c>
      <x:c r="K278" t="s">
        <x:v>2049</x:v>
      </x:c>
      <x:c r="L278" t="s">
        <x:v>37</x:v>
      </x:c>
      <x:c r="M278" t="s">
        <x:v>3732</x:v>
      </x:c>
      <x:c r="N278" t="s">
        <x:v>3733</x:v>
      </x:c>
      <x:c r="O278" t="s">
        <x:v>3730</x:v>
      </x:c>
      <x:c r="P278" t="s">
        <x:v>3734</x:v>
      </x:c>
      <x:c r="Q278" t="s">
        <x:v>102</x:v>
      </x:c>
      <x:c r="R278">
        <x:v>1</x:v>
      </x:c>
      <x:c r="S278" t="s">
        <x:v>42</x:v>
      </x:c>
      <x:c r="T278" t="s">
        <x:v>44</x:v>
      </x:c>
      <x:c r="U278" t="s">
        <x:v>44</x:v>
      </x:c>
      <x:c r="V278" t="s">
        <x:v>45</x:v>
      </x:c>
      <x:c r="W278" t="s">
        <x:v>46</x:v>
      </x:c>
      <x:c r="X278">
        <x:v>186.44</x:v>
      </x:c>
      <x:c r="Y278" t="s">
        <x:v>47</x:v>
      </x:c>
      <x:c r="Z278" t="s">
        <x:v>48</x:v>
      </x:c>
      <x:c r="AA278" t="s">
        <x:v>49</x:v>
      </x:c>
      <x:c r="AB278">
        <x:v>986661693</x:v>
      </x:c>
      <x:c r="AC278" t="s">
        <x:v>2053</x:v>
      </x:c>
      <x:c r="AD278">
        <x:v>50</x:v>
      </x:c>
    </x:row>
    <x:row r="279">
      <x:c r="A279" s="1">
        <x:v>46219</x:v>
      </x:c>
      <x:c r="B279" t="s">
        <x:v>3600</x:v>
      </x:c>
      <x:c r="C279" t="s">
        <x:v>3735</x:v>
      </x:c>
      <x:c r="D279" t="s">
        <x:v>29</x:v>
      </x:c>
      <x:c r="E279" t="s">
        <x:v>3736</x:v>
      </x:c>
      <x:c r="F279" t="s">
        <x:v>31</x:v>
      </x:c>
      <x:c r="G279" t="s">
        <x:v>3737</x:v>
      </x:c>
      <x:c r="H279" t="s">
        <x:v>3738</x:v>
      </x:c>
      <x:c r="I279" t="s">
        <x:v>3739</x:v>
      </x:c>
      <x:c r="J279" t="s">
        <x:v>1075</x:v>
      </x:c>
      <x:c r="K279" t="s">
        <x:v>98</x:v>
      </x:c>
      <x:c r="L279" t="s">
        <x:v>37</x:v>
      </x:c>
      <x:c r="M279" t="s">
        <x:v>3740</x:v>
      </x:c>
      <x:c r="N279" t="s">
        <x:v>3741</x:v>
      </x:c>
      <x:c r="O279" t="s">
        <x:v>3738</x:v>
      </x:c>
      <x:c r="P279" t="s">
        <x:v>3742</x:v>
      </x:c>
      <x:c r="Q279" t="s">
        <x:v>91</x:v>
      </x:c>
      <x:c r="R279">
        <x:v>1</x:v>
      </x:c>
      <x:c r="S279" t="s">
        <x:v>70</x:v>
      </x:c>
      <x:c r="T279" t="s">
        <x:v>43</x:v>
      </x:c>
      <x:c r="U279" t="s">
        <x:v>44</x:v>
      </x:c>
      <x:c r="V279" t="s">
        <x:v>71</x:v>
      </x:c>
      <x:c r="W279" t="s">
        <x:v>72</x:v>
      </x:c>
      <x:c r="X279">
        <x:v>135.59</x:v>
      </x:c>
      <x:c r="Y279" t="s">
        <x:v>47</x:v>
      </x:c>
      <x:c r="Z279" t="s">
        <x:v>48</x:v>
      </x:c>
      <x:c r="AA279" t="s">
        <x:v>73</x:v>
      </x:c>
      <x:c r="AB279">
        <x:v>999986041</x:v>
      </x:c>
      <x:c r="AC279" t="s">
        <x:v>1079</x:v>
      </x:c>
      <x:c r="AD279">
        <x:v>30</x:v>
      </x:c>
    </x:row>
    <x:row r="280">
      <x:c r="A280" s="1">
        <x:v>46219</x:v>
      </x:c>
      <x:c r="B280" t="s">
        <x:v>3600</x:v>
      </x:c>
      <x:c r="C280" t="s">
        <x:v>3743</x:v>
      </x:c>
      <x:c r="D280" t="s">
        <x:v>269</x:v>
      </x:c>
      <x:c r="E280" t="s">
        <x:v>3744</x:v>
      </x:c>
      <x:c r="F280" t="s">
        <x:v>31</x:v>
      </x:c>
      <x:c r="G280" t="s">
        <x:v>3745</x:v>
      </x:c>
      <x:c r="H280" t="s">
        <x:v>3746</x:v>
      </x:c>
      <x:c r="I280" t="s">
        <x:v>3747</x:v>
      </x:c>
      <x:c r="J280" t="s">
        <x:v>2258</x:v>
      </x:c>
      <x:c r="K280" t="s">
        <x:v>36</x:v>
      </x:c>
      <x:c r="L280" t="s">
        <x:v>37</x:v>
      </x:c>
      <x:c r="M280" t="s">
        <x:v>3748</x:v>
      </x:c>
      <x:c r="N280" t="s">
        <x:v>3749</x:v>
      </x:c>
      <x:c r="O280" t="s">
        <x:v>2258</x:v>
      </x:c>
      <x:c r="P280" t="s">
        <x:v>3750</x:v>
      </x:c>
      <x:c r="Q280" t="s">
        <x:v>482</x:v>
      </x:c>
      <x:c r="R280">
        <x:v>2</x:v>
      </x:c>
      <x:c r="S280" t="s">
        <x:v>42</x:v>
      </x:c>
      <x:c r="T280" t="s">
        <x:v>44</x:v>
      </x:c>
      <x:c r="U280" t="s">
        <x:v>44</x:v>
      </x:c>
      <x:c r="V280" t="s">
        <x:v>45</x:v>
      </x:c>
      <x:c r="W280" t="s">
        <x:v>46</x:v>
      </x:c>
      <x:c r="X280">
        <x:v>203.39</x:v>
      </x:c>
      <x:c r="Y280" t="s">
        <x:v>61</x:v>
      </x:c>
      <x:c r="Z280" t="s">
        <x:v>48</x:v>
      </x:c>
      <x:c r="AA280" t="s">
        <x:v>49</x:v>
      </x:c>
    </x:row>
    <x:row r="281">
      <x:c r="A281" s="1">
        <x:v>46220</x:v>
      </x:c>
      <x:c r="B281" t="s">
        <x:v>3600</x:v>
      </x:c>
      <x:c r="C281" t="s">
        <x:v>3751</x:v>
      </x:c>
      <x:c r="D281" t="s">
        <x:v>29</x:v>
      </x:c>
      <x:c r="E281" t="s">
        <x:v>3752</x:v>
      </x:c>
      <x:c r="F281" t="s">
        <x:v>31</x:v>
      </x:c>
      <x:c r="G281" t="s">
        <x:v>3753</x:v>
      </x:c>
      <x:c r="H281" t="s">
        <x:v>3754</x:v>
      </x:c>
      <x:c r="I281" t="s">
        <x:v>3755</x:v>
      </x:c>
      <x:c r="L281" t="s">
        <x:v>37</x:v>
      </x:c>
      <x:c r="M281" t="s">
        <x:v>3756</x:v>
      </x:c>
      <x:c r="N281" t="s">
        <x:v>3757</x:v>
      </x:c>
      <x:c r="O281" t="s">
        <x:v>3754</x:v>
      </x:c>
      <x:c r="P281" t="s">
        <x:v>3758</x:v>
      </x:c>
      <x:c r="Q281" t="s">
        <x:v>91</x:v>
      </x:c>
      <x:c r="R281">
        <x:v>1</x:v>
      </x:c>
      <x:c r="S281" t="s">
        <x:v>42</x:v>
      </x:c>
      <x:c r="T281" t="s">
        <x:v>44</x:v>
      </x:c>
      <x:c r="U281" t="s">
        <x:v>44</x:v>
      </x:c>
      <x:c r="V281" t="s">
        <x:v>45</x:v>
      </x:c>
      <x:c r="W281" t="s">
        <x:v>60</x:v>
      </x:c>
      <x:c r="X281">
        <x:v>135.59</x:v>
      </x:c>
      <x:c r="Y281" t="s">
        <x:v>47</x:v>
      </x:c>
      <x:c r="Z281" t="s">
        <x:v>48</x:v>
      </x:c>
      <x:c r="AA281" t="s">
        <x:v>49</x:v>
      </x:c>
      <x:c r="AD281">
        <x:v>30</x:v>
      </x:c>
    </x:row>
    <x:row r="282">
      <x:c r="A282" s="1">
        <x:v>46221</x:v>
      </x:c>
      <x:c r="B282" t="s">
        <x:v>3600</x:v>
      </x:c>
      <x:c r="C282" t="s">
        <x:v>3759</x:v>
      </x:c>
      <x:c r="D282" t="s">
        <x:v>29</x:v>
      </x:c>
      <x:c r="E282" t="s">
        <x:v>3760</x:v>
      </x:c>
      <x:c r="F282" t="s">
        <x:v>31</x:v>
      </x:c>
      <x:c r="G282" t="s">
        <x:v>3761</x:v>
      </x:c>
      <x:c r="H282" t="s">
        <x:v>3762</x:v>
      </x:c>
      <x:c r="I282" t="s">
        <x:v>3763</x:v>
      </x:c>
      <x:c r="J282" t="s">
        <x:v>3084</x:v>
      </x:c>
      <x:c r="K282" t="s">
        <x:v>3087</x:v>
      </x:c>
      <x:c r="L282" t="s">
        <x:v>37</x:v>
      </x:c>
      <x:c r="M282" t="s">
        <x:v>3764</x:v>
      </x:c>
      <x:c r="N282" t="s">
        <x:v>3765</x:v>
      </x:c>
      <x:c r="O282" t="s">
        <x:v>3762</x:v>
      </x:c>
      <x:c r="P282" t="s">
        <x:v>3766</x:v>
      </x:c>
      <x:c r="Q282" t="s">
        <x:v>131</x:v>
      </x:c>
      <x:c r="R282">
        <x:v>1</x:v>
      </x:c>
      <x:c r="S282" t="s">
        <x:v>42</x:v>
      </x:c>
      <x:c r="T282" t="s">
        <x:v>44</x:v>
      </x:c>
      <x:c r="U282" t="s">
        <x:v>44</x:v>
      </x:c>
      <x:c r="V282" t="s">
        <x:v>45</x:v>
      </x:c>
      <x:c r="W282" t="s">
        <x:v>60</x:v>
      </x:c>
      <x:c r="X282">
        <x:v>152.54</x:v>
      </x:c>
      <x:c r="Y282" t="s">
        <x:v>47</x:v>
      </x:c>
      <x:c r="Z282" t="s">
        <x:v>48</x:v>
      </x:c>
      <x:c r="AA282" t="s">
        <x:v>49</x:v>
      </x:c>
      <x:c r="AB282">
        <x:v>940621858</x:v>
      </x:c>
      <x:c r="AC282" t="s">
        <x:v>3085</x:v>
      </x:c>
      <x:c r="AD282">
        <x:v>30</x:v>
      </x:c>
    </x:row>
    <x:row r="283">
      <x:c r="A283" s="1">
        <x:v>46221</x:v>
      </x:c>
      <x:c r="B283" t="s">
        <x:v>3600</x:v>
      </x:c>
      <x:c r="C283" t="s">
        <x:v>3759</x:v>
      </x:c>
      <x:c r="D283" t="s">
        <x:v>29</x:v>
      </x:c>
      <x:c r="E283" t="s">
        <x:v>3760</x:v>
      </x:c>
      <x:c r="F283" t="s">
        <x:v>31</x:v>
      </x:c>
      <x:c r="G283" t="s">
        <x:v>3761</x:v>
      </x:c>
      <x:c r="H283" t="s">
        <x:v>3762</x:v>
      </x:c>
      <x:c r="I283" t="s">
        <x:v>3763</x:v>
      </x:c>
      <x:c r="J283" t="s">
        <x:v>3084</x:v>
      </x:c>
      <x:c r="K283" t="s">
        <x:v>3087</x:v>
      </x:c>
      <x:c r="L283" t="s">
        <x:v>37</x:v>
      </x:c>
      <x:c r="M283" t="s">
        <x:v>3764</x:v>
      </x:c>
      <x:c r="N283" t="s">
        <x:v>3765</x:v>
      </x:c>
      <x:c r="O283" t="s">
        <x:v>3762</x:v>
      </x:c>
      <x:c r="P283" t="s">
        <x:v>3766</x:v>
      </x:c>
      <x:c r="Q283" t="s">
        <x:v>203</x:v>
      </x:c>
      <x:c r="R283">
        <x:v>1</x:v>
      </x:c>
      <x:c r="S283" t="s">
        <x:v>42</x:v>
      </x:c>
      <x:c r="T283" t="s">
        <x:v>44</x:v>
      </x:c>
      <x:c r="U283" t="s">
        <x:v>44</x:v>
      </x:c>
      <x:c r="V283" t="s">
        <x:v>45</x:v>
      </x:c>
      <x:c r="W283" t="s">
        <x:v>60</x:v>
      </x:c>
      <x:c r="X283">
        <x:v>135.59</x:v>
      </x:c>
      <x:c r="Y283" t="s">
        <x:v>47</x:v>
      </x:c>
      <x:c r="Z283" t="s">
        <x:v>48</x:v>
      </x:c>
      <x:c r="AA283" t="s">
        <x:v>49</x:v>
      </x:c>
      <x:c r="AB283">
        <x:v>940621858</x:v>
      </x:c>
      <x:c r="AC283" t="s">
        <x:v>3085</x:v>
      </x:c>
      <x:c r="AD283">
        <x:v>30</x:v>
      </x:c>
    </x:row>
    <x:row r="284">
      <x:c r="A284" s="1">
        <x:v>46223</x:v>
      </x:c>
      <x:c r="B284" t="s">
        <x:v>3600</x:v>
      </x:c>
      <x:c r="C284" t="s">
        <x:v>3767</x:v>
      </x:c>
      <x:c r="D284" t="s">
        <x:v>29</x:v>
      </x:c>
      <x:c r="E284" t="s">
        <x:v>3768</x:v>
      </x:c>
      <x:c r="F284" t="s">
        <x:v>31</x:v>
      </x:c>
      <x:c r="G284" t="s">
        <x:v>3769</x:v>
      </x:c>
      <x:c r="H284" t="s">
        <x:v>3770</x:v>
      </x:c>
      <x:c r="I284" t="s">
        <x:v>3771</x:v>
      </x:c>
      <x:c r="J284" t="s">
        <x:v>435</x:v>
      </x:c>
      <x:c r="K284" t="s">
        <x:v>436</x:v>
      </x:c>
      <x:c r="L284" t="s">
        <x:v>37</x:v>
      </x:c>
      <x:c r="M284" t="s">
        <x:v>3772</x:v>
      </x:c>
      <x:c r="N284" t="s">
        <x:v>3773</x:v>
      </x:c>
      <x:c r="O284" t="s">
        <x:v>3770</x:v>
      </x:c>
      <x:c r="P284" t="s">
        <x:v>3774</x:v>
      </x:c>
      <x:c r="Q284" t="s">
        <x:v>41</x:v>
      </x:c>
      <x:c r="R284">
        <x:v>1</x:v>
      </x:c>
      <x:c r="S284" t="s">
        <x:v>70</x:v>
      </x:c>
      <x:c r="T284" t="s">
        <x:v>43</x:v>
      </x:c>
      <x:c r="U284" t="s">
        <x:v>44</x:v>
      </x:c>
      <x:c r="V284" t="s">
        <x:v>71</x:v>
      </x:c>
      <x:c r="W284" t="s">
        <x:v>72</x:v>
      </x:c>
      <x:c r="X284">
        <x:v>186.44</x:v>
      </x:c>
      <x:c r="Y284" t="s">
        <x:v>47</x:v>
      </x:c>
      <x:c r="Z284" t="s">
        <x:v>48</x:v>
      </x:c>
      <x:c r="AA284" t="s">
        <x:v>73</x:v>
      </x:c>
      <x:c r="AB284">
        <x:v>992903716</x:v>
      </x:c>
      <x:c r="AC284" t="s">
        <x:v>440</x:v>
      </x:c>
      <x:c r="AD284">
        <x:v>50</x:v>
      </x:c>
    </x:row>
    <x:row r="285">
      <x:c r="A285" s="1">
        <x:v>46223</x:v>
      </x:c>
      <x:c r="B285" t="s">
        <x:v>3600</x:v>
      </x:c>
      <x:c r="C285" t="s">
        <x:v>3775</x:v>
      </x:c>
      <x:c r="D285" t="s">
        <x:v>29</x:v>
      </x:c>
      <x:c r="E285" t="s">
        <x:v>3776</x:v>
      </x:c>
      <x:c r="F285" t="s">
        <x:v>31</x:v>
      </x:c>
      <x:c r="G285" t="s">
        <x:v>3777</x:v>
      </x:c>
      <x:c r="H285" t="s">
        <x:v>3778</x:v>
      </x:c>
      <x:c r="I285" t="s">
        <x:v>3779</x:v>
      </x:c>
      <x:c r="J285" t="s">
        <x:v>706</x:v>
      </x:c>
      <x:c r="K285" t="s">
        <x:v>707</x:v>
      </x:c>
      <x:c r="L285" t="s">
        <x:v>37</x:v>
      </x:c>
      <x:c r="M285" t="s">
        <x:v>3780</x:v>
      </x:c>
      <x:c r="N285" t="s">
        <x:v>3781</x:v>
      </x:c>
      <x:c r="O285" t="s">
        <x:v>3778</x:v>
      </x:c>
      <x:c r="P285" t="s">
        <x:v>3782</x:v>
      </x:c>
      <x:c r="Q285" t="s">
        <x:v>160</x:v>
      </x:c>
      <x:c r="R285">
        <x:v>1</x:v>
      </x:c>
      <x:c r="S285" t="s">
        <x:v>42</x:v>
      </x:c>
      <x:c r="T285" t="s">
        <x:v>44</x:v>
      </x:c>
      <x:c r="U285" t="s">
        <x:v>44</x:v>
      </x:c>
      <x:c r="V285" t="s">
        <x:v>45</x:v>
      </x:c>
      <x:c r="W285" t="s">
        <x:v>46</x:v>
      </x:c>
      <x:c r="X285">
        <x:v>135.59</x:v>
      </x:c>
      <x:c r="Y285" t="s">
        <x:v>47</x:v>
      </x:c>
      <x:c r="Z285" t="s">
        <x:v>48</x:v>
      </x:c>
      <x:c r="AA285" t="s">
        <x:v>49</x:v>
      </x:c>
      <x:c r="AB285">
        <x:v>998418895</x:v>
      </x:c>
      <x:c r="AC285" t="s">
        <x:v>711</x:v>
      </x:c>
      <x:c r="AD285">
        <x:v>30</x:v>
      </x:c>
    </x:row>
    <x:row r="286">
      <x:c r="A286" s="1">
        <x:v>46223</x:v>
      </x:c>
      <x:c r="B286" t="s">
        <x:v>3600</x:v>
      </x:c>
      <x:c r="C286" t="s">
        <x:v>3775</x:v>
      </x:c>
      <x:c r="D286" t="s">
        <x:v>29</x:v>
      </x:c>
      <x:c r="E286" t="s">
        <x:v>3776</x:v>
      </x:c>
      <x:c r="F286" t="s">
        <x:v>31</x:v>
      </x:c>
      <x:c r="G286" t="s">
        <x:v>3777</x:v>
      </x:c>
      <x:c r="H286" t="s">
        <x:v>3778</x:v>
      </x:c>
      <x:c r="I286" t="s">
        <x:v>3779</x:v>
      </x:c>
      <x:c r="J286" t="s">
        <x:v>706</x:v>
      </x:c>
      <x:c r="K286" t="s">
        <x:v>707</x:v>
      </x:c>
      <x:c r="L286" t="s">
        <x:v>37</x:v>
      </x:c>
      <x:c r="M286" t="s">
        <x:v>3780</x:v>
      </x:c>
      <x:c r="N286" t="s">
        <x:v>3781</x:v>
      </x:c>
      <x:c r="O286" t="s">
        <x:v>3778</x:v>
      </x:c>
      <x:c r="P286" t="s">
        <x:v>3782</x:v>
      </x:c>
      <x:c r="Q286" t="s">
        <x:v>159</x:v>
      </x:c>
      <x:c r="R286">
        <x:v>1</x:v>
      </x:c>
      <x:c r="S286" t="s">
        <x:v>42</x:v>
      </x:c>
      <x:c r="T286" t="s">
        <x:v>44</x:v>
      </x:c>
      <x:c r="U286" t="s">
        <x:v>44</x:v>
      </x:c>
      <x:c r="V286" t="s">
        <x:v>45</x:v>
      </x:c>
      <x:c r="W286" t="s">
        <x:v>46</x:v>
      </x:c>
      <x:c r="X286">
        <x:v>152.54</x:v>
      </x:c>
      <x:c r="Y286" t="s">
        <x:v>47</x:v>
      </x:c>
      <x:c r="Z286" t="s">
        <x:v>48</x:v>
      </x:c>
      <x:c r="AA286" t="s">
        <x:v>49</x:v>
      </x:c>
      <x:c r="AB286">
        <x:v>998418895</x:v>
      </x:c>
      <x:c r="AC286" t="s">
        <x:v>711</x:v>
      </x:c>
      <x:c r="AD286">
        <x:v>30</x:v>
      </x:c>
    </x:row>
    <x:row r="287">
      <x:c r="A287" s="1">
        <x:v>46223</x:v>
      </x:c>
      <x:c r="B287" t="s">
        <x:v>3600</x:v>
      </x:c>
      <x:c r="C287" t="s">
        <x:v>3775</x:v>
      </x:c>
      <x:c r="D287" t="s">
        <x:v>29</x:v>
      </x:c>
      <x:c r="E287" t="s">
        <x:v>3776</x:v>
      </x:c>
      <x:c r="F287" t="s">
        <x:v>31</x:v>
      </x:c>
      <x:c r="G287" t="s">
        <x:v>3777</x:v>
      </x:c>
      <x:c r="H287" t="s">
        <x:v>3778</x:v>
      </x:c>
      <x:c r="I287" t="s">
        <x:v>3779</x:v>
      </x:c>
      <x:c r="J287" t="s">
        <x:v>706</x:v>
      </x:c>
      <x:c r="K287" t="s">
        <x:v>707</x:v>
      </x:c>
      <x:c r="L287" t="s">
        <x:v>37</x:v>
      </x:c>
      <x:c r="M287" t="s">
        <x:v>3780</x:v>
      </x:c>
      <x:c r="N287" t="s">
        <x:v>3781</x:v>
      </x:c>
      <x:c r="O287" t="s">
        <x:v>3778</x:v>
      </x:c>
      <x:c r="P287" t="s">
        <x:v>3782</x:v>
      </x:c>
      <x:c r="Q287" t="s">
        <x:v>102</x:v>
      </x:c>
      <x:c r="R287">
        <x:v>1</x:v>
      </x:c>
      <x:c r="S287" t="s">
        <x:v>42</x:v>
      </x:c>
      <x:c r="T287" t="s">
        <x:v>44</x:v>
      </x:c>
      <x:c r="U287" t="s">
        <x:v>44</x:v>
      </x:c>
      <x:c r="V287" t="s">
        <x:v>45</x:v>
      </x:c>
      <x:c r="W287" t="s">
        <x:v>46</x:v>
      </x:c>
      <x:c r="X287">
        <x:v>186.44</x:v>
      </x:c>
      <x:c r="Y287" t="s">
        <x:v>47</x:v>
      </x:c>
      <x:c r="Z287" t="s">
        <x:v>48</x:v>
      </x:c>
      <x:c r="AA287" t="s">
        <x:v>49</x:v>
      </x:c>
      <x:c r="AB287">
        <x:v>998418895</x:v>
      </x:c>
      <x:c r="AC287" t="s">
        <x:v>711</x:v>
      </x:c>
      <x:c r="AD287">
        <x:v>50</x:v>
      </x:c>
    </x:row>
    <x:row r="288">
      <x:c r="A288" s="1">
        <x:v>46224</x:v>
      </x:c>
      <x:c r="B288" t="s">
        <x:v>3600</x:v>
      </x:c>
      <x:c r="C288" t="s">
        <x:v>3783</x:v>
      </x:c>
      <x:c r="D288" t="s">
        <x:v>269</x:v>
      </x:c>
      <x:c r="E288" t="s">
        <x:v>3784</x:v>
      </x:c>
      <x:c r="F288" t="s">
        <x:v>31</x:v>
      </x:c>
      <x:c r="G288" t="s">
        <x:v>3785</x:v>
      </x:c>
      <x:c r="H288" t="s">
        <x:v>2217</x:v>
      </x:c>
      <x:c r="I288" t="s">
        <x:v>2218</x:v>
      </x:c>
      <x:c r="J288" t="s">
        <x:v>274</x:v>
      </x:c>
      <x:c r="K288" t="s">
        <x:v>275</x:v>
      </x:c>
      <x:c r="L288" t="s">
        <x:v>37</x:v>
      </x:c>
      <x:c r="M288" t="s">
        <x:v>2219</x:v>
      </x:c>
      <x:c r="N288" t="s">
        <x:v>2220</x:v>
      </x:c>
      <x:c r="O288" t="s">
        <x:v>278</x:v>
      </x:c>
      <x:c r="P288" t="s">
        <x:v>3786</x:v>
      </x:c>
      <x:c r="Q288" t="s">
        <x:v>289</x:v>
      </x:c>
      <x:c r="R288">
        <x:v>1</x:v>
      </x:c>
      <x:c r="S288" t="s">
        <x:v>42</x:v>
      </x:c>
      <x:c r="T288" t="s">
        <x:v>44</x:v>
      </x:c>
      <x:c r="U288" t="s">
        <x:v>44</x:v>
      </x:c>
      <x:c r="V288" t="s">
        <x:v>45</x:v>
      </x:c>
      <x:c r="W288" t="s">
        <x:v>46</x:v>
      </x:c>
      <x:c r="X288">
        <x:v>0</x:v>
      </x:c>
      <x:c r="Y288" t="s">
        <x:v>290</x:v>
      </x:c>
      <x:c r="Z288" t="s">
        <x:v>48</x:v>
      </x:c>
      <x:c r="AA288" t="s">
        <x:v>49</x:v>
      </x:c>
      <x:c r="AB288">
        <x:v>950133748</x:v>
      </x:c>
      <x:c r="AC288" t="s">
        <x:v>280</x:v>
      </x:c>
    </x:row>
    <x:row r="289">
      <x:c r="A289" s="1">
        <x:v>46224</x:v>
      </x:c>
      <x:c r="B289" t="s">
        <x:v>3600</x:v>
      </x:c>
      <x:c r="C289" t="s">
        <x:v>3783</x:v>
      </x:c>
      <x:c r="D289" t="s">
        <x:v>269</x:v>
      </x:c>
      <x:c r="E289" t="s">
        <x:v>3784</x:v>
      </x:c>
      <x:c r="F289" t="s">
        <x:v>31</x:v>
      </x:c>
      <x:c r="G289" t="s">
        <x:v>3785</x:v>
      </x:c>
      <x:c r="H289" t="s">
        <x:v>2217</x:v>
      </x:c>
      <x:c r="I289" t="s">
        <x:v>2218</x:v>
      </x:c>
      <x:c r="J289" t="s">
        <x:v>274</x:v>
      </x:c>
      <x:c r="K289" t="s">
        <x:v>275</x:v>
      </x:c>
      <x:c r="L289" t="s">
        <x:v>37</x:v>
      </x:c>
      <x:c r="M289" t="s">
        <x:v>2219</x:v>
      </x:c>
      <x:c r="N289" t="s">
        <x:v>2220</x:v>
      </x:c>
      <x:c r="O289" t="s">
        <x:v>278</x:v>
      </x:c>
      <x:c r="P289" t="s">
        <x:v>3786</x:v>
      </x:c>
      <x:c r="Q289" t="s">
        <x:v>1624</x:v>
      </x:c>
      <x:c r="R289">
        <x:v>1</x:v>
      </x:c>
      <x:c r="S289" t="s">
        <x:v>42</x:v>
      </x:c>
      <x:c r="T289" t="s">
        <x:v>44</x:v>
      </x:c>
      <x:c r="U289" t="s">
        <x:v>44</x:v>
      </x:c>
      <x:c r="V289" t="s">
        <x:v>45</x:v>
      </x:c>
      <x:c r="W289" t="s">
        <x:v>46</x:v>
      </x:c>
      <x:c r="X289">
        <x:v>1305.08</x:v>
      </x:c>
      <x:c r="Y289" t="s">
        <x:v>290</x:v>
      </x:c>
      <x:c r="Z289" t="s">
        <x:v>48</x:v>
      </x:c>
      <x:c r="AA289" t="s">
        <x:v>49</x:v>
      </x:c>
      <x:c r="AB289">
        <x:v>950133748</x:v>
      </x:c>
      <x:c r="AC289" t="s">
        <x:v>280</x:v>
      </x:c>
    </x:row>
    <x:row r="290">
      <x:c r="A290" s="1">
        <x:v>46224</x:v>
      </x:c>
      <x:c r="B290" t="s">
        <x:v>3600</x:v>
      </x:c>
      <x:c r="C290" t="s">
        <x:v>3787</x:v>
      </x:c>
      <x:c r="D290" t="s">
        <x:v>269</x:v>
      </x:c>
      <x:c r="E290" t="s">
        <x:v>3788</x:v>
      </x:c>
      <x:c r="F290" t="s">
        <x:v>31</x:v>
      </x:c>
      <x:c r="G290" t="s">
        <x:v>3789</x:v>
      </x:c>
      <x:c r="H290" t="s">
        <x:v>331</x:v>
      </x:c>
      <x:c r="I290" t="s">
        <x:v>332</x:v>
      </x:c>
      <x:c r="J290" t="s">
        <x:v>274</x:v>
      </x:c>
      <x:c r="K290" t="s">
        <x:v>275</x:v>
      </x:c>
      <x:c r="L290" t="s">
        <x:v>37</x:v>
      </x:c>
      <x:c r="M290" t="s">
        <x:v>333</x:v>
      </x:c>
      <x:c r="N290" t="s">
        <x:v>334</x:v>
      </x:c>
      <x:c r="O290" t="s">
        <x:v>278</x:v>
      </x:c>
      <x:c r="P290" t="s">
        <x:v>3790</x:v>
      </x:c>
      <x:c r="Q290" t="s">
        <x:v>482</x:v>
      </x:c>
      <x:c r="R290">
        <x:v>1</x:v>
      </x:c>
      <x:c r="S290" t="s">
        <x:v>42</x:v>
      </x:c>
      <x:c r="T290" t="s">
        <x:v>44</x:v>
      </x:c>
      <x:c r="U290" t="s">
        <x:v>44</x:v>
      </x:c>
      <x:c r="V290" t="s">
        <x:v>45</x:v>
      </x:c>
      <x:c r="W290" t="s">
        <x:v>60</x:v>
      </x:c>
      <x:c r="X290">
        <x:v>101.69</x:v>
      </x:c>
      <x:c r="Y290" t="s">
        <x:v>61</x:v>
      </x:c>
      <x:c r="Z290" t="s">
        <x:v>48</x:v>
      </x:c>
      <x:c r="AA290" t="s">
        <x:v>49</x:v>
      </x:c>
      <x:c r="AB290">
        <x:v>950133748</x:v>
      </x:c>
      <x:c r="AC290" t="s">
        <x:v>280</x:v>
      </x:c>
    </x:row>
    <x:row r="291">
      <x:c r="A291" s="1">
        <x:v>46224</x:v>
      </x:c>
      <x:c r="B291" t="s">
        <x:v>3600</x:v>
      </x:c>
      <x:c r="C291" t="s">
        <x:v>3791</x:v>
      </x:c>
      <x:c r="D291" t="s">
        <x:v>29</x:v>
      </x:c>
      <x:c r="E291" t="s">
        <x:v>3792</x:v>
      </x:c>
      <x:c r="F291" t="s">
        <x:v>31</x:v>
      </x:c>
      <x:c r="G291" t="s">
        <x:v>3793</x:v>
      </x:c>
      <x:c r="H291" t="s">
        <x:v>3794</x:v>
      </x:c>
      <x:c r="I291" t="s">
        <x:v>3795</x:v>
      </x:c>
      <x:c r="J291" t="s">
        <x:v>664</x:v>
      </x:c>
      <x:c r="K291" t="s">
        <x:v>36</x:v>
      </x:c>
      <x:c r="L291" t="s">
        <x:v>37</x:v>
      </x:c>
      <x:c r="M291" t="s">
        <x:v>3796</x:v>
      </x:c>
      <x:c r="N291" t="s">
        <x:v>3797</x:v>
      </x:c>
      <x:c r="O291" t="s">
        <x:v>3794</x:v>
      </x:c>
      <x:c r="P291" t="s">
        <x:v>3798</x:v>
      </x:c>
      <x:c r="Q291" t="s">
        <x:v>202</x:v>
      </x:c>
      <x:c r="R291">
        <x:v>1</x:v>
      </x:c>
      <x:c r="S291" t="s">
        <x:v>42</x:v>
      </x:c>
      <x:c r="T291" t="s">
        <x:v>44</x:v>
      </x:c>
      <x:c r="U291" t="s">
        <x:v>44</x:v>
      </x:c>
      <x:c r="V291" t="s">
        <x:v>45</x:v>
      </x:c>
      <x:c r="W291" t="s">
        <x:v>46</x:v>
      </x:c>
      <x:c r="X291">
        <x:v>135.59</x:v>
      </x:c>
      <x:c r="Y291" t="s">
        <x:v>47</x:v>
      </x:c>
      <x:c r="Z291" t="s">
        <x:v>48</x:v>
      </x:c>
      <x:c r="AA291" t="s">
        <x:v>49</x:v>
      </x:c>
      <x:c r="AB291">
        <x:v>997145685</x:v>
      </x:c>
      <x:c r="AC291" t="s">
        <x:v>668</x:v>
      </x:c>
      <x:c r="AD291">
        <x:v>30</x:v>
      </x:c>
    </x:row>
    <x:row r="292">
      <x:c r="A292" s="1">
        <x:v>46224</x:v>
      </x:c>
      <x:c r="B292" t="s">
        <x:v>3600</x:v>
      </x:c>
      <x:c r="C292" t="s">
        <x:v>3791</x:v>
      </x:c>
      <x:c r="D292" t="s">
        <x:v>29</x:v>
      </x:c>
      <x:c r="E292" t="s">
        <x:v>3792</x:v>
      </x:c>
      <x:c r="F292" t="s">
        <x:v>31</x:v>
      </x:c>
      <x:c r="G292" t="s">
        <x:v>3793</x:v>
      </x:c>
      <x:c r="H292" t="s">
        <x:v>3794</x:v>
      </x:c>
      <x:c r="I292" t="s">
        <x:v>3795</x:v>
      </x:c>
      <x:c r="J292" t="s">
        <x:v>664</x:v>
      </x:c>
      <x:c r="K292" t="s">
        <x:v>36</x:v>
      </x:c>
      <x:c r="L292" t="s">
        <x:v>37</x:v>
      </x:c>
      <x:c r="M292" t="s">
        <x:v>3796</x:v>
      </x:c>
      <x:c r="N292" t="s">
        <x:v>3797</x:v>
      </x:c>
      <x:c r="O292" t="s">
        <x:v>3794</x:v>
      </x:c>
      <x:c r="P292" t="s">
        <x:v>3798</x:v>
      </x:c>
      <x:c r="Q292" t="s">
        <x:v>203</x:v>
      </x:c>
      <x:c r="R292">
        <x:v>1</x:v>
      </x:c>
      <x:c r="S292" t="s">
        <x:v>42</x:v>
      </x:c>
      <x:c r="T292" t="s">
        <x:v>44</x:v>
      </x:c>
      <x:c r="U292" t="s">
        <x:v>44</x:v>
      </x:c>
      <x:c r="V292" t="s">
        <x:v>45</x:v>
      </x:c>
      <x:c r="W292" t="s">
        <x:v>46</x:v>
      </x:c>
      <x:c r="X292">
        <x:v>152.54</x:v>
      </x:c>
      <x:c r="Y292" t="s">
        <x:v>47</x:v>
      </x:c>
      <x:c r="Z292" t="s">
        <x:v>48</x:v>
      </x:c>
      <x:c r="AA292" t="s">
        <x:v>49</x:v>
      </x:c>
      <x:c r="AB292">
        <x:v>997145685</x:v>
      </x:c>
      <x:c r="AC292" t="s">
        <x:v>668</x:v>
      </x:c>
      <x:c r="AD292">
        <x:v>30</x:v>
      </x:c>
    </x:row>
    <x:row r="293">
      <x:c r="A293" s="1">
        <x:v>46224</x:v>
      </x:c>
      <x:c r="B293" t="s">
        <x:v>3600</x:v>
      </x:c>
      <x:c r="C293" t="s">
        <x:v>3791</x:v>
      </x:c>
      <x:c r="D293" t="s">
        <x:v>29</x:v>
      </x:c>
      <x:c r="E293" t="s">
        <x:v>3792</x:v>
      </x:c>
      <x:c r="F293" t="s">
        <x:v>31</x:v>
      </x:c>
      <x:c r="G293" t="s">
        <x:v>3793</x:v>
      </x:c>
      <x:c r="H293" t="s">
        <x:v>3794</x:v>
      </x:c>
      <x:c r="I293" t="s">
        <x:v>3795</x:v>
      </x:c>
      <x:c r="J293" t="s">
        <x:v>664</x:v>
      </x:c>
      <x:c r="K293" t="s">
        <x:v>36</x:v>
      </x:c>
      <x:c r="L293" t="s">
        <x:v>37</x:v>
      </x:c>
      <x:c r="M293" t="s">
        <x:v>3796</x:v>
      </x:c>
      <x:c r="N293" t="s">
        <x:v>3797</x:v>
      </x:c>
      <x:c r="O293" t="s">
        <x:v>3794</x:v>
      </x:c>
      <x:c r="P293" t="s">
        <x:v>3798</x:v>
      </x:c>
      <x:c r="Q293" t="s">
        <x:v>131</x:v>
      </x:c>
      <x:c r="R293">
        <x:v>1</x:v>
      </x:c>
      <x:c r="S293" t="s">
        <x:v>42</x:v>
      </x:c>
      <x:c r="T293" t="s">
        <x:v>44</x:v>
      </x:c>
      <x:c r="U293" t="s">
        <x:v>44</x:v>
      </x:c>
      <x:c r="V293" t="s">
        <x:v>45</x:v>
      </x:c>
      <x:c r="W293" t="s">
        <x:v>46</x:v>
      </x:c>
      <x:c r="X293">
        <x:v>152.54</x:v>
      </x:c>
      <x:c r="Y293" t="s">
        <x:v>47</x:v>
      </x:c>
      <x:c r="Z293" t="s">
        <x:v>48</x:v>
      </x:c>
      <x:c r="AA293" t="s">
        <x:v>49</x:v>
      </x:c>
      <x:c r="AB293">
        <x:v>997145685</x:v>
      </x:c>
      <x:c r="AC293" t="s">
        <x:v>668</x:v>
      </x:c>
      <x:c r="AD293">
        <x:v>30</x:v>
      </x:c>
    </x:row>
    <x:row r="294">
      <x:c r="A294" s="1">
        <x:v>46224</x:v>
      </x:c>
      <x:c r="B294" t="s">
        <x:v>3600</x:v>
      </x:c>
      <x:c r="C294" t="s">
        <x:v>3799</x:v>
      </x:c>
      <x:c r="D294" t="s">
        <x:v>29</x:v>
      </x:c>
      <x:c r="E294" t="s">
        <x:v>3800</x:v>
      </x:c>
      <x:c r="F294" t="s">
        <x:v>31</x:v>
      </x:c>
      <x:c r="G294" t="s">
        <x:v>3801</x:v>
      </x:c>
      <x:c r="H294" t="s">
        <x:v>3802</x:v>
      </x:c>
      <x:c r="I294" t="s">
        <x:v>3803</x:v>
      </x:c>
      <x:c r="J294" t="s">
        <x:v>776</x:v>
      </x:c>
      <x:c r="K294" t="s">
        <x:v>777</x:v>
      </x:c>
      <x:c r="L294" t="s">
        <x:v>37</x:v>
      </x:c>
      <x:c r="M294" t="s">
        <x:v>3804</x:v>
      </x:c>
      <x:c r="N294" t="s">
        <x:v>3805</x:v>
      </x:c>
      <x:c r="O294" t="s">
        <x:v>3802</x:v>
      </x:c>
      <x:c r="P294" t="s">
        <x:v>3806</x:v>
      </x:c>
      <x:c r="Q294" t="s">
        <x:v>643</x:v>
      </x:c>
      <x:c r="R294">
        <x:v>1</x:v>
      </x:c>
      <x:c r="S294" t="s">
        <x:v>42</x:v>
      </x:c>
      <x:c r="T294" t="s">
        <x:v>44</x:v>
      </x:c>
      <x:c r="U294" t="s">
        <x:v>44</x:v>
      </x:c>
      <x:c r="V294" t="s">
        <x:v>45</x:v>
      </x:c>
      <x:c r="W294" t="s">
        <x:v>60</x:v>
      </x:c>
      <x:c r="X294">
        <x:v>84.75</x:v>
      </x:c>
      <x:c r="Y294" t="s">
        <x:v>47</x:v>
      </x:c>
      <x:c r="Z294" t="s">
        <x:v>48</x:v>
      </x:c>
      <x:c r="AA294" t="s">
        <x:v>49</x:v>
      </x:c>
    </x:row>
    <x:row r="295">
      <x:c r="A295" s="1">
        <x:v>46224</x:v>
      </x:c>
      <x:c r="B295" t="s">
        <x:v>3600</x:v>
      </x:c>
      <x:c r="C295" t="s">
        <x:v>3807</x:v>
      </x:c>
      <x:c r="D295" t="s">
        <x:v>29</x:v>
      </x:c>
      <x:c r="E295" t="s">
        <x:v>3808</x:v>
      </x:c>
      <x:c r="F295" t="s">
        <x:v>31</x:v>
      </x:c>
      <x:c r="G295" t="s">
        <x:v>3809</x:v>
      </x:c>
      <x:c r="H295" t="s">
        <x:v>2492</x:v>
      </x:c>
      <x:c r="I295" t="s">
        <x:v>2493</x:v>
      </x:c>
      <x:c r="J295" t="s">
        <x:v>776</x:v>
      </x:c>
      <x:c r="K295" t="s">
        <x:v>777</x:v>
      </x:c>
      <x:c r="L295" t="s">
        <x:v>37</x:v>
      </x:c>
      <x:c r="M295" t="s">
        <x:v>2494</x:v>
      </x:c>
      <x:c r="N295" t="s">
        <x:v>2495</x:v>
      </x:c>
      <x:c r="O295" t="s">
        <x:v>2492</x:v>
      </x:c>
      <x:c r="P295" t="s">
        <x:v>3810</x:v>
      </x:c>
      <x:c r="Q295" t="s">
        <x:v>643</x:v>
      </x:c>
      <x:c r="R295">
        <x:v>1</x:v>
      </x:c>
      <x:c r="S295" t="s">
        <x:v>42</x:v>
      </x:c>
      <x:c r="T295" t="s">
        <x:v>44</x:v>
      </x:c>
      <x:c r="U295" t="s">
        <x:v>44</x:v>
      </x:c>
      <x:c r="V295" t="s">
        <x:v>45</x:v>
      </x:c>
      <x:c r="W295" t="s">
        <x:v>46</x:v>
      </x:c>
      <x:c r="X295">
        <x:v>84.75</x:v>
      </x:c>
      <x:c r="Y295" t="s">
        <x:v>47</x:v>
      </x:c>
      <x:c r="Z295" t="s">
        <x:v>48</x:v>
      </x:c>
      <x:c r="AA295" t="s">
        <x:v>49</x:v>
      </x:c>
    </x:row>
    <x:row r="296">
      <x:c r="A296" s="1">
        <x:v>46224</x:v>
      </x:c>
      <x:c r="B296" t="s">
        <x:v>3600</x:v>
      </x:c>
      <x:c r="C296" t="s">
        <x:v>3811</x:v>
      </x:c>
      <x:c r="D296" t="s">
        <x:v>29</x:v>
      </x:c>
      <x:c r="E296" t="s">
        <x:v>3812</x:v>
      </x:c>
      <x:c r="F296" t="s">
        <x:v>31</x:v>
      </x:c>
      <x:c r="G296" t="s">
        <x:v>3813</x:v>
      </x:c>
      <x:c r="H296" t="s">
        <x:v>3802</x:v>
      </x:c>
      <x:c r="I296" t="s">
        <x:v>3803</x:v>
      </x:c>
      <x:c r="J296" t="s">
        <x:v>776</x:v>
      </x:c>
      <x:c r="K296" t="s">
        <x:v>777</x:v>
      </x:c>
      <x:c r="L296" t="s">
        <x:v>37</x:v>
      </x:c>
      <x:c r="M296" t="s">
        <x:v>3804</x:v>
      </x:c>
      <x:c r="N296" t="s">
        <x:v>3805</x:v>
      </x:c>
      <x:c r="O296" t="s">
        <x:v>3802</x:v>
      </x:c>
      <x:c r="P296" t="s">
        <x:v>3814</x:v>
      </x:c>
      <x:c r="Q296" t="s">
        <x:v>3815</x:v>
      </x:c>
      <x:c r="R296">
        <x:v>2</x:v>
      </x:c>
      <x:c r="S296" t="s">
        <x:v>42</x:v>
      </x:c>
      <x:c r="T296" t="s">
        <x:v>44</x:v>
      </x:c>
      <x:c r="U296" t="s">
        <x:v>44</x:v>
      </x:c>
      <x:c r="V296" t="s">
        <x:v>45</x:v>
      </x:c>
      <x:c r="W296" t="s">
        <x:v>3816</x:v>
      </x:c>
      <x:c r="X296">
        <x:v>4.24</x:v>
      </x:c>
      <x:c r="Y296" t="s">
        <x:v>534</x:v>
      </x:c>
      <x:c r="Z296" t="s">
        <x:v>48</x:v>
      </x:c>
      <x:c r="AA296" t="s">
        <x:v>49</x:v>
      </x:c>
    </x:row>
    <x:row r="297">
      <x:c r="A297" s="1">
        <x:v>46224</x:v>
      </x:c>
      <x:c r="B297" t="s">
        <x:v>3600</x:v>
      </x:c>
      <x:c r="C297" t="s">
        <x:v>3817</x:v>
      </x:c>
      <x:c r="D297" t="s">
        <x:v>269</x:v>
      </x:c>
      <x:c r="E297" t="s">
        <x:v>3818</x:v>
      </x:c>
      <x:c r="F297" t="s">
        <x:v>31</x:v>
      </x:c>
      <x:c r="G297" t="s">
        <x:v>3819</x:v>
      </x:c>
      <x:c r="H297" t="s">
        <x:v>3802</x:v>
      </x:c>
      <x:c r="I297" t="s">
        <x:v>3803</x:v>
      </x:c>
      <x:c r="J297" t="s">
        <x:v>776</x:v>
      </x:c>
      <x:c r="K297" t="s">
        <x:v>777</x:v>
      </x:c>
      <x:c r="L297" t="s">
        <x:v>37</x:v>
      </x:c>
      <x:c r="M297" t="s">
        <x:v>3804</x:v>
      </x:c>
      <x:c r="N297" t="s">
        <x:v>3805</x:v>
      </x:c>
      <x:c r="O297" t="s">
        <x:v>800</x:v>
      </x:c>
      <x:c r="P297" t="s">
        <x:v>3820</x:v>
      </x:c>
      <x:c r="Q297" t="s">
        <x:v>289</x:v>
      </x:c>
      <x:c r="R297">
        <x:v>1</x:v>
      </x:c>
      <x:c r="S297" t="s">
        <x:v>42</x:v>
      </x:c>
      <x:c r="T297" t="s">
        <x:v>44</x:v>
      </x:c>
      <x:c r="U297" t="s">
        <x:v>44</x:v>
      </x:c>
      <x:c r="V297" t="s">
        <x:v>45</x:v>
      </x:c>
      <x:c r="W297" t="s">
        <x:v>60</x:v>
      </x:c>
      <x:c r="X297">
        <x:v>0</x:v>
      </x:c>
      <x:c r="Y297" t="s">
        <x:v>290</x:v>
      </x:c>
      <x:c r="Z297" t="s">
        <x:v>48</x:v>
      </x:c>
      <x:c r="AA297" t="s">
        <x:v>49</x:v>
      </x:c>
    </x:row>
    <x:row r="298">
      <x:c r="A298" s="1">
        <x:v>46224</x:v>
      </x:c>
      <x:c r="B298" t="s">
        <x:v>3600</x:v>
      </x:c>
      <x:c r="C298" t="s">
        <x:v>3817</x:v>
      </x:c>
      <x:c r="D298" t="s">
        <x:v>269</x:v>
      </x:c>
      <x:c r="E298" t="s">
        <x:v>3818</x:v>
      </x:c>
      <x:c r="F298" t="s">
        <x:v>31</x:v>
      </x:c>
      <x:c r="G298" t="s">
        <x:v>3819</x:v>
      </x:c>
      <x:c r="H298" t="s">
        <x:v>3802</x:v>
      </x:c>
      <x:c r="I298" t="s">
        <x:v>3803</x:v>
      </x:c>
      <x:c r="J298" t="s">
        <x:v>776</x:v>
      </x:c>
      <x:c r="K298" t="s">
        <x:v>777</x:v>
      </x:c>
      <x:c r="L298" t="s">
        <x:v>37</x:v>
      </x:c>
      <x:c r="M298" t="s">
        <x:v>3804</x:v>
      </x:c>
      <x:c r="N298" t="s">
        <x:v>3805</x:v>
      </x:c>
      <x:c r="O298" t="s">
        <x:v>800</x:v>
      </x:c>
      <x:c r="P298" t="s">
        <x:v>3820</x:v>
      </x:c>
      <x:c r="Q298" t="s">
        <x:v>1624</x:v>
      </x:c>
      <x:c r="R298">
        <x:v>1</x:v>
      </x:c>
      <x:c r="S298" t="s">
        <x:v>42</x:v>
      </x:c>
      <x:c r="T298" t="s">
        <x:v>44</x:v>
      </x:c>
      <x:c r="U298" t="s">
        <x:v>44</x:v>
      </x:c>
      <x:c r="V298" t="s">
        <x:v>45</x:v>
      </x:c>
      <x:c r="W298" t="s">
        <x:v>60</x:v>
      </x:c>
      <x:c r="X298">
        <x:v>1525.42</x:v>
      </x:c>
      <x:c r="Y298" t="s">
        <x:v>290</x:v>
      </x:c>
      <x:c r="Z298" t="s">
        <x:v>48</x:v>
      </x:c>
      <x:c r="AA298" t="s">
        <x:v>49</x:v>
      </x:c>
    </x:row>
    <x:row r="299">
      <x:c r="A299" s="1">
        <x:v>46224</x:v>
      </x:c>
      <x:c r="B299" t="s">
        <x:v>3600</x:v>
      </x:c>
      <x:c r="C299" t="s">
        <x:v>3821</x:v>
      </x:c>
      <x:c r="D299" t="s">
        <x:v>29</x:v>
      </x:c>
      <x:c r="E299" t="s">
        <x:v>3822</x:v>
      </x:c>
      <x:c r="F299" t="s">
        <x:v>31</x:v>
      </x:c>
      <x:c r="G299" t="s">
        <x:v>3823</x:v>
      </x:c>
      <x:c r="H299" t="s">
        <x:v>3824</x:v>
      </x:c>
      <x:c r="I299" t="s">
        <x:v>3825</x:v>
      </x:c>
      <x:c r="J299" t="s">
        <x:v>3579</x:v>
      </x:c>
      <x:c r="K299" t="s">
        <x:v>210</x:v>
      </x:c>
      <x:c r="L299" t="s">
        <x:v>37</x:v>
      </x:c>
      <x:c r="M299" t="s">
        <x:v>3826</x:v>
      </x:c>
      <x:c r="N299" t="s">
        <x:v>3827</x:v>
      </x:c>
      <x:c r="O299" t="s">
        <x:v>3824</x:v>
      </x:c>
      <x:c r="P299" t="s">
        <x:v>3828</x:v>
      </x:c>
      <x:c r="Q299" t="s">
        <x:v>202</x:v>
      </x:c>
      <x:c r="R299">
        <x:v>1</x:v>
      </x:c>
      <x:c r="S299" t="s">
        <x:v>42</x:v>
      </x:c>
      <x:c r="T299" t="s">
        <x:v>44</x:v>
      </x:c>
      <x:c r="U299" t="s">
        <x:v>44</x:v>
      </x:c>
      <x:c r="V299" t="s">
        <x:v>45</x:v>
      </x:c>
      <x:c r="W299" t="s">
        <x:v>60</x:v>
      </x:c>
      <x:c r="X299">
        <x:v>152.54</x:v>
      </x:c>
      <x:c r="Y299" t="s">
        <x:v>47</x:v>
      </x:c>
      <x:c r="Z299" t="s">
        <x:v>48</x:v>
      </x:c>
      <x:c r="AA299" t="s">
        <x:v>49</x:v>
      </x:c>
      <x:c r="AB299">
        <x:v>971430775</x:v>
      </x:c>
      <x:c r="AD299">
        <x:v>30</x:v>
      </x:c>
    </x:row>
    <x:row r="300">
      <x:c r="A300" s="1">
        <x:v>46224</x:v>
      </x:c>
      <x:c r="B300" t="s">
        <x:v>3600</x:v>
      </x:c>
      <x:c r="C300" t="s">
        <x:v>3821</x:v>
      </x:c>
      <x:c r="D300" t="s">
        <x:v>29</x:v>
      </x:c>
      <x:c r="E300" t="s">
        <x:v>3822</x:v>
      </x:c>
      <x:c r="F300" t="s">
        <x:v>31</x:v>
      </x:c>
      <x:c r="G300" t="s">
        <x:v>3823</x:v>
      </x:c>
      <x:c r="H300" t="s">
        <x:v>3824</x:v>
      </x:c>
      <x:c r="I300" t="s">
        <x:v>3825</x:v>
      </x:c>
      <x:c r="J300" t="s">
        <x:v>3579</x:v>
      </x:c>
      <x:c r="K300" t="s">
        <x:v>210</x:v>
      </x:c>
      <x:c r="L300" t="s">
        <x:v>37</x:v>
      </x:c>
      <x:c r="M300" t="s">
        <x:v>3826</x:v>
      </x:c>
      <x:c r="N300" t="s">
        <x:v>3827</x:v>
      </x:c>
      <x:c r="O300" t="s">
        <x:v>3824</x:v>
      </x:c>
      <x:c r="P300" t="s">
        <x:v>3828</x:v>
      </x:c>
      <x:c r="Q300" t="s">
        <x:v>91</x:v>
      </x:c>
      <x:c r="R300">
        <x:v>1</x:v>
      </x:c>
      <x:c r="S300" t="s">
        <x:v>42</x:v>
      </x:c>
      <x:c r="T300" t="s">
        <x:v>44</x:v>
      </x:c>
      <x:c r="U300" t="s">
        <x:v>44</x:v>
      </x:c>
      <x:c r="V300" t="s">
        <x:v>45</x:v>
      </x:c>
      <x:c r="W300" t="s">
        <x:v>60</x:v>
      </x:c>
      <x:c r="X300">
        <x:v>135.59</x:v>
      </x:c>
      <x:c r="Y300" t="s">
        <x:v>47</x:v>
      </x:c>
      <x:c r="Z300" t="s">
        <x:v>48</x:v>
      </x:c>
      <x:c r="AA300" t="s">
        <x:v>49</x:v>
      </x:c>
      <x:c r="AB300">
        <x:v>971430775</x:v>
      </x:c>
      <x:c r="AD300">
        <x:v>30</x:v>
      </x:c>
    </x:row>
    <x:row r="301">
      <x:c r="A301" s="1">
        <x:v>46225</x:v>
      </x:c>
      <x:c r="B301" t="s">
        <x:v>3600</x:v>
      </x:c>
      <x:c r="C301" t="s">
        <x:v>3829</x:v>
      </x:c>
      <x:c r="D301" t="s">
        <x:v>29</x:v>
      </x:c>
      <x:c r="E301" t="s">
        <x:v>3830</x:v>
      </x:c>
      <x:c r="F301" t="s">
        <x:v>31</x:v>
      </x:c>
      <x:c r="G301" t="s">
        <x:v>3831</x:v>
      </x:c>
      <x:c r="H301" t="s">
        <x:v>3832</x:v>
      </x:c>
      <x:c r="I301" t="s">
        <x:v>3833</x:v>
      </x:c>
      <x:c r="J301" t="s">
        <x:v>630</x:v>
      </x:c>
      <x:c r="K301" t="s">
        <x:v>631</x:v>
      </x:c>
      <x:c r="L301" t="s">
        <x:v>37</x:v>
      </x:c>
      <x:c r="M301" t="s">
        <x:v>3834</x:v>
      </x:c>
      <x:c r="N301" t="s">
        <x:v>610</x:v>
      </x:c>
      <x:c r="O301" t="s">
        <x:v>3832</x:v>
      </x:c>
      <x:c r="P301" t="s">
        <x:v>3835</x:v>
      </x:c>
      <x:c r="Q301" t="s">
        <x:v>643</x:v>
      </x:c>
      <x:c r="R301">
        <x:v>1</x:v>
      </x:c>
      <x:c r="S301" t="s">
        <x:v>42</x:v>
      </x:c>
      <x:c r="T301" t="s">
        <x:v>44</x:v>
      </x:c>
      <x:c r="U301" t="s">
        <x:v>44</x:v>
      </x:c>
      <x:c r="V301" t="s">
        <x:v>45</x:v>
      </x:c>
      <x:c r="W301" t="s">
        <x:v>60</x:v>
      </x:c>
      <x:c r="X301">
        <x:v>84.75</x:v>
      </x:c>
      <x:c r="Y301" t="s">
        <x:v>47</x:v>
      </x:c>
      <x:c r="Z301" t="s">
        <x:v>48</x:v>
      </x:c>
      <x:c r="AA301" t="s">
        <x:v>49</x:v>
      </x:c>
      <x:c r="AB301">
        <x:v>978789268</x:v>
      </x:c>
      <x:c r="AC301" t="s">
        <x:v>635</x:v>
      </x:c>
    </x:row>
    <x:row r="302">
      <x:c r="A302" s="1">
        <x:v>46225</x:v>
      </x:c>
      <x:c r="B302" t="s">
        <x:v>3600</x:v>
      </x:c>
      <x:c r="C302" t="s">
        <x:v>3836</x:v>
      </x:c>
      <x:c r="D302" t="s">
        <x:v>29</x:v>
      </x:c>
      <x:c r="E302" t="s">
        <x:v>3837</x:v>
      </x:c>
      <x:c r="F302" t="s">
        <x:v>31</x:v>
      </x:c>
      <x:c r="G302" t="s">
        <x:v>3838</x:v>
      </x:c>
      <x:c r="H302" t="s">
        <x:v>3839</x:v>
      </x:c>
      <x:c r="I302" t="s">
        <x:v>3840</x:v>
      </x:c>
      <x:c r="J302" t="s">
        <x:v>630</x:v>
      </x:c>
      <x:c r="K302" t="s">
        <x:v>631</x:v>
      </x:c>
      <x:c r="L302" t="s">
        <x:v>37</x:v>
      </x:c>
      <x:c r="M302" t="s">
        <x:v>3841</x:v>
      </x:c>
      <x:c r="N302" t="s">
        <x:v>3842</x:v>
      </x:c>
      <x:c r="O302" t="s">
        <x:v>3839</x:v>
      </x:c>
      <x:c r="P302" t="s">
        <x:v>3843</x:v>
      </x:c>
      <x:c r="Q302" t="s">
        <x:v>289</x:v>
      </x:c>
      <x:c r="R302">
        <x:v>1</x:v>
      </x:c>
      <x:c r="S302" t="s">
        <x:v>42</x:v>
      </x:c>
      <x:c r="T302" t="s">
        <x:v>44</x:v>
      </x:c>
      <x:c r="U302" t="s">
        <x:v>44</x:v>
      </x:c>
      <x:c r="V302" t="s">
        <x:v>45</x:v>
      </x:c>
      <x:c r="W302" t="s">
        <x:v>60</x:v>
      </x:c>
      <x:c r="X302">
        <x:v>0</x:v>
      </x:c>
      <x:c r="Y302" t="s">
        <x:v>290</x:v>
      </x:c>
      <x:c r="Z302" t="s">
        <x:v>48</x:v>
      </x:c>
      <x:c r="AA302" t="s">
        <x:v>49</x:v>
      </x:c>
      <x:c r="AB302">
        <x:v>978789268</x:v>
      </x:c>
      <x:c r="AC302" t="s">
        <x:v>635</x:v>
      </x:c>
    </x:row>
    <x:row r="303">
      <x:c r="A303" s="1">
        <x:v>46225</x:v>
      </x:c>
      <x:c r="B303" t="s">
        <x:v>3600</x:v>
      </x:c>
      <x:c r="C303" t="s">
        <x:v>3836</x:v>
      </x:c>
      <x:c r="D303" t="s">
        <x:v>29</x:v>
      </x:c>
      <x:c r="E303" t="s">
        <x:v>3837</x:v>
      </x:c>
      <x:c r="F303" t="s">
        <x:v>31</x:v>
      </x:c>
      <x:c r="G303" t="s">
        <x:v>3838</x:v>
      </x:c>
      <x:c r="H303" t="s">
        <x:v>3839</x:v>
      </x:c>
      <x:c r="I303" t="s">
        <x:v>3840</x:v>
      </x:c>
      <x:c r="J303" t="s">
        <x:v>630</x:v>
      </x:c>
      <x:c r="K303" t="s">
        <x:v>631</x:v>
      </x:c>
      <x:c r="L303" t="s">
        <x:v>37</x:v>
      </x:c>
      <x:c r="M303" t="s">
        <x:v>3841</x:v>
      </x:c>
      <x:c r="N303" t="s">
        <x:v>3842</x:v>
      </x:c>
      <x:c r="O303" t="s">
        <x:v>3839</x:v>
      </x:c>
      <x:c r="P303" t="s">
        <x:v>3843</x:v>
      </x:c>
      <x:c r="Q303" t="s">
        <x:v>1624</x:v>
      </x:c>
      <x:c r="R303">
        <x:v>1</x:v>
      </x:c>
      <x:c r="S303" t="s">
        <x:v>42</x:v>
      </x:c>
      <x:c r="T303" t="s">
        <x:v>44</x:v>
      </x:c>
      <x:c r="U303" t="s">
        <x:v>44</x:v>
      </x:c>
      <x:c r="V303" t="s">
        <x:v>45</x:v>
      </x:c>
      <x:c r="W303" t="s">
        <x:v>60</x:v>
      </x:c>
      <x:c r="X303">
        <x:v>139.83000000000001</x:v>
      </x:c>
      <x:c r="Y303" t="s">
        <x:v>290</x:v>
      </x:c>
      <x:c r="Z303" t="s">
        <x:v>48</x:v>
      </x:c>
      <x:c r="AA303" t="s">
        <x:v>49</x:v>
      </x:c>
      <x:c r="AB303">
        <x:v>978789268</x:v>
      </x:c>
      <x:c r="AC303" t="s">
        <x:v>635</x:v>
      </x:c>
    </x:row>
    <x:row r="304">
      <x:c r="A304" s="1">
        <x:v>46225</x:v>
      </x:c>
      <x:c r="B304" t="s">
        <x:v>3600</x:v>
      </x:c>
      <x:c r="C304" t="s">
        <x:v>3844</x:v>
      </x:c>
      <x:c r="D304" t="s">
        <x:v>29</x:v>
      </x:c>
      <x:c r="E304" t="s">
        <x:v>3845</x:v>
      </x:c>
      <x:c r="F304" t="s">
        <x:v>31</x:v>
      </x:c>
      <x:c r="G304" t="s">
        <x:v>3846</x:v>
      </x:c>
      <x:c r="H304" t="s">
        <x:v>3832</x:v>
      </x:c>
      <x:c r="I304" t="s">
        <x:v>3833</x:v>
      </x:c>
      <x:c r="J304" t="s">
        <x:v>630</x:v>
      </x:c>
      <x:c r="K304" t="s">
        <x:v>631</x:v>
      </x:c>
      <x:c r="L304" t="s">
        <x:v>37</x:v>
      </x:c>
      <x:c r="M304" t="s">
        <x:v>3834</x:v>
      </x:c>
      <x:c r="N304" t="s">
        <x:v>610</x:v>
      </x:c>
      <x:c r="O304" t="s">
        <x:v>3832</x:v>
      </x:c>
      <x:c r="P304" t="s">
        <x:v>3847</x:v>
      </x:c>
      <x:c r="Q304" t="s">
        <x:v>289</x:v>
      </x:c>
      <x:c r="R304">
        <x:v>1</x:v>
      </x:c>
      <x:c r="S304" t="s">
        <x:v>42</x:v>
      </x:c>
      <x:c r="T304" t="s">
        <x:v>44</x:v>
      </x:c>
      <x:c r="U304" t="s">
        <x:v>44</x:v>
      </x:c>
      <x:c r="V304" t="s">
        <x:v>45</x:v>
      </x:c>
      <x:c r="W304" t="s">
        <x:v>60</x:v>
      </x:c>
      <x:c r="X304">
        <x:v>0</x:v>
      </x:c>
      <x:c r="Y304" t="s">
        <x:v>290</x:v>
      </x:c>
      <x:c r="Z304" t="s">
        <x:v>48</x:v>
      </x:c>
      <x:c r="AA304" t="s">
        <x:v>49</x:v>
      </x:c>
      <x:c r="AB304">
        <x:v>978789268</x:v>
      </x:c>
      <x:c r="AC304" t="s">
        <x:v>635</x:v>
      </x:c>
    </x:row>
    <x:row r="305">
      <x:c r="A305" s="1">
        <x:v>46225</x:v>
      </x:c>
      <x:c r="B305" t="s">
        <x:v>3600</x:v>
      </x:c>
      <x:c r="C305" t="s">
        <x:v>3844</x:v>
      </x:c>
      <x:c r="D305" t="s">
        <x:v>29</x:v>
      </x:c>
      <x:c r="E305" t="s">
        <x:v>3845</x:v>
      </x:c>
      <x:c r="F305" t="s">
        <x:v>31</x:v>
      </x:c>
      <x:c r="G305" t="s">
        <x:v>3846</x:v>
      </x:c>
      <x:c r="H305" t="s">
        <x:v>3832</x:v>
      </x:c>
      <x:c r="I305" t="s">
        <x:v>3833</x:v>
      </x:c>
      <x:c r="J305" t="s">
        <x:v>630</x:v>
      </x:c>
      <x:c r="K305" t="s">
        <x:v>631</x:v>
      </x:c>
      <x:c r="L305" t="s">
        <x:v>37</x:v>
      </x:c>
      <x:c r="M305" t="s">
        <x:v>3834</x:v>
      </x:c>
      <x:c r="N305" t="s">
        <x:v>610</x:v>
      </x:c>
      <x:c r="O305" t="s">
        <x:v>3832</x:v>
      </x:c>
      <x:c r="P305" t="s">
        <x:v>3847</x:v>
      </x:c>
      <x:c r="Q305" t="s">
        <x:v>1624</x:v>
      </x:c>
      <x:c r="R305">
        <x:v>1</x:v>
      </x:c>
      <x:c r="S305" t="s">
        <x:v>42</x:v>
      </x:c>
      <x:c r="T305" t="s">
        <x:v>44</x:v>
      </x:c>
      <x:c r="U305" t="s">
        <x:v>44</x:v>
      </x:c>
      <x:c r="V305" t="s">
        <x:v>45</x:v>
      </x:c>
      <x:c r="W305" t="s">
        <x:v>60</x:v>
      </x:c>
      <x:c r="X305">
        <x:v>1050.8499999999999</x:v>
      </x:c>
      <x:c r="Y305" t="s">
        <x:v>290</x:v>
      </x:c>
      <x:c r="Z305" t="s">
        <x:v>48</x:v>
      </x:c>
      <x:c r="AA305" t="s">
        <x:v>49</x:v>
      </x:c>
      <x:c r="AB305">
        <x:v>978789268</x:v>
      </x:c>
      <x:c r="AC305" t="s">
        <x:v>635</x:v>
      </x:c>
    </x:row>
    <x:row r="306">
      <x:c r="A306" s="1">
        <x:v>46225</x:v>
      </x:c>
      <x:c r="B306" t="s">
        <x:v>3600</x:v>
      </x:c>
      <x:c r="C306" t="s">
        <x:v>3848</x:v>
      </x:c>
      <x:c r="D306" t="s">
        <x:v>269</x:v>
      </x:c>
      <x:c r="E306" t="s">
        <x:v>3849</x:v>
      </x:c>
      <x:c r="F306" t="s">
        <x:v>31</x:v>
      </x:c>
      <x:c r="G306" t="s">
        <x:v>3850</x:v>
      </x:c>
      <x:c r="H306" t="s">
        <x:v>3851</x:v>
      </x:c>
      <x:c r="I306" t="s">
        <x:v>3852</x:v>
      </x:c>
      <x:c r="J306" t="s">
        <x:v>2841</x:v>
      </x:c>
      <x:c r="K306" t="s">
        <x:v>210</x:v>
      </x:c>
      <x:c r="L306" t="s">
        <x:v>37</x:v>
      </x:c>
      <x:c r="M306" t="s">
        <x:v>3853</x:v>
      </x:c>
      <x:c r="N306" t="s">
        <x:v>3854</x:v>
      </x:c>
      <x:c r="O306" t="s">
        <x:v>1254</x:v>
      </x:c>
      <x:c r="P306" t="s">
        <x:v>3855</x:v>
      </x:c>
      <x:c r="Q306" t="s">
        <x:v>289</x:v>
      </x:c>
      <x:c r="R306">
        <x:v>1</x:v>
      </x:c>
      <x:c r="S306" t="s">
        <x:v>42</x:v>
      </x:c>
      <x:c r="T306" t="s">
        <x:v>44</x:v>
      </x:c>
      <x:c r="U306" t="s">
        <x:v>44</x:v>
      </x:c>
      <x:c r="V306" t="s">
        <x:v>45</x:v>
      </x:c>
      <x:c r="W306" t="s">
        <x:v>60</x:v>
      </x:c>
      <x:c r="X306">
        <x:v>0</x:v>
      </x:c>
      <x:c r="Y306" t="s">
        <x:v>290</x:v>
      </x:c>
      <x:c r="Z306" t="s">
        <x:v>48</x:v>
      </x:c>
      <x:c r="AA306" t="s">
        <x:v>49</x:v>
      </x:c>
      <x:c r="AB306">
        <x:v>994872106</x:v>
      </x:c>
      <x:c r="AC306" t="s">
        <x:v>1256</x:v>
      </x:c>
    </x:row>
    <x:row r="307">
      <x:c r="A307" s="1">
        <x:v>46225</x:v>
      </x:c>
      <x:c r="B307" t="s">
        <x:v>3600</x:v>
      </x:c>
      <x:c r="C307" t="s">
        <x:v>3848</x:v>
      </x:c>
      <x:c r="D307" t="s">
        <x:v>269</x:v>
      </x:c>
      <x:c r="E307" t="s">
        <x:v>3849</x:v>
      </x:c>
      <x:c r="F307" t="s">
        <x:v>31</x:v>
      </x:c>
      <x:c r="G307" t="s">
        <x:v>3850</x:v>
      </x:c>
      <x:c r="H307" t="s">
        <x:v>3851</x:v>
      </x:c>
      <x:c r="I307" t="s">
        <x:v>3852</x:v>
      </x:c>
      <x:c r="J307" t="s">
        <x:v>2841</x:v>
      </x:c>
      <x:c r="K307" t="s">
        <x:v>210</x:v>
      </x:c>
      <x:c r="L307" t="s">
        <x:v>37</x:v>
      </x:c>
      <x:c r="M307" t="s">
        <x:v>3853</x:v>
      </x:c>
      <x:c r="N307" t="s">
        <x:v>3854</x:v>
      </x:c>
      <x:c r="O307" t="s">
        <x:v>1254</x:v>
      </x:c>
      <x:c r="P307" t="s">
        <x:v>3855</x:v>
      </x:c>
      <x:c r="Q307" t="s">
        <x:v>1624</x:v>
      </x:c>
      <x:c r="R307">
        <x:v>1</x:v>
      </x:c>
      <x:c r="S307" t="s">
        <x:v>42</x:v>
      </x:c>
      <x:c r="T307" t="s">
        <x:v>44</x:v>
      </x:c>
      <x:c r="U307" t="s">
        <x:v>44</x:v>
      </x:c>
      <x:c r="V307" t="s">
        <x:v>45</x:v>
      </x:c>
      <x:c r="W307" t="s">
        <x:v>60</x:v>
      </x:c>
      <x:c r="X307">
        <x:v>279.66000000000003</x:v>
      </x:c>
      <x:c r="Y307" t="s">
        <x:v>290</x:v>
      </x:c>
      <x:c r="Z307" t="s">
        <x:v>48</x:v>
      </x:c>
      <x:c r="AA307" t="s">
        <x:v>49</x:v>
      </x:c>
      <x:c r="AB307">
        <x:v>994872106</x:v>
      </x:c>
      <x:c r="AC307" t="s">
        <x:v>1256</x:v>
      </x:c>
    </x:row>
    <x:row r="308">
      <x:c r="A308" s="1">
        <x:v>46225</x:v>
      </x:c>
      <x:c r="B308" t="s">
        <x:v>3600</x:v>
      </x:c>
      <x:c r="C308" t="s">
        <x:v>3856</x:v>
      </x:c>
      <x:c r="D308" t="s">
        <x:v>269</x:v>
      </x:c>
      <x:c r="E308" t="s">
        <x:v>3857</x:v>
      </x:c>
      <x:c r="F308" t="s">
        <x:v>31</x:v>
      </x:c>
      <x:c r="G308" t="s">
        <x:v>3858</x:v>
      </x:c>
      <x:c r="H308" t="s">
        <x:v>1250</x:v>
      </x:c>
      <x:c r="I308" t="s">
        <x:v>1251</x:v>
      </x:c>
      <x:c r="J308" t="s">
        <x:v>2841</x:v>
      </x:c>
      <x:c r="K308" t="s">
        <x:v>210</x:v>
      </x:c>
      <x:c r="L308" t="s">
        <x:v>37</x:v>
      </x:c>
      <x:c r="M308" t="s">
        <x:v>1253</x:v>
      </x:c>
      <x:c r="N308" t="s">
        <x:v>610</x:v>
      </x:c>
      <x:c r="O308" t="s">
        <x:v>1254</x:v>
      </x:c>
      <x:c r="P308" t="s">
        <x:v>3859</x:v>
      </x:c>
      <x:c r="Q308" t="s">
        <x:v>289</x:v>
      </x:c>
      <x:c r="R308">
        <x:v>1</x:v>
      </x:c>
      <x:c r="S308" t="s">
        <x:v>42</x:v>
      </x:c>
      <x:c r="T308" t="s">
        <x:v>44</x:v>
      </x:c>
      <x:c r="U308" t="s">
        <x:v>44</x:v>
      </x:c>
      <x:c r="V308" t="s">
        <x:v>45</x:v>
      </x:c>
      <x:c r="W308" t="s">
        <x:v>60</x:v>
      </x:c>
      <x:c r="X308">
        <x:v>0</x:v>
      </x:c>
      <x:c r="Y308" t="s">
        <x:v>290</x:v>
      </x:c>
      <x:c r="Z308" t="s">
        <x:v>48</x:v>
      </x:c>
      <x:c r="AA308" t="s">
        <x:v>49</x:v>
      </x:c>
      <x:c r="AB308">
        <x:v>994872106</x:v>
      </x:c>
      <x:c r="AC308" t="s">
        <x:v>1256</x:v>
      </x:c>
    </x:row>
    <x:row r="309">
      <x:c r="A309" s="1">
        <x:v>46225</x:v>
      </x:c>
      <x:c r="B309" t="s">
        <x:v>3600</x:v>
      </x:c>
      <x:c r="C309" t="s">
        <x:v>3856</x:v>
      </x:c>
      <x:c r="D309" t="s">
        <x:v>269</x:v>
      </x:c>
      <x:c r="E309" t="s">
        <x:v>3857</x:v>
      </x:c>
      <x:c r="F309" t="s">
        <x:v>31</x:v>
      </x:c>
      <x:c r="G309" t="s">
        <x:v>3858</x:v>
      </x:c>
      <x:c r="H309" t="s">
        <x:v>1250</x:v>
      </x:c>
      <x:c r="I309" t="s">
        <x:v>1251</x:v>
      </x:c>
      <x:c r="J309" t="s">
        <x:v>2841</x:v>
      </x:c>
      <x:c r="K309" t="s">
        <x:v>210</x:v>
      </x:c>
      <x:c r="L309" t="s">
        <x:v>37</x:v>
      </x:c>
      <x:c r="M309" t="s">
        <x:v>1253</x:v>
      </x:c>
      <x:c r="N309" t="s">
        <x:v>610</x:v>
      </x:c>
      <x:c r="O309" t="s">
        <x:v>1254</x:v>
      </x:c>
      <x:c r="P309" t="s">
        <x:v>3859</x:v>
      </x:c>
      <x:c r="Q309" t="s">
        <x:v>1624</x:v>
      </x:c>
      <x:c r="R309">
        <x:v>1</x:v>
      </x:c>
      <x:c r="S309" t="s">
        <x:v>42</x:v>
      </x:c>
      <x:c r="T309" t="s">
        <x:v>44</x:v>
      </x:c>
      <x:c r="U309" t="s">
        <x:v>44</x:v>
      </x:c>
      <x:c r="V309" t="s">
        <x:v>45</x:v>
      </x:c>
      <x:c r="W309" t="s">
        <x:v>60</x:v>
      </x:c>
      <x:c r="X309">
        <x:v>139.83000000000001</x:v>
      </x:c>
      <x:c r="Y309" t="s">
        <x:v>290</x:v>
      </x:c>
      <x:c r="Z309" t="s">
        <x:v>48</x:v>
      </x:c>
      <x:c r="AA309" t="s">
        <x:v>49</x:v>
      </x:c>
      <x:c r="AB309">
        <x:v>994872106</x:v>
      </x:c>
      <x:c r="AC309" t="s">
        <x:v>1256</x:v>
      </x:c>
    </x:row>
    <x:row r="310">
      <x:c r="A310" s="1">
        <x:v>46225</x:v>
      </x:c>
      <x:c r="B310" t="s">
        <x:v>3600</x:v>
      </x:c>
      <x:c r="C310" t="s">
        <x:v>3860</x:v>
      </x:c>
      <x:c r="D310" t="s">
        <x:v>29</x:v>
      </x:c>
      <x:c r="E310" t="s">
        <x:v>3861</x:v>
      </x:c>
      <x:c r="F310" t="s">
        <x:v>31</x:v>
      </x:c>
      <x:c r="G310" t="s">
        <x:v>3862</x:v>
      </x:c>
      <x:c r="H310" t="s">
        <x:v>3863</x:v>
      </x:c>
      <x:c r="I310" t="s">
        <x:v>3864</x:v>
      </x:c>
      <x:c r="J310" t="s">
        <x:v>1326</x:v>
      </x:c>
      <x:c r="K310" t="s">
        <x:v>36</x:v>
      </x:c>
      <x:c r="L310" t="s">
        <x:v>37</x:v>
      </x:c>
      <x:c r="M310" t="s">
        <x:v>3865</x:v>
      </x:c>
      <x:c r="N310" t="s">
        <x:v>3866</x:v>
      </x:c>
      <x:c r="O310" t="s">
        <x:v>3863</x:v>
      </x:c>
      <x:c r="P310" t="s">
        <x:v>3867</x:v>
      </x:c>
      <x:c r="Q310" t="s">
        <x:v>41</x:v>
      </x:c>
      <x:c r="R310">
        <x:v>1</x:v>
      </x:c>
      <x:c r="S310" t="s">
        <x:v>70</x:v>
      </x:c>
      <x:c r="T310" t="s">
        <x:v>43</x:v>
      </x:c>
      <x:c r="U310" t="s">
        <x:v>44</x:v>
      </x:c>
      <x:c r="V310" t="s">
        <x:v>71</x:v>
      </x:c>
      <x:c r="W310" t="s">
        <x:v>72</x:v>
      </x:c>
      <x:c r="X310">
        <x:v>186.44</x:v>
      </x:c>
      <x:c r="Y310" t="s">
        <x:v>47</x:v>
      </x:c>
      <x:c r="Z310" t="s">
        <x:v>48</x:v>
      </x:c>
      <x:c r="AA310" t="s">
        <x:v>73</x:v>
      </x:c>
      <x:c r="AB310">
        <x:v>999111362</x:v>
      </x:c>
      <x:c r="AC310" t="s">
        <x:v>1330</x:v>
      </x:c>
      <x:c r="AD310">
        <x:v>50</x:v>
      </x:c>
    </x:row>
    <x:row r="311">
      <x:c r="A311" s="1">
        <x:v>46225</x:v>
      </x:c>
      <x:c r="B311" t="s">
        <x:v>3600</x:v>
      </x:c>
      <x:c r="C311" t="s">
        <x:v>3868</x:v>
      </x:c>
      <x:c r="D311" t="s">
        <x:v>29</x:v>
      </x:c>
      <x:c r="E311" t="s">
        <x:v>3869</x:v>
      </x:c>
      <x:c r="F311" t="s">
        <x:v>31</x:v>
      </x:c>
      <x:c r="G311" t="s">
        <x:v>3870</x:v>
      </x:c>
      <x:c r="H311" t="s">
        <x:v>3871</x:v>
      </x:c>
      <x:c r="I311" t="s">
        <x:v>3872</x:v>
      </x:c>
      <x:c r="J311" t="s">
        <x:v>3580</x:v>
      </x:c>
      <x:c r="K311" t="s">
        <x:v>631</x:v>
      </x:c>
      <x:c r="L311" t="s">
        <x:v>37</x:v>
      </x:c>
      <x:c r="M311" t="s">
        <x:v>3873</x:v>
      </x:c>
      <x:c r="N311" t="s">
        <x:v>3874</x:v>
      </x:c>
      <x:c r="O311" t="s">
        <x:v>3871</x:v>
      </x:c>
      <x:c r="P311" t="s">
        <x:v>3875</x:v>
      </x:c>
      <x:c r="Q311" t="s">
        <x:v>102</x:v>
      </x:c>
      <x:c r="R311">
        <x:v>1</x:v>
      </x:c>
      <x:c r="S311" t="s">
        <x:v>42</x:v>
      </x:c>
      <x:c r="T311" t="s">
        <x:v>44</x:v>
      </x:c>
      <x:c r="U311" t="s">
        <x:v>44</x:v>
      </x:c>
      <x:c r="V311" t="s">
        <x:v>45</x:v>
      </x:c>
      <x:c r="W311" t="s">
        <x:v>60</x:v>
      </x:c>
      <x:c r="X311">
        <x:v>186.44</x:v>
      </x:c>
      <x:c r="Y311" t="s">
        <x:v>47</x:v>
      </x:c>
      <x:c r="Z311" t="s">
        <x:v>48</x:v>
      </x:c>
      <x:c r="AA311" t="s">
        <x:v>49</x:v>
      </x:c>
      <x:c r="AB311">
        <x:v>990440701</x:v>
      </x:c>
      <x:c r="AD311">
        <x:v>50</x:v>
      </x:c>
    </x:row>
    <x:row r="312">
      <x:c r="A312" s="1">
        <x:v>46225</x:v>
      </x:c>
      <x:c r="B312" t="s">
        <x:v>3600</x:v>
      </x:c>
      <x:c r="C312" t="s">
        <x:v>3876</x:v>
      </x:c>
      <x:c r="D312" t="s">
        <x:v>29</x:v>
      </x:c>
      <x:c r="E312" t="s">
        <x:v>3877</x:v>
      </x:c>
      <x:c r="F312" t="s">
        <x:v>31</x:v>
      </x:c>
      <x:c r="G312" t="s">
        <x:v>3878</x:v>
      </x:c>
      <x:c r="H312" t="s">
        <x:v>3879</x:v>
      </x:c>
      <x:c r="I312" t="s">
        <x:v>3880</x:v>
      </x:c>
      <x:c r="J312" t="s">
        <x:v>3881</x:v>
      </x:c>
      <x:c r="L312" t="s">
        <x:v>37</x:v>
      </x:c>
      <x:c r="M312" t="s">
        <x:v>3882</x:v>
      </x:c>
      <x:c r="N312" t="s">
        <x:v>3883</x:v>
      </x:c>
      <x:c r="O312" t="s">
        <x:v>3879</x:v>
      </x:c>
      <x:c r="P312" t="s">
        <x:v>3884</x:v>
      </x:c>
      <x:c r="Q312" t="s">
        <x:v>41</x:v>
      </x:c>
      <x:c r="R312">
        <x:v>1</x:v>
      </x:c>
      <x:c r="S312" t="s">
        <x:v>42</x:v>
      </x:c>
      <x:c r="T312" t="s">
        <x:v>44</x:v>
      </x:c>
      <x:c r="U312" t="s">
        <x:v>44</x:v>
      </x:c>
      <x:c r="V312" t="s">
        <x:v>45</x:v>
      </x:c>
      <x:c r="W312" t="s">
        <x:v>60</x:v>
      </x:c>
      <x:c r="X312">
        <x:v>186.44</x:v>
      </x:c>
      <x:c r="Y312" t="s">
        <x:v>47</x:v>
      </x:c>
      <x:c r="Z312" t="s">
        <x:v>48</x:v>
      </x:c>
      <x:c r="AA312" t="s">
        <x:v>49</x:v>
      </x:c>
      <x:c r="AD312">
        <x:v>50</x:v>
      </x:c>
    </x:row>
    <x:row r="313">
      <x:c r="A313" s="1">
        <x:v>46227</x:v>
      </x:c>
      <x:c r="B313" t="s">
        <x:v>3600</x:v>
      </x:c>
      <x:c r="C313" t="s">
        <x:v>3885</x:v>
      </x:c>
      <x:c r="D313" t="s">
        <x:v>29</x:v>
      </x:c>
      <x:c r="E313" t="s">
        <x:v>3886</x:v>
      </x:c>
      <x:c r="F313" t="s">
        <x:v>31</x:v>
      </x:c>
      <x:c r="G313" t="s">
        <x:v>3887</x:v>
      </x:c>
      <x:c r="H313" t="s">
        <x:v>3888</x:v>
      </x:c>
      <x:c r="I313" t="s">
        <x:v>3889</x:v>
      </x:c>
      <x:c r="J313" t="s">
        <x:v>1714</x:v>
      </x:c>
      <x:c r="K313" t="s">
        <x:v>1167</x:v>
      </x:c>
      <x:c r="L313" t="s">
        <x:v>37</x:v>
      </x:c>
      <x:c r="M313" t="s">
        <x:v>3890</x:v>
      </x:c>
      <x:c r="N313" t="s">
        <x:v>3891</x:v>
      </x:c>
      <x:c r="O313" t="s">
        <x:v>3888</x:v>
      </x:c>
      <x:c r="P313" t="s">
        <x:v>3892</x:v>
      </x:c>
      <x:c r="Q313" t="s">
        <x:v>1159</x:v>
      </x:c>
      <x:c r="R313">
        <x:v>1</x:v>
      </x:c>
      <x:c r="S313" t="s">
        <x:v>42</x:v>
      </x:c>
      <x:c r="T313" t="s">
        <x:v>44</x:v>
      </x:c>
      <x:c r="U313" t="s">
        <x:v>44</x:v>
      </x:c>
      <x:c r="V313" t="s">
        <x:v>45</x:v>
      </x:c>
      <x:c r="W313" t="s">
        <x:v>60</x:v>
      </x:c>
      <x:c r="X313">
        <x:v>338.98</x:v>
      </x:c>
      <x:c r="Y313" t="s">
        <x:v>47</x:v>
      </x:c>
      <x:c r="Z313" t="s">
        <x:v>48</x:v>
      </x:c>
      <x:c r="AA313" t="s">
        <x:v>49</x:v>
      </x:c>
      <x:c r="AD313">
        <x:v>100</x:v>
      </x:c>
    </x:row>
    <x:row r="314">
      <x:c r="A314" s="1">
        <x:v>46227</x:v>
      </x:c>
      <x:c r="B314" t="s">
        <x:v>3600</x:v>
      </x:c>
      <x:c r="C314" t="s">
        <x:v>3893</x:v>
      </x:c>
      <x:c r="D314" t="s">
        <x:v>29</x:v>
      </x:c>
      <x:c r="E314" t="s">
        <x:v>3894</x:v>
      </x:c>
      <x:c r="F314" t="s">
        <x:v>31</x:v>
      </x:c>
      <x:c r="G314" t="s">
        <x:v>3895</x:v>
      </x:c>
      <x:c r="H314" t="s">
        <x:v>3896</x:v>
      </x:c>
      <x:c r="I314" t="s">
        <x:v>3897</x:v>
      </x:c>
      <x:c r="J314" t="s">
        <x:v>776</x:v>
      </x:c>
      <x:c r="K314" t="s">
        <x:v>777</x:v>
      </x:c>
      <x:c r="L314" t="s">
        <x:v>37</x:v>
      </x:c>
      <x:c r="M314" t="s">
        <x:v>3898</x:v>
      </x:c>
      <x:c r="N314" t="s">
        <x:v>3899</x:v>
      </x:c>
      <x:c r="O314" t="s">
        <x:v>3896</x:v>
      </x:c>
      <x:c r="P314" t="s">
        <x:v>3900</x:v>
      </x:c>
      <x:c r="Q314" t="s">
        <x:v>643</x:v>
      </x:c>
      <x:c r="R314">
        <x:v>1</x:v>
      </x:c>
      <x:c r="S314" t="s">
        <x:v>42</x:v>
      </x:c>
      <x:c r="T314" t="s">
        <x:v>44</x:v>
      </x:c>
      <x:c r="U314" t="s">
        <x:v>44</x:v>
      </x:c>
      <x:c r="V314" t="s">
        <x:v>45</x:v>
      </x:c>
      <x:c r="W314" t="s">
        <x:v>60</x:v>
      </x:c>
      <x:c r="X314">
        <x:v>84.75</x:v>
      </x:c>
      <x:c r="Y314" t="s">
        <x:v>47</x:v>
      </x:c>
      <x:c r="Z314" t="s">
        <x:v>48</x:v>
      </x:c>
      <x:c r="AA314" t="s">
        <x:v>49</x:v>
      </x:c>
    </x:row>
    <x:row r="315">
      <x:c r="A315" s="1">
        <x:v>46227</x:v>
      </x:c>
      <x:c r="B315" t="s">
        <x:v>3600</x:v>
      </x:c>
      <x:c r="C315" t="s">
        <x:v>3901</x:v>
      </x:c>
      <x:c r="D315" t="s">
        <x:v>269</x:v>
      </x:c>
      <x:c r="E315" t="s">
        <x:v>3902</x:v>
      </x:c>
      <x:c r="F315" t="s">
        <x:v>31</x:v>
      </x:c>
      <x:c r="G315" t="s">
        <x:v>3903</x:v>
      </x:c>
      <x:c r="H315" t="s">
        <x:v>3904</x:v>
      </x:c>
      <x:c r="I315" t="s">
        <x:v>3905</x:v>
      </x:c>
      <x:c r="J315" t="s">
        <x:v>478</x:v>
      </x:c>
      <x:c r="K315" t="s">
        <x:v>210</x:v>
      </x:c>
      <x:c r="L315" t="s">
        <x:v>37</x:v>
      </x:c>
      <x:c r="M315" t="s">
        <x:v>3906</x:v>
      </x:c>
      <x:c r="N315" t="s">
        <x:v>3907</x:v>
      </x:c>
      <x:c r="O315" t="s">
        <x:v>487</x:v>
      </x:c>
      <x:c r="P315" t="s">
        <x:v>3908</x:v>
      </x:c>
      <x:c r="Q315" t="s">
        <x:v>59</x:v>
      </x:c>
      <x:c r="R315">
        <x:v>1</x:v>
      </x:c>
      <x:c r="S315" t="s">
        <x:v>42</x:v>
      </x:c>
      <x:c r="T315" t="s">
        <x:v>44</x:v>
      </x:c>
      <x:c r="U315" t="s">
        <x:v>44</x:v>
      </x:c>
      <x:c r="V315" t="s">
        <x:v>45</x:v>
      </x:c>
      <x:c r="W315" t="s">
        <x:v>60</x:v>
      </x:c>
      <x:c r="X315">
        <x:v>101.69</x:v>
      </x:c>
      <x:c r="Y315" t="s">
        <x:v>61</x:v>
      </x:c>
      <x:c r="Z315" t="s">
        <x:v>48</x:v>
      </x:c>
      <x:c r="AA315" t="s">
        <x:v>49</x:v>
      </x:c>
      <x:c r="AB315">
        <x:v>982536223</x:v>
      </x:c>
      <x:c r="AC315" t="s">
        <x:v>483</x:v>
      </x:c>
    </x:row>
    <x:row r="316">
      <x:c r="A316" s="1">
        <x:v>46228</x:v>
      </x:c>
      <x:c r="B316" t="s">
        <x:v>3600</x:v>
      </x:c>
      <x:c r="C316" t="s">
        <x:v>3909</x:v>
      </x:c>
      <x:c r="D316" t="s">
        <x:v>269</x:v>
      </x:c>
      <x:c r="E316" t="s">
        <x:v>3910</x:v>
      </x:c>
      <x:c r="F316" t="s">
        <x:v>31</x:v>
      </x:c>
      <x:c r="G316" t="s">
        <x:v>3911</x:v>
      </x:c>
      <x:c r="H316" t="s">
        <x:v>3896</x:v>
      </x:c>
      <x:c r="I316" t="s">
        <x:v>3897</x:v>
      </x:c>
      <x:c r="J316" t="s">
        <x:v>776</x:v>
      </x:c>
      <x:c r="K316" t="s">
        <x:v>777</x:v>
      </x:c>
      <x:c r="L316" t="s">
        <x:v>37</x:v>
      </x:c>
      <x:c r="M316" t="s">
        <x:v>3898</x:v>
      </x:c>
      <x:c r="N316" t="s">
        <x:v>3899</x:v>
      </x:c>
      <x:c r="O316" t="s">
        <x:v>800</x:v>
      </x:c>
      <x:c r="P316" t="s">
        <x:v>3912</x:v>
      </x:c>
      <x:c r="Q316" t="s">
        <x:v>289</x:v>
      </x:c>
      <x:c r="R316">
        <x:v>1</x:v>
      </x:c>
      <x:c r="S316" t="s">
        <x:v>42</x:v>
      </x:c>
      <x:c r="T316" t="s">
        <x:v>44</x:v>
      </x:c>
      <x:c r="U316" t="s">
        <x:v>44</x:v>
      </x:c>
      <x:c r="V316" t="s">
        <x:v>45</x:v>
      </x:c>
      <x:c r="W316" t="s">
        <x:v>60</x:v>
      </x:c>
      <x:c r="X316">
        <x:v>0</x:v>
      </x:c>
      <x:c r="Y316" t="s">
        <x:v>290</x:v>
      </x:c>
      <x:c r="Z316" t="s">
        <x:v>48</x:v>
      </x:c>
      <x:c r="AA316" t="s">
        <x:v>49</x:v>
      </x:c>
    </x:row>
    <x:row r="317">
      <x:c r="A317" s="1">
        <x:v>46228</x:v>
      </x:c>
      <x:c r="B317" t="s">
        <x:v>3600</x:v>
      </x:c>
      <x:c r="C317" t="s">
        <x:v>3909</x:v>
      </x:c>
      <x:c r="D317" t="s">
        <x:v>269</x:v>
      </x:c>
      <x:c r="E317" t="s">
        <x:v>3910</x:v>
      </x:c>
      <x:c r="F317" t="s">
        <x:v>31</x:v>
      </x:c>
      <x:c r="G317" t="s">
        <x:v>3911</x:v>
      </x:c>
      <x:c r="H317" t="s">
        <x:v>3896</x:v>
      </x:c>
      <x:c r="I317" t="s">
        <x:v>3897</x:v>
      </x:c>
      <x:c r="J317" t="s">
        <x:v>776</x:v>
      </x:c>
      <x:c r="K317" t="s">
        <x:v>777</x:v>
      </x:c>
      <x:c r="L317" t="s">
        <x:v>37</x:v>
      </x:c>
      <x:c r="M317" t="s">
        <x:v>3898</x:v>
      </x:c>
      <x:c r="N317" t="s">
        <x:v>3899</x:v>
      </x:c>
      <x:c r="O317" t="s">
        <x:v>800</x:v>
      </x:c>
      <x:c r="P317" t="s">
        <x:v>3912</x:v>
      </x:c>
      <x:c r="Q317" t="s">
        <x:v>1624</x:v>
      </x:c>
      <x:c r="R317">
        <x:v>1</x:v>
      </x:c>
      <x:c r="S317" t="s">
        <x:v>42</x:v>
      </x:c>
      <x:c r="T317" t="s">
        <x:v>44</x:v>
      </x:c>
      <x:c r="U317" t="s">
        <x:v>44</x:v>
      </x:c>
      <x:c r="V317" t="s">
        <x:v>45</x:v>
      </x:c>
      <x:c r="W317" t="s">
        <x:v>60</x:v>
      </x:c>
      <x:c r="X317">
        <x:v>762.71</x:v>
      </x:c>
      <x:c r="Y317" t="s">
        <x:v>290</x:v>
      </x:c>
      <x:c r="Z317" t="s">
        <x:v>48</x:v>
      </x:c>
      <x:c r="AA317" t="s">
        <x:v>49</x:v>
      </x:c>
    </x:row>
    <x:row r="318">
      <x:c r="A318" s="1">
        <x:v>46228</x:v>
      </x:c>
      <x:c r="B318" t="s">
        <x:v>3600</x:v>
      </x:c>
      <x:c r="C318" t="s">
        <x:v>3913</x:v>
      </x:c>
      <x:c r="D318" t="s">
        <x:v>29</x:v>
      </x:c>
      <x:c r="E318" t="s">
        <x:v>3914</x:v>
      </x:c>
      <x:c r="F318" t="s">
        <x:v>31</x:v>
      </x:c>
      <x:c r="G318" t="s">
        <x:v>3915</x:v>
      </x:c>
      <x:c r="H318" t="s">
        <x:v>3916</x:v>
      </x:c>
      <x:c r="I318" t="s">
        <x:v>3917</x:v>
      </x:c>
      <x:c r="J318" t="s">
        <x:v>3166</x:v>
      </x:c>
      <x:c r="K318" t="s">
        <x:v>2600</x:v>
      </x:c>
      <x:c r="L318" t="s">
        <x:v>37</x:v>
      </x:c>
      <x:c r="M318" t="s">
        <x:v>3918</x:v>
      </x:c>
      <x:c r="N318" t="s">
        <x:v>3919</x:v>
      </x:c>
      <x:c r="O318" t="s">
        <x:v>3916</x:v>
      </x:c>
      <x:c r="P318" t="s">
        <x:v>3920</x:v>
      </x:c>
      <x:c r="Q318" t="s">
        <x:v>289</x:v>
      </x:c>
      <x:c r="R318">
        <x:v>1</x:v>
      </x:c>
      <x:c r="S318" t="s">
        <x:v>42</x:v>
      </x:c>
      <x:c r="T318" t="s">
        <x:v>44</x:v>
      </x:c>
      <x:c r="U318" t="s">
        <x:v>44</x:v>
      </x:c>
      <x:c r="V318" t="s">
        <x:v>45</x:v>
      </x:c>
      <x:c r="W318" t="s">
        <x:v>60</x:v>
      </x:c>
      <x:c r="X318">
        <x:v>0</x:v>
      </x:c>
      <x:c r="Y318" t="s">
        <x:v>290</x:v>
      </x:c>
      <x:c r="Z318" t="s">
        <x:v>48</x:v>
      </x:c>
      <x:c r="AA318" t="s">
        <x:v>49</x:v>
      </x:c>
      <x:c r="AB318">
        <x:v>973914900</x:v>
      </x:c>
      <x:c r="AC318" t="s">
        <x:v>3167</x:v>
      </x:c>
    </x:row>
    <x:row r="319">
      <x:c r="A319" s="1">
        <x:v>46228</x:v>
      </x:c>
      <x:c r="B319" t="s">
        <x:v>3600</x:v>
      </x:c>
      <x:c r="C319" t="s">
        <x:v>3913</x:v>
      </x:c>
      <x:c r="D319" t="s">
        <x:v>29</x:v>
      </x:c>
      <x:c r="E319" t="s">
        <x:v>3914</x:v>
      </x:c>
      <x:c r="F319" t="s">
        <x:v>31</x:v>
      </x:c>
      <x:c r="G319" t="s">
        <x:v>3915</x:v>
      </x:c>
      <x:c r="H319" t="s">
        <x:v>3916</x:v>
      </x:c>
      <x:c r="I319" t="s">
        <x:v>3917</x:v>
      </x:c>
      <x:c r="J319" t="s">
        <x:v>3166</x:v>
      </x:c>
      <x:c r="K319" t="s">
        <x:v>2600</x:v>
      </x:c>
      <x:c r="L319" t="s">
        <x:v>37</x:v>
      </x:c>
      <x:c r="M319" t="s">
        <x:v>3918</x:v>
      </x:c>
      <x:c r="N319" t="s">
        <x:v>3919</x:v>
      </x:c>
      <x:c r="O319" t="s">
        <x:v>3916</x:v>
      </x:c>
      <x:c r="P319" t="s">
        <x:v>3920</x:v>
      </x:c>
      <x:c r="Q319" t="s">
        <x:v>1624</x:v>
      </x:c>
      <x:c r="R319">
        <x:v>1</x:v>
      </x:c>
      <x:c r="S319" t="s">
        <x:v>42</x:v>
      </x:c>
      <x:c r="T319" t="s">
        <x:v>44</x:v>
      </x:c>
      <x:c r="U319" t="s">
        <x:v>44</x:v>
      </x:c>
      <x:c r="V319" t="s">
        <x:v>45</x:v>
      </x:c>
      <x:c r="W319" t="s">
        <x:v>60</x:v>
      </x:c>
      <x:c r="X319">
        <x:v>762.71</x:v>
      </x:c>
      <x:c r="Y319" t="s">
        <x:v>290</x:v>
      </x:c>
      <x:c r="Z319" t="s">
        <x:v>48</x:v>
      </x:c>
      <x:c r="AA319" t="s">
        <x:v>49</x:v>
      </x:c>
      <x:c r="AB319">
        <x:v>973914900</x:v>
      </x:c>
      <x:c r="AC319" t="s">
        <x:v>3167</x:v>
      </x:c>
    </x:row>
    <x:row r="320">
      <x:c r="A320" s="1">
        <x:v>46228</x:v>
      </x:c>
      <x:c r="B320" t="s">
        <x:v>3600</x:v>
      </x:c>
      <x:c r="C320" t="s">
        <x:v>3921</x:v>
      </x:c>
      <x:c r="D320" t="s">
        <x:v>29</x:v>
      </x:c>
      <x:c r="E320" t="s">
        <x:v>3922</x:v>
      </x:c>
      <x:c r="F320" t="s">
        <x:v>31</x:v>
      </x:c>
      <x:c r="G320" t="s">
        <x:v>3923</x:v>
      </x:c>
      <x:c r="H320" t="s">
        <x:v>3924</x:v>
      </x:c>
      <x:c r="I320" t="s">
        <x:v>3925</x:v>
      </x:c>
      <x:c r="L320" t="s">
        <x:v>37</x:v>
      </x:c>
      <x:c r="M320" t="s">
        <x:v>3926</x:v>
      </x:c>
      <x:c r="N320" t="s">
        <x:v>3927</x:v>
      </x:c>
      <x:c r="O320" t="s">
        <x:v>3924</x:v>
      </x:c>
      <x:c r="P320" t="s">
        <x:v>3928</x:v>
      </x:c>
      <x:c r="Q320" t="s">
        <x:v>91</x:v>
      </x:c>
      <x:c r="R320">
        <x:v>1</x:v>
      </x:c>
      <x:c r="S320" t="s">
        <x:v>42</x:v>
      </x:c>
      <x:c r="T320" t="s">
        <x:v>44</x:v>
      </x:c>
      <x:c r="U320" t="s">
        <x:v>44</x:v>
      </x:c>
      <x:c r="V320" t="s">
        <x:v>45</x:v>
      </x:c>
      <x:c r="W320" t="s">
        <x:v>60</x:v>
      </x:c>
      <x:c r="X320">
        <x:v>135.59</x:v>
      </x:c>
      <x:c r="Y320" t="s">
        <x:v>47</x:v>
      </x:c>
      <x:c r="Z320" t="s">
        <x:v>48</x:v>
      </x:c>
      <x:c r="AA320" t="s">
        <x:v>49</x:v>
      </x:c>
      <x:c r="AD320">
        <x:v>30</x:v>
      </x:c>
    </x:row>
    <x:row r="321">
      <x:c r="A321" s="1">
        <x:v>46230</x:v>
      </x:c>
      <x:c r="B321" t="s">
        <x:v>3600</x:v>
      </x:c>
      <x:c r="C321" t="s">
        <x:v>3929</x:v>
      </x:c>
      <x:c r="D321" t="s">
        <x:v>29</x:v>
      </x:c>
      <x:c r="E321" t="s">
        <x:v>3930</x:v>
      </x:c>
      <x:c r="F321" t="s">
        <x:v>31</x:v>
      </x:c>
      <x:c r="G321" t="s">
        <x:v>3931</x:v>
      </x:c>
      <x:c r="H321" t="s">
        <x:v>3932</x:v>
      </x:c>
      <x:c r="I321" t="s">
        <x:v>3933</x:v>
      </x:c>
      <x:c r="L321" t="s">
        <x:v>37</x:v>
      </x:c>
      <x:c r="M321" t="s">
        <x:v>3934</x:v>
      </x:c>
      <x:c r="N321" t="s">
        <x:v>3935</x:v>
      </x:c>
      <x:c r="O321" t="s">
        <x:v>3932</x:v>
      </x:c>
      <x:c r="P321" t="s">
        <x:v>3936</x:v>
      </x:c>
      <x:c r="Q321" t="s">
        <x:v>91</x:v>
      </x:c>
      <x:c r="R321">
        <x:v>1</x:v>
      </x:c>
      <x:c r="S321" t="s">
        <x:v>70</x:v>
      </x:c>
      <x:c r="T321" t="s">
        <x:v>43</x:v>
      </x:c>
      <x:c r="U321" t="s">
        <x:v>44</x:v>
      </x:c>
      <x:c r="V321" t="s">
        <x:v>71</x:v>
      </x:c>
      <x:c r="W321" t="s">
        <x:v>185</x:v>
      </x:c>
      <x:c r="X321">
        <x:v>135.59</x:v>
      </x:c>
      <x:c r="Y321" t="s">
        <x:v>47</x:v>
      </x:c>
      <x:c r="Z321" t="s">
        <x:v>48</x:v>
      </x:c>
      <x:c r="AA321" t="s">
        <x:v>73</x:v>
      </x:c>
      <x:c r="AD321">
        <x:v>30</x:v>
      </x:c>
    </x:row>
    <x:row r="322">
      <x:c r="A322" s="1">
        <x:v>46230</x:v>
      </x:c>
      <x:c r="B322" t="s">
        <x:v>3600</x:v>
      </x:c>
      <x:c r="C322" t="s">
        <x:v>3937</x:v>
      </x:c>
      <x:c r="D322" t="s">
        <x:v>29</x:v>
      </x:c>
      <x:c r="E322" t="s">
        <x:v>3938</x:v>
      </x:c>
      <x:c r="F322" t="s">
        <x:v>31</x:v>
      </x:c>
      <x:c r="G322" t="s">
        <x:v>3939</x:v>
      </x:c>
      <x:c r="H322" t="s">
        <x:v>3940</x:v>
      </x:c>
      <x:c r="I322" t="s">
        <x:v>3941</x:v>
      </x:c>
      <x:c r="L322" t="s">
        <x:v>37</x:v>
      </x:c>
      <x:c r="M322" t="s">
        <x:v>3942</x:v>
      </x:c>
      <x:c r="N322" t="s">
        <x:v>3943</x:v>
      </x:c>
      <x:c r="O322" t="s">
        <x:v>3940</x:v>
      </x:c>
      <x:c r="P322" t="s">
        <x:v>3944</x:v>
      </x:c>
      <x:c r="Q322" t="s">
        <x:v>1569</x:v>
      </x:c>
      <x:c r="R322">
        <x:v>1</x:v>
      </x:c>
      <x:c r="S322" t="s">
        <x:v>42</x:v>
      </x:c>
      <x:c r="T322" t="s">
        <x:v>44</x:v>
      </x:c>
      <x:c r="U322" t="s">
        <x:v>44</x:v>
      </x:c>
      <x:c r="V322" t="s">
        <x:v>45</x:v>
      </x:c>
      <x:c r="W322" t="s">
        <x:v>60</x:v>
      </x:c>
      <x:c r="X322">
        <x:v>152.54</x:v>
      </x:c>
      <x:c r="Y322" t="s">
        <x:v>61</x:v>
      </x:c>
      <x:c r="Z322" t="s">
        <x:v>48</x:v>
      </x:c>
      <x:c r="AA322" t="s">
        <x:v>49</x:v>
      </x:c>
    </x:row>
    <x:row r="323">
      <x:c r="A323" s="1">
        <x:v>46230</x:v>
      </x:c>
      <x:c r="B323" t="s">
        <x:v>3600</x:v>
      </x:c>
      <x:c r="C323" t="s">
        <x:v>3945</x:v>
      </x:c>
      <x:c r="D323" t="s">
        <x:v>29</x:v>
      </x:c>
      <x:c r="E323" t="s">
        <x:v>3946</x:v>
      </x:c>
      <x:c r="F323" t="s">
        <x:v>31</x:v>
      </x:c>
      <x:c r="G323" t="s">
        <x:v>3947</x:v>
      </x:c>
      <x:c r="H323" t="s">
        <x:v>3948</x:v>
      </x:c>
      <x:c r="I323" t="s">
        <x:v>3949</x:v>
      </x:c>
      <x:c r="L323" t="s">
        <x:v>37</x:v>
      </x:c>
      <x:c r="M323" t="s">
        <x:v>3950</x:v>
      </x:c>
      <x:c r="N323" t="s">
        <x:v>3951</x:v>
      </x:c>
      <x:c r="O323" t="s">
        <x:v>3948</x:v>
      </x:c>
      <x:c r="P323" t="s">
        <x:v>3952</x:v>
      </x:c>
      <x:c r="Q323" t="s">
        <x:v>131</x:v>
      </x:c>
      <x:c r="R323">
        <x:v>1</x:v>
      </x:c>
      <x:c r="S323" t="s">
        <x:v>42</x:v>
      </x:c>
      <x:c r="T323" t="s">
        <x:v>44</x:v>
      </x:c>
      <x:c r="U323" t="s">
        <x:v>44</x:v>
      </x:c>
      <x:c r="V323" t="s">
        <x:v>45</x:v>
      </x:c>
      <x:c r="W323" t="s">
        <x:v>60</x:v>
      </x:c>
      <x:c r="X323">
        <x:v>152.54</x:v>
      </x:c>
      <x:c r="Y323" t="s">
        <x:v>47</x:v>
      </x:c>
      <x:c r="Z323" t="s">
        <x:v>48</x:v>
      </x:c>
      <x:c r="AA323" t="s">
        <x:v>49</x:v>
      </x:c>
      <x:c r="AD323">
        <x:v>30</x:v>
      </x:c>
    </x:row>
    <x:row r="324">
      <x:c r="A324" s="1">
        <x:v>46230</x:v>
      </x:c>
      <x:c r="B324" t="s">
        <x:v>3600</x:v>
      </x:c>
      <x:c r="C324" t="s">
        <x:v>3953</x:v>
      </x:c>
      <x:c r="D324" t="s">
        <x:v>400</x:v>
      </x:c>
      <x:c r="E324" t="s">
        <x:v>3946</x:v>
      </x:c>
      <x:c r="F324" t="s">
        <x:v>401</x:v>
      </x:c>
      <x:c r="G324" t="s">
        <x:v>3954</x:v>
      </x:c>
      <x:c r="H324" t="s">
        <x:v>3948</x:v>
      </x:c>
      <x:c r="I324" t="s">
        <x:v>3949</x:v>
      </x:c>
      <x:c r="L324" t="s">
        <x:v>401</x:v>
      </x:c>
      <x:c r="M324" t="s">
        <x:v>3950</x:v>
      </x:c>
      <x:c r="N324" t="s">
        <x:v>3951</x:v>
      </x:c>
      <x:c r="O324" t="s">
        <x:v>3948</x:v>
      </x:c>
      <x:c r="P324" t="s">
        <x:v>3952</x:v>
      </x:c>
      <x:c r="Q324" t="s">
        <x:v>131</x:v>
      </x:c>
      <x:c r="R324">
        <x:v>1</x:v>
      </x:c>
      <x:c r="S324" t="s">
        <x:v>42</x:v>
      </x:c>
      <x:c r="T324" t="s">
        <x:v>44</x:v>
      </x:c>
      <x:c r="U324" t="s">
        <x:v>44</x:v>
      </x:c>
      <x:c r="V324" t="s">
        <x:v>45</x:v>
      </x:c>
      <x:c r="W324" t="s">
        <x:v>60</x:v>
      </x:c>
      <x:c r="X324">
        <x:v>-152.54</x:v>
      </x:c>
      <x:c r="Y324" t="s">
        <x:v>47</x:v>
      </x:c>
      <x:c r="Z324" t="s">
        <x:v>48</x:v>
      </x:c>
      <x:c r="AA324" t="s">
        <x:v>49</x:v>
      </x:c>
      <x:c r="AD324">
        <x:v>30</x:v>
      </x:c>
    </x:row>
    <x:row r="325">
      <x:c r="A325" s="1">
        <x:v>46230</x:v>
      </x:c>
      <x:c r="B325" t="s">
        <x:v>3600</x:v>
      </x:c>
      <x:c r="C325" t="s">
        <x:v>3955</x:v>
      </x:c>
      <x:c r="D325" t="s">
        <x:v>29</x:v>
      </x:c>
      <x:c r="E325" t="s">
        <x:v>3956</x:v>
      </x:c>
      <x:c r="F325" t="s">
        <x:v>31</x:v>
      </x:c>
      <x:c r="G325" t="s">
        <x:v>3957</x:v>
      </x:c>
      <x:c r="H325" t="s">
        <x:v>3958</x:v>
      </x:c>
      <x:c r="I325" t="s">
        <x:v>3959</x:v>
      </x:c>
      <x:c r="L325" t="s">
        <x:v>37</x:v>
      </x:c>
      <x:c r="M325" t="s">
        <x:v>3960</x:v>
      </x:c>
      <x:c r="N325" t="s">
        <x:v>3961</x:v>
      </x:c>
      <x:c r="O325" t="s">
        <x:v>3958</x:v>
      </x:c>
      <x:c r="P325" t="s">
        <x:v>3962</x:v>
      </x:c>
      <x:c r="Q325" t="s">
        <x:v>41</x:v>
      </x:c>
      <x:c r="R325">
        <x:v>1</x:v>
      </x:c>
      <x:c r="S325" t="s">
        <x:v>42</x:v>
      </x:c>
      <x:c r="T325" t="s">
        <x:v>44</x:v>
      </x:c>
      <x:c r="U325" t="s">
        <x:v>44</x:v>
      </x:c>
      <x:c r="V325" t="s">
        <x:v>45</x:v>
      </x:c>
      <x:c r="W325" t="s">
        <x:v>60</x:v>
      </x:c>
      <x:c r="X325">
        <x:v>186.44</x:v>
      </x:c>
      <x:c r="Y325" t="s">
        <x:v>47</x:v>
      </x:c>
      <x:c r="Z325" t="s">
        <x:v>48</x:v>
      </x:c>
      <x:c r="AA325" t="s">
        <x:v>49</x:v>
      </x:c>
      <x:c r="AD325">
        <x:v>50</x:v>
      </x:c>
    </x:row>
    <x:row r="326">
      <x:c r="A326" s="1">
        <x:v>46230</x:v>
      </x:c>
      <x:c r="B326" t="s">
        <x:v>3600</x:v>
      </x:c>
      <x:c r="C326" t="s">
        <x:v>3955</x:v>
      </x:c>
      <x:c r="D326" t="s">
        <x:v>29</x:v>
      </x:c>
      <x:c r="E326" t="s">
        <x:v>3956</x:v>
      </x:c>
      <x:c r="F326" t="s">
        <x:v>31</x:v>
      </x:c>
      <x:c r="G326" t="s">
        <x:v>3957</x:v>
      </x:c>
      <x:c r="H326" t="s">
        <x:v>3958</x:v>
      </x:c>
      <x:c r="I326" t="s">
        <x:v>3959</x:v>
      </x:c>
      <x:c r="L326" t="s">
        <x:v>37</x:v>
      </x:c>
      <x:c r="M326" t="s">
        <x:v>3960</x:v>
      </x:c>
      <x:c r="N326" t="s">
        <x:v>3961</x:v>
      </x:c>
      <x:c r="O326" t="s">
        <x:v>3958</x:v>
      </x:c>
      <x:c r="P326" t="s">
        <x:v>3962</x:v>
      </x:c>
      <x:c r="Q326" t="s">
        <x:v>102</x:v>
      </x:c>
      <x:c r="R326">
        <x:v>1</x:v>
      </x:c>
      <x:c r="S326" t="s">
        <x:v>42</x:v>
      </x:c>
      <x:c r="T326" t="s">
        <x:v>44</x:v>
      </x:c>
      <x:c r="U326" t="s">
        <x:v>44</x:v>
      </x:c>
      <x:c r="V326" t="s">
        <x:v>45</x:v>
      </x:c>
      <x:c r="W326" t="s">
        <x:v>60</x:v>
      </x:c>
      <x:c r="X326">
        <x:v>186.44</x:v>
      </x:c>
      <x:c r="Y326" t="s">
        <x:v>47</x:v>
      </x:c>
      <x:c r="Z326" t="s">
        <x:v>48</x:v>
      </x:c>
      <x:c r="AA326" t="s">
        <x:v>49</x:v>
      </x:c>
      <x:c r="AD326">
        <x:v>50</x:v>
      </x:c>
    </x:row>
    <x:row r="327">
      <x:c r="A327" s="1">
        <x:v>46233</x:v>
      </x:c>
      <x:c r="B327" t="s">
        <x:v>3600</x:v>
      </x:c>
      <x:c r="C327" t="s">
        <x:v>3963</x:v>
      </x:c>
      <x:c r="D327" t="s">
        <x:v>29</x:v>
      </x:c>
      <x:c r="E327" t="s">
        <x:v>3964</x:v>
      </x:c>
      <x:c r="F327" t="s">
        <x:v>31</x:v>
      </x:c>
      <x:c r="G327" t="s">
        <x:v>3965</x:v>
      </x:c>
      <x:c r="H327" t="s">
        <x:v>3966</x:v>
      </x:c>
      <x:c r="I327" t="s">
        <x:v>3967</x:v>
      </x:c>
      <x:c r="L327" t="s">
        <x:v>37</x:v>
      </x:c>
      <x:c r="M327" t="s">
        <x:v>3968</x:v>
      </x:c>
      <x:c r="N327" t="s">
        <x:v>3969</x:v>
      </x:c>
      <x:c r="O327" t="s">
        <x:v>3966</x:v>
      </x:c>
      <x:c r="P327" t="s">
        <x:v>3970</x:v>
      </x:c>
      <x:c r="Q327" t="s">
        <x:v>131</x:v>
      </x:c>
      <x:c r="R327">
        <x:v>1</x:v>
      </x:c>
      <x:c r="S327" t="s">
        <x:v>42</x:v>
      </x:c>
      <x:c r="T327" t="s">
        <x:v>44</x:v>
      </x:c>
      <x:c r="U327" t="s">
        <x:v>44</x:v>
      </x:c>
      <x:c r="V327" t="s">
        <x:v>71</x:v>
      </x:c>
      <x:c r="W327" t="s">
        <x:v>185</x:v>
      </x:c>
      <x:c r="X327">
        <x:v>152.54</x:v>
      </x:c>
      <x:c r="Y327" t="s">
        <x:v>47</x:v>
      </x:c>
      <x:c r="Z327" t="s">
        <x:v>48</x:v>
      </x:c>
      <x:c r="AA327" t="s">
        <x:v>73</x:v>
      </x:c>
      <x:c r="AD327">
        <x:v>30</x:v>
      </x:c>
    </x:row>
    <x:row r="328">
      <x:c r="A328" s="1">
        <x:v>46233</x:v>
      </x:c>
      <x:c r="B328" t="s">
        <x:v>3600</x:v>
      </x:c>
      <x:c r="C328" t="s">
        <x:v>3971</x:v>
      </x:c>
      <x:c r="D328" t="s">
        <x:v>29</x:v>
      </x:c>
      <x:c r="E328" t="s">
        <x:v>3972</x:v>
      </x:c>
      <x:c r="F328" t="s">
        <x:v>31</x:v>
      </x:c>
      <x:c r="G328" t="s">
        <x:v>3973</x:v>
      </x:c>
      <x:c r="H328" t="s">
        <x:v>3974</x:v>
      </x:c>
      <x:c r="I328" t="s">
        <x:v>3975</x:v>
      </x:c>
      <x:c r="L328" t="s">
        <x:v>37</x:v>
      </x:c>
      <x:c r="M328" t="s">
        <x:v>3976</x:v>
      </x:c>
      <x:c r="N328" t="s">
        <x:v>3977</x:v>
      </x:c>
      <x:c r="O328" t="s">
        <x:v>3974</x:v>
      </x:c>
      <x:c r="P328" t="s">
        <x:v>3978</x:v>
      </x:c>
      <x:c r="Q328" t="s">
        <x:v>102</x:v>
      </x:c>
      <x:c r="R328">
        <x:v>1</x:v>
      </x:c>
      <x:c r="S328" t="s">
        <x:v>42</x:v>
      </x:c>
      <x:c r="T328" t="s">
        <x:v>44</x:v>
      </x:c>
      <x:c r="U328" t="s">
        <x:v>44</x:v>
      </x:c>
      <x:c r="V328" t="s">
        <x:v>45</x:v>
      </x:c>
      <x:c r="W328" t="s">
        <x:v>46</x:v>
      </x:c>
      <x:c r="X328">
        <x:v>186.44</x:v>
      </x:c>
      <x:c r="Y328" t="s">
        <x:v>47</x:v>
      </x:c>
      <x:c r="Z328" t="s">
        <x:v>48</x:v>
      </x:c>
      <x:c r="AA328" t="s">
        <x:v>49</x:v>
      </x:c>
      <x:c r="AD328">
        <x:v>50</x:v>
      </x:c>
    </x:row>
    <x:row r="329">
      <x:c r="A329" s="1">
        <x:v>46233</x:v>
      </x:c>
      <x:c r="B329" t="s">
        <x:v>3600</x:v>
      </x:c>
      <x:c r="C329" t="s">
        <x:v>3979</x:v>
      </x:c>
      <x:c r="D329" t="s">
        <x:v>29</x:v>
      </x:c>
      <x:c r="E329" t="s">
        <x:v>3980</x:v>
      </x:c>
      <x:c r="F329" t="s">
        <x:v>31</x:v>
      </x:c>
      <x:c r="G329" t="s">
        <x:v>3981</x:v>
      </x:c>
      <x:c r="H329" t="s">
        <x:v>3982</x:v>
      </x:c>
      <x:c r="I329" t="s">
        <x:v>3983</x:v>
      </x:c>
      <x:c r="L329" t="s">
        <x:v>37</x:v>
      </x:c>
      <x:c r="M329" t="s">
        <x:v>3984</x:v>
      </x:c>
      <x:c r="N329" t="s">
        <x:v>3985</x:v>
      </x:c>
      <x:c r="O329" t="s">
        <x:v>3982</x:v>
      </x:c>
      <x:c r="P329" t="s">
        <x:v>3986</x:v>
      </x:c>
      <x:c r="Q329" t="s">
        <x:v>102</x:v>
      </x:c>
      <x:c r="R329">
        <x:v>1</x:v>
      </x:c>
      <x:c r="S329" t="s">
        <x:v>42</x:v>
      </x:c>
      <x:c r="T329" t="s">
        <x:v>44</x:v>
      </x:c>
      <x:c r="U329" t="s">
        <x:v>44</x:v>
      </x:c>
      <x:c r="V329" t="s">
        <x:v>71</x:v>
      </x:c>
      <x:c r="W329" t="s">
        <x:v>185</x:v>
      </x:c>
      <x:c r="X329">
        <x:v>186.44</x:v>
      </x:c>
      <x:c r="Y329" t="s">
        <x:v>47</x:v>
      </x:c>
      <x:c r="Z329" t="s">
        <x:v>48</x:v>
      </x:c>
      <x:c r="AA329" t="s">
        <x:v>73</x:v>
      </x:c>
      <x:c r="AD329">
        <x:v>50</x:v>
      </x:c>
    </x:row>
    <x:row r="330">
      <x:c r="A330" s="1">
        <x:v>46233</x:v>
      </x:c>
      <x:c r="B330" t="s">
        <x:v>3600</x:v>
      </x:c>
      <x:c r="C330" t="s">
        <x:v>3987</x:v>
      </x:c>
      <x:c r="D330" t="s">
        <x:v>29</x:v>
      </x:c>
      <x:c r="E330" t="s">
        <x:v>3988</x:v>
      </x:c>
      <x:c r="F330" t="s">
        <x:v>31</x:v>
      </x:c>
      <x:c r="G330" t="s">
        <x:v>3989</x:v>
      </x:c>
      <x:c r="H330" t="s">
        <x:v>3990</x:v>
      </x:c>
      <x:c r="I330" t="s">
        <x:v>3991</x:v>
      </x:c>
      <x:c r="L330" t="s">
        <x:v>37</x:v>
      </x:c>
      <x:c r="M330" t="s">
        <x:v>3992</x:v>
      </x:c>
      <x:c r="N330" t="s">
        <x:v>3993</x:v>
      </x:c>
      <x:c r="O330" t="s">
        <x:v>3990</x:v>
      </x:c>
      <x:c r="P330" t="s">
        <x:v>3994</x:v>
      </x:c>
      <x:c r="Q330" t="s">
        <x:v>91</x:v>
      </x:c>
      <x:c r="R330">
        <x:v>1</x:v>
      </x:c>
      <x:c r="S330" t="s">
        <x:v>42</x:v>
      </x:c>
      <x:c r="T330" t="s">
        <x:v>44</x:v>
      </x:c>
      <x:c r="U330" t="s">
        <x:v>44</x:v>
      </x:c>
      <x:c r="V330" t="s">
        <x:v>45</x:v>
      </x:c>
      <x:c r="W330" t="s">
        <x:v>46</x:v>
      </x:c>
      <x:c r="X330">
        <x:v>135.59</x:v>
      </x:c>
      <x:c r="Y330" t="s">
        <x:v>47</x:v>
      </x:c>
      <x:c r="Z330" t="s">
        <x:v>48</x:v>
      </x:c>
      <x:c r="AA330" t="s">
        <x:v>49</x:v>
      </x:c>
      <x:c r="AD330">
        <x:v>30</x:v>
      </x:c>
    </x:row>
    <x:row r="331">
      <x:c r="A331" s="1">
        <x:v>46234</x:v>
      </x:c>
      <x:c r="B331" t="s">
        <x:v>3600</x:v>
      </x:c>
      <x:c r="C331" t="s">
        <x:v>3995</x:v>
      </x:c>
      <x:c r="D331" t="s">
        <x:v>29</x:v>
      </x:c>
      <x:c r="E331" t="s">
        <x:v>3996</x:v>
      </x:c>
      <x:c r="F331" t="s">
        <x:v>31</x:v>
      </x:c>
      <x:c r="G331" t="s">
        <x:v>3997</x:v>
      </x:c>
      <x:c r="H331" t="s">
        <x:v>3998</x:v>
      </x:c>
      <x:c r="I331" t="s">
        <x:v>3999</x:v>
      </x:c>
      <x:c r="L331" t="s">
        <x:v>37</x:v>
      </x:c>
      <x:c r="M331" t="s">
        <x:v>4000</x:v>
      </x:c>
      <x:c r="N331" t="s">
        <x:v>4001</x:v>
      </x:c>
      <x:c r="O331" t="s">
        <x:v>3998</x:v>
      </x:c>
      <x:c r="P331" t="s">
        <x:v>4002</x:v>
      </x:c>
      <x:c r="Q331" t="s">
        <x:v>202</x:v>
      </x:c>
      <x:c r="R331">
        <x:v>1</x:v>
      </x:c>
      <x:c r="S331" t="s">
        <x:v>42</x:v>
      </x:c>
      <x:c r="T331" t="s">
        <x:v>44</x:v>
      </x:c>
      <x:c r="U331" t="s">
        <x:v>44</x:v>
      </x:c>
      <x:c r="V331" t="s">
        <x:v>45</x:v>
      </x:c>
      <x:c r="W331" t="s">
        <x:v>46</x:v>
      </x:c>
      <x:c r="X331">
        <x:v>152.54</x:v>
      </x:c>
      <x:c r="Y331" t="s">
        <x:v>47</x:v>
      </x:c>
      <x:c r="Z331" t="s">
        <x:v>48</x:v>
      </x:c>
      <x:c r="AA331" t="s">
        <x:v>49</x:v>
      </x:c>
      <x:c r="AD331">
        <x:v>30</x:v>
      </x:c>
    </x:row>
    <x:row r="332">
      <x:c r="A332" s="1">
        <x:v>46234</x:v>
      </x:c>
      <x:c r="B332" t="s">
        <x:v>3600</x:v>
      </x:c>
      <x:c r="C332" t="s">
        <x:v>4003</x:v>
      </x:c>
      <x:c r="D332" t="s">
        <x:v>29</x:v>
      </x:c>
      <x:c r="E332" t="s">
        <x:v>4004</x:v>
      </x:c>
      <x:c r="F332" t="s">
        <x:v>31</x:v>
      </x:c>
      <x:c r="G332" t="s">
        <x:v>4005</x:v>
      </x:c>
      <x:c r="H332" t="s">
        <x:v>4006</x:v>
      </x:c>
      <x:c r="I332" t="s">
        <x:v>4007</x:v>
      </x:c>
      <x:c r="L332" t="s">
        <x:v>37</x:v>
      </x:c>
      <x:c r="M332" t="s">
        <x:v>4008</x:v>
      </x:c>
      <x:c r="N332" t="s">
        <x:v>4009</x:v>
      </x:c>
      <x:c r="O332" t="s">
        <x:v>4006</x:v>
      </x:c>
      <x:c r="P332" t="s">
        <x:v>4010</x:v>
      </x:c>
      <x:c r="Q332" t="s">
        <x:v>91</x:v>
      </x:c>
      <x:c r="R332">
        <x:v>1</x:v>
      </x:c>
      <x:c r="S332" t="s">
        <x:v>42</x:v>
      </x:c>
      <x:c r="T332" t="s">
        <x:v>44</x:v>
      </x:c>
      <x:c r="U332" t="s">
        <x:v>44</x:v>
      </x:c>
      <x:c r="V332" t="s">
        <x:v>45</x:v>
      </x:c>
      <x:c r="W332" t="s">
        <x:v>46</x:v>
      </x:c>
      <x:c r="X332">
        <x:v>135.59</x:v>
      </x:c>
      <x:c r="Y332" t="s">
        <x:v>47</x:v>
      </x:c>
      <x:c r="Z332" t="s">
        <x:v>48</x:v>
      </x:c>
      <x:c r="AA332" t="s">
        <x:v>49</x:v>
      </x:c>
      <x:c r="AD332">
        <x:v>30</x:v>
      </x:c>
    </x:row>
    <x:row r="333">
      <x:c r="A333" s="1">
        <x:v>46234</x:v>
      </x:c>
      <x:c r="B333" t="s">
        <x:v>3600</x:v>
      </x:c>
      <x:c r="C333" t="s">
        <x:v>4011</x:v>
      </x:c>
      <x:c r="D333" t="s">
        <x:v>29</x:v>
      </x:c>
      <x:c r="E333" t="s">
        <x:v>4012</x:v>
      </x:c>
      <x:c r="F333" t="s">
        <x:v>31</x:v>
      </x:c>
      <x:c r="G333" t="s">
        <x:v>4013</x:v>
      </x:c>
      <x:c r="H333" t="s">
        <x:v>4014</x:v>
      </x:c>
      <x:c r="I333" t="s">
        <x:v>4015</x:v>
      </x:c>
      <x:c r="L333" t="s">
        <x:v>37</x:v>
      </x:c>
      <x:c r="M333" t="s">
        <x:v>4016</x:v>
      </x:c>
      <x:c r="N333" t="s">
        <x:v>4017</x:v>
      </x:c>
      <x:c r="O333" t="s">
        <x:v>4014</x:v>
      </x:c>
      <x:c r="P333" t="s">
        <x:v>4018</x:v>
      </x:c>
      <x:c r="Q333" t="s">
        <x:v>350</x:v>
      </x:c>
      <x:c r="R333">
        <x:v>1</x:v>
      </x:c>
      <x:c r="S333" t="s">
        <x:v>70</x:v>
      </x:c>
      <x:c r="T333" t="s">
        <x:v>43</x:v>
      </x:c>
      <x:c r="U333" t="s">
        <x:v>44</x:v>
      </x:c>
      <x:c r="V333" t="s">
        <x:v>71</x:v>
      </x:c>
      <x:c r="W333" t="s">
        <x:v>72</x:v>
      </x:c>
      <x:c r="X333">
        <x:v>169.49</x:v>
      </x:c>
      <x:c r="Y333" t="s">
        <x:v>47</x:v>
      </x:c>
      <x:c r="Z333" t="s">
        <x:v>48</x:v>
      </x:c>
      <x:c r="AA333" t="s">
        <x:v>73</x:v>
      </x:c>
      <x:c r="AD333">
        <x:v>50</x:v>
      </x:c>
    </x:row>
    <x:row r="334">
      <x:c r="A334" s="1">
        <x:v>46234</x:v>
      </x:c>
      <x:c r="B334" t="s">
        <x:v>3600</x:v>
      </x:c>
      <x:c r="C334" t="s">
        <x:v>4019</x:v>
      </x:c>
      <x:c r="D334" t="s">
        <x:v>29</x:v>
      </x:c>
      <x:c r="E334" t="s">
        <x:v>4020</x:v>
      </x:c>
      <x:c r="F334" t="s">
        <x:v>31</x:v>
      </x:c>
      <x:c r="G334" t="s">
        <x:v>4021</x:v>
      </x:c>
      <x:c r="H334" t="s">
        <x:v>4022</x:v>
      </x:c>
      <x:c r="I334" t="s">
        <x:v>4023</x:v>
      </x:c>
      <x:c r="L334" t="s">
        <x:v>37</x:v>
      </x:c>
      <x:c r="M334" t="s">
        <x:v>4024</x:v>
      </x:c>
      <x:c r="N334" t="s">
        <x:v>4025</x:v>
      </x:c>
      <x:c r="O334" t="s">
        <x:v>4022</x:v>
      </x:c>
      <x:c r="P334" t="s">
        <x:v>4026</x:v>
      </x:c>
      <x:c r="Q334" t="s">
        <x:v>41</x:v>
      </x:c>
      <x:c r="R334">
        <x:v>1</x:v>
      </x:c>
      <x:c r="S334" t="s">
        <x:v>42</x:v>
      </x:c>
      <x:c r="T334" t="s">
        <x:v>44</x:v>
      </x:c>
      <x:c r="U334" t="s">
        <x:v>44</x:v>
      </x:c>
      <x:c r="V334" t="s">
        <x:v>45</x:v>
      </x:c>
      <x:c r="W334" t="s">
        <x:v>46</x:v>
      </x:c>
      <x:c r="X334">
        <x:v>186.44</x:v>
      </x:c>
      <x:c r="Y334" t="s">
        <x:v>47</x:v>
      </x:c>
      <x:c r="Z334" t="s">
        <x:v>48</x:v>
      </x:c>
      <x:c r="AA334" t="s">
        <x:v>49</x:v>
      </x:c>
      <x:c r="AD334">
        <x:v>50</x:v>
      </x:c>
    </x:row>
    <x:row r="335">
      <x:c r="A335" s="1">
        <x:v>46234</x:v>
      </x:c>
      <x:c r="B335" t="s">
        <x:v>3600</x:v>
      </x:c>
      <x:c r="C335" t="s">
        <x:v>4027</x:v>
      </x:c>
      <x:c r="D335" t="s">
        <x:v>269</x:v>
      </x:c>
      <x:c r="E335" t="s">
        <x:v>4028</x:v>
      </x:c>
      <x:c r="F335" t="s">
        <x:v>31</x:v>
      </x:c>
      <x:c r="G335" t="s">
        <x:v>4029</x:v>
      </x:c>
      <x:c r="H335" t="s">
        <x:v>2217</x:v>
      </x:c>
      <x:c r="I335" t="s">
        <x:v>2218</x:v>
      </x:c>
      <x:c r="J335" t="s">
        <x:v>274</x:v>
      </x:c>
      <x:c r="K335" t="s">
        <x:v>275</x:v>
      </x:c>
      <x:c r="L335" t="s">
        <x:v>37</x:v>
      </x:c>
      <x:c r="M335" t="s">
        <x:v>2219</x:v>
      </x:c>
      <x:c r="N335" t="s">
        <x:v>2220</x:v>
      </x:c>
      <x:c r="O335" t="s">
        <x:v>278</x:v>
      </x:c>
      <x:c r="P335" t="s">
        <x:v>4030</x:v>
      </x:c>
      <x:c r="Q335" t="s">
        <x:v>289</x:v>
      </x:c>
      <x:c r="R335">
        <x:v>1</x:v>
      </x:c>
      <x:c r="S335" t="s">
        <x:v>42</x:v>
      </x:c>
      <x:c r="T335" t="s">
        <x:v>44</x:v>
      </x:c>
      <x:c r="U335" t="s">
        <x:v>44</x:v>
      </x:c>
      <x:c r="V335" t="s">
        <x:v>45</x:v>
      </x:c>
      <x:c r="W335" t="s">
        <x:v>46</x:v>
      </x:c>
      <x:c r="X335">
        <x:v>0</x:v>
      </x:c>
      <x:c r="Y335" t="s">
        <x:v>290</x:v>
      </x:c>
      <x:c r="Z335" t="s">
        <x:v>48</x:v>
      </x:c>
      <x:c r="AA335" t="s">
        <x:v>49</x:v>
      </x:c>
      <x:c r="AB335">
        <x:v>950133748</x:v>
      </x:c>
      <x:c r="AC335" t="s">
        <x:v>280</x:v>
      </x:c>
    </x:row>
    <x:row r="336">
      <x:c r="A336" s="1">
        <x:v>46234</x:v>
      </x:c>
      <x:c r="B336" t="s">
        <x:v>3600</x:v>
      </x:c>
      <x:c r="C336" t="s">
        <x:v>4027</x:v>
      </x:c>
      <x:c r="D336" t="s">
        <x:v>269</x:v>
      </x:c>
      <x:c r="E336" t="s">
        <x:v>4028</x:v>
      </x:c>
      <x:c r="F336" t="s">
        <x:v>31</x:v>
      </x:c>
      <x:c r="G336" t="s">
        <x:v>4029</x:v>
      </x:c>
      <x:c r="H336" t="s">
        <x:v>2217</x:v>
      </x:c>
      <x:c r="I336" t="s">
        <x:v>2218</x:v>
      </x:c>
      <x:c r="J336" t="s">
        <x:v>274</x:v>
      </x:c>
      <x:c r="K336" t="s">
        <x:v>275</x:v>
      </x:c>
      <x:c r="L336" t="s">
        <x:v>37</x:v>
      </x:c>
      <x:c r="M336" t="s">
        <x:v>2219</x:v>
      </x:c>
      <x:c r="N336" t="s">
        <x:v>2220</x:v>
      </x:c>
      <x:c r="O336" t="s">
        <x:v>278</x:v>
      </x:c>
      <x:c r="P336" t="s">
        <x:v>4030</x:v>
      </x:c>
      <x:c r="Q336" t="s">
        <x:v>1624</x:v>
      </x:c>
      <x:c r="R336">
        <x:v>1</x:v>
      </x:c>
      <x:c r="S336" t="s">
        <x:v>42</x:v>
      </x:c>
      <x:c r="T336" t="s">
        <x:v>44</x:v>
      </x:c>
      <x:c r="U336" t="s">
        <x:v>44</x:v>
      </x:c>
      <x:c r="V336" t="s">
        <x:v>45</x:v>
      </x:c>
      <x:c r="W336" t="s">
        <x:v>46</x:v>
      </x:c>
      <x:c r="X336">
        <x:v>3508.47</x:v>
      </x:c>
      <x:c r="Y336" t="s">
        <x:v>290</x:v>
      </x:c>
      <x:c r="Z336" t="s">
        <x:v>48</x:v>
      </x:c>
      <x:c r="AA336" t="s">
        <x:v>49</x:v>
      </x:c>
      <x:c r="AB336">
        <x:v>950133748</x:v>
      </x:c>
      <x:c r="AC336" t="s">
        <x:v>280</x:v>
      </x:c>
    </x:row>
    <x:row r="337">
      <x:c r="A337" s="1">
        <x:v>46234</x:v>
      </x:c>
      <x:c r="B337" t="s">
        <x:v>3600</x:v>
      </x:c>
      <x:c r="C337" t="s">
        <x:v>4031</x:v>
      </x:c>
      <x:c r="D337" t="s">
        <x:v>269</x:v>
      </x:c>
      <x:c r="E337" t="s">
        <x:v>1972</x:v>
      </x:c>
      <x:c r="F337" t="s">
        <x:v>31</x:v>
      </x:c>
      <x:c r="G337" t="s">
        <x:v>4032</x:v>
      </x:c>
      <x:c r="H337" t="s">
        <x:v>4033</x:v>
      </x:c>
      <x:c r="I337" t="s">
        <x:v>4034</x:v>
      </x:c>
      <x:c r="L337" t="s">
        <x:v>37</x:v>
      </x:c>
      <x:c r="M337" t="s">
        <x:v>4035</x:v>
      </x:c>
      <x:c r="N337" t="s">
        <x:v>4036</x:v>
      </x:c>
      <x:c r="O337" t="s">
        <x:v>278</x:v>
      </x:c>
      <x:c r="P337" t="s">
        <x:v>4037</x:v>
      </x:c>
      <x:c r="Q337" t="s">
        <x:v>59</x:v>
      </x:c>
      <x:c r="R337">
        <x:v>1</x:v>
      </x:c>
      <x:c r="S337" t="s">
        <x:v>42</x:v>
      </x:c>
      <x:c r="T337" t="s">
        <x:v>44</x:v>
      </x:c>
      <x:c r="U337" t="s">
        <x:v>44</x:v>
      </x:c>
      <x:c r="V337" t="s">
        <x:v>45</x:v>
      </x:c>
      <x:c r="W337" t="s">
        <x:v>46</x:v>
      </x:c>
      <x:c r="X337">
        <x:v>101.69</x:v>
      </x:c>
      <x:c r="Y337" t="s">
        <x:v>61</x:v>
      </x:c>
      <x:c r="Z337" t="s">
        <x:v>48</x:v>
      </x:c>
      <x:c r="AA337" t="s">
        <x:v>49</x:v>
      </x:c>
    </x:row>
    <x:row r="338">
      <x:c r="A338" s="1">
        <x:v>46234</x:v>
      </x:c>
      <x:c r="B338" t="s">
        <x:v>3600</x:v>
      </x:c>
      <x:c r="C338" t="s">
        <x:v>4038</x:v>
      </x:c>
      <x:c r="D338" t="s">
        <x:v>269</x:v>
      </x:c>
      <x:c r="E338" t="s">
        <x:v>4039</x:v>
      </x:c>
      <x:c r="F338" t="s">
        <x:v>31</x:v>
      </x:c>
      <x:c r="G338" t="s">
        <x:v>4040</x:v>
      </x:c>
      <x:c r="H338" t="s">
        <x:v>4041</x:v>
      </x:c>
      <x:c r="I338" t="s">
        <x:v>4042</x:v>
      </x:c>
      <x:c r="L338" t="s">
        <x:v>37</x:v>
      </x:c>
      <x:c r="M338" t="s">
        <x:v>4043</x:v>
      </x:c>
      <x:c r="N338" t="s">
        <x:v>4044</x:v>
      </x:c>
      <x:c r="O338" t="s">
        <x:v>278</x:v>
      </x:c>
      <x:c r="P338" t="s">
        <x:v>4045</x:v>
      </x:c>
      <x:c r="Q338" t="s">
        <x:v>131</x:v>
      </x:c>
      <x:c r="R338">
        <x:v>1</x:v>
      </x:c>
      <x:c r="S338" t="s">
        <x:v>42</x:v>
      </x:c>
      <x:c r="T338" t="s">
        <x:v>44</x:v>
      </x:c>
      <x:c r="U338" t="s">
        <x:v>44</x:v>
      </x:c>
      <x:c r="V338" t="s">
        <x:v>45</x:v>
      </x:c>
      <x:c r="W338" t="s">
        <x:v>46</x:v>
      </x:c>
      <x:c r="X338">
        <x:v>152.54</x:v>
      </x:c>
      <x:c r="Y338" t="s">
        <x:v>47</x:v>
      </x:c>
      <x:c r="Z338" t="s">
        <x:v>48</x:v>
      </x:c>
      <x:c r="AA338" t="s">
        <x:v>49</x:v>
      </x:c>
      <x:c r="AD338">
        <x:v>30</x:v>
      </x:c>
    </x:row>
    <x:row r="339">
      <x:c r="A339" s="1">
        <x:v>46234</x:v>
      </x:c>
      <x:c r="B339" t="s">
        <x:v>3600</x:v>
      </x:c>
      <x:c r="C339" t="s">
        <x:v>4046</x:v>
      </x:c>
      <x:c r="D339" t="s">
        <x:v>29</x:v>
      </x:c>
      <x:c r="E339" t="s">
        <x:v>4047</x:v>
      </x:c>
      <x:c r="F339" t="s">
        <x:v>31</x:v>
      </x:c>
      <x:c r="G339" t="s">
        <x:v>4048</x:v>
      </x:c>
      <x:c r="H339" t="s">
        <x:v>4049</x:v>
      </x:c>
      <x:c r="I339" t="s">
        <x:v>4050</x:v>
      </x:c>
      <x:c r="J339" t="s">
        <x:v>664</x:v>
      </x:c>
      <x:c r="K339" t="s">
        <x:v>36</x:v>
      </x:c>
      <x:c r="L339" t="s">
        <x:v>37</x:v>
      </x:c>
      <x:c r="M339" t="s">
        <x:v>4051</x:v>
      </x:c>
      <x:c r="N339" t="s">
        <x:v>4052</x:v>
      </x:c>
      <x:c r="O339" t="s">
        <x:v>4049</x:v>
      </x:c>
      <x:c r="P339" t="s">
        <x:v>4053</x:v>
      </x:c>
      <x:c r="Q339" t="s">
        <x:v>59</x:v>
      </x:c>
      <x:c r="R339">
        <x:v>2</x:v>
      </x:c>
      <x:c r="S339" t="s">
        <x:v>42</x:v>
      </x:c>
      <x:c r="T339" t="s">
        <x:v>44</x:v>
      </x:c>
      <x:c r="U339" t="s">
        <x:v>44</x:v>
      </x:c>
      <x:c r="V339" t="s">
        <x:v>45</x:v>
      </x:c>
      <x:c r="W339" t="s">
        <x:v>46</x:v>
      </x:c>
      <x:c r="X339">
        <x:v>203.39</x:v>
      </x:c>
      <x:c r="Y339" t="s">
        <x:v>61</x:v>
      </x:c>
      <x:c r="Z339" t="s">
        <x:v>48</x:v>
      </x:c>
      <x:c r="AA339" t="s">
        <x:v>49</x:v>
      </x:c>
      <x:c r="AB339">
        <x:v>997145685</x:v>
      </x:c>
      <x:c r="AC339" t="s">
        <x:v>668</x:v>
      </x:c>
    </x:row>
    <x:row r="340">
      <x:c r="A340" s="1">
        <x:v>46235</x:v>
      </x:c>
      <x:c r="B340" t="s">
        <x:v>4054</x:v>
      </x:c>
      <x:c r="C340" t="s">
        <x:v>1331</x:v>
      </x:c>
      <x:c r="D340" t="s">
        <x:v>29</x:v>
      </x:c>
      <x:c r="E340" t="s">
        <x:v>1332</x:v>
      </x:c>
      <x:c r="F340" t="s">
        <x:v>31</x:v>
      </x:c>
      <x:c r="G340" t="s">
        <x:v>1333</x:v>
      </x:c>
      <x:c r="H340" t="s">
        <x:v>1334</x:v>
      </x:c>
      <x:c r="I340" t="s">
        <x:v>1335</x:v>
      </x:c>
      <x:c r="J340" t="s">
        <x:v>1326</x:v>
      </x:c>
      <x:c r="K340" t="s">
        <x:v>36</x:v>
      </x:c>
      <x:c r="L340" t="s">
        <x:v>37</x:v>
      </x:c>
      <x:c r="M340" t="s">
        <x:v>1336</x:v>
      </x:c>
      <x:c r="N340" t="s">
        <x:v>1337</x:v>
      </x:c>
      <x:c r="O340" t="s">
        <x:v>1334</x:v>
      </x:c>
      <x:c r="P340" t="s">
        <x:v>1338</x:v>
      </x:c>
      <x:c r="Q340" t="s">
        <x:v>203</x:v>
      </x:c>
      <x:c r="R340">
        <x:v>1</x:v>
      </x:c>
      <x:c r="S340" t="s">
        <x:v>42</x:v>
      </x:c>
      <x:c r="T340" t="s">
        <x:v>44</x:v>
      </x:c>
      <x:c r="U340" t="s">
        <x:v>44</x:v>
      </x:c>
      <x:c r="V340" t="s">
        <x:v>45</x:v>
      </x:c>
      <x:c r="W340" t="s">
        <x:v>46</x:v>
      </x:c>
      <x:c r="X340">
        <x:v>135.59</x:v>
      </x:c>
      <x:c r="Y340" t="s">
        <x:v>47</x:v>
      </x:c>
      <x:c r="Z340" t="s">
        <x:v>48</x:v>
      </x:c>
      <x:c r="AA340" t="s">
        <x:v>49</x:v>
      </x:c>
      <x:c r="AB340">
        <x:v>999111362</x:v>
      </x:c>
      <x:c r="AC340" t="s">
        <x:v>1330</x:v>
      </x:c>
      <x:c r="AD340">
        <x:v>30</x:v>
      </x:c>
    </x:row>
    <x:row r="341">
      <x:c r="A341" s="1">
        <x:v>46237</x:v>
      </x:c>
      <x:c r="B341" t="s">
        <x:v>4054</x:v>
      </x:c>
      <x:c r="C341" t="s">
        <x:v>1011</x:v>
      </x:c>
      <x:c r="D341" t="s">
        <x:v>29</x:v>
      </x:c>
      <x:c r="E341" t="s">
        <x:v>1012</x:v>
      </x:c>
      <x:c r="F341" t="s">
        <x:v>31</x:v>
      </x:c>
      <x:c r="G341" t="s">
        <x:v>1013</x:v>
      </x:c>
      <x:c r="H341" t="s">
        <x:v>1014</x:v>
      </x:c>
      <x:c r="I341" t="s">
        <x:v>1015</x:v>
      </x:c>
      <x:c r="J341" t="s">
        <x:v>776</x:v>
      </x:c>
      <x:c r="K341" t="s">
        <x:v>777</x:v>
      </x:c>
      <x:c r="L341" t="s">
        <x:v>37</x:v>
      </x:c>
      <x:c r="M341" t="s">
        <x:v>1016</x:v>
      </x:c>
      <x:c r="N341" t="s">
        <x:v>1017</x:v>
      </x:c>
      <x:c r="O341" t="s">
        <x:v>1014</x:v>
      </x:c>
      <x:c r="P341" t="s">
        <x:v>1018</x:v>
      </x:c>
      <x:c r="Q341" t="s">
        <x:v>620</x:v>
      </x:c>
      <x:c r="R341">
        <x:v>1</x:v>
      </x:c>
      <x:c r="S341" t="s">
        <x:v>42</x:v>
      </x:c>
      <x:c r="T341" t="s">
        <x:v>44</x:v>
      </x:c>
      <x:c r="U341" t="s">
        <x:v>44</x:v>
      </x:c>
      <x:c r="V341" t="s">
        <x:v>45</x:v>
      </x:c>
      <x:c r="W341" t="s">
        <x:v>46</x:v>
      </x:c>
      <x:c r="X341">
        <x:v>12.71</x:v>
      </x:c>
      <x:c r="Y341" t="s">
        <x:v>621</x:v>
      </x:c>
      <x:c r="Z341" t="s">
        <x:v>48</x:v>
      </x:c>
      <x:c r="AA341" t="s">
        <x:v>49</x:v>
      </x:c>
    </x:row>
    <x:row r="342">
      <x:c r="A342" s="1">
        <x:v>46237</x:v>
      </x:c>
      <x:c r="B342" t="s">
        <x:v>4054</x:v>
      </x:c>
      <x:c r="C342" t="s">
        <x:v>1011</x:v>
      </x:c>
      <x:c r="D342" t="s">
        <x:v>29</x:v>
      </x:c>
      <x:c r="E342" t="s">
        <x:v>1012</x:v>
      </x:c>
      <x:c r="F342" t="s">
        <x:v>31</x:v>
      </x:c>
      <x:c r="G342" t="s">
        <x:v>1013</x:v>
      </x:c>
      <x:c r="H342" t="s">
        <x:v>1014</x:v>
      </x:c>
      <x:c r="I342" t="s">
        <x:v>1015</x:v>
      </x:c>
      <x:c r="J342" t="s">
        <x:v>776</x:v>
      </x:c>
      <x:c r="K342" t="s">
        <x:v>777</x:v>
      </x:c>
      <x:c r="L342" t="s">
        <x:v>37</x:v>
      </x:c>
      <x:c r="M342" t="s">
        <x:v>1016</x:v>
      </x:c>
      <x:c r="N342" t="s">
        <x:v>1017</x:v>
      </x:c>
      <x:c r="O342" t="s">
        <x:v>1014</x:v>
      </x:c>
      <x:c r="P342" t="s">
        <x:v>1018</x:v>
      </x:c>
      <x:c r="Q342" t="s">
        <x:v>622</x:v>
      </x:c>
      <x:c r="R342">
        <x:v>1</x:v>
      </x:c>
      <x:c r="S342" t="s">
        <x:v>42</x:v>
      </x:c>
      <x:c r="T342" t="s">
        <x:v>44</x:v>
      </x:c>
      <x:c r="U342" t="s">
        <x:v>44</x:v>
      </x:c>
      <x:c r="V342" t="s">
        <x:v>45</x:v>
      </x:c>
      <x:c r="W342" t="s">
        <x:v>46</x:v>
      </x:c>
      <x:c r="X342">
        <x:v>21.19</x:v>
      </x:c>
      <x:c r="Y342" t="s">
        <x:v>621</x:v>
      </x:c>
      <x:c r="Z342" t="s">
        <x:v>48</x:v>
      </x:c>
      <x:c r="AA342" t="s">
        <x:v>49</x:v>
      </x:c>
    </x:row>
    <x:row r="343">
      <x:c r="A343" s="1">
        <x:v>46237</x:v>
      </x:c>
      <x:c r="B343" t="s">
        <x:v>4054</x:v>
      </x:c>
      <x:c r="C343" t="s">
        <x:v>1011</x:v>
      </x:c>
      <x:c r="D343" t="s">
        <x:v>29</x:v>
      </x:c>
      <x:c r="E343" t="s">
        <x:v>1012</x:v>
      </x:c>
      <x:c r="F343" t="s">
        <x:v>31</x:v>
      </x:c>
      <x:c r="G343" t="s">
        <x:v>1013</x:v>
      </x:c>
      <x:c r="H343" t="s">
        <x:v>1014</x:v>
      </x:c>
      <x:c r="I343" t="s">
        <x:v>1015</x:v>
      </x:c>
      <x:c r="J343" t="s">
        <x:v>776</x:v>
      </x:c>
      <x:c r="K343" t="s">
        <x:v>777</x:v>
      </x:c>
      <x:c r="L343" t="s">
        <x:v>37</x:v>
      </x:c>
      <x:c r="M343" t="s">
        <x:v>1016</x:v>
      </x:c>
      <x:c r="N343" t="s">
        <x:v>1017</x:v>
      </x:c>
      <x:c r="O343" t="s">
        <x:v>1014</x:v>
      </x:c>
      <x:c r="P343" t="s">
        <x:v>1018</x:v>
      </x:c>
      <x:c r="Q343" t="s">
        <x:v>623</x:v>
      </x:c>
      <x:c r="R343">
        <x:v>1</x:v>
      </x:c>
      <x:c r="S343" t="s">
        <x:v>42</x:v>
      </x:c>
      <x:c r="T343" t="s">
        <x:v>44</x:v>
      </x:c>
      <x:c r="U343" t="s">
        <x:v>44</x:v>
      </x:c>
      <x:c r="V343" t="s">
        <x:v>45</x:v>
      </x:c>
      <x:c r="W343" t="s">
        <x:v>46</x:v>
      </x:c>
      <x:c r="X343">
        <x:v>12.71</x:v>
      </x:c>
      <x:c r="Y343" t="s">
        <x:v>621</x:v>
      </x:c>
      <x:c r="Z343" t="s">
        <x:v>48</x:v>
      </x:c>
      <x:c r="AA343" t="s">
        <x:v>49</x:v>
      </x:c>
    </x:row>
    <x:row r="344">
      <x:c r="A344" s="1">
        <x:v>46237</x:v>
      </x:c>
      <x:c r="B344" t="s">
        <x:v>4054</x:v>
      </x:c>
      <x:c r="C344" t="s">
        <x:v>1011</x:v>
      </x:c>
      <x:c r="D344" t="s">
        <x:v>29</x:v>
      </x:c>
      <x:c r="E344" t="s">
        <x:v>1012</x:v>
      </x:c>
      <x:c r="F344" t="s">
        <x:v>31</x:v>
      </x:c>
      <x:c r="G344" t="s">
        <x:v>1013</x:v>
      </x:c>
      <x:c r="H344" t="s">
        <x:v>1014</x:v>
      </x:c>
      <x:c r="I344" t="s">
        <x:v>1015</x:v>
      </x:c>
      <x:c r="J344" t="s">
        <x:v>776</x:v>
      </x:c>
      <x:c r="K344" t="s">
        <x:v>777</x:v>
      </x:c>
      <x:c r="L344" t="s">
        <x:v>37</x:v>
      </x:c>
      <x:c r="M344" t="s">
        <x:v>1016</x:v>
      </x:c>
      <x:c r="N344" t="s">
        <x:v>1017</x:v>
      </x:c>
      <x:c r="O344" t="s">
        <x:v>1014</x:v>
      </x:c>
      <x:c r="P344" t="s">
        <x:v>1018</x:v>
      </x:c>
      <x:c r="Q344" t="s">
        <x:v>624</x:v>
      </x:c>
      <x:c r="R344">
        <x:v>1</x:v>
      </x:c>
      <x:c r="S344" t="s">
        <x:v>42</x:v>
      </x:c>
      <x:c r="T344" t="s">
        <x:v>44</x:v>
      </x:c>
      <x:c r="U344" t="s">
        <x:v>44</x:v>
      </x:c>
      <x:c r="V344" t="s">
        <x:v>45</x:v>
      </x:c>
      <x:c r="W344" t="s">
        <x:v>46</x:v>
      </x:c>
      <x:c r="X344">
        <x:v>12.71</x:v>
      </x:c>
      <x:c r="Y344" t="s">
        <x:v>621</x:v>
      </x:c>
      <x:c r="Z344" t="s">
        <x:v>48</x:v>
      </x:c>
      <x:c r="AA344" t="s">
        <x:v>49</x:v>
      </x:c>
    </x:row>
    <x:row r="345">
      <x:c r="A345" s="1">
        <x:v>46237</x:v>
      </x:c>
      <x:c r="B345" t="s">
        <x:v>4054</x:v>
      </x:c>
      <x:c r="C345" t="s">
        <x:v>1011</x:v>
      </x:c>
      <x:c r="D345" t="s">
        <x:v>29</x:v>
      </x:c>
      <x:c r="E345" t="s">
        <x:v>1012</x:v>
      </x:c>
      <x:c r="F345" t="s">
        <x:v>31</x:v>
      </x:c>
      <x:c r="G345" t="s">
        <x:v>1013</x:v>
      </x:c>
      <x:c r="H345" t="s">
        <x:v>1014</x:v>
      </x:c>
      <x:c r="I345" t="s">
        <x:v>1015</x:v>
      </x:c>
      <x:c r="J345" t="s">
        <x:v>776</x:v>
      </x:c>
      <x:c r="K345" t="s">
        <x:v>777</x:v>
      </x:c>
      <x:c r="L345" t="s">
        <x:v>37</x:v>
      </x:c>
      <x:c r="M345" t="s">
        <x:v>1016</x:v>
      </x:c>
      <x:c r="N345" t="s">
        <x:v>1017</x:v>
      </x:c>
      <x:c r="O345" t="s">
        <x:v>1014</x:v>
      </x:c>
      <x:c r="P345" t="s">
        <x:v>1018</x:v>
      </x:c>
      <x:c r="Q345" t="s">
        <x:v>835</x:v>
      </x:c>
      <x:c r="R345">
        <x:v>1</x:v>
      </x:c>
      <x:c r="S345" t="s">
        <x:v>42</x:v>
      </x:c>
      <x:c r="T345" t="s">
        <x:v>44</x:v>
      </x:c>
      <x:c r="U345" t="s">
        <x:v>44</x:v>
      </x:c>
      <x:c r="V345" t="s">
        <x:v>45</x:v>
      </x:c>
      <x:c r="W345" t="s">
        <x:v>46</x:v>
      </x:c>
      <x:c r="X345">
        <x:v>50.85</x:v>
      </x:c>
      <x:c r="Y345" t="s">
        <x:v>621</x:v>
      </x:c>
      <x:c r="Z345" t="s">
        <x:v>48</x:v>
      </x:c>
      <x:c r="AA345" t="s">
        <x:v>49</x:v>
      </x:c>
    </x:row>
    <x:row r="346">
      <x:c r="A346" s="1">
        <x:v>46237</x:v>
      </x:c>
      <x:c r="B346" t="s">
        <x:v>4054</x:v>
      </x:c>
      <x:c r="C346" t="s">
        <x:v>1019</x:v>
      </x:c>
      <x:c r="D346" t="s">
        <x:v>29</x:v>
      </x:c>
      <x:c r="E346" t="s">
        <x:v>1020</x:v>
      </x:c>
      <x:c r="F346" t="s">
        <x:v>31</x:v>
      </x:c>
      <x:c r="G346" t="s">
        <x:v>1021</x:v>
      </x:c>
      <x:c r="H346" t="s">
        <x:v>1014</x:v>
      </x:c>
      <x:c r="I346" t="s">
        <x:v>1015</x:v>
      </x:c>
      <x:c r="J346" t="s">
        <x:v>776</x:v>
      </x:c>
      <x:c r="K346" t="s">
        <x:v>777</x:v>
      </x:c>
      <x:c r="L346" t="s">
        <x:v>37</x:v>
      </x:c>
      <x:c r="M346" t="s">
        <x:v>1016</x:v>
      </x:c>
      <x:c r="N346" t="s">
        <x:v>1017</x:v>
      </x:c>
      <x:c r="O346" t="s">
        <x:v>1014</x:v>
      </x:c>
      <x:c r="P346" t="s">
        <x:v>1022</x:v>
      </x:c>
      <x:c r="Q346" t="s">
        <x:v>830</x:v>
      </x:c>
      <x:c r="R346">
        <x:v>1</x:v>
      </x:c>
      <x:c r="S346" t="s">
        <x:v>42</x:v>
      </x:c>
      <x:c r="T346" t="s">
        <x:v>44</x:v>
      </x:c>
      <x:c r="U346" t="s">
        <x:v>44</x:v>
      </x:c>
      <x:c r="V346" t="s">
        <x:v>45</x:v>
      </x:c>
      <x:c r="W346" t="s">
        <x:v>46</x:v>
      </x:c>
      <x:c r="X346">
        <x:v>127.12</x:v>
      </x:c>
      <x:c r="Y346" t="s">
        <x:v>47</x:v>
      </x:c>
      <x:c r="Z346" t="s">
        <x:v>48</x:v>
      </x:c>
      <x:c r="AA346" t="s">
        <x:v>49</x:v>
      </x:c>
    </x:row>
    <x:row r="347">
      <x:c r="A347" s="1">
        <x:v>46237</x:v>
      </x:c>
      <x:c r="B347" t="s">
        <x:v>4054</x:v>
      </x:c>
      <x:c r="C347" t="s">
        <x:v>1023</x:v>
      </x:c>
      <x:c r="D347" t="s">
        <x:v>29</x:v>
      </x:c>
      <x:c r="E347" t="s">
        <x:v>1024</x:v>
      </x:c>
      <x:c r="F347" t="s">
        <x:v>31</x:v>
      </x:c>
      <x:c r="G347" t="s">
        <x:v>1025</x:v>
      </x:c>
      <x:c r="H347" t="s">
        <x:v>1014</x:v>
      </x:c>
      <x:c r="I347" t="s">
        <x:v>1015</x:v>
      </x:c>
      <x:c r="J347" t="s">
        <x:v>776</x:v>
      </x:c>
      <x:c r="K347" t="s">
        <x:v>777</x:v>
      </x:c>
      <x:c r="L347" t="s">
        <x:v>37</x:v>
      </x:c>
      <x:c r="M347" t="s">
        <x:v>1016</x:v>
      </x:c>
      <x:c r="N347" t="s">
        <x:v>1017</x:v>
      </x:c>
      <x:c r="O347" t="s">
        <x:v>1014</x:v>
      </x:c>
      <x:c r="P347" t="s">
        <x:v>1026</x:v>
      </x:c>
      <x:c r="Q347" t="s">
        <x:v>643</x:v>
      </x:c>
      <x:c r="R347">
        <x:v>1</x:v>
      </x:c>
      <x:c r="S347" t="s">
        <x:v>42</x:v>
      </x:c>
      <x:c r="T347" t="s">
        <x:v>44</x:v>
      </x:c>
      <x:c r="U347" t="s">
        <x:v>44</x:v>
      </x:c>
      <x:c r="V347" t="s">
        <x:v>45</x:v>
      </x:c>
      <x:c r="W347" t="s">
        <x:v>46</x:v>
      </x:c>
      <x:c r="X347">
        <x:v>84.75</x:v>
      </x:c>
      <x:c r="Y347" t="s">
        <x:v>47</x:v>
      </x:c>
      <x:c r="Z347" t="s">
        <x:v>48</x:v>
      </x:c>
      <x:c r="AA347" t="s">
        <x:v>49</x:v>
      </x:c>
    </x:row>
    <x:row r="348">
      <x:c r="A348" s="1">
        <x:v>46237</x:v>
      </x:c>
      <x:c r="B348" t="s">
        <x:v>4054</x:v>
      </x:c>
      <x:c r="C348" t="s">
        <x:v>407</x:v>
      </x:c>
      <x:c r="D348" t="s">
        <x:v>29</x:v>
      </x:c>
      <x:c r="E348" t="s">
        <x:v>408</x:v>
      </x:c>
      <x:c r="F348" t="s">
        <x:v>31</x:v>
      </x:c>
      <x:c r="G348" t="s">
        <x:v>409</x:v>
      </x:c>
      <x:c r="H348" t="s">
        <x:v>410</x:v>
      </x:c>
      <x:c r="I348" t="s">
        <x:v>411</x:v>
      </x:c>
      <x:c r="J348" t="s">
        <x:v>412</x:v>
      </x:c>
      <x:c r="K348" t="s">
        <x:v>413</x:v>
      </x:c>
      <x:c r="L348" t="s">
        <x:v>37</x:v>
      </x:c>
      <x:c r="M348" t="s">
        <x:v>414</x:v>
      </x:c>
      <x:c r="N348" t="s">
        <x:v>415</x:v>
      </x:c>
      <x:c r="O348" t="s">
        <x:v>410</x:v>
      </x:c>
      <x:c r="P348" t="s">
        <x:v>416</x:v>
      </x:c>
      <x:c r="Q348" t="s">
        <x:v>91</x:v>
      </x:c>
      <x:c r="R348">
        <x:v>1</x:v>
      </x:c>
      <x:c r="S348" t="s">
        <x:v>42</x:v>
      </x:c>
      <x:c r="T348" t="s">
        <x:v>44</x:v>
      </x:c>
      <x:c r="U348" t="s">
        <x:v>44</x:v>
      </x:c>
      <x:c r="V348" t="s">
        <x:v>45</x:v>
      </x:c>
      <x:c r="W348" t="s">
        <x:v>46</x:v>
      </x:c>
      <x:c r="X348">
        <x:v>135.59</x:v>
      </x:c>
      <x:c r="Y348" t="s">
        <x:v>47</x:v>
      </x:c>
      <x:c r="Z348" t="s">
        <x:v>48</x:v>
      </x:c>
      <x:c r="AA348" t="s">
        <x:v>49</x:v>
      </x:c>
      <x:c r="AB348">
        <x:v>982673362</x:v>
      </x:c>
      <x:c r="AC348" t="s">
        <x:v>417</x:v>
      </x:c>
      <x:c r="AD348">
        <x:v>30</x:v>
      </x:c>
    </x:row>
    <x:row r="349">
      <x:c r="A349" s="1">
        <x:v>46237</x:v>
      </x:c>
      <x:c r="B349" t="s">
        <x:v>4054</x:v>
      </x:c>
      <x:c r="C349" t="s">
        <x:v>1466</x:v>
      </x:c>
      <x:c r="D349" t="s">
        <x:v>29</x:v>
      </x:c>
      <x:c r="E349" t="s">
        <x:v>1467</x:v>
      </x:c>
      <x:c r="F349" t="s">
        <x:v>31</x:v>
      </x:c>
      <x:c r="G349" t="s">
        <x:v>1468</x:v>
      </x:c>
      <x:c r="H349" t="s">
        <x:v>1469</x:v>
      </x:c>
      <x:c r="I349" t="s">
        <x:v>1470</x:v>
      </x:c>
      <x:c r="J349" t="s">
        <x:v>1471</x:v>
      </x:c>
      <x:c r="K349" t="s">
        <x:v>631</x:v>
      </x:c>
      <x:c r="L349" t="s">
        <x:v>37</x:v>
      </x:c>
      <x:c r="M349" t="s">
        <x:v>1472</x:v>
      </x:c>
      <x:c r="N349" t="s">
        <x:v>1473</x:v>
      </x:c>
      <x:c r="O349" t="s">
        <x:v>1469</x:v>
      </x:c>
      <x:c r="P349" t="s">
        <x:v>1474</x:v>
      </x:c>
      <x:c r="Q349" t="s">
        <x:v>102</x:v>
      </x:c>
      <x:c r="R349">
        <x:v>1</x:v>
      </x:c>
      <x:c r="S349" t="s">
        <x:v>42</x:v>
      </x:c>
      <x:c r="T349" t="s">
        <x:v>44</x:v>
      </x:c>
      <x:c r="U349" t="s">
        <x:v>44</x:v>
      </x:c>
      <x:c r="V349" t="s">
        <x:v>45</x:v>
      </x:c>
      <x:c r="W349" t="s">
        <x:v>60</x:v>
      </x:c>
      <x:c r="X349">
        <x:v>186.44</x:v>
      </x:c>
      <x:c r="Y349" t="s">
        <x:v>47</x:v>
      </x:c>
      <x:c r="Z349" t="s">
        <x:v>48</x:v>
      </x:c>
      <x:c r="AA349" t="s">
        <x:v>49</x:v>
      </x:c>
      <x:c r="AB349">
        <x:v>946789080</x:v>
      </x:c>
      <x:c r="AD349">
        <x:v>50</x:v>
      </x:c>
    </x:row>
    <x:row r="350">
      <x:c r="A350" s="1">
        <x:v>46237</x:v>
      </x:c>
      <x:c r="B350" t="s">
        <x:v>4054</x:v>
      </x:c>
      <x:c r="C350" t="s">
        <x:v>1475</x:v>
      </x:c>
      <x:c r="D350" t="s">
        <x:v>29</x:v>
      </x:c>
      <x:c r="E350" t="s">
        <x:v>1476</x:v>
      </x:c>
      <x:c r="F350" t="s">
        <x:v>31</x:v>
      </x:c>
      <x:c r="G350" t="s">
        <x:v>1477</x:v>
      </x:c>
      <x:c r="H350" t="s">
        <x:v>1469</x:v>
      </x:c>
      <x:c r="I350" t="s">
        <x:v>1470</x:v>
      </x:c>
      <x:c r="J350" t="s">
        <x:v>1471</x:v>
      </x:c>
      <x:c r="K350" t="s">
        <x:v>631</x:v>
      </x:c>
      <x:c r="L350" t="s">
        <x:v>37</x:v>
      </x:c>
      <x:c r="M350" t="s">
        <x:v>1472</x:v>
      </x:c>
      <x:c r="N350" t="s">
        <x:v>1473</x:v>
      </x:c>
      <x:c r="O350" t="s">
        <x:v>1469</x:v>
      </x:c>
      <x:c r="P350" t="s">
        <x:v>1478</x:v>
      </x:c>
      <x:c r="Q350" t="s">
        <x:v>160</x:v>
      </x:c>
      <x:c r="R350">
        <x:v>1</x:v>
      </x:c>
      <x:c r="S350" t="s">
        <x:v>42</x:v>
      </x:c>
      <x:c r="T350" t="s">
        <x:v>44</x:v>
      </x:c>
      <x:c r="U350" t="s">
        <x:v>44</x:v>
      </x:c>
      <x:c r="V350" t="s">
        <x:v>45</x:v>
      </x:c>
      <x:c r="W350" t="s">
        <x:v>60</x:v>
      </x:c>
      <x:c r="X350">
        <x:v>135.59</x:v>
      </x:c>
      <x:c r="Y350" t="s">
        <x:v>47</x:v>
      </x:c>
      <x:c r="Z350" t="s">
        <x:v>48</x:v>
      </x:c>
      <x:c r="AA350" t="s">
        <x:v>49</x:v>
      </x:c>
      <x:c r="AB350">
        <x:v>946789080</x:v>
      </x:c>
      <x:c r="AD350">
        <x:v>30</x:v>
      </x:c>
    </x:row>
    <x:row r="351">
      <x:c r="A351" s="1">
        <x:v>46237</x:v>
      </x:c>
      <x:c r="B351" t="s">
        <x:v>4054</x:v>
      </x:c>
      <x:c r="C351" t="s">
        <x:v>1385</x:v>
      </x:c>
      <x:c r="D351" t="s">
        <x:v>29</x:v>
      </x:c>
      <x:c r="E351" t="s">
        <x:v>1386</x:v>
      </x:c>
      <x:c r="F351" t="s">
        <x:v>31</x:v>
      </x:c>
      <x:c r="G351" t="s">
        <x:v>1387</x:v>
      </x:c>
      <x:c r="H351" t="s">
        <x:v>1388</x:v>
      </x:c>
      <x:c r="I351" t="s">
        <x:v>1389</x:v>
      </x:c>
      <x:c r="J351" t="s">
        <x:v>1390</x:v>
      </x:c>
      <x:c r="K351" t="s">
        <x:v>4055</x:v>
      </x:c>
      <x:c r="L351" t="s">
        <x:v>37</x:v>
      </x:c>
      <x:c r="M351" t="s">
        <x:v>1391</x:v>
      </x:c>
      <x:c r="N351" t="s">
        <x:v>1392</x:v>
      </x:c>
      <x:c r="O351" t="s">
        <x:v>1388</x:v>
      </x:c>
      <x:c r="P351" t="s">
        <x:v>1393</x:v>
      </x:c>
      <x:c r="Q351" t="s">
        <x:v>203</x:v>
      </x:c>
      <x:c r="R351">
        <x:v>1</x:v>
      </x:c>
      <x:c r="S351" t="s">
        <x:v>42</x:v>
      </x:c>
      <x:c r="T351" t="s">
        <x:v>44</x:v>
      </x:c>
      <x:c r="U351" t="s">
        <x:v>44</x:v>
      </x:c>
      <x:c r="V351" t="s">
        <x:v>45</x:v>
      </x:c>
      <x:c r="W351" t="s">
        <x:v>46</x:v>
      </x:c>
      <x:c r="X351">
        <x:v>135.59</x:v>
      </x:c>
      <x:c r="Y351" t="s">
        <x:v>47</x:v>
      </x:c>
      <x:c r="Z351" t="s">
        <x:v>48</x:v>
      </x:c>
      <x:c r="AA351" t="s">
        <x:v>49</x:v>
      </x:c>
      <x:c r="AB351">
        <x:v>917791542</x:v>
      </x:c>
      <x:c r="AC351" t="s">
        <x:v>1394</x:v>
      </x:c>
      <x:c r="AD351">
        <x:v>30</x:v>
      </x:c>
    </x:row>
    <x:row r="352">
      <x:c r="A352" s="1">
        <x:v>46238</x:v>
      </x:c>
      <x:c r="B352" t="s">
        <x:v>4054</x:v>
      </x:c>
      <x:c r="C352" t="s">
        <x:v>1027</x:v>
      </x:c>
      <x:c r="D352" t="s">
        <x:v>29</x:v>
      </x:c>
      <x:c r="E352" t="s">
        <x:v>1028</x:v>
      </x:c>
      <x:c r="F352" t="s">
        <x:v>31</x:v>
      </x:c>
      <x:c r="G352" t="s">
        <x:v>1029</x:v>
      </x:c>
      <x:c r="H352" t="s">
        <x:v>1030</x:v>
      </x:c>
      <x:c r="I352" t="s">
        <x:v>1031</x:v>
      </x:c>
      <x:c r="J352" t="s">
        <x:v>776</x:v>
      </x:c>
      <x:c r="K352" t="s">
        <x:v>777</x:v>
      </x:c>
      <x:c r="L352" t="s">
        <x:v>37</x:v>
      </x:c>
      <x:c r="M352" t="s">
        <x:v>1032</x:v>
      </x:c>
      <x:c r="N352" t="s">
        <x:v>1033</x:v>
      </x:c>
      <x:c r="O352" t="s">
        <x:v>1030</x:v>
      </x:c>
      <x:c r="P352" t="s">
        <x:v>1034</x:v>
      </x:c>
      <x:c r="Q352" t="s">
        <x:v>830</x:v>
      </x:c>
      <x:c r="R352">
        <x:v>1</x:v>
      </x:c>
      <x:c r="S352" t="s">
        <x:v>42</x:v>
      </x:c>
      <x:c r="T352" t="s">
        <x:v>44</x:v>
      </x:c>
      <x:c r="U352" t="s">
        <x:v>44</x:v>
      </x:c>
      <x:c r="V352" t="s">
        <x:v>45</x:v>
      </x:c>
      <x:c r="W352" t="s">
        <x:v>46</x:v>
      </x:c>
      <x:c r="X352">
        <x:v>127.12</x:v>
      </x:c>
      <x:c r="Y352" t="s">
        <x:v>47</x:v>
      </x:c>
      <x:c r="Z352" t="s">
        <x:v>48</x:v>
      </x:c>
      <x:c r="AA352" t="s">
        <x:v>49</x:v>
      </x:c>
    </x:row>
    <x:row r="353">
      <x:c r="A353" s="1">
        <x:v>46238</x:v>
      </x:c>
      <x:c r="B353" t="s">
        <x:v>4054</x:v>
      </x:c>
      <x:c r="C353" t="s">
        <x:v>1035</x:v>
      </x:c>
      <x:c r="D353" t="s">
        <x:v>29</x:v>
      </x:c>
      <x:c r="E353" t="s">
        <x:v>1036</x:v>
      </x:c>
      <x:c r="F353" t="s">
        <x:v>31</x:v>
      </x:c>
      <x:c r="G353" t="s">
        <x:v>1037</x:v>
      </x:c>
      <x:c r="H353" t="s">
        <x:v>1030</x:v>
      </x:c>
      <x:c r="I353" t="s">
        <x:v>1031</x:v>
      </x:c>
      <x:c r="J353" t="s">
        <x:v>776</x:v>
      </x:c>
      <x:c r="K353" t="s">
        <x:v>777</x:v>
      </x:c>
      <x:c r="L353" t="s">
        <x:v>37</x:v>
      </x:c>
      <x:c r="M353" t="s">
        <x:v>1032</x:v>
      </x:c>
      <x:c r="N353" t="s">
        <x:v>1033</x:v>
      </x:c>
      <x:c r="O353" t="s">
        <x:v>1030</x:v>
      </x:c>
      <x:c r="P353" t="s">
        <x:v>1038</x:v>
      </x:c>
      <x:c r="Q353" t="s">
        <x:v>620</x:v>
      </x:c>
      <x:c r="R353">
        <x:v>1</x:v>
      </x:c>
      <x:c r="S353" t="s">
        <x:v>42</x:v>
      </x:c>
      <x:c r="T353" t="s">
        <x:v>44</x:v>
      </x:c>
      <x:c r="U353" t="s">
        <x:v>44</x:v>
      </x:c>
      <x:c r="V353" t="s">
        <x:v>45</x:v>
      </x:c>
      <x:c r="W353" t="s">
        <x:v>46</x:v>
      </x:c>
      <x:c r="X353">
        <x:v>12.71</x:v>
      </x:c>
      <x:c r="Y353" t="s">
        <x:v>621</x:v>
      </x:c>
      <x:c r="Z353" t="s">
        <x:v>48</x:v>
      </x:c>
      <x:c r="AA353" t="s">
        <x:v>49</x:v>
      </x:c>
    </x:row>
    <x:row r="354">
      <x:c r="A354" s="1">
        <x:v>46238</x:v>
      </x:c>
      <x:c r="B354" t="s">
        <x:v>4054</x:v>
      </x:c>
      <x:c r="C354" t="s">
        <x:v>1035</x:v>
      </x:c>
      <x:c r="D354" t="s">
        <x:v>29</x:v>
      </x:c>
      <x:c r="E354" t="s">
        <x:v>1036</x:v>
      </x:c>
      <x:c r="F354" t="s">
        <x:v>31</x:v>
      </x:c>
      <x:c r="G354" t="s">
        <x:v>1037</x:v>
      </x:c>
      <x:c r="H354" t="s">
        <x:v>1030</x:v>
      </x:c>
      <x:c r="I354" t="s">
        <x:v>1031</x:v>
      </x:c>
      <x:c r="J354" t="s">
        <x:v>776</x:v>
      </x:c>
      <x:c r="K354" t="s">
        <x:v>777</x:v>
      </x:c>
      <x:c r="L354" t="s">
        <x:v>37</x:v>
      </x:c>
      <x:c r="M354" t="s">
        <x:v>1032</x:v>
      </x:c>
      <x:c r="N354" t="s">
        <x:v>1033</x:v>
      </x:c>
      <x:c r="O354" t="s">
        <x:v>1030</x:v>
      </x:c>
      <x:c r="P354" t="s">
        <x:v>1038</x:v>
      </x:c>
      <x:c r="Q354" t="s">
        <x:v>622</x:v>
      </x:c>
      <x:c r="R354">
        <x:v>1</x:v>
      </x:c>
      <x:c r="S354" t="s">
        <x:v>42</x:v>
      </x:c>
      <x:c r="T354" t="s">
        <x:v>44</x:v>
      </x:c>
      <x:c r="U354" t="s">
        <x:v>44</x:v>
      </x:c>
      <x:c r="V354" t="s">
        <x:v>45</x:v>
      </x:c>
      <x:c r="W354" t="s">
        <x:v>46</x:v>
      </x:c>
      <x:c r="X354">
        <x:v>21.19</x:v>
      </x:c>
      <x:c r="Y354" t="s">
        <x:v>621</x:v>
      </x:c>
      <x:c r="Z354" t="s">
        <x:v>48</x:v>
      </x:c>
      <x:c r="AA354" t="s">
        <x:v>49</x:v>
      </x:c>
    </x:row>
    <x:row r="355">
      <x:c r="A355" s="1">
        <x:v>46238</x:v>
      </x:c>
      <x:c r="B355" t="s">
        <x:v>4054</x:v>
      </x:c>
      <x:c r="C355" t="s">
        <x:v>1035</x:v>
      </x:c>
      <x:c r="D355" t="s">
        <x:v>29</x:v>
      </x:c>
      <x:c r="E355" t="s">
        <x:v>1036</x:v>
      </x:c>
      <x:c r="F355" t="s">
        <x:v>31</x:v>
      </x:c>
      <x:c r="G355" t="s">
        <x:v>1037</x:v>
      </x:c>
      <x:c r="H355" t="s">
        <x:v>1030</x:v>
      </x:c>
      <x:c r="I355" t="s">
        <x:v>1031</x:v>
      </x:c>
      <x:c r="J355" t="s">
        <x:v>776</x:v>
      </x:c>
      <x:c r="K355" t="s">
        <x:v>777</x:v>
      </x:c>
      <x:c r="L355" t="s">
        <x:v>37</x:v>
      </x:c>
      <x:c r="M355" t="s">
        <x:v>1032</x:v>
      </x:c>
      <x:c r="N355" t="s">
        <x:v>1033</x:v>
      </x:c>
      <x:c r="O355" t="s">
        <x:v>1030</x:v>
      </x:c>
      <x:c r="P355" t="s">
        <x:v>1038</x:v>
      </x:c>
      <x:c r="Q355" t="s">
        <x:v>623</x:v>
      </x:c>
      <x:c r="R355">
        <x:v>1</x:v>
      </x:c>
      <x:c r="S355" t="s">
        <x:v>42</x:v>
      </x:c>
      <x:c r="T355" t="s">
        <x:v>44</x:v>
      </x:c>
      <x:c r="U355" t="s">
        <x:v>44</x:v>
      </x:c>
      <x:c r="V355" t="s">
        <x:v>45</x:v>
      </x:c>
      <x:c r="W355" t="s">
        <x:v>46</x:v>
      </x:c>
      <x:c r="X355">
        <x:v>12.71</x:v>
      </x:c>
      <x:c r="Y355" t="s">
        <x:v>621</x:v>
      </x:c>
      <x:c r="Z355" t="s">
        <x:v>48</x:v>
      </x:c>
      <x:c r="AA355" t="s">
        <x:v>49</x:v>
      </x:c>
    </x:row>
    <x:row r="356">
      <x:c r="A356" s="1">
        <x:v>46238</x:v>
      </x:c>
      <x:c r="B356" t="s">
        <x:v>4054</x:v>
      </x:c>
      <x:c r="C356" t="s">
        <x:v>1035</x:v>
      </x:c>
      <x:c r="D356" t="s">
        <x:v>29</x:v>
      </x:c>
      <x:c r="E356" t="s">
        <x:v>1036</x:v>
      </x:c>
      <x:c r="F356" t="s">
        <x:v>31</x:v>
      </x:c>
      <x:c r="G356" t="s">
        <x:v>1037</x:v>
      </x:c>
      <x:c r="H356" t="s">
        <x:v>1030</x:v>
      </x:c>
      <x:c r="I356" t="s">
        <x:v>1031</x:v>
      </x:c>
      <x:c r="J356" t="s">
        <x:v>776</x:v>
      </x:c>
      <x:c r="K356" t="s">
        <x:v>777</x:v>
      </x:c>
      <x:c r="L356" t="s">
        <x:v>37</x:v>
      </x:c>
      <x:c r="M356" t="s">
        <x:v>1032</x:v>
      </x:c>
      <x:c r="N356" t="s">
        <x:v>1033</x:v>
      </x:c>
      <x:c r="O356" t="s">
        <x:v>1030</x:v>
      </x:c>
      <x:c r="P356" t="s">
        <x:v>1038</x:v>
      </x:c>
      <x:c r="Q356" t="s">
        <x:v>624</x:v>
      </x:c>
      <x:c r="R356">
        <x:v>1</x:v>
      </x:c>
      <x:c r="S356" t="s">
        <x:v>42</x:v>
      </x:c>
      <x:c r="T356" t="s">
        <x:v>44</x:v>
      </x:c>
      <x:c r="U356" t="s">
        <x:v>44</x:v>
      </x:c>
      <x:c r="V356" t="s">
        <x:v>45</x:v>
      </x:c>
      <x:c r="W356" t="s">
        <x:v>46</x:v>
      </x:c>
      <x:c r="X356">
        <x:v>12.71</x:v>
      </x:c>
      <x:c r="Y356" t="s">
        <x:v>621</x:v>
      </x:c>
      <x:c r="Z356" t="s">
        <x:v>48</x:v>
      </x:c>
      <x:c r="AA356" t="s">
        <x:v>49</x:v>
      </x:c>
    </x:row>
    <x:row r="357">
      <x:c r="A357" s="1">
        <x:v>46238</x:v>
      </x:c>
      <x:c r="B357" t="s">
        <x:v>4054</x:v>
      </x:c>
      <x:c r="C357" t="s">
        <x:v>1035</x:v>
      </x:c>
      <x:c r="D357" t="s">
        <x:v>29</x:v>
      </x:c>
      <x:c r="E357" t="s">
        <x:v>1036</x:v>
      </x:c>
      <x:c r="F357" t="s">
        <x:v>31</x:v>
      </x:c>
      <x:c r="G357" t="s">
        <x:v>1037</x:v>
      </x:c>
      <x:c r="H357" t="s">
        <x:v>1030</x:v>
      </x:c>
      <x:c r="I357" t="s">
        <x:v>1031</x:v>
      </x:c>
      <x:c r="J357" t="s">
        <x:v>776</x:v>
      </x:c>
      <x:c r="K357" t="s">
        <x:v>777</x:v>
      </x:c>
      <x:c r="L357" t="s">
        <x:v>37</x:v>
      </x:c>
      <x:c r="M357" t="s">
        <x:v>1032</x:v>
      </x:c>
      <x:c r="N357" t="s">
        <x:v>1033</x:v>
      </x:c>
      <x:c r="O357" t="s">
        <x:v>1030</x:v>
      </x:c>
      <x:c r="P357" t="s">
        <x:v>1038</x:v>
      </x:c>
      <x:c r="Q357" t="s">
        <x:v>835</x:v>
      </x:c>
      <x:c r="R357">
        <x:v>1</x:v>
      </x:c>
      <x:c r="S357" t="s">
        <x:v>42</x:v>
      </x:c>
      <x:c r="T357" t="s">
        <x:v>44</x:v>
      </x:c>
      <x:c r="U357" t="s">
        <x:v>44</x:v>
      </x:c>
      <x:c r="V357" t="s">
        <x:v>45</x:v>
      </x:c>
      <x:c r="W357" t="s">
        <x:v>46</x:v>
      </x:c>
      <x:c r="X357">
        <x:v>50.85</x:v>
      </x:c>
      <x:c r="Y357" t="s">
        <x:v>621</x:v>
      </x:c>
      <x:c r="Z357" t="s">
        <x:v>48</x:v>
      </x:c>
      <x:c r="AA357" t="s">
        <x:v>49</x:v>
      </x:c>
    </x:row>
    <x:row r="358">
      <x:c r="A358" s="1">
        <x:v>46238</x:v>
      </x:c>
      <x:c r="B358" t="s">
        <x:v>4054</x:v>
      </x:c>
      <x:c r="C358" t="s">
        <x:v>1039</x:v>
      </x:c>
      <x:c r="D358" t="s">
        <x:v>29</x:v>
      </x:c>
      <x:c r="E358" t="s">
        <x:v>1040</x:v>
      </x:c>
      <x:c r="F358" t="s">
        <x:v>31</x:v>
      </x:c>
      <x:c r="G358" t="s">
        <x:v>1041</x:v>
      </x:c>
      <x:c r="H358" t="s">
        <x:v>1030</x:v>
      </x:c>
      <x:c r="I358" t="s">
        <x:v>1031</x:v>
      </x:c>
      <x:c r="J358" t="s">
        <x:v>776</x:v>
      </x:c>
      <x:c r="K358" t="s">
        <x:v>777</x:v>
      </x:c>
      <x:c r="L358" t="s">
        <x:v>37</x:v>
      </x:c>
      <x:c r="M358" t="s">
        <x:v>1032</x:v>
      </x:c>
      <x:c r="N358" t="s">
        <x:v>1033</x:v>
      </x:c>
      <x:c r="O358" t="s">
        <x:v>1030</x:v>
      </x:c>
      <x:c r="P358" t="s">
        <x:v>1042</x:v>
      </x:c>
      <x:c r="Q358" t="s">
        <x:v>643</x:v>
      </x:c>
      <x:c r="R358">
        <x:v>1</x:v>
      </x:c>
      <x:c r="S358" t="s">
        <x:v>42</x:v>
      </x:c>
      <x:c r="T358" t="s">
        <x:v>44</x:v>
      </x:c>
      <x:c r="U358" t="s">
        <x:v>44</x:v>
      </x:c>
      <x:c r="V358" t="s">
        <x:v>45</x:v>
      </x:c>
      <x:c r="W358" t="s">
        <x:v>46</x:v>
      </x:c>
      <x:c r="X358">
        <x:v>84.75</x:v>
      </x:c>
      <x:c r="Y358" t="s">
        <x:v>47</x:v>
      </x:c>
      <x:c r="Z358" t="s">
        <x:v>48</x:v>
      </x:c>
      <x:c r="AA358" t="s">
        <x:v>49</x:v>
      </x:c>
    </x:row>
    <x:row r="359">
      <x:c r="A359" s="1">
        <x:v>46238</x:v>
      </x:c>
      <x:c r="B359" t="s">
        <x:v>4054</x:v>
      </x:c>
      <x:c r="C359" t="s">
        <x:v>1489</x:v>
      </x:c>
      <x:c r="D359" t="s">
        <x:v>29</x:v>
      </x:c>
      <x:c r="E359" t="s">
        <x:v>1490</x:v>
      </x:c>
      <x:c r="F359" t="s">
        <x:v>31</x:v>
      </x:c>
      <x:c r="G359" t="s">
        <x:v>1491</x:v>
      </x:c>
      <x:c r="H359" t="s">
        <x:v>1492</x:v>
      </x:c>
      <x:c r="I359" t="s">
        <x:v>1493</x:v>
      </x:c>
      <x:c r="J359" t="s">
        <x:v>1494</x:v>
      </x:c>
      <x:c r="K359" t="s">
        <x:v>346</x:v>
      </x:c>
      <x:c r="L359" t="s">
        <x:v>37</x:v>
      </x:c>
      <x:c r="M359" t="s">
        <x:v>1495</x:v>
      </x:c>
      <x:c r="N359" t="s">
        <x:v>1496</x:v>
      </x:c>
      <x:c r="O359" t="s">
        <x:v>1492</x:v>
      </x:c>
      <x:c r="P359" t="s">
        <x:v>1497</x:v>
      </x:c>
      <x:c r="Q359" t="s">
        <x:v>202</x:v>
      </x:c>
      <x:c r="R359">
        <x:v>1</x:v>
      </x:c>
      <x:c r="S359" t="s">
        <x:v>42</x:v>
      </x:c>
      <x:c r="T359" t="s">
        <x:v>44</x:v>
      </x:c>
      <x:c r="U359" t="s">
        <x:v>44</x:v>
      </x:c>
      <x:c r="V359" t="s">
        <x:v>45</x:v>
      </x:c>
      <x:c r="W359" t="s">
        <x:v>60</x:v>
      </x:c>
      <x:c r="X359">
        <x:v>152.54</x:v>
      </x:c>
      <x:c r="Y359" t="s">
        <x:v>47</x:v>
      </x:c>
      <x:c r="Z359" t="s">
        <x:v>48</x:v>
      </x:c>
      <x:c r="AA359" t="s">
        <x:v>49</x:v>
      </x:c>
      <x:c r="AB359">
        <x:v>975750204</x:v>
      </x:c>
      <x:c r="AD359">
        <x:v>30</x:v>
      </x:c>
    </x:row>
    <x:row r="360">
      <x:c r="A360" s="1">
        <x:v>46238</x:v>
      </x:c>
      <x:c r="B360" t="s">
        <x:v>4054</x:v>
      </x:c>
      <x:c r="C360" t="s">
        <x:v>418</x:v>
      </x:c>
      <x:c r="D360" t="s">
        <x:v>29</x:v>
      </x:c>
      <x:c r="E360" t="s">
        <x:v>419</x:v>
      </x:c>
      <x:c r="F360" t="s">
        <x:v>31</x:v>
      </x:c>
      <x:c r="G360" t="s">
        <x:v>420</x:v>
      </x:c>
      <x:c r="H360" t="s">
        <x:v>421</x:v>
      </x:c>
      <x:c r="I360" t="s">
        <x:v>422</x:v>
      </x:c>
      <x:c r="J360" t="s">
        <x:v>412</x:v>
      </x:c>
      <x:c r="K360" t="s">
        <x:v>413</x:v>
      </x:c>
      <x:c r="L360" t="s">
        <x:v>37</x:v>
      </x:c>
      <x:c r="M360" t="s">
        <x:v>423</x:v>
      </x:c>
      <x:c r="N360" t="s">
        <x:v>424</x:v>
      </x:c>
      <x:c r="O360" t="s">
        <x:v>421</x:v>
      </x:c>
      <x:c r="P360" t="s">
        <x:v>425</x:v>
      </x:c>
      <x:c r="Q360" t="s">
        <x:v>102</x:v>
      </x:c>
      <x:c r="R360">
        <x:v>1</x:v>
      </x:c>
      <x:c r="S360" t="s">
        <x:v>70</x:v>
      </x:c>
      <x:c r="T360" t="s">
        <x:v>43</x:v>
      </x:c>
      <x:c r="U360" t="s">
        <x:v>44</x:v>
      </x:c>
      <x:c r="V360" t="s">
        <x:v>71</x:v>
      </x:c>
      <x:c r="W360" t="s">
        <x:v>72</x:v>
      </x:c>
      <x:c r="X360">
        <x:v>186.44</x:v>
      </x:c>
      <x:c r="Y360" t="s">
        <x:v>47</x:v>
      </x:c>
      <x:c r="Z360" t="s">
        <x:v>48</x:v>
      </x:c>
      <x:c r="AA360" t="s">
        <x:v>73</x:v>
      </x:c>
      <x:c r="AB360">
        <x:v>982673362</x:v>
      </x:c>
      <x:c r="AC360" t="s">
        <x:v>417</x:v>
      </x:c>
      <x:c r="AD360">
        <x:v>50</x:v>
      </x:c>
    </x:row>
    <x:row r="361">
      <x:c r="A361" s="1">
        <x:v>46238</x:v>
      </x:c>
      <x:c r="B361" t="s">
        <x:v>4054</x:v>
      </x:c>
      <x:c r="C361" t="s">
        <x:v>418</x:v>
      </x:c>
      <x:c r="D361" t="s">
        <x:v>29</x:v>
      </x:c>
      <x:c r="E361" t="s">
        <x:v>419</x:v>
      </x:c>
      <x:c r="F361" t="s">
        <x:v>31</x:v>
      </x:c>
      <x:c r="G361" t="s">
        <x:v>420</x:v>
      </x:c>
      <x:c r="H361" t="s">
        <x:v>421</x:v>
      </x:c>
      <x:c r="I361" t="s">
        <x:v>422</x:v>
      </x:c>
      <x:c r="J361" t="s">
        <x:v>412</x:v>
      </x:c>
      <x:c r="K361" t="s">
        <x:v>413</x:v>
      </x:c>
      <x:c r="L361" t="s">
        <x:v>37</x:v>
      </x:c>
      <x:c r="M361" t="s">
        <x:v>423</x:v>
      </x:c>
      <x:c r="N361" t="s">
        <x:v>424</x:v>
      </x:c>
      <x:c r="O361" t="s">
        <x:v>421</x:v>
      </x:c>
      <x:c r="P361" t="s">
        <x:v>425</x:v>
      </x:c>
      <x:c r="Q361" t="s">
        <x:v>160</x:v>
      </x:c>
      <x:c r="R361">
        <x:v>1</x:v>
      </x:c>
      <x:c r="S361" t="s">
        <x:v>70</x:v>
      </x:c>
      <x:c r="T361" t="s">
        <x:v>43</x:v>
      </x:c>
      <x:c r="U361" t="s">
        <x:v>44</x:v>
      </x:c>
      <x:c r="V361" t="s">
        <x:v>71</x:v>
      </x:c>
      <x:c r="W361" t="s">
        <x:v>72</x:v>
      </x:c>
      <x:c r="X361">
        <x:v>135.59</x:v>
      </x:c>
      <x:c r="Y361" t="s">
        <x:v>47</x:v>
      </x:c>
      <x:c r="Z361" t="s">
        <x:v>48</x:v>
      </x:c>
      <x:c r="AA361" t="s">
        <x:v>73</x:v>
      </x:c>
      <x:c r="AB361">
        <x:v>982673362</x:v>
      </x:c>
      <x:c r="AC361" t="s">
        <x:v>417</x:v>
      </x:c>
      <x:c r="AD361">
        <x:v>30</x:v>
      </x:c>
    </x:row>
    <x:row r="362">
      <x:c r="A362" s="1">
        <x:v>46239</x:v>
      </x:c>
      <x:c r="B362" t="s">
        <x:v>4054</x:v>
      </x:c>
      <x:c r="C362" t="s">
        <x:v>636</x:v>
      </x:c>
      <x:c r="D362" t="s">
        <x:v>29</x:v>
      </x:c>
      <x:c r="E362" t="s">
        <x:v>637</x:v>
      </x:c>
      <x:c r="F362" t="s">
        <x:v>31</x:v>
      </x:c>
      <x:c r="G362" t="s">
        <x:v>638</x:v>
      </x:c>
      <x:c r="H362" t="s">
        <x:v>639</x:v>
      </x:c>
      <x:c r="I362" t="s">
        <x:v>640</x:v>
      </x:c>
      <x:c r="J362" t="s">
        <x:v>630</x:v>
      </x:c>
      <x:c r="K362" t="s">
        <x:v>631</x:v>
      </x:c>
      <x:c r="L362" t="s">
        <x:v>37</x:v>
      </x:c>
      <x:c r="M362" t="s">
        <x:v>641</x:v>
      </x:c>
      <x:c r="N362" t="s">
        <x:v>610</x:v>
      </x:c>
      <x:c r="O362" t="s">
        <x:v>639</x:v>
      </x:c>
      <x:c r="P362" t="s">
        <x:v>642</x:v>
      </x:c>
      <x:c r="Q362" t="s">
        <x:v>643</x:v>
      </x:c>
      <x:c r="R362">
        <x:v>1</x:v>
      </x:c>
      <x:c r="S362" t="s">
        <x:v>42</x:v>
      </x:c>
      <x:c r="T362" t="s">
        <x:v>44</x:v>
      </x:c>
      <x:c r="U362" t="s">
        <x:v>44</x:v>
      </x:c>
      <x:c r="V362" t="s">
        <x:v>45</x:v>
      </x:c>
      <x:c r="W362" t="s">
        <x:v>46</x:v>
      </x:c>
      <x:c r="X362">
        <x:v>84.75</x:v>
      </x:c>
      <x:c r="Y362" t="s">
        <x:v>47</x:v>
      </x:c>
      <x:c r="Z362" t="s">
        <x:v>48</x:v>
      </x:c>
      <x:c r="AA362" t="s">
        <x:v>49</x:v>
      </x:c>
      <x:c r="AB362">
        <x:v>978789268</x:v>
      </x:c>
      <x:c r="AC362" t="s">
        <x:v>635</x:v>
      </x:c>
    </x:row>
    <x:row r="363">
      <x:c r="A363" s="1">
        <x:v>46239</x:v>
      </x:c>
      <x:c r="B363" t="s">
        <x:v>4054</x:v>
      </x:c>
      <x:c r="C363" t="s">
        <x:v>644</x:v>
      </x:c>
      <x:c r="D363" t="s">
        <x:v>29</x:v>
      </x:c>
      <x:c r="E363" t="s">
        <x:v>645</x:v>
      </x:c>
      <x:c r="F363" t="s">
        <x:v>31</x:v>
      </x:c>
      <x:c r="G363" t="s">
        <x:v>646</x:v>
      </x:c>
      <x:c r="H363" t="s">
        <x:v>639</x:v>
      </x:c>
      <x:c r="I363" t="s">
        <x:v>640</x:v>
      </x:c>
      <x:c r="J363" t="s">
        <x:v>630</x:v>
      </x:c>
      <x:c r="K363" t="s">
        <x:v>631</x:v>
      </x:c>
      <x:c r="L363" t="s">
        <x:v>37</x:v>
      </x:c>
      <x:c r="M363" t="s">
        <x:v>641</x:v>
      </x:c>
      <x:c r="N363" t="s">
        <x:v>610</x:v>
      </x:c>
      <x:c r="O363" t="s">
        <x:v>639</x:v>
      </x:c>
      <x:c r="P363" t="s">
        <x:v>647</x:v>
      </x:c>
      <x:c r="Q363" t="s">
        <x:v>289</x:v>
      </x:c>
      <x:c r="R363">
        <x:v>1</x:v>
      </x:c>
      <x:c r="S363" t="s">
        <x:v>42</x:v>
      </x:c>
      <x:c r="T363" t="s">
        <x:v>44</x:v>
      </x:c>
      <x:c r="U363" t="s">
        <x:v>44</x:v>
      </x:c>
      <x:c r="V363" t="s">
        <x:v>45</x:v>
      </x:c>
      <x:c r="W363" t="s">
        <x:v>46</x:v>
      </x:c>
      <x:c r="X363">
        <x:v>0</x:v>
      </x:c>
      <x:c r="Y363" t="s">
        <x:v>290</x:v>
      </x:c>
      <x:c r="Z363" t="s">
        <x:v>48</x:v>
      </x:c>
      <x:c r="AA363" t="s">
        <x:v>49</x:v>
      </x:c>
      <x:c r="AB363">
        <x:v>978789268</x:v>
      </x:c>
      <x:c r="AC363" t="s">
        <x:v>635</x:v>
      </x:c>
    </x:row>
    <x:row r="364">
      <x:c r="A364" s="1">
        <x:v>46239</x:v>
      </x:c>
      <x:c r="B364" t="s">
        <x:v>4054</x:v>
      </x:c>
      <x:c r="C364" t="s">
        <x:v>644</x:v>
      </x:c>
      <x:c r="D364" t="s">
        <x:v>29</x:v>
      </x:c>
      <x:c r="E364" t="s">
        <x:v>645</x:v>
      </x:c>
      <x:c r="F364" t="s">
        <x:v>31</x:v>
      </x:c>
      <x:c r="G364" t="s">
        <x:v>646</x:v>
      </x:c>
      <x:c r="H364" t="s">
        <x:v>639</x:v>
      </x:c>
      <x:c r="I364" t="s">
        <x:v>640</x:v>
      </x:c>
      <x:c r="J364" t="s">
        <x:v>630</x:v>
      </x:c>
      <x:c r="K364" t="s">
        <x:v>631</x:v>
      </x:c>
      <x:c r="L364" t="s">
        <x:v>37</x:v>
      </x:c>
      <x:c r="M364" t="s">
        <x:v>641</x:v>
      </x:c>
      <x:c r="N364" t="s">
        <x:v>610</x:v>
      </x:c>
      <x:c r="O364" t="s">
        <x:v>639</x:v>
      </x:c>
      <x:c r="P364" t="s">
        <x:v>647</x:v>
      </x:c>
      <x:c r="Q364" t="s">
        <x:v>291</x:v>
      </x:c>
      <x:c r="R364">
        <x:v>1</x:v>
      </x:c>
      <x:c r="S364" t="s">
        <x:v>42</x:v>
      </x:c>
      <x:c r="T364" t="s">
        <x:v>44</x:v>
      </x:c>
      <x:c r="U364" t="s">
        <x:v>44</x:v>
      </x:c>
      <x:c r="V364" t="s">
        <x:v>45</x:v>
      </x:c>
      <x:c r="W364" t="s">
        <x:v>46</x:v>
      </x:c>
      <x:c r="X364">
        <x:v>1050.8499999999999</x:v>
      </x:c>
      <x:c r="Y364" t="s">
        <x:v>290</x:v>
      </x:c>
      <x:c r="Z364" t="s">
        <x:v>48</x:v>
      </x:c>
      <x:c r="AA364" t="s">
        <x:v>49</x:v>
      </x:c>
      <x:c r="AB364">
        <x:v>978789268</x:v>
      </x:c>
      <x:c r="AC364" t="s">
        <x:v>635</x:v>
      </x:c>
    </x:row>
    <x:row r="365">
      <x:c r="A365" s="1">
        <x:v>46239</x:v>
      </x:c>
      <x:c r="B365" t="s">
        <x:v>4054</x:v>
      </x:c>
      <x:c r="C365" t="s">
        <x:v>382</x:v>
      </x:c>
      <x:c r="D365" t="s">
        <x:v>269</x:v>
      </x:c>
      <x:c r="E365" t="s">
        <x:v>383</x:v>
      </x:c>
      <x:c r="F365" t="s">
        <x:v>31</x:v>
      </x:c>
      <x:c r="G365" t="s">
        <x:v>384</x:v>
      </x:c>
      <x:c r="H365" t="s">
        <x:v>385</x:v>
      </x:c>
      <x:c r="I365" t="s">
        <x:v>386</x:v>
      </x:c>
      <x:c r="J365" t="s">
        <x:v>365</x:v>
      </x:c>
      <x:c r="K365" t="s">
        <x:v>366</x:v>
      </x:c>
      <x:c r="L365" t="s">
        <x:v>37</x:v>
      </x:c>
      <x:c r="M365" t="s">
        <x:v>387</x:v>
      </x:c>
      <x:c r="N365" t="s">
        <x:v>388</x:v>
      </x:c>
      <x:c r="O365" t="s">
        <x:v>369</x:v>
      </x:c>
      <x:c r="P365" t="s">
        <x:v>389</x:v>
      </x:c>
      <x:c r="Q365" t="s">
        <x:v>289</x:v>
      </x:c>
      <x:c r="R365">
        <x:v>1</x:v>
      </x:c>
      <x:c r="S365" t="s">
        <x:v>42</x:v>
      </x:c>
      <x:c r="T365" t="s">
        <x:v>44</x:v>
      </x:c>
      <x:c r="U365" t="s">
        <x:v>44</x:v>
      </x:c>
      <x:c r="V365" t="s">
        <x:v>45</x:v>
      </x:c>
      <x:c r="W365" t="s">
        <x:v>60</x:v>
      </x:c>
      <x:c r="X365">
        <x:v>0</x:v>
      </x:c>
      <x:c r="Y365" t="s">
        <x:v>290</x:v>
      </x:c>
      <x:c r="Z365" t="s">
        <x:v>48</x:v>
      </x:c>
      <x:c r="AA365" t="s">
        <x:v>49</x:v>
      </x:c>
      <x:c r="AB365">
        <x:v>976922608</x:v>
      </x:c>
      <x:c r="AC365" t="s">
        <x:v>371</x:v>
      </x:c>
    </x:row>
    <x:row r="366">
      <x:c r="A366" s="1">
        <x:v>46239</x:v>
      </x:c>
      <x:c r="B366" t="s">
        <x:v>4054</x:v>
      </x:c>
      <x:c r="C366" t="s">
        <x:v>382</x:v>
      </x:c>
      <x:c r="D366" t="s">
        <x:v>269</x:v>
      </x:c>
      <x:c r="E366" t="s">
        <x:v>383</x:v>
      </x:c>
      <x:c r="F366" t="s">
        <x:v>31</x:v>
      </x:c>
      <x:c r="G366" t="s">
        <x:v>384</x:v>
      </x:c>
      <x:c r="H366" t="s">
        <x:v>385</x:v>
      </x:c>
      <x:c r="I366" t="s">
        <x:v>386</x:v>
      </x:c>
      <x:c r="J366" t="s">
        <x:v>365</x:v>
      </x:c>
      <x:c r="K366" t="s">
        <x:v>366</x:v>
      </x:c>
      <x:c r="L366" t="s">
        <x:v>37</x:v>
      </x:c>
      <x:c r="M366" t="s">
        <x:v>387</x:v>
      </x:c>
      <x:c r="N366" t="s">
        <x:v>388</x:v>
      </x:c>
      <x:c r="O366" t="s">
        <x:v>369</x:v>
      </x:c>
      <x:c r="P366" t="s">
        <x:v>389</x:v>
      </x:c>
      <x:c r="Q366" t="s">
        <x:v>390</x:v>
      </x:c>
      <x:c r="R366">
        <x:v>1</x:v>
      </x:c>
      <x:c r="S366" t="s">
        <x:v>42</x:v>
      </x:c>
      <x:c r="T366" t="s">
        <x:v>44</x:v>
      </x:c>
      <x:c r="U366" t="s">
        <x:v>44</x:v>
      </x:c>
      <x:c r="V366" t="s">
        <x:v>45</x:v>
      </x:c>
      <x:c r="W366" t="s">
        <x:v>60</x:v>
      </x:c>
      <x:c r="X366">
        <x:v>550.85</x:v>
      </x:c>
      <x:c r="Y366" t="s">
        <x:v>290</x:v>
      </x:c>
      <x:c r="Z366" t="s">
        <x:v>48</x:v>
      </x:c>
      <x:c r="AA366" t="s">
        <x:v>49</x:v>
      </x:c>
      <x:c r="AB366">
        <x:v>976922608</x:v>
      </x:c>
      <x:c r="AC366" t="s">
        <x:v>371</x:v>
      </x:c>
    </x:row>
    <x:row r="367">
      <x:c r="A367" s="1">
        <x:v>46239</x:v>
      </x:c>
      <x:c r="B367" t="s">
        <x:v>4054</x:v>
      </x:c>
      <x:c r="C367" t="s">
        <x:v>391</x:v>
      </x:c>
      <x:c r="D367" t="s">
        <x:v>269</x:v>
      </x:c>
      <x:c r="E367" t="s">
        <x:v>392</x:v>
      </x:c>
      <x:c r="F367" t="s">
        <x:v>31</x:v>
      </x:c>
      <x:c r="G367" t="s">
        <x:v>393</x:v>
      </x:c>
      <x:c r="H367" t="s">
        <x:v>385</x:v>
      </x:c>
      <x:c r="I367" t="s">
        <x:v>386</x:v>
      </x:c>
      <x:c r="J367" t="s">
        <x:v>365</x:v>
      </x:c>
      <x:c r="K367" t="s">
        <x:v>366</x:v>
      </x:c>
      <x:c r="L367" t="s">
        <x:v>37</x:v>
      </x:c>
      <x:c r="M367" t="s">
        <x:v>387</x:v>
      </x:c>
      <x:c r="N367" t="s">
        <x:v>388</x:v>
      </x:c>
      <x:c r="O367" t="s">
        <x:v>369</x:v>
      </x:c>
      <x:c r="P367" t="s">
        <x:v>394</x:v>
      </x:c>
      <x:c r="Q367" t="s">
        <x:v>131</x:v>
      </x:c>
      <x:c r="R367">
        <x:v>1</x:v>
      </x:c>
      <x:c r="S367" t="s">
        <x:v>42</x:v>
      </x:c>
      <x:c r="T367" t="s">
        <x:v>44</x:v>
      </x:c>
      <x:c r="U367" t="s">
        <x:v>44</x:v>
      </x:c>
      <x:c r="V367" t="s">
        <x:v>45</x:v>
      </x:c>
      <x:c r="W367" t="s">
        <x:v>60</x:v>
      </x:c>
      <x:c r="X367">
        <x:v>152.54</x:v>
      </x:c>
      <x:c r="Y367" t="s">
        <x:v>47</x:v>
      </x:c>
      <x:c r="Z367" t="s">
        <x:v>48</x:v>
      </x:c>
      <x:c r="AA367" t="s">
        <x:v>49</x:v>
      </x:c>
      <x:c r="AB367">
        <x:v>976922608</x:v>
      </x:c>
      <x:c r="AC367" t="s">
        <x:v>371</x:v>
      </x:c>
      <x:c r="AD367">
        <x:v>30</x:v>
      </x:c>
    </x:row>
    <x:row r="368">
      <x:c r="A368" s="1">
        <x:v>46239</x:v>
      </x:c>
      <x:c r="B368" t="s">
        <x:v>4054</x:v>
      </x:c>
      <x:c r="C368" t="s">
        <x:v>395</x:v>
      </x:c>
      <x:c r="D368" t="s">
        <x:v>29</x:v>
      </x:c>
      <x:c r="E368" t="s">
        <x:v>396</x:v>
      </x:c>
      <x:c r="F368" t="s">
        <x:v>31</x:v>
      </x:c>
      <x:c r="G368" t="s">
        <x:v>397</x:v>
      </x:c>
      <x:c r="H368" t="s">
        <x:v>385</x:v>
      </x:c>
      <x:c r="I368" t="s">
        <x:v>386</x:v>
      </x:c>
      <x:c r="J368" t="s">
        <x:v>365</x:v>
      </x:c>
      <x:c r="K368" t="s">
        <x:v>366</x:v>
      </x:c>
      <x:c r="L368" t="s">
        <x:v>37</x:v>
      </x:c>
      <x:c r="M368" t="s">
        <x:v>387</x:v>
      </x:c>
      <x:c r="N368" t="s">
        <x:v>388</x:v>
      </x:c>
      <x:c r="O368" t="s">
        <x:v>369</x:v>
      </x:c>
      <x:c r="P368" t="s">
        <x:v>398</x:v>
      </x:c>
      <x:c r="Q368" t="s">
        <x:v>381</x:v>
      </x:c>
      <x:c r="R368">
        <x:v>1</x:v>
      </x:c>
      <x:c r="S368" t="s">
        <x:v>42</x:v>
      </x:c>
      <x:c r="T368" t="s">
        <x:v>44</x:v>
      </x:c>
      <x:c r="U368" t="s">
        <x:v>44</x:v>
      </x:c>
      <x:c r="V368" t="s">
        <x:v>45</x:v>
      </x:c>
      <x:c r="W368" t="s">
        <x:v>60</x:v>
      </x:c>
      <x:c r="X368">
        <x:v>33.9</x:v>
      </x:c>
      <x:c r="Y368" t="s">
        <x:v>47</x:v>
      </x:c>
      <x:c r="Z368" t="s">
        <x:v>48</x:v>
      </x:c>
      <x:c r="AA368" t="s">
        <x:v>49</x:v>
      </x:c>
      <x:c r="AB368">
        <x:v>976922608</x:v>
      </x:c>
      <x:c r="AC368" t="s">
        <x:v>371</x:v>
      </x:c>
    </x:row>
    <x:row r="369">
      <x:c r="A369" s="1">
        <x:v>46239</x:v>
      </x:c>
      <x:c r="B369" t="s">
        <x:v>4054</x:v>
      </x:c>
      <x:c r="C369" t="s">
        <x:v>399</x:v>
      </x:c>
      <x:c r="D369" t="s">
        <x:v>400</x:v>
      </x:c>
      <x:c r="E369" t="s">
        <x:v>396</x:v>
      </x:c>
      <x:c r="F369" t="s">
        <x:v>401</x:v>
      </x:c>
      <x:c r="G369" t="s">
        <x:v>402</x:v>
      </x:c>
      <x:c r="H369" t="s">
        <x:v>385</x:v>
      </x:c>
      <x:c r="I369" t="s">
        <x:v>386</x:v>
      </x:c>
      <x:c r="J369" t="s">
        <x:v>365</x:v>
      </x:c>
      <x:c r="K369" t="s">
        <x:v>366</x:v>
      </x:c>
      <x:c r="L369" t="s">
        <x:v>401</x:v>
      </x:c>
      <x:c r="M369" t="s">
        <x:v>387</x:v>
      </x:c>
      <x:c r="N369" t="s">
        <x:v>388</x:v>
      </x:c>
      <x:c r="O369" t="s">
        <x:v>369</x:v>
      </x:c>
      <x:c r="P369" t="s">
        <x:v>398</x:v>
      </x:c>
      <x:c r="Q369" t="s">
        <x:v>381</x:v>
      </x:c>
      <x:c r="R369">
        <x:v>1</x:v>
      </x:c>
      <x:c r="S369" t="s">
        <x:v>42</x:v>
      </x:c>
      <x:c r="T369" t="s">
        <x:v>44</x:v>
      </x:c>
      <x:c r="U369" t="s">
        <x:v>44</x:v>
      </x:c>
      <x:c r="V369" t="s">
        <x:v>45</x:v>
      </x:c>
      <x:c r="W369" t="s">
        <x:v>60</x:v>
      </x:c>
      <x:c r="X369">
        <x:v>-33.9</x:v>
      </x:c>
      <x:c r="Y369" t="s">
        <x:v>47</x:v>
      </x:c>
      <x:c r="Z369" t="s">
        <x:v>48</x:v>
      </x:c>
      <x:c r="AA369" t="s">
        <x:v>49</x:v>
      </x:c>
      <x:c r="AB369">
        <x:v>976922608</x:v>
      </x:c>
      <x:c r="AC369" t="s">
        <x:v>371</x:v>
      </x:c>
    </x:row>
    <x:row r="370">
      <x:c r="A370" s="1">
        <x:v>46239</x:v>
      </x:c>
      <x:c r="B370" t="s">
        <x:v>4054</x:v>
      </x:c>
      <x:c r="C370" t="s">
        <x:v>403</x:v>
      </x:c>
      <x:c r="D370" t="s">
        <x:v>269</x:v>
      </x:c>
      <x:c r="E370" t="s">
        <x:v>404</x:v>
      </x:c>
      <x:c r="F370" t="s">
        <x:v>31</x:v>
      </x:c>
      <x:c r="G370" t="s">
        <x:v>405</x:v>
      </x:c>
      <x:c r="H370" t="s">
        <x:v>385</x:v>
      </x:c>
      <x:c r="I370" t="s">
        <x:v>386</x:v>
      </x:c>
      <x:c r="J370" t="s">
        <x:v>365</x:v>
      </x:c>
      <x:c r="K370" t="s">
        <x:v>366</x:v>
      </x:c>
      <x:c r="L370" t="s">
        <x:v>37</x:v>
      </x:c>
      <x:c r="M370" t="s">
        <x:v>387</x:v>
      </x:c>
      <x:c r="N370" t="s">
        <x:v>388</x:v>
      </x:c>
      <x:c r="O370" t="s">
        <x:v>369</x:v>
      </x:c>
      <x:c r="P370" t="s">
        <x:v>406</x:v>
      </x:c>
      <x:c r="Q370" t="s">
        <x:v>381</x:v>
      </x:c>
      <x:c r="R370">
        <x:v>1</x:v>
      </x:c>
      <x:c r="S370" t="s">
        <x:v>42</x:v>
      </x:c>
      <x:c r="T370" t="s">
        <x:v>44</x:v>
      </x:c>
      <x:c r="U370" t="s">
        <x:v>44</x:v>
      </x:c>
      <x:c r="V370" t="s">
        <x:v>45</x:v>
      </x:c>
      <x:c r="W370" t="s">
        <x:v>60</x:v>
      </x:c>
      <x:c r="X370">
        <x:v>33.9</x:v>
      </x:c>
      <x:c r="Y370" t="s">
        <x:v>47</x:v>
      </x:c>
      <x:c r="Z370" t="s">
        <x:v>48</x:v>
      </x:c>
      <x:c r="AA370" t="s">
        <x:v>49</x:v>
      </x:c>
      <x:c r="AB370">
        <x:v>976922608</x:v>
      </x:c>
      <x:c r="AC370" t="s">
        <x:v>371</x:v>
      </x:c>
    </x:row>
    <x:row r="371">
      <x:c r="A371" s="1">
        <x:v>46239</x:v>
      </x:c>
      <x:c r="B371" t="s">
        <x:v>4054</x:v>
      </x:c>
      <x:c r="C371" t="s">
        <x:v>1498</x:v>
      </x:c>
      <x:c r="D371" t="s">
        <x:v>29</x:v>
      </x:c>
      <x:c r="E371" t="s">
        <x:v>1499</x:v>
      </x:c>
      <x:c r="F371" t="s">
        <x:v>31</x:v>
      </x:c>
      <x:c r="G371" t="s">
        <x:v>1500</x:v>
      </x:c>
      <x:c r="H371" t="s">
        <x:v>1501</x:v>
      </x:c>
      <x:c r="I371" t="s">
        <x:v>1502</x:v>
      </x:c>
      <x:c r="J371" t="s">
        <x:v>1494</x:v>
      </x:c>
      <x:c r="K371" t="s">
        <x:v>346</x:v>
      </x:c>
      <x:c r="L371" t="s">
        <x:v>37</x:v>
      </x:c>
      <x:c r="M371" t="s">
        <x:v>1503</x:v>
      </x:c>
      <x:c r="N371" t="s">
        <x:v>1504</x:v>
      </x:c>
      <x:c r="O371" t="s">
        <x:v>1501</x:v>
      </x:c>
      <x:c r="P371" t="s">
        <x:v>1505</x:v>
      </x:c>
      <x:c r="Q371" t="s">
        <x:v>202</x:v>
      </x:c>
      <x:c r="R371">
        <x:v>1</x:v>
      </x:c>
      <x:c r="S371" t="s">
        <x:v>42</x:v>
      </x:c>
      <x:c r="T371" t="s">
        <x:v>44</x:v>
      </x:c>
      <x:c r="U371" t="s">
        <x:v>44</x:v>
      </x:c>
      <x:c r="V371" t="s">
        <x:v>45</x:v>
      </x:c>
      <x:c r="W371" t="s">
        <x:v>46</x:v>
      </x:c>
      <x:c r="X371">
        <x:v>152.54</x:v>
      </x:c>
      <x:c r="Y371" t="s">
        <x:v>47</x:v>
      </x:c>
      <x:c r="Z371" t="s">
        <x:v>48</x:v>
      </x:c>
      <x:c r="AA371" t="s">
        <x:v>49</x:v>
      </x:c>
      <x:c r="AB371">
        <x:v>975750204</x:v>
      </x:c>
      <x:c r="AD371">
        <x:v>30</x:v>
      </x:c>
    </x:row>
    <x:row r="372">
      <x:c r="A372" s="1">
        <x:v>46239</x:v>
      </x:c>
      <x:c r="B372" t="s">
        <x:v>4054</x:v>
      </x:c>
      <x:c r="C372" t="s">
        <x:v>604</x:v>
      </x:c>
      <x:c r="D372" t="s">
        <x:v>269</x:v>
      </x:c>
      <x:c r="E372" t="s">
        <x:v>605</x:v>
      </x:c>
      <x:c r="F372" t="s">
        <x:v>31</x:v>
      </x:c>
      <x:c r="G372" t="s">
        <x:v>606</x:v>
      </x:c>
      <x:c r="H372" t="s">
        <x:v>607</x:v>
      </x:c>
      <x:c r="I372" t="s">
        <x:v>608</x:v>
      </x:c>
      <x:c r="L372" t="s">
        <x:v>37</x:v>
      </x:c>
      <x:c r="M372" t="s">
        <x:v>609</x:v>
      </x:c>
      <x:c r="N372" t="s">
        <x:v>610</x:v>
      </x:c>
      <x:c r="O372" t="s">
        <x:v>278</x:v>
      </x:c>
      <x:c r="P372" t="s">
        <x:v>611</x:v>
      </x:c>
      <x:c r="Q372" t="s">
        <x:v>214</x:v>
      </x:c>
      <x:c r="R372">
        <x:v>1</x:v>
      </x:c>
      <x:c r="S372" t="s">
        <x:v>42</x:v>
      </x:c>
      <x:c r="T372" t="s">
        <x:v>44</x:v>
      </x:c>
      <x:c r="U372" t="s">
        <x:v>44</x:v>
      </x:c>
      <x:c r="V372" t="s">
        <x:v>45</x:v>
      </x:c>
      <x:c r="W372" t="s">
        <x:v>60</x:v>
      </x:c>
      <x:c r="X372">
        <x:v>254.24</x:v>
      </x:c>
      <x:c r="Y372" t="s">
        <x:v>61</x:v>
      </x:c>
      <x:c r="Z372" t="s">
        <x:v>48</x:v>
      </x:c>
      <x:c r="AA372" t="s">
        <x:v>49</x:v>
      </x:c>
    </x:row>
    <x:row r="373">
      <x:c r="A373" s="1">
        <x:v>46239</x:v>
      </x:c>
      <x:c r="B373" t="s">
        <x:v>4054</x:v>
      </x:c>
      <x:c r="C373" t="s">
        <x:v>328</x:v>
      </x:c>
      <x:c r="D373" t="s">
        <x:v>269</x:v>
      </x:c>
      <x:c r="E373" t="s">
        <x:v>329</x:v>
      </x:c>
      <x:c r="F373" t="s">
        <x:v>31</x:v>
      </x:c>
      <x:c r="G373" t="s">
        <x:v>330</x:v>
      </x:c>
      <x:c r="H373" t="s">
        <x:v>331</x:v>
      </x:c>
      <x:c r="I373" t="s">
        <x:v>332</x:v>
      </x:c>
      <x:c r="J373" t="s">
        <x:v>274</x:v>
      </x:c>
      <x:c r="K373" t="s">
        <x:v>275</x:v>
      </x:c>
      <x:c r="L373" t="s">
        <x:v>37</x:v>
      </x:c>
      <x:c r="M373" t="s">
        <x:v>333</x:v>
      </x:c>
      <x:c r="N373" t="s">
        <x:v>334</x:v>
      </x:c>
      <x:c r="O373" t="s">
        <x:v>278</x:v>
      </x:c>
      <x:c r="P373" t="s">
        <x:v>335</x:v>
      </x:c>
      <x:c r="Q373" t="s">
        <x:v>289</x:v>
      </x:c>
      <x:c r="R373">
        <x:v>1</x:v>
      </x:c>
      <x:c r="S373" t="s">
        <x:v>42</x:v>
      </x:c>
      <x:c r="T373" t="s">
        <x:v>44</x:v>
      </x:c>
      <x:c r="U373" t="s">
        <x:v>44</x:v>
      </x:c>
      <x:c r="V373" t="s">
        <x:v>45</x:v>
      </x:c>
      <x:c r="W373" t="s">
        <x:v>46</x:v>
      </x:c>
      <x:c r="X373">
        <x:v>0</x:v>
      </x:c>
      <x:c r="Y373" t="s">
        <x:v>290</x:v>
      </x:c>
      <x:c r="Z373" t="s">
        <x:v>48</x:v>
      </x:c>
      <x:c r="AA373" t="s">
        <x:v>49</x:v>
      </x:c>
      <x:c r="AB373">
        <x:v>950133748</x:v>
      </x:c>
      <x:c r="AC373" t="s">
        <x:v>280</x:v>
      </x:c>
    </x:row>
    <x:row r="374">
      <x:c r="A374" s="1">
        <x:v>46239</x:v>
      </x:c>
      <x:c r="B374" t="s">
        <x:v>4054</x:v>
      </x:c>
      <x:c r="C374" t="s">
        <x:v>328</x:v>
      </x:c>
      <x:c r="D374" t="s">
        <x:v>269</x:v>
      </x:c>
      <x:c r="E374" t="s">
        <x:v>329</x:v>
      </x:c>
      <x:c r="F374" t="s">
        <x:v>31</x:v>
      </x:c>
      <x:c r="G374" t="s">
        <x:v>330</x:v>
      </x:c>
      <x:c r="H374" t="s">
        <x:v>331</x:v>
      </x:c>
      <x:c r="I374" t="s">
        <x:v>332</x:v>
      </x:c>
      <x:c r="J374" t="s">
        <x:v>274</x:v>
      </x:c>
      <x:c r="K374" t="s">
        <x:v>275</x:v>
      </x:c>
      <x:c r="L374" t="s">
        <x:v>37</x:v>
      </x:c>
      <x:c r="M374" t="s">
        <x:v>333</x:v>
      </x:c>
      <x:c r="N374" t="s">
        <x:v>334</x:v>
      </x:c>
      <x:c r="O374" t="s">
        <x:v>278</x:v>
      </x:c>
      <x:c r="P374" t="s">
        <x:v>335</x:v>
      </x:c>
      <x:c r="Q374" t="s">
        <x:v>291</x:v>
      </x:c>
      <x:c r="R374">
        <x:v>1</x:v>
      </x:c>
      <x:c r="S374" t="s">
        <x:v>42</x:v>
      </x:c>
      <x:c r="T374" t="s">
        <x:v>44</x:v>
      </x:c>
      <x:c r="U374" t="s">
        <x:v>44</x:v>
      </x:c>
      <x:c r="V374" t="s">
        <x:v>45</x:v>
      </x:c>
      <x:c r="W374" t="s">
        <x:v>46</x:v>
      </x:c>
      <x:c r="X374">
        <x:v>1050.8499999999999</x:v>
      </x:c>
      <x:c r="Y374" t="s">
        <x:v>290</x:v>
      </x:c>
      <x:c r="Z374" t="s">
        <x:v>48</x:v>
      </x:c>
      <x:c r="AA374" t="s">
        <x:v>49</x:v>
      </x:c>
      <x:c r="AB374">
        <x:v>950133748</x:v>
      </x:c>
      <x:c r="AC374" t="s">
        <x:v>280</x:v>
      </x:c>
    </x:row>
    <x:row r="375">
      <x:c r="A375" s="1">
        <x:v>46239</x:v>
      </x:c>
      <x:c r="B375" t="s">
        <x:v>4054</x:v>
      </x:c>
      <x:c r="C375" t="s">
        <x:v>336</x:v>
      </x:c>
      <x:c r="D375" t="s">
        <x:v>269</x:v>
      </x:c>
      <x:c r="E375" t="s">
        <x:v>337</x:v>
      </x:c>
      <x:c r="F375" t="s">
        <x:v>31</x:v>
      </x:c>
      <x:c r="G375" t="s">
        <x:v>338</x:v>
      </x:c>
      <x:c r="H375" t="s">
        <x:v>331</x:v>
      </x:c>
      <x:c r="I375" t="s">
        <x:v>332</x:v>
      </x:c>
      <x:c r="J375" t="s">
        <x:v>274</x:v>
      </x:c>
      <x:c r="K375" t="s">
        <x:v>275</x:v>
      </x:c>
      <x:c r="L375" t="s">
        <x:v>37</x:v>
      </x:c>
      <x:c r="M375" t="s">
        <x:v>333</x:v>
      </x:c>
      <x:c r="N375" t="s">
        <x:v>334</x:v>
      </x:c>
      <x:c r="O375" t="s">
        <x:v>278</x:v>
      </x:c>
      <x:c r="P375" t="s">
        <x:v>339</x:v>
      </x:c>
      <x:c r="Q375" t="s">
        <x:v>202</x:v>
      </x:c>
      <x:c r="R375">
        <x:v>1</x:v>
      </x:c>
      <x:c r="S375" t="s">
        <x:v>42</x:v>
      </x:c>
      <x:c r="T375" t="s">
        <x:v>44</x:v>
      </x:c>
      <x:c r="U375" t="s">
        <x:v>44</x:v>
      </x:c>
      <x:c r="V375" t="s">
        <x:v>45</x:v>
      </x:c>
      <x:c r="W375" t="s">
        <x:v>60</x:v>
      </x:c>
      <x:c r="X375">
        <x:v>152.54</x:v>
      </x:c>
      <x:c r="Y375" t="s">
        <x:v>47</x:v>
      </x:c>
      <x:c r="Z375" t="s">
        <x:v>48</x:v>
      </x:c>
      <x:c r="AA375" t="s">
        <x:v>49</x:v>
      </x:c>
      <x:c r="AB375">
        <x:v>950133748</x:v>
      </x:c>
      <x:c r="AC375" t="s">
        <x:v>280</x:v>
      </x:c>
      <x:c r="AD375">
        <x:v>30</x:v>
      </x:c>
    </x:row>
    <x:row r="376">
      <x:c r="A376" s="1">
        <x:v>46239</x:v>
      </x:c>
      <x:c r="B376" t="s">
        <x:v>4054</x:v>
      </x:c>
      <x:c r="C376" t="s">
        <x:v>1229</x:v>
      </x:c>
      <x:c r="D376" t="s">
        <x:v>29</x:v>
      </x:c>
      <x:c r="E376" t="s">
        <x:v>1230</x:v>
      </x:c>
      <x:c r="F376" t="s">
        <x:v>31</x:v>
      </x:c>
      <x:c r="G376" t="s">
        <x:v>1231</x:v>
      </x:c>
      <x:c r="H376" t="s">
        <x:v>1232</x:v>
      </x:c>
      <x:c r="I376" t="s">
        <x:v>1233</x:v>
      </x:c>
      <x:c r="J376" t="s">
        <x:v>1234</x:v>
      </x:c>
      <x:c r="K376" t="s">
        <x:v>210</x:v>
      </x:c>
      <x:c r="L376" t="s">
        <x:v>37</x:v>
      </x:c>
      <x:c r="M376" t="s">
        <x:v>1235</x:v>
      </x:c>
      <x:c r="N376" t="s">
        <x:v>1236</x:v>
      </x:c>
      <x:c r="O376" t="s">
        <x:v>1232</x:v>
      </x:c>
      <x:c r="P376" t="s">
        <x:v>1237</x:v>
      </x:c>
      <x:c r="Q376" t="s">
        <x:v>160</x:v>
      </x:c>
      <x:c r="R376">
        <x:v>1</x:v>
      </x:c>
      <x:c r="S376" t="s">
        <x:v>42</x:v>
      </x:c>
      <x:c r="T376" t="s">
        <x:v>44</x:v>
      </x:c>
      <x:c r="U376" t="s">
        <x:v>44</x:v>
      </x:c>
      <x:c r="V376" t="s">
        <x:v>45</x:v>
      </x:c>
      <x:c r="W376" t="s">
        <x:v>60</x:v>
      </x:c>
      <x:c r="X376">
        <x:v>135.59</x:v>
      </x:c>
      <x:c r="Y376" t="s">
        <x:v>47</x:v>
      </x:c>
      <x:c r="Z376" t="s">
        <x:v>48</x:v>
      </x:c>
      <x:c r="AA376" t="s">
        <x:v>49</x:v>
      </x:c>
      <x:c r="AC376" t="s">
        <x:v>1238</x:v>
      </x:c>
      <x:c r="AD376">
        <x:v>30</x:v>
      </x:c>
    </x:row>
    <x:row r="377">
      <x:c r="A377" s="1">
        <x:v>46239</x:v>
      </x:c>
      <x:c r="B377" t="s">
        <x:v>4054</x:v>
      </x:c>
      <x:c r="C377" t="s">
        <x:v>1479</x:v>
      </x:c>
      <x:c r="D377" t="s">
        <x:v>269</x:v>
      </x:c>
      <x:c r="E377" t="s">
        <x:v>1480</x:v>
      </x:c>
      <x:c r="F377" t="s">
        <x:v>31</x:v>
      </x:c>
      <x:c r="G377" t="s">
        <x:v>1481</x:v>
      </x:c>
      <x:c r="H377" t="s">
        <x:v>1482</x:v>
      </x:c>
      <x:c r="I377" t="s">
        <x:v>1483</x:v>
      </x:c>
      <x:c r="J377" t="s">
        <x:v>1484</x:v>
      </x:c>
      <x:c r="K377" t="s">
        <x:v>1485</x:v>
      </x:c>
      <x:c r="L377" t="s">
        <x:v>37</x:v>
      </x:c>
      <x:c r="M377" t="s">
        <x:v>1486</x:v>
      </x:c>
      <x:c r="N377" t="s">
        <x:v>610</x:v>
      </x:c>
      <x:c r="O377" t="s">
        <x:v>1487</x:v>
      </x:c>
      <x:c r="P377" t="s">
        <x:v>1488</x:v>
      </x:c>
      <x:c r="Q377" t="s">
        <x:v>289</x:v>
      </x:c>
      <x:c r="R377">
        <x:v>1</x:v>
      </x:c>
      <x:c r="S377" t="s">
        <x:v>42</x:v>
      </x:c>
      <x:c r="T377" t="s">
        <x:v>44</x:v>
      </x:c>
      <x:c r="U377" t="s">
        <x:v>44</x:v>
      </x:c>
      <x:c r="V377" t="s">
        <x:v>45</x:v>
      </x:c>
      <x:c r="W377" t="s">
        <x:v>60</x:v>
      </x:c>
      <x:c r="X377">
        <x:v>0</x:v>
      </x:c>
      <x:c r="Y377" t="s">
        <x:v>290</x:v>
      </x:c>
      <x:c r="Z377" t="s">
        <x:v>48</x:v>
      </x:c>
      <x:c r="AA377" t="s">
        <x:v>49</x:v>
      </x:c>
    </x:row>
    <x:row r="378">
      <x:c r="A378" s="1">
        <x:v>46239</x:v>
      </x:c>
      <x:c r="B378" t="s">
        <x:v>4054</x:v>
      </x:c>
      <x:c r="C378" t="s">
        <x:v>1479</x:v>
      </x:c>
      <x:c r="D378" t="s">
        <x:v>269</x:v>
      </x:c>
      <x:c r="E378" t="s">
        <x:v>1480</x:v>
      </x:c>
      <x:c r="F378" t="s">
        <x:v>31</x:v>
      </x:c>
      <x:c r="G378" t="s">
        <x:v>1481</x:v>
      </x:c>
      <x:c r="H378" t="s">
        <x:v>1482</x:v>
      </x:c>
      <x:c r="I378" t="s">
        <x:v>1483</x:v>
      </x:c>
      <x:c r="J378" t="s">
        <x:v>1484</x:v>
      </x:c>
      <x:c r="K378" t="s">
        <x:v>1485</x:v>
      </x:c>
      <x:c r="L378" t="s">
        <x:v>37</x:v>
      </x:c>
      <x:c r="M378" t="s">
        <x:v>1486</x:v>
      </x:c>
      <x:c r="N378" t="s">
        <x:v>610</x:v>
      </x:c>
      <x:c r="O378" t="s">
        <x:v>1487</x:v>
      </x:c>
      <x:c r="P378" t="s">
        <x:v>1488</x:v>
      </x:c>
      <x:c r="Q378" t="s">
        <x:v>1257</x:v>
      </x:c>
      <x:c r="R378">
        <x:v>1</x:v>
      </x:c>
      <x:c r="S378" t="s">
        <x:v>42</x:v>
      </x:c>
      <x:c r="T378" t="s">
        <x:v>44</x:v>
      </x:c>
      <x:c r="U378" t="s">
        <x:v>44</x:v>
      </x:c>
      <x:c r="V378" t="s">
        <x:v>45</x:v>
      </x:c>
      <x:c r="W378" t="s">
        <x:v>60</x:v>
      </x:c>
      <x:c r="X378">
        <x:v>563.55999999999995</x:v>
      </x:c>
      <x:c r="Y378" t="s">
        <x:v>290</x:v>
      </x:c>
      <x:c r="Z378" t="s">
        <x:v>48</x:v>
      </x:c>
      <x:c r="AA378" t="s">
        <x:v>49</x:v>
      </x:c>
    </x:row>
    <x:row r="379">
      <x:c r="A379" s="1">
        <x:v>46241</x:v>
      </x:c>
      <x:c r="B379" t="s">
        <x:v>4054</x:v>
      </x:c>
      <x:c r="C379" t="s">
        <x:v>1191</x:v>
      </x:c>
      <x:c r="D379" t="s">
        <x:v>29</x:v>
      </x:c>
      <x:c r="E379" t="s">
        <x:v>1192</x:v>
      </x:c>
      <x:c r="F379" t="s">
        <x:v>31</x:v>
      </x:c>
      <x:c r="G379" t="s">
        <x:v>1193</x:v>
      </x:c>
      <x:c r="H379" t="s">
        <x:v>1194</x:v>
      </x:c>
      <x:c r="I379" t="s">
        <x:v>1195</x:v>
      </x:c>
      <x:c r="J379" t="s">
        <x:v>1186</x:v>
      </x:c>
      <x:c r="K379" t="s">
        <x:v>210</x:v>
      </x:c>
      <x:c r="L379" t="s">
        <x:v>37</x:v>
      </x:c>
      <x:c r="M379" t="s">
        <x:v>1196</x:v>
      </x:c>
      <x:c r="N379" t="s">
        <x:v>1197</x:v>
      </x:c>
      <x:c r="O379" t="s">
        <x:v>1194</x:v>
      </x:c>
      <x:c r="P379" t="s">
        <x:v>1198</x:v>
      </x:c>
      <x:c r="Q379" t="s">
        <x:v>91</x:v>
      </x:c>
      <x:c r="R379">
        <x:v>1</x:v>
      </x:c>
      <x:c r="S379" t="s">
        <x:v>42</x:v>
      </x:c>
      <x:c r="T379" t="s">
        <x:v>44</x:v>
      </x:c>
      <x:c r="U379" t="s">
        <x:v>44</x:v>
      </x:c>
      <x:c r="V379" t="s">
        <x:v>45</x:v>
      </x:c>
      <x:c r="W379" t="s">
        <x:v>60</x:v>
      </x:c>
      <x:c r="X379">
        <x:v>135.59</x:v>
      </x:c>
      <x:c r="Y379" t="s">
        <x:v>47</x:v>
      </x:c>
      <x:c r="Z379" t="s">
        <x:v>48</x:v>
      </x:c>
      <x:c r="AA379" t="s">
        <x:v>49</x:v>
      </x:c>
      <x:c r="AB379">
        <x:v>981227454</x:v>
      </x:c>
      <x:c r="AC379" t="s">
        <x:v>1190</x:v>
      </x:c>
      <x:c r="AD379">
        <x:v>30</x:v>
      </x:c>
    </x:row>
    <x:row r="380">
      <x:c r="A380" s="1">
        <x:v>46241</x:v>
      </x:c>
      <x:c r="B380" t="s">
        <x:v>4054</x:v>
      </x:c>
      <x:c r="C380" t="s">
        <x:v>1506</x:v>
      </x:c>
      <x:c r="D380" t="s">
        <x:v>29</x:v>
      </x:c>
      <x:c r="E380" t="s">
        <x:v>1507</x:v>
      </x:c>
      <x:c r="F380" t="s">
        <x:v>31</x:v>
      </x:c>
      <x:c r="G380" t="s">
        <x:v>1508</x:v>
      </x:c>
      <x:c r="H380" t="s">
        <x:v>1509</x:v>
      </x:c>
      <x:c r="I380" t="s">
        <x:v>1510</x:v>
      </x:c>
      <x:c r="J380" t="s">
        <x:v>2784</x:v>
      </x:c>
      <x:c r="K380" t="s">
        <x:v>210</x:v>
      </x:c>
      <x:c r="L380" t="s">
        <x:v>37</x:v>
      </x:c>
      <x:c r="M380" t="s">
        <x:v>1512</x:v>
      </x:c>
      <x:c r="N380" t="s">
        <x:v>1513</x:v>
      </x:c>
      <x:c r="O380" t="s">
        <x:v>1509</x:v>
      </x:c>
      <x:c r="P380" t="s">
        <x:v>1514</x:v>
      </x:c>
      <x:c r="Q380" t="s">
        <x:v>203</x:v>
      </x:c>
      <x:c r="R380">
        <x:v>1</x:v>
      </x:c>
      <x:c r="S380" t="s">
        <x:v>42</x:v>
      </x:c>
      <x:c r="T380" t="s">
        <x:v>44</x:v>
      </x:c>
      <x:c r="U380" t="s">
        <x:v>44</x:v>
      </x:c>
      <x:c r="V380" t="s">
        <x:v>45</x:v>
      </x:c>
      <x:c r="W380" t="s">
        <x:v>60</x:v>
      </x:c>
      <x:c r="X380">
        <x:v>135.59</x:v>
      </x:c>
      <x:c r="Y380" t="s">
        <x:v>47</x:v>
      </x:c>
      <x:c r="Z380" t="s">
        <x:v>48</x:v>
      </x:c>
      <x:c r="AA380" t="s">
        <x:v>49</x:v>
      </x:c>
      <x:c r="AD380">
        <x:v>30</x:v>
      </x:c>
    </x:row>
    <x:row r="381">
      <x:c r="A381" s="1">
        <x:v>46241</x:v>
      </x:c>
      <x:c r="B381" t="s">
        <x:v>4054</x:v>
      </x:c>
      <x:c r="C381" t="s">
        <x:v>1348</x:v>
      </x:c>
      <x:c r="D381" t="s">
        <x:v>29</x:v>
      </x:c>
      <x:c r="E381" t="s">
        <x:v>1349</x:v>
      </x:c>
      <x:c r="F381" t="s">
        <x:v>31</x:v>
      </x:c>
      <x:c r="G381" t="s">
        <x:v>1350</x:v>
      </x:c>
      <x:c r="H381" t="s">
        <x:v>1351</x:v>
      </x:c>
      <x:c r="I381" t="s">
        <x:v>1352</x:v>
      </x:c>
      <x:c r="J381" t="s">
        <x:v>1353</x:v>
      </x:c>
      <x:c r="K381" t="s">
        <x:v>210</x:v>
      </x:c>
      <x:c r="L381" t="s">
        <x:v>37</x:v>
      </x:c>
      <x:c r="M381" t="s">
        <x:v>1354</x:v>
      </x:c>
      <x:c r="N381" t="s">
        <x:v>1355</x:v>
      </x:c>
      <x:c r="O381" t="s">
        <x:v>1351</x:v>
      </x:c>
      <x:c r="P381" t="s">
        <x:v>1356</x:v>
      </x:c>
      <x:c r="Q381" t="s">
        <x:v>131</x:v>
      </x:c>
      <x:c r="R381">
        <x:v>1</x:v>
      </x:c>
      <x:c r="S381" t="s">
        <x:v>42</x:v>
      </x:c>
      <x:c r="T381" t="s">
        <x:v>44</x:v>
      </x:c>
      <x:c r="U381" t="s">
        <x:v>44</x:v>
      </x:c>
      <x:c r="V381" t="s">
        <x:v>45</x:v>
      </x:c>
      <x:c r="W381" t="s">
        <x:v>60</x:v>
      </x:c>
      <x:c r="X381">
        <x:v>152.54</x:v>
      </x:c>
      <x:c r="Y381" t="s">
        <x:v>47</x:v>
      </x:c>
      <x:c r="Z381" t="s">
        <x:v>48</x:v>
      </x:c>
      <x:c r="AA381" t="s">
        <x:v>49</x:v>
      </x:c>
      <x:c r="AB381">
        <x:v>980030101</x:v>
      </x:c>
      <x:c r="AC381" t="s">
        <x:v>1357</x:v>
      </x:c>
      <x:c r="AD381">
        <x:v>30</x:v>
      </x:c>
    </x:row>
    <x:row r="382">
      <x:c r="A382" s="1">
        <x:v>46241</x:v>
      </x:c>
      <x:c r="B382" t="s">
        <x:v>4054</x:v>
      </x:c>
      <x:c r="C382" t="s">
        <x:v>1043</x:v>
      </x:c>
      <x:c r="D382" t="s">
        <x:v>29</x:v>
      </x:c>
      <x:c r="E382" t="s">
        <x:v>1044</x:v>
      </x:c>
      <x:c r="F382" t="s">
        <x:v>31</x:v>
      </x:c>
      <x:c r="G382" t="s">
        <x:v>1045</x:v>
      </x:c>
      <x:c r="H382" t="s">
        <x:v>1046</x:v>
      </x:c>
      <x:c r="I382" t="s">
        <x:v>1047</x:v>
      </x:c>
      <x:c r="J382" t="s">
        <x:v>776</x:v>
      </x:c>
      <x:c r="K382" t="s">
        <x:v>777</x:v>
      </x:c>
      <x:c r="L382" t="s">
        <x:v>37</x:v>
      </x:c>
      <x:c r="M382" t="s">
        <x:v>1048</x:v>
      </x:c>
      <x:c r="N382" t="s">
        <x:v>1049</x:v>
      </x:c>
      <x:c r="O382" t="s">
        <x:v>1046</x:v>
      </x:c>
      <x:c r="P382" t="s">
        <x:v>1050</x:v>
      </x:c>
      <x:c r="Q382" t="s">
        <x:v>91</x:v>
      </x:c>
      <x:c r="R382">
        <x:v>1</x:v>
      </x:c>
      <x:c r="S382" t="s">
        <x:v>42</x:v>
      </x:c>
      <x:c r="T382" t="s">
        <x:v>44</x:v>
      </x:c>
      <x:c r="U382" t="s">
        <x:v>44</x:v>
      </x:c>
      <x:c r="V382" t="s">
        <x:v>45</x:v>
      </x:c>
      <x:c r="W382" t="s">
        <x:v>60</x:v>
      </x:c>
      <x:c r="X382">
        <x:v>135.59</x:v>
      </x:c>
      <x:c r="Y382" t="s">
        <x:v>47</x:v>
      </x:c>
      <x:c r="Z382" t="s">
        <x:v>48</x:v>
      </x:c>
      <x:c r="AA382" t="s">
        <x:v>49</x:v>
      </x:c>
      <x:c r="AD382">
        <x:v>30</x:v>
      </x:c>
    </x:row>
    <x:row r="383">
      <x:c r="A383" s="1">
        <x:v>46241</x:v>
      </x:c>
      <x:c r="B383" t="s">
        <x:v>4054</x:v>
      </x:c>
      <x:c r="C383" t="s">
        <x:v>1515</x:v>
      </x:c>
      <x:c r="D383" t="s">
        <x:v>29</x:v>
      </x:c>
      <x:c r="E383" t="s">
        <x:v>1516</x:v>
      </x:c>
      <x:c r="F383" t="s">
        <x:v>31</x:v>
      </x:c>
      <x:c r="G383" t="s">
        <x:v>1517</x:v>
      </x:c>
      <x:c r="H383" t="s">
        <x:v>1518</x:v>
      </x:c>
      <x:c r="I383" t="s">
        <x:v>1519</x:v>
      </x:c>
      <x:c r="J383" t="s">
        <x:v>1520</x:v>
      </x:c>
      <x:c r="K383" t="s">
        <x:v>631</x:v>
      </x:c>
      <x:c r="L383" t="s">
        <x:v>37</x:v>
      </x:c>
      <x:c r="M383" t="s">
        <x:v>1521</x:v>
      </x:c>
      <x:c r="N383" t="s">
        <x:v>1522</x:v>
      </x:c>
      <x:c r="O383" t="s">
        <x:v>1518</x:v>
      </x:c>
      <x:c r="P383" t="s">
        <x:v>1523</x:v>
      </x:c>
      <x:c r="Q383" t="s">
        <x:v>482</x:v>
      </x:c>
      <x:c r="R383">
        <x:v>2</x:v>
      </x:c>
      <x:c r="S383" t="s">
        <x:v>42</x:v>
      </x:c>
      <x:c r="T383" t="s">
        <x:v>44</x:v>
      </x:c>
      <x:c r="U383" t="s">
        <x:v>44</x:v>
      </x:c>
      <x:c r="V383" t="s">
        <x:v>45</x:v>
      </x:c>
      <x:c r="W383" t="s">
        <x:v>46</x:v>
      </x:c>
      <x:c r="X383">
        <x:v>203.39</x:v>
      </x:c>
      <x:c r="Y383" t="s">
        <x:v>61</x:v>
      </x:c>
      <x:c r="Z383" t="s">
        <x:v>48</x:v>
      </x:c>
      <x:c r="AA383" t="s">
        <x:v>49</x:v>
      </x:c>
      <x:c r="AB383">
        <x:v>947422476</x:v>
      </x:c>
    </x:row>
    <x:row r="384">
      <x:c r="A384" s="1">
        <x:v>46241</x:v>
      </x:c>
      <x:c r="B384" t="s">
        <x:v>4054</x:v>
      </x:c>
      <x:c r="C384" t="s">
        <x:v>1367</x:v>
      </x:c>
      <x:c r="D384" t="s">
        <x:v>29</x:v>
      </x:c>
      <x:c r="E384" t="s">
        <x:v>1368</x:v>
      </x:c>
      <x:c r="F384" t="s">
        <x:v>31</x:v>
      </x:c>
      <x:c r="G384" t="s">
        <x:v>1369</x:v>
      </x:c>
      <x:c r="H384" t="s">
        <x:v>1370</x:v>
      </x:c>
      <x:c r="I384" t="s">
        <x:v>1371</x:v>
      </x:c>
      <x:c r="J384" t="s">
        <x:v>1372</x:v>
      </x:c>
      <x:c r="K384" t="s">
        <x:v>631</x:v>
      </x:c>
      <x:c r="L384" t="s">
        <x:v>37</x:v>
      </x:c>
      <x:c r="M384" t="s">
        <x:v>1373</x:v>
      </x:c>
      <x:c r="N384" t="s">
        <x:v>1374</x:v>
      </x:c>
      <x:c r="O384" t="s">
        <x:v>1370</x:v>
      </x:c>
      <x:c r="P384" t="s">
        <x:v>1375</x:v>
      </x:c>
      <x:c r="Q384" t="s">
        <x:v>160</x:v>
      </x:c>
      <x:c r="R384">
        <x:v>1</x:v>
      </x:c>
      <x:c r="S384" t="s">
        <x:v>42</x:v>
      </x:c>
      <x:c r="T384" t="s">
        <x:v>44</x:v>
      </x:c>
      <x:c r="U384" t="s">
        <x:v>44</x:v>
      </x:c>
      <x:c r="V384" t="s">
        <x:v>45</x:v>
      </x:c>
      <x:c r="W384" t="s">
        <x:v>60</x:v>
      </x:c>
      <x:c r="X384">
        <x:v>135.59</x:v>
      </x:c>
      <x:c r="Y384" t="s">
        <x:v>47</x:v>
      </x:c>
      <x:c r="Z384" t="s">
        <x:v>48</x:v>
      </x:c>
      <x:c r="AA384" t="s">
        <x:v>49</x:v>
      </x:c>
      <x:c r="AB384">
        <x:v>994336842</x:v>
      </x:c>
      <x:c r="AD384">
        <x:v>30</x:v>
      </x:c>
    </x:row>
    <x:row r="385">
      <x:c r="A385" s="1">
        <x:v>46242</x:v>
      </x:c>
      <x:c r="B385" t="s">
        <x:v>4054</x:v>
      </x:c>
      <x:c r="C385" t="s">
        <x:v>426</x:v>
      </x:c>
      <x:c r="D385" t="s">
        <x:v>29</x:v>
      </x:c>
      <x:c r="E385" t="s">
        <x:v>427</x:v>
      </x:c>
      <x:c r="F385" t="s">
        <x:v>31</x:v>
      </x:c>
      <x:c r="G385" t="s">
        <x:v>428</x:v>
      </x:c>
      <x:c r="H385" t="s">
        <x:v>410</x:v>
      </x:c>
      <x:c r="I385" t="s">
        <x:v>411</x:v>
      </x:c>
      <x:c r="J385" t="s">
        <x:v>412</x:v>
      </x:c>
      <x:c r="K385" t="s">
        <x:v>413</x:v>
      </x:c>
      <x:c r="L385" t="s">
        <x:v>37</x:v>
      </x:c>
      <x:c r="M385" t="s">
        <x:v>414</x:v>
      </x:c>
      <x:c r="N385" t="s">
        <x:v>415</x:v>
      </x:c>
      <x:c r="O385" t="s">
        <x:v>410</x:v>
      </x:c>
      <x:c r="P385" t="s">
        <x:v>429</x:v>
      </x:c>
      <x:c r="Q385" t="s">
        <x:v>41</x:v>
      </x:c>
      <x:c r="R385">
        <x:v>1</x:v>
      </x:c>
      <x:c r="S385" t="s">
        <x:v>42</x:v>
      </x:c>
      <x:c r="T385" t="s">
        <x:v>44</x:v>
      </x:c>
      <x:c r="U385" t="s">
        <x:v>44</x:v>
      </x:c>
      <x:c r="V385" t="s">
        <x:v>45</x:v>
      </x:c>
      <x:c r="W385" t="s">
        <x:v>60</x:v>
      </x:c>
      <x:c r="X385">
        <x:v>186.44</x:v>
      </x:c>
      <x:c r="Y385" t="s">
        <x:v>47</x:v>
      </x:c>
      <x:c r="Z385" t="s">
        <x:v>48</x:v>
      </x:c>
      <x:c r="AA385" t="s">
        <x:v>49</x:v>
      </x:c>
      <x:c r="AB385">
        <x:v>982673362</x:v>
      </x:c>
      <x:c r="AC385" t="s">
        <x:v>417</x:v>
      </x:c>
      <x:c r="AD385">
        <x:v>50</x:v>
      </x:c>
    </x:row>
    <x:row r="386">
      <x:c r="A386" s="1">
        <x:v>46242</x:v>
      </x:c>
      <x:c r="B386" t="s">
        <x:v>4054</x:v>
      </x:c>
      <x:c r="C386" t="s">
        <x:v>426</x:v>
      </x:c>
      <x:c r="D386" t="s">
        <x:v>29</x:v>
      </x:c>
      <x:c r="E386" t="s">
        <x:v>427</x:v>
      </x:c>
      <x:c r="F386" t="s">
        <x:v>31</x:v>
      </x:c>
      <x:c r="G386" t="s">
        <x:v>428</x:v>
      </x:c>
      <x:c r="H386" t="s">
        <x:v>410</x:v>
      </x:c>
      <x:c r="I386" t="s">
        <x:v>411</x:v>
      </x:c>
      <x:c r="J386" t="s">
        <x:v>412</x:v>
      </x:c>
      <x:c r="K386" t="s">
        <x:v>413</x:v>
      </x:c>
      <x:c r="L386" t="s">
        <x:v>37</x:v>
      </x:c>
      <x:c r="M386" t="s">
        <x:v>414</x:v>
      </x:c>
      <x:c r="N386" t="s">
        <x:v>415</x:v>
      </x:c>
      <x:c r="O386" t="s">
        <x:v>410</x:v>
      </x:c>
      <x:c r="P386" t="s">
        <x:v>429</x:v>
      </x:c>
      <x:c r="Q386" t="s">
        <x:v>102</x:v>
      </x:c>
      <x:c r="R386">
        <x:v>1</x:v>
      </x:c>
      <x:c r="S386" t="s">
        <x:v>42</x:v>
      </x:c>
      <x:c r="T386" t="s">
        <x:v>44</x:v>
      </x:c>
      <x:c r="U386" t="s">
        <x:v>44</x:v>
      </x:c>
      <x:c r="V386" t="s">
        <x:v>45</x:v>
      </x:c>
      <x:c r="W386" t="s">
        <x:v>60</x:v>
      </x:c>
      <x:c r="X386">
        <x:v>186.44</x:v>
      </x:c>
      <x:c r="Y386" t="s">
        <x:v>47</x:v>
      </x:c>
      <x:c r="Z386" t="s">
        <x:v>48</x:v>
      </x:c>
      <x:c r="AA386" t="s">
        <x:v>49</x:v>
      </x:c>
      <x:c r="AB386">
        <x:v>982673362</x:v>
      </x:c>
      <x:c r="AC386" t="s">
        <x:v>417</x:v>
      </x:c>
      <x:c r="AD386">
        <x:v>50</x:v>
      </x:c>
    </x:row>
    <x:row r="387">
      <x:c r="A387" s="1">
        <x:v>46242</x:v>
      </x:c>
      <x:c r="B387" t="s">
        <x:v>4054</x:v>
      </x:c>
      <x:c r="C387" t="s">
        <x:v>1172</x:v>
      </x:c>
      <x:c r="D387" t="s">
        <x:v>29</x:v>
      </x:c>
      <x:c r="E387" t="s">
        <x:v>1173</x:v>
      </x:c>
      <x:c r="F387" t="s">
        <x:v>31</x:v>
      </x:c>
      <x:c r="G387" t="s">
        <x:v>1174</x:v>
      </x:c>
      <x:c r="H387" t="s">
        <x:v>1175</x:v>
      </x:c>
      <x:c r="I387" t="s">
        <x:v>1176</x:v>
      </x:c>
      <x:c r="J387" t="s">
        <x:v>1166</x:v>
      </x:c>
      <x:c r="K387" t="s">
        <x:v>1167</x:v>
      </x:c>
      <x:c r="L387" t="s">
        <x:v>37</x:v>
      </x:c>
      <x:c r="M387" t="s">
        <x:v>1177</x:v>
      </x:c>
      <x:c r="N387" t="s">
        <x:v>1178</x:v>
      </x:c>
      <x:c r="O387" t="s">
        <x:v>1175</x:v>
      </x:c>
      <x:c r="P387" t="s">
        <x:v>1179</x:v>
      </x:c>
      <x:c r="Q387" t="s">
        <x:v>1180</x:v>
      </x:c>
      <x:c r="R387">
        <x:v>1</x:v>
      </x:c>
      <x:c r="S387" t="s">
        <x:v>42</x:v>
      </x:c>
      <x:c r="T387" t="s">
        <x:v>44</x:v>
      </x:c>
      <x:c r="U387" t="s">
        <x:v>44</x:v>
      </x:c>
      <x:c r="V387" t="s">
        <x:v>45</x:v>
      </x:c>
      <x:c r="W387" t="s">
        <x:v>60</x:v>
      </x:c>
      <x:c r="X387">
        <x:v>186.44</x:v>
      </x:c>
      <x:c r="Y387" t="s">
        <x:v>47</x:v>
      </x:c>
      <x:c r="Z387" t="s">
        <x:v>48</x:v>
      </x:c>
      <x:c r="AA387" t="s">
        <x:v>49</x:v>
      </x:c>
      <x:c r="AB387">
        <x:v>978548687</x:v>
      </x:c>
      <x:c r="AC387" t="s">
        <x:v>1171</x:v>
      </x:c>
      <x:c r="AD387">
        <x:v>50</x:v>
      </x:c>
    </x:row>
    <x:row r="388">
      <x:c r="A388" s="1">
        <x:v>46244</x:v>
      </x:c>
      <x:c r="B388" t="s">
        <x:v>4054</x:v>
      </x:c>
      <x:c r="C388" t="s">
        <x:v>693</x:v>
      </x:c>
      <x:c r="D388" t="s">
        <x:v>29</x:v>
      </x:c>
      <x:c r="E388" t="s">
        <x:v>694</x:v>
      </x:c>
      <x:c r="F388" t="s">
        <x:v>31</x:v>
      </x:c>
      <x:c r="G388" t="s">
        <x:v>695</x:v>
      </x:c>
      <x:c r="H388" t="s">
        <x:v>696</x:v>
      </x:c>
      <x:c r="I388" t="s">
        <x:v>697</x:v>
      </x:c>
      <x:c r="J388" t="s">
        <x:v>664</x:v>
      </x:c>
      <x:c r="K388" t="s">
        <x:v>36</x:v>
      </x:c>
      <x:c r="L388" t="s">
        <x:v>37</x:v>
      </x:c>
      <x:c r="M388" t="s">
        <x:v>698</x:v>
      </x:c>
      <x:c r="N388" t="s">
        <x:v>699</x:v>
      </x:c>
      <x:c r="O388" t="s">
        <x:v>696</x:v>
      </x:c>
      <x:c r="P388" t="s">
        <x:v>700</x:v>
      </x:c>
      <x:c r="Q388" t="s">
        <x:v>202</x:v>
      </x:c>
      <x:c r="R388">
        <x:v>1</x:v>
      </x:c>
      <x:c r="S388" t="s">
        <x:v>42</x:v>
      </x:c>
      <x:c r="T388" t="s">
        <x:v>44</x:v>
      </x:c>
      <x:c r="U388" t="s">
        <x:v>44</x:v>
      </x:c>
      <x:c r="V388" t="s">
        <x:v>45</x:v>
      </x:c>
      <x:c r="W388" t="s">
        <x:v>60</x:v>
      </x:c>
      <x:c r="X388">
        <x:v>152.54</x:v>
      </x:c>
      <x:c r="Y388" t="s">
        <x:v>47</x:v>
      </x:c>
      <x:c r="Z388" t="s">
        <x:v>48</x:v>
      </x:c>
      <x:c r="AA388" t="s">
        <x:v>49</x:v>
      </x:c>
      <x:c r="AB388">
        <x:v>997145685</x:v>
      </x:c>
      <x:c r="AC388" t="s">
        <x:v>668</x:v>
      </x:c>
      <x:c r="AD388">
        <x:v>30</x:v>
      </x:c>
    </x:row>
    <x:row r="389">
      <x:c r="A389" s="1">
        <x:v>46244</x:v>
      </x:c>
      <x:c r="B389" t="s">
        <x:v>4054</x:v>
      </x:c>
      <x:c r="C389" t="s">
        <x:v>465</x:v>
      </x:c>
      <x:c r="D389" t="s">
        <x:v>29</x:v>
      </x:c>
      <x:c r="E389" t="s">
        <x:v>466</x:v>
      </x:c>
      <x:c r="F389" t="s">
        <x:v>31</x:v>
      </x:c>
      <x:c r="G389" t="s">
        <x:v>467</x:v>
      </x:c>
      <x:c r="H389" t="s">
        <x:v>468</x:v>
      </x:c>
      <x:c r="I389" t="s">
        <x:v>469</x:v>
      </x:c>
      <x:c r="J389" t="s">
        <x:v>435</x:v>
      </x:c>
      <x:c r="K389" t="s">
        <x:v>436</x:v>
      </x:c>
      <x:c r="L389" t="s">
        <x:v>37</x:v>
      </x:c>
      <x:c r="M389" t="s">
        <x:v>470</x:v>
      </x:c>
      <x:c r="N389" t="s">
        <x:v>471</x:v>
      </x:c>
      <x:c r="O389" t="s">
        <x:v>468</x:v>
      </x:c>
      <x:c r="P389" t="s">
        <x:v>472</x:v>
      </x:c>
      <x:c r="Q389" t="s">
        <x:v>91</x:v>
      </x:c>
      <x:c r="R389">
        <x:v>1</x:v>
      </x:c>
      <x:c r="S389" t="s">
        <x:v>70</x:v>
      </x:c>
      <x:c r="T389" t="s">
        <x:v>43</x:v>
      </x:c>
      <x:c r="U389" t="s">
        <x:v>44</x:v>
      </x:c>
      <x:c r="V389" t="s">
        <x:v>71</x:v>
      </x:c>
      <x:c r="W389" t="s">
        <x:v>72</x:v>
      </x:c>
      <x:c r="X389">
        <x:v>135.59</x:v>
      </x:c>
      <x:c r="Y389" t="s">
        <x:v>47</x:v>
      </x:c>
      <x:c r="Z389" t="s">
        <x:v>48</x:v>
      </x:c>
      <x:c r="AA389" t="s">
        <x:v>73</x:v>
      </x:c>
      <x:c r="AB389">
        <x:v>992903716</x:v>
      </x:c>
      <x:c r="AC389" t="s">
        <x:v>440</x:v>
      </x:c>
      <x:c r="AD389">
        <x:v>30</x:v>
      </x:c>
    </x:row>
    <x:row r="390">
      <x:c r="A390" s="1">
        <x:v>46244</x:v>
      </x:c>
      <x:c r="B390" t="s">
        <x:v>4054</x:v>
      </x:c>
      <x:c r="C390" t="s">
        <x:v>1299</x:v>
      </x:c>
      <x:c r="D390" t="s">
        <x:v>269</x:v>
      </x:c>
      <x:c r="E390" t="s">
        <x:v>1300</x:v>
      </x:c>
      <x:c r="F390" t="s">
        <x:v>31</x:v>
      </x:c>
      <x:c r="G390" t="s">
        <x:v>1301</x:v>
      </x:c>
      <x:c r="H390" t="s">
        <x:v>1302</x:v>
      </x:c>
      <x:c r="I390" t="s">
        <x:v>1303</x:v>
      </x:c>
      <x:c r="J390" t="s">
        <x:v>1304</x:v>
      </x:c>
      <x:c r="K390" t="s">
        <x:v>366</x:v>
      </x:c>
      <x:c r="L390" t="s">
        <x:v>37</x:v>
      </x:c>
      <x:c r="M390" t="s">
        <x:v>1305</x:v>
      </x:c>
      <x:c r="N390" t="s">
        <x:v>1306</x:v>
      </x:c>
      <x:c r="O390" t="s">
        <x:v>1307</x:v>
      </x:c>
      <x:c r="P390" t="s">
        <x:v>1308</x:v>
      </x:c>
      <x:c r="Q390" t="s">
        <x:v>91</x:v>
      </x:c>
      <x:c r="R390">
        <x:v>1</x:v>
      </x:c>
      <x:c r="S390" t="s">
        <x:v>42</x:v>
      </x:c>
      <x:c r="T390" t="s">
        <x:v>44</x:v>
      </x:c>
      <x:c r="U390" t="s">
        <x:v>44</x:v>
      </x:c>
      <x:c r="V390" t="s">
        <x:v>45</x:v>
      </x:c>
      <x:c r="W390" t="s">
        <x:v>46</x:v>
      </x:c>
      <x:c r="X390">
        <x:v>135.59</x:v>
      </x:c>
      <x:c r="Y390" t="s">
        <x:v>47</x:v>
      </x:c>
      <x:c r="Z390" t="s">
        <x:v>48</x:v>
      </x:c>
      <x:c r="AA390" t="s">
        <x:v>49</x:v>
      </x:c>
      <x:c r="AB390">
        <x:v>980702810</x:v>
      </x:c>
      <x:c r="AC390" t="s">
        <x:v>1309</x:v>
      </x:c>
      <x:c r="AD390">
        <x:v>30</x:v>
      </x:c>
    </x:row>
    <x:row r="391">
      <x:c r="A391" s="1">
        <x:v>46244</x:v>
      </x:c>
      <x:c r="B391" t="s">
        <x:v>4054</x:v>
      </x:c>
      <x:c r="C391" t="s">
        <x:v>1239</x:v>
      </x:c>
      <x:c r="D391" t="s">
        <x:v>29</x:v>
      </x:c>
      <x:c r="E391" t="s">
        <x:v>1240</x:v>
      </x:c>
      <x:c r="F391" t="s">
        <x:v>31</x:v>
      </x:c>
      <x:c r="G391" t="s">
        <x:v>1241</x:v>
      </x:c>
      <x:c r="H391" t="s">
        <x:v>1242</x:v>
      </x:c>
      <x:c r="I391" t="s">
        <x:v>1243</x:v>
      </x:c>
      <x:c r="J391" t="s">
        <x:v>1234</x:v>
      </x:c>
      <x:c r="K391" t="s">
        <x:v>210</x:v>
      </x:c>
      <x:c r="L391" t="s">
        <x:v>37</x:v>
      </x:c>
      <x:c r="M391" t="s">
        <x:v>1244</x:v>
      </x:c>
      <x:c r="N391" t="s">
        <x:v>1245</x:v>
      </x:c>
      <x:c r="O391" t="s">
        <x:v>1242</x:v>
      </x:c>
      <x:c r="P391" t="s">
        <x:v>1246</x:v>
      </x:c>
      <x:c r="Q391" t="s">
        <x:v>41</x:v>
      </x:c>
      <x:c r="R391">
        <x:v>1</x:v>
      </x:c>
      <x:c r="S391" t="s">
        <x:v>42</x:v>
      </x:c>
      <x:c r="T391" t="s">
        <x:v>44</x:v>
      </x:c>
      <x:c r="U391" t="s">
        <x:v>44</x:v>
      </x:c>
      <x:c r="V391" t="s">
        <x:v>45</x:v>
      </x:c>
      <x:c r="W391" t="s">
        <x:v>60</x:v>
      </x:c>
      <x:c r="X391">
        <x:v>169.49</x:v>
      </x:c>
      <x:c r="Y391" t="s">
        <x:v>47</x:v>
      </x:c>
      <x:c r="Z391" t="s">
        <x:v>48</x:v>
      </x:c>
      <x:c r="AA391" t="s">
        <x:v>49</x:v>
      </x:c>
      <x:c r="AC391" t="s">
        <x:v>1238</x:v>
      </x:c>
      <x:c r="AD391">
        <x:v>50</x:v>
      </x:c>
    </x:row>
    <x:row r="392">
      <x:c r="A392" s="1">
        <x:v>46244</x:v>
      </x:c>
      <x:c r="B392" t="s">
        <x:v>4054</x:v>
      </x:c>
      <x:c r="C392" t="s">
        <x:v>1279</x:v>
      </x:c>
      <x:c r="D392" t="s">
        <x:v>29</x:v>
      </x:c>
      <x:c r="E392" t="s">
        <x:v>1280</x:v>
      </x:c>
      <x:c r="F392" t="s">
        <x:v>31</x:v>
      </x:c>
      <x:c r="G392" t="s">
        <x:v>1281</x:v>
      </x:c>
      <x:c r="H392" t="s">
        <x:v>1282</x:v>
      </x:c>
      <x:c r="I392" t="s">
        <x:v>1283</x:v>
      </x:c>
      <x:c r="J392" t="s">
        <x:v>1284</x:v>
      </x:c>
      <x:c r="K392" t="s">
        <x:v>1100</x:v>
      </x:c>
      <x:c r="L392" t="s">
        <x:v>37</x:v>
      </x:c>
      <x:c r="M392" t="s">
        <x:v>1285</x:v>
      </x:c>
      <x:c r="N392" t="s">
        <x:v>1286</x:v>
      </x:c>
      <x:c r="O392" t="s">
        <x:v>1282</x:v>
      </x:c>
      <x:c r="P392" t="s">
        <x:v>1287</x:v>
      </x:c>
      <x:c r="Q392" t="s">
        <x:v>160</x:v>
      </x:c>
      <x:c r="R392">
        <x:v>1</x:v>
      </x:c>
      <x:c r="S392" t="s">
        <x:v>42</x:v>
      </x:c>
      <x:c r="T392" t="s">
        <x:v>44</x:v>
      </x:c>
      <x:c r="U392" t="s">
        <x:v>44</x:v>
      </x:c>
      <x:c r="V392" t="s">
        <x:v>532</x:v>
      </x:c>
      <x:c r="W392" t="s">
        <x:v>1288</x:v>
      </x:c>
      <x:c r="X392">
        <x:v>135.59</x:v>
      </x:c>
      <x:c r="Y392" t="s">
        <x:v>47</x:v>
      </x:c>
      <x:c r="Z392" t="s">
        <x:v>48</x:v>
      </x:c>
      <x:c r="AA392" t="s">
        <x:v>535</x:v>
      </x:c>
      <x:c r="AB392">
        <x:v>983837511</x:v>
      </x:c>
      <x:c r="AC392" t="s">
        <x:v>1289</x:v>
      </x:c>
      <x:c r="AD392">
        <x:v>30</x:v>
      </x:c>
    </x:row>
    <x:row r="393">
      <x:c r="A393" s="1">
        <x:v>46245</x:v>
      </x:c>
      <x:c r="B393" t="s">
        <x:v>4054</x:v>
      </x:c>
      <x:c r="C393" t="s">
        <x:v>612</x:v>
      </x:c>
      <x:c r="D393" t="s">
        <x:v>29</x:v>
      </x:c>
      <x:c r="E393" t="s">
        <x:v>613</x:v>
      </x:c>
      <x:c r="F393" t="s">
        <x:v>31</x:v>
      </x:c>
      <x:c r="G393" t="s">
        <x:v>614</x:v>
      </x:c>
      <x:c r="H393" t="s">
        <x:v>615</x:v>
      </x:c>
      <x:c r="I393" t="s">
        <x:v>616</x:v>
      </x:c>
      <x:c r="L393" t="s">
        <x:v>37</x:v>
      </x:c>
      <x:c r="M393" t="s">
        <x:v>617</x:v>
      </x:c>
      <x:c r="N393" t="s">
        <x:v>618</x:v>
      </x:c>
      <x:c r="O393" t="s">
        <x:v>615</x:v>
      </x:c>
      <x:c r="P393" t="s">
        <x:v>619</x:v>
      </x:c>
      <x:c r="Q393" t="s">
        <x:v>620</x:v>
      </x:c>
      <x:c r="R393">
        <x:v>1</x:v>
      </x:c>
      <x:c r="S393" t="s">
        <x:v>42</x:v>
      </x:c>
      <x:c r="T393" t="s">
        <x:v>44</x:v>
      </x:c>
      <x:c r="U393" t="s">
        <x:v>44</x:v>
      </x:c>
      <x:c r="V393" t="s">
        <x:v>45</x:v>
      </x:c>
      <x:c r="W393" t="s">
        <x:v>46</x:v>
      </x:c>
      <x:c r="X393">
        <x:v>12.71</x:v>
      </x:c>
      <x:c r="Y393" t="s">
        <x:v>621</x:v>
      </x:c>
      <x:c r="Z393" t="s">
        <x:v>48</x:v>
      </x:c>
      <x:c r="AA393" t="s">
        <x:v>49</x:v>
      </x:c>
    </x:row>
    <x:row r="394">
      <x:c r="A394" s="1">
        <x:v>46245</x:v>
      </x:c>
      <x:c r="B394" t="s">
        <x:v>4054</x:v>
      </x:c>
      <x:c r="C394" t="s">
        <x:v>612</x:v>
      </x:c>
      <x:c r="D394" t="s">
        <x:v>29</x:v>
      </x:c>
      <x:c r="E394" t="s">
        <x:v>613</x:v>
      </x:c>
      <x:c r="F394" t="s">
        <x:v>31</x:v>
      </x:c>
      <x:c r="G394" t="s">
        <x:v>614</x:v>
      </x:c>
      <x:c r="H394" t="s">
        <x:v>615</x:v>
      </x:c>
      <x:c r="I394" t="s">
        <x:v>616</x:v>
      </x:c>
      <x:c r="L394" t="s">
        <x:v>37</x:v>
      </x:c>
      <x:c r="M394" t="s">
        <x:v>617</x:v>
      </x:c>
      <x:c r="N394" t="s">
        <x:v>618</x:v>
      </x:c>
      <x:c r="O394" t="s">
        <x:v>615</x:v>
      </x:c>
      <x:c r="P394" t="s">
        <x:v>619</x:v>
      </x:c>
      <x:c r="Q394" t="s">
        <x:v>622</x:v>
      </x:c>
      <x:c r="R394">
        <x:v>1</x:v>
      </x:c>
      <x:c r="S394" t="s">
        <x:v>42</x:v>
      </x:c>
      <x:c r="T394" t="s">
        <x:v>44</x:v>
      </x:c>
      <x:c r="U394" t="s">
        <x:v>44</x:v>
      </x:c>
      <x:c r="V394" t="s">
        <x:v>45</x:v>
      </x:c>
      <x:c r="W394" t="s">
        <x:v>46</x:v>
      </x:c>
      <x:c r="X394">
        <x:v>21.19</x:v>
      </x:c>
      <x:c r="Y394" t="s">
        <x:v>621</x:v>
      </x:c>
      <x:c r="Z394" t="s">
        <x:v>48</x:v>
      </x:c>
      <x:c r="AA394" t="s">
        <x:v>49</x:v>
      </x:c>
    </x:row>
    <x:row r="395">
      <x:c r="A395" s="1">
        <x:v>46245</x:v>
      </x:c>
      <x:c r="B395" t="s">
        <x:v>4054</x:v>
      </x:c>
      <x:c r="C395" t="s">
        <x:v>612</x:v>
      </x:c>
      <x:c r="D395" t="s">
        <x:v>29</x:v>
      </x:c>
      <x:c r="E395" t="s">
        <x:v>613</x:v>
      </x:c>
      <x:c r="F395" t="s">
        <x:v>31</x:v>
      </x:c>
      <x:c r="G395" t="s">
        <x:v>614</x:v>
      </x:c>
      <x:c r="H395" t="s">
        <x:v>615</x:v>
      </x:c>
      <x:c r="I395" t="s">
        <x:v>616</x:v>
      </x:c>
      <x:c r="L395" t="s">
        <x:v>37</x:v>
      </x:c>
      <x:c r="M395" t="s">
        <x:v>617</x:v>
      </x:c>
      <x:c r="N395" t="s">
        <x:v>618</x:v>
      </x:c>
      <x:c r="O395" t="s">
        <x:v>615</x:v>
      </x:c>
      <x:c r="P395" t="s">
        <x:v>619</x:v>
      </x:c>
      <x:c r="Q395" t="s">
        <x:v>623</x:v>
      </x:c>
      <x:c r="R395">
        <x:v>1</x:v>
      </x:c>
      <x:c r="S395" t="s">
        <x:v>42</x:v>
      </x:c>
      <x:c r="T395" t="s">
        <x:v>44</x:v>
      </x:c>
      <x:c r="U395" t="s">
        <x:v>44</x:v>
      </x:c>
      <x:c r="V395" t="s">
        <x:v>45</x:v>
      </x:c>
      <x:c r="W395" t="s">
        <x:v>46</x:v>
      </x:c>
      <x:c r="X395">
        <x:v>12.71</x:v>
      </x:c>
      <x:c r="Y395" t="s">
        <x:v>621</x:v>
      </x:c>
      <x:c r="Z395" t="s">
        <x:v>48</x:v>
      </x:c>
      <x:c r="AA395" t="s">
        <x:v>49</x:v>
      </x:c>
    </x:row>
    <x:row r="396">
      <x:c r="A396" s="1">
        <x:v>46245</x:v>
      </x:c>
      <x:c r="B396" t="s">
        <x:v>4054</x:v>
      </x:c>
      <x:c r="C396" t="s">
        <x:v>612</x:v>
      </x:c>
      <x:c r="D396" t="s">
        <x:v>29</x:v>
      </x:c>
      <x:c r="E396" t="s">
        <x:v>613</x:v>
      </x:c>
      <x:c r="F396" t="s">
        <x:v>31</x:v>
      </x:c>
      <x:c r="G396" t="s">
        <x:v>614</x:v>
      </x:c>
      <x:c r="H396" t="s">
        <x:v>615</x:v>
      </x:c>
      <x:c r="I396" t="s">
        <x:v>616</x:v>
      </x:c>
      <x:c r="L396" t="s">
        <x:v>37</x:v>
      </x:c>
      <x:c r="M396" t="s">
        <x:v>617</x:v>
      </x:c>
      <x:c r="N396" t="s">
        <x:v>618</x:v>
      </x:c>
      <x:c r="O396" t="s">
        <x:v>615</x:v>
      </x:c>
      <x:c r="P396" t="s">
        <x:v>619</x:v>
      </x:c>
      <x:c r="Q396" t="s">
        <x:v>624</x:v>
      </x:c>
      <x:c r="R396">
        <x:v>1</x:v>
      </x:c>
      <x:c r="S396" t="s">
        <x:v>42</x:v>
      </x:c>
      <x:c r="T396" t="s">
        <x:v>44</x:v>
      </x:c>
      <x:c r="U396" t="s">
        <x:v>44</x:v>
      </x:c>
      <x:c r="V396" t="s">
        <x:v>45</x:v>
      </x:c>
      <x:c r="W396" t="s">
        <x:v>46</x:v>
      </x:c>
      <x:c r="X396">
        <x:v>12.71</x:v>
      </x:c>
      <x:c r="Y396" t="s">
        <x:v>621</x:v>
      </x:c>
      <x:c r="Z396" t="s">
        <x:v>48</x:v>
      </x:c>
      <x:c r="AA396" t="s">
        <x:v>49</x:v>
      </x:c>
    </x:row>
    <x:row r="397">
      <x:c r="A397" s="1">
        <x:v>46245</x:v>
      </x:c>
      <x:c r="B397" t="s">
        <x:v>4054</x:v>
      </x:c>
      <x:c r="C397" t="s">
        <x:v>612</x:v>
      </x:c>
      <x:c r="D397" t="s">
        <x:v>29</x:v>
      </x:c>
      <x:c r="E397" t="s">
        <x:v>613</x:v>
      </x:c>
      <x:c r="F397" t="s">
        <x:v>31</x:v>
      </x:c>
      <x:c r="G397" t="s">
        <x:v>614</x:v>
      </x:c>
      <x:c r="H397" t="s">
        <x:v>615</x:v>
      </x:c>
      <x:c r="I397" t="s">
        <x:v>616</x:v>
      </x:c>
      <x:c r="L397" t="s">
        <x:v>37</x:v>
      </x:c>
      <x:c r="M397" t="s">
        <x:v>617</x:v>
      </x:c>
      <x:c r="N397" t="s">
        <x:v>618</x:v>
      </x:c>
      <x:c r="O397" t="s">
        <x:v>615</x:v>
      </x:c>
      <x:c r="P397" t="s">
        <x:v>619</x:v>
      </x:c>
      <x:c r="Q397" t="s">
        <x:v>835</x:v>
      </x:c>
      <x:c r="R397">
        <x:v>1</x:v>
      </x:c>
      <x:c r="S397" t="s">
        <x:v>42</x:v>
      </x:c>
      <x:c r="T397" t="s">
        <x:v>44</x:v>
      </x:c>
      <x:c r="U397" t="s">
        <x:v>44</x:v>
      </x:c>
      <x:c r="V397" t="s">
        <x:v>45</x:v>
      </x:c>
      <x:c r="W397" t="s">
        <x:v>46</x:v>
      </x:c>
      <x:c r="X397">
        <x:v>50.85</x:v>
      </x:c>
      <x:c r="Y397" t="s">
        <x:v>621</x:v>
      </x:c>
      <x:c r="Z397" t="s">
        <x:v>48</x:v>
      </x:c>
      <x:c r="AA397" t="s">
        <x:v>49</x:v>
      </x:c>
    </x:row>
    <x:row r="398">
      <x:c r="A398" s="1">
        <x:v>46245</x:v>
      </x:c>
      <x:c r="B398" t="s">
        <x:v>4054</x:v>
      </x:c>
      <x:c r="C398" t="s">
        <x:v>1524</x:v>
      </x:c>
      <x:c r="D398" t="s">
        <x:v>29</x:v>
      </x:c>
      <x:c r="E398" t="s">
        <x:v>1525</x:v>
      </x:c>
      <x:c r="F398" t="s">
        <x:v>31</x:v>
      </x:c>
      <x:c r="G398" t="s">
        <x:v>1526</x:v>
      </x:c>
      <x:c r="H398" t="s">
        <x:v>615</x:v>
      </x:c>
      <x:c r="I398" t="s">
        <x:v>616</x:v>
      </x:c>
      <x:c r="L398" t="s">
        <x:v>37</x:v>
      </x:c>
      <x:c r="M398" t="s">
        <x:v>617</x:v>
      </x:c>
      <x:c r="N398" t="s">
        <x:v>618</x:v>
      </x:c>
      <x:c r="O398" t="s">
        <x:v>615</x:v>
      </x:c>
      <x:c r="P398" t="s">
        <x:v>1527</x:v>
      </x:c>
      <x:c r="Q398" t="s">
        <x:v>830</x:v>
      </x:c>
      <x:c r="R398">
        <x:v>1</x:v>
      </x:c>
      <x:c r="S398" t="s">
        <x:v>42</x:v>
      </x:c>
      <x:c r="T398" t="s">
        <x:v>44</x:v>
      </x:c>
      <x:c r="U398" t="s">
        <x:v>44</x:v>
      </x:c>
      <x:c r="V398" t="s">
        <x:v>45</x:v>
      </x:c>
      <x:c r="W398" t="s">
        <x:v>46</x:v>
      </x:c>
      <x:c r="X398">
        <x:v>127.12</x:v>
      </x:c>
      <x:c r="Y398" t="s">
        <x:v>47</x:v>
      </x:c>
      <x:c r="Z398" t="s">
        <x:v>48</x:v>
      </x:c>
      <x:c r="AA398" t="s">
        <x:v>49</x:v>
      </x:c>
    </x:row>
    <x:row r="399">
      <x:c r="A399" s="1">
        <x:v>46245</x:v>
      </x:c>
      <x:c r="B399" t="s">
        <x:v>4054</x:v>
      </x:c>
      <x:c r="C399" t="s">
        <x:v>1528</x:v>
      </x:c>
      <x:c r="D399" t="s">
        <x:v>29</x:v>
      </x:c>
      <x:c r="E399" t="s">
        <x:v>1529</x:v>
      </x:c>
      <x:c r="F399" t="s">
        <x:v>31</x:v>
      </x:c>
      <x:c r="G399" t="s">
        <x:v>1530</x:v>
      </x:c>
      <x:c r="H399" t="s">
        <x:v>615</x:v>
      </x:c>
      <x:c r="I399" t="s">
        <x:v>616</x:v>
      </x:c>
      <x:c r="L399" t="s">
        <x:v>37</x:v>
      </x:c>
      <x:c r="M399" t="s">
        <x:v>617</x:v>
      </x:c>
      <x:c r="N399" t="s">
        <x:v>618</x:v>
      </x:c>
      <x:c r="O399" t="s">
        <x:v>615</x:v>
      </x:c>
      <x:c r="P399" t="s">
        <x:v>1531</x:v>
      </x:c>
      <x:c r="Q399" t="s">
        <x:v>643</x:v>
      </x:c>
      <x:c r="R399">
        <x:v>1</x:v>
      </x:c>
      <x:c r="S399" t="s">
        <x:v>42</x:v>
      </x:c>
      <x:c r="T399" t="s">
        <x:v>44</x:v>
      </x:c>
      <x:c r="U399" t="s">
        <x:v>44</x:v>
      </x:c>
      <x:c r="V399" t="s">
        <x:v>45</x:v>
      </x:c>
      <x:c r="W399" t="s">
        <x:v>46</x:v>
      </x:c>
      <x:c r="X399">
        <x:v>84.75</x:v>
      </x:c>
      <x:c r="Y399" t="s">
        <x:v>47</x:v>
      </x:c>
      <x:c r="Z399" t="s">
        <x:v>48</x:v>
      </x:c>
      <x:c r="AA399" t="s">
        <x:v>49</x:v>
      </x:c>
    </x:row>
    <x:row r="400">
      <x:c r="A400" s="1">
        <x:v>46245</x:v>
      </x:c>
      <x:c r="B400" t="s">
        <x:v>4054</x:v>
      </x:c>
      <x:c r="C400" t="s">
        <x:v>1532</x:v>
      </x:c>
      <x:c r="D400" t="s">
        <x:v>29</x:v>
      </x:c>
      <x:c r="E400" t="s">
        <x:v>1533</x:v>
      </x:c>
      <x:c r="F400" t="s">
        <x:v>31</x:v>
      </x:c>
      <x:c r="G400" t="s">
        <x:v>1534</x:v>
      </x:c>
      <x:c r="H400" t="s">
        <x:v>1535</x:v>
      </x:c>
      <x:c r="I400" t="s">
        <x:v>1536</x:v>
      </x:c>
      <x:c r="J400" t="s">
        <x:v>1075</x:v>
      </x:c>
      <x:c r="K400" t="s">
        <x:v>98</x:v>
      </x:c>
      <x:c r="L400" t="s">
        <x:v>37</x:v>
      </x:c>
      <x:c r="M400" t="s">
        <x:v>1537</x:v>
      </x:c>
      <x:c r="N400" t="s">
        <x:v>1538</x:v>
      </x:c>
      <x:c r="O400" t="s">
        <x:v>1535</x:v>
      </x:c>
      <x:c r="P400" t="s">
        <x:v>1539</x:v>
      </x:c>
      <x:c r="Q400" t="s">
        <x:v>202</x:v>
      </x:c>
      <x:c r="R400">
        <x:v>1</x:v>
      </x:c>
      <x:c r="S400" t="s">
        <x:v>42</x:v>
      </x:c>
      <x:c r="T400" t="s">
        <x:v>44</x:v>
      </x:c>
      <x:c r="U400" t="s">
        <x:v>44</x:v>
      </x:c>
      <x:c r="V400" t="s">
        <x:v>45</x:v>
      </x:c>
      <x:c r="W400" t="s">
        <x:v>60</x:v>
      </x:c>
      <x:c r="X400">
        <x:v>152.54</x:v>
      </x:c>
      <x:c r="Y400" t="s">
        <x:v>47</x:v>
      </x:c>
      <x:c r="Z400" t="s">
        <x:v>48</x:v>
      </x:c>
      <x:c r="AA400" t="s">
        <x:v>49</x:v>
      </x:c>
      <x:c r="AB400">
        <x:v>999986041</x:v>
      </x:c>
      <x:c r="AC400" t="s">
        <x:v>1079</x:v>
      </x:c>
      <x:c r="AD400">
        <x:v>30</x:v>
      </x:c>
    </x:row>
    <x:row r="401">
      <x:c r="A401" s="1">
        <x:v>46245</x:v>
      </x:c>
      <x:c r="B401" t="s">
        <x:v>4054</x:v>
      </x:c>
      <x:c r="C401" t="s">
        <x:v>1532</x:v>
      </x:c>
      <x:c r="D401" t="s">
        <x:v>29</x:v>
      </x:c>
      <x:c r="E401" t="s">
        <x:v>1533</x:v>
      </x:c>
      <x:c r="F401" t="s">
        <x:v>31</x:v>
      </x:c>
      <x:c r="G401" t="s">
        <x:v>1534</x:v>
      </x:c>
      <x:c r="H401" t="s">
        <x:v>1535</x:v>
      </x:c>
      <x:c r="I401" t="s">
        <x:v>1536</x:v>
      </x:c>
      <x:c r="J401" t="s">
        <x:v>1075</x:v>
      </x:c>
      <x:c r="K401" t="s">
        <x:v>98</x:v>
      </x:c>
      <x:c r="L401" t="s">
        <x:v>37</x:v>
      </x:c>
      <x:c r="M401" t="s">
        <x:v>1537</x:v>
      </x:c>
      <x:c r="N401" t="s">
        <x:v>1538</x:v>
      </x:c>
      <x:c r="O401" t="s">
        <x:v>1535</x:v>
      </x:c>
      <x:c r="P401" t="s">
        <x:v>1539</x:v>
      </x:c>
      <x:c r="Q401" t="s">
        <x:v>203</x:v>
      </x:c>
      <x:c r="R401">
        <x:v>1</x:v>
      </x:c>
      <x:c r="S401" t="s">
        <x:v>42</x:v>
      </x:c>
      <x:c r="T401" t="s">
        <x:v>44</x:v>
      </x:c>
      <x:c r="U401" t="s">
        <x:v>44</x:v>
      </x:c>
      <x:c r="V401" t="s">
        <x:v>45</x:v>
      </x:c>
      <x:c r="W401" t="s">
        <x:v>60</x:v>
      </x:c>
      <x:c r="X401">
        <x:v>135.59</x:v>
      </x:c>
      <x:c r="Y401" t="s">
        <x:v>47</x:v>
      </x:c>
      <x:c r="Z401" t="s">
        <x:v>48</x:v>
      </x:c>
      <x:c r="AA401" t="s">
        <x:v>49</x:v>
      </x:c>
      <x:c r="AB401">
        <x:v>999986041</x:v>
      </x:c>
      <x:c r="AC401" t="s">
        <x:v>1079</x:v>
      </x:c>
      <x:c r="AD401">
        <x:v>30</x:v>
      </x:c>
    </x:row>
    <x:row r="402">
      <x:c r="A402" s="1">
        <x:v>46245</x:v>
      </x:c>
      <x:c r="B402" t="s">
        <x:v>4054</x:v>
      </x:c>
      <x:c r="C402" t="s">
        <x:v>1540</x:v>
      </x:c>
      <x:c r="D402" t="s">
        <x:v>29</x:v>
      </x:c>
      <x:c r="E402" t="s">
        <x:v>1541</x:v>
      </x:c>
      <x:c r="F402" t="s">
        <x:v>31</x:v>
      </x:c>
      <x:c r="G402" t="s">
        <x:v>1542</x:v>
      </x:c>
      <x:c r="H402" t="s">
        <x:v>1543</x:v>
      </x:c>
      <x:c r="I402" t="s">
        <x:v>1544</x:v>
      </x:c>
      <x:c r="J402" t="s">
        <x:v>1545</x:v>
      </x:c>
      <x:c r="K402" t="s">
        <x:v>1546</x:v>
      </x:c>
      <x:c r="L402" t="s">
        <x:v>37</x:v>
      </x:c>
      <x:c r="M402" t="s">
        <x:v>1547</x:v>
      </x:c>
      <x:c r="N402" t="s">
        <x:v>1548</x:v>
      </x:c>
      <x:c r="O402" t="s">
        <x:v>1543</x:v>
      </x:c>
      <x:c r="P402" t="s">
        <x:v>1549</x:v>
      </x:c>
      <x:c r="Q402" t="s">
        <x:v>160</x:v>
      </x:c>
      <x:c r="R402">
        <x:v>1</x:v>
      </x:c>
      <x:c r="S402" t="s">
        <x:v>42</x:v>
      </x:c>
      <x:c r="T402" t="s">
        <x:v>44</x:v>
      </x:c>
      <x:c r="U402" t="s">
        <x:v>44</x:v>
      </x:c>
      <x:c r="V402" t="s">
        <x:v>45</x:v>
      </x:c>
      <x:c r="W402" t="s">
        <x:v>60</x:v>
      </x:c>
      <x:c r="X402">
        <x:v>135.59</x:v>
      </x:c>
      <x:c r="Y402" t="s">
        <x:v>47</x:v>
      </x:c>
      <x:c r="Z402" t="s">
        <x:v>48</x:v>
      </x:c>
      <x:c r="AA402" t="s">
        <x:v>49</x:v>
      </x:c>
      <x:c r="AB402">
        <x:v>990080724</x:v>
      </x:c>
      <x:c r="AC402" t="s">
        <x:v>1550</x:v>
      </x:c>
      <x:c r="AD402">
        <x:v>30</x:v>
      </x:c>
    </x:row>
    <x:row r="403">
      <x:c r="A403" s="1">
        <x:v>46245</x:v>
      </x:c>
      <x:c r="B403" t="s">
        <x:v>4054</x:v>
      </x:c>
      <x:c r="C403" t="s">
        <x:v>1540</x:v>
      </x:c>
      <x:c r="D403" t="s">
        <x:v>29</x:v>
      </x:c>
      <x:c r="E403" t="s">
        <x:v>1541</x:v>
      </x:c>
      <x:c r="F403" t="s">
        <x:v>31</x:v>
      </x:c>
      <x:c r="G403" t="s">
        <x:v>1542</x:v>
      </x:c>
      <x:c r="H403" t="s">
        <x:v>1543</x:v>
      </x:c>
      <x:c r="I403" t="s">
        <x:v>1544</x:v>
      </x:c>
      <x:c r="J403" t="s">
        <x:v>1545</x:v>
      </x:c>
      <x:c r="K403" t="s">
        <x:v>1546</x:v>
      </x:c>
      <x:c r="L403" t="s">
        <x:v>37</x:v>
      </x:c>
      <x:c r="M403" t="s">
        <x:v>1547</x:v>
      </x:c>
      <x:c r="N403" t="s">
        <x:v>1548</x:v>
      </x:c>
      <x:c r="O403" t="s">
        <x:v>1543</x:v>
      </x:c>
      <x:c r="P403" t="s">
        <x:v>1549</x:v>
      </x:c>
      <x:c r="Q403" t="s">
        <x:v>159</x:v>
      </x:c>
      <x:c r="R403">
        <x:v>1</x:v>
      </x:c>
      <x:c r="S403" t="s">
        <x:v>42</x:v>
      </x:c>
      <x:c r="T403" t="s">
        <x:v>44</x:v>
      </x:c>
      <x:c r="U403" t="s">
        <x:v>44</x:v>
      </x:c>
      <x:c r="V403" t="s">
        <x:v>45</x:v>
      </x:c>
      <x:c r="W403" t="s">
        <x:v>60</x:v>
      </x:c>
      <x:c r="X403">
        <x:v>152.54</x:v>
      </x:c>
      <x:c r="Y403" t="s">
        <x:v>47</x:v>
      </x:c>
      <x:c r="Z403" t="s">
        <x:v>48</x:v>
      </x:c>
      <x:c r="AA403" t="s">
        <x:v>49</x:v>
      </x:c>
      <x:c r="AB403">
        <x:v>990080724</x:v>
      </x:c>
      <x:c r="AC403" t="s">
        <x:v>1550</x:v>
      </x:c>
      <x:c r="AD403">
        <x:v>30</x:v>
      </x:c>
    </x:row>
    <x:row r="404">
      <x:c r="A404" s="1">
        <x:v>46245</x:v>
      </x:c>
      <x:c r="B404" t="s">
        <x:v>4054</x:v>
      </x:c>
      <x:c r="C404" t="s">
        <x:v>1551</x:v>
      </x:c>
      <x:c r="D404" t="s">
        <x:v>29</x:v>
      </x:c>
      <x:c r="E404" t="s">
        <x:v>1552</x:v>
      </x:c>
      <x:c r="F404" t="s">
        <x:v>31</x:v>
      </x:c>
      <x:c r="G404" t="s">
        <x:v>1553</x:v>
      </x:c>
      <x:c r="H404" t="s">
        <x:v>1554</x:v>
      </x:c>
      <x:c r="I404" t="s">
        <x:v>1555</x:v>
      </x:c>
      <x:c r="J404" t="s">
        <x:v>717</x:v>
      </x:c>
      <x:c r="K404" t="s">
        <x:v>718</x:v>
      </x:c>
      <x:c r="L404" t="s">
        <x:v>37</x:v>
      </x:c>
      <x:c r="M404" t="s">
        <x:v>1556</x:v>
      </x:c>
      <x:c r="N404" t="s">
        <x:v>1557</x:v>
      </x:c>
      <x:c r="O404" t="s">
        <x:v>1554</x:v>
      </x:c>
      <x:c r="P404" t="s">
        <x:v>1558</x:v>
      </x:c>
      <x:c r="Q404" t="s">
        <x:v>41</x:v>
      </x:c>
      <x:c r="R404">
        <x:v>1</x:v>
      </x:c>
      <x:c r="S404" t="s">
        <x:v>70</x:v>
      </x:c>
      <x:c r="T404" t="s">
        <x:v>43</x:v>
      </x:c>
      <x:c r="U404" t="s">
        <x:v>44</x:v>
      </x:c>
      <x:c r="V404" t="s">
        <x:v>71</x:v>
      </x:c>
      <x:c r="W404" t="s">
        <x:v>72</x:v>
      </x:c>
      <x:c r="X404">
        <x:v>186.44</x:v>
      </x:c>
      <x:c r="Y404" t="s">
        <x:v>47</x:v>
      </x:c>
      <x:c r="Z404" t="s">
        <x:v>48</x:v>
      </x:c>
      <x:c r="AA404" t="s">
        <x:v>73</x:v>
      </x:c>
      <x:c r="AB404">
        <x:v>955356636</x:v>
      </x:c>
      <x:c r="AC404" t="s">
        <x:v>722</x:v>
      </x:c>
      <x:c r="AD404">
        <x:v>50</x:v>
      </x:c>
    </x:row>
    <x:row r="405">
      <x:c r="A405" s="1">
        <x:v>46245</x:v>
      </x:c>
      <x:c r="B405" t="s">
        <x:v>4054</x:v>
      </x:c>
      <x:c r="C405" t="s">
        <x:v>1559</x:v>
      </x:c>
      <x:c r="D405" t="s">
        <x:v>269</x:v>
      </x:c>
      <x:c r="E405" t="s">
        <x:v>1560</x:v>
      </x:c>
      <x:c r="F405" t="s">
        <x:v>31</x:v>
      </x:c>
      <x:c r="G405" t="s">
        <x:v>1561</x:v>
      </x:c>
      <x:c r="H405" t="s">
        <x:v>1562</x:v>
      </x:c>
      <x:c r="I405" t="s">
        <x:v>1563</x:v>
      </x:c>
      <x:c r="J405" t="s">
        <x:v>1564</x:v>
      </x:c>
      <x:c r="K405" t="s">
        <x:v>707</x:v>
      </x:c>
      <x:c r="L405" t="s">
        <x:v>37</x:v>
      </x:c>
      <x:c r="M405" t="s">
        <x:v>1565</x:v>
      </x:c>
      <x:c r="N405" t="s">
        <x:v>1566</x:v>
      </x:c>
      <x:c r="O405" t="s">
        <x:v>1567</x:v>
      </x:c>
      <x:c r="P405" t="s">
        <x:v>1568</x:v>
      </x:c>
      <x:c r="Q405" t="s">
        <x:v>1569</x:v>
      </x:c>
      <x:c r="R405">
        <x:v>1</x:v>
      </x:c>
      <x:c r="S405" t="s">
        <x:v>42</x:v>
      </x:c>
      <x:c r="T405" t="s">
        <x:v>44</x:v>
      </x:c>
      <x:c r="U405" t="s">
        <x:v>44</x:v>
      </x:c>
      <x:c r="V405" t="s">
        <x:v>45</x:v>
      </x:c>
      <x:c r="W405" t="s">
        <x:v>60</x:v>
      </x:c>
      <x:c r="X405">
        <x:v>152.54</x:v>
      </x:c>
      <x:c r="Y405" t="s">
        <x:v>61</x:v>
      </x:c>
      <x:c r="Z405" t="s">
        <x:v>48</x:v>
      </x:c>
      <x:c r="AA405" t="s">
        <x:v>49</x:v>
      </x:c>
    </x:row>
    <x:row r="406">
      <x:c r="A406" s="1">
        <x:v>46245</x:v>
      </x:c>
      <x:c r="B406" t="s">
        <x:v>4054</x:v>
      </x:c>
      <x:c r="C406" t="s">
        <x:v>1570</x:v>
      </x:c>
      <x:c r="D406" t="s">
        <x:v>29</x:v>
      </x:c>
      <x:c r="E406" t="s">
        <x:v>1571</x:v>
      </x:c>
      <x:c r="F406" t="s">
        <x:v>31</x:v>
      </x:c>
      <x:c r="G406" t="s">
        <x:v>1572</x:v>
      </x:c>
      <x:c r="H406" t="s">
        <x:v>1573</x:v>
      </x:c>
      <x:c r="I406" t="s">
        <x:v>1574</x:v>
      </x:c>
      <x:c r="J406" t="s">
        <x:v>1326</x:v>
      </x:c>
      <x:c r="K406" t="s">
        <x:v>36</x:v>
      </x:c>
      <x:c r="L406" t="s">
        <x:v>37</x:v>
      </x:c>
      <x:c r="M406" t="s">
        <x:v>1575</x:v>
      </x:c>
      <x:c r="N406" t="s">
        <x:v>1576</x:v>
      </x:c>
      <x:c r="O406" t="s">
        <x:v>1573</x:v>
      </x:c>
      <x:c r="P406" t="s">
        <x:v>1577</x:v>
      </x:c>
      <x:c r="Q406" t="s">
        <x:v>102</x:v>
      </x:c>
      <x:c r="R406">
        <x:v>1</x:v>
      </x:c>
      <x:c r="S406" t="s">
        <x:v>70</x:v>
      </x:c>
      <x:c r="T406" t="s">
        <x:v>43</x:v>
      </x:c>
      <x:c r="U406" t="s">
        <x:v>44</x:v>
      </x:c>
      <x:c r="V406" t="s">
        <x:v>71</x:v>
      </x:c>
      <x:c r="W406" t="s">
        <x:v>72</x:v>
      </x:c>
      <x:c r="X406">
        <x:v>186.44</x:v>
      </x:c>
      <x:c r="Y406" t="s">
        <x:v>47</x:v>
      </x:c>
      <x:c r="Z406" t="s">
        <x:v>48</x:v>
      </x:c>
      <x:c r="AA406" t="s">
        <x:v>73</x:v>
      </x:c>
      <x:c r="AB406">
        <x:v>999111362</x:v>
      </x:c>
      <x:c r="AC406" t="s">
        <x:v>1330</x:v>
      </x:c>
      <x:c r="AD406">
        <x:v>50</x:v>
      </x:c>
    </x:row>
    <x:row r="407">
      <x:c r="A407" s="1">
        <x:v>46245</x:v>
      </x:c>
      <x:c r="B407" t="s">
        <x:v>4054</x:v>
      </x:c>
      <x:c r="C407" t="s">
        <x:v>1578</x:v>
      </x:c>
      <x:c r="D407" t="s">
        <x:v>29</x:v>
      </x:c>
      <x:c r="E407" t="s">
        <x:v>1579</x:v>
      </x:c>
      <x:c r="F407" t="s">
        <x:v>31</x:v>
      </x:c>
      <x:c r="G407" t="s">
        <x:v>1580</x:v>
      </x:c>
      <x:c r="H407" t="s">
        <x:v>1581</x:v>
      </x:c>
      <x:c r="I407" t="s">
        <x:v>1582</x:v>
      </x:c>
      <x:c r="J407" t="s">
        <x:v>1390</x:v>
      </x:c>
      <x:c r="K407" t="s">
        <x:v>4055</x:v>
      </x:c>
      <x:c r="L407" t="s">
        <x:v>37</x:v>
      </x:c>
      <x:c r="M407" t="s">
        <x:v>1583</x:v>
      </x:c>
      <x:c r="N407" t="s">
        <x:v>1584</x:v>
      </x:c>
      <x:c r="O407" t="s">
        <x:v>1581</x:v>
      </x:c>
      <x:c r="P407" t="s">
        <x:v>1585</x:v>
      </x:c>
      <x:c r="Q407" t="s">
        <x:v>203</x:v>
      </x:c>
      <x:c r="R407">
        <x:v>1</x:v>
      </x:c>
      <x:c r="S407" t="s">
        <x:v>42</x:v>
      </x:c>
      <x:c r="T407" t="s">
        <x:v>44</x:v>
      </x:c>
      <x:c r="U407" t="s">
        <x:v>44</x:v>
      </x:c>
      <x:c r="V407" t="s">
        <x:v>45</x:v>
      </x:c>
      <x:c r="W407" t="s">
        <x:v>60</x:v>
      </x:c>
      <x:c r="X407">
        <x:v>135.59</x:v>
      </x:c>
      <x:c r="Y407" t="s">
        <x:v>47</x:v>
      </x:c>
      <x:c r="Z407" t="s">
        <x:v>48</x:v>
      </x:c>
      <x:c r="AA407" t="s">
        <x:v>49</x:v>
      </x:c>
      <x:c r="AB407">
        <x:v>917791542</x:v>
      </x:c>
      <x:c r="AC407" t="s">
        <x:v>1394</x:v>
      </x:c>
      <x:c r="AD407">
        <x:v>30</x:v>
      </x:c>
    </x:row>
    <x:row r="408">
      <x:c r="A408" s="1">
        <x:v>46246</x:v>
      </x:c>
      <x:c r="B408" t="s">
        <x:v>4054</x:v>
      </x:c>
      <x:c r="C408" t="s">
        <x:v>1586</x:v>
      </x:c>
      <x:c r="D408" t="s">
        <x:v>29</x:v>
      </x:c>
      <x:c r="E408" t="s">
        <x:v>1587</x:v>
      </x:c>
      <x:c r="F408" t="s">
        <x:v>31</x:v>
      </x:c>
      <x:c r="G408" t="s">
        <x:v>1588</x:v>
      </x:c>
      <x:c r="H408" t="s">
        <x:v>1589</x:v>
      </x:c>
      <x:c r="I408" t="s">
        <x:v>1590</x:v>
      </x:c>
      <x:c r="J408" t="s">
        <x:v>2784</x:v>
      </x:c>
      <x:c r="K408" t="s">
        <x:v>210</x:v>
      </x:c>
      <x:c r="L408" t="s">
        <x:v>37</x:v>
      </x:c>
      <x:c r="M408" t="s">
        <x:v>1591</x:v>
      </x:c>
      <x:c r="N408" t="s">
        <x:v>1592</x:v>
      </x:c>
      <x:c r="O408" t="s">
        <x:v>1589</x:v>
      </x:c>
      <x:c r="P408" t="s">
        <x:v>1593</x:v>
      </x:c>
      <x:c r="Q408" t="s">
        <x:v>203</x:v>
      </x:c>
      <x:c r="R408">
        <x:v>1</x:v>
      </x:c>
      <x:c r="S408" t="s">
        <x:v>42</x:v>
      </x:c>
      <x:c r="T408" t="s">
        <x:v>44</x:v>
      </x:c>
      <x:c r="U408" t="s">
        <x:v>44</x:v>
      </x:c>
      <x:c r="V408" t="s">
        <x:v>45</x:v>
      </x:c>
      <x:c r="W408" t="s">
        <x:v>60</x:v>
      </x:c>
      <x:c r="X408">
        <x:v>135.59</x:v>
      </x:c>
      <x:c r="Y408" t="s">
        <x:v>47</x:v>
      </x:c>
      <x:c r="Z408" t="s">
        <x:v>48</x:v>
      </x:c>
      <x:c r="AA408" t="s">
        <x:v>49</x:v>
      </x:c>
      <x:c r="AD408">
        <x:v>30</x:v>
      </x:c>
    </x:row>
    <x:row r="409">
      <x:c r="A409" s="1">
        <x:v>46246</x:v>
      </x:c>
      <x:c r="B409" t="s">
        <x:v>4054</x:v>
      </x:c>
      <x:c r="C409" t="s">
        <x:v>1594</x:v>
      </x:c>
      <x:c r="D409" t="s">
        <x:v>29</x:v>
      </x:c>
      <x:c r="E409" t="s">
        <x:v>1595</x:v>
      </x:c>
      <x:c r="F409" t="s">
        <x:v>31</x:v>
      </x:c>
      <x:c r="G409" t="s">
        <x:v>1596</x:v>
      </x:c>
      <x:c r="H409" t="s">
        <x:v>1597</x:v>
      </x:c>
      <x:c r="I409" t="s">
        <x:v>1598</x:v>
      </x:c>
      <x:c r="J409" t="s">
        <x:v>1599</x:v>
      </x:c>
      <x:c r="K409" t="s">
        <x:v>1600</x:v>
      </x:c>
      <x:c r="L409" t="s">
        <x:v>37</x:v>
      </x:c>
      <x:c r="M409" t="s">
        <x:v>1601</x:v>
      </x:c>
      <x:c r="N409" t="s">
        <x:v>1602</x:v>
      </x:c>
      <x:c r="O409" t="s">
        <x:v>1597</x:v>
      </x:c>
      <x:c r="P409" t="s">
        <x:v>1603</x:v>
      </x:c>
      <x:c r="Q409" t="s">
        <x:v>202</x:v>
      </x:c>
      <x:c r="R409">
        <x:v>1</x:v>
      </x:c>
      <x:c r="S409" t="s">
        <x:v>42</x:v>
      </x:c>
      <x:c r="T409" t="s">
        <x:v>44</x:v>
      </x:c>
      <x:c r="U409" t="s">
        <x:v>44</x:v>
      </x:c>
      <x:c r="V409" t="s">
        <x:v>45</x:v>
      </x:c>
      <x:c r="W409" t="s">
        <x:v>60</x:v>
      </x:c>
      <x:c r="X409">
        <x:v>152.54</x:v>
      </x:c>
      <x:c r="Y409" t="s">
        <x:v>47</x:v>
      </x:c>
      <x:c r="Z409" t="s">
        <x:v>48</x:v>
      </x:c>
      <x:c r="AA409" t="s">
        <x:v>49</x:v>
      </x:c>
      <x:c r="AB409">
        <x:v>980543337</x:v>
      </x:c>
      <x:c r="AC409" t="s">
        <x:v>1604</x:v>
      </x:c>
      <x:c r="AD409">
        <x:v>30</x:v>
      </x:c>
    </x:row>
    <x:row r="410">
      <x:c r="A410" s="1">
        <x:v>46246</x:v>
      </x:c>
      <x:c r="B410" t="s">
        <x:v>4054</x:v>
      </x:c>
      <x:c r="C410" t="s">
        <x:v>1594</x:v>
      </x:c>
      <x:c r="D410" t="s">
        <x:v>29</x:v>
      </x:c>
      <x:c r="E410" t="s">
        <x:v>1595</x:v>
      </x:c>
      <x:c r="F410" t="s">
        <x:v>31</x:v>
      </x:c>
      <x:c r="G410" t="s">
        <x:v>1596</x:v>
      </x:c>
      <x:c r="H410" t="s">
        <x:v>1597</x:v>
      </x:c>
      <x:c r="I410" t="s">
        <x:v>1598</x:v>
      </x:c>
      <x:c r="J410" t="s">
        <x:v>1599</x:v>
      </x:c>
      <x:c r="K410" t="s">
        <x:v>1600</x:v>
      </x:c>
      <x:c r="L410" t="s">
        <x:v>37</x:v>
      </x:c>
      <x:c r="M410" t="s">
        <x:v>1601</x:v>
      </x:c>
      <x:c r="N410" t="s">
        <x:v>1602</x:v>
      </x:c>
      <x:c r="O410" t="s">
        <x:v>1597</x:v>
      </x:c>
      <x:c r="P410" t="s">
        <x:v>1603</x:v>
      </x:c>
      <x:c r="Q410" t="s">
        <x:v>203</x:v>
      </x:c>
      <x:c r="R410">
        <x:v>1</x:v>
      </x:c>
      <x:c r="S410" t="s">
        <x:v>42</x:v>
      </x:c>
      <x:c r="T410" t="s">
        <x:v>44</x:v>
      </x:c>
      <x:c r="U410" t="s">
        <x:v>44</x:v>
      </x:c>
      <x:c r="V410" t="s">
        <x:v>45</x:v>
      </x:c>
      <x:c r="W410" t="s">
        <x:v>60</x:v>
      </x:c>
      <x:c r="X410">
        <x:v>135.59</x:v>
      </x:c>
      <x:c r="Y410" t="s">
        <x:v>47</x:v>
      </x:c>
      <x:c r="Z410" t="s">
        <x:v>48</x:v>
      </x:c>
      <x:c r="AA410" t="s">
        <x:v>49</x:v>
      </x:c>
      <x:c r="AB410">
        <x:v>980543337</x:v>
      </x:c>
      <x:c r="AC410" t="s">
        <x:v>1604</x:v>
      </x:c>
      <x:c r="AD410">
        <x:v>30</x:v>
      </x:c>
    </x:row>
    <x:row r="411">
      <x:c r="A411" s="1">
        <x:v>46246</x:v>
      </x:c>
      <x:c r="B411" t="s">
        <x:v>4054</x:v>
      </x:c>
      <x:c r="C411" t="s">
        <x:v>1605</x:v>
      </x:c>
      <x:c r="D411" t="s">
        <x:v>29</x:v>
      </x:c>
      <x:c r="E411" t="s">
        <x:v>1606</x:v>
      </x:c>
      <x:c r="F411" t="s">
        <x:v>31</x:v>
      </x:c>
      <x:c r="G411" t="s">
        <x:v>1607</x:v>
      </x:c>
      <x:c r="H411" t="s">
        <x:v>1608</x:v>
      </x:c>
      <x:c r="I411" t="s">
        <x:v>1609</x:v>
      </x:c>
      <x:c r="J411" t="s">
        <x:v>1610</x:v>
      </x:c>
      <x:c r="K411" t="s">
        <x:v>210</x:v>
      </x:c>
      <x:c r="L411" t="s">
        <x:v>37</x:v>
      </x:c>
      <x:c r="M411" t="s">
        <x:v>1611</x:v>
      </x:c>
      <x:c r="N411" t="s">
        <x:v>1612</x:v>
      </x:c>
      <x:c r="O411" t="s">
        <x:v>1608</x:v>
      </x:c>
      <x:c r="P411" t="s">
        <x:v>1613</x:v>
      </x:c>
      <x:c r="Q411" t="s">
        <x:v>91</x:v>
      </x:c>
      <x:c r="R411">
        <x:v>1</x:v>
      </x:c>
      <x:c r="S411" t="s">
        <x:v>42</x:v>
      </x:c>
      <x:c r="T411" t="s">
        <x:v>44</x:v>
      </x:c>
      <x:c r="U411" t="s">
        <x:v>44</x:v>
      </x:c>
      <x:c r="V411" t="s">
        <x:v>45</x:v>
      </x:c>
      <x:c r="W411" t="s">
        <x:v>46</x:v>
      </x:c>
      <x:c r="X411">
        <x:v>135.59</x:v>
      </x:c>
      <x:c r="Y411" t="s">
        <x:v>47</x:v>
      </x:c>
      <x:c r="Z411" t="s">
        <x:v>48</x:v>
      </x:c>
      <x:c r="AA411" t="s">
        <x:v>49</x:v>
      </x:c>
      <x:c r="AB411">
        <x:v>944212985</x:v>
      </x:c>
      <x:c r="AD411">
        <x:v>30</x:v>
      </x:c>
    </x:row>
    <x:row r="412">
      <x:c r="A412" s="1">
        <x:v>46246</x:v>
      </x:c>
      <x:c r="B412" t="s">
        <x:v>4054</x:v>
      </x:c>
      <x:c r="C412" t="s">
        <x:v>1614</x:v>
      </x:c>
      <x:c r="D412" t="s">
        <x:v>29</x:v>
      </x:c>
      <x:c r="E412" t="s">
        <x:v>1615</x:v>
      </x:c>
      <x:c r="F412" t="s">
        <x:v>31</x:v>
      </x:c>
      <x:c r="G412" t="s">
        <x:v>1616</x:v>
      </x:c>
      <x:c r="H412" t="s">
        <x:v>1617</x:v>
      </x:c>
      <x:c r="I412" t="s">
        <x:v>1618</x:v>
      </x:c>
      <x:c r="J412" t="s">
        <x:v>1619</x:v>
      </x:c>
      <x:c r="K412" t="s">
        <x:v>1620</x:v>
      </x:c>
      <x:c r="L412" t="s">
        <x:v>37</x:v>
      </x:c>
      <x:c r="M412" t="s">
        <x:v>1621</x:v>
      </x:c>
      <x:c r="N412" t="s">
        <x:v>1622</x:v>
      </x:c>
      <x:c r="O412" t="s">
        <x:v>1619</x:v>
      </x:c>
      <x:c r="P412" t="s">
        <x:v>1623</x:v>
      </x:c>
      <x:c r="Q412" t="s">
        <x:v>289</x:v>
      </x:c>
      <x:c r="R412">
        <x:v>1</x:v>
      </x:c>
      <x:c r="S412" t="s">
        <x:v>70</x:v>
      </x:c>
      <x:c r="T412" t="s">
        <x:v>43</x:v>
      </x:c>
      <x:c r="U412" t="s">
        <x:v>44</x:v>
      </x:c>
      <x:c r="V412" t="s">
        <x:v>71</x:v>
      </x:c>
      <x:c r="W412" t="s">
        <x:v>185</x:v>
      </x:c>
      <x:c r="X412">
        <x:v>0</x:v>
      </x:c>
      <x:c r="Y412" t="s">
        <x:v>290</x:v>
      </x:c>
      <x:c r="Z412" t="s">
        <x:v>48</x:v>
      </x:c>
      <x:c r="AA412" t="s">
        <x:v>73</x:v>
      </x:c>
      <x:c r="AB412">
        <x:v>950418896</x:v>
      </x:c>
    </x:row>
    <x:row r="413">
      <x:c r="A413" s="1">
        <x:v>46246</x:v>
      </x:c>
      <x:c r="B413" t="s">
        <x:v>4054</x:v>
      </x:c>
      <x:c r="C413" t="s">
        <x:v>1614</x:v>
      </x:c>
      <x:c r="D413" t="s">
        <x:v>29</x:v>
      </x:c>
      <x:c r="E413" t="s">
        <x:v>1615</x:v>
      </x:c>
      <x:c r="F413" t="s">
        <x:v>31</x:v>
      </x:c>
      <x:c r="G413" t="s">
        <x:v>1616</x:v>
      </x:c>
      <x:c r="H413" t="s">
        <x:v>1617</x:v>
      </x:c>
      <x:c r="I413" t="s">
        <x:v>1618</x:v>
      </x:c>
      <x:c r="J413" t="s">
        <x:v>1619</x:v>
      </x:c>
      <x:c r="K413" t="s">
        <x:v>1620</x:v>
      </x:c>
      <x:c r="L413" t="s">
        <x:v>37</x:v>
      </x:c>
      <x:c r="M413" t="s">
        <x:v>1621</x:v>
      </x:c>
      <x:c r="N413" t="s">
        <x:v>1622</x:v>
      </x:c>
      <x:c r="O413" t="s">
        <x:v>1619</x:v>
      </x:c>
      <x:c r="P413" t="s">
        <x:v>1623</x:v>
      </x:c>
      <x:c r="Q413" t="s">
        <x:v>1624</x:v>
      </x:c>
      <x:c r="R413">
        <x:v>1</x:v>
      </x:c>
      <x:c r="S413" t="s">
        <x:v>70</x:v>
      </x:c>
      <x:c r="T413" t="s">
        <x:v>43</x:v>
      </x:c>
      <x:c r="U413" t="s">
        <x:v>44</x:v>
      </x:c>
      <x:c r="V413" t="s">
        <x:v>71</x:v>
      </x:c>
      <x:c r="W413" t="s">
        <x:v>185</x:v>
      </x:c>
      <x:c r="X413">
        <x:v>139.83000000000001</x:v>
      </x:c>
      <x:c r="Y413" t="s">
        <x:v>290</x:v>
      </x:c>
      <x:c r="Z413" t="s">
        <x:v>48</x:v>
      </x:c>
      <x:c r="AA413" t="s">
        <x:v>73</x:v>
      </x:c>
      <x:c r="AB413">
        <x:v>950418896</x:v>
      </x:c>
    </x:row>
    <x:row r="414">
      <x:c r="A414" s="1">
        <x:v>46247</x:v>
      </x:c>
      <x:c r="B414" t="s">
        <x:v>4054</x:v>
      </x:c>
      <x:c r="C414" t="s">
        <x:v>1634</x:v>
      </x:c>
      <x:c r="D414" t="s">
        <x:v>29</x:v>
      </x:c>
      <x:c r="E414" t="s">
        <x:v>1635</x:v>
      </x:c>
      <x:c r="F414" t="s">
        <x:v>31</x:v>
      </x:c>
      <x:c r="G414" t="s">
        <x:v>1636</x:v>
      </x:c>
      <x:c r="H414" t="s">
        <x:v>1637</x:v>
      </x:c>
      <x:c r="I414" t="s">
        <x:v>1638</x:v>
      </x:c>
      <x:c r="J414" t="s">
        <x:v>776</x:v>
      </x:c>
      <x:c r="K414" t="s">
        <x:v>777</x:v>
      </x:c>
      <x:c r="L414" t="s">
        <x:v>37</x:v>
      </x:c>
      <x:c r="M414" t="s">
        <x:v>1639</x:v>
      </x:c>
      <x:c r="N414" t="s">
        <x:v>1640</x:v>
      </x:c>
      <x:c r="O414" t="s">
        <x:v>1637</x:v>
      </x:c>
      <x:c r="P414" t="s">
        <x:v>1641</x:v>
      </x:c>
      <x:c r="Q414" t="s">
        <x:v>620</x:v>
      </x:c>
      <x:c r="R414">
        <x:v>1</x:v>
      </x:c>
      <x:c r="S414" t="s">
        <x:v>42</x:v>
      </x:c>
      <x:c r="T414" t="s">
        <x:v>44</x:v>
      </x:c>
      <x:c r="U414" t="s">
        <x:v>44</x:v>
      </x:c>
      <x:c r="V414" t="s">
        <x:v>45</x:v>
      </x:c>
      <x:c r="W414" t="s">
        <x:v>46</x:v>
      </x:c>
      <x:c r="X414">
        <x:v>12.71</x:v>
      </x:c>
      <x:c r="Y414" t="s">
        <x:v>621</x:v>
      </x:c>
      <x:c r="Z414" t="s">
        <x:v>48</x:v>
      </x:c>
      <x:c r="AA414" t="s">
        <x:v>49</x:v>
      </x:c>
    </x:row>
    <x:row r="415">
      <x:c r="A415" s="1">
        <x:v>46247</x:v>
      </x:c>
      <x:c r="B415" t="s">
        <x:v>4054</x:v>
      </x:c>
      <x:c r="C415" t="s">
        <x:v>1634</x:v>
      </x:c>
      <x:c r="D415" t="s">
        <x:v>29</x:v>
      </x:c>
      <x:c r="E415" t="s">
        <x:v>1635</x:v>
      </x:c>
      <x:c r="F415" t="s">
        <x:v>31</x:v>
      </x:c>
      <x:c r="G415" t="s">
        <x:v>1636</x:v>
      </x:c>
      <x:c r="H415" t="s">
        <x:v>1637</x:v>
      </x:c>
      <x:c r="I415" t="s">
        <x:v>1638</x:v>
      </x:c>
      <x:c r="J415" t="s">
        <x:v>776</x:v>
      </x:c>
      <x:c r="K415" t="s">
        <x:v>777</x:v>
      </x:c>
      <x:c r="L415" t="s">
        <x:v>37</x:v>
      </x:c>
      <x:c r="M415" t="s">
        <x:v>1639</x:v>
      </x:c>
      <x:c r="N415" t="s">
        <x:v>1640</x:v>
      </x:c>
      <x:c r="O415" t="s">
        <x:v>1637</x:v>
      </x:c>
      <x:c r="P415" t="s">
        <x:v>1641</x:v>
      </x:c>
      <x:c r="Q415" t="s">
        <x:v>622</x:v>
      </x:c>
      <x:c r="R415">
        <x:v>1</x:v>
      </x:c>
      <x:c r="S415" t="s">
        <x:v>42</x:v>
      </x:c>
      <x:c r="T415" t="s">
        <x:v>44</x:v>
      </x:c>
      <x:c r="U415" t="s">
        <x:v>44</x:v>
      </x:c>
      <x:c r="V415" t="s">
        <x:v>45</x:v>
      </x:c>
      <x:c r="W415" t="s">
        <x:v>46</x:v>
      </x:c>
      <x:c r="X415">
        <x:v>21.19</x:v>
      </x:c>
      <x:c r="Y415" t="s">
        <x:v>621</x:v>
      </x:c>
      <x:c r="Z415" t="s">
        <x:v>48</x:v>
      </x:c>
      <x:c r="AA415" t="s">
        <x:v>49</x:v>
      </x:c>
    </x:row>
    <x:row r="416">
      <x:c r="A416" s="1">
        <x:v>46247</x:v>
      </x:c>
      <x:c r="B416" t="s">
        <x:v>4054</x:v>
      </x:c>
      <x:c r="C416" t="s">
        <x:v>1634</x:v>
      </x:c>
      <x:c r="D416" t="s">
        <x:v>29</x:v>
      </x:c>
      <x:c r="E416" t="s">
        <x:v>1635</x:v>
      </x:c>
      <x:c r="F416" t="s">
        <x:v>31</x:v>
      </x:c>
      <x:c r="G416" t="s">
        <x:v>1636</x:v>
      </x:c>
      <x:c r="H416" t="s">
        <x:v>1637</x:v>
      </x:c>
      <x:c r="I416" t="s">
        <x:v>1638</x:v>
      </x:c>
      <x:c r="J416" t="s">
        <x:v>776</x:v>
      </x:c>
      <x:c r="K416" t="s">
        <x:v>777</x:v>
      </x:c>
      <x:c r="L416" t="s">
        <x:v>37</x:v>
      </x:c>
      <x:c r="M416" t="s">
        <x:v>1639</x:v>
      </x:c>
      <x:c r="N416" t="s">
        <x:v>1640</x:v>
      </x:c>
      <x:c r="O416" t="s">
        <x:v>1637</x:v>
      </x:c>
      <x:c r="P416" t="s">
        <x:v>1641</x:v>
      </x:c>
      <x:c r="Q416" t="s">
        <x:v>623</x:v>
      </x:c>
      <x:c r="R416">
        <x:v>1</x:v>
      </x:c>
      <x:c r="S416" t="s">
        <x:v>42</x:v>
      </x:c>
      <x:c r="T416" t="s">
        <x:v>44</x:v>
      </x:c>
      <x:c r="U416" t="s">
        <x:v>44</x:v>
      </x:c>
      <x:c r="V416" t="s">
        <x:v>45</x:v>
      </x:c>
      <x:c r="W416" t="s">
        <x:v>46</x:v>
      </x:c>
      <x:c r="X416">
        <x:v>12.71</x:v>
      </x:c>
      <x:c r="Y416" t="s">
        <x:v>621</x:v>
      </x:c>
      <x:c r="Z416" t="s">
        <x:v>48</x:v>
      </x:c>
      <x:c r="AA416" t="s">
        <x:v>49</x:v>
      </x:c>
    </x:row>
    <x:row r="417">
      <x:c r="A417" s="1">
        <x:v>46247</x:v>
      </x:c>
      <x:c r="B417" t="s">
        <x:v>4054</x:v>
      </x:c>
      <x:c r="C417" t="s">
        <x:v>1634</x:v>
      </x:c>
      <x:c r="D417" t="s">
        <x:v>29</x:v>
      </x:c>
      <x:c r="E417" t="s">
        <x:v>1635</x:v>
      </x:c>
      <x:c r="F417" t="s">
        <x:v>31</x:v>
      </x:c>
      <x:c r="G417" t="s">
        <x:v>1636</x:v>
      </x:c>
      <x:c r="H417" t="s">
        <x:v>1637</x:v>
      </x:c>
      <x:c r="I417" t="s">
        <x:v>1638</x:v>
      </x:c>
      <x:c r="J417" t="s">
        <x:v>776</x:v>
      </x:c>
      <x:c r="K417" t="s">
        <x:v>777</x:v>
      </x:c>
      <x:c r="L417" t="s">
        <x:v>37</x:v>
      </x:c>
      <x:c r="M417" t="s">
        <x:v>1639</x:v>
      </x:c>
      <x:c r="N417" t="s">
        <x:v>1640</x:v>
      </x:c>
      <x:c r="O417" t="s">
        <x:v>1637</x:v>
      </x:c>
      <x:c r="P417" t="s">
        <x:v>1641</x:v>
      </x:c>
      <x:c r="Q417" t="s">
        <x:v>624</x:v>
      </x:c>
      <x:c r="R417">
        <x:v>1</x:v>
      </x:c>
      <x:c r="S417" t="s">
        <x:v>42</x:v>
      </x:c>
      <x:c r="T417" t="s">
        <x:v>44</x:v>
      </x:c>
      <x:c r="U417" t="s">
        <x:v>44</x:v>
      </x:c>
      <x:c r="V417" t="s">
        <x:v>45</x:v>
      </x:c>
      <x:c r="W417" t="s">
        <x:v>46</x:v>
      </x:c>
      <x:c r="X417">
        <x:v>12.71</x:v>
      </x:c>
      <x:c r="Y417" t="s">
        <x:v>621</x:v>
      </x:c>
      <x:c r="Z417" t="s">
        <x:v>48</x:v>
      </x:c>
      <x:c r="AA417" t="s">
        <x:v>49</x:v>
      </x:c>
    </x:row>
    <x:row r="418">
      <x:c r="A418" s="1">
        <x:v>46247</x:v>
      </x:c>
      <x:c r="B418" t="s">
        <x:v>4054</x:v>
      </x:c>
      <x:c r="C418" t="s">
        <x:v>1634</x:v>
      </x:c>
      <x:c r="D418" t="s">
        <x:v>29</x:v>
      </x:c>
      <x:c r="E418" t="s">
        <x:v>1635</x:v>
      </x:c>
      <x:c r="F418" t="s">
        <x:v>31</x:v>
      </x:c>
      <x:c r="G418" t="s">
        <x:v>1636</x:v>
      </x:c>
      <x:c r="H418" t="s">
        <x:v>1637</x:v>
      </x:c>
      <x:c r="I418" t="s">
        <x:v>1638</x:v>
      </x:c>
      <x:c r="J418" t="s">
        <x:v>776</x:v>
      </x:c>
      <x:c r="K418" t="s">
        <x:v>777</x:v>
      </x:c>
      <x:c r="L418" t="s">
        <x:v>37</x:v>
      </x:c>
      <x:c r="M418" t="s">
        <x:v>1639</x:v>
      </x:c>
      <x:c r="N418" t="s">
        <x:v>1640</x:v>
      </x:c>
      <x:c r="O418" t="s">
        <x:v>1637</x:v>
      </x:c>
      <x:c r="P418" t="s">
        <x:v>1641</x:v>
      </x:c>
      <x:c r="Q418" t="s">
        <x:v>835</x:v>
      </x:c>
      <x:c r="R418">
        <x:v>1</x:v>
      </x:c>
      <x:c r="S418" t="s">
        <x:v>42</x:v>
      </x:c>
      <x:c r="T418" t="s">
        <x:v>44</x:v>
      </x:c>
      <x:c r="U418" t="s">
        <x:v>44</x:v>
      </x:c>
      <x:c r="V418" t="s">
        <x:v>45</x:v>
      </x:c>
      <x:c r="W418" t="s">
        <x:v>46</x:v>
      </x:c>
      <x:c r="X418">
        <x:v>50.85</x:v>
      </x:c>
      <x:c r="Y418" t="s">
        <x:v>621</x:v>
      </x:c>
      <x:c r="Z418" t="s">
        <x:v>48</x:v>
      </x:c>
      <x:c r="AA418" t="s">
        <x:v>49</x:v>
      </x:c>
    </x:row>
    <x:row r="419">
      <x:c r="A419" s="1">
        <x:v>46247</x:v>
      </x:c>
      <x:c r="B419" t="s">
        <x:v>4054</x:v>
      </x:c>
      <x:c r="C419" t="s">
        <x:v>1642</x:v>
      </x:c>
      <x:c r="D419" t="s">
        <x:v>29</x:v>
      </x:c>
      <x:c r="E419" t="s">
        <x:v>1643</x:v>
      </x:c>
      <x:c r="F419" t="s">
        <x:v>31</x:v>
      </x:c>
      <x:c r="G419" t="s">
        <x:v>1644</x:v>
      </x:c>
      <x:c r="H419" t="s">
        <x:v>1637</x:v>
      </x:c>
      <x:c r="I419" t="s">
        <x:v>1638</x:v>
      </x:c>
      <x:c r="J419" t="s">
        <x:v>776</x:v>
      </x:c>
      <x:c r="K419" t="s">
        <x:v>777</x:v>
      </x:c>
      <x:c r="L419" t="s">
        <x:v>37</x:v>
      </x:c>
      <x:c r="M419" t="s">
        <x:v>1639</x:v>
      </x:c>
      <x:c r="N419" t="s">
        <x:v>1640</x:v>
      </x:c>
      <x:c r="O419" t="s">
        <x:v>1637</x:v>
      </x:c>
      <x:c r="P419" t="s">
        <x:v>1645</x:v>
      </x:c>
      <x:c r="Q419" t="s">
        <x:v>830</x:v>
      </x:c>
      <x:c r="R419">
        <x:v>1</x:v>
      </x:c>
      <x:c r="S419" t="s">
        <x:v>42</x:v>
      </x:c>
      <x:c r="T419" t="s">
        <x:v>44</x:v>
      </x:c>
      <x:c r="U419" t="s">
        <x:v>44</x:v>
      </x:c>
      <x:c r="V419" t="s">
        <x:v>45</x:v>
      </x:c>
      <x:c r="W419" t="s">
        <x:v>46</x:v>
      </x:c>
      <x:c r="X419">
        <x:v>127.12</x:v>
      </x:c>
      <x:c r="Y419" t="s">
        <x:v>47</x:v>
      </x:c>
      <x:c r="Z419" t="s">
        <x:v>48</x:v>
      </x:c>
      <x:c r="AA419" t="s">
        <x:v>49</x:v>
      </x:c>
    </x:row>
    <x:row r="420">
      <x:c r="A420" s="1">
        <x:v>46247</x:v>
      </x:c>
      <x:c r="B420" t="s">
        <x:v>4054</x:v>
      </x:c>
      <x:c r="C420" t="s">
        <x:v>1646</x:v>
      </x:c>
      <x:c r="D420" t="s">
        <x:v>29</x:v>
      </x:c>
      <x:c r="E420" t="s">
        <x:v>1647</x:v>
      </x:c>
      <x:c r="F420" t="s">
        <x:v>31</x:v>
      </x:c>
      <x:c r="G420" t="s">
        <x:v>1648</x:v>
      </x:c>
      <x:c r="H420" t="s">
        <x:v>1637</x:v>
      </x:c>
      <x:c r="I420" t="s">
        <x:v>1638</x:v>
      </x:c>
      <x:c r="J420" t="s">
        <x:v>776</x:v>
      </x:c>
      <x:c r="K420" t="s">
        <x:v>777</x:v>
      </x:c>
      <x:c r="L420" t="s">
        <x:v>37</x:v>
      </x:c>
      <x:c r="M420" t="s">
        <x:v>1639</x:v>
      </x:c>
      <x:c r="N420" t="s">
        <x:v>1640</x:v>
      </x:c>
      <x:c r="O420" t="s">
        <x:v>1637</x:v>
      </x:c>
      <x:c r="P420" t="s">
        <x:v>1649</x:v>
      </x:c>
      <x:c r="Q420" t="s">
        <x:v>643</x:v>
      </x:c>
      <x:c r="R420">
        <x:v>1</x:v>
      </x:c>
      <x:c r="S420" t="s">
        <x:v>42</x:v>
      </x:c>
      <x:c r="T420" t="s">
        <x:v>44</x:v>
      </x:c>
      <x:c r="U420" t="s">
        <x:v>44</x:v>
      </x:c>
      <x:c r="V420" t="s">
        <x:v>45</x:v>
      </x:c>
      <x:c r="W420" t="s">
        <x:v>46</x:v>
      </x:c>
      <x:c r="X420">
        <x:v>84.75</x:v>
      </x:c>
      <x:c r="Y420" t="s">
        <x:v>47</x:v>
      </x:c>
      <x:c r="Z420" t="s">
        <x:v>48</x:v>
      </x:c>
      <x:c r="AA420" t="s">
        <x:v>49</x:v>
      </x:c>
    </x:row>
    <x:row r="421">
      <x:c r="A421" s="1">
        <x:v>46247</x:v>
      </x:c>
      <x:c r="B421" t="s">
        <x:v>4054</x:v>
      </x:c>
      <x:c r="C421" t="s">
        <x:v>1650</x:v>
      </x:c>
      <x:c r="D421" t="s">
        <x:v>29</x:v>
      </x:c>
      <x:c r="E421" t="s">
        <x:v>1651</x:v>
      </x:c>
      <x:c r="F421" t="s">
        <x:v>31</x:v>
      </x:c>
      <x:c r="G421" t="s">
        <x:v>1652</x:v>
      </x:c>
      <x:c r="H421" t="s">
        <x:v>1653</x:v>
      </x:c>
      <x:c r="I421" t="s">
        <x:v>1654</x:v>
      </x:c>
      <x:c r="J421" t="s">
        <x:v>35</x:v>
      </x:c>
      <x:c r="K421" t="s">
        <x:v>36</x:v>
      </x:c>
      <x:c r="L421" t="s">
        <x:v>37</x:v>
      </x:c>
      <x:c r="M421" t="s">
        <x:v>1655</x:v>
      </x:c>
      <x:c r="N421" t="s">
        <x:v>1656</x:v>
      </x:c>
      <x:c r="O421" t="s">
        <x:v>1653</x:v>
      </x:c>
      <x:c r="P421" t="s">
        <x:v>1657</x:v>
      </x:c>
      <x:c r="Q421" t="s">
        <x:v>102</x:v>
      </x:c>
      <x:c r="R421">
        <x:v>1</x:v>
      </x:c>
      <x:c r="S421" t="s">
        <x:v>42</x:v>
      </x:c>
      <x:c r="T421" t="s">
        <x:v>44</x:v>
      </x:c>
      <x:c r="U421" t="s">
        <x:v>44</x:v>
      </x:c>
      <x:c r="V421" t="s">
        <x:v>45</x:v>
      </x:c>
      <x:c r="W421" t="s">
        <x:v>60</x:v>
      </x:c>
      <x:c r="X421">
        <x:v>186.44</x:v>
      </x:c>
      <x:c r="Y421" t="s">
        <x:v>47</x:v>
      </x:c>
      <x:c r="Z421" t="s">
        <x:v>48</x:v>
      </x:c>
      <x:c r="AA421" t="s">
        <x:v>49</x:v>
      </x:c>
      <x:c r="AB421">
        <x:v>999996347</x:v>
      </x:c>
      <x:c r="AC421" t="s">
        <x:v>50</x:v>
      </x:c>
      <x:c r="AD421">
        <x:v>50</x:v>
      </x:c>
    </x:row>
    <x:row r="422">
      <x:c r="A422" s="1">
        <x:v>46247</x:v>
      </x:c>
      <x:c r="B422" t="s">
        <x:v>4054</x:v>
      </x:c>
      <x:c r="C422" t="s">
        <x:v>1658</x:v>
      </x:c>
      <x:c r="D422" t="s">
        <x:v>29</x:v>
      </x:c>
      <x:c r="E422" t="s">
        <x:v>1659</x:v>
      </x:c>
      <x:c r="F422" t="s">
        <x:v>31</x:v>
      </x:c>
      <x:c r="G422" t="s">
        <x:v>1660</x:v>
      </x:c>
      <x:c r="H422" t="s">
        <x:v>1661</x:v>
      </x:c>
      <x:c r="I422" t="s">
        <x:v>1662</x:v>
      </x:c>
      <x:c r="L422" t="s">
        <x:v>37</x:v>
      </x:c>
      <x:c r="M422" t="s">
        <x:v>1663</x:v>
      </x:c>
      <x:c r="N422" t="s">
        <x:v>1664</x:v>
      </x:c>
      <x:c r="O422" t="s">
        <x:v>1661</x:v>
      </x:c>
      <x:c r="P422" t="s">
        <x:v>1665</x:v>
      </x:c>
      <x:c r="Q422" t="s">
        <x:v>643</x:v>
      </x:c>
      <x:c r="R422">
        <x:v>1</x:v>
      </x:c>
      <x:c r="S422" t="s">
        <x:v>42</x:v>
      </x:c>
      <x:c r="T422" t="s">
        <x:v>44</x:v>
      </x:c>
      <x:c r="U422" t="s">
        <x:v>44</x:v>
      </x:c>
      <x:c r="V422" t="s">
        <x:v>45</x:v>
      </x:c>
      <x:c r="W422" t="s">
        <x:v>46</x:v>
      </x:c>
      <x:c r="X422">
        <x:v>84.75</x:v>
      </x:c>
      <x:c r="Y422" t="s">
        <x:v>47</x:v>
      </x:c>
      <x:c r="Z422" t="s">
        <x:v>48</x:v>
      </x:c>
      <x:c r="AA422" t="s">
        <x:v>49</x:v>
      </x:c>
    </x:row>
    <x:row r="423">
      <x:c r="A423" s="1">
        <x:v>46247</x:v>
      </x:c>
      <x:c r="B423" t="s">
        <x:v>4054</x:v>
      </x:c>
      <x:c r="C423" t="s">
        <x:v>1666</x:v>
      </x:c>
      <x:c r="D423" t="s">
        <x:v>29</x:v>
      </x:c>
      <x:c r="E423" t="s">
        <x:v>1667</x:v>
      </x:c>
      <x:c r="F423" t="s">
        <x:v>31</x:v>
      </x:c>
      <x:c r="G423" t="s">
        <x:v>1668</x:v>
      </x:c>
      <x:c r="H423" t="s">
        <x:v>1669</x:v>
      </x:c>
      <x:c r="I423" t="s">
        <x:v>1670</x:v>
      </x:c>
      <x:c r="J423" t="s">
        <x:v>137</x:v>
      </x:c>
      <x:c r="K423" t="s">
        <x:v>138</x:v>
      </x:c>
      <x:c r="L423" t="s">
        <x:v>37</x:v>
      </x:c>
      <x:c r="M423" t="s">
        <x:v>1671</x:v>
      </x:c>
      <x:c r="N423" t="s">
        <x:v>1672</x:v>
      </x:c>
      <x:c r="O423" t="s">
        <x:v>1669</x:v>
      </x:c>
      <x:c r="P423" t="s">
        <x:v>1673</x:v>
      </x:c>
      <x:c r="Q423" t="s">
        <x:v>41</x:v>
      </x:c>
      <x:c r="R423">
        <x:v>1</x:v>
      </x:c>
      <x:c r="S423" t="s">
        <x:v>42</x:v>
      </x:c>
      <x:c r="T423" t="s">
        <x:v>44</x:v>
      </x:c>
      <x:c r="U423" t="s">
        <x:v>44</x:v>
      </x:c>
      <x:c r="V423" t="s">
        <x:v>45</x:v>
      </x:c>
      <x:c r="W423" t="s">
        <x:v>46</x:v>
      </x:c>
      <x:c r="X423">
        <x:v>186.44</x:v>
      </x:c>
      <x:c r="Y423" t="s">
        <x:v>47</x:v>
      </x:c>
      <x:c r="Z423" t="s">
        <x:v>48</x:v>
      </x:c>
      <x:c r="AA423" t="s">
        <x:v>49</x:v>
      </x:c>
      <x:c r="AB423">
        <x:v>987407712</x:v>
      </x:c>
      <x:c r="AC423" t="s">
        <x:v>142</x:v>
      </x:c>
      <x:c r="AD423">
        <x:v>50</x:v>
      </x:c>
    </x:row>
    <x:row r="424">
      <x:c r="A424" s="1">
        <x:v>46247</x:v>
      </x:c>
      <x:c r="B424" t="s">
        <x:v>4054</x:v>
      </x:c>
      <x:c r="C424" t="s">
        <x:v>1674</x:v>
      </x:c>
      <x:c r="D424" t="s">
        <x:v>29</x:v>
      </x:c>
      <x:c r="E424" t="s">
        <x:v>1675</x:v>
      </x:c>
      <x:c r="F424" t="s">
        <x:v>31</x:v>
      </x:c>
      <x:c r="G424" t="s">
        <x:v>1676</x:v>
      </x:c>
      <x:c r="H424" t="s">
        <x:v>1677</x:v>
      </x:c>
      <x:c r="I424" t="s">
        <x:v>1678</x:v>
      </x:c>
      <x:c r="J424" t="s">
        <x:v>117</x:v>
      </x:c>
      <x:c r="K424" t="s">
        <x:v>118</x:v>
      </x:c>
      <x:c r="L424" t="s">
        <x:v>37</x:v>
      </x:c>
      <x:c r="M424" t="s">
        <x:v>1680</x:v>
      </x:c>
      <x:c r="N424" t="s">
        <x:v>1681</x:v>
      </x:c>
      <x:c r="O424" t="s">
        <x:v>1677</x:v>
      </x:c>
      <x:c r="P424" t="s">
        <x:v>1682</x:v>
      </x:c>
      <x:c r="Q424" t="s">
        <x:v>91</x:v>
      </x:c>
      <x:c r="R424">
        <x:v>1</x:v>
      </x:c>
      <x:c r="S424" t="s">
        <x:v>42</x:v>
      </x:c>
      <x:c r="T424" t="s">
        <x:v>44</x:v>
      </x:c>
      <x:c r="U424" t="s">
        <x:v>44</x:v>
      </x:c>
      <x:c r="V424" t="s">
        <x:v>45</x:v>
      </x:c>
      <x:c r="W424" t="s">
        <x:v>60</x:v>
      </x:c>
      <x:c r="X424">
        <x:v>135.59</x:v>
      </x:c>
      <x:c r="Y424" t="s">
        <x:v>47</x:v>
      </x:c>
      <x:c r="Z424" t="s">
        <x:v>48</x:v>
      </x:c>
      <x:c r="AA424" t="s">
        <x:v>49</x:v>
      </x:c>
      <x:c r="AB424">
        <x:v>945319366</x:v>
      </x:c>
      <x:c r="AC424" t="s">
        <x:v>122</x:v>
      </x:c>
      <x:c r="AD424">
        <x:v>30</x:v>
      </x:c>
    </x:row>
    <x:row r="425">
      <x:c r="A425" s="1">
        <x:v>46247</x:v>
      </x:c>
      <x:c r="B425" t="s">
        <x:v>4054</x:v>
      </x:c>
      <x:c r="C425" t="s">
        <x:v>1683</x:v>
      </x:c>
      <x:c r="D425" t="s">
        <x:v>29</x:v>
      </x:c>
      <x:c r="E425" t="s">
        <x:v>1684</x:v>
      </x:c>
      <x:c r="F425" t="s">
        <x:v>31</x:v>
      </x:c>
      <x:c r="G425" t="s">
        <x:v>1685</x:v>
      </x:c>
      <x:c r="H425" t="s">
        <x:v>1686</x:v>
      </x:c>
      <x:c r="I425" t="s">
        <x:v>1687</x:v>
      </x:c>
      <x:c r="J425" t="s">
        <x:v>1688</x:v>
      </x:c>
      <x:c r="K425" t="s">
        <x:v>1689</x:v>
      </x:c>
      <x:c r="L425" t="s">
        <x:v>37</x:v>
      </x:c>
      <x:c r="M425" t="s">
        <x:v>1690</x:v>
      </x:c>
      <x:c r="N425" t="s">
        <x:v>1691</x:v>
      </x:c>
      <x:c r="O425" t="s">
        <x:v>1686</x:v>
      </x:c>
      <x:c r="P425" t="s">
        <x:v>1692</x:v>
      </x:c>
      <x:c r="Q425" t="s">
        <x:v>41</x:v>
      </x:c>
      <x:c r="R425">
        <x:v>1</x:v>
      </x:c>
      <x:c r="S425" t="s">
        <x:v>42</x:v>
      </x:c>
      <x:c r="T425" t="s">
        <x:v>44</x:v>
      </x:c>
      <x:c r="U425" t="s">
        <x:v>44</x:v>
      </x:c>
      <x:c r="V425" t="s">
        <x:v>45</x:v>
      </x:c>
      <x:c r="W425" t="s">
        <x:v>60</x:v>
      </x:c>
      <x:c r="X425">
        <x:v>186.44</x:v>
      </x:c>
      <x:c r="Y425" t="s">
        <x:v>47</x:v>
      </x:c>
      <x:c r="Z425" t="s">
        <x:v>48</x:v>
      </x:c>
      <x:c r="AA425" t="s">
        <x:v>49</x:v>
      </x:c>
      <x:c r="AB425">
        <x:v>987483056</x:v>
      </x:c>
      <x:c r="AD425">
        <x:v>50</x:v>
      </x:c>
    </x:row>
    <x:row r="426">
      <x:c r="A426" s="1">
        <x:v>46247</x:v>
      </x:c>
      <x:c r="B426" t="s">
        <x:v>4054</x:v>
      </x:c>
      <x:c r="C426" t="s">
        <x:v>1693</x:v>
      </x:c>
      <x:c r="D426" t="s">
        <x:v>29</x:v>
      </x:c>
      <x:c r="E426" t="s">
        <x:v>1694</x:v>
      </x:c>
      <x:c r="F426" t="s">
        <x:v>31</x:v>
      </x:c>
      <x:c r="G426" t="s">
        <x:v>1695</x:v>
      </x:c>
      <x:c r="H426" t="s">
        <x:v>1696</x:v>
      </x:c>
      <x:c r="I426" t="s">
        <x:v>1697</x:v>
      </x:c>
      <x:c r="J426" t="s">
        <x:v>1390</x:v>
      </x:c>
      <x:c r="K426" t="s">
        <x:v>4055</x:v>
      </x:c>
      <x:c r="L426" t="s">
        <x:v>37</x:v>
      </x:c>
      <x:c r="M426" t="s">
        <x:v>1698</x:v>
      </x:c>
      <x:c r="N426" t="s">
        <x:v>1699</x:v>
      </x:c>
      <x:c r="O426" t="s">
        <x:v>1696</x:v>
      </x:c>
      <x:c r="P426" t="s">
        <x:v>1700</x:v>
      </x:c>
      <x:c r="Q426" t="s">
        <x:v>203</x:v>
      </x:c>
      <x:c r="R426">
        <x:v>1</x:v>
      </x:c>
      <x:c r="S426" t="s">
        <x:v>42</x:v>
      </x:c>
      <x:c r="T426" t="s">
        <x:v>44</x:v>
      </x:c>
      <x:c r="U426" t="s">
        <x:v>44</x:v>
      </x:c>
      <x:c r="V426" t="s">
        <x:v>45</x:v>
      </x:c>
      <x:c r="W426" t="s">
        <x:v>46</x:v>
      </x:c>
      <x:c r="X426">
        <x:v>135.59</x:v>
      </x:c>
      <x:c r="Y426" t="s">
        <x:v>47</x:v>
      </x:c>
      <x:c r="Z426" t="s">
        <x:v>48</x:v>
      </x:c>
      <x:c r="AA426" t="s">
        <x:v>49</x:v>
      </x:c>
      <x:c r="AB426">
        <x:v>917791542</x:v>
      </x:c>
      <x:c r="AC426" t="s">
        <x:v>1394</x:v>
      </x:c>
      <x:c r="AD426">
        <x:v>30</x:v>
      </x:c>
    </x:row>
    <x:row r="427">
      <x:c r="A427" s="1">
        <x:v>46248</x:v>
      </x:c>
      <x:c r="B427" t="s">
        <x:v>4054</x:v>
      </x:c>
      <x:c r="C427" t="s">
        <x:v>1701</x:v>
      </x:c>
      <x:c r="D427" t="s">
        <x:v>29</x:v>
      </x:c>
      <x:c r="E427" t="s">
        <x:v>1702</x:v>
      </x:c>
      <x:c r="F427" t="s">
        <x:v>31</x:v>
      </x:c>
      <x:c r="G427" t="s">
        <x:v>1703</x:v>
      </x:c>
      <x:c r="H427" t="s">
        <x:v>1704</x:v>
      </x:c>
      <x:c r="I427" t="s">
        <x:v>1705</x:v>
      </x:c>
      <x:c r="J427" t="s">
        <x:v>1326</x:v>
      </x:c>
      <x:c r="K427" t="s">
        <x:v>36</x:v>
      </x:c>
      <x:c r="L427" t="s">
        <x:v>37</x:v>
      </x:c>
      <x:c r="M427" t="s">
        <x:v>1706</x:v>
      </x:c>
      <x:c r="N427" t="s">
        <x:v>1707</x:v>
      </x:c>
      <x:c r="O427" t="s">
        <x:v>1704</x:v>
      </x:c>
      <x:c r="P427" t="s">
        <x:v>1708</x:v>
      </x:c>
      <x:c r="Q427" t="s">
        <x:v>102</x:v>
      </x:c>
      <x:c r="R427">
        <x:v>1</x:v>
      </x:c>
      <x:c r="S427" t="s">
        <x:v>42</x:v>
      </x:c>
      <x:c r="T427" t="s">
        <x:v>44</x:v>
      </x:c>
      <x:c r="U427" t="s">
        <x:v>44</x:v>
      </x:c>
      <x:c r="V427" t="s">
        <x:v>45</x:v>
      </x:c>
      <x:c r="W427" t="s">
        <x:v>46</x:v>
      </x:c>
      <x:c r="X427">
        <x:v>186.44</x:v>
      </x:c>
      <x:c r="Y427" t="s">
        <x:v>47</x:v>
      </x:c>
      <x:c r="Z427" t="s">
        <x:v>48</x:v>
      </x:c>
      <x:c r="AA427" t="s">
        <x:v>49</x:v>
      </x:c>
      <x:c r="AB427">
        <x:v>999111362</x:v>
      </x:c>
      <x:c r="AC427" t="s">
        <x:v>1330</x:v>
      </x:c>
      <x:c r="AD427">
        <x:v>50</x:v>
      </x:c>
    </x:row>
    <x:row r="428">
      <x:c r="A428" s="1">
        <x:v>46248</x:v>
      </x:c>
      <x:c r="B428" t="s">
        <x:v>4054</x:v>
      </x:c>
      <x:c r="C428" t="s">
        <x:v>1709</x:v>
      </x:c>
      <x:c r="D428" t="s">
        <x:v>29</x:v>
      </x:c>
      <x:c r="E428" t="s">
        <x:v>1710</x:v>
      </x:c>
      <x:c r="F428" t="s">
        <x:v>31</x:v>
      </x:c>
      <x:c r="G428" t="s">
        <x:v>1711</x:v>
      </x:c>
      <x:c r="H428" t="s">
        <x:v>1712</x:v>
      </x:c>
      <x:c r="I428" t="s">
        <x:v>1713</x:v>
      </x:c>
      <x:c r="J428" t="s">
        <x:v>1714</x:v>
      </x:c>
      <x:c r="K428" t="s">
        <x:v>1167</x:v>
      </x:c>
      <x:c r="L428" t="s">
        <x:v>37</x:v>
      </x:c>
      <x:c r="M428" t="s">
        <x:v>1715</x:v>
      </x:c>
      <x:c r="N428" t="s">
        <x:v>1716</x:v>
      </x:c>
      <x:c r="O428" t="s">
        <x:v>1712</x:v>
      </x:c>
      <x:c r="P428" t="s">
        <x:v>1717</x:v>
      </x:c>
      <x:c r="Q428" t="s">
        <x:v>1159</x:v>
      </x:c>
      <x:c r="R428">
        <x:v>1</x:v>
      </x:c>
      <x:c r="S428" t="s">
        <x:v>42</x:v>
      </x:c>
      <x:c r="T428" t="s">
        <x:v>44</x:v>
      </x:c>
      <x:c r="U428" t="s">
        <x:v>44</x:v>
      </x:c>
      <x:c r="V428" t="s">
        <x:v>45</x:v>
      </x:c>
      <x:c r="W428" t="s">
        <x:v>60</x:v>
      </x:c>
      <x:c r="X428">
        <x:v>338.98</x:v>
      </x:c>
      <x:c r="Y428" t="s">
        <x:v>47</x:v>
      </x:c>
      <x:c r="Z428" t="s">
        <x:v>48</x:v>
      </x:c>
      <x:c r="AA428" t="s">
        <x:v>49</x:v>
      </x:c>
      <x:c r="AD428">
        <x:v>100</x:v>
      </x:c>
    </x:row>
    <x:row r="429">
      <x:c r="A429" s="1">
        <x:v>46248</x:v>
      </x:c>
      <x:c r="B429" t="s">
        <x:v>4054</x:v>
      </x:c>
      <x:c r="C429" t="s">
        <x:v>1718</x:v>
      </x:c>
      <x:c r="D429" t="s">
        <x:v>269</x:v>
      </x:c>
      <x:c r="E429" t="s">
        <x:v>1719</x:v>
      </x:c>
      <x:c r="F429" t="s">
        <x:v>31</x:v>
      </x:c>
      <x:c r="G429" t="s">
        <x:v>1720</x:v>
      </x:c>
      <x:c r="H429" t="s">
        <x:v>1721</x:v>
      </x:c>
      <x:c r="I429" t="s">
        <x:v>1722</x:v>
      </x:c>
      <x:c r="J429" t="s">
        <x:v>2841</x:v>
      </x:c>
      <x:c r="K429" t="s">
        <x:v>210</x:v>
      </x:c>
      <x:c r="L429" t="s">
        <x:v>37</x:v>
      </x:c>
      <x:c r="M429" t="s">
        <x:v>1723</x:v>
      </x:c>
      <x:c r="N429" t="s">
        <x:v>1724</x:v>
      </x:c>
      <x:c r="O429" t="s">
        <x:v>1254</x:v>
      </x:c>
      <x:c r="P429" t="s">
        <x:v>1725</x:v>
      </x:c>
      <x:c r="Q429" t="s">
        <x:v>289</x:v>
      </x:c>
      <x:c r="R429">
        <x:v>1</x:v>
      </x:c>
      <x:c r="S429" t="s">
        <x:v>42</x:v>
      </x:c>
      <x:c r="T429" t="s">
        <x:v>44</x:v>
      </x:c>
      <x:c r="U429" t="s">
        <x:v>44</x:v>
      </x:c>
      <x:c r="V429" t="s">
        <x:v>45</x:v>
      </x:c>
      <x:c r="W429" t="s">
        <x:v>46</x:v>
      </x:c>
      <x:c r="X429">
        <x:v>0</x:v>
      </x:c>
      <x:c r="Y429" t="s">
        <x:v>290</x:v>
      </x:c>
      <x:c r="Z429" t="s">
        <x:v>48</x:v>
      </x:c>
      <x:c r="AA429" t="s">
        <x:v>49</x:v>
      </x:c>
      <x:c r="AB429">
        <x:v>994872106</x:v>
      </x:c>
      <x:c r="AC429" t="s">
        <x:v>1256</x:v>
      </x:c>
    </x:row>
    <x:row r="430">
      <x:c r="A430" s="1">
        <x:v>46248</x:v>
      </x:c>
      <x:c r="B430" t="s">
        <x:v>4054</x:v>
      </x:c>
      <x:c r="C430" t="s">
        <x:v>1718</x:v>
      </x:c>
      <x:c r="D430" t="s">
        <x:v>269</x:v>
      </x:c>
      <x:c r="E430" t="s">
        <x:v>1719</x:v>
      </x:c>
      <x:c r="F430" t="s">
        <x:v>31</x:v>
      </x:c>
      <x:c r="G430" t="s">
        <x:v>1720</x:v>
      </x:c>
      <x:c r="H430" t="s">
        <x:v>1721</x:v>
      </x:c>
      <x:c r="I430" t="s">
        <x:v>1722</x:v>
      </x:c>
      <x:c r="J430" t="s">
        <x:v>2841</x:v>
      </x:c>
      <x:c r="K430" t="s">
        <x:v>210</x:v>
      </x:c>
      <x:c r="L430" t="s">
        <x:v>37</x:v>
      </x:c>
      <x:c r="M430" t="s">
        <x:v>1723</x:v>
      </x:c>
      <x:c r="N430" t="s">
        <x:v>1724</x:v>
      </x:c>
      <x:c r="O430" t="s">
        <x:v>1254</x:v>
      </x:c>
      <x:c r="P430" t="s">
        <x:v>1725</x:v>
      </x:c>
      <x:c r="Q430" t="s">
        <x:v>1257</x:v>
      </x:c>
      <x:c r="R430">
        <x:v>1</x:v>
      </x:c>
      <x:c r="S430" t="s">
        <x:v>42</x:v>
      </x:c>
      <x:c r="T430" t="s">
        <x:v>44</x:v>
      </x:c>
      <x:c r="U430" t="s">
        <x:v>44</x:v>
      </x:c>
      <x:c r="V430" t="s">
        <x:v>45</x:v>
      </x:c>
      <x:c r="W430" t="s">
        <x:v>46</x:v>
      </x:c>
      <x:c r="X430">
        <x:v>139.83000000000001</x:v>
      </x:c>
      <x:c r="Y430" t="s">
        <x:v>290</x:v>
      </x:c>
      <x:c r="Z430" t="s">
        <x:v>48</x:v>
      </x:c>
      <x:c r="AA430" t="s">
        <x:v>49</x:v>
      </x:c>
      <x:c r="AB430">
        <x:v>994872106</x:v>
      </x:c>
      <x:c r="AC430" t="s">
        <x:v>1256</x:v>
      </x:c>
    </x:row>
    <x:row r="431">
      <x:c r="A431" s="1">
        <x:v>46248</x:v>
      </x:c>
      <x:c r="B431" t="s">
        <x:v>4054</x:v>
      </x:c>
      <x:c r="C431" t="s">
        <x:v>1726</x:v>
      </x:c>
      <x:c r="D431" t="s">
        <x:v>269</x:v>
      </x:c>
      <x:c r="E431" t="s">
        <x:v>1727</x:v>
      </x:c>
      <x:c r="F431" t="s">
        <x:v>31</x:v>
      </x:c>
      <x:c r="G431" t="s">
        <x:v>1728</x:v>
      </x:c>
      <x:c r="H431" t="s">
        <x:v>1661</x:v>
      </x:c>
      <x:c r="I431" t="s">
        <x:v>1662</x:v>
      </x:c>
      <x:c r="L431" t="s">
        <x:v>37</x:v>
      </x:c>
      <x:c r="M431" t="s">
        <x:v>1663</x:v>
      </x:c>
      <x:c r="N431" t="s">
        <x:v>1664</x:v>
      </x:c>
      <x:c r="O431" t="s">
        <x:v>800</x:v>
      </x:c>
      <x:c r="P431" t="s">
        <x:v>1729</x:v>
      </x:c>
      <x:c r="Q431" t="s">
        <x:v>289</x:v>
      </x:c>
      <x:c r="R431">
        <x:v>1</x:v>
      </x:c>
      <x:c r="S431" t="s">
        <x:v>42</x:v>
      </x:c>
      <x:c r="T431" t="s">
        <x:v>44</x:v>
      </x:c>
      <x:c r="U431" t="s">
        <x:v>44</x:v>
      </x:c>
      <x:c r="V431" t="s">
        <x:v>45</x:v>
      </x:c>
      <x:c r="W431" t="s">
        <x:v>46</x:v>
      </x:c>
      <x:c r="X431">
        <x:v>0</x:v>
      </x:c>
      <x:c r="Y431" t="s">
        <x:v>290</x:v>
      </x:c>
      <x:c r="Z431" t="s">
        <x:v>48</x:v>
      </x:c>
      <x:c r="AA431" t="s">
        <x:v>49</x:v>
      </x:c>
    </x:row>
    <x:row r="432">
      <x:c r="A432" s="1">
        <x:v>46248</x:v>
      </x:c>
      <x:c r="B432" t="s">
        <x:v>4054</x:v>
      </x:c>
      <x:c r="C432" t="s">
        <x:v>1726</x:v>
      </x:c>
      <x:c r="D432" t="s">
        <x:v>269</x:v>
      </x:c>
      <x:c r="E432" t="s">
        <x:v>1727</x:v>
      </x:c>
      <x:c r="F432" t="s">
        <x:v>31</x:v>
      </x:c>
      <x:c r="G432" t="s">
        <x:v>1728</x:v>
      </x:c>
      <x:c r="H432" t="s">
        <x:v>1661</x:v>
      </x:c>
      <x:c r="I432" t="s">
        <x:v>1662</x:v>
      </x:c>
      <x:c r="L432" t="s">
        <x:v>37</x:v>
      </x:c>
      <x:c r="M432" t="s">
        <x:v>1663</x:v>
      </x:c>
      <x:c r="N432" t="s">
        <x:v>1664</x:v>
      </x:c>
      <x:c r="O432" t="s">
        <x:v>800</x:v>
      </x:c>
      <x:c r="P432" t="s">
        <x:v>1729</x:v>
      </x:c>
      <x:c r="Q432" t="s">
        <x:v>291</x:v>
      </x:c>
      <x:c r="R432">
        <x:v>1</x:v>
      </x:c>
      <x:c r="S432" t="s">
        <x:v>42</x:v>
      </x:c>
      <x:c r="T432" t="s">
        <x:v>44</x:v>
      </x:c>
      <x:c r="U432" t="s">
        <x:v>44</x:v>
      </x:c>
      <x:c r="V432" t="s">
        <x:v>45</x:v>
      </x:c>
      <x:c r="W432" t="s">
        <x:v>46</x:v>
      </x:c>
      <x:c r="X432">
        <x:v>1525.42</x:v>
      </x:c>
      <x:c r="Y432" t="s">
        <x:v>290</x:v>
      </x:c>
      <x:c r="Z432" t="s">
        <x:v>48</x:v>
      </x:c>
      <x:c r="AA432" t="s">
        <x:v>49</x:v>
      </x:c>
    </x:row>
    <x:row r="433">
      <x:c r="A433" s="1">
        <x:v>46248</x:v>
      </x:c>
      <x:c r="B433" t="s">
        <x:v>4054</x:v>
      </x:c>
      <x:c r="C433" t="s">
        <x:v>1730</x:v>
      </x:c>
      <x:c r="D433" t="s">
        <x:v>29</x:v>
      </x:c>
      <x:c r="E433" t="s">
        <x:v>1731</x:v>
      </x:c>
      <x:c r="F433" t="s">
        <x:v>31</x:v>
      </x:c>
      <x:c r="G433" t="s">
        <x:v>1732</x:v>
      </x:c>
      <x:c r="H433" t="s">
        <x:v>1733</x:v>
      </x:c>
      <x:c r="I433" t="s">
        <x:v>1734</x:v>
      </x:c>
      <x:c r="J433" t="s">
        <x:v>764</x:v>
      </x:c>
      <x:c r="K433" t="s">
        <x:v>210</x:v>
      </x:c>
      <x:c r="L433" t="s">
        <x:v>37</x:v>
      </x:c>
      <x:c r="M433" t="s">
        <x:v>1735</x:v>
      </x:c>
      <x:c r="N433" t="s">
        <x:v>1736</x:v>
      </x:c>
      <x:c r="O433" t="s">
        <x:v>1733</x:v>
      </x:c>
      <x:c r="P433" t="s">
        <x:v>1737</x:v>
      </x:c>
      <x:c r="Q433" t="s">
        <x:v>1159</x:v>
      </x:c>
      <x:c r="R433">
        <x:v>1</x:v>
      </x:c>
      <x:c r="S433" t="s">
        <x:v>42</x:v>
      </x:c>
      <x:c r="T433" t="s">
        <x:v>44</x:v>
      </x:c>
      <x:c r="U433" t="s">
        <x:v>44</x:v>
      </x:c>
      <x:c r="V433" t="s">
        <x:v>45</x:v>
      </x:c>
      <x:c r="W433" t="s">
        <x:v>46</x:v>
      </x:c>
      <x:c r="X433">
        <x:v>338.98</x:v>
      </x:c>
      <x:c r="Y433" t="s">
        <x:v>47</x:v>
      </x:c>
      <x:c r="Z433" t="s">
        <x:v>48</x:v>
      </x:c>
      <x:c r="AA433" t="s">
        <x:v>49</x:v>
      </x:c>
      <x:c r="AB433">
        <x:v>969791876</x:v>
      </x:c>
      <x:c r="AC433" t="s">
        <x:v>770</x:v>
      </x:c>
      <x:c r="AD433">
        <x:v>100</x:v>
      </x:c>
    </x:row>
    <x:row r="434">
      <x:c r="A434" s="1">
        <x:v>46249</x:v>
      </x:c>
      <x:c r="B434" t="s">
        <x:v>4054</x:v>
      </x:c>
      <x:c r="C434" t="s">
        <x:v>1738</x:v>
      </x:c>
      <x:c r="D434" t="s">
        <x:v>29</x:v>
      </x:c>
      <x:c r="E434" t="s">
        <x:v>1739</x:v>
      </x:c>
      <x:c r="F434" t="s">
        <x:v>31</x:v>
      </x:c>
      <x:c r="G434" t="s">
        <x:v>1740</x:v>
      </x:c>
      <x:c r="H434" t="s">
        <x:v>1741</x:v>
      </x:c>
      <x:c r="I434" t="s">
        <x:v>1742</x:v>
      </x:c>
      <x:c r="J434" t="s">
        <x:v>412</x:v>
      </x:c>
      <x:c r="K434" t="s">
        <x:v>413</x:v>
      </x:c>
      <x:c r="L434" t="s">
        <x:v>37</x:v>
      </x:c>
      <x:c r="M434" t="s">
        <x:v>1743</x:v>
      </x:c>
      <x:c r="N434" t="s">
        <x:v>1744</x:v>
      </x:c>
      <x:c r="O434" t="s">
        <x:v>1741</x:v>
      </x:c>
      <x:c r="P434" t="s">
        <x:v>1745</x:v>
      </x:c>
      <x:c r="Q434" t="s">
        <x:v>203</x:v>
      </x:c>
      <x:c r="R434">
        <x:v>1</x:v>
      </x:c>
      <x:c r="S434" t="s">
        <x:v>42</x:v>
      </x:c>
      <x:c r="T434" t="s">
        <x:v>44</x:v>
      </x:c>
      <x:c r="U434" t="s">
        <x:v>44</x:v>
      </x:c>
      <x:c r="V434" t="s">
        <x:v>45</x:v>
      </x:c>
      <x:c r="W434" t="s">
        <x:v>60</x:v>
      </x:c>
      <x:c r="X434">
        <x:v>135.59</x:v>
      </x:c>
      <x:c r="Y434" t="s">
        <x:v>47</x:v>
      </x:c>
      <x:c r="Z434" t="s">
        <x:v>48</x:v>
      </x:c>
      <x:c r="AA434" t="s">
        <x:v>49</x:v>
      </x:c>
      <x:c r="AB434">
        <x:v>982673362</x:v>
      </x:c>
      <x:c r="AC434" t="s">
        <x:v>417</x:v>
      </x:c>
      <x:c r="AD434">
        <x:v>30</x:v>
      </x:c>
    </x:row>
    <x:row r="435">
      <x:c r="A435" s="1">
        <x:v>46249</x:v>
      </x:c>
      <x:c r="B435" t="s">
        <x:v>4054</x:v>
      </x:c>
      <x:c r="C435" t="s">
        <x:v>1746</x:v>
      </x:c>
      <x:c r="D435" t="s">
        <x:v>29</x:v>
      </x:c>
      <x:c r="E435" t="s">
        <x:v>1747</x:v>
      </x:c>
      <x:c r="F435" t="s">
        <x:v>31</x:v>
      </x:c>
      <x:c r="G435" t="s">
        <x:v>1748</x:v>
      </x:c>
      <x:c r="H435" t="s">
        <x:v>1749</x:v>
      </x:c>
      <x:c r="I435" t="s">
        <x:v>1750</x:v>
      </x:c>
      <x:c r="J435" t="s">
        <x:v>1315</x:v>
      </x:c>
      <x:c r="K435" t="s">
        <x:v>36</x:v>
      </x:c>
      <x:c r="L435" t="s">
        <x:v>37</x:v>
      </x:c>
      <x:c r="M435" t="s">
        <x:v>1751</x:v>
      </x:c>
      <x:c r="N435" t="s">
        <x:v>1752</x:v>
      </x:c>
      <x:c r="O435" t="s">
        <x:v>1749</x:v>
      </x:c>
      <x:c r="P435" t="s">
        <x:v>1753</x:v>
      </x:c>
      <x:c r="Q435" t="s">
        <x:v>202</x:v>
      </x:c>
      <x:c r="R435">
        <x:v>1</x:v>
      </x:c>
      <x:c r="S435" t="s">
        <x:v>42</x:v>
      </x:c>
      <x:c r="T435" t="s">
        <x:v>44</x:v>
      </x:c>
      <x:c r="U435" t="s">
        <x:v>44</x:v>
      </x:c>
      <x:c r="V435" t="s">
        <x:v>45</x:v>
      </x:c>
      <x:c r="W435" t="s">
        <x:v>46</x:v>
      </x:c>
      <x:c r="X435">
        <x:v>152.54</x:v>
      </x:c>
      <x:c r="Y435" t="s">
        <x:v>47</x:v>
      </x:c>
      <x:c r="Z435" t="s">
        <x:v>48</x:v>
      </x:c>
      <x:c r="AA435" t="s">
        <x:v>49</x:v>
      </x:c>
      <x:c r="AB435">
        <x:v>993496032</x:v>
      </x:c>
      <x:c r="AC435" t="s">
        <x:v>1320</x:v>
      </x:c>
      <x:c r="AD435">
        <x:v>30</x:v>
      </x:c>
    </x:row>
    <x:row r="436">
      <x:c r="A436" s="1">
        <x:v>46249</x:v>
      </x:c>
      <x:c r="B436" t="s">
        <x:v>4054</x:v>
      </x:c>
      <x:c r="C436" t="s">
        <x:v>1754</x:v>
      </x:c>
      <x:c r="D436" t="s">
        <x:v>269</x:v>
      </x:c>
      <x:c r="E436" t="s">
        <x:v>1755</x:v>
      </x:c>
      <x:c r="F436" t="s">
        <x:v>31</x:v>
      </x:c>
      <x:c r="G436" t="s">
        <x:v>1756</x:v>
      </x:c>
      <x:c r="H436" t="s">
        <x:v>1757</x:v>
      </x:c>
      <x:c r="I436" t="s">
        <x:v>1758</x:v>
      </x:c>
      <x:c r="L436" t="s">
        <x:v>37</x:v>
      </x:c>
      <x:c r="M436" t="s">
        <x:v>1759</x:v>
      </x:c>
      <x:c r="N436" t="s">
        <x:v>1760</x:v>
      </x:c>
      <x:c r="O436" t="s">
        <x:v>1761</x:v>
      </x:c>
      <x:c r="P436" t="s">
        <x:v>1762</x:v>
      </x:c>
      <x:c r="Q436" t="s">
        <x:v>482</x:v>
      </x:c>
      <x:c r="R436">
        <x:v>2</x:v>
      </x:c>
      <x:c r="S436" t="s">
        <x:v>42</x:v>
      </x:c>
      <x:c r="T436" t="s">
        <x:v>44</x:v>
      </x:c>
      <x:c r="U436" t="s">
        <x:v>44</x:v>
      </x:c>
      <x:c r="V436" t="s">
        <x:v>45</x:v>
      </x:c>
      <x:c r="W436" t="s">
        <x:v>46</x:v>
      </x:c>
      <x:c r="X436">
        <x:v>203.39</x:v>
      </x:c>
      <x:c r="Y436" t="s">
        <x:v>61</x:v>
      </x:c>
      <x:c r="Z436" t="s">
        <x:v>48</x:v>
      </x:c>
      <x:c r="AA436" t="s">
        <x:v>49</x:v>
      </x:c>
    </x:row>
    <x:row r="437">
      <x:c r="A437" s="1">
        <x:v>46251</x:v>
      </x:c>
      <x:c r="B437" t="s">
        <x:v>4054</x:v>
      </x:c>
      <x:c r="C437" t="s">
        <x:v>1763</x:v>
      </x:c>
      <x:c r="D437" t="s">
        <x:v>29</x:v>
      </x:c>
      <x:c r="E437" t="s">
        <x:v>1764</x:v>
      </x:c>
      <x:c r="F437" t="s">
        <x:v>31</x:v>
      </x:c>
      <x:c r="G437" t="s">
        <x:v>1765</x:v>
      </x:c>
      <x:c r="H437" t="s">
        <x:v>1766</x:v>
      </x:c>
      <x:c r="I437" t="s">
        <x:v>1767</x:v>
      </x:c>
      <x:c r="J437" t="s">
        <x:v>1326</x:v>
      </x:c>
      <x:c r="K437" t="s">
        <x:v>36</x:v>
      </x:c>
      <x:c r="L437" t="s">
        <x:v>37</x:v>
      </x:c>
      <x:c r="M437" t="s">
        <x:v>1768</x:v>
      </x:c>
      <x:c r="N437" t="s">
        <x:v>1769</x:v>
      </x:c>
      <x:c r="O437" t="s">
        <x:v>1766</x:v>
      </x:c>
      <x:c r="P437" t="s">
        <x:v>1770</x:v>
      </x:c>
      <x:c r="Q437" t="s">
        <x:v>102</x:v>
      </x:c>
      <x:c r="R437">
        <x:v>1</x:v>
      </x:c>
      <x:c r="S437" t="s">
        <x:v>42</x:v>
      </x:c>
      <x:c r="T437" t="s">
        <x:v>44</x:v>
      </x:c>
      <x:c r="U437" t="s">
        <x:v>44</x:v>
      </x:c>
      <x:c r="V437" t="s">
        <x:v>45</x:v>
      </x:c>
      <x:c r="W437" t="s">
        <x:v>60</x:v>
      </x:c>
      <x:c r="X437">
        <x:v>186.44</x:v>
      </x:c>
      <x:c r="Y437" t="s">
        <x:v>47</x:v>
      </x:c>
      <x:c r="Z437" t="s">
        <x:v>48</x:v>
      </x:c>
      <x:c r="AA437" t="s">
        <x:v>49</x:v>
      </x:c>
      <x:c r="AB437">
        <x:v>999111362</x:v>
      </x:c>
      <x:c r="AC437" t="s">
        <x:v>1330</x:v>
      </x:c>
      <x:c r="AD437">
        <x:v>50</x:v>
      </x:c>
    </x:row>
    <x:row r="438">
      <x:c r="A438" s="1">
        <x:v>46251</x:v>
      </x:c>
      <x:c r="B438" t="s">
        <x:v>4054</x:v>
      </x:c>
      <x:c r="C438" t="s">
        <x:v>1771</x:v>
      </x:c>
      <x:c r="D438" t="s">
        <x:v>29</x:v>
      </x:c>
      <x:c r="E438" t="s">
        <x:v>1772</x:v>
      </x:c>
      <x:c r="F438" t="s">
        <x:v>31</x:v>
      </x:c>
      <x:c r="G438" t="s">
        <x:v>1773</x:v>
      </x:c>
      <x:c r="H438" t="s">
        <x:v>1774</x:v>
      </x:c>
      <x:c r="I438" t="s">
        <x:v>1775</x:v>
      </x:c>
      <x:c r="J438" t="s">
        <x:v>1075</x:v>
      </x:c>
      <x:c r="K438" t="s">
        <x:v>98</x:v>
      </x:c>
      <x:c r="L438" t="s">
        <x:v>37</x:v>
      </x:c>
      <x:c r="M438" t="s">
        <x:v>1776</x:v>
      </x:c>
      <x:c r="N438" t="s">
        <x:v>1777</x:v>
      </x:c>
      <x:c r="O438" t="s">
        <x:v>1774</x:v>
      </x:c>
      <x:c r="P438" t="s">
        <x:v>1778</x:v>
      </x:c>
      <x:c r="Q438" t="s">
        <x:v>41</x:v>
      </x:c>
      <x:c r="R438">
        <x:v>1</x:v>
      </x:c>
      <x:c r="S438" t="s">
        <x:v>70</x:v>
      </x:c>
      <x:c r="T438" t="s">
        <x:v>43</x:v>
      </x:c>
      <x:c r="U438" t="s">
        <x:v>44</x:v>
      </x:c>
      <x:c r="V438" t="s">
        <x:v>71</x:v>
      </x:c>
      <x:c r="W438" t="s">
        <x:v>72</x:v>
      </x:c>
      <x:c r="X438">
        <x:v>186.44</x:v>
      </x:c>
      <x:c r="Y438" t="s">
        <x:v>47</x:v>
      </x:c>
      <x:c r="Z438" t="s">
        <x:v>48</x:v>
      </x:c>
      <x:c r="AA438" t="s">
        <x:v>73</x:v>
      </x:c>
      <x:c r="AB438">
        <x:v>999986041</x:v>
      </x:c>
      <x:c r="AC438" t="s">
        <x:v>1079</x:v>
      </x:c>
      <x:c r="AD438">
        <x:v>50</x:v>
      </x:c>
    </x:row>
    <x:row r="439">
      <x:c r="A439" s="1">
        <x:v>46251</x:v>
      </x:c>
      <x:c r="B439" t="s">
        <x:v>4054</x:v>
      </x:c>
      <x:c r="C439" t="s">
        <x:v>1779</x:v>
      </x:c>
      <x:c r="D439" t="s">
        <x:v>29</x:v>
      </x:c>
      <x:c r="E439" t="s">
        <x:v>1780</x:v>
      </x:c>
      <x:c r="F439" t="s">
        <x:v>31</x:v>
      </x:c>
      <x:c r="G439" t="s">
        <x:v>1781</x:v>
      </x:c>
      <x:c r="H439" t="s">
        <x:v>1782</x:v>
      </x:c>
      <x:c r="I439" t="s">
        <x:v>1783</x:v>
      </x:c>
      <x:c r="J439" t="s">
        <x:v>1444</x:v>
      </x:c>
      <x:c r="K439" t="s">
        <x:v>1100</x:v>
      </x:c>
      <x:c r="L439" t="s">
        <x:v>37</x:v>
      </x:c>
      <x:c r="M439" t="s">
        <x:v>1784</x:v>
      </x:c>
      <x:c r="N439" t="s">
        <x:v>1785</x:v>
      </x:c>
      <x:c r="O439" t="s">
        <x:v>1782</x:v>
      </x:c>
      <x:c r="P439" t="s">
        <x:v>1786</x:v>
      </x:c>
      <x:c r="Q439" t="s">
        <x:v>160</x:v>
      </x:c>
      <x:c r="R439">
        <x:v>1</x:v>
      </x:c>
      <x:c r="S439" t="s">
        <x:v>42</x:v>
      </x:c>
      <x:c r="T439" t="s">
        <x:v>44</x:v>
      </x:c>
      <x:c r="U439" t="s">
        <x:v>44</x:v>
      </x:c>
      <x:c r="V439" t="s">
        <x:v>45</x:v>
      </x:c>
      <x:c r="W439" t="s">
        <x:v>60</x:v>
      </x:c>
      <x:c r="X439">
        <x:v>135.59</x:v>
      </x:c>
      <x:c r="Y439" t="s">
        <x:v>47</x:v>
      </x:c>
      <x:c r="Z439" t="s">
        <x:v>48</x:v>
      </x:c>
      <x:c r="AA439" t="s">
        <x:v>49</x:v>
      </x:c>
      <x:c r="AB439">
        <x:v>999418834</x:v>
      </x:c>
      <x:c r="AC439" t="s">
        <x:v>1446</x:v>
      </x:c>
      <x:c r="AD439">
        <x:v>30</x:v>
      </x:c>
    </x:row>
    <x:row r="440">
      <x:c r="A440" s="1">
        <x:v>46251</x:v>
      </x:c>
      <x:c r="B440" t="s">
        <x:v>4054</x:v>
      </x:c>
      <x:c r="C440" t="s">
        <x:v>1787</x:v>
      </x:c>
      <x:c r="D440" t="s">
        <x:v>269</x:v>
      </x:c>
      <x:c r="E440" t="s">
        <x:v>1788</x:v>
      </x:c>
      <x:c r="F440" t="s">
        <x:v>31</x:v>
      </x:c>
      <x:c r="G440" t="s">
        <x:v>1789</x:v>
      </x:c>
      <x:c r="H440" t="s">
        <x:v>1790</x:v>
      </x:c>
      <x:c r="I440" t="s">
        <x:v>1791</x:v>
      </x:c>
      <x:c r="J440" t="s">
        <x:v>478</x:v>
      </x:c>
      <x:c r="K440" t="s">
        <x:v>210</x:v>
      </x:c>
      <x:c r="L440" t="s">
        <x:v>37</x:v>
      </x:c>
      <x:c r="M440" t="s">
        <x:v>1792</x:v>
      </x:c>
      <x:c r="N440" t="s">
        <x:v>1793</x:v>
      </x:c>
      <x:c r="O440" t="s">
        <x:v>487</x:v>
      </x:c>
      <x:c r="P440" t="s">
        <x:v>1794</x:v>
      </x:c>
      <x:c r="Q440" t="s">
        <x:v>482</x:v>
      </x:c>
      <x:c r="R440">
        <x:v>1</x:v>
      </x:c>
      <x:c r="S440" t="s">
        <x:v>42</x:v>
      </x:c>
      <x:c r="T440" t="s">
        <x:v>44</x:v>
      </x:c>
      <x:c r="U440" t="s">
        <x:v>44</x:v>
      </x:c>
      <x:c r="V440" t="s">
        <x:v>45</x:v>
      </x:c>
      <x:c r="W440" t="s">
        <x:v>46</x:v>
      </x:c>
      <x:c r="X440">
        <x:v>101.69</x:v>
      </x:c>
      <x:c r="Y440" t="s">
        <x:v>61</x:v>
      </x:c>
      <x:c r="Z440" t="s">
        <x:v>48</x:v>
      </x:c>
      <x:c r="AA440" t="s">
        <x:v>49</x:v>
      </x:c>
      <x:c r="AB440">
        <x:v>982536223</x:v>
      </x:c>
      <x:c r="AC440" t="s">
        <x:v>483</x:v>
      </x:c>
    </x:row>
    <x:row r="441">
      <x:c r="A441" s="1">
        <x:v>46252</x:v>
      </x:c>
      <x:c r="B441" t="s">
        <x:v>4054</x:v>
      </x:c>
      <x:c r="C441" t="s">
        <x:v>1795</x:v>
      </x:c>
      <x:c r="D441" t="s">
        <x:v>29</x:v>
      </x:c>
      <x:c r="E441" t="s">
        <x:v>1796</x:v>
      </x:c>
      <x:c r="F441" t="s">
        <x:v>31</x:v>
      </x:c>
      <x:c r="G441" t="s">
        <x:v>1797</x:v>
      </x:c>
      <x:c r="H441" t="s">
        <x:v>1798</x:v>
      </x:c>
      <x:c r="I441" t="s">
        <x:v>1799</x:v>
      </x:c>
      <x:c r="J441" t="s">
        <x:v>1234</x:v>
      </x:c>
      <x:c r="K441" t="s">
        <x:v>210</x:v>
      </x:c>
      <x:c r="L441" t="s">
        <x:v>37</x:v>
      </x:c>
      <x:c r="M441" t="s">
        <x:v>1800</x:v>
      </x:c>
      <x:c r="N441" t="s">
        <x:v>610</x:v>
      </x:c>
      <x:c r="O441" t="s">
        <x:v>1798</x:v>
      </x:c>
      <x:c r="P441" t="s">
        <x:v>1801</x:v>
      </x:c>
      <x:c r="Q441" t="s">
        <x:v>202</x:v>
      </x:c>
      <x:c r="R441">
        <x:v>1</x:v>
      </x:c>
      <x:c r="S441" t="s">
        <x:v>42</x:v>
      </x:c>
      <x:c r="T441" t="s">
        <x:v>44</x:v>
      </x:c>
      <x:c r="U441" t="s">
        <x:v>44</x:v>
      </x:c>
      <x:c r="V441" t="s">
        <x:v>45</x:v>
      </x:c>
      <x:c r="W441" t="s">
        <x:v>60</x:v>
      </x:c>
      <x:c r="X441">
        <x:v>42.37</x:v>
      </x:c>
      <x:c r="Y441" t="s">
        <x:v>47</x:v>
      </x:c>
      <x:c r="Z441" t="s">
        <x:v>48</x:v>
      </x:c>
      <x:c r="AA441" t="s">
        <x:v>49</x:v>
      </x:c>
      <x:c r="AC441" t="s">
        <x:v>1238</x:v>
      </x:c>
      <x:c r="AD441">
        <x:v>30</x:v>
      </x:c>
    </x:row>
    <x:row r="442">
      <x:c r="A442" s="1">
        <x:v>46252</x:v>
      </x:c>
      <x:c r="B442" t="s">
        <x:v>4054</x:v>
      </x:c>
      <x:c r="C442" t="s">
        <x:v>1795</x:v>
      </x:c>
      <x:c r="D442" t="s">
        <x:v>29</x:v>
      </x:c>
      <x:c r="E442" t="s">
        <x:v>1796</x:v>
      </x:c>
      <x:c r="F442" t="s">
        <x:v>31</x:v>
      </x:c>
      <x:c r="G442" t="s">
        <x:v>1797</x:v>
      </x:c>
      <x:c r="H442" t="s">
        <x:v>1798</x:v>
      </x:c>
      <x:c r="I442" t="s">
        <x:v>1799</x:v>
      </x:c>
      <x:c r="J442" t="s">
        <x:v>1234</x:v>
      </x:c>
      <x:c r="K442" t="s">
        <x:v>210</x:v>
      </x:c>
      <x:c r="L442" t="s">
        <x:v>37</x:v>
      </x:c>
      <x:c r="M442" t="s">
        <x:v>1800</x:v>
      </x:c>
      <x:c r="N442" t="s">
        <x:v>610</x:v>
      </x:c>
      <x:c r="O442" t="s">
        <x:v>1798</x:v>
      </x:c>
      <x:c r="P442" t="s">
        <x:v>1801</x:v>
      </x:c>
      <x:c r="Q442" t="s">
        <x:v>203</x:v>
      </x:c>
      <x:c r="R442">
        <x:v>1</x:v>
      </x:c>
      <x:c r="S442" t="s">
        <x:v>42</x:v>
      </x:c>
      <x:c r="T442" t="s">
        <x:v>44</x:v>
      </x:c>
      <x:c r="U442" t="s">
        <x:v>44</x:v>
      </x:c>
      <x:c r="V442" t="s">
        <x:v>45</x:v>
      </x:c>
      <x:c r="W442" t="s">
        <x:v>60</x:v>
      </x:c>
      <x:c r="X442">
        <x:v>42.37</x:v>
      </x:c>
      <x:c r="Y442" t="s">
        <x:v>47</x:v>
      </x:c>
      <x:c r="Z442" t="s">
        <x:v>48</x:v>
      </x:c>
      <x:c r="AA442" t="s">
        <x:v>49</x:v>
      </x:c>
      <x:c r="AC442" t="s">
        <x:v>1238</x:v>
      </x:c>
      <x:c r="AD442">
        <x:v>30</x:v>
      </x:c>
    </x:row>
    <x:row r="443">
      <x:c r="A443" s="1">
        <x:v>46252</x:v>
      </x:c>
      <x:c r="B443" t="s">
        <x:v>4054</x:v>
      </x:c>
      <x:c r="C443" t="s">
        <x:v>1802</x:v>
      </x:c>
      <x:c r="D443" t="s">
        <x:v>29</x:v>
      </x:c>
      <x:c r="E443" t="s">
        <x:v>1803</x:v>
      </x:c>
      <x:c r="F443" t="s">
        <x:v>31</x:v>
      </x:c>
      <x:c r="G443" t="s">
        <x:v>1804</x:v>
      </x:c>
      <x:c r="H443" t="s">
        <x:v>1805</x:v>
      </x:c>
      <x:c r="I443" t="s">
        <x:v>1806</x:v>
      </x:c>
      <x:c r="J443" t="s">
        <x:v>776</x:v>
      </x:c>
      <x:c r="K443" t="s">
        <x:v>777</x:v>
      </x:c>
      <x:c r="L443" t="s">
        <x:v>37</x:v>
      </x:c>
      <x:c r="M443" t="s">
        <x:v>1807</x:v>
      </x:c>
      <x:c r="N443" t="s">
        <x:v>1808</x:v>
      </x:c>
      <x:c r="O443" t="s">
        <x:v>1805</x:v>
      </x:c>
      <x:c r="P443" t="s">
        <x:v>1809</x:v>
      </x:c>
      <x:c r="Q443" t="s">
        <x:v>620</x:v>
      </x:c>
      <x:c r="R443">
        <x:v>1</x:v>
      </x:c>
      <x:c r="S443" t="s">
        <x:v>42</x:v>
      </x:c>
      <x:c r="T443" t="s">
        <x:v>44</x:v>
      </x:c>
      <x:c r="U443" t="s">
        <x:v>44</x:v>
      </x:c>
      <x:c r="V443" t="s">
        <x:v>45</x:v>
      </x:c>
      <x:c r="W443" t="s">
        <x:v>60</x:v>
      </x:c>
      <x:c r="X443">
        <x:v>12.71</x:v>
      </x:c>
      <x:c r="Y443" t="s">
        <x:v>621</x:v>
      </x:c>
      <x:c r="Z443" t="s">
        <x:v>48</x:v>
      </x:c>
      <x:c r="AA443" t="s">
        <x:v>49</x:v>
      </x:c>
    </x:row>
    <x:row r="444">
      <x:c r="A444" s="1">
        <x:v>46252</x:v>
      </x:c>
      <x:c r="B444" t="s">
        <x:v>4054</x:v>
      </x:c>
      <x:c r="C444" t="s">
        <x:v>1802</x:v>
      </x:c>
      <x:c r="D444" t="s">
        <x:v>29</x:v>
      </x:c>
      <x:c r="E444" t="s">
        <x:v>1803</x:v>
      </x:c>
      <x:c r="F444" t="s">
        <x:v>31</x:v>
      </x:c>
      <x:c r="G444" t="s">
        <x:v>1804</x:v>
      </x:c>
      <x:c r="H444" t="s">
        <x:v>1805</x:v>
      </x:c>
      <x:c r="I444" t="s">
        <x:v>1806</x:v>
      </x:c>
      <x:c r="J444" t="s">
        <x:v>776</x:v>
      </x:c>
      <x:c r="K444" t="s">
        <x:v>777</x:v>
      </x:c>
      <x:c r="L444" t="s">
        <x:v>37</x:v>
      </x:c>
      <x:c r="M444" t="s">
        <x:v>1807</x:v>
      </x:c>
      <x:c r="N444" t="s">
        <x:v>1808</x:v>
      </x:c>
      <x:c r="O444" t="s">
        <x:v>1805</x:v>
      </x:c>
      <x:c r="P444" t="s">
        <x:v>1809</x:v>
      </x:c>
      <x:c r="Q444" t="s">
        <x:v>622</x:v>
      </x:c>
      <x:c r="R444">
        <x:v>1</x:v>
      </x:c>
      <x:c r="S444" t="s">
        <x:v>42</x:v>
      </x:c>
      <x:c r="T444" t="s">
        <x:v>44</x:v>
      </x:c>
      <x:c r="U444" t="s">
        <x:v>44</x:v>
      </x:c>
      <x:c r="V444" t="s">
        <x:v>45</x:v>
      </x:c>
      <x:c r="W444" t="s">
        <x:v>60</x:v>
      </x:c>
      <x:c r="X444">
        <x:v>21.19</x:v>
      </x:c>
      <x:c r="Y444" t="s">
        <x:v>621</x:v>
      </x:c>
      <x:c r="Z444" t="s">
        <x:v>48</x:v>
      </x:c>
      <x:c r="AA444" t="s">
        <x:v>49</x:v>
      </x:c>
    </x:row>
    <x:row r="445">
      <x:c r="A445" s="1">
        <x:v>46252</x:v>
      </x:c>
      <x:c r="B445" t="s">
        <x:v>4054</x:v>
      </x:c>
      <x:c r="C445" t="s">
        <x:v>1802</x:v>
      </x:c>
      <x:c r="D445" t="s">
        <x:v>29</x:v>
      </x:c>
      <x:c r="E445" t="s">
        <x:v>1803</x:v>
      </x:c>
      <x:c r="F445" t="s">
        <x:v>31</x:v>
      </x:c>
      <x:c r="G445" t="s">
        <x:v>1804</x:v>
      </x:c>
      <x:c r="H445" t="s">
        <x:v>1805</x:v>
      </x:c>
      <x:c r="I445" t="s">
        <x:v>1806</x:v>
      </x:c>
      <x:c r="J445" t="s">
        <x:v>776</x:v>
      </x:c>
      <x:c r="K445" t="s">
        <x:v>777</x:v>
      </x:c>
      <x:c r="L445" t="s">
        <x:v>37</x:v>
      </x:c>
      <x:c r="M445" t="s">
        <x:v>1807</x:v>
      </x:c>
      <x:c r="N445" t="s">
        <x:v>1808</x:v>
      </x:c>
      <x:c r="O445" t="s">
        <x:v>1805</x:v>
      </x:c>
      <x:c r="P445" t="s">
        <x:v>1809</x:v>
      </x:c>
      <x:c r="Q445" t="s">
        <x:v>623</x:v>
      </x:c>
      <x:c r="R445">
        <x:v>1</x:v>
      </x:c>
      <x:c r="S445" t="s">
        <x:v>42</x:v>
      </x:c>
      <x:c r="T445" t="s">
        <x:v>44</x:v>
      </x:c>
      <x:c r="U445" t="s">
        <x:v>44</x:v>
      </x:c>
      <x:c r="V445" t="s">
        <x:v>45</x:v>
      </x:c>
      <x:c r="W445" t="s">
        <x:v>60</x:v>
      </x:c>
      <x:c r="X445">
        <x:v>12.71</x:v>
      </x:c>
      <x:c r="Y445" t="s">
        <x:v>621</x:v>
      </x:c>
      <x:c r="Z445" t="s">
        <x:v>48</x:v>
      </x:c>
      <x:c r="AA445" t="s">
        <x:v>49</x:v>
      </x:c>
    </x:row>
    <x:row r="446">
      <x:c r="A446" s="1">
        <x:v>46252</x:v>
      </x:c>
      <x:c r="B446" t="s">
        <x:v>4054</x:v>
      </x:c>
      <x:c r="C446" t="s">
        <x:v>1802</x:v>
      </x:c>
      <x:c r="D446" t="s">
        <x:v>29</x:v>
      </x:c>
      <x:c r="E446" t="s">
        <x:v>1803</x:v>
      </x:c>
      <x:c r="F446" t="s">
        <x:v>31</x:v>
      </x:c>
      <x:c r="G446" t="s">
        <x:v>1804</x:v>
      </x:c>
      <x:c r="H446" t="s">
        <x:v>1805</x:v>
      </x:c>
      <x:c r="I446" t="s">
        <x:v>1806</x:v>
      </x:c>
      <x:c r="J446" t="s">
        <x:v>776</x:v>
      </x:c>
      <x:c r="K446" t="s">
        <x:v>777</x:v>
      </x:c>
      <x:c r="L446" t="s">
        <x:v>37</x:v>
      </x:c>
      <x:c r="M446" t="s">
        <x:v>1807</x:v>
      </x:c>
      <x:c r="N446" t="s">
        <x:v>1808</x:v>
      </x:c>
      <x:c r="O446" t="s">
        <x:v>1805</x:v>
      </x:c>
      <x:c r="P446" t="s">
        <x:v>1809</x:v>
      </x:c>
      <x:c r="Q446" t="s">
        <x:v>624</x:v>
      </x:c>
      <x:c r="R446">
        <x:v>1</x:v>
      </x:c>
      <x:c r="S446" t="s">
        <x:v>42</x:v>
      </x:c>
      <x:c r="T446" t="s">
        <x:v>44</x:v>
      </x:c>
      <x:c r="U446" t="s">
        <x:v>44</x:v>
      </x:c>
      <x:c r="V446" t="s">
        <x:v>45</x:v>
      </x:c>
      <x:c r="W446" t="s">
        <x:v>60</x:v>
      </x:c>
      <x:c r="X446">
        <x:v>12.71</x:v>
      </x:c>
      <x:c r="Y446" t="s">
        <x:v>621</x:v>
      </x:c>
      <x:c r="Z446" t="s">
        <x:v>48</x:v>
      </x:c>
      <x:c r="AA446" t="s">
        <x:v>49</x:v>
      </x:c>
    </x:row>
    <x:row r="447">
      <x:c r="A447" s="1">
        <x:v>46252</x:v>
      </x:c>
      <x:c r="B447" t="s">
        <x:v>4054</x:v>
      </x:c>
      <x:c r="C447" t="s">
        <x:v>1802</x:v>
      </x:c>
      <x:c r="D447" t="s">
        <x:v>29</x:v>
      </x:c>
      <x:c r="E447" t="s">
        <x:v>1803</x:v>
      </x:c>
      <x:c r="F447" t="s">
        <x:v>31</x:v>
      </x:c>
      <x:c r="G447" t="s">
        <x:v>1804</x:v>
      </x:c>
      <x:c r="H447" t="s">
        <x:v>1805</x:v>
      </x:c>
      <x:c r="I447" t="s">
        <x:v>1806</x:v>
      </x:c>
      <x:c r="J447" t="s">
        <x:v>776</x:v>
      </x:c>
      <x:c r="K447" t="s">
        <x:v>777</x:v>
      </x:c>
      <x:c r="L447" t="s">
        <x:v>37</x:v>
      </x:c>
      <x:c r="M447" t="s">
        <x:v>1807</x:v>
      </x:c>
      <x:c r="N447" t="s">
        <x:v>1808</x:v>
      </x:c>
      <x:c r="O447" t="s">
        <x:v>1805</x:v>
      </x:c>
      <x:c r="P447" t="s">
        <x:v>1809</x:v>
      </x:c>
      <x:c r="Q447" t="s">
        <x:v>835</x:v>
      </x:c>
      <x:c r="R447">
        <x:v>1</x:v>
      </x:c>
      <x:c r="S447" t="s">
        <x:v>42</x:v>
      </x:c>
      <x:c r="T447" t="s">
        <x:v>44</x:v>
      </x:c>
      <x:c r="U447" t="s">
        <x:v>44</x:v>
      </x:c>
      <x:c r="V447" t="s">
        <x:v>45</x:v>
      </x:c>
      <x:c r="W447" t="s">
        <x:v>60</x:v>
      </x:c>
      <x:c r="X447">
        <x:v>50.85</x:v>
      </x:c>
      <x:c r="Y447" t="s">
        <x:v>621</x:v>
      </x:c>
      <x:c r="Z447" t="s">
        <x:v>48</x:v>
      </x:c>
      <x:c r="AA447" t="s">
        <x:v>49</x:v>
      </x:c>
    </x:row>
    <x:row r="448">
      <x:c r="A448" s="1">
        <x:v>46252</x:v>
      </x:c>
      <x:c r="B448" t="s">
        <x:v>4054</x:v>
      </x:c>
      <x:c r="C448" t="s">
        <x:v>1810</x:v>
      </x:c>
      <x:c r="D448" t="s">
        <x:v>29</x:v>
      </x:c>
      <x:c r="E448" t="s">
        <x:v>1811</x:v>
      </x:c>
      <x:c r="F448" t="s">
        <x:v>31</x:v>
      </x:c>
      <x:c r="G448" t="s">
        <x:v>1812</x:v>
      </x:c>
      <x:c r="H448" t="s">
        <x:v>1805</x:v>
      </x:c>
      <x:c r="I448" t="s">
        <x:v>1806</x:v>
      </x:c>
      <x:c r="J448" t="s">
        <x:v>1234</x:v>
      </x:c>
      <x:c r="K448" t="s">
        <x:v>210</x:v>
      </x:c>
      <x:c r="L448" t="s">
        <x:v>37</x:v>
      </x:c>
      <x:c r="M448" t="s">
        <x:v>1807</x:v>
      </x:c>
      <x:c r="N448" t="s">
        <x:v>1808</x:v>
      </x:c>
      <x:c r="O448" t="s">
        <x:v>1805</x:v>
      </x:c>
      <x:c r="P448" t="s">
        <x:v>1813</x:v>
      </x:c>
      <x:c r="Q448" t="s">
        <x:v>202</x:v>
      </x:c>
      <x:c r="R448">
        <x:v>1</x:v>
      </x:c>
      <x:c r="S448" t="s">
        <x:v>42</x:v>
      </x:c>
      <x:c r="T448" t="s">
        <x:v>44</x:v>
      </x:c>
      <x:c r="U448" t="s">
        <x:v>44</x:v>
      </x:c>
      <x:c r="V448" t="s">
        <x:v>45</x:v>
      </x:c>
      <x:c r="W448" t="s">
        <x:v>60</x:v>
      </x:c>
      <x:c r="X448">
        <x:v>42.37</x:v>
      </x:c>
      <x:c r="Y448" t="s">
        <x:v>47</x:v>
      </x:c>
      <x:c r="Z448" t="s">
        <x:v>48</x:v>
      </x:c>
      <x:c r="AA448" t="s">
        <x:v>49</x:v>
      </x:c>
      <x:c r="AC448" t="s">
        <x:v>1238</x:v>
      </x:c>
      <x:c r="AD448">
        <x:v>30</x:v>
      </x:c>
    </x:row>
    <x:row r="449">
      <x:c r="A449" s="1">
        <x:v>46252</x:v>
      </x:c>
      <x:c r="B449" t="s">
        <x:v>4054</x:v>
      </x:c>
      <x:c r="C449" t="s">
        <x:v>1810</x:v>
      </x:c>
      <x:c r="D449" t="s">
        <x:v>29</x:v>
      </x:c>
      <x:c r="E449" t="s">
        <x:v>1811</x:v>
      </x:c>
      <x:c r="F449" t="s">
        <x:v>31</x:v>
      </x:c>
      <x:c r="G449" t="s">
        <x:v>1812</x:v>
      </x:c>
      <x:c r="H449" t="s">
        <x:v>1805</x:v>
      </x:c>
      <x:c r="I449" t="s">
        <x:v>1806</x:v>
      </x:c>
      <x:c r="J449" t="s">
        <x:v>1234</x:v>
      </x:c>
      <x:c r="K449" t="s">
        <x:v>210</x:v>
      </x:c>
      <x:c r="L449" t="s">
        <x:v>37</x:v>
      </x:c>
      <x:c r="M449" t="s">
        <x:v>1807</x:v>
      </x:c>
      <x:c r="N449" t="s">
        <x:v>1808</x:v>
      </x:c>
      <x:c r="O449" t="s">
        <x:v>1805</x:v>
      </x:c>
      <x:c r="P449" t="s">
        <x:v>1813</x:v>
      </x:c>
      <x:c r="Q449" t="s">
        <x:v>203</x:v>
      </x:c>
      <x:c r="R449">
        <x:v>1</x:v>
      </x:c>
      <x:c r="S449" t="s">
        <x:v>42</x:v>
      </x:c>
      <x:c r="T449" t="s">
        <x:v>44</x:v>
      </x:c>
      <x:c r="U449" t="s">
        <x:v>44</x:v>
      </x:c>
      <x:c r="V449" t="s">
        <x:v>45</x:v>
      </x:c>
      <x:c r="W449" t="s">
        <x:v>60</x:v>
      </x:c>
      <x:c r="X449">
        <x:v>42.37</x:v>
      </x:c>
      <x:c r="Y449" t="s">
        <x:v>47</x:v>
      </x:c>
      <x:c r="Z449" t="s">
        <x:v>48</x:v>
      </x:c>
      <x:c r="AA449" t="s">
        <x:v>49</x:v>
      </x:c>
      <x:c r="AC449" t="s">
        <x:v>1238</x:v>
      </x:c>
      <x:c r="AD449">
        <x:v>30</x:v>
      </x:c>
    </x:row>
    <x:row r="450">
      <x:c r="A450" s="1">
        <x:v>46252</x:v>
      </x:c>
      <x:c r="B450" t="s">
        <x:v>4054</x:v>
      </x:c>
      <x:c r="C450" t="s">
        <x:v>1814</x:v>
      </x:c>
      <x:c r="D450" t="s">
        <x:v>29</x:v>
      </x:c>
      <x:c r="E450" t="s">
        <x:v>1815</x:v>
      </x:c>
      <x:c r="F450" t="s">
        <x:v>31</x:v>
      </x:c>
      <x:c r="G450" t="s">
        <x:v>1816</x:v>
      </x:c>
      <x:c r="H450" t="s">
        <x:v>1817</x:v>
      </x:c>
      <x:c r="I450" t="s">
        <x:v>1818</x:v>
      </x:c>
      <x:c r="J450" t="s">
        <x:v>137</x:v>
      </x:c>
      <x:c r="K450" t="s">
        <x:v>138</x:v>
      </x:c>
      <x:c r="L450" t="s">
        <x:v>37</x:v>
      </x:c>
      <x:c r="M450" t="s">
        <x:v>1819</x:v>
      </x:c>
      <x:c r="N450" t="s">
        <x:v>1820</x:v>
      </x:c>
      <x:c r="O450" t="s">
        <x:v>1817</x:v>
      </x:c>
      <x:c r="P450" t="s">
        <x:v>1821</x:v>
      </x:c>
      <x:c r="Q450" t="s">
        <x:v>102</x:v>
      </x:c>
      <x:c r="R450">
        <x:v>1</x:v>
      </x:c>
      <x:c r="S450" t="s">
        <x:v>42</x:v>
      </x:c>
      <x:c r="T450" t="s">
        <x:v>44</x:v>
      </x:c>
      <x:c r="U450" t="s">
        <x:v>44</x:v>
      </x:c>
      <x:c r="V450" t="s">
        <x:v>45</x:v>
      </x:c>
      <x:c r="W450" t="s">
        <x:v>60</x:v>
      </x:c>
      <x:c r="X450">
        <x:v>186.44</x:v>
      </x:c>
      <x:c r="Y450" t="s">
        <x:v>47</x:v>
      </x:c>
      <x:c r="Z450" t="s">
        <x:v>48</x:v>
      </x:c>
      <x:c r="AA450" t="s">
        <x:v>49</x:v>
      </x:c>
      <x:c r="AB450">
        <x:v>987407712</x:v>
      </x:c>
      <x:c r="AC450" t="s">
        <x:v>142</x:v>
      </x:c>
      <x:c r="AD450">
        <x:v>50</x:v>
      </x:c>
    </x:row>
    <x:row r="451">
      <x:c r="A451" s="1">
        <x:v>46252</x:v>
      </x:c>
      <x:c r="B451" t="s">
        <x:v>4054</x:v>
      </x:c>
      <x:c r="C451" t="s">
        <x:v>1822</x:v>
      </x:c>
      <x:c r="D451" t="s">
        <x:v>29</x:v>
      </x:c>
      <x:c r="E451" t="s">
        <x:v>1823</x:v>
      </x:c>
      <x:c r="F451" t="s">
        <x:v>31</x:v>
      </x:c>
      <x:c r="G451" t="s">
        <x:v>1824</x:v>
      </x:c>
      <x:c r="H451" t="s">
        <x:v>1825</x:v>
      </x:c>
      <x:c r="I451" t="s">
        <x:v>1826</x:v>
      </x:c>
      <x:c r="J451" t="s">
        <x:v>1326</x:v>
      </x:c>
      <x:c r="K451" t="s">
        <x:v>36</x:v>
      </x:c>
      <x:c r="L451" t="s">
        <x:v>37</x:v>
      </x:c>
      <x:c r="M451" t="s">
        <x:v>1827</x:v>
      </x:c>
      <x:c r="N451" t="s">
        <x:v>1828</x:v>
      </x:c>
      <x:c r="O451" t="s">
        <x:v>1825</x:v>
      </x:c>
      <x:c r="P451" t="s">
        <x:v>1829</x:v>
      </x:c>
      <x:c r="Q451" t="s">
        <x:v>203</x:v>
      </x:c>
      <x:c r="R451">
        <x:v>1</x:v>
      </x:c>
      <x:c r="S451" t="s">
        <x:v>42</x:v>
      </x:c>
      <x:c r="T451" t="s">
        <x:v>44</x:v>
      </x:c>
      <x:c r="U451" t="s">
        <x:v>44</x:v>
      </x:c>
      <x:c r="V451" t="s">
        <x:v>45</x:v>
      </x:c>
      <x:c r="W451" t="s">
        <x:v>60</x:v>
      </x:c>
      <x:c r="X451">
        <x:v>42.37</x:v>
      </x:c>
      <x:c r="Y451" t="s">
        <x:v>47</x:v>
      </x:c>
      <x:c r="Z451" t="s">
        <x:v>48</x:v>
      </x:c>
      <x:c r="AA451" t="s">
        <x:v>49</x:v>
      </x:c>
      <x:c r="AB451">
        <x:v>999111362</x:v>
      </x:c>
      <x:c r="AC451" t="s">
        <x:v>1330</x:v>
      </x:c>
      <x:c r="AD451">
        <x:v>30</x:v>
      </x:c>
    </x:row>
    <x:row r="452">
      <x:c r="A452" s="1">
        <x:v>46252</x:v>
      </x:c>
      <x:c r="B452" t="s">
        <x:v>4054</x:v>
      </x:c>
      <x:c r="C452" t="s">
        <x:v>1822</x:v>
      </x:c>
      <x:c r="D452" t="s">
        <x:v>29</x:v>
      </x:c>
      <x:c r="E452" t="s">
        <x:v>1823</x:v>
      </x:c>
      <x:c r="F452" t="s">
        <x:v>31</x:v>
      </x:c>
      <x:c r="G452" t="s">
        <x:v>1824</x:v>
      </x:c>
      <x:c r="H452" t="s">
        <x:v>1825</x:v>
      </x:c>
      <x:c r="I452" t="s">
        <x:v>1826</x:v>
      </x:c>
      <x:c r="J452" t="s">
        <x:v>1326</x:v>
      </x:c>
      <x:c r="K452" t="s">
        <x:v>36</x:v>
      </x:c>
      <x:c r="L452" t="s">
        <x:v>37</x:v>
      </x:c>
      <x:c r="M452" t="s">
        <x:v>1827</x:v>
      </x:c>
      <x:c r="N452" t="s">
        <x:v>1828</x:v>
      </x:c>
      <x:c r="O452" t="s">
        <x:v>1825</x:v>
      </x:c>
      <x:c r="P452" t="s">
        <x:v>1829</x:v>
      </x:c>
      <x:c r="Q452" t="s">
        <x:v>202</x:v>
      </x:c>
      <x:c r="R452">
        <x:v>1</x:v>
      </x:c>
      <x:c r="S452" t="s">
        <x:v>42</x:v>
      </x:c>
      <x:c r="T452" t="s">
        <x:v>44</x:v>
      </x:c>
      <x:c r="U452" t="s">
        <x:v>44</x:v>
      </x:c>
      <x:c r="V452" t="s">
        <x:v>45</x:v>
      </x:c>
      <x:c r="W452" t="s">
        <x:v>60</x:v>
      </x:c>
      <x:c r="X452">
        <x:v>42.37</x:v>
      </x:c>
      <x:c r="Y452" t="s">
        <x:v>47</x:v>
      </x:c>
      <x:c r="Z452" t="s">
        <x:v>48</x:v>
      </x:c>
      <x:c r="AA452" t="s">
        <x:v>49</x:v>
      </x:c>
      <x:c r="AB452">
        <x:v>999111362</x:v>
      </x:c>
      <x:c r="AC452" t="s">
        <x:v>1330</x:v>
      </x:c>
      <x:c r="AD452">
        <x:v>30</x:v>
      </x:c>
    </x:row>
    <x:row r="453">
      <x:c r="A453" s="1">
        <x:v>46252</x:v>
      </x:c>
      <x:c r="B453" t="s">
        <x:v>4054</x:v>
      </x:c>
      <x:c r="C453" t="s">
        <x:v>1830</x:v>
      </x:c>
      <x:c r="D453" t="s">
        <x:v>29</x:v>
      </x:c>
      <x:c r="E453" t="s">
        <x:v>1831</x:v>
      </x:c>
      <x:c r="F453" t="s">
        <x:v>31</x:v>
      </x:c>
      <x:c r="G453" t="s">
        <x:v>1832</x:v>
      </x:c>
      <x:c r="H453" t="s">
        <x:v>1833</x:v>
      </x:c>
      <x:c r="I453" t="s">
        <x:v>1834</x:v>
      </x:c>
      <x:c r="J453" t="s">
        <x:v>776</x:v>
      </x:c>
      <x:c r="K453" t="s">
        <x:v>777</x:v>
      </x:c>
      <x:c r="L453" t="s">
        <x:v>37</x:v>
      </x:c>
      <x:c r="M453" t="s">
        <x:v>1835</x:v>
      </x:c>
      <x:c r="N453" t="s">
        <x:v>1836</x:v>
      </x:c>
      <x:c r="O453" t="s">
        <x:v>1833</x:v>
      </x:c>
      <x:c r="P453" t="s">
        <x:v>1837</x:v>
      </x:c>
      <x:c r="Q453" t="s">
        <x:v>202</x:v>
      </x:c>
      <x:c r="R453">
        <x:v>1</x:v>
      </x:c>
      <x:c r="S453" t="s">
        <x:v>42</x:v>
      </x:c>
      <x:c r="T453" t="s">
        <x:v>44</x:v>
      </x:c>
      <x:c r="U453" t="s">
        <x:v>44</x:v>
      </x:c>
      <x:c r="V453" t="s">
        <x:v>45</x:v>
      </x:c>
      <x:c r="W453" t="s">
        <x:v>60</x:v>
      </x:c>
      <x:c r="X453">
        <x:v>42.37</x:v>
      </x:c>
      <x:c r="Y453" t="s">
        <x:v>47</x:v>
      </x:c>
      <x:c r="Z453" t="s">
        <x:v>48</x:v>
      </x:c>
      <x:c r="AA453" t="s">
        <x:v>49</x:v>
      </x:c>
      <x:c r="AD453">
        <x:v>30</x:v>
      </x:c>
    </x:row>
    <x:row r="454">
      <x:c r="A454" s="1">
        <x:v>46252</x:v>
      </x:c>
      <x:c r="B454" t="s">
        <x:v>4054</x:v>
      </x:c>
      <x:c r="C454" t="s">
        <x:v>1830</x:v>
      </x:c>
      <x:c r="D454" t="s">
        <x:v>29</x:v>
      </x:c>
      <x:c r="E454" t="s">
        <x:v>1831</x:v>
      </x:c>
      <x:c r="F454" t="s">
        <x:v>31</x:v>
      </x:c>
      <x:c r="G454" t="s">
        <x:v>1832</x:v>
      </x:c>
      <x:c r="H454" t="s">
        <x:v>1833</x:v>
      </x:c>
      <x:c r="I454" t="s">
        <x:v>1834</x:v>
      </x:c>
      <x:c r="J454" t="s">
        <x:v>776</x:v>
      </x:c>
      <x:c r="K454" t="s">
        <x:v>777</x:v>
      </x:c>
      <x:c r="L454" t="s">
        <x:v>37</x:v>
      </x:c>
      <x:c r="M454" t="s">
        <x:v>1835</x:v>
      </x:c>
      <x:c r="N454" t="s">
        <x:v>1836</x:v>
      </x:c>
      <x:c r="O454" t="s">
        <x:v>1833</x:v>
      </x:c>
      <x:c r="P454" t="s">
        <x:v>1837</x:v>
      </x:c>
      <x:c r="Q454" t="s">
        <x:v>203</x:v>
      </x:c>
      <x:c r="R454">
        <x:v>1</x:v>
      </x:c>
      <x:c r="S454" t="s">
        <x:v>42</x:v>
      </x:c>
      <x:c r="T454" t="s">
        <x:v>44</x:v>
      </x:c>
      <x:c r="U454" t="s">
        <x:v>44</x:v>
      </x:c>
      <x:c r="V454" t="s">
        <x:v>45</x:v>
      </x:c>
      <x:c r="W454" t="s">
        <x:v>60</x:v>
      </x:c>
      <x:c r="X454">
        <x:v>42.37</x:v>
      </x:c>
      <x:c r="Y454" t="s">
        <x:v>47</x:v>
      </x:c>
      <x:c r="Z454" t="s">
        <x:v>48</x:v>
      </x:c>
      <x:c r="AA454" t="s">
        <x:v>49</x:v>
      </x:c>
      <x:c r="AD454">
        <x:v>30</x:v>
      </x:c>
    </x:row>
    <x:row r="455">
      <x:c r="A455" s="1">
        <x:v>46252</x:v>
      </x:c>
      <x:c r="B455" t="s">
        <x:v>4054</x:v>
      </x:c>
      <x:c r="C455" t="s">
        <x:v>1838</x:v>
      </x:c>
      <x:c r="D455" t="s">
        <x:v>29</x:v>
      </x:c>
      <x:c r="E455" t="s">
        <x:v>1839</x:v>
      </x:c>
      <x:c r="F455" t="s">
        <x:v>31</x:v>
      </x:c>
      <x:c r="G455" t="s">
        <x:v>1840</x:v>
      </x:c>
      <x:c r="H455" t="s">
        <x:v>1841</x:v>
      </x:c>
      <x:c r="I455" t="s">
        <x:v>1842</x:v>
      </x:c>
      <x:c r="J455" t="s">
        <x:v>1843</x:v>
      </x:c>
      <x:c r="K455" t="s">
        <x:v>263</x:v>
      </x:c>
      <x:c r="L455" t="s">
        <x:v>37</x:v>
      </x:c>
      <x:c r="M455" t="s">
        <x:v>1844</x:v>
      </x:c>
      <x:c r="N455" t="s">
        <x:v>1828</x:v>
      </x:c>
      <x:c r="O455" t="s">
        <x:v>1841</x:v>
      </x:c>
      <x:c r="P455" t="s">
        <x:v>1845</x:v>
      </x:c>
      <x:c r="Q455" t="s">
        <x:v>41</x:v>
      </x:c>
      <x:c r="R455">
        <x:v>1</x:v>
      </x:c>
      <x:c r="S455" t="s">
        <x:v>42</x:v>
      </x:c>
      <x:c r="T455" t="s">
        <x:v>44</x:v>
      </x:c>
      <x:c r="U455" t="s">
        <x:v>44</x:v>
      </x:c>
      <x:c r="V455" t="s">
        <x:v>45</x:v>
      </x:c>
      <x:c r="W455" t="s">
        <x:v>60</x:v>
      </x:c>
      <x:c r="X455">
        <x:v>186.44</x:v>
      </x:c>
      <x:c r="Y455" t="s">
        <x:v>47</x:v>
      </x:c>
      <x:c r="Z455" t="s">
        <x:v>48</x:v>
      </x:c>
      <x:c r="AA455" t="s">
        <x:v>49</x:v>
      </x:c>
      <x:c r="AB455">
        <x:v>999700200</x:v>
      </x:c>
      <x:c r="AC455" t="s">
        <x:v>1846</x:v>
      </x:c>
      <x:c r="AD455">
        <x:v>50</x:v>
      </x:c>
    </x:row>
    <x:row r="456">
      <x:c r="A456" s="1">
        <x:v>46252</x:v>
      </x:c>
      <x:c r="B456" t="s">
        <x:v>4054</x:v>
      </x:c>
      <x:c r="C456" t="s">
        <x:v>1847</x:v>
      </x:c>
      <x:c r="D456" t="s">
        <x:v>269</x:v>
      </x:c>
      <x:c r="E456" t="s">
        <x:v>1848</x:v>
      </x:c>
      <x:c r="F456" t="s">
        <x:v>31</x:v>
      </x:c>
      <x:c r="G456" t="s">
        <x:v>1849</x:v>
      </x:c>
      <x:c r="H456" t="s">
        <x:v>1850</x:v>
      </x:c>
      <x:c r="I456" t="s">
        <x:v>1851</x:v>
      </x:c>
      <x:c r="L456" t="s">
        <x:v>37</x:v>
      </x:c>
      <x:c r="M456" t="s">
        <x:v>1852</x:v>
      </x:c>
      <x:c r="N456" t="s">
        <x:v>1853</x:v>
      </x:c>
      <x:c r="O456" t="s">
        <x:v>1854</x:v>
      </x:c>
      <x:c r="P456" t="s">
        <x:v>1855</x:v>
      </x:c>
      <x:c r="Q456" t="s">
        <x:v>289</x:v>
      </x:c>
      <x:c r="R456">
        <x:v>1</x:v>
      </x:c>
      <x:c r="S456" t="s">
        <x:v>42</x:v>
      </x:c>
      <x:c r="T456" t="s">
        <x:v>44</x:v>
      </x:c>
      <x:c r="U456" t="s">
        <x:v>44</x:v>
      </x:c>
      <x:c r="V456" t="s">
        <x:v>45</x:v>
      </x:c>
      <x:c r="W456" t="s">
        <x:v>46</x:v>
      </x:c>
      <x:c r="X456">
        <x:v>0</x:v>
      </x:c>
      <x:c r="Y456" t="s">
        <x:v>290</x:v>
      </x:c>
      <x:c r="Z456" t="s">
        <x:v>48</x:v>
      </x:c>
      <x:c r="AA456" t="s">
        <x:v>49</x:v>
      </x:c>
    </x:row>
    <x:row r="457">
      <x:c r="A457" s="1">
        <x:v>46252</x:v>
      </x:c>
      <x:c r="B457" t="s">
        <x:v>4054</x:v>
      </x:c>
      <x:c r="C457" t="s">
        <x:v>1847</x:v>
      </x:c>
      <x:c r="D457" t="s">
        <x:v>269</x:v>
      </x:c>
      <x:c r="E457" t="s">
        <x:v>1848</x:v>
      </x:c>
      <x:c r="F457" t="s">
        <x:v>31</x:v>
      </x:c>
      <x:c r="G457" t="s">
        <x:v>1849</x:v>
      </x:c>
      <x:c r="H457" t="s">
        <x:v>1850</x:v>
      </x:c>
      <x:c r="I457" t="s">
        <x:v>1851</x:v>
      </x:c>
      <x:c r="L457" t="s">
        <x:v>37</x:v>
      </x:c>
      <x:c r="M457" t="s">
        <x:v>1852</x:v>
      </x:c>
      <x:c r="N457" t="s">
        <x:v>1853</x:v>
      </x:c>
      <x:c r="O457" t="s">
        <x:v>1854</x:v>
      </x:c>
      <x:c r="P457" t="s">
        <x:v>1855</x:v>
      </x:c>
      <x:c r="Q457" t="s">
        <x:v>975</x:v>
      </x:c>
      <x:c r="R457">
        <x:v>1</x:v>
      </x:c>
      <x:c r="S457" t="s">
        <x:v>42</x:v>
      </x:c>
      <x:c r="T457" t="s">
        <x:v>44</x:v>
      </x:c>
      <x:c r="U457" t="s">
        <x:v>44</x:v>
      </x:c>
      <x:c r="V457" t="s">
        <x:v>45</x:v>
      </x:c>
      <x:c r="W457" t="s">
        <x:v>46</x:v>
      </x:c>
      <x:c r="X457">
        <x:v>1016.95</x:v>
      </x:c>
      <x:c r="Y457" t="s">
        <x:v>290</x:v>
      </x:c>
      <x:c r="Z457" t="s">
        <x:v>48</x:v>
      </x:c>
      <x:c r="AA457" t="s">
        <x:v>49</x:v>
      </x:c>
    </x:row>
    <x:row r="458">
      <x:c r="A458" s="1">
        <x:v>46252</x:v>
      </x:c>
      <x:c r="B458" t="s">
        <x:v>4054</x:v>
      </x:c>
      <x:c r="C458" t="s">
        <x:v>1856</x:v>
      </x:c>
      <x:c r="D458" t="s">
        <x:v>269</x:v>
      </x:c>
      <x:c r="E458" t="s">
        <x:v>1857</x:v>
      </x:c>
      <x:c r="F458" t="s">
        <x:v>31</x:v>
      </x:c>
      <x:c r="G458" t="s">
        <x:v>1858</x:v>
      </x:c>
      <x:c r="H458" t="s">
        <x:v>1798</x:v>
      </x:c>
      <x:c r="I458" t="s">
        <x:v>1799</x:v>
      </x:c>
      <x:c r="J458" t="s">
        <x:v>776</x:v>
      </x:c>
      <x:c r="K458" t="s">
        <x:v>777</x:v>
      </x:c>
      <x:c r="L458" t="s">
        <x:v>37</x:v>
      </x:c>
      <x:c r="M458" t="s">
        <x:v>1800</x:v>
      </x:c>
      <x:c r="N458" t="s">
        <x:v>610</x:v>
      </x:c>
      <x:c r="O458" t="s">
        <x:v>800</x:v>
      </x:c>
      <x:c r="P458" t="s">
        <x:v>1859</x:v>
      </x:c>
      <x:c r="Q458" t="s">
        <x:v>289</x:v>
      </x:c>
      <x:c r="R458">
        <x:v>1</x:v>
      </x:c>
      <x:c r="S458" t="s">
        <x:v>42</x:v>
      </x:c>
      <x:c r="T458" t="s">
        <x:v>44</x:v>
      </x:c>
      <x:c r="U458" t="s">
        <x:v>44</x:v>
      </x:c>
      <x:c r="V458" t="s">
        <x:v>45</x:v>
      </x:c>
      <x:c r="W458" t="s">
        <x:v>60</x:v>
      </x:c>
      <x:c r="X458">
        <x:v>0</x:v>
      </x:c>
      <x:c r="Y458" t="s">
        <x:v>290</x:v>
      </x:c>
      <x:c r="Z458" t="s">
        <x:v>48</x:v>
      </x:c>
      <x:c r="AA458" t="s">
        <x:v>49</x:v>
      </x:c>
    </x:row>
    <x:row r="459">
      <x:c r="A459" s="1">
        <x:v>46252</x:v>
      </x:c>
      <x:c r="B459" t="s">
        <x:v>4054</x:v>
      </x:c>
      <x:c r="C459" t="s">
        <x:v>1856</x:v>
      </x:c>
      <x:c r="D459" t="s">
        <x:v>269</x:v>
      </x:c>
      <x:c r="E459" t="s">
        <x:v>1857</x:v>
      </x:c>
      <x:c r="F459" t="s">
        <x:v>31</x:v>
      </x:c>
      <x:c r="G459" t="s">
        <x:v>1858</x:v>
      </x:c>
      <x:c r="H459" t="s">
        <x:v>1798</x:v>
      </x:c>
      <x:c r="I459" t="s">
        <x:v>1799</x:v>
      </x:c>
      <x:c r="J459" t="s">
        <x:v>776</x:v>
      </x:c>
      <x:c r="K459" t="s">
        <x:v>777</x:v>
      </x:c>
      <x:c r="L459" t="s">
        <x:v>37</x:v>
      </x:c>
      <x:c r="M459" t="s">
        <x:v>1800</x:v>
      </x:c>
      <x:c r="N459" t="s">
        <x:v>610</x:v>
      </x:c>
      <x:c r="O459" t="s">
        <x:v>800</x:v>
      </x:c>
      <x:c r="P459" t="s">
        <x:v>1859</x:v>
      </x:c>
      <x:c r="Q459" t="s">
        <x:v>291</x:v>
      </x:c>
      <x:c r="R459">
        <x:v>1</x:v>
      </x:c>
      <x:c r="S459" t="s">
        <x:v>42</x:v>
      </x:c>
      <x:c r="T459" t="s">
        <x:v>44</x:v>
      </x:c>
      <x:c r="U459" t="s">
        <x:v>44</x:v>
      </x:c>
      <x:c r="V459" t="s">
        <x:v>45</x:v>
      </x:c>
      <x:c r="W459" t="s">
        <x:v>60</x:v>
      </x:c>
      <x:c r="X459">
        <x:v>1525.42</x:v>
      </x:c>
      <x:c r="Y459" t="s">
        <x:v>290</x:v>
      </x:c>
      <x:c r="Z459" t="s">
        <x:v>48</x:v>
      </x:c>
      <x:c r="AA459" t="s">
        <x:v>49</x:v>
      </x:c>
    </x:row>
    <x:row r="460">
      <x:c r="A460" s="1">
        <x:v>46252</x:v>
      </x:c>
      <x:c r="B460" t="s">
        <x:v>4054</x:v>
      </x:c>
      <x:c r="C460" t="s">
        <x:v>1860</x:v>
      </x:c>
      <x:c r="D460" t="s">
        <x:v>269</x:v>
      </x:c>
      <x:c r="E460" t="s">
        <x:v>1861</x:v>
      </x:c>
      <x:c r="F460" t="s">
        <x:v>31</x:v>
      </x:c>
      <x:c r="G460" t="s">
        <x:v>1862</x:v>
      </x:c>
      <x:c r="H460" t="s">
        <x:v>1805</x:v>
      </x:c>
      <x:c r="I460" t="s">
        <x:v>1806</x:v>
      </x:c>
      <x:c r="J460" t="s">
        <x:v>776</x:v>
      </x:c>
      <x:c r="K460" t="s">
        <x:v>777</x:v>
      </x:c>
      <x:c r="L460" t="s">
        <x:v>37</x:v>
      </x:c>
      <x:c r="M460" t="s">
        <x:v>1807</x:v>
      </x:c>
      <x:c r="N460" t="s">
        <x:v>1808</x:v>
      </x:c>
      <x:c r="O460" t="s">
        <x:v>800</x:v>
      </x:c>
      <x:c r="P460" t="s">
        <x:v>1863</x:v>
      </x:c>
      <x:c r="Q460" t="s">
        <x:v>289</x:v>
      </x:c>
      <x:c r="R460">
        <x:v>1</x:v>
      </x:c>
      <x:c r="S460" t="s">
        <x:v>42</x:v>
      </x:c>
      <x:c r="T460" t="s">
        <x:v>44</x:v>
      </x:c>
      <x:c r="U460" t="s">
        <x:v>44</x:v>
      </x:c>
      <x:c r="V460" t="s">
        <x:v>45</x:v>
      </x:c>
      <x:c r="W460" t="s">
        <x:v>60</x:v>
      </x:c>
      <x:c r="X460">
        <x:v>0</x:v>
      </x:c>
      <x:c r="Y460" t="s">
        <x:v>290</x:v>
      </x:c>
      <x:c r="Z460" t="s">
        <x:v>48</x:v>
      </x:c>
      <x:c r="AA460" t="s">
        <x:v>49</x:v>
      </x:c>
    </x:row>
    <x:row r="461">
      <x:c r="A461" s="1">
        <x:v>46252</x:v>
      </x:c>
      <x:c r="B461" t="s">
        <x:v>4054</x:v>
      </x:c>
      <x:c r="C461" t="s">
        <x:v>1860</x:v>
      </x:c>
      <x:c r="D461" t="s">
        <x:v>269</x:v>
      </x:c>
      <x:c r="E461" t="s">
        <x:v>1861</x:v>
      </x:c>
      <x:c r="F461" t="s">
        <x:v>31</x:v>
      </x:c>
      <x:c r="G461" t="s">
        <x:v>1862</x:v>
      </x:c>
      <x:c r="H461" t="s">
        <x:v>1805</x:v>
      </x:c>
      <x:c r="I461" t="s">
        <x:v>1806</x:v>
      </x:c>
      <x:c r="J461" t="s">
        <x:v>776</x:v>
      </x:c>
      <x:c r="K461" t="s">
        <x:v>777</x:v>
      </x:c>
      <x:c r="L461" t="s">
        <x:v>37</x:v>
      </x:c>
      <x:c r="M461" t="s">
        <x:v>1807</x:v>
      </x:c>
      <x:c r="N461" t="s">
        <x:v>1808</x:v>
      </x:c>
      <x:c r="O461" t="s">
        <x:v>800</x:v>
      </x:c>
      <x:c r="P461" t="s">
        <x:v>1863</x:v>
      </x:c>
      <x:c r="Q461" t="s">
        <x:v>291</x:v>
      </x:c>
      <x:c r="R461">
        <x:v>1</x:v>
      </x:c>
      <x:c r="S461" t="s">
        <x:v>42</x:v>
      </x:c>
      <x:c r="T461" t="s">
        <x:v>44</x:v>
      </x:c>
      <x:c r="U461" t="s">
        <x:v>44</x:v>
      </x:c>
      <x:c r="V461" t="s">
        <x:v>45</x:v>
      </x:c>
      <x:c r="W461" t="s">
        <x:v>60</x:v>
      </x:c>
      <x:c r="X461">
        <x:v>762.71</x:v>
      </x:c>
      <x:c r="Y461" t="s">
        <x:v>290</x:v>
      </x:c>
      <x:c r="Z461" t="s">
        <x:v>48</x:v>
      </x:c>
      <x:c r="AA461" t="s">
        <x:v>49</x:v>
      </x:c>
    </x:row>
    <x:row r="462">
      <x:c r="A462" s="1">
        <x:v>46252</x:v>
      </x:c>
      <x:c r="B462" t="s">
        <x:v>4054</x:v>
      </x:c>
      <x:c r="C462" t="s">
        <x:v>1864</x:v>
      </x:c>
      <x:c r="D462" t="s">
        <x:v>269</x:v>
      </x:c>
      <x:c r="E462" t="s">
        <x:v>1865</x:v>
      </x:c>
      <x:c r="F462" t="s">
        <x:v>31</x:v>
      </x:c>
      <x:c r="G462" t="s">
        <x:v>1866</x:v>
      </x:c>
      <x:c r="H462" t="s">
        <x:v>1833</x:v>
      </x:c>
      <x:c r="I462" t="s">
        <x:v>1834</x:v>
      </x:c>
      <x:c r="L462" t="s">
        <x:v>37</x:v>
      </x:c>
      <x:c r="M462" t="s">
        <x:v>1835</x:v>
      </x:c>
      <x:c r="N462" t="s">
        <x:v>1836</x:v>
      </x:c>
      <x:c r="O462" t="s">
        <x:v>800</x:v>
      </x:c>
      <x:c r="P462" t="s">
        <x:v>1867</x:v>
      </x:c>
      <x:c r="Q462" t="s">
        <x:v>289</x:v>
      </x:c>
      <x:c r="R462">
        <x:v>1</x:v>
      </x:c>
      <x:c r="S462" t="s">
        <x:v>42</x:v>
      </x:c>
      <x:c r="T462" t="s">
        <x:v>44</x:v>
      </x:c>
      <x:c r="U462" t="s">
        <x:v>44</x:v>
      </x:c>
      <x:c r="V462" t="s">
        <x:v>45</x:v>
      </x:c>
      <x:c r="W462" t="s">
        <x:v>60</x:v>
      </x:c>
      <x:c r="X462">
        <x:v>0</x:v>
      </x:c>
      <x:c r="Y462" t="s">
        <x:v>290</x:v>
      </x:c>
      <x:c r="Z462" t="s">
        <x:v>48</x:v>
      </x:c>
      <x:c r="AA462" t="s">
        <x:v>49</x:v>
      </x:c>
    </x:row>
    <x:row r="463">
      <x:c r="A463" s="1">
        <x:v>46252</x:v>
      </x:c>
      <x:c r="B463" t="s">
        <x:v>4054</x:v>
      </x:c>
      <x:c r="C463" t="s">
        <x:v>1864</x:v>
      </x:c>
      <x:c r="D463" t="s">
        <x:v>269</x:v>
      </x:c>
      <x:c r="E463" t="s">
        <x:v>1865</x:v>
      </x:c>
      <x:c r="F463" t="s">
        <x:v>31</x:v>
      </x:c>
      <x:c r="G463" t="s">
        <x:v>1866</x:v>
      </x:c>
      <x:c r="H463" t="s">
        <x:v>1833</x:v>
      </x:c>
      <x:c r="I463" t="s">
        <x:v>1834</x:v>
      </x:c>
      <x:c r="L463" t="s">
        <x:v>37</x:v>
      </x:c>
      <x:c r="M463" t="s">
        <x:v>1835</x:v>
      </x:c>
      <x:c r="N463" t="s">
        <x:v>1836</x:v>
      </x:c>
      <x:c r="O463" t="s">
        <x:v>800</x:v>
      </x:c>
      <x:c r="P463" t="s">
        <x:v>1867</x:v>
      </x:c>
      <x:c r="Q463" t="s">
        <x:v>291</x:v>
      </x:c>
      <x:c r="R463">
        <x:v>1</x:v>
      </x:c>
      <x:c r="S463" t="s">
        <x:v>42</x:v>
      </x:c>
      <x:c r="T463" t="s">
        <x:v>44</x:v>
      </x:c>
      <x:c r="U463" t="s">
        <x:v>44</x:v>
      </x:c>
      <x:c r="V463" t="s">
        <x:v>45</x:v>
      </x:c>
      <x:c r="W463" t="s">
        <x:v>60</x:v>
      </x:c>
      <x:c r="X463">
        <x:v>1525.42</x:v>
      </x:c>
      <x:c r="Y463" t="s">
        <x:v>290</x:v>
      </x:c>
      <x:c r="Z463" t="s">
        <x:v>48</x:v>
      </x:c>
      <x:c r="AA463" t="s">
        <x:v>49</x:v>
      </x:c>
    </x:row>
    <x:row r="464">
      <x:c r="A464" s="1">
        <x:v>46252</x:v>
      </x:c>
      <x:c r="B464" t="s">
        <x:v>4054</x:v>
      </x:c>
      <x:c r="C464" t="s">
        <x:v>1868</x:v>
      </x:c>
      <x:c r="D464" t="s">
        <x:v>269</x:v>
      </x:c>
      <x:c r="E464" t="s">
        <x:v>1869</x:v>
      </x:c>
      <x:c r="F464" t="s">
        <x:v>31</x:v>
      </x:c>
      <x:c r="G464" t="s">
        <x:v>1870</x:v>
      </x:c>
      <x:c r="H464" t="s">
        <x:v>1825</x:v>
      </x:c>
      <x:c r="I464" t="s">
        <x:v>1826</x:v>
      </x:c>
      <x:c r="J464" t="s">
        <x:v>776</x:v>
      </x:c>
      <x:c r="K464" t="s">
        <x:v>777</x:v>
      </x:c>
      <x:c r="L464" t="s">
        <x:v>37</x:v>
      </x:c>
      <x:c r="M464" t="s">
        <x:v>1827</x:v>
      </x:c>
      <x:c r="N464" t="s">
        <x:v>1828</x:v>
      </x:c>
      <x:c r="O464" t="s">
        <x:v>800</x:v>
      </x:c>
      <x:c r="P464" t="s">
        <x:v>1871</x:v>
      </x:c>
      <x:c r="Q464" t="s">
        <x:v>289</x:v>
      </x:c>
      <x:c r="R464">
        <x:v>1</x:v>
      </x:c>
      <x:c r="S464" t="s">
        <x:v>42</x:v>
      </x:c>
      <x:c r="T464" t="s">
        <x:v>44</x:v>
      </x:c>
      <x:c r="U464" t="s">
        <x:v>44</x:v>
      </x:c>
      <x:c r="V464" t="s">
        <x:v>45</x:v>
      </x:c>
      <x:c r="W464" t="s">
        <x:v>60</x:v>
      </x:c>
      <x:c r="X464">
        <x:v>0</x:v>
      </x:c>
      <x:c r="Y464" t="s">
        <x:v>290</x:v>
      </x:c>
      <x:c r="Z464" t="s">
        <x:v>48</x:v>
      </x:c>
      <x:c r="AA464" t="s">
        <x:v>49</x:v>
      </x:c>
    </x:row>
    <x:row r="465">
      <x:c r="A465" s="1">
        <x:v>46252</x:v>
      </x:c>
      <x:c r="B465" t="s">
        <x:v>4054</x:v>
      </x:c>
      <x:c r="C465" t="s">
        <x:v>1868</x:v>
      </x:c>
      <x:c r="D465" t="s">
        <x:v>269</x:v>
      </x:c>
      <x:c r="E465" t="s">
        <x:v>1869</x:v>
      </x:c>
      <x:c r="F465" t="s">
        <x:v>31</x:v>
      </x:c>
      <x:c r="G465" t="s">
        <x:v>1870</x:v>
      </x:c>
      <x:c r="H465" t="s">
        <x:v>1825</x:v>
      </x:c>
      <x:c r="I465" t="s">
        <x:v>1826</x:v>
      </x:c>
      <x:c r="J465" t="s">
        <x:v>776</x:v>
      </x:c>
      <x:c r="K465" t="s">
        <x:v>777</x:v>
      </x:c>
      <x:c r="L465" t="s">
        <x:v>37</x:v>
      </x:c>
      <x:c r="M465" t="s">
        <x:v>1827</x:v>
      </x:c>
      <x:c r="N465" t="s">
        <x:v>1828</x:v>
      </x:c>
      <x:c r="O465" t="s">
        <x:v>800</x:v>
      </x:c>
      <x:c r="P465" t="s">
        <x:v>1871</x:v>
      </x:c>
      <x:c r="Q465" t="s">
        <x:v>291</x:v>
      </x:c>
      <x:c r="R465">
        <x:v>1</x:v>
      </x:c>
      <x:c r="S465" t="s">
        <x:v>42</x:v>
      </x:c>
      <x:c r="T465" t="s">
        <x:v>44</x:v>
      </x:c>
      <x:c r="U465" t="s">
        <x:v>44</x:v>
      </x:c>
      <x:c r="V465" t="s">
        <x:v>45</x:v>
      </x:c>
      <x:c r="W465" t="s">
        <x:v>60</x:v>
      </x:c>
      <x:c r="X465">
        <x:v>762.71</x:v>
      </x:c>
      <x:c r="Y465" t="s">
        <x:v>290</x:v>
      </x:c>
      <x:c r="Z465" t="s">
        <x:v>48</x:v>
      </x:c>
      <x:c r="AA465" t="s">
        <x:v>49</x:v>
      </x:c>
    </x:row>
    <x:row r="466">
      <x:c r="A466" s="1">
        <x:v>46252</x:v>
      </x:c>
      <x:c r="B466" t="s">
        <x:v>4054</x:v>
      </x:c>
      <x:c r="C466" t="s">
        <x:v>1872</x:v>
      </x:c>
      <x:c r="D466" t="s">
        <x:v>29</x:v>
      </x:c>
      <x:c r="E466" t="s">
        <x:v>1873</x:v>
      </x:c>
      <x:c r="F466" t="s">
        <x:v>31</x:v>
      </x:c>
      <x:c r="G466" t="s">
        <x:v>1874</x:v>
      </x:c>
      <x:c r="H466" t="s">
        <x:v>1875</x:v>
      </x:c>
      <x:c r="I466" t="s">
        <x:v>1876</x:v>
      </x:c>
      <x:c r="J466" t="s">
        <x:v>1877</x:v>
      </x:c>
      <x:c r="L466" t="s">
        <x:v>37</x:v>
      </x:c>
      <x:c r="M466" t="s">
        <x:v>1879</x:v>
      </x:c>
      <x:c r="N466" t="s">
        <x:v>1880</x:v>
      </x:c>
      <x:c r="O466" t="s">
        <x:v>1875</x:v>
      </x:c>
      <x:c r="P466" t="s">
        <x:v>1881</x:v>
      </x:c>
      <x:c r="Q466" t="s">
        <x:v>203</x:v>
      </x:c>
      <x:c r="R466">
        <x:v>1</x:v>
      </x:c>
      <x:c r="S466" t="s">
        <x:v>42</x:v>
      </x:c>
      <x:c r="T466" t="s">
        <x:v>44</x:v>
      </x:c>
      <x:c r="U466" t="s">
        <x:v>44</x:v>
      </x:c>
      <x:c r="V466" t="s">
        <x:v>45</x:v>
      </x:c>
      <x:c r="W466" t="s">
        <x:v>60</x:v>
      </x:c>
      <x:c r="X466">
        <x:v>135.59</x:v>
      </x:c>
      <x:c r="Y466" t="s">
        <x:v>47</x:v>
      </x:c>
      <x:c r="Z466" t="s">
        <x:v>48</x:v>
      </x:c>
      <x:c r="AA466" t="s">
        <x:v>49</x:v>
      </x:c>
      <x:c r="AD466">
        <x:v>30</x:v>
      </x:c>
    </x:row>
    <x:row r="467">
      <x:c r="A467" s="1">
        <x:v>46253</x:v>
      </x:c>
      <x:c r="B467" t="s">
        <x:v>4054</x:v>
      </x:c>
      <x:c r="C467" t="s">
        <x:v>1882</x:v>
      </x:c>
      <x:c r="D467" t="s">
        <x:v>269</x:v>
      </x:c>
      <x:c r="E467" t="s">
        <x:v>1883</x:v>
      </x:c>
      <x:c r="F467" t="s">
        <x:v>31</x:v>
      </x:c>
      <x:c r="G467" t="s">
        <x:v>1884</x:v>
      </x:c>
      <x:c r="H467" t="s">
        <x:v>1885</x:v>
      </x:c>
      <x:c r="I467" t="s">
        <x:v>1886</x:v>
      </x:c>
      <x:c r="J467" t="s">
        <x:v>1887</x:v>
      </x:c>
      <x:c r="L467" t="s">
        <x:v>37</x:v>
      </x:c>
      <x:c r="M467" t="s">
        <x:v>1888</x:v>
      </x:c>
      <x:c r="N467" t="s">
        <x:v>1889</x:v>
      </x:c>
      <x:c r="O467" t="s">
        <x:v>1890</x:v>
      </x:c>
      <x:c r="P467" t="s">
        <x:v>1891</x:v>
      </x:c>
      <x:c r="Q467" t="s">
        <x:v>203</x:v>
      </x:c>
      <x:c r="R467">
        <x:v>1</x:v>
      </x:c>
      <x:c r="S467" t="s">
        <x:v>42</x:v>
      </x:c>
      <x:c r="T467" t="s">
        <x:v>44</x:v>
      </x:c>
      <x:c r="U467" t="s">
        <x:v>44</x:v>
      </x:c>
      <x:c r="V467" t="s">
        <x:v>45</x:v>
      </x:c>
      <x:c r="W467" t="s">
        <x:v>46</x:v>
      </x:c>
      <x:c r="X467">
        <x:v>135.59</x:v>
      </x:c>
      <x:c r="Y467" t="s">
        <x:v>47</x:v>
      </x:c>
      <x:c r="Z467" t="s">
        <x:v>48</x:v>
      </x:c>
      <x:c r="AA467" t="s">
        <x:v>49</x:v>
      </x:c>
      <x:c r="AD467">
        <x:v>30</x:v>
      </x:c>
    </x:row>
    <x:row r="468">
      <x:c r="A468" s="1">
        <x:v>46253</x:v>
      </x:c>
      <x:c r="B468" t="s">
        <x:v>4054</x:v>
      </x:c>
      <x:c r="C468" t="s">
        <x:v>1892</x:v>
      </x:c>
      <x:c r="D468" t="s">
        <x:v>29</x:v>
      </x:c>
      <x:c r="E468" t="s">
        <x:v>1893</x:v>
      </x:c>
      <x:c r="F468" t="s">
        <x:v>31</x:v>
      </x:c>
      <x:c r="G468" t="s">
        <x:v>1894</x:v>
      </x:c>
      <x:c r="H468" t="s">
        <x:v>1895</x:v>
      </x:c>
      <x:c r="I468" t="s">
        <x:v>1896</x:v>
      </x:c>
      <x:c r="J468" t="s">
        <x:v>664</x:v>
      </x:c>
      <x:c r="K468" t="s">
        <x:v>36</x:v>
      </x:c>
      <x:c r="L468" t="s">
        <x:v>37</x:v>
      </x:c>
      <x:c r="M468" t="s">
        <x:v>1897</x:v>
      </x:c>
      <x:c r="N468" t="s">
        <x:v>1898</x:v>
      </x:c>
      <x:c r="O468" t="s">
        <x:v>1895</x:v>
      </x:c>
      <x:c r="P468" t="s">
        <x:v>1899</x:v>
      </x:c>
      <x:c r="Q468" t="s">
        <x:v>102</x:v>
      </x:c>
      <x:c r="R468">
        <x:v>1</x:v>
      </x:c>
      <x:c r="S468" t="s">
        <x:v>42</x:v>
      </x:c>
      <x:c r="T468" t="s">
        <x:v>44</x:v>
      </x:c>
      <x:c r="U468" t="s">
        <x:v>44</x:v>
      </x:c>
      <x:c r="V468" t="s">
        <x:v>45</x:v>
      </x:c>
      <x:c r="W468" t="s">
        <x:v>46</x:v>
      </x:c>
      <x:c r="X468">
        <x:v>186.44</x:v>
      </x:c>
      <x:c r="Y468" t="s">
        <x:v>47</x:v>
      </x:c>
      <x:c r="Z468" t="s">
        <x:v>48</x:v>
      </x:c>
      <x:c r="AA468" t="s">
        <x:v>49</x:v>
      </x:c>
      <x:c r="AB468">
        <x:v>997145685</x:v>
      </x:c>
      <x:c r="AC468" t="s">
        <x:v>668</x:v>
      </x:c>
      <x:c r="AD468">
        <x:v>50</x:v>
      </x:c>
    </x:row>
    <x:row r="469">
      <x:c r="A469" s="1">
        <x:v>46253</x:v>
      </x:c>
      <x:c r="B469" t="s">
        <x:v>4054</x:v>
      </x:c>
      <x:c r="C469" t="s">
        <x:v>1900</x:v>
      </x:c>
      <x:c r="D469" t="s">
        <x:v>269</x:v>
      </x:c>
      <x:c r="E469" t="s">
        <x:v>1901</x:v>
      </x:c>
      <x:c r="F469" t="s">
        <x:v>31</x:v>
      </x:c>
      <x:c r="G469" t="s">
        <x:v>1902</x:v>
      </x:c>
      <x:c r="H469" t="s">
        <x:v>1903</x:v>
      </x:c>
      <x:c r="I469" t="s">
        <x:v>1904</x:v>
      </x:c>
      <x:c r="J469" t="s">
        <x:v>3435</x:v>
      </x:c>
      <x:c r="K469" t="s">
        <x:v>1906</x:v>
      </x:c>
      <x:c r="L469" t="s">
        <x:v>37</x:v>
      </x:c>
      <x:c r="M469" t="s">
        <x:v>1907</x:v>
      </x:c>
      <x:c r="N469" t="s">
        <x:v>1908</x:v>
      </x:c>
      <x:c r="O469" t="s">
        <x:v>1909</x:v>
      </x:c>
      <x:c r="P469" t="s">
        <x:v>1910</x:v>
      </x:c>
      <x:c r="Q469" t="s">
        <x:v>91</x:v>
      </x:c>
      <x:c r="R469">
        <x:v>1</x:v>
      </x:c>
      <x:c r="S469" t="s">
        <x:v>42</x:v>
      </x:c>
      <x:c r="T469" t="s">
        <x:v>44</x:v>
      </x:c>
      <x:c r="U469" t="s">
        <x:v>44</x:v>
      </x:c>
      <x:c r="V469" t="s">
        <x:v>45</x:v>
      </x:c>
      <x:c r="W469" t="s">
        <x:v>46</x:v>
      </x:c>
      <x:c r="X469">
        <x:v>135.59</x:v>
      </x:c>
      <x:c r="Y469" t="s">
        <x:v>47</x:v>
      </x:c>
      <x:c r="Z469" t="s">
        <x:v>48</x:v>
      </x:c>
      <x:c r="AA469" t="s">
        <x:v>49</x:v>
      </x:c>
      <x:c r="AB469">
        <x:v>999421990</x:v>
      </x:c>
      <x:c r="AD469">
        <x:v>30</x:v>
      </x:c>
    </x:row>
    <x:row r="470">
      <x:c r="A470" s="1">
        <x:v>46253</x:v>
      </x:c>
      <x:c r="B470" t="s">
        <x:v>4054</x:v>
      </x:c>
      <x:c r="C470" t="s">
        <x:v>1911</x:v>
      </x:c>
      <x:c r="D470" t="s">
        <x:v>29</x:v>
      </x:c>
      <x:c r="E470" t="s">
        <x:v>1912</x:v>
      </x:c>
      <x:c r="F470" t="s">
        <x:v>31</x:v>
      </x:c>
      <x:c r="G470" t="s">
        <x:v>1913</x:v>
      </x:c>
      <x:c r="H470" t="s">
        <x:v>1914</x:v>
      </x:c>
      <x:c r="I470" t="s">
        <x:v>1915</x:v>
      </x:c>
      <x:c r="J470" t="s">
        <x:v>412</x:v>
      </x:c>
      <x:c r="K470" t="s">
        <x:v>413</x:v>
      </x:c>
      <x:c r="L470" t="s">
        <x:v>37</x:v>
      </x:c>
      <x:c r="M470" t="s">
        <x:v>1916</x:v>
      </x:c>
      <x:c r="N470" t="s">
        <x:v>1917</x:v>
      </x:c>
      <x:c r="O470" t="s">
        <x:v>1914</x:v>
      </x:c>
      <x:c r="P470" t="s">
        <x:v>1918</x:v>
      </x:c>
      <x:c r="Q470" t="s">
        <x:v>160</x:v>
      </x:c>
      <x:c r="R470">
        <x:v>1</x:v>
      </x:c>
      <x:c r="S470" t="s">
        <x:v>42</x:v>
      </x:c>
      <x:c r="T470" t="s">
        <x:v>44</x:v>
      </x:c>
      <x:c r="U470" t="s">
        <x:v>44</x:v>
      </x:c>
      <x:c r="V470" t="s">
        <x:v>45</x:v>
      </x:c>
      <x:c r="W470" t="s">
        <x:v>60</x:v>
      </x:c>
      <x:c r="X470">
        <x:v>135.59</x:v>
      </x:c>
      <x:c r="Y470" t="s">
        <x:v>47</x:v>
      </x:c>
      <x:c r="Z470" t="s">
        <x:v>48</x:v>
      </x:c>
      <x:c r="AA470" t="s">
        <x:v>49</x:v>
      </x:c>
      <x:c r="AB470">
        <x:v>982673362</x:v>
      </x:c>
      <x:c r="AC470" t="s">
        <x:v>417</x:v>
      </x:c>
      <x:c r="AD470">
        <x:v>30</x:v>
      </x:c>
    </x:row>
    <x:row r="471">
      <x:c r="A471" s="1">
        <x:v>46253</x:v>
      </x:c>
      <x:c r="B471" t="s">
        <x:v>4054</x:v>
      </x:c>
      <x:c r="C471" t="s">
        <x:v>1919</x:v>
      </x:c>
      <x:c r="D471" t="s">
        <x:v>29</x:v>
      </x:c>
      <x:c r="E471" t="s">
        <x:v>1920</x:v>
      </x:c>
      <x:c r="F471" t="s">
        <x:v>31</x:v>
      </x:c>
      <x:c r="G471" t="s">
        <x:v>1921</x:v>
      </x:c>
      <x:c r="H471" t="s">
        <x:v>1922</x:v>
      </x:c>
      <x:c r="I471" t="s">
        <x:v>1923</x:v>
      </x:c>
      <x:c r="J471" t="s">
        <x:v>435</x:v>
      </x:c>
      <x:c r="K471" t="s">
        <x:v>436</x:v>
      </x:c>
      <x:c r="L471" t="s">
        <x:v>37</x:v>
      </x:c>
      <x:c r="M471" t="s">
        <x:v>1924</x:v>
      </x:c>
      <x:c r="N471" t="s">
        <x:v>1925</x:v>
      </x:c>
      <x:c r="O471" t="s">
        <x:v>1922</x:v>
      </x:c>
      <x:c r="P471" t="s">
        <x:v>1926</x:v>
      </x:c>
      <x:c r="Q471" t="s">
        <x:v>102</x:v>
      </x:c>
      <x:c r="R471">
        <x:v>1</x:v>
      </x:c>
      <x:c r="S471" t="s">
        <x:v>70</x:v>
      </x:c>
      <x:c r="T471" t="s">
        <x:v>43</x:v>
      </x:c>
      <x:c r="U471" t="s">
        <x:v>44</x:v>
      </x:c>
      <x:c r="V471" t="s">
        <x:v>71</x:v>
      </x:c>
      <x:c r="W471" t="s">
        <x:v>185</x:v>
      </x:c>
      <x:c r="X471">
        <x:v>186.44</x:v>
      </x:c>
      <x:c r="Y471" t="s">
        <x:v>47</x:v>
      </x:c>
      <x:c r="Z471" t="s">
        <x:v>48</x:v>
      </x:c>
      <x:c r="AA471" t="s">
        <x:v>73</x:v>
      </x:c>
      <x:c r="AB471">
        <x:v>992903716</x:v>
      </x:c>
      <x:c r="AC471" t="s">
        <x:v>440</x:v>
      </x:c>
      <x:c r="AD471">
        <x:v>50</x:v>
      </x:c>
    </x:row>
    <x:row r="472">
      <x:c r="A472" s="1">
        <x:v>46253</x:v>
      </x:c>
      <x:c r="B472" t="s">
        <x:v>4054</x:v>
      </x:c>
      <x:c r="C472" t="s">
        <x:v>1919</x:v>
      </x:c>
      <x:c r="D472" t="s">
        <x:v>29</x:v>
      </x:c>
      <x:c r="E472" t="s">
        <x:v>1920</x:v>
      </x:c>
      <x:c r="F472" t="s">
        <x:v>31</x:v>
      </x:c>
      <x:c r="G472" t="s">
        <x:v>1921</x:v>
      </x:c>
      <x:c r="H472" t="s">
        <x:v>1922</x:v>
      </x:c>
      <x:c r="I472" t="s">
        <x:v>1923</x:v>
      </x:c>
      <x:c r="J472" t="s">
        <x:v>435</x:v>
      </x:c>
      <x:c r="K472" t="s">
        <x:v>436</x:v>
      </x:c>
      <x:c r="L472" t="s">
        <x:v>37</x:v>
      </x:c>
      <x:c r="M472" t="s">
        <x:v>1924</x:v>
      </x:c>
      <x:c r="N472" t="s">
        <x:v>1925</x:v>
      </x:c>
      <x:c r="O472" t="s">
        <x:v>1922</x:v>
      </x:c>
      <x:c r="P472" t="s">
        <x:v>1926</x:v>
      </x:c>
      <x:c r="Q472" t="s">
        <x:v>160</x:v>
      </x:c>
      <x:c r="R472">
        <x:v>1</x:v>
      </x:c>
      <x:c r="S472" t="s">
        <x:v>70</x:v>
      </x:c>
      <x:c r="T472" t="s">
        <x:v>43</x:v>
      </x:c>
      <x:c r="U472" t="s">
        <x:v>44</x:v>
      </x:c>
      <x:c r="V472" t="s">
        <x:v>71</x:v>
      </x:c>
      <x:c r="W472" t="s">
        <x:v>185</x:v>
      </x:c>
      <x:c r="X472">
        <x:v>135.59</x:v>
      </x:c>
      <x:c r="Y472" t="s">
        <x:v>47</x:v>
      </x:c>
      <x:c r="Z472" t="s">
        <x:v>48</x:v>
      </x:c>
      <x:c r="AA472" t="s">
        <x:v>73</x:v>
      </x:c>
      <x:c r="AB472">
        <x:v>992903716</x:v>
      </x:c>
      <x:c r="AC472" t="s">
        <x:v>440</x:v>
      </x:c>
      <x:c r="AD472">
        <x:v>30</x:v>
      </x:c>
    </x:row>
    <x:row r="473">
      <x:c r="A473" s="1">
        <x:v>46253</x:v>
      </x:c>
      <x:c r="B473" t="s">
        <x:v>4054</x:v>
      </x:c>
      <x:c r="C473" t="s">
        <x:v>1927</x:v>
      </x:c>
      <x:c r="D473" t="s">
        <x:v>29</x:v>
      </x:c>
      <x:c r="E473" t="s">
        <x:v>1928</x:v>
      </x:c>
      <x:c r="F473" t="s">
        <x:v>31</x:v>
      </x:c>
      <x:c r="G473" t="s">
        <x:v>1929</x:v>
      </x:c>
      <x:c r="H473" t="s">
        <x:v>1930</x:v>
      </x:c>
      <x:c r="I473" t="s">
        <x:v>1931</x:v>
      </x:c>
      <x:c r="J473" t="s">
        <x:v>706</x:v>
      </x:c>
      <x:c r="K473" t="s">
        <x:v>707</x:v>
      </x:c>
      <x:c r="L473" t="s">
        <x:v>37</x:v>
      </x:c>
      <x:c r="M473" t="s">
        <x:v>1932</x:v>
      </x:c>
      <x:c r="N473" t="s">
        <x:v>1933</x:v>
      </x:c>
      <x:c r="O473" t="s">
        <x:v>1930</x:v>
      </x:c>
      <x:c r="P473" t="s">
        <x:v>1934</x:v>
      </x:c>
      <x:c r="Q473" t="s">
        <x:v>41</x:v>
      </x:c>
      <x:c r="R473">
        <x:v>1</x:v>
      </x:c>
      <x:c r="S473" t="s">
        <x:v>42</x:v>
      </x:c>
      <x:c r="T473" t="s">
        <x:v>44</x:v>
      </x:c>
      <x:c r="U473" t="s">
        <x:v>44</x:v>
      </x:c>
      <x:c r="V473" t="s">
        <x:v>45</x:v>
      </x:c>
      <x:c r="W473" t="s">
        <x:v>60</x:v>
      </x:c>
      <x:c r="X473">
        <x:v>186.44</x:v>
      </x:c>
      <x:c r="Y473" t="s">
        <x:v>47</x:v>
      </x:c>
      <x:c r="Z473" t="s">
        <x:v>48</x:v>
      </x:c>
      <x:c r="AA473" t="s">
        <x:v>49</x:v>
      </x:c>
      <x:c r="AB473">
        <x:v>998418895</x:v>
      </x:c>
      <x:c r="AC473" t="s">
        <x:v>711</x:v>
      </x:c>
      <x:c r="AD473">
        <x:v>50</x:v>
      </x:c>
    </x:row>
    <x:row r="474">
      <x:c r="A474" s="1">
        <x:v>46253</x:v>
      </x:c>
      <x:c r="B474" t="s">
        <x:v>4054</x:v>
      </x:c>
      <x:c r="C474" t="s">
        <x:v>1935</x:v>
      </x:c>
      <x:c r="D474" t="s">
        <x:v>29</x:v>
      </x:c>
      <x:c r="E474" t="s">
        <x:v>1936</x:v>
      </x:c>
      <x:c r="F474" t="s">
        <x:v>31</x:v>
      </x:c>
      <x:c r="G474" t="s">
        <x:v>1937</x:v>
      </x:c>
      <x:c r="H474" t="s">
        <x:v>1938</x:v>
      </x:c>
      <x:c r="I474" t="s">
        <x:v>1939</x:v>
      </x:c>
      <x:c r="J474" t="s">
        <x:v>717</x:v>
      </x:c>
      <x:c r="K474" t="s">
        <x:v>718</x:v>
      </x:c>
      <x:c r="L474" t="s">
        <x:v>37</x:v>
      </x:c>
      <x:c r="M474" t="s">
        <x:v>1940</x:v>
      </x:c>
      <x:c r="N474" t="s">
        <x:v>1941</x:v>
      </x:c>
      <x:c r="O474" t="s">
        <x:v>1938</x:v>
      </x:c>
      <x:c r="P474" t="s">
        <x:v>1942</x:v>
      </x:c>
      <x:c r="Q474" t="s">
        <x:v>160</x:v>
      </x:c>
      <x:c r="R474">
        <x:v>1</x:v>
      </x:c>
      <x:c r="S474" t="s">
        <x:v>42</x:v>
      </x:c>
      <x:c r="T474" t="s">
        <x:v>44</x:v>
      </x:c>
      <x:c r="U474" t="s">
        <x:v>44</x:v>
      </x:c>
      <x:c r="V474" t="s">
        <x:v>532</x:v>
      </x:c>
      <x:c r="W474" t="s">
        <x:v>1288</x:v>
      </x:c>
      <x:c r="X474">
        <x:v>135.59</x:v>
      </x:c>
      <x:c r="Y474" t="s">
        <x:v>47</x:v>
      </x:c>
      <x:c r="Z474" t="s">
        <x:v>48</x:v>
      </x:c>
      <x:c r="AA474" t="s">
        <x:v>535</x:v>
      </x:c>
      <x:c r="AB474">
        <x:v>955356636</x:v>
      </x:c>
      <x:c r="AC474" t="s">
        <x:v>722</x:v>
      </x:c>
      <x:c r="AD474">
        <x:v>30</x:v>
      </x:c>
    </x:row>
    <x:row r="475">
      <x:c r="A475" s="1">
        <x:v>46253</x:v>
      </x:c>
      <x:c r="B475" t="s">
        <x:v>4054</x:v>
      </x:c>
      <x:c r="C475" t="s">
        <x:v>1935</x:v>
      </x:c>
      <x:c r="D475" t="s">
        <x:v>29</x:v>
      </x:c>
      <x:c r="E475" t="s">
        <x:v>1936</x:v>
      </x:c>
      <x:c r="F475" t="s">
        <x:v>31</x:v>
      </x:c>
      <x:c r="G475" t="s">
        <x:v>1937</x:v>
      </x:c>
      <x:c r="H475" t="s">
        <x:v>1938</x:v>
      </x:c>
      <x:c r="I475" t="s">
        <x:v>1939</x:v>
      </x:c>
      <x:c r="J475" t="s">
        <x:v>717</x:v>
      </x:c>
      <x:c r="K475" t="s">
        <x:v>718</x:v>
      </x:c>
      <x:c r="L475" t="s">
        <x:v>37</x:v>
      </x:c>
      <x:c r="M475" t="s">
        <x:v>1940</x:v>
      </x:c>
      <x:c r="N475" t="s">
        <x:v>1941</x:v>
      </x:c>
      <x:c r="O475" t="s">
        <x:v>1938</x:v>
      </x:c>
      <x:c r="P475" t="s">
        <x:v>1942</x:v>
      </x:c>
      <x:c r="Q475" t="s">
        <x:v>203</x:v>
      </x:c>
      <x:c r="R475">
        <x:v>1</x:v>
      </x:c>
      <x:c r="S475" t="s">
        <x:v>42</x:v>
      </x:c>
      <x:c r="T475" t="s">
        <x:v>44</x:v>
      </x:c>
      <x:c r="U475" t="s">
        <x:v>44</x:v>
      </x:c>
      <x:c r="V475" t="s">
        <x:v>532</x:v>
      </x:c>
      <x:c r="W475" t="s">
        <x:v>1288</x:v>
      </x:c>
      <x:c r="X475">
        <x:v>135.59</x:v>
      </x:c>
      <x:c r="Y475" t="s">
        <x:v>47</x:v>
      </x:c>
      <x:c r="Z475" t="s">
        <x:v>48</x:v>
      </x:c>
      <x:c r="AA475" t="s">
        <x:v>535</x:v>
      </x:c>
      <x:c r="AB475">
        <x:v>955356636</x:v>
      </x:c>
      <x:c r="AC475" t="s">
        <x:v>722</x:v>
      </x:c>
      <x:c r="AD475">
        <x:v>30</x:v>
      </x:c>
    </x:row>
    <x:row r="476">
      <x:c r="A476" s="1">
        <x:v>46253</x:v>
      </x:c>
      <x:c r="B476" t="s">
        <x:v>4054</x:v>
      </x:c>
      <x:c r="C476" t="s">
        <x:v>1943</x:v>
      </x:c>
      <x:c r="D476" t="s">
        <x:v>269</x:v>
      </x:c>
      <x:c r="E476" t="s">
        <x:v>1944</x:v>
      </x:c>
      <x:c r="F476" t="s">
        <x:v>31</x:v>
      </x:c>
      <x:c r="G476" t="s">
        <x:v>1945</x:v>
      </x:c>
      <x:c r="H476" t="s">
        <x:v>1108</x:v>
      </x:c>
      <x:c r="I476" t="s">
        <x:v>1109</x:v>
      </x:c>
      <x:c r="J476" t="s">
        <x:v>1110</x:v>
      </x:c>
      <x:c r="K476" t="s">
        <x:v>210</x:v>
      </x:c>
      <x:c r="L476" t="s">
        <x:v>37</x:v>
      </x:c>
      <x:c r="M476" t="s">
        <x:v>1111</x:v>
      </x:c>
      <x:c r="N476" t="s">
        <x:v>1112</x:v>
      </x:c>
      <x:c r="O476" t="s">
        <x:v>1113</x:v>
      </x:c>
      <x:c r="P476" t="s">
        <x:v>1946</x:v>
      </x:c>
      <x:c r="Q476" t="s">
        <x:v>214</x:v>
      </x:c>
      <x:c r="R476">
        <x:v>1</x:v>
      </x:c>
      <x:c r="S476" t="s">
        <x:v>42</x:v>
      </x:c>
      <x:c r="T476" t="s">
        <x:v>44</x:v>
      </x:c>
      <x:c r="U476" t="s">
        <x:v>44</x:v>
      </x:c>
      <x:c r="V476" t="s">
        <x:v>45</x:v>
      </x:c>
      <x:c r="W476" t="s">
        <x:v>60</x:v>
      </x:c>
      <x:c r="X476">
        <x:v>254.24</x:v>
      </x:c>
      <x:c r="Y476" t="s">
        <x:v>61</x:v>
      </x:c>
      <x:c r="Z476" t="s">
        <x:v>48</x:v>
      </x:c>
      <x:c r="AA476" t="s">
        <x:v>49</x:v>
      </x:c>
      <x:c r="AB476">
        <x:v>970582106</x:v>
      </x:c>
      <x:c r="AC476" t="s">
        <x:v>1115</x:v>
      </x:c>
    </x:row>
    <x:row r="477">
      <x:c r="A477" s="1">
        <x:v>46254</x:v>
      </x:c>
      <x:c r="B477" t="s">
        <x:v>4054</x:v>
      </x:c>
      <x:c r="C477" t="s">
        <x:v>1947</x:v>
      </x:c>
      <x:c r="D477" t="s">
        <x:v>29</x:v>
      </x:c>
      <x:c r="E477" t="s">
        <x:v>1948</x:v>
      </x:c>
      <x:c r="F477" t="s">
        <x:v>31</x:v>
      </x:c>
      <x:c r="G477" t="s">
        <x:v>1949</x:v>
      </x:c>
      <x:c r="H477" t="s">
        <x:v>1950</x:v>
      </x:c>
      <x:c r="I477" t="s">
        <x:v>1951</x:v>
      </x:c>
      <x:c r="J477" t="s">
        <x:v>776</x:v>
      </x:c>
      <x:c r="K477" t="s">
        <x:v>777</x:v>
      </x:c>
      <x:c r="L477" t="s">
        <x:v>37</x:v>
      </x:c>
      <x:c r="M477" t="s">
        <x:v>1952</x:v>
      </x:c>
      <x:c r="N477" t="s">
        <x:v>1953</x:v>
      </x:c>
      <x:c r="O477" t="s">
        <x:v>1950</x:v>
      </x:c>
      <x:c r="P477" t="s">
        <x:v>1954</x:v>
      </x:c>
      <x:c r="Q477" t="s">
        <x:v>202</x:v>
      </x:c>
      <x:c r="R477">
        <x:v>1</x:v>
      </x:c>
      <x:c r="S477" t="s">
        <x:v>42</x:v>
      </x:c>
      <x:c r="T477" t="s">
        <x:v>44</x:v>
      </x:c>
      <x:c r="U477" t="s">
        <x:v>44</x:v>
      </x:c>
      <x:c r="V477" t="s">
        <x:v>45</x:v>
      </x:c>
      <x:c r="W477" t="s">
        <x:v>60</x:v>
      </x:c>
      <x:c r="X477">
        <x:v>42.37</x:v>
      </x:c>
      <x:c r="Y477" t="s">
        <x:v>47</x:v>
      </x:c>
      <x:c r="Z477" t="s">
        <x:v>48</x:v>
      </x:c>
      <x:c r="AA477" t="s">
        <x:v>49</x:v>
      </x:c>
      <x:c r="AD477">
        <x:v>30</x:v>
      </x:c>
    </x:row>
    <x:row r="478">
      <x:c r="A478" s="1">
        <x:v>46254</x:v>
      </x:c>
      <x:c r="B478" t="s">
        <x:v>4054</x:v>
      </x:c>
      <x:c r="C478" t="s">
        <x:v>1947</x:v>
      </x:c>
      <x:c r="D478" t="s">
        <x:v>29</x:v>
      </x:c>
      <x:c r="E478" t="s">
        <x:v>1948</x:v>
      </x:c>
      <x:c r="F478" t="s">
        <x:v>31</x:v>
      </x:c>
      <x:c r="G478" t="s">
        <x:v>1949</x:v>
      </x:c>
      <x:c r="H478" t="s">
        <x:v>1950</x:v>
      </x:c>
      <x:c r="I478" t="s">
        <x:v>1951</x:v>
      </x:c>
      <x:c r="J478" t="s">
        <x:v>776</x:v>
      </x:c>
      <x:c r="K478" t="s">
        <x:v>777</x:v>
      </x:c>
      <x:c r="L478" t="s">
        <x:v>37</x:v>
      </x:c>
      <x:c r="M478" t="s">
        <x:v>1952</x:v>
      </x:c>
      <x:c r="N478" t="s">
        <x:v>1953</x:v>
      </x:c>
      <x:c r="O478" t="s">
        <x:v>1950</x:v>
      </x:c>
      <x:c r="P478" t="s">
        <x:v>1954</x:v>
      </x:c>
      <x:c r="Q478" t="s">
        <x:v>203</x:v>
      </x:c>
      <x:c r="R478">
        <x:v>1</x:v>
      </x:c>
      <x:c r="S478" t="s">
        <x:v>42</x:v>
      </x:c>
      <x:c r="T478" t="s">
        <x:v>44</x:v>
      </x:c>
      <x:c r="U478" t="s">
        <x:v>44</x:v>
      </x:c>
      <x:c r="V478" t="s">
        <x:v>45</x:v>
      </x:c>
      <x:c r="W478" t="s">
        <x:v>60</x:v>
      </x:c>
      <x:c r="X478">
        <x:v>42.37</x:v>
      </x:c>
      <x:c r="Y478" t="s">
        <x:v>47</x:v>
      </x:c>
      <x:c r="Z478" t="s">
        <x:v>48</x:v>
      </x:c>
      <x:c r="AA478" t="s">
        <x:v>49</x:v>
      </x:c>
      <x:c r="AD478">
        <x:v>30</x:v>
      </x:c>
    </x:row>
    <x:row r="479">
      <x:c r="A479" s="1">
        <x:v>46254</x:v>
      </x:c>
      <x:c r="B479" t="s">
        <x:v>4054</x:v>
      </x:c>
      <x:c r="C479" t="s">
        <x:v>1955</x:v>
      </x:c>
      <x:c r="D479" t="s">
        <x:v>29</x:v>
      </x:c>
      <x:c r="E479" t="s">
        <x:v>1956</x:v>
      </x:c>
      <x:c r="F479" t="s">
        <x:v>31</x:v>
      </x:c>
      <x:c r="G479" t="s">
        <x:v>1957</x:v>
      </x:c>
      <x:c r="H479" t="s">
        <x:v>1958</x:v>
      </x:c>
      <x:c r="I479" t="s">
        <x:v>1959</x:v>
      </x:c>
      <x:c r="J479" t="s">
        <x:v>137</x:v>
      </x:c>
      <x:c r="K479" t="s">
        <x:v>138</x:v>
      </x:c>
      <x:c r="L479" t="s">
        <x:v>37</x:v>
      </x:c>
      <x:c r="M479" t="s">
        <x:v>1960</x:v>
      </x:c>
      <x:c r="N479" t="s">
        <x:v>1961</x:v>
      </x:c>
      <x:c r="O479" t="s">
        <x:v>1958</x:v>
      </x:c>
      <x:c r="P479" t="s">
        <x:v>1962</x:v>
      </x:c>
      <x:c r="Q479" t="s">
        <x:v>102</x:v>
      </x:c>
      <x:c r="R479">
        <x:v>1</x:v>
      </x:c>
      <x:c r="S479" t="s">
        <x:v>42</x:v>
      </x:c>
      <x:c r="T479" t="s">
        <x:v>44</x:v>
      </x:c>
      <x:c r="U479" t="s">
        <x:v>44</x:v>
      </x:c>
      <x:c r="V479" t="s">
        <x:v>45</x:v>
      </x:c>
      <x:c r="W479" t="s">
        <x:v>60</x:v>
      </x:c>
      <x:c r="X479">
        <x:v>186.44</x:v>
      </x:c>
      <x:c r="Y479" t="s">
        <x:v>47</x:v>
      </x:c>
      <x:c r="Z479" t="s">
        <x:v>48</x:v>
      </x:c>
      <x:c r="AA479" t="s">
        <x:v>49</x:v>
      </x:c>
      <x:c r="AB479">
        <x:v>987407712</x:v>
      </x:c>
      <x:c r="AC479" t="s">
        <x:v>142</x:v>
      </x:c>
      <x:c r="AD479">
        <x:v>50</x:v>
      </x:c>
    </x:row>
    <x:row r="480">
      <x:c r="A480" s="1">
        <x:v>46254</x:v>
      </x:c>
      <x:c r="B480" t="s">
        <x:v>4054</x:v>
      </x:c>
      <x:c r="C480" t="s">
        <x:v>1963</x:v>
      </x:c>
      <x:c r="D480" t="s">
        <x:v>29</x:v>
      </x:c>
      <x:c r="E480" t="s">
        <x:v>1964</x:v>
      </x:c>
      <x:c r="F480" t="s">
        <x:v>31</x:v>
      </x:c>
      <x:c r="G480" t="s">
        <x:v>1965</x:v>
      </x:c>
      <x:c r="H480" t="s">
        <x:v>1966</x:v>
      </x:c>
      <x:c r="I480" t="s">
        <x:v>1967</x:v>
      </x:c>
      <x:c r="J480" t="s">
        <x:v>2784</x:v>
      </x:c>
      <x:c r="K480" t="s">
        <x:v>210</x:v>
      </x:c>
      <x:c r="L480" t="s">
        <x:v>37</x:v>
      </x:c>
      <x:c r="M480" t="s">
        <x:v>1968</x:v>
      </x:c>
      <x:c r="N480" t="s">
        <x:v>1969</x:v>
      </x:c>
      <x:c r="O480" t="s">
        <x:v>1966</x:v>
      </x:c>
      <x:c r="P480" t="s">
        <x:v>1970</x:v>
      </x:c>
      <x:c r="Q480" t="s">
        <x:v>160</x:v>
      </x:c>
      <x:c r="R480">
        <x:v>1</x:v>
      </x:c>
      <x:c r="S480" t="s">
        <x:v>42</x:v>
      </x:c>
      <x:c r="T480" t="s">
        <x:v>44</x:v>
      </x:c>
      <x:c r="U480" t="s">
        <x:v>44</x:v>
      </x:c>
      <x:c r="V480" t="s">
        <x:v>71</x:v>
      </x:c>
      <x:c r="W480" t="s">
        <x:v>185</x:v>
      </x:c>
      <x:c r="X480">
        <x:v>135.59</x:v>
      </x:c>
      <x:c r="Y480" t="s">
        <x:v>47</x:v>
      </x:c>
      <x:c r="Z480" t="s">
        <x:v>48</x:v>
      </x:c>
      <x:c r="AA480" t="s">
        <x:v>73</x:v>
      </x:c>
      <x:c r="AD480">
        <x:v>30</x:v>
      </x:c>
    </x:row>
    <x:row r="481">
      <x:c r="A481" s="1">
        <x:v>46254</x:v>
      </x:c>
      <x:c r="B481" t="s">
        <x:v>4054</x:v>
      </x:c>
      <x:c r="C481" t="s">
        <x:v>1971</x:v>
      </x:c>
      <x:c r="D481" t="s">
        <x:v>29</x:v>
      </x:c>
      <x:c r="E481" t="s">
        <x:v>1972</x:v>
      </x:c>
      <x:c r="F481" t="s">
        <x:v>31</x:v>
      </x:c>
      <x:c r="G481" t="s">
        <x:v>1973</x:v>
      </x:c>
      <x:c r="H481" t="s">
        <x:v>1974</x:v>
      </x:c>
      <x:c r="I481" t="s">
        <x:v>1975</x:v>
      </x:c>
      <x:c r="J481" t="s">
        <x:v>1976</x:v>
      </x:c>
      <x:c r="L481" t="s">
        <x:v>37</x:v>
      </x:c>
      <x:c r="M481" t="s">
        <x:v>1977</x:v>
      </x:c>
      <x:c r="N481" t="s">
        <x:v>1978</x:v>
      </x:c>
      <x:c r="O481" t="s">
        <x:v>1974</x:v>
      </x:c>
      <x:c r="P481" t="s">
        <x:v>1979</x:v>
      </x:c>
      <x:c r="Q481" t="s">
        <x:v>160</x:v>
      </x:c>
      <x:c r="R481">
        <x:v>1</x:v>
      </x:c>
      <x:c r="S481" t="s">
        <x:v>42</x:v>
      </x:c>
      <x:c r="T481" t="s">
        <x:v>44</x:v>
      </x:c>
      <x:c r="U481" t="s">
        <x:v>44</x:v>
      </x:c>
      <x:c r="V481" t="s">
        <x:v>532</x:v>
      </x:c>
      <x:c r="W481" t="s">
        <x:v>1980</x:v>
      </x:c>
      <x:c r="X481">
        <x:v>135.59</x:v>
      </x:c>
      <x:c r="Y481" t="s">
        <x:v>47</x:v>
      </x:c>
      <x:c r="Z481" t="s">
        <x:v>48</x:v>
      </x:c>
      <x:c r="AA481" t="s">
        <x:v>535</x:v>
      </x:c>
      <x:c r="AD481">
        <x:v>30</x:v>
      </x:c>
    </x:row>
    <x:row r="482">
      <x:c r="A482" s="1">
        <x:v>46254</x:v>
      </x:c>
      <x:c r="B482" t="s">
        <x:v>4054</x:v>
      </x:c>
      <x:c r="C482" t="s">
        <x:v>1981</x:v>
      </x:c>
      <x:c r="D482" t="s">
        <x:v>29</x:v>
      </x:c>
      <x:c r="E482" t="s">
        <x:v>1982</x:v>
      </x:c>
      <x:c r="F482" t="s">
        <x:v>31</x:v>
      </x:c>
      <x:c r="G482" t="s">
        <x:v>1983</x:v>
      </x:c>
      <x:c r="H482" t="s">
        <x:v>1984</x:v>
      </x:c>
      <x:c r="I482" t="s">
        <x:v>1985</x:v>
      </x:c>
      <x:c r="J482" t="s">
        <x:v>1155</x:v>
      </x:c>
      <x:c r="K482" t="s">
        <x:v>1156</x:v>
      </x:c>
      <x:c r="L482" t="s">
        <x:v>37</x:v>
      </x:c>
      <x:c r="M482" t="s">
        <x:v>1986</x:v>
      </x:c>
      <x:c r="N482" t="s">
        <x:v>1987</x:v>
      </x:c>
      <x:c r="O482" t="s">
        <x:v>1984</x:v>
      </x:c>
      <x:c r="P482" t="s">
        <x:v>1988</x:v>
      </x:c>
      <x:c r="Q482" t="s">
        <x:v>41</x:v>
      </x:c>
      <x:c r="R482">
        <x:v>1</x:v>
      </x:c>
      <x:c r="S482" t="s">
        <x:v>70</x:v>
      </x:c>
      <x:c r="T482" t="s">
        <x:v>43</x:v>
      </x:c>
      <x:c r="U482" t="s">
        <x:v>44</x:v>
      </x:c>
      <x:c r="V482" t="s">
        <x:v>71</x:v>
      </x:c>
      <x:c r="W482" t="s">
        <x:v>72</x:v>
      </x:c>
      <x:c r="X482">
        <x:v>186.44</x:v>
      </x:c>
      <x:c r="Y482" t="s">
        <x:v>47</x:v>
      </x:c>
      <x:c r="Z482" t="s">
        <x:v>48</x:v>
      </x:c>
      <x:c r="AA482" t="s">
        <x:v>73</x:v>
      </x:c>
      <x:c r="AB482">
        <x:v>995868651</x:v>
      </x:c>
      <x:c r="AC482" t="s">
        <x:v>1160</x:v>
      </x:c>
      <x:c r="AD482">
        <x:v>50</x:v>
      </x:c>
    </x:row>
    <x:row r="483">
      <x:c r="A483" s="1">
        <x:v>46254</x:v>
      </x:c>
      <x:c r="B483" t="s">
        <x:v>4054</x:v>
      </x:c>
      <x:c r="C483" t="s">
        <x:v>1989</x:v>
      </x:c>
      <x:c r="D483" t="s">
        <x:v>269</x:v>
      </x:c>
      <x:c r="E483" t="s">
        <x:v>1990</x:v>
      </x:c>
      <x:c r="F483" t="s">
        <x:v>31</x:v>
      </x:c>
      <x:c r="G483" t="s">
        <x:v>1991</x:v>
      </x:c>
      <x:c r="H483" t="s">
        <x:v>1992</x:v>
      </x:c>
      <x:c r="I483" t="s">
        <x:v>1993</x:v>
      </x:c>
      <x:c r="L483" t="s">
        <x:v>37</x:v>
      </x:c>
      <x:c r="M483" t="s">
        <x:v>1994</x:v>
      </x:c>
      <x:c r="N483" t="s">
        <x:v>1995</x:v>
      </x:c>
      <x:c r="O483" t="s">
        <x:v>767</x:v>
      </x:c>
      <x:c r="P483" t="s">
        <x:v>1996</x:v>
      </x:c>
      <x:c r="Q483" t="s">
        <x:v>482</x:v>
      </x:c>
      <x:c r="R483">
        <x:v>1</x:v>
      </x:c>
      <x:c r="S483" t="s">
        <x:v>42</x:v>
      </x:c>
      <x:c r="T483" t="s">
        <x:v>44</x:v>
      </x:c>
      <x:c r="U483" t="s">
        <x:v>44</x:v>
      </x:c>
      <x:c r="V483" t="s">
        <x:v>45</x:v>
      </x:c>
      <x:c r="W483" t="s">
        <x:v>60</x:v>
      </x:c>
      <x:c r="X483">
        <x:v>101.69</x:v>
      </x:c>
      <x:c r="Y483" t="s">
        <x:v>61</x:v>
      </x:c>
      <x:c r="Z483" t="s">
        <x:v>48</x:v>
      </x:c>
      <x:c r="AA483" t="s">
        <x:v>49</x:v>
      </x:c>
    </x:row>
    <x:row r="484">
      <x:c r="A484" s="1">
        <x:v>46254</x:v>
      </x:c>
      <x:c r="B484" t="s">
        <x:v>4054</x:v>
      </x:c>
      <x:c r="C484" t="s">
        <x:v>1997</x:v>
      </x:c>
      <x:c r="D484" t="s">
        <x:v>29</x:v>
      </x:c>
      <x:c r="E484" t="s">
        <x:v>1998</x:v>
      </x:c>
      <x:c r="F484" t="s">
        <x:v>31</x:v>
      </x:c>
      <x:c r="G484" t="s">
        <x:v>1999</x:v>
      </x:c>
      <x:c r="H484" t="s">
        <x:v>2000</x:v>
      </x:c>
      <x:c r="I484" t="s">
        <x:v>2001</x:v>
      </x:c>
      <x:c r="J484" t="s">
        <x:v>1619</x:v>
      </x:c>
      <x:c r="K484" t="s">
        <x:v>1620</x:v>
      </x:c>
      <x:c r="L484" t="s">
        <x:v>37</x:v>
      </x:c>
      <x:c r="M484" t="s">
        <x:v>2002</x:v>
      </x:c>
      <x:c r="N484" t="s">
        <x:v>2003</x:v>
      </x:c>
      <x:c r="O484" t="s">
        <x:v>2000</x:v>
      </x:c>
      <x:c r="P484" t="s">
        <x:v>2004</x:v>
      </x:c>
      <x:c r="Q484" t="s">
        <x:v>160</x:v>
      </x:c>
      <x:c r="R484">
        <x:v>1</x:v>
      </x:c>
      <x:c r="S484" t="s">
        <x:v>70</x:v>
      </x:c>
      <x:c r="T484" t="s">
        <x:v>43</x:v>
      </x:c>
      <x:c r="U484" t="s">
        <x:v>44</x:v>
      </x:c>
      <x:c r="V484" t="s">
        <x:v>71</x:v>
      </x:c>
      <x:c r="W484" t="s">
        <x:v>72</x:v>
      </x:c>
      <x:c r="X484">
        <x:v>135.59</x:v>
      </x:c>
      <x:c r="Y484" t="s">
        <x:v>47</x:v>
      </x:c>
      <x:c r="Z484" t="s">
        <x:v>48</x:v>
      </x:c>
      <x:c r="AA484" t="s">
        <x:v>73</x:v>
      </x:c>
      <x:c r="AB484">
        <x:v>950418896</x:v>
      </x:c>
      <x:c r="AD484">
        <x:v>30</x:v>
      </x:c>
    </x:row>
    <x:row r="485">
      <x:c r="A485" s="1">
        <x:v>46254</x:v>
      </x:c>
      <x:c r="B485" t="s">
        <x:v>4054</x:v>
      </x:c>
      <x:c r="C485" t="s">
        <x:v>2005</x:v>
      </x:c>
      <x:c r="D485" t="s">
        <x:v>29</x:v>
      </x:c>
      <x:c r="E485" t="s">
        <x:v>2006</x:v>
      </x:c>
      <x:c r="F485" t="s">
        <x:v>31</x:v>
      </x:c>
      <x:c r="G485" t="s">
        <x:v>2007</x:v>
      </x:c>
      <x:c r="H485" t="s">
        <x:v>2008</x:v>
      </x:c>
      <x:c r="I485" t="s">
        <x:v>2009</x:v>
      </x:c>
      <x:c r="J485" t="s">
        <x:v>664</x:v>
      </x:c>
      <x:c r="K485" t="s">
        <x:v>36</x:v>
      </x:c>
      <x:c r="L485" t="s">
        <x:v>37</x:v>
      </x:c>
      <x:c r="M485" t="s">
        <x:v>2010</x:v>
      </x:c>
      <x:c r="N485" t="s">
        <x:v>2011</x:v>
      </x:c>
      <x:c r="O485" t="s">
        <x:v>2008</x:v>
      </x:c>
      <x:c r="P485" t="s">
        <x:v>2012</x:v>
      </x:c>
      <x:c r="Q485" t="s">
        <x:v>202</x:v>
      </x:c>
      <x:c r="R485">
        <x:v>1</x:v>
      </x:c>
      <x:c r="S485" t="s">
        <x:v>42</x:v>
      </x:c>
      <x:c r="T485" t="s">
        <x:v>44</x:v>
      </x:c>
      <x:c r="U485" t="s">
        <x:v>44</x:v>
      </x:c>
      <x:c r="V485" t="s">
        <x:v>45</x:v>
      </x:c>
      <x:c r="W485" t="s">
        <x:v>60</x:v>
      </x:c>
      <x:c r="X485">
        <x:v>152.54</x:v>
      </x:c>
      <x:c r="Y485" t="s">
        <x:v>47</x:v>
      </x:c>
      <x:c r="Z485" t="s">
        <x:v>48</x:v>
      </x:c>
      <x:c r="AA485" t="s">
        <x:v>49</x:v>
      </x:c>
      <x:c r="AB485">
        <x:v>997145685</x:v>
      </x:c>
      <x:c r="AC485" t="s">
        <x:v>668</x:v>
      </x:c>
      <x:c r="AD485">
        <x:v>30</x:v>
      </x:c>
    </x:row>
    <x:row r="486">
      <x:c r="A486" s="1">
        <x:v>46254</x:v>
      </x:c>
      <x:c r="B486" t="s">
        <x:v>4054</x:v>
      </x:c>
      <x:c r="C486" t="s">
        <x:v>2005</x:v>
      </x:c>
      <x:c r="D486" t="s">
        <x:v>29</x:v>
      </x:c>
      <x:c r="E486" t="s">
        <x:v>2006</x:v>
      </x:c>
      <x:c r="F486" t="s">
        <x:v>31</x:v>
      </x:c>
      <x:c r="G486" t="s">
        <x:v>2007</x:v>
      </x:c>
      <x:c r="H486" t="s">
        <x:v>2008</x:v>
      </x:c>
      <x:c r="I486" t="s">
        <x:v>2009</x:v>
      </x:c>
      <x:c r="J486" t="s">
        <x:v>664</x:v>
      </x:c>
      <x:c r="K486" t="s">
        <x:v>36</x:v>
      </x:c>
      <x:c r="L486" t="s">
        <x:v>37</x:v>
      </x:c>
      <x:c r="M486" t="s">
        <x:v>2010</x:v>
      </x:c>
      <x:c r="N486" t="s">
        <x:v>2011</x:v>
      </x:c>
      <x:c r="O486" t="s">
        <x:v>2008</x:v>
      </x:c>
      <x:c r="P486" t="s">
        <x:v>2012</x:v>
      </x:c>
      <x:c r="Q486" t="s">
        <x:v>203</x:v>
      </x:c>
      <x:c r="R486">
        <x:v>1</x:v>
      </x:c>
      <x:c r="S486" t="s">
        <x:v>42</x:v>
      </x:c>
      <x:c r="T486" t="s">
        <x:v>44</x:v>
      </x:c>
      <x:c r="U486" t="s">
        <x:v>44</x:v>
      </x:c>
      <x:c r="V486" t="s">
        <x:v>45</x:v>
      </x:c>
      <x:c r="W486" t="s">
        <x:v>60</x:v>
      </x:c>
      <x:c r="X486">
        <x:v>135.59</x:v>
      </x:c>
      <x:c r="Y486" t="s">
        <x:v>47</x:v>
      </x:c>
      <x:c r="Z486" t="s">
        <x:v>48</x:v>
      </x:c>
      <x:c r="AA486" t="s">
        <x:v>49</x:v>
      </x:c>
      <x:c r="AB486">
        <x:v>997145685</x:v>
      </x:c>
      <x:c r="AC486" t="s">
        <x:v>668</x:v>
      </x:c>
      <x:c r="AD486">
        <x:v>30</x:v>
      </x:c>
    </x:row>
    <x:row r="487">
      <x:c r="A487" s="1">
        <x:v>46255</x:v>
      </x:c>
      <x:c r="B487" t="s">
        <x:v>4054</x:v>
      </x:c>
      <x:c r="C487" t="s">
        <x:v>2013</x:v>
      </x:c>
      <x:c r="D487" t="s">
        <x:v>29</x:v>
      </x:c>
      <x:c r="E487" t="s">
        <x:v>2014</x:v>
      </x:c>
      <x:c r="F487" t="s">
        <x:v>31</x:v>
      </x:c>
      <x:c r="G487" t="s">
        <x:v>2015</x:v>
      </x:c>
      <x:c r="H487" t="s">
        <x:v>2016</x:v>
      </x:c>
      <x:c r="I487" t="s">
        <x:v>2017</x:v>
      </x:c>
      <x:c r="J487" t="s">
        <x:v>1234</x:v>
      </x:c>
      <x:c r="K487" t="s">
        <x:v>210</x:v>
      </x:c>
      <x:c r="L487" t="s">
        <x:v>37</x:v>
      </x:c>
      <x:c r="M487" t="s">
        <x:v>2018</x:v>
      </x:c>
      <x:c r="N487" t="s">
        <x:v>2019</x:v>
      </x:c>
      <x:c r="O487" t="s">
        <x:v>2016</x:v>
      </x:c>
      <x:c r="P487" t="s">
        <x:v>2020</x:v>
      </x:c>
      <x:c r="Q487" t="s">
        <x:v>102</x:v>
      </x:c>
      <x:c r="R487">
        <x:v>1</x:v>
      </x:c>
      <x:c r="S487" t="s">
        <x:v>42</x:v>
      </x:c>
      <x:c r="T487" t="s">
        <x:v>44</x:v>
      </x:c>
      <x:c r="U487" t="s">
        <x:v>44</x:v>
      </x:c>
      <x:c r="V487" t="s">
        <x:v>45</x:v>
      </x:c>
      <x:c r="W487" t="s">
        <x:v>46</x:v>
      </x:c>
      <x:c r="X487">
        <x:v>186.44</x:v>
      </x:c>
      <x:c r="Y487" t="s">
        <x:v>47</x:v>
      </x:c>
      <x:c r="Z487" t="s">
        <x:v>48</x:v>
      </x:c>
      <x:c r="AA487" t="s">
        <x:v>49</x:v>
      </x:c>
      <x:c r="AC487" t="s">
        <x:v>1238</x:v>
      </x:c>
      <x:c r="AD487">
        <x:v>50</x:v>
      </x:c>
    </x:row>
    <x:row r="488">
      <x:c r="A488" s="1">
        <x:v>46255</x:v>
      </x:c>
      <x:c r="B488" t="s">
        <x:v>4054</x:v>
      </x:c>
      <x:c r="C488" t="s">
        <x:v>2013</x:v>
      </x:c>
      <x:c r="D488" t="s">
        <x:v>29</x:v>
      </x:c>
      <x:c r="E488" t="s">
        <x:v>2014</x:v>
      </x:c>
      <x:c r="F488" t="s">
        <x:v>31</x:v>
      </x:c>
      <x:c r="G488" t="s">
        <x:v>2015</x:v>
      </x:c>
      <x:c r="H488" t="s">
        <x:v>2016</x:v>
      </x:c>
      <x:c r="I488" t="s">
        <x:v>2017</x:v>
      </x:c>
      <x:c r="J488" t="s">
        <x:v>1234</x:v>
      </x:c>
      <x:c r="K488" t="s">
        <x:v>210</x:v>
      </x:c>
      <x:c r="L488" t="s">
        <x:v>37</x:v>
      </x:c>
      <x:c r="M488" t="s">
        <x:v>2018</x:v>
      </x:c>
      <x:c r="N488" t="s">
        <x:v>2019</x:v>
      </x:c>
      <x:c r="O488" t="s">
        <x:v>2016</x:v>
      </x:c>
      <x:c r="P488" t="s">
        <x:v>2020</x:v>
      </x:c>
      <x:c r="Q488" t="s">
        <x:v>159</x:v>
      </x:c>
      <x:c r="R488">
        <x:v>1</x:v>
      </x:c>
      <x:c r="S488" t="s">
        <x:v>42</x:v>
      </x:c>
      <x:c r="T488" t="s">
        <x:v>44</x:v>
      </x:c>
      <x:c r="U488" t="s">
        <x:v>44</x:v>
      </x:c>
      <x:c r="V488" t="s">
        <x:v>45</x:v>
      </x:c>
      <x:c r="W488" t="s">
        <x:v>46</x:v>
      </x:c>
      <x:c r="X488">
        <x:v>152.54</x:v>
      </x:c>
      <x:c r="Y488" t="s">
        <x:v>47</x:v>
      </x:c>
      <x:c r="Z488" t="s">
        <x:v>48</x:v>
      </x:c>
      <x:c r="AA488" t="s">
        <x:v>49</x:v>
      </x:c>
      <x:c r="AC488" t="s">
        <x:v>1238</x:v>
      </x:c>
      <x:c r="AD488">
        <x:v>30</x:v>
      </x:c>
    </x:row>
    <x:row r="489">
      <x:c r="A489" s="1">
        <x:v>46256</x:v>
      </x:c>
      <x:c r="B489" t="s">
        <x:v>4054</x:v>
      </x:c>
      <x:c r="C489" t="s">
        <x:v>2030</x:v>
      </x:c>
      <x:c r="D489" t="s">
        <x:v>29</x:v>
      </x:c>
      <x:c r="E489" t="s">
        <x:v>2031</x:v>
      </x:c>
      <x:c r="F489" t="s">
        <x:v>31</x:v>
      </x:c>
      <x:c r="G489" t="s">
        <x:v>2032</x:v>
      </x:c>
      <x:c r="H489" t="s">
        <x:v>2033</x:v>
      </x:c>
      <x:c r="I489" t="s">
        <x:v>2034</x:v>
      </x:c>
      <x:c r="J489" t="s">
        <x:v>412</x:v>
      </x:c>
      <x:c r="K489" t="s">
        <x:v>413</x:v>
      </x:c>
      <x:c r="L489" t="s">
        <x:v>37</x:v>
      </x:c>
      <x:c r="M489" t="s">
        <x:v>2035</x:v>
      </x:c>
      <x:c r="N489" t="s">
        <x:v>2036</x:v>
      </x:c>
      <x:c r="O489" t="s">
        <x:v>2033</x:v>
      </x:c>
      <x:c r="P489" t="s">
        <x:v>2037</x:v>
      </x:c>
      <x:c r="Q489" t="s">
        <x:v>41</x:v>
      </x:c>
      <x:c r="R489">
        <x:v>1</x:v>
      </x:c>
      <x:c r="S489" t="s">
        <x:v>42</x:v>
      </x:c>
      <x:c r="T489" t="s">
        <x:v>44</x:v>
      </x:c>
      <x:c r="U489" t="s">
        <x:v>44</x:v>
      </x:c>
      <x:c r="V489" t="s">
        <x:v>45</x:v>
      </x:c>
      <x:c r="W489" t="s">
        <x:v>60</x:v>
      </x:c>
      <x:c r="X489">
        <x:v>186.44</x:v>
      </x:c>
      <x:c r="Y489" t="s">
        <x:v>47</x:v>
      </x:c>
      <x:c r="Z489" t="s">
        <x:v>48</x:v>
      </x:c>
      <x:c r="AA489" t="s">
        <x:v>49</x:v>
      </x:c>
      <x:c r="AB489">
        <x:v>982673362</x:v>
      </x:c>
      <x:c r="AC489" t="s">
        <x:v>417</x:v>
      </x:c>
      <x:c r="AD489">
        <x:v>50</x:v>
      </x:c>
    </x:row>
    <x:row r="490">
      <x:c r="A490" s="1">
        <x:v>46256</x:v>
      </x:c>
      <x:c r="B490" t="s">
        <x:v>4054</x:v>
      </x:c>
      <x:c r="C490" t="s">
        <x:v>2030</x:v>
      </x:c>
      <x:c r="D490" t="s">
        <x:v>29</x:v>
      </x:c>
      <x:c r="E490" t="s">
        <x:v>2031</x:v>
      </x:c>
      <x:c r="F490" t="s">
        <x:v>31</x:v>
      </x:c>
      <x:c r="G490" t="s">
        <x:v>2032</x:v>
      </x:c>
      <x:c r="H490" t="s">
        <x:v>2033</x:v>
      </x:c>
      <x:c r="I490" t="s">
        <x:v>2034</x:v>
      </x:c>
      <x:c r="J490" t="s">
        <x:v>412</x:v>
      </x:c>
      <x:c r="K490" t="s">
        <x:v>413</x:v>
      </x:c>
      <x:c r="L490" t="s">
        <x:v>37</x:v>
      </x:c>
      <x:c r="M490" t="s">
        <x:v>2035</x:v>
      </x:c>
      <x:c r="N490" t="s">
        <x:v>2036</x:v>
      </x:c>
      <x:c r="O490" t="s">
        <x:v>2033</x:v>
      </x:c>
      <x:c r="P490" t="s">
        <x:v>2037</x:v>
      </x:c>
      <x:c r="Q490" t="s">
        <x:v>102</x:v>
      </x:c>
      <x:c r="R490">
        <x:v>1</x:v>
      </x:c>
      <x:c r="S490" t="s">
        <x:v>42</x:v>
      </x:c>
      <x:c r="T490" t="s">
        <x:v>44</x:v>
      </x:c>
      <x:c r="U490" t="s">
        <x:v>44</x:v>
      </x:c>
      <x:c r="V490" t="s">
        <x:v>45</x:v>
      </x:c>
      <x:c r="W490" t="s">
        <x:v>60</x:v>
      </x:c>
      <x:c r="X490">
        <x:v>186.44</x:v>
      </x:c>
      <x:c r="Y490" t="s">
        <x:v>47</x:v>
      </x:c>
      <x:c r="Z490" t="s">
        <x:v>48</x:v>
      </x:c>
      <x:c r="AA490" t="s">
        <x:v>49</x:v>
      </x:c>
      <x:c r="AB490">
        <x:v>982673362</x:v>
      </x:c>
      <x:c r="AC490" t="s">
        <x:v>417</x:v>
      </x:c>
      <x:c r="AD490">
        <x:v>50</x:v>
      </x:c>
    </x:row>
    <x:row r="491">
      <x:c r="A491" s="1">
        <x:v>46256</x:v>
      </x:c>
      <x:c r="B491" t="s">
        <x:v>4054</x:v>
      </x:c>
      <x:c r="C491" t="s">
        <x:v>2038</x:v>
      </x:c>
      <x:c r="D491" t="s">
        <x:v>29</x:v>
      </x:c>
      <x:c r="E491" t="s">
        <x:v>1788</x:v>
      </x:c>
      <x:c r="F491" t="s">
        <x:v>31</x:v>
      </x:c>
      <x:c r="G491" t="s">
        <x:v>2039</x:v>
      </x:c>
      <x:c r="H491" t="s">
        <x:v>1914</x:v>
      </x:c>
      <x:c r="I491" t="s">
        <x:v>1915</x:v>
      </x:c>
      <x:c r="J491" t="s">
        <x:v>412</x:v>
      </x:c>
      <x:c r="K491" t="s">
        <x:v>413</x:v>
      </x:c>
      <x:c r="L491" t="s">
        <x:v>37</x:v>
      </x:c>
      <x:c r="M491" t="s">
        <x:v>1916</x:v>
      </x:c>
      <x:c r="N491" t="s">
        <x:v>1917</x:v>
      </x:c>
      <x:c r="O491" t="s">
        <x:v>1914</x:v>
      </x:c>
      <x:c r="P491" t="s">
        <x:v>2040</x:v>
      </x:c>
      <x:c r="Q491" t="s">
        <x:v>2041</x:v>
      </x:c>
      <x:c r="R491">
        <x:v>1</x:v>
      </x:c>
      <x:c r="S491" t="s">
        <x:v>42</x:v>
      </x:c>
      <x:c r="T491" t="s">
        <x:v>44</x:v>
      </x:c>
      <x:c r="U491" t="s">
        <x:v>44</x:v>
      </x:c>
      <x:c r="V491" t="s">
        <x:v>532</x:v>
      </x:c>
      <x:c r="W491" t="s">
        <x:v>1980</x:v>
      </x:c>
      <x:c r="X491">
        <x:v>63.56</x:v>
      </x:c>
      <x:c r="Y491" t="s">
        <x:v>2042</x:v>
      </x:c>
      <x:c r="Z491" t="s">
        <x:v>48</x:v>
      </x:c>
      <x:c r="AA491" t="s">
        <x:v>535</x:v>
      </x:c>
      <x:c r="AB491">
        <x:v>982673362</x:v>
      </x:c>
      <x:c r="AC491" t="s">
        <x:v>417</x:v>
      </x:c>
    </x:row>
    <x:row r="492">
      <x:c r="A492" s="1">
        <x:v>46256</x:v>
      </x:c>
      <x:c r="B492" t="s">
        <x:v>4054</x:v>
      </x:c>
      <x:c r="C492" t="s">
        <x:v>2043</x:v>
      </x:c>
      <x:c r="D492" t="s">
        <x:v>29</x:v>
      </x:c>
      <x:c r="E492" t="s">
        <x:v>2044</x:v>
      </x:c>
      <x:c r="F492" t="s">
        <x:v>31</x:v>
      </x:c>
      <x:c r="G492" t="s">
        <x:v>2045</x:v>
      </x:c>
      <x:c r="H492" t="s">
        <x:v>2046</x:v>
      </x:c>
      <x:c r="I492" t="s">
        <x:v>2047</x:v>
      </x:c>
      <x:c r="J492" t="s">
        <x:v>2048</x:v>
      </x:c>
      <x:c r="K492" t="s">
        <x:v>2049</x:v>
      </x:c>
      <x:c r="L492" t="s">
        <x:v>37</x:v>
      </x:c>
      <x:c r="M492" t="s">
        <x:v>2050</x:v>
      </x:c>
      <x:c r="N492" t="s">
        <x:v>2051</x:v>
      </x:c>
      <x:c r="O492" t="s">
        <x:v>2046</x:v>
      </x:c>
      <x:c r="P492" t="s">
        <x:v>2052</x:v>
      </x:c>
      <x:c r="Q492" t="s">
        <x:v>102</x:v>
      </x:c>
      <x:c r="R492">
        <x:v>1</x:v>
      </x:c>
      <x:c r="S492" t="s">
        <x:v>42</x:v>
      </x:c>
      <x:c r="T492" t="s">
        <x:v>44</x:v>
      </x:c>
      <x:c r="U492" t="s">
        <x:v>44</x:v>
      </x:c>
      <x:c r="V492" t="s">
        <x:v>45</x:v>
      </x:c>
      <x:c r="W492" t="s">
        <x:v>60</x:v>
      </x:c>
      <x:c r="X492">
        <x:v>186.44</x:v>
      </x:c>
      <x:c r="Y492" t="s">
        <x:v>47</x:v>
      </x:c>
      <x:c r="Z492" t="s">
        <x:v>48</x:v>
      </x:c>
      <x:c r="AA492" t="s">
        <x:v>49</x:v>
      </x:c>
      <x:c r="AB492">
        <x:v>986661693</x:v>
      </x:c>
      <x:c r="AC492" t="s">
        <x:v>2053</x:v>
      </x:c>
      <x:c r="AD492">
        <x:v>50</x:v>
      </x:c>
    </x:row>
    <x:row r="493">
      <x:c r="A493" s="1">
        <x:v>46256</x:v>
      </x:c>
      <x:c r="B493" t="s">
        <x:v>4054</x:v>
      </x:c>
      <x:c r="C493" t="s">
        <x:v>2054</x:v>
      </x:c>
      <x:c r="D493" t="s">
        <x:v>29</x:v>
      </x:c>
      <x:c r="E493" t="s">
        <x:v>2055</x:v>
      </x:c>
      <x:c r="F493" t="s">
        <x:v>31</x:v>
      </x:c>
      <x:c r="G493" t="s">
        <x:v>2056</x:v>
      </x:c>
      <x:c r="H493" t="s">
        <x:v>2057</x:v>
      </x:c>
      <x:c r="I493" t="s">
        <x:v>2058</x:v>
      </x:c>
      <x:c r="J493" t="s">
        <x:v>1390</x:v>
      </x:c>
      <x:c r="K493" t="s">
        <x:v>4055</x:v>
      </x:c>
      <x:c r="L493" t="s">
        <x:v>37</x:v>
      </x:c>
      <x:c r="M493" t="s">
        <x:v>2059</x:v>
      </x:c>
      <x:c r="N493" t="s">
        <x:v>2060</x:v>
      </x:c>
      <x:c r="O493" t="s">
        <x:v>2057</x:v>
      </x:c>
      <x:c r="P493" t="s">
        <x:v>2061</x:v>
      </x:c>
      <x:c r="Q493" t="s">
        <x:v>160</x:v>
      </x:c>
      <x:c r="R493">
        <x:v>1</x:v>
      </x:c>
      <x:c r="S493" t="s">
        <x:v>42</x:v>
      </x:c>
      <x:c r="T493" t="s">
        <x:v>44</x:v>
      </x:c>
      <x:c r="U493" t="s">
        <x:v>44</x:v>
      </x:c>
      <x:c r="V493" t="s">
        <x:v>45</x:v>
      </x:c>
      <x:c r="W493" t="s">
        <x:v>46</x:v>
      </x:c>
      <x:c r="X493">
        <x:v>135.59</x:v>
      </x:c>
      <x:c r="Y493" t="s">
        <x:v>47</x:v>
      </x:c>
      <x:c r="Z493" t="s">
        <x:v>48</x:v>
      </x:c>
      <x:c r="AA493" t="s">
        <x:v>49</x:v>
      </x:c>
      <x:c r="AB493">
        <x:v>917791542</x:v>
      </x:c>
      <x:c r="AC493" t="s">
        <x:v>1394</x:v>
      </x:c>
      <x:c r="AD493">
        <x:v>30</x:v>
      </x:c>
    </x:row>
    <x:row r="494">
      <x:c r="A494" s="1">
        <x:v>46256</x:v>
      </x:c>
      <x:c r="B494" t="s">
        <x:v>4054</x:v>
      </x:c>
      <x:c r="C494" t="s">
        <x:v>2062</x:v>
      </x:c>
      <x:c r="D494" t="s">
        <x:v>29</x:v>
      </x:c>
      <x:c r="E494" t="s">
        <x:v>2063</x:v>
      </x:c>
      <x:c r="F494" t="s">
        <x:v>31</x:v>
      </x:c>
      <x:c r="G494" t="s">
        <x:v>2064</x:v>
      </x:c>
      <x:c r="H494" t="s">
        <x:v>2065</x:v>
      </x:c>
      <x:c r="I494" t="s">
        <x:v>2066</x:v>
      </x:c>
      <x:c r="J494" t="s">
        <x:v>1390</x:v>
      </x:c>
      <x:c r="K494" t="s">
        <x:v>4055</x:v>
      </x:c>
      <x:c r="L494" t="s">
        <x:v>37</x:v>
      </x:c>
      <x:c r="M494" t="s">
        <x:v>2067</x:v>
      </x:c>
      <x:c r="N494" t="s">
        <x:v>2068</x:v>
      </x:c>
      <x:c r="O494" t="s">
        <x:v>2065</x:v>
      </x:c>
      <x:c r="P494" t="s">
        <x:v>2069</x:v>
      </x:c>
      <x:c r="Q494" t="s">
        <x:v>160</x:v>
      </x:c>
      <x:c r="R494">
        <x:v>1</x:v>
      </x:c>
      <x:c r="S494" t="s">
        <x:v>42</x:v>
      </x:c>
      <x:c r="T494" t="s">
        <x:v>44</x:v>
      </x:c>
      <x:c r="U494" t="s">
        <x:v>44</x:v>
      </x:c>
      <x:c r="V494" t="s">
        <x:v>45</x:v>
      </x:c>
      <x:c r="W494" t="s">
        <x:v>46</x:v>
      </x:c>
      <x:c r="X494">
        <x:v>135.59</x:v>
      </x:c>
      <x:c r="Y494" t="s">
        <x:v>47</x:v>
      </x:c>
      <x:c r="Z494" t="s">
        <x:v>48</x:v>
      </x:c>
      <x:c r="AA494" t="s">
        <x:v>49</x:v>
      </x:c>
      <x:c r="AB494">
        <x:v>917791542</x:v>
      </x:c>
      <x:c r="AC494" t="s">
        <x:v>1394</x:v>
      </x:c>
      <x:c r="AD494">
        <x:v>30</x:v>
      </x:c>
    </x:row>
    <x:row r="495">
      <x:c r="A495" s="1">
        <x:v>46256</x:v>
      </x:c>
      <x:c r="B495" t="s">
        <x:v>4054</x:v>
      </x:c>
      <x:c r="C495" t="s">
        <x:v>2070</x:v>
      </x:c>
      <x:c r="D495" t="s">
        <x:v>29</x:v>
      </x:c>
      <x:c r="E495" t="s">
        <x:v>2071</x:v>
      </x:c>
      <x:c r="F495" t="s">
        <x:v>31</x:v>
      </x:c>
      <x:c r="G495" t="s">
        <x:v>2072</x:v>
      </x:c>
      <x:c r="H495" t="s">
        <x:v>2073</x:v>
      </x:c>
      <x:c r="I495" t="s">
        <x:v>2074</x:v>
      </x:c>
      <x:c r="J495" t="s">
        <x:v>2784</x:v>
      </x:c>
      <x:c r="K495" t="s">
        <x:v>210</x:v>
      </x:c>
      <x:c r="L495" t="s">
        <x:v>37</x:v>
      </x:c>
      <x:c r="M495" t="s">
        <x:v>2075</x:v>
      </x:c>
      <x:c r="N495" t="s">
        <x:v>2076</x:v>
      </x:c>
      <x:c r="O495" t="s">
        <x:v>2073</x:v>
      </x:c>
      <x:c r="P495" t="s">
        <x:v>2077</x:v>
      </x:c>
      <x:c r="Q495" t="s">
        <x:v>203</x:v>
      </x:c>
      <x:c r="R495">
        <x:v>1</x:v>
      </x:c>
      <x:c r="S495" t="s">
        <x:v>42</x:v>
      </x:c>
      <x:c r="T495" t="s">
        <x:v>44</x:v>
      </x:c>
      <x:c r="U495" t="s">
        <x:v>44</x:v>
      </x:c>
      <x:c r="V495" t="s">
        <x:v>71</x:v>
      </x:c>
      <x:c r="W495" t="s">
        <x:v>2078</x:v>
      </x:c>
      <x:c r="X495">
        <x:v>135.59</x:v>
      </x:c>
      <x:c r="Y495" t="s">
        <x:v>47</x:v>
      </x:c>
      <x:c r="Z495" t="s">
        <x:v>48</x:v>
      </x:c>
      <x:c r="AA495" t="s">
        <x:v>73</x:v>
      </x:c>
      <x:c r="AD495">
        <x:v>30</x:v>
      </x:c>
    </x:row>
    <x:row r="496">
      <x:c r="A496" s="1">
        <x:v>46256</x:v>
      </x:c>
      <x:c r="B496" t="s">
        <x:v>4054</x:v>
      </x:c>
      <x:c r="C496" t="s">
        <x:v>2079</x:v>
      </x:c>
      <x:c r="D496" t="s">
        <x:v>29</x:v>
      </x:c>
      <x:c r="E496" t="s">
        <x:v>2080</x:v>
      </x:c>
      <x:c r="F496" t="s">
        <x:v>31</x:v>
      </x:c>
      <x:c r="G496" t="s">
        <x:v>2081</x:v>
      </x:c>
      <x:c r="H496" t="s">
        <x:v>2082</x:v>
      </x:c>
      <x:c r="I496" t="s">
        <x:v>2083</x:v>
      </x:c>
      <x:c r="J496" t="s">
        <x:v>435</x:v>
      </x:c>
      <x:c r="K496" t="s">
        <x:v>436</x:v>
      </x:c>
      <x:c r="L496" t="s">
        <x:v>37</x:v>
      </x:c>
      <x:c r="M496" t="s">
        <x:v>2084</x:v>
      </x:c>
      <x:c r="N496" t="s">
        <x:v>2085</x:v>
      </x:c>
      <x:c r="O496" t="s">
        <x:v>2082</x:v>
      </x:c>
      <x:c r="P496" t="s">
        <x:v>2086</x:v>
      </x:c>
      <x:c r="Q496" t="s">
        <x:v>91</x:v>
      </x:c>
      <x:c r="R496">
        <x:v>1</x:v>
      </x:c>
      <x:c r="S496" t="s">
        <x:v>70</x:v>
      </x:c>
      <x:c r="T496" t="s">
        <x:v>43</x:v>
      </x:c>
      <x:c r="U496" t="s">
        <x:v>44</x:v>
      </x:c>
      <x:c r="V496" t="s">
        <x:v>71</x:v>
      </x:c>
      <x:c r="W496" t="s">
        <x:v>72</x:v>
      </x:c>
      <x:c r="X496">
        <x:v>135.59</x:v>
      </x:c>
      <x:c r="Y496" t="s">
        <x:v>47</x:v>
      </x:c>
      <x:c r="Z496" t="s">
        <x:v>48</x:v>
      </x:c>
      <x:c r="AA496" t="s">
        <x:v>73</x:v>
      </x:c>
      <x:c r="AB496">
        <x:v>992903716</x:v>
      </x:c>
      <x:c r="AC496" t="s">
        <x:v>440</x:v>
      </x:c>
      <x:c r="AD496">
        <x:v>30</x:v>
      </x:c>
    </x:row>
    <x:row r="497">
      <x:c r="A497" s="1">
        <x:v>46256</x:v>
      </x:c>
      <x:c r="B497" t="s">
        <x:v>4054</x:v>
      </x:c>
      <x:c r="C497" t="s">
        <x:v>2087</x:v>
      </x:c>
      <x:c r="D497" t="s">
        <x:v>29</x:v>
      </x:c>
      <x:c r="E497" t="s">
        <x:v>2088</x:v>
      </x:c>
      <x:c r="F497" t="s">
        <x:v>31</x:v>
      </x:c>
      <x:c r="G497" t="s">
        <x:v>2089</x:v>
      </x:c>
      <x:c r="H497" t="s">
        <x:v>2090</x:v>
      </x:c>
      <x:c r="I497" t="s">
        <x:v>2091</x:v>
      </x:c>
      <x:c r="J497" t="s">
        <x:v>776</x:v>
      </x:c>
      <x:c r="K497" t="s">
        <x:v>777</x:v>
      </x:c>
      <x:c r="L497" t="s">
        <x:v>37</x:v>
      </x:c>
      <x:c r="M497" t="s">
        <x:v>2092</x:v>
      </x:c>
      <x:c r="N497" t="s">
        <x:v>2093</x:v>
      </x:c>
      <x:c r="O497" t="s">
        <x:v>2090</x:v>
      </x:c>
      <x:c r="P497" t="s">
        <x:v>2094</x:v>
      </x:c>
      <x:c r="Q497" t="s">
        <x:v>102</x:v>
      </x:c>
      <x:c r="R497">
        <x:v>1</x:v>
      </x:c>
      <x:c r="S497" t="s">
        <x:v>42</x:v>
      </x:c>
      <x:c r="T497" t="s">
        <x:v>44</x:v>
      </x:c>
      <x:c r="U497" t="s">
        <x:v>44</x:v>
      </x:c>
      <x:c r="V497" t="s">
        <x:v>71</x:v>
      </x:c>
      <x:c r="W497" t="s">
        <x:v>72</x:v>
      </x:c>
      <x:c r="X497">
        <x:v>186.44</x:v>
      </x:c>
      <x:c r="Y497" t="s">
        <x:v>47</x:v>
      </x:c>
      <x:c r="Z497" t="s">
        <x:v>48</x:v>
      </x:c>
      <x:c r="AA497" t="s">
        <x:v>73</x:v>
      </x:c>
      <x:c r="AD497">
        <x:v>50</x:v>
      </x:c>
    </x:row>
    <x:row r="498">
      <x:c r="A498" s="1">
        <x:v>46258</x:v>
      </x:c>
      <x:c r="B498" t="s">
        <x:v>4054</x:v>
      </x:c>
      <x:c r="C498" t="s">
        <x:v>2095</x:v>
      </x:c>
      <x:c r="D498" t="s">
        <x:v>29</x:v>
      </x:c>
      <x:c r="E498" t="s">
        <x:v>2096</x:v>
      </x:c>
      <x:c r="F498" t="s">
        <x:v>31</x:v>
      </x:c>
      <x:c r="G498" t="s">
        <x:v>2097</x:v>
      </x:c>
      <x:c r="H498" t="s">
        <x:v>2098</x:v>
      </x:c>
      <x:c r="I498" t="s">
        <x:v>2099</x:v>
      </x:c>
      <x:c r="J498" t="s">
        <x:v>412</x:v>
      </x:c>
      <x:c r="K498" t="s">
        <x:v>413</x:v>
      </x:c>
      <x:c r="L498" t="s">
        <x:v>37</x:v>
      </x:c>
      <x:c r="M498" t="s">
        <x:v>2100</x:v>
      </x:c>
      <x:c r="N498" t="s">
        <x:v>2101</x:v>
      </x:c>
      <x:c r="O498" t="s">
        <x:v>2098</x:v>
      </x:c>
      <x:c r="P498" t="s">
        <x:v>2102</x:v>
      </x:c>
      <x:c r="Q498" t="s">
        <x:v>41</x:v>
      </x:c>
      <x:c r="R498">
        <x:v>1</x:v>
      </x:c>
      <x:c r="S498" t="s">
        <x:v>42</x:v>
      </x:c>
      <x:c r="T498" t="s">
        <x:v>44</x:v>
      </x:c>
      <x:c r="U498" t="s">
        <x:v>44</x:v>
      </x:c>
      <x:c r="V498" t="s">
        <x:v>45</x:v>
      </x:c>
      <x:c r="W498" t="s">
        <x:v>46</x:v>
      </x:c>
      <x:c r="X498">
        <x:v>186.44</x:v>
      </x:c>
      <x:c r="Y498" t="s">
        <x:v>47</x:v>
      </x:c>
      <x:c r="Z498" t="s">
        <x:v>48</x:v>
      </x:c>
      <x:c r="AA498" t="s">
        <x:v>49</x:v>
      </x:c>
      <x:c r="AB498">
        <x:v>982673362</x:v>
      </x:c>
      <x:c r="AC498" t="s">
        <x:v>417</x:v>
      </x:c>
      <x:c r="AD498">
        <x:v>50</x:v>
      </x:c>
    </x:row>
    <x:row r="499">
      <x:c r="A499" s="1">
        <x:v>46258</x:v>
      </x:c>
      <x:c r="B499" t="s">
        <x:v>4054</x:v>
      </x:c>
      <x:c r="C499" t="s">
        <x:v>2103</x:v>
      </x:c>
      <x:c r="D499" t="s">
        <x:v>29</x:v>
      </x:c>
      <x:c r="E499" t="s">
        <x:v>2104</x:v>
      </x:c>
      <x:c r="F499" t="s">
        <x:v>31</x:v>
      </x:c>
      <x:c r="G499" t="s">
        <x:v>2105</x:v>
      </x:c>
      <x:c r="H499" t="s">
        <x:v>2098</x:v>
      </x:c>
      <x:c r="I499" t="s">
        <x:v>2099</x:v>
      </x:c>
      <x:c r="J499" t="s">
        <x:v>412</x:v>
      </x:c>
      <x:c r="K499" t="s">
        <x:v>413</x:v>
      </x:c>
      <x:c r="L499" t="s">
        <x:v>37</x:v>
      </x:c>
      <x:c r="M499" t="s">
        <x:v>2100</x:v>
      </x:c>
      <x:c r="N499" t="s">
        <x:v>2101</x:v>
      </x:c>
      <x:c r="O499" t="s">
        <x:v>2098</x:v>
      </x:c>
      <x:c r="P499" t="s">
        <x:v>2106</x:v>
      </x:c>
      <x:c r="Q499" t="s">
        <x:v>102</x:v>
      </x:c>
      <x:c r="R499">
        <x:v>1</x:v>
      </x:c>
      <x:c r="S499" t="s">
        <x:v>42</x:v>
      </x:c>
      <x:c r="T499" t="s">
        <x:v>44</x:v>
      </x:c>
      <x:c r="U499" t="s">
        <x:v>44</x:v>
      </x:c>
      <x:c r="V499" t="s">
        <x:v>45</x:v>
      </x:c>
      <x:c r="W499" t="s">
        <x:v>46</x:v>
      </x:c>
      <x:c r="X499">
        <x:v>186.44</x:v>
      </x:c>
      <x:c r="Y499" t="s">
        <x:v>47</x:v>
      </x:c>
      <x:c r="Z499" t="s">
        <x:v>48</x:v>
      </x:c>
      <x:c r="AA499" t="s">
        <x:v>49</x:v>
      </x:c>
      <x:c r="AB499">
        <x:v>982673362</x:v>
      </x:c>
      <x:c r="AC499" t="s">
        <x:v>417</x:v>
      </x:c>
      <x:c r="AD499">
        <x:v>50</x:v>
      </x:c>
    </x:row>
    <x:row r="500">
      <x:c r="A500" s="1">
        <x:v>46258</x:v>
      </x:c>
      <x:c r="B500" t="s">
        <x:v>4054</x:v>
      </x:c>
      <x:c r="C500" t="s">
        <x:v>2107</x:v>
      </x:c>
      <x:c r="D500" t="s">
        <x:v>29</x:v>
      </x:c>
      <x:c r="E500" t="s">
        <x:v>2108</x:v>
      </x:c>
      <x:c r="F500" t="s">
        <x:v>31</x:v>
      </x:c>
      <x:c r="G500" t="s">
        <x:v>2109</x:v>
      </x:c>
      <x:c r="H500" t="s">
        <x:v>2110</x:v>
      </x:c>
      <x:c r="I500" t="s">
        <x:v>2111</x:v>
      </x:c>
      <x:c r="J500" t="s">
        <x:v>137</x:v>
      </x:c>
      <x:c r="K500" t="s">
        <x:v>138</x:v>
      </x:c>
      <x:c r="L500" t="s">
        <x:v>37</x:v>
      </x:c>
      <x:c r="M500" t="s">
        <x:v>2112</x:v>
      </x:c>
      <x:c r="N500" t="s">
        <x:v>2113</x:v>
      </x:c>
      <x:c r="O500" t="s">
        <x:v>2110</x:v>
      </x:c>
      <x:c r="P500" t="s">
        <x:v>2114</x:v>
      </x:c>
      <x:c r="Q500" t="s">
        <x:v>41</x:v>
      </x:c>
      <x:c r="R500">
        <x:v>1</x:v>
      </x:c>
      <x:c r="S500" t="s">
        <x:v>42</x:v>
      </x:c>
      <x:c r="T500" t="s">
        <x:v>44</x:v>
      </x:c>
      <x:c r="U500" t="s">
        <x:v>44</x:v>
      </x:c>
      <x:c r="V500" t="s">
        <x:v>45</x:v>
      </x:c>
      <x:c r="W500" t="s">
        <x:v>46</x:v>
      </x:c>
      <x:c r="X500">
        <x:v>186.44</x:v>
      </x:c>
      <x:c r="Y500" t="s">
        <x:v>47</x:v>
      </x:c>
      <x:c r="Z500" t="s">
        <x:v>48</x:v>
      </x:c>
      <x:c r="AA500" t="s">
        <x:v>49</x:v>
      </x:c>
      <x:c r="AB500">
        <x:v>987407712</x:v>
      </x:c>
      <x:c r="AC500" t="s">
        <x:v>142</x:v>
      </x:c>
      <x:c r="AD500">
        <x:v>50</x:v>
      </x:c>
    </x:row>
    <x:row r="501">
      <x:c r="A501" s="1">
        <x:v>46258</x:v>
      </x:c>
      <x:c r="B501" t="s">
        <x:v>4054</x:v>
      </x:c>
      <x:c r="C501" t="s">
        <x:v>2115</x:v>
      </x:c>
      <x:c r="D501" t="s">
        <x:v>29</x:v>
      </x:c>
      <x:c r="E501" t="s">
        <x:v>2116</x:v>
      </x:c>
      <x:c r="F501" t="s">
        <x:v>31</x:v>
      </x:c>
      <x:c r="G501" t="s">
        <x:v>2117</x:v>
      </x:c>
      <x:c r="H501" t="s">
        <x:v>2118</x:v>
      </x:c>
      <x:c r="I501" t="s">
        <x:v>2119</x:v>
      </x:c>
      <x:c r="J501" t="s">
        <x:v>664</x:v>
      </x:c>
      <x:c r="K501" t="s">
        <x:v>36</x:v>
      </x:c>
      <x:c r="L501" t="s">
        <x:v>37</x:v>
      </x:c>
      <x:c r="M501" t="s">
        <x:v>2120</x:v>
      </x:c>
      <x:c r="N501" t="s">
        <x:v>2121</x:v>
      </x:c>
      <x:c r="O501" t="s">
        <x:v>2118</x:v>
      </x:c>
      <x:c r="P501" t="s">
        <x:v>2122</x:v>
      </x:c>
      <x:c r="Q501" t="s">
        <x:v>102</x:v>
      </x:c>
      <x:c r="R501">
        <x:v>1</x:v>
      </x:c>
      <x:c r="S501" t="s">
        <x:v>42</x:v>
      </x:c>
      <x:c r="T501" t="s">
        <x:v>44</x:v>
      </x:c>
      <x:c r="U501" t="s">
        <x:v>44</x:v>
      </x:c>
      <x:c r="V501" t="s">
        <x:v>45</x:v>
      </x:c>
      <x:c r="W501" t="s">
        <x:v>46</x:v>
      </x:c>
      <x:c r="X501">
        <x:v>186.44</x:v>
      </x:c>
      <x:c r="Y501" t="s">
        <x:v>47</x:v>
      </x:c>
      <x:c r="Z501" t="s">
        <x:v>48</x:v>
      </x:c>
      <x:c r="AA501" t="s">
        <x:v>49</x:v>
      </x:c>
      <x:c r="AB501">
        <x:v>997145685</x:v>
      </x:c>
      <x:c r="AC501" t="s">
        <x:v>668</x:v>
      </x:c>
      <x:c r="AD501">
        <x:v>50</x:v>
      </x:c>
    </x:row>
    <x:row r="502">
      <x:c r="A502" s="1">
        <x:v>46258</x:v>
      </x:c>
      <x:c r="B502" t="s">
        <x:v>4054</x:v>
      </x:c>
      <x:c r="C502" t="s">
        <x:v>2123</x:v>
      </x:c>
      <x:c r="D502" t="s">
        <x:v>29</x:v>
      </x:c>
      <x:c r="E502" t="s">
        <x:v>2124</x:v>
      </x:c>
      <x:c r="F502" t="s">
        <x:v>31</x:v>
      </x:c>
      <x:c r="G502" t="s">
        <x:v>2125</x:v>
      </x:c>
      <x:c r="H502" t="s">
        <x:v>2126</x:v>
      </x:c>
      <x:c r="I502" t="s">
        <x:v>2127</x:v>
      </x:c>
      <x:c r="J502" t="s">
        <x:v>706</x:v>
      </x:c>
      <x:c r="K502" t="s">
        <x:v>707</x:v>
      </x:c>
      <x:c r="L502" t="s">
        <x:v>37</x:v>
      </x:c>
      <x:c r="M502" t="s">
        <x:v>2128</x:v>
      </x:c>
      <x:c r="N502" t="s">
        <x:v>2129</x:v>
      </x:c>
      <x:c r="O502" t="s">
        <x:v>2126</x:v>
      </x:c>
      <x:c r="P502" t="s">
        <x:v>2130</x:v>
      </x:c>
      <x:c r="Q502" t="s">
        <x:v>160</x:v>
      </x:c>
      <x:c r="R502">
        <x:v>1</x:v>
      </x:c>
      <x:c r="S502" t="s">
        <x:v>42</x:v>
      </x:c>
      <x:c r="T502" t="s">
        <x:v>44</x:v>
      </x:c>
      <x:c r="U502" t="s">
        <x:v>44</x:v>
      </x:c>
      <x:c r="V502" t="s">
        <x:v>45</x:v>
      </x:c>
      <x:c r="W502" t="s">
        <x:v>46</x:v>
      </x:c>
      <x:c r="X502">
        <x:v>135.59</x:v>
      </x:c>
      <x:c r="Y502" t="s">
        <x:v>47</x:v>
      </x:c>
      <x:c r="Z502" t="s">
        <x:v>48</x:v>
      </x:c>
      <x:c r="AA502" t="s">
        <x:v>49</x:v>
      </x:c>
      <x:c r="AB502">
        <x:v>998418895</x:v>
      </x:c>
      <x:c r="AC502" t="s">
        <x:v>711</x:v>
      </x:c>
      <x:c r="AD502">
        <x:v>30</x:v>
      </x:c>
    </x:row>
    <x:row r="503">
      <x:c r="A503" s="1">
        <x:v>46258</x:v>
      </x:c>
      <x:c r="B503" t="s">
        <x:v>4054</x:v>
      </x:c>
      <x:c r="C503" t="s">
        <x:v>2123</x:v>
      </x:c>
      <x:c r="D503" t="s">
        <x:v>29</x:v>
      </x:c>
      <x:c r="E503" t="s">
        <x:v>2124</x:v>
      </x:c>
      <x:c r="F503" t="s">
        <x:v>31</x:v>
      </x:c>
      <x:c r="G503" t="s">
        <x:v>2125</x:v>
      </x:c>
      <x:c r="H503" t="s">
        <x:v>2126</x:v>
      </x:c>
      <x:c r="I503" t="s">
        <x:v>2127</x:v>
      </x:c>
      <x:c r="J503" t="s">
        <x:v>706</x:v>
      </x:c>
      <x:c r="K503" t="s">
        <x:v>707</x:v>
      </x:c>
      <x:c r="L503" t="s">
        <x:v>37</x:v>
      </x:c>
      <x:c r="M503" t="s">
        <x:v>2128</x:v>
      </x:c>
      <x:c r="N503" t="s">
        <x:v>2129</x:v>
      </x:c>
      <x:c r="O503" t="s">
        <x:v>2126</x:v>
      </x:c>
      <x:c r="P503" t="s">
        <x:v>2130</x:v>
      </x:c>
      <x:c r="Q503" t="s">
        <x:v>159</x:v>
      </x:c>
      <x:c r="R503">
        <x:v>1</x:v>
      </x:c>
      <x:c r="S503" t="s">
        <x:v>42</x:v>
      </x:c>
      <x:c r="T503" t="s">
        <x:v>44</x:v>
      </x:c>
      <x:c r="U503" t="s">
        <x:v>44</x:v>
      </x:c>
      <x:c r="V503" t="s">
        <x:v>45</x:v>
      </x:c>
      <x:c r="W503" t="s">
        <x:v>46</x:v>
      </x:c>
      <x:c r="X503">
        <x:v>152.54</x:v>
      </x:c>
      <x:c r="Y503" t="s">
        <x:v>47</x:v>
      </x:c>
      <x:c r="Z503" t="s">
        <x:v>48</x:v>
      </x:c>
      <x:c r="AA503" t="s">
        <x:v>49</x:v>
      </x:c>
      <x:c r="AB503">
        <x:v>998418895</x:v>
      </x:c>
      <x:c r="AC503" t="s">
        <x:v>711</x:v>
      </x:c>
      <x:c r="AD503">
        <x:v>30</x:v>
      </x:c>
    </x:row>
    <x:row r="504">
      <x:c r="A504" s="1">
        <x:v>46258</x:v>
      </x:c>
      <x:c r="B504" t="s">
        <x:v>4054</x:v>
      </x:c>
      <x:c r="C504" t="s">
        <x:v>2123</x:v>
      </x:c>
      <x:c r="D504" t="s">
        <x:v>29</x:v>
      </x:c>
      <x:c r="E504" t="s">
        <x:v>2124</x:v>
      </x:c>
      <x:c r="F504" t="s">
        <x:v>31</x:v>
      </x:c>
      <x:c r="G504" t="s">
        <x:v>2125</x:v>
      </x:c>
      <x:c r="H504" t="s">
        <x:v>2126</x:v>
      </x:c>
      <x:c r="I504" t="s">
        <x:v>2127</x:v>
      </x:c>
      <x:c r="J504" t="s">
        <x:v>706</x:v>
      </x:c>
      <x:c r="K504" t="s">
        <x:v>707</x:v>
      </x:c>
      <x:c r="L504" t="s">
        <x:v>37</x:v>
      </x:c>
      <x:c r="M504" t="s">
        <x:v>2128</x:v>
      </x:c>
      <x:c r="N504" t="s">
        <x:v>2129</x:v>
      </x:c>
      <x:c r="O504" t="s">
        <x:v>2126</x:v>
      </x:c>
      <x:c r="P504" t="s">
        <x:v>2130</x:v>
      </x:c>
      <x:c r="Q504" t="s">
        <x:v>102</x:v>
      </x:c>
      <x:c r="R504">
        <x:v>1</x:v>
      </x:c>
      <x:c r="S504" t="s">
        <x:v>42</x:v>
      </x:c>
      <x:c r="T504" t="s">
        <x:v>44</x:v>
      </x:c>
      <x:c r="U504" t="s">
        <x:v>44</x:v>
      </x:c>
      <x:c r="V504" t="s">
        <x:v>45</x:v>
      </x:c>
      <x:c r="W504" t="s">
        <x:v>46</x:v>
      </x:c>
      <x:c r="X504">
        <x:v>186.44</x:v>
      </x:c>
      <x:c r="Y504" t="s">
        <x:v>47</x:v>
      </x:c>
      <x:c r="Z504" t="s">
        <x:v>48</x:v>
      </x:c>
      <x:c r="AA504" t="s">
        <x:v>49</x:v>
      </x:c>
      <x:c r="AB504">
        <x:v>998418895</x:v>
      </x:c>
      <x:c r="AC504" t="s">
        <x:v>711</x:v>
      </x:c>
      <x:c r="AD504">
        <x:v>50</x:v>
      </x:c>
    </x:row>
    <x:row r="505">
      <x:c r="A505" s="1">
        <x:v>46258</x:v>
      </x:c>
      <x:c r="B505" t="s">
        <x:v>4054</x:v>
      </x:c>
      <x:c r="C505" t="s">
        <x:v>2131</x:v>
      </x:c>
      <x:c r="D505" t="s">
        <x:v>29</x:v>
      </x:c>
      <x:c r="E505" t="s">
        <x:v>2132</x:v>
      </x:c>
      <x:c r="F505" t="s">
        <x:v>31</x:v>
      </x:c>
      <x:c r="G505" t="s">
        <x:v>2133</x:v>
      </x:c>
      <x:c r="H505" t="s">
        <x:v>2134</x:v>
      </x:c>
      <x:c r="I505" t="s">
        <x:v>2135</x:v>
      </x:c>
      <x:c r="J505" t="s">
        <x:v>1390</x:v>
      </x:c>
      <x:c r="K505" t="s">
        <x:v>4055</x:v>
      </x:c>
      <x:c r="L505" t="s">
        <x:v>37</x:v>
      </x:c>
      <x:c r="M505" t="s">
        <x:v>2136</x:v>
      </x:c>
      <x:c r="N505" t="s">
        <x:v>2137</x:v>
      </x:c>
      <x:c r="O505" t="s">
        <x:v>2134</x:v>
      </x:c>
      <x:c r="P505" t="s">
        <x:v>2138</x:v>
      </x:c>
      <x:c r="Q505" t="s">
        <x:v>203</x:v>
      </x:c>
      <x:c r="R505">
        <x:v>1</x:v>
      </x:c>
      <x:c r="S505" t="s">
        <x:v>42</x:v>
      </x:c>
      <x:c r="T505" t="s">
        <x:v>44</x:v>
      </x:c>
      <x:c r="U505" t="s">
        <x:v>44</x:v>
      </x:c>
      <x:c r="V505" t="s">
        <x:v>71</x:v>
      </x:c>
      <x:c r="W505" t="s">
        <x:v>2078</x:v>
      </x:c>
      <x:c r="X505">
        <x:v>135.59</x:v>
      </x:c>
      <x:c r="Y505" t="s">
        <x:v>47</x:v>
      </x:c>
      <x:c r="Z505" t="s">
        <x:v>48</x:v>
      </x:c>
      <x:c r="AA505" t="s">
        <x:v>73</x:v>
      </x:c>
      <x:c r="AB505">
        <x:v>917791542</x:v>
      </x:c>
      <x:c r="AC505" t="s">
        <x:v>1394</x:v>
      </x:c>
      <x:c r="AD505">
        <x:v>30</x:v>
      </x:c>
    </x:row>
    <x:row r="506">
      <x:c r="A506" s="1">
        <x:v>46258</x:v>
      </x:c>
      <x:c r="B506" t="s">
        <x:v>4054</x:v>
      </x:c>
      <x:c r="C506" t="s">
        <x:v>2139</x:v>
      </x:c>
      <x:c r="D506" t="s">
        <x:v>29</x:v>
      </x:c>
      <x:c r="E506" t="s">
        <x:v>2140</x:v>
      </x:c>
      <x:c r="F506" t="s">
        <x:v>31</x:v>
      </x:c>
      <x:c r="G506" t="s">
        <x:v>2141</x:v>
      </x:c>
      <x:c r="H506" t="s">
        <x:v>2142</x:v>
      </x:c>
      <x:c r="I506" t="s">
        <x:v>2143</x:v>
      </x:c>
      <x:c r="J506" t="s">
        <x:v>1326</x:v>
      </x:c>
      <x:c r="K506" t="s">
        <x:v>36</x:v>
      </x:c>
      <x:c r="L506" t="s">
        <x:v>37</x:v>
      </x:c>
      <x:c r="M506" t="s">
        <x:v>2144</x:v>
      </x:c>
      <x:c r="N506" t="s">
        <x:v>2145</x:v>
      </x:c>
      <x:c r="O506" t="s">
        <x:v>2142</x:v>
      </x:c>
      <x:c r="P506" t="s">
        <x:v>2146</x:v>
      </x:c>
      <x:c r="Q506" t="s">
        <x:v>102</x:v>
      </x:c>
      <x:c r="R506">
        <x:v>1</x:v>
      </x:c>
      <x:c r="S506" t="s">
        <x:v>70</x:v>
      </x:c>
      <x:c r="T506" t="s">
        <x:v>43</x:v>
      </x:c>
      <x:c r="U506" t="s">
        <x:v>44</x:v>
      </x:c>
      <x:c r="V506" t="s">
        <x:v>71</x:v>
      </x:c>
      <x:c r="W506" t="s">
        <x:v>72</x:v>
      </x:c>
      <x:c r="X506">
        <x:v>186.44</x:v>
      </x:c>
      <x:c r="Y506" t="s">
        <x:v>47</x:v>
      </x:c>
      <x:c r="Z506" t="s">
        <x:v>48</x:v>
      </x:c>
      <x:c r="AA506" t="s">
        <x:v>73</x:v>
      </x:c>
      <x:c r="AB506">
        <x:v>999111362</x:v>
      </x:c>
      <x:c r="AC506" t="s">
        <x:v>1330</x:v>
      </x:c>
      <x:c r="AD506">
        <x:v>50</x:v>
      </x:c>
    </x:row>
    <x:row r="507">
      <x:c r="A507" s="1">
        <x:v>46258</x:v>
      </x:c>
      <x:c r="B507" t="s">
        <x:v>4054</x:v>
      </x:c>
      <x:c r="C507" t="s">
        <x:v>2147</x:v>
      </x:c>
      <x:c r="D507" t="s">
        <x:v>29</x:v>
      </x:c>
      <x:c r="E507" t="s">
        <x:v>2148</x:v>
      </x:c>
      <x:c r="F507" t="s">
        <x:v>31</x:v>
      </x:c>
      <x:c r="G507" t="s">
        <x:v>2149</x:v>
      </x:c>
      <x:c r="H507" t="s">
        <x:v>2150</x:v>
      </x:c>
      <x:c r="I507" t="s">
        <x:v>2151</x:v>
      </x:c>
      <x:c r="J507" t="s">
        <x:v>2152</x:v>
      </x:c>
      <x:c r="K507" t="s">
        <x:v>1546</x:v>
      </x:c>
      <x:c r="L507" t="s">
        <x:v>37</x:v>
      </x:c>
      <x:c r="M507" t="s">
        <x:v>2153</x:v>
      </x:c>
      <x:c r="N507" t="s">
        <x:v>2154</x:v>
      </x:c>
      <x:c r="O507" t="s">
        <x:v>2150</x:v>
      </x:c>
      <x:c r="P507" t="s">
        <x:v>2155</x:v>
      </x:c>
      <x:c r="Q507" t="s">
        <x:v>102</x:v>
      </x:c>
      <x:c r="R507">
        <x:v>1</x:v>
      </x:c>
      <x:c r="S507" t="s">
        <x:v>42</x:v>
      </x:c>
      <x:c r="T507" t="s">
        <x:v>44</x:v>
      </x:c>
      <x:c r="U507" t="s">
        <x:v>44</x:v>
      </x:c>
      <x:c r="V507" t="s">
        <x:v>45</x:v>
      </x:c>
      <x:c r="W507" t="s">
        <x:v>46</x:v>
      </x:c>
      <x:c r="X507">
        <x:v>186.44</x:v>
      </x:c>
      <x:c r="Y507" t="s">
        <x:v>47</x:v>
      </x:c>
      <x:c r="Z507" t="s">
        <x:v>48</x:v>
      </x:c>
      <x:c r="AA507" t="s">
        <x:v>49</x:v>
      </x:c>
      <x:c r="AB507">
        <x:v>943089042</x:v>
      </x:c>
      <x:c r="AD507">
        <x:v>50</x:v>
      </x:c>
    </x:row>
    <x:row r="508">
      <x:c r="A508" s="1">
        <x:v>46258</x:v>
      </x:c>
      <x:c r="B508" t="s">
        <x:v>4054</x:v>
      </x:c>
      <x:c r="C508" t="s">
        <x:v>2156</x:v>
      </x:c>
      <x:c r="D508" t="s">
        <x:v>29</x:v>
      </x:c>
      <x:c r="E508" t="s">
        <x:v>2157</x:v>
      </x:c>
      <x:c r="F508" t="s">
        <x:v>31</x:v>
      </x:c>
      <x:c r="G508" t="s">
        <x:v>2158</x:v>
      </x:c>
      <x:c r="H508" t="s">
        <x:v>2159</x:v>
      </x:c>
      <x:c r="I508" t="s">
        <x:v>2160</x:v>
      </x:c>
      <x:c r="J508" t="s">
        <x:v>630</x:v>
      </x:c>
      <x:c r="K508" t="s">
        <x:v>631</x:v>
      </x:c>
      <x:c r="L508" t="s">
        <x:v>37</x:v>
      </x:c>
      <x:c r="M508" t="s">
        <x:v>2161</x:v>
      </x:c>
      <x:c r="N508" t="s">
        <x:v>2162</x:v>
      </x:c>
      <x:c r="O508" t="s">
        <x:v>2159</x:v>
      </x:c>
      <x:c r="P508" t="s">
        <x:v>2163</x:v>
      </x:c>
      <x:c r="Q508" t="s">
        <x:v>41</x:v>
      </x:c>
      <x:c r="R508">
        <x:v>1</x:v>
      </x:c>
      <x:c r="S508" t="s">
        <x:v>70</x:v>
      </x:c>
      <x:c r="T508" t="s">
        <x:v>43</x:v>
      </x:c>
      <x:c r="U508" t="s">
        <x:v>44</x:v>
      </x:c>
      <x:c r="V508" t="s">
        <x:v>71</x:v>
      </x:c>
      <x:c r="W508" t="s">
        <x:v>72</x:v>
      </x:c>
      <x:c r="X508">
        <x:v>186.44</x:v>
      </x:c>
      <x:c r="Y508" t="s">
        <x:v>47</x:v>
      </x:c>
      <x:c r="Z508" t="s">
        <x:v>48</x:v>
      </x:c>
      <x:c r="AA508" t="s">
        <x:v>73</x:v>
      </x:c>
      <x:c r="AB508">
        <x:v>978789268</x:v>
      </x:c>
      <x:c r="AC508" t="s">
        <x:v>635</x:v>
      </x:c>
      <x:c r="AD508">
        <x:v>50</x:v>
      </x:c>
    </x:row>
    <x:row r="509">
      <x:c r="A509" s="1">
        <x:v>46258</x:v>
      </x:c>
      <x:c r="B509" t="s">
        <x:v>4054</x:v>
      </x:c>
      <x:c r="C509" t="s">
        <x:v>2164</x:v>
      </x:c>
      <x:c r="D509" t="s">
        <x:v>269</x:v>
      </x:c>
      <x:c r="E509" t="s">
        <x:v>2165</x:v>
      </x:c>
      <x:c r="F509" t="s">
        <x:v>31</x:v>
      </x:c>
      <x:c r="G509" t="s">
        <x:v>2166</x:v>
      </x:c>
      <x:c r="H509" t="s">
        <x:v>2167</x:v>
      </x:c>
      <x:c r="I509" t="s">
        <x:v>2168</x:v>
      </x:c>
      <x:c r="J509" t="s">
        <x:v>2169</x:v>
      </x:c>
      <x:c r="K509" t="s">
        <x:v>2170</x:v>
      </x:c>
      <x:c r="L509" t="s">
        <x:v>37</x:v>
      </x:c>
      <x:c r="M509" t="s">
        <x:v>2171</x:v>
      </x:c>
      <x:c r="N509" t="s">
        <x:v>2172</x:v>
      </x:c>
      <x:c r="O509" t="s">
        <x:v>2173</x:v>
      </x:c>
      <x:c r="P509" t="s">
        <x:v>2174</x:v>
      </x:c>
      <x:c r="Q509" t="s">
        <x:v>91</x:v>
      </x:c>
      <x:c r="R509">
        <x:v>1</x:v>
      </x:c>
      <x:c r="S509" t="s">
        <x:v>42</x:v>
      </x:c>
      <x:c r="T509" t="s">
        <x:v>44</x:v>
      </x:c>
      <x:c r="U509" t="s">
        <x:v>44</x:v>
      </x:c>
      <x:c r="V509" t="s">
        <x:v>45</x:v>
      </x:c>
      <x:c r="W509" t="s">
        <x:v>46</x:v>
      </x:c>
      <x:c r="X509">
        <x:v>135.59</x:v>
      </x:c>
      <x:c r="Y509" t="s">
        <x:v>47</x:v>
      </x:c>
      <x:c r="Z509" t="s">
        <x:v>48</x:v>
      </x:c>
      <x:c r="AA509" t="s">
        <x:v>49</x:v>
      </x:c>
      <x:c r="AB509">
        <x:v>990006387</x:v>
      </x:c>
      <x:c r="AD509">
        <x:v>30</x:v>
      </x:c>
    </x:row>
    <x:row r="510">
      <x:c r="A510" s="1">
        <x:v>46259</x:v>
      </x:c>
      <x:c r="B510" t="s">
        <x:v>4054</x:v>
      </x:c>
      <x:c r="C510" t="s">
        <x:v>2175</x:v>
      </x:c>
      <x:c r="D510" t="s">
        <x:v>29</x:v>
      </x:c>
      <x:c r="E510" t="s">
        <x:v>2176</x:v>
      </x:c>
      <x:c r="F510" t="s">
        <x:v>31</x:v>
      </x:c>
      <x:c r="G510" t="s">
        <x:v>2177</x:v>
      </x:c>
      <x:c r="H510" t="s">
        <x:v>2178</x:v>
      </x:c>
      <x:c r="I510" t="s">
        <x:v>2179</x:v>
      </x:c>
      <x:c r="J510" t="s">
        <x:v>776</x:v>
      </x:c>
      <x:c r="K510" t="s">
        <x:v>777</x:v>
      </x:c>
      <x:c r="L510" t="s">
        <x:v>37</x:v>
      </x:c>
      <x:c r="M510" t="s">
        <x:v>2180</x:v>
      </x:c>
      <x:c r="N510" t="s">
        <x:v>2181</x:v>
      </x:c>
      <x:c r="O510" t="s">
        <x:v>2178</x:v>
      </x:c>
      <x:c r="P510" t="s">
        <x:v>2182</x:v>
      </x:c>
      <x:c r="Q510" t="s">
        <x:v>643</x:v>
      </x:c>
      <x:c r="R510">
        <x:v>1</x:v>
      </x:c>
      <x:c r="S510" t="s">
        <x:v>42</x:v>
      </x:c>
      <x:c r="T510" t="s">
        <x:v>44</x:v>
      </x:c>
      <x:c r="U510" t="s">
        <x:v>44</x:v>
      </x:c>
      <x:c r="V510" t="s">
        <x:v>45</x:v>
      </x:c>
      <x:c r="W510" t="s">
        <x:v>46</x:v>
      </x:c>
      <x:c r="X510">
        <x:v>84.75</x:v>
      </x:c>
      <x:c r="Y510" t="s">
        <x:v>47</x:v>
      </x:c>
      <x:c r="Z510" t="s">
        <x:v>48</x:v>
      </x:c>
      <x:c r="AA510" t="s">
        <x:v>49</x:v>
      </x:c>
    </x:row>
    <x:row r="511">
      <x:c r="A511" s="1">
        <x:v>46259</x:v>
      </x:c>
      <x:c r="B511" t="s">
        <x:v>4054</x:v>
      </x:c>
      <x:c r="C511" t="s">
        <x:v>2183</x:v>
      </x:c>
      <x:c r="D511" t="s">
        <x:v>29</x:v>
      </x:c>
      <x:c r="E511" t="s">
        <x:v>2184</x:v>
      </x:c>
      <x:c r="F511" t="s">
        <x:v>31</x:v>
      </x:c>
      <x:c r="G511" t="s">
        <x:v>2185</x:v>
      </x:c>
      <x:c r="H511" t="s">
        <x:v>2178</x:v>
      </x:c>
      <x:c r="I511" t="s">
        <x:v>2179</x:v>
      </x:c>
      <x:c r="J511" t="s">
        <x:v>776</x:v>
      </x:c>
      <x:c r="K511" t="s">
        <x:v>777</x:v>
      </x:c>
      <x:c r="L511" t="s">
        <x:v>37</x:v>
      </x:c>
      <x:c r="M511" t="s">
        <x:v>2180</x:v>
      </x:c>
      <x:c r="N511" t="s">
        <x:v>2181</x:v>
      </x:c>
      <x:c r="O511" t="s">
        <x:v>2178</x:v>
      </x:c>
      <x:c r="P511" t="s">
        <x:v>2186</x:v>
      </x:c>
      <x:c r="Q511" t="s">
        <x:v>830</x:v>
      </x:c>
      <x:c r="R511">
        <x:v>1</x:v>
      </x:c>
      <x:c r="S511" t="s">
        <x:v>42</x:v>
      </x:c>
      <x:c r="T511" t="s">
        <x:v>44</x:v>
      </x:c>
      <x:c r="U511" t="s">
        <x:v>44</x:v>
      </x:c>
      <x:c r="V511" t="s">
        <x:v>45</x:v>
      </x:c>
      <x:c r="W511" t="s">
        <x:v>46</x:v>
      </x:c>
      <x:c r="X511">
        <x:v>127.12</x:v>
      </x:c>
      <x:c r="Y511" t="s">
        <x:v>47</x:v>
      </x:c>
      <x:c r="Z511" t="s">
        <x:v>48</x:v>
      </x:c>
      <x:c r="AA511" t="s">
        <x:v>49</x:v>
      </x:c>
    </x:row>
    <x:row r="512">
      <x:c r="A512" s="1">
        <x:v>46259</x:v>
      </x:c>
      <x:c r="B512" t="s">
        <x:v>4054</x:v>
      </x:c>
      <x:c r="C512" t="s">
        <x:v>2187</x:v>
      </x:c>
      <x:c r="D512" t="s">
        <x:v>269</x:v>
      </x:c>
      <x:c r="E512" t="s">
        <x:v>2188</x:v>
      </x:c>
      <x:c r="F512" t="s">
        <x:v>31</x:v>
      </x:c>
      <x:c r="G512" t="s">
        <x:v>2189</x:v>
      </x:c>
      <x:c r="H512" t="s">
        <x:v>2190</x:v>
      </x:c>
      <x:c r="I512" t="s">
        <x:v>2191</x:v>
      </x:c>
      <x:c r="J512" t="s">
        <x:v>1326</x:v>
      </x:c>
      <x:c r="K512" t="s">
        <x:v>36</x:v>
      </x:c>
      <x:c r="L512" t="s">
        <x:v>37</x:v>
      </x:c>
      <x:c r="M512" t="s">
        <x:v>2192</x:v>
      </x:c>
      <x:c r="N512" t="s">
        <x:v>2193</x:v>
      </x:c>
      <x:c r="O512" t="s">
        <x:v>2194</x:v>
      </x:c>
      <x:c r="P512" t="s">
        <x:v>2195</x:v>
      </x:c>
      <x:c r="Q512" t="s">
        <x:v>41</x:v>
      </x:c>
      <x:c r="R512">
        <x:v>1</x:v>
      </x:c>
      <x:c r="S512" t="s">
        <x:v>42</x:v>
      </x:c>
      <x:c r="T512" t="s">
        <x:v>44</x:v>
      </x:c>
      <x:c r="U512" t="s">
        <x:v>44</x:v>
      </x:c>
      <x:c r="V512" t="s">
        <x:v>45</x:v>
      </x:c>
      <x:c r="W512" t="s">
        <x:v>60</x:v>
      </x:c>
      <x:c r="X512">
        <x:v>186.44</x:v>
      </x:c>
      <x:c r="Y512" t="s">
        <x:v>47</x:v>
      </x:c>
      <x:c r="Z512" t="s">
        <x:v>48</x:v>
      </x:c>
      <x:c r="AA512" t="s">
        <x:v>49</x:v>
      </x:c>
      <x:c r="AB512">
        <x:v>999111362</x:v>
      </x:c>
      <x:c r="AC512" t="s">
        <x:v>1330</x:v>
      </x:c>
      <x:c r="AD512">
        <x:v>50</x:v>
      </x:c>
    </x:row>
    <x:row r="513">
      <x:c r="A513" s="1">
        <x:v>46259</x:v>
      </x:c>
      <x:c r="B513" t="s">
        <x:v>4054</x:v>
      </x:c>
      <x:c r="C513" t="s">
        <x:v>2196</x:v>
      </x:c>
      <x:c r="D513" t="s">
        <x:v>269</x:v>
      </x:c>
      <x:c r="E513" t="s">
        <x:v>2197</x:v>
      </x:c>
      <x:c r="F513" t="s">
        <x:v>31</x:v>
      </x:c>
      <x:c r="G513" t="s">
        <x:v>2198</x:v>
      </x:c>
      <x:c r="H513" t="s">
        <x:v>2199</x:v>
      </x:c>
      <x:c r="I513" t="s">
        <x:v>2200</x:v>
      </x:c>
      <x:c r="J513" t="s">
        <x:v>2201</x:v>
      </x:c>
      <x:c r="L513" t="s">
        <x:v>37</x:v>
      </x:c>
      <x:c r="M513" t="s">
        <x:v>2202</x:v>
      </x:c>
      <x:c r="N513" t="s">
        <x:v>2203</x:v>
      </x:c>
      <x:c r="O513" t="s">
        <x:v>2204</x:v>
      </x:c>
      <x:c r="P513" t="s">
        <x:v>2205</x:v>
      </x:c>
      <x:c r="Q513" t="s">
        <x:v>203</x:v>
      </x:c>
      <x:c r="R513">
        <x:v>1</x:v>
      </x:c>
      <x:c r="S513" t="s">
        <x:v>42</x:v>
      </x:c>
      <x:c r="T513" t="s">
        <x:v>44</x:v>
      </x:c>
      <x:c r="U513" t="s">
        <x:v>44</x:v>
      </x:c>
      <x:c r="V513" t="s">
        <x:v>45</x:v>
      </x:c>
      <x:c r="W513" t="s">
        <x:v>60</x:v>
      </x:c>
      <x:c r="X513">
        <x:v>135.59</x:v>
      </x:c>
      <x:c r="Y513" t="s">
        <x:v>47</x:v>
      </x:c>
      <x:c r="Z513" t="s">
        <x:v>48</x:v>
      </x:c>
      <x:c r="AA513" t="s">
        <x:v>49</x:v>
      </x:c>
      <x:c r="AD513">
        <x:v>30</x:v>
      </x:c>
    </x:row>
    <x:row r="514">
      <x:c r="A514" s="1">
        <x:v>46259</x:v>
      </x:c>
      <x:c r="B514" t="s">
        <x:v>4054</x:v>
      </x:c>
      <x:c r="C514" t="s">
        <x:v>2206</x:v>
      </x:c>
      <x:c r="D514" t="s">
        <x:v>269</x:v>
      </x:c>
      <x:c r="E514" t="s">
        <x:v>2207</x:v>
      </x:c>
      <x:c r="F514" t="s">
        <x:v>31</x:v>
      </x:c>
      <x:c r="G514" t="s">
        <x:v>2208</x:v>
      </x:c>
      <x:c r="H514" t="s">
        <x:v>2209</x:v>
      </x:c>
      <x:c r="I514" t="s">
        <x:v>2210</x:v>
      </x:c>
      <x:c r="J514" t="s">
        <x:v>274</x:v>
      </x:c>
      <x:c r="K514" t="s">
        <x:v>275</x:v>
      </x:c>
      <x:c r="L514" t="s">
        <x:v>37</x:v>
      </x:c>
      <x:c r="M514" t="s">
        <x:v>2211</x:v>
      </x:c>
      <x:c r="N514" t="s">
        <x:v>2212</x:v>
      </x:c>
      <x:c r="O514" t="s">
        <x:v>278</x:v>
      </x:c>
      <x:c r="P514" t="s">
        <x:v>2213</x:v>
      </x:c>
      <x:c r="Q514" t="s">
        <x:v>289</x:v>
      </x:c>
      <x:c r="R514">
        <x:v>1</x:v>
      </x:c>
      <x:c r="S514" t="s">
        <x:v>42</x:v>
      </x:c>
      <x:c r="T514" t="s">
        <x:v>44</x:v>
      </x:c>
      <x:c r="U514" t="s">
        <x:v>44</x:v>
      </x:c>
      <x:c r="V514" t="s">
        <x:v>45</x:v>
      </x:c>
      <x:c r="W514" t="s">
        <x:v>46</x:v>
      </x:c>
      <x:c r="X514">
        <x:v>0</x:v>
      </x:c>
      <x:c r="Y514" t="s">
        <x:v>290</x:v>
      </x:c>
      <x:c r="Z514" t="s">
        <x:v>48</x:v>
      </x:c>
      <x:c r="AA514" t="s">
        <x:v>49</x:v>
      </x:c>
      <x:c r="AB514">
        <x:v>950133748</x:v>
      </x:c>
      <x:c r="AC514" t="s">
        <x:v>280</x:v>
      </x:c>
    </x:row>
    <x:row r="515">
      <x:c r="A515" s="1">
        <x:v>46259</x:v>
      </x:c>
      <x:c r="B515" t="s">
        <x:v>4054</x:v>
      </x:c>
      <x:c r="C515" t="s">
        <x:v>2206</x:v>
      </x:c>
      <x:c r="D515" t="s">
        <x:v>269</x:v>
      </x:c>
      <x:c r="E515" t="s">
        <x:v>2207</x:v>
      </x:c>
      <x:c r="F515" t="s">
        <x:v>31</x:v>
      </x:c>
      <x:c r="G515" t="s">
        <x:v>2208</x:v>
      </x:c>
      <x:c r="H515" t="s">
        <x:v>2209</x:v>
      </x:c>
      <x:c r="I515" t="s">
        <x:v>2210</x:v>
      </x:c>
      <x:c r="J515" t="s">
        <x:v>274</x:v>
      </x:c>
      <x:c r="K515" t="s">
        <x:v>275</x:v>
      </x:c>
      <x:c r="L515" t="s">
        <x:v>37</x:v>
      </x:c>
      <x:c r="M515" t="s">
        <x:v>2211</x:v>
      </x:c>
      <x:c r="N515" t="s">
        <x:v>2212</x:v>
      </x:c>
      <x:c r="O515" t="s">
        <x:v>278</x:v>
      </x:c>
      <x:c r="P515" t="s">
        <x:v>2213</x:v>
      </x:c>
      <x:c r="Q515" t="s">
        <x:v>291</x:v>
      </x:c>
      <x:c r="R515">
        <x:v>1</x:v>
      </x:c>
      <x:c r="S515" t="s">
        <x:v>42</x:v>
      </x:c>
      <x:c r="T515" t="s">
        <x:v>44</x:v>
      </x:c>
      <x:c r="U515" t="s">
        <x:v>44</x:v>
      </x:c>
      <x:c r="V515" t="s">
        <x:v>45</x:v>
      </x:c>
      <x:c r="W515" t="s">
        <x:v>46</x:v>
      </x:c>
      <x:c r="X515">
        <x:v>3211.86</x:v>
      </x:c>
      <x:c r="Y515" t="s">
        <x:v>290</x:v>
      </x:c>
      <x:c r="Z515" t="s">
        <x:v>48</x:v>
      </x:c>
      <x:c r="AA515" t="s">
        <x:v>49</x:v>
      </x:c>
      <x:c r="AB515">
        <x:v>950133748</x:v>
      </x:c>
      <x:c r="AC515" t="s">
        <x:v>280</x:v>
      </x:c>
    </x:row>
    <x:row r="516">
      <x:c r="A516" s="1">
        <x:v>46259</x:v>
      </x:c>
      <x:c r="B516" t="s">
        <x:v>4054</x:v>
      </x:c>
      <x:c r="C516" t="s">
        <x:v>2214</x:v>
      </x:c>
      <x:c r="D516" t="s">
        <x:v>269</x:v>
      </x:c>
      <x:c r="E516" t="s">
        <x:v>2215</x:v>
      </x:c>
      <x:c r="F516" t="s">
        <x:v>31</x:v>
      </x:c>
      <x:c r="G516" t="s">
        <x:v>2216</x:v>
      </x:c>
      <x:c r="H516" t="s">
        <x:v>2217</x:v>
      </x:c>
      <x:c r="I516" t="s">
        <x:v>2218</x:v>
      </x:c>
      <x:c r="J516" t="s">
        <x:v>274</x:v>
      </x:c>
      <x:c r="K516" t="s">
        <x:v>275</x:v>
      </x:c>
      <x:c r="L516" t="s">
        <x:v>37</x:v>
      </x:c>
      <x:c r="M516" t="s">
        <x:v>2219</x:v>
      </x:c>
      <x:c r="N516" t="s">
        <x:v>2220</x:v>
      </x:c>
      <x:c r="O516" t="s">
        <x:v>278</x:v>
      </x:c>
      <x:c r="P516" t="s">
        <x:v>2221</x:v>
      </x:c>
      <x:c r="Q516" t="s">
        <x:v>289</x:v>
      </x:c>
      <x:c r="R516">
        <x:v>1</x:v>
      </x:c>
      <x:c r="S516" t="s">
        <x:v>42</x:v>
      </x:c>
      <x:c r="T516" t="s">
        <x:v>44</x:v>
      </x:c>
      <x:c r="U516" t="s">
        <x:v>44</x:v>
      </x:c>
      <x:c r="V516" t="s">
        <x:v>45</x:v>
      </x:c>
      <x:c r="W516" t="s">
        <x:v>46</x:v>
      </x:c>
      <x:c r="X516">
        <x:v>0</x:v>
      </x:c>
      <x:c r="Y516" t="s">
        <x:v>290</x:v>
      </x:c>
      <x:c r="Z516" t="s">
        <x:v>48</x:v>
      </x:c>
      <x:c r="AA516" t="s">
        <x:v>49</x:v>
      </x:c>
      <x:c r="AB516">
        <x:v>950133748</x:v>
      </x:c>
      <x:c r="AC516" t="s">
        <x:v>280</x:v>
      </x:c>
    </x:row>
    <x:row r="517">
      <x:c r="A517" s="1">
        <x:v>46259</x:v>
      </x:c>
      <x:c r="B517" t="s">
        <x:v>4054</x:v>
      </x:c>
      <x:c r="C517" t="s">
        <x:v>2214</x:v>
      </x:c>
      <x:c r="D517" t="s">
        <x:v>269</x:v>
      </x:c>
      <x:c r="E517" t="s">
        <x:v>2215</x:v>
      </x:c>
      <x:c r="F517" t="s">
        <x:v>31</x:v>
      </x:c>
      <x:c r="G517" t="s">
        <x:v>2216</x:v>
      </x:c>
      <x:c r="H517" t="s">
        <x:v>2217</x:v>
      </x:c>
      <x:c r="I517" t="s">
        <x:v>2218</x:v>
      </x:c>
      <x:c r="J517" t="s">
        <x:v>274</x:v>
      </x:c>
      <x:c r="K517" t="s">
        <x:v>275</x:v>
      </x:c>
      <x:c r="L517" t="s">
        <x:v>37</x:v>
      </x:c>
      <x:c r="M517" t="s">
        <x:v>2219</x:v>
      </x:c>
      <x:c r="N517" t="s">
        <x:v>2220</x:v>
      </x:c>
      <x:c r="O517" t="s">
        <x:v>278</x:v>
      </x:c>
      <x:c r="P517" t="s">
        <x:v>2221</x:v>
      </x:c>
      <x:c r="Q517" t="s">
        <x:v>291</x:v>
      </x:c>
      <x:c r="R517">
        <x:v>1</x:v>
      </x:c>
      <x:c r="S517" t="s">
        <x:v>42</x:v>
      </x:c>
      <x:c r="T517" t="s">
        <x:v>44</x:v>
      </x:c>
      <x:c r="U517" t="s">
        <x:v>44</x:v>
      </x:c>
      <x:c r="V517" t="s">
        <x:v>45</x:v>
      </x:c>
      <x:c r="W517" t="s">
        <x:v>46</x:v>
      </x:c>
      <x:c r="X517">
        <x:v>1305.08</x:v>
      </x:c>
      <x:c r="Y517" t="s">
        <x:v>290</x:v>
      </x:c>
      <x:c r="Z517" t="s">
        <x:v>48</x:v>
      </x:c>
      <x:c r="AA517" t="s">
        <x:v>49</x:v>
      </x:c>
      <x:c r="AB517">
        <x:v>950133748</x:v>
      </x:c>
      <x:c r="AC517" t="s">
        <x:v>280</x:v>
      </x:c>
    </x:row>
    <x:row r="518">
      <x:c r="A518" s="1">
        <x:v>46259</x:v>
      </x:c>
      <x:c r="B518" t="s">
        <x:v>4054</x:v>
      </x:c>
      <x:c r="C518" t="s">
        <x:v>2222</x:v>
      </x:c>
      <x:c r="D518" t="s">
        <x:v>269</x:v>
      </x:c>
      <x:c r="E518" t="s">
        <x:v>2223</x:v>
      </x:c>
      <x:c r="F518" t="s">
        <x:v>31</x:v>
      </x:c>
      <x:c r="G518" t="s">
        <x:v>2224</x:v>
      </x:c>
      <x:c r="H518" t="s">
        <x:v>2209</x:v>
      </x:c>
      <x:c r="I518" t="s">
        <x:v>2210</x:v>
      </x:c>
      <x:c r="J518" t="s">
        <x:v>274</x:v>
      </x:c>
      <x:c r="K518" t="s">
        <x:v>275</x:v>
      </x:c>
      <x:c r="L518" t="s">
        <x:v>37</x:v>
      </x:c>
      <x:c r="M518" t="s">
        <x:v>2211</x:v>
      </x:c>
      <x:c r="N518" t="s">
        <x:v>2212</x:v>
      </x:c>
      <x:c r="O518" t="s">
        <x:v>278</x:v>
      </x:c>
      <x:c r="P518" t="s">
        <x:v>2225</x:v>
      </x:c>
      <x:c r="Q518" t="s">
        <x:v>202</x:v>
      </x:c>
      <x:c r="R518">
        <x:v>1</x:v>
      </x:c>
      <x:c r="S518" t="s">
        <x:v>42</x:v>
      </x:c>
      <x:c r="T518" t="s">
        <x:v>44</x:v>
      </x:c>
      <x:c r="U518" t="s">
        <x:v>44</x:v>
      </x:c>
      <x:c r="V518" t="s">
        <x:v>45</x:v>
      </x:c>
      <x:c r="W518" t="s">
        <x:v>60</x:v>
      </x:c>
      <x:c r="X518">
        <x:v>152.54</x:v>
      </x:c>
      <x:c r="Y518" t="s">
        <x:v>47</x:v>
      </x:c>
      <x:c r="Z518" t="s">
        <x:v>48</x:v>
      </x:c>
      <x:c r="AA518" t="s">
        <x:v>49</x:v>
      </x:c>
      <x:c r="AB518">
        <x:v>950133748</x:v>
      </x:c>
      <x:c r="AC518" t="s">
        <x:v>280</x:v>
      </x:c>
      <x:c r="AD518">
        <x:v>30</x:v>
      </x:c>
    </x:row>
    <x:row r="519">
      <x:c r="A519" s="1">
        <x:v>46259</x:v>
      </x:c>
      <x:c r="B519" t="s">
        <x:v>4054</x:v>
      </x:c>
      <x:c r="C519" t="s">
        <x:v>2226</x:v>
      </x:c>
      <x:c r="D519" t="s">
        <x:v>29</x:v>
      </x:c>
      <x:c r="E519" t="s">
        <x:v>2227</x:v>
      </x:c>
      <x:c r="F519" t="s">
        <x:v>31</x:v>
      </x:c>
      <x:c r="G519" t="s">
        <x:v>2228</x:v>
      </x:c>
      <x:c r="H519" t="s">
        <x:v>2229</x:v>
      </x:c>
      <x:c r="I519" t="s">
        <x:v>2230</x:v>
      </x:c>
      <x:c r="J519" t="s">
        <x:v>1887</x:v>
      </x:c>
      <x:c r="L519" t="s">
        <x:v>37</x:v>
      </x:c>
      <x:c r="M519" t="s">
        <x:v>2231</x:v>
      </x:c>
      <x:c r="N519" t="s">
        <x:v>2232</x:v>
      </x:c>
      <x:c r="O519" t="s">
        <x:v>2229</x:v>
      </x:c>
      <x:c r="P519" t="s">
        <x:v>2233</x:v>
      </x:c>
      <x:c r="Q519" t="s">
        <x:v>203</x:v>
      </x:c>
      <x:c r="R519">
        <x:v>1</x:v>
      </x:c>
      <x:c r="S519" t="s">
        <x:v>42</x:v>
      </x:c>
      <x:c r="T519" t="s">
        <x:v>44</x:v>
      </x:c>
      <x:c r="U519" t="s">
        <x:v>44</x:v>
      </x:c>
      <x:c r="V519" t="s">
        <x:v>71</x:v>
      </x:c>
      <x:c r="W519" t="s">
        <x:v>2078</x:v>
      </x:c>
      <x:c r="X519">
        <x:v>135.59</x:v>
      </x:c>
      <x:c r="Y519" t="s">
        <x:v>47</x:v>
      </x:c>
      <x:c r="Z519" t="s">
        <x:v>48</x:v>
      </x:c>
      <x:c r="AA519" t="s">
        <x:v>73</x:v>
      </x:c>
      <x:c r="AD519">
        <x:v>30</x:v>
      </x:c>
    </x:row>
    <x:row r="520">
      <x:c r="A520" s="1">
        <x:v>46260</x:v>
      </x:c>
      <x:c r="B520" t="s">
        <x:v>4054</x:v>
      </x:c>
      <x:c r="C520" t="s">
        <x:v>2242</x:v>
      </x:c>
      <x:c r="D520" t="s">
        <x:v>29</x:v>
      </x:c>
      <x:c r="E520" t="s">
        <x:v>2243</x:v>
      </x:c>
      <x:c r="F520" t="s">
        <x:v>31</x:v>
      </x:c>
      <x:c r="G520" t="s">
        <x:v>2244</x:v>
      </x:c>
      <x:c r="H520" t="s">
        <x:v>2245</x:v>
      </x:c>
      <x:c r="I520" t="s">
        <x:v>2246</x:v>
      </x:c>
      <x:c r="J520" t="s">
        <x:v>2201</x:v>
      </x:c>
      <x:c r="L520" t="s">
        <x:v>37</x:v>
      </x:c>
      <x:c r="M520" t="s">
        <x:v>2247</x:v>
      </x:c>
      <x:c r="N520" t="s">
        <x:v>2248</x:v>
      </x:c>
      <x:c r="O520" t="s">
        <x:v>2245</x:v>
      </x:c>
      <x:c r="P520" t="s">
        <x:v>2249</x:v>
      </x:c>
      <x:c r="Q520" t="s">
        <x:v>203</x:v>
      </x:c>
      <x:c r="R520">
        <x:v>1</x:v>
      </x:c>
      <x:c r="S520" t="s">
        <x:v>42</x:v>
      </x:c>
      <x:c r="T520" t="s">
        <x:v>44</x:v>
      </x:c>
      <x:c r="U520" t="s">
        <x:v>44</x:v>
      </x:c>
      <x:c r="V520" t="s">
        <x:v>45</x:v>
      </x:c>
      <x:c r="W520" t="s">
        <x:v>46</x:v>
      </x:c>
      <x:c r="X520">
        <x:v>135.59</x:v>
      </x:c>
      <x:c r="Y520" t="s">
        <x:v>47</x:v>
      </x:c>
      <x:c r="Z520" t="s">
        <x:v>48</x:v>
      </x:c>
      <x:c r="AA520" t="s">
        <x:v>49</x:v>
      </x:c>
      <x:c r="AD520">
        <x:v>30</x:v>
      </x:c>
    </x:row>
    <x:row r="521">
      <x:c r="A521" s="1">
        <x:v>46260</x:v>
      </x:c>
      <x:c r="B521" t="s">
        <x:v>4054</x:v>
      </x:c>
      <x:c r="C521" t="s">
        <x:v>2250</x:v>
      </x:c>
      <x:c r="D521" t="s">
        <x:v>269</x:v>
      </x:c>
      <x:c r="E521" t="s">
        <x:v>2251</x:v>
      </x:c>
      <x:c r="F521" t="s">
        <x:v>31</x:v>
      </x:c>
      <x:c r="G521" t="s">
        <x:v>2252</x:v>
      </x:c>
      <x:c r="H521" t="s">
        <x:v>2253</x:v>
      </x:c>
      <x:c r="I521" t="s">
        <x:v>2254</x:v>
      </x:c>
      <x:c r="J521" t="s">
        <x:v>2258</x:v>
      </x:c>
      <x:c r="K521" t="s">
        <x:v>36</x:v>
      </x:c>
      <x:c r="L521" t="s">
        <x:v>37</x:v>
      </x:c>
      <x:c r="M521" t="s">
        <x:v>2256</x:v>
      </x:c>
      <x:c r="N521" t="s">
        <x:v>2257</x:v>
      </x:c>
      <x:c r="O521" t="s">
        <x:v>2258</x:v>
      </x:c>
      <x:c r="P521" t="s">
        <x:v>2259</x:v>
      </x:c>
      <x:c r="Q521" t="s">
        <x:v>482</x:v>
      </x:c>
      <x:c r="R521">
        <x:v>2</x:v>
      </x:c>
      <x:c r="S521" t="s">
        <x:v>42</x:v>
      </x:c>
      <x:c r="T521" t="s">
        <x:v>44</x:v>
      </x:c>
      <x:c r="U521" t="s">
        <x:v>44</x:v>
      </x:c>
      <x:c r="V521" t="s">
        <x:v>45</x:v>
      </x:c>
      <x:c r="W521" t="s">
        <x:v>60</x:v>
      </x:c>
      <x:c r="X521">
        <x:v>203.39</x:v>
      </x:c>
      <x:c r="Y521" t="s">
        <x:v>61</x:v>
      </x:c>
      <x:c r="Z521" t="s">
        <x:v>48</x:v>
      </x:c>
      <x:c r="AA521" t="s">
        <x:v>49</x:v>
      </x:c>
    </x:row>
    <x:row r="522">
      <x:c r="A522" s="1">
        <x:v>46260</x:v>
      </x:c>
      <x:c r="B522" t="s">
        <x:v>4054</x:v>
      </x:c>
      <x:c r="C522" t="s">
        <x:v>2260</x:v>
      </x:c>
      <x:c r="D522" t="s">
        <x:v>29</x:v>
      </x:c>
      <x:c r="E522" t="s">
        <x:v>2261</x:v>
      </x:c>
      <x:c r="F522" t="s">
        <x:v>31</x:v>
      </x:c>
      <x:c r="G522" t="s">
        <x:v>2262</x:v>
      </x:c>
      <x:c r="H522" t="s">
        <x:v>2263</x:v>
      </x:c>
      <x:c r="I522" t="s">
        <x:v>2264</x:v>
      </x:c>
      <x:c r="J522" t="s">
        <x:v>2841</x:v>
      </x:c>
      <x:c r="K522" t="s">
        <x:v>210</x:v>
      </x:c>
      <x:c r="L522" t="s">
        <x:v>37</x:v>
      </x:c>
      <x:c r="M522" t="s">
        <x:v>2266</x:v>
      </x:c>
      <x:c r="N522" t="s">
        <x:v>2267</x:v>
      </x:c>
      <x:c r="O522" t="s">
        <x:v>2263</x:v>
      </x:c>
      <x:c r="P522" t="s">
        <x:v>2268</x:v>
      </x:c>
      <x:c r="Q522" t="s">
        <x:v>160</x:v>
      </x:c>
      <x:c r="R522">
        <x:v>1</x:v>
      </x:c>
      <x:c r="S522" t="s">
        <x:v>42</x:v>
      </x:c>
      <x:c r="T522" t="s">
        <x:v>44</x:v>
      </x:c>
      <x:c r="U522" t="s">
        <x:v>44</x:v>
      </x:c>
      <x:c r="V522" t="s">
        <x:v>45</x:v>
      </x:c>
      <x:c r="W522" t="s">
        <x:v>60</x:v>
      </x:c>
      <x:c r="X522">
        <x:v>135.59</x:v>
      </x:c>
      <x:c r="Y522" t="s">
        <x:v>47</x:v>
      </x:c>
      <x:c r="Z522" t="s">
        <x:v>48</x:v>
      </x:c>
      <x:c r="AA522" t="s">
        <x:v>49</x:v>
      </x:c>
      <x:c r="AB522">
        <x:v>994872106</x:v>
      </x:c>
      <x:c r="AC522" t="s">
        <x:v>1256</x:v>
      </x:c>
      <x:c r="AD522">
        <x:v>30</x:v>
      </x:c>
    </x:row>
    <x:row r="523">
      <x:c r="A523" s="1">
        <x:v>46260</x:v>
      </x:c>
      <x:c r="B523" t="s">
        <x:v>4054</x:v>
      </x:c>
      <x:c r="C523" t="s">
        <x:v>2269</x:v>
      </x:c>
      <x:c r="D523" t="s">
        <x:v>29</x:v>
      </x:c>
      <x:c r="E523" t="s">
        <x:v>2270</x:v>
      </x:c>
      <x:c r="F523" t="s">
        <x:v>31</x:v>
      </x:c>
      <x:c r="G523" t="s">
        <x:v>2271</x:v>
      </x:c>
      <x:c r="H523" t="s">
        <x:v>2272</x:v>
      </x:c>
      <x:c r="I523" t="s">
        <x:v>2273</x:v>
      </x:c>
      <x:c r="J523" t="s">
        <x:v>2274</x:v>
      </x:c>
      <x:c r="K523" t="s">
        <x:v>210</x:v>
      </x:c>
      <x:c r="L523" t="s">
        <x:v>37</x:v>
      </x:c>
      <x:c r="M523" t="s">
        <x:v>2275</x:v>
      </x:c>
      <x:c r="N523" t="s">
        <x:v>2276</x:v>
      </x:c>
      <x:c r="O523" t="s">
        <x:v>2272</x:v>
      </x:c>
      <x:c r="P523" t="s">
        <x:v>2277</x:v>
      </x:c>
      <x:c r="Q523" t="s">
        <x:v>160</x:v>
      </x:c>
      <x:c r="R523">
        <x:v>1</x:v>
      </x:c>
      <x:c r="S523" t="s">
        <x:v>42</x:v>
      </x:c>
      <x:c r="T523" t="s">
        <x:v>44</x:v>
      </x:c>
      <x:c r="U523" t="s">
        <x:v>44</x:v>
      </x:c>
      <x:c r="V523" t="s">
        <x:v>45</x:v>
      </x:c>
      <x:c r="W523" t="s">
        <x:v>46</x:v>
      </x:c>
      <x:c r="X523">
        <x:v>135.59</x:v>
      </x:c>
      <x:c r="Y523" t="s">
        <x:v>47</x:v>
      </x:c>
      <x:c r="Z523" t="s">
        <x:v>48</x:v>
      </x:c>
      <x:c r="AA523" t="s">
        <x:v>49</x:v>
      </x:c>
      <x:c r="AB523">
        <x:v>996106133</x:v>
      </x:c>
      <x:c r="AD523">
        <x:v>30</x:v>
      </x:c>
    </x:row>
    <x:row r="524">
      <x:c r="A524" s="1">
        <x:v>46260</x:v>
      </x:c>
      <x:c r="B524" t="s">
        <x:v>4054</x:v>
      </x:c>
      <x:c r="C524" t="s">
        <x:v>2278</x:v>
      </x:c>
      <x:c r="D524" t="s">
        <x:v>269</x:v>
      </x:c>
      <x:c r="E524" t="s">
        <x:v>2279</x:v>
      </x:c>
      <x:c r="F524" t="s">
        <x:v>31</x:v>
      </x:c>
      <x:c r="G524" t="s">
        <x:v>2280</x:v>
      </x:c>
      <x:c r="H524" t="s">
        <x:v>2281</x:v>
      </x:c>
      <x:c r="I524" t="s">
        <x:v>2282</x:v>
      </x:c>
      <x:c r="J524" t="s">
        <x:v>764</x:v>
      </x:c>
      <x:c r="K524" t="s">
        <x:v>210</x:v>
      </x:c>
      <x:c r="L524" t="s">
        <x:v>37</x:v>
      </x:c>
      <x:c r="M524" t="s">
        <x:v>2283</x:v>
      </x:c>
      <x:c r="N524" t="s">
        <x:v>2284</x:v>
      </x:c>
      <x:c r="O524" t="s">
        <x:v>767</x:v>
      </x:c>
      <x:c r="P524" t="s">
        <x:v>2285</x:v>
      </x:c>
      <x:c r="Q524" t="s">
        <x:v>482</x:v>
      </x:c>
      <x:c r="R524">
        <x:v>1</x:v>
      </x:c>
      <x:c r="S524" t="s">
        <x:v>42</x:v>
      </x:c>
      <x:c r="T524" t="s">
        <x:v>44</x:v>
      </x:c>
      <x:c r="U524" t="s">
        <x:v>44</x:v>
      </x:c>
      <x:c r="V524" t="s">
        <x:v>45</x:v>
      </x:c>
      <x:c r="W524" t="s">
        <x:v>60</x:v>
      </x:c>
      <x:c r="X524">
        <x:v>101.69</x:v>
      </x:c>
      <x:c r="Y524" t="s">
        <x:v>61</x:v>
      </x:c>
      <x:c r="Z524" t="s">
        <x:v>48</x:v>
      </x:c>
      <x:c r="AA524" t="s">
        <x:v>49</x:v>
      </x:c>
      <x:c r="AB524">
        <x:v>969791876</x:v>
      </x:c>
      <x:c r="AC524" t="s">
        <x:v>770</x:v>
      </x:c>
    </x:row>
    <x:row r="525">
      <x:c r="A525" s="1">
        <x:v>46260</x:v>
      </x:c>
      <x:c r="B525" t="s">
        <x:v>4054</x:v>
      </x:c>
      <x:c r="C525" t="s">
        <x:v>2286</x:v>
      </x:c>
      <x:c r="D525" t="s">
        <x:v>29</x:v>
      </x:c>
      <x:c r="E525" t="s">
        <x:v>2287</x:v>
      </x:c>
      <x:c r="F525" t="s">
        <x:v>31</x:v>
      </x:c>
      <x:c r="G525" t="s">
        <x:v>2288</x:v>
      </x:c>
      <x:c r="H525" t="s">
        <x:v>2289</x:v>
      </x:c>
      <x:c r="I525" t="s">
        <x:v>2290</x:v>
      </x:c>
      <x:c r="J525" t="s">
        <x:v>2784</x:v>
      </x:c>
      <x:c r="K525" t="s">
        <x:v>210</x:v>
      </x:c>
      <x:c r="L525" t="s">
        <x:v>37</x:v>
      </x:c>
      <x:c r="M525" t="s">
        <x:v>2291</x:v>
      </x:c>
      <x:c r="N525" t="s">
        <x:v>2292</x:v>
      </x:c>
      <x:c r="O525" t="s">
        <x:v>2289</x:v>
      </x:c>
      <x:c r="P525" t="s">
        <x:v>2293</x:v>
      </x:c>
      <x:c r="Q525" t="s">
        <x:v>203</x:v>
      </x:c>
      <x:c r="R525">
        <x:v>1</x:v>
      </x:c>
      <x:c r="S525" t="s">
        <x:v>42</x:v>
      </x:c>
      <x:c r="T525" t="s">
        <x:v>44</x:v>
      </x:c>
      <x:c r="U525" t="s">
        <x:v>44</x:v>
      </x:c>
      <x:c r="V525" t="s">
        <x:v>45</x:v>
      </x:c>
      <x:c r="W525" t="s">
        <x:v>60</x:v>
      </x:c>
      <x:c r="X525">
        <x:v>135.59</x:v>
      </x:c>
      <x:c r="Y525" t="s">
        <x:v>47</x:v>
      </x:c>
      <x:c r="Z525" t="s">
        <x:v>48</x:v>
      </x:c>
      <x:c r="AA525" t="s">
        <x:v>49</x:v>
      </x:c>
      <x:c r="AD525">
        <x:v>30</x:v>
      </x:c>
    </x:row>
    <x:row r="526">
      <x:c r="A526" s="1">
        <x:v>46260</x:v>
      </x:c>
      <x:c r="B526" t="s">
        <x:v>4054</x:v>
      </x:c>
      <x:c r="C526" t="s">
        <x:v>2294</x:v>
      </x:c>
      <x:c r="D526" t="s">
        <x:v>29</x:v>
      </x:c>
      <x:c r="E526" t="s">
        <x:v>2295</x:v>
      </x:c>
      <x:c r="F526" t="s">
        <x:v>31</x:v>
      </x:c>
      <x:c r="G526" t="s">
        <x:v>2296</x:v>
      </x:c>
      <x:c r="H526" t="s">
        <x:v>2297</x:v>
      </x:c>
      <x:c r="I526" t="s">
        <x:v>2298</x:v>
      </x:c>
      <x:c r="L526" t="s">
        <x:v>37</x:v>
      </x:c>
      <x:c r="M526" t="s">
        <x:v>2299</x:v>
      </x:c>
      <x:c r="N526" t="s">
        <x:v>2300</x:v>
      </x:c>
      <x:c r="O526" t="s">
        <x:v>2297</x:v>
      </x:c>
      <x:c r="P526" t="s">
        <x:v>2301</x:v>
      </x:c>
      <x:c r="Q526" t="s">
        <x:v>2302</x:v>
      </x:c>
      <x:c r="R526">
        <x:v>1</x:v>
      </x:c>
      <x:c r="S526" t="s">
        <x:v>70</x:v>
      </x:c>
      <x:c r="T526" t="s">
        <x:v>43</x:v>
      </x:c>
      <x:c r="U526" t="s">
        <x:v>44</x:v>
      </x:c>
      <x:c r="V526" t="s">
        <x:v>71</x:v>
      </x:c>
      <x:c r="W526" t="s">
        <x:v>72</x:v>
      </x:c>
      <x:c r="X526">
        <x:v>76.27</x:v>
      </x:c>
      <x:c r="Y526" t="s">
        <x:v>47</x:v>
      </x:c>
      <x:c r="Z526" t="s">
        <x:v>48</x:v>
      </x:c>
      <x:c r="AA526" t="s">
        <x:v>73</x:v>
      </x:c>
    </x:row>
    <x:row r="527">
      <x:c r="A527" s="1">
        <x:v>46260</x:v>
      </x:c>
      <x:c r="B527" t="s">
        <x:v>4054</x:v>
      </x:c>
      <x:c r="C527" t="s">
        <x:v>2294</x:v>
      </x:c>
      <x:c r="D527" t="s">
        <x:v>29</x:v>
      </x:c>
      <x:c r="E527" t="s">
        <x:v>2295</x:v>
      </x:c>
      <x:c r="F527" t="s">
        <x:v>31</x:v>
      </x:c>
      <x:c r="G527" t="s">
        <x:v>2296</x:v>
      </x:c>
      <x:c r="H527" t="s">
        <x:v>2297</x:v>
      </x:c>
      <x:c r="I527" t="s">
        <x:v>2298</x:v>
      </x:c>
      <x:c r="L527" t="s">
        <x:v>37</x:v>
      </x:c>
      <x:c r="M527" t="s">
        <x:v>2299</x:v>
      </x:c>
      <x:c r="N527" t="s">
        <x:v>2300</x:v>
      </x:c>
      <x:c r="O527" t="s">
        <x:v>2297</x:v>
      </x:c>
      <x:c r="P527" t="s">
        <x:v>2301</x:v>
      </x:c>
      <x:c r="Q527" t="s">
        <x:v>102</x:v>
      </x:c>
      <x:c r="R527">
        <x:v>1</x:v>
      </x:c>
      <x:c r="S527" t="s">
        <x:v>70</x:v>
      </x:c>
      <x:c r="T527" t="s">
        <x:v>43</x:v>
      </x:c>
      <x:c r="U527" t="s">
        <x:v>44</x:v>
      </x:c>
      <x:c r="V527" t="s">
        <x:v>71</x:v>
      </x:c>
      <x:c r="W527" t="s">
        <x:v>72</x:v>
      </x:c>
      <x:c r="X527">
        <x:v>186.44</x:v>
      </x:c>
      <x:c r="Y527" t="s">
        <x:v>47</x:v>
      </x:c>
      <x:c r="Z527" t="s">
        <x:v>48</x:v>
      </x:c>
      <x:c r="AA527" t="s">
        <x:v>73</x:v>
      </x:c>
      <x:c r="AD527">
        <x:v>50</x:v>
      </x:c>
    </x:row>
    <x:row r="528">
      <x:c r="A528" s="1">
        <x:v>46260</x:v>
      </x:c>
      <x:c r="B528" t="s">
        <x:v>4054</x:v>
      </x:c>
      <x:c r="C528" t="s">
        <x:v>2303</x:v>
      </x:c>
      <x:c r="D528" t="s">
        <x:v>29</x:v>
      </x:c>
      <x:c r="E528" t="s">
        <x:v>2304</x:v>
      </x:c>
      <x:c r="F528" t="s">
        <x:v>31</x:v>
      </x:c>
      <x:c r="G528" t="s">
        <x:v>2305</x:v>
      </x:c>
      <x:c r="H528" t="s">
        <x:v>2306</x:v>
      </x:c>
      <x:c r="I528" t="s">
        <x:v>2307</x:v>
      </x:c>
      <x:c r="J528" t="s">
        <x:v>137</x:v>
      </x:c>
      <x:c r="K528" t="s">
        <x:v>138</x:v>
      </x:c>
      <x:c r="L528" t="s">
        <x:v>37</x:v>
      </x:c>
      <x:c r="M528" t="s">
        <x:v>2308</x:v>
      </x:c>
      <x:c r="N528" t="s">
        <x:v>2309</x:v>
      </x:c>
      <x:c r="O528" t="s">
        <x:v>2306</x:v>
      </x:c>
      <x:c r="P528" t="s">
        <x:v>2310</x:v>
      </x:c>
      <x:c r="Q528" t="s">
        <x:v>203</x:v>
      </x:c>
      <x:c r="R528">
        <x:v>1</x:v>
      </x:c>
      <x:c r="S528" t="s">
        <x:v>42</x:v>
      </x:c>
      <x:c r="T528" t="s">
        <x:v>44</x:v>
      </x:c>
      <x:c r="U528" t="s">
        <x:v>44</x:v>
      </x:c>
      <x:c r="V528" t="s">
        <x:v>45</x:v>
      </x:c>
      <x:c r="W528" t="s">
        <x:v>60</x:v>
      </x:c>
      <x:c r="X528">
        <x:v>152.54</x:v>
      </x:c>
      <x:c r="Y528" t="s">
        <x:v>47</x:v>
      </x:c>
      <x:c r="Z528" t="s">
        <x:v>48</x:v>
      </x:c>
      <x:c r="AA528" t="s">
        <x:v>49</x:v>
      </x:c>
      <x:c r="AB528">
        <x:v>987407712</x:v>
      </x:c>
      <x:c r="AC528" t="s">
        <x:v>142</x:v>
      </x:c>
      <x:c r="AD528">
        <x:v>30</x:v>
      </x:c>
    </x:row>
    <x:row r="529">
      <x:c r="A529" s="1">
        <x:v>46260</x:v>
      </x:c>
      <x:c r="B529" t="s">
        <x:v>4054</x:v>
      </x:c>
      <x:c r="C529" t="s">
        <x:v>2311</x:v>
      </x:c>
      <x:c r="D529" t="s">
        <x:v>269</x:v>
      </x:c>
      <x:c r="E529" t="s">
        <x:v>2312</x:v>
      </x:c>
      <x:c r="F529" t="s">
        <x:v>31</x:v>
      </x:c>
      <x:c r="G529" t="s">
        <x:v>2313</x:v>
      </x:c>
      <x:c r="H529" t="s">
        <x:v>2314</x:v>
      </x:c>
      <x:c r="I529" t="s">
        <x:v>2315</x:v>
      </x:c>
      <x:c r="J529" t="s">
        <x:v>1564</x:v>
      </x:c>
      <x:c r="K529" t="s">
        <x:v>707</x:v>
      </x:c>
      <x:c r="L529" t="s">
        <x:v>37</x:v>
      </x:c>
      <x:c r="M529" t="s">
        <x:v>2316</x:v>
      </x:c>
      <x:c r="N529" t="s">
        <x:v>2317</x:v>
      </x:c>
      <x:c r="O529" t="s">
        <x:v>1567</x:v>
      </x:c>
      <x:c r="P529" t="s">
        <x:v>2318</x:v>
      </x:c>
      <x:c r="Q529" t="s">
        <x:v>1569</x:v>
      </x:c>
      <x:c r="R529">
        <x:v>2</x:v>
      </x:c>
      <x:c r="S529" t="s">
        <x:v>42</x:v>
      </x:c>
      <x:c r="T529" t="s">
        <x:v>44</x:v>
      </x:c>
      <x:c r="U529" t="s">
        <x:v>44</x:v>
      </x:c>
      <x:c r="V529" t="s">
        <x:v>45</x:v>
      </x:c>
      <x:c r="W529" t="s">
        <x:v>60</x:v>
      </x:c>
      <x:c r="X529">
        <x:v>305.08</x:v>
      </x:c>
      <x:c r="Y529" t="s">
        <x:v>61</x:v>
      </x:c>
      <x:c r="Z529" t="s">
        <x:v>48</x:v>
      </x:c>
      <x:c r="AA529" t="s">
        <x:v>49</x:v>
      </x:c>
    </x:row>
    <x:row r="530">
      <x:c r="A530" s="1">
        <x:v>46261</x:v>
      </x:c>
      <x:c r="B530" t="s">
        <x:v>4054</x:v>
      </x:c>
      <x:c r="C530" t="s">
        <x:v>2319</x:v>
      </x:c>
      <x:c r="D530" t="s">
        <x:v>29</x:v>
      </x:c>
      <x:c r="E530" t="s">
        <x:v>2320</x:v>
      </x:c>
      <x:c r="F530" t="s">
        <x:v>31</x:v>
      </x:c>
      <x:c r="G530" t="s">
        <x:v>2321</x:v>
      </x:c>
      <x:c r="H530" t="s">
        <x:v>2322</x:v>
      </x:c>
      <x:c r="I530" t="s">
        <x:v>2323</x:v>
      </x:c>
      <x:c r="J530" t="s">
        <x:v>2324</x:v>
      </x:c>
      <x:c r="K530" t="s">
        <x:v>1546</x:v>
      </x:c>
      <x:c r="L530" t="s">
        <x:v>37</x:v>
      </x:c>
      <x:c r="M530" t="s">
        <x:v>2325</x:v>
      </x:c>
      <x:c r="N530" t="s">
        <x:v>2326</x:v>
      </x:c>
      <x:c r="O530" t="s">
        <x:v>2322</x:v>
      </x:c>
      <x:c r="P530" t="s">
        <x:v>2327</x:v>
      </x:c>
      <x:c r="Q530" t="s">
        <x:v>41</x:v>
      </x:c>
      <x:c r="R530">
        <x:v>1</x:v>
      </x:c>
      <x:c r="S530" t="s">
        <x:v>42</x:v>
      </x:c>
      <x:c r="T530" t="s">
        <x:v>44</x:v>
      </x:c>
      <x:c r="U530" t="s">
        <x:v>44</x:v>
      </x:c>
      <x:c r="V530" t="s">
        <x:v>45</x:v>
      </x:c>
      <x:c r="W530" t="s">
        <x:v>60</x:v>
      </x:c>
      <x:c r="X530">
        <x:v>186.44</x:v>
      </x:c>
      <x:c r="Y530" t="s">
        <x:v>47</x:v>
      </x:c>
      <x:c r="Z530" t="s">
        <x:v>48</x:v>
      </x:c>
      <x:c r="AA530" t="s">
        <x:v>49</x:v>
      </x:c>
      <x:c r="AB530">
        <x:v>945093839</x:v>
      </x:c>
      <x:c r="AC530" t="s">
        <x:v>2328</x:v>
      </x:c>
      <x:c r="AD530">
        <x:v>50</x:v>
      </x:c>
    </x:row>
    <x:row r="531">
      <x:c r="A531" s="1">
        <x:v>46261</x:v>
      </x:c>
      <x:c r="B531" t="s">
        <x:v>4054</x:v>
      </x:c>
      <x:c r="C531" t="s">
        <x:v>2329</x:v>
      </x:c>
      <x:c r="D531" t="s">
        <x:v>29</x:v>
      </x:c>
      <x:c r="E531" t="s">
        <x:v>2330</x:v>
      </x:c>
      <x:c r="F531" t="s">
        <x:v>31</x:v>
      </x:c>
      <x:c r="G531" t="s">
        <x:v>2331</x:v>
      </x:c>
      <x:c r="H531" t="s">
        <x:v>2332</x:v>
      </x:c>
      <x:c r="I531" t="s">
        <x:v>2333</x:v>
      </x:c>
      <x:c r="J531" t="s">
        <x:v>1843</x:v>
      </x:c>
      <x:c r="K531" t="s">
        <x:v>263</x:v>
      </x:c>
      <x:c r="L531" t="s">
        <x:v>37</x:v>
      </x:c>
      <x:c r="M531" t="s">
        <x:v>2335</x:v>
      </x:c>
      <x:c r="N531" t="s">
        <x:v>2336</x:v>
      </x:c>
      <x:c r="O531" t="s">
        <x:v>2332</x:v>
      </x:c>
      <x:c r="P531" t="s">
        <x:v>2337</x:v>
      </x:c>
      <x:c r="Q531" t="s">
        <x:v>41</x:v>
      </x:c>
      <x:c r="R531">
        <x:v>1</x:v>
      </x:c>
      <x:c r="S531" t="s">
        <x:v>42</x:v>
      </x:c>
      <x:c r="T531" t="s">
        <x:v>44</x:v>
      </x:c>
      <x:c r="U531" t="s">
        <x:v>44</x:v>
      </x:c>
      <x:c r="V531" t="s">
        <x:v>45</x:v>
      </x:c>
      <x:c r="W531" t="s">
        <x:v>60</x:v>
      </x:c>
      <x:c r="X531">
        <x:v>186.44</x:v>
      </x:c>
      <x:c r="Y531" t="s">
        <x:v>47</x:v>
      </x:c>
      <x:c r="Z531" t="s">
        <x:v>48</x:v>
      </x:c>
      <x:c r="AA531" t="s">
        <x:v>49</x:v>
      </x:c>
      <x:c r="AB531">
        <x:v>999700200</x:v>
      </x:c>
      <x:c r="AC531" t="s">
        <x:v>1846</x:v>
      </x:c>
      <x:c r="AD531">
        <x:v>50</x:v>
      </x:c>
    </x:row>
    <x:row r="532">
      <x:c r="A532" s="1">
        <x:v>46261</x:v>
      </x:c>
      <x:c r="B532" t="s">
        <x:v>4054</x:v>
      </x:c>
      <x:c r="C532" t="s">
        <x:v>2338</x:v>
      </x:c>
      <x:c r="D532" t="s">
        <x:v>29</x:v>
      </x:c>
      <x:c r="E532" t="s">
        <x:v>2339</x:v>
      </x:c>
      <x:c r="F532" t="s">
        <x:v>31</x:v>
      </x:c>
      <x:c r="G532" t="s">
        <x:v>2340</x:v>
      </x:c>
      <x:c r="H532" t="s">
        <x:v>2341</x:v>
      </x:c>
      <x:c r="I532" t="s">
        <x:v>2342</x:v>
      </x:c>
      <x:c r="J532" t="s">
        <x:v>2343</x:v>
      </x:c>
      <x:c r="K532" t="s">
        <x:v>2344</x:v>
      </x:c>
      <x:c r="L532" t="s">
        <x:v>37</x:v>
      </x:c>
      <x:c r="M532" t="s">
        <x:v>2345</x:v>
      </x:c>
      <x:c r="N532" t="s">
        <x:v>2346</x:v>
      </x:c>
      <x:c r="O532" t="s">
        <x:v>2341</x:v>
      </x:c>
      <x:c r="P532" t="s">
        <x:v>2347</x:v>
      </x:c>
      <x:c r="Q532" t="s">
        <x:v>160</x:v>
      </x:c>
      <x:c r="R532">
        <x:v>1</x:v>
      </x:c>
      <x:c r="S532" t="s">
        <x:v>42</x:v>
      </x:c>
      <x:c r="T532" t="s">
        <x:v>44</x:v>
      </x:c>
      <x:c r="U532" t="s">
        <x:v>44</x:v>
      </x:c>
      <x:c r="V532" t="s">
        <x:v>532</x:v>
      </x:c>
      <x:c r="W532" t="s">
        <x:v>1980</x:v>
      </x:c>
      <x:c r="X532">
        <x:v>135.59</x:v>
      </x:c>
      <x:c r="Y532" t="s">
        <x:v>47</x:v>
      </x:c>
      <x:c r="Z532" t="s">
        <x:v>48</x:v>
      </x:c>
      <x:c r="AA532" t="s">
        <x:v>535</x:v>
      </x:c>
      <x:c r="AB532">
        <x:v>996132853</x:v>
      </x:c>
      <x:c r="AD532">
        <x:v>30</x:v>
      </x:c>
    </x:row>
    <x:row r="533">
      <x:c r="A533" s="1">
        <x:v>46261</x:v>
      </x:c>
      <x:c r="B533" t="s">
        <x:v>4054</x:v>
      </x:c>
      <x:c r="C533" t="s">
        <x:v>2348</x:v>
      </x:c>
      <x:c r="D533" t="s">
        <x:v>29</x:v>
      </x:c>
      <x:c r="E533" t="s">
        <x:v>2349</x:v>
      </x:c>
      <x:c r="F533" t="s">
        <x:v>31</x:v>
      </x:c>
      <x:c r="G533" t="s">
        <x:v>2350</x:v>
      </x:c>
      <x:c r="H533" t="s">
        <x:v>1046</x:v>
      </x:c>
      <x:c r="I533" t="s">
        <x:v>1047</x:v>
      </x:c>
      <x:c r="J533" t="s">
        <x:v>776</x:v>
      </x:c>
      <x:c r="K533" t="s">
        <x:v>777</x:v>
      </x:c>
      <x:c r="L533" t="s">
        <x:v>37</x:v>
      </x:c>
      <x:c r="M533" t="s">
        <x:v>1048</x:v>
      </x:c>
      <x:c r="N533" t="s">
        <x:v>1049</x:v>
      </x:c>
      <x:c r="O533" t="s">
        <x:v>1046</x:v>
      </x:c>
      <x:c r="P533" t="s">
        <x:v>2351</x:v>
      </x:c>
      <x:c r="Q533" t="s">
        <x:v>643</x:v>
      </x:c>
      <x:c r="R533">
        <x:v>1</x:v>
      </x:c>
      <x:c r="S533" t="s">
        <x:v>42</x:v>
      </x:c>
      <x:c r="T533" t="s">
        <x:v>44</x:v>
      </x:c>
      <x:c r="U533" t="s">
        <x:v>44</x:v>
      </x:c>
      <x:c r="V533" t="s">
        <x:v>45</x:v>
      </x:c>
      <x:c r="W533" t="s">
        <x:v>46</x:v>
      </x:c>
      <x:c r="X533">
        <x:v>84.75</x:v>
      </x:c>
      <x:c r="Y533" t="s">
        <x:v>47</x:v>
      </x:c>
      <x:c r="Z533" t="s">
        <x:v>48</x:v>
      </x:c>
      <x:c r="AA533" t="s">
        <x:v>49</x:v>
      </x:c>
    </x:row>
    <x:row r="534">
      <x:c r="A534" s="1">
        <x:v>46261</x:v>
      </x:c>
      <x:c r="B534" t="s">
        <x:v>4054</x:v>
      </x:c>
      <x:c r="C534" t="s">
        <x:v>2352</x:v>
      </x:c>
      <x:c r="D534" t="s">
        <x:v>29</x:v>
      </x:c>
      <x:c r="E534" t="s">
        <x:v>2353</x:v>
      </x:c>
      <x:c r="F534" t="s">
        <x:v>31</x:v>
      </x:c>
      <x:c r="G534" t="s">
        <x:v>2354</x:v>
      </x:c>
      <x:c r="H534" t="s">
        <x:v>2355</x:v>
      </x:c>
      <x:c r="I534" t="s">
        <x:v>2356</x:v>
      </x:c>
      <x:c r="J534" t="s">
        <x:v>1390</x:v>
      </x:c>
      <x:c r="K534" t="s">
        <x:v>4055</x:v>
      </x:c>
      <x:c r="L534" t="s">
        <x:v>37</x:v>
      </x:c>
      <x:c r="M534" t="s">
        <x:v>2357</x:v>
      </x:c>
      <x:c r="N534" t="s">
        <x:v>2358</x:v>
      </x:c>
      <x:c r="O534" t="s">
        <x:v>2355</x:v>
      </x:c>
      <x:c r="P534" t="s">
        <x:v>2359</x:v>
      </x:c>
      <x:c r="Q534" t="s">
        <x:v>203</x:v>
      </x:c>
      <x:c r="R534">
        <x:v>1</x:v>
      </x:c>
      <x:c r="S534" t="s">
        <x:v>42</x:v>
      </x:c>
      <x:c r="T534" t="s">
        <x:v>44</x:v>
      </x:c>
      <x:c r="U534" t="s">
        <x:v>44</x:v>
      </x:c>
      <x:c r="V534" t="s">
        <x:v>45</x:v>
      </x:c>
      <x:c r="W534" t="s">
        <x:v>60</x:v>
      </x:c>
      <x:c r="X534">
        <x:v>135.59</x:v>
      </x:c>
      <x:c r="Y534" t="s">
        <x:v>47</x:v>
      </x:c>
      <x:c r="Z534" t="s">
        <x:v>48</x:v>
      </x:c>
      <x:c r="AA534" t="s">
        <x:v>49</x:v>
      </x:c>
      <x:c r="AB534">
        <x:v>917791542</x:v>
      </x:c>
      <x:c r="AC534" t="s">
        <x:v>1394</x:v>
      </x:c>
      <x:c r="AD534">
        <x:v>30</x:v>
      </x:c>
    </x:row>
    <x:row r="535">
      <x:c r="A535" s="1">
        <x:v>46261</x:v>
      </x:c>
      <x:c r="B535" t="s">
        <x:v>4054</x:v>
      </x:c>
      <x:c r="C535" t="s">
        <x:v>2360</x:v>
      </x:c>
      <x:c r="D535" t="s">
        <x:v>269</x:v>
      </x:c>
      <x:c r="E535" t="s">
        <x:v>2361</x:v>
      </x:c>
      <x:c r="F535" t="s">
        <x:v>31</x:v>
      </x:c>
      <x:c r="G535" t="s">
        <x:v>2362</x:v>
      </x:c>
      <x:c r="H535" t="s">
        <x:v>1250</x:v>
      </x:c>
      <x:c r="I535" t="s">
        <x:v>1251</x:v>
      </x:c>
      <x:c r="J535" t="s">
        <x:v>2363</x:v>
      </x:c>
      <x:c r="K535" t="s">
        <x:v>707</x:v>
      </x:c>
      <x:c r="L535" t="s">
        <x:v>37</x:v>
      </x:c>
      <x:c r="M535" t="s">
        <x:v>1253</x:v>
      </x:c>
      <x:c r="N535" t="s">
        <x:v>610</x:v>
      </x:c>
      <x:c r="O535" t="s">
        <x:v>1254</x:v>
      </x:c>
      <x:c r="P535" t="s">
        <x:v>2364</x:v>
      </x:c>
      <x:c r="Q535" t="s">
        <x:v>289</x:v>
      </x:c>
      <x:c r="R535">
        <x:v>1</x:v>
      </x:c>
      <x:c r="S535" t="s">
        <x:v>42</x:v>
      </x:c>
      <x:c r="T535" t="s">
        <x:v>44</x:v>
      </x:c>
      <x:c r="U535" t="s">
        <x:v>44</x:v>
      </x:c>
      <x:c r="V535" t="s">
        <x:v>45</x:v>
      </x:c>
      <x:c r="W535" t="s">
        <x:v>46</x:v>
      </x:c>
      <x:c r="X535">
        <x:v>0</x:v>
      </x:c>
      <x:c r="Y535" t="s">
        <x:v>290</x:v>
      </x:c>
      <x:c r="Z535" t="s">
        <x:v>48</x:v>
      </x:c>
      <x:c r="AA535" t="s">
        <x:v>49</x:v>
      </x:c>
    </x:row>
    <x:row r="536">
      <x:c r="A536" s="1">
        <x:v>46261</x:v>
      </x:c>
      <x:c r="B536" t="s">
        <x:v>4054</x:v>
      </x:c>
      <x:c r="C536" t="s">
        <x:v>2360</x:v>
      </x:c>
      <x:c r="D536" t="s">
        <x:v>269</x:v>
      </x:c>
      <x:c r="E536" t="s">
        <x:v>2361</x:v>
      </x:c>
      <x:c r="F536" t="s">
        <x:v>31</x:v>
      </x:c>
      <x:c r="G536" t="s">
        <x:v>2362</x:v>
      </x:c>
      <x:c r="H536" t="s">
        <x:v>1250</x:v>
      </x:c>
      <x:c r="I536" t="s">
        <x:v>1251</x:v>
      </x:c>
      <x:c r="J536" t="s">
        <x:v>2363</x:v>
      </x:c>
      <x:c r="K536" t="s">
        <x:v>707</x:v>
      </x:c>
      <x:c r="L536" t="s">
        <x:v>37</x:v>
      </x:c>
      <x:c r="M536" t="s">
        <x:v>1253</x:v>
      </x:c>
      <x:c r="N536" t="s">
        <x:v>610</x:v>
      </x:c>
      <x:c r="O536" t="s">
        <x:v>1254</x:v>
      </x:c>
      <x:c r="P536" t="s">
        <x:v>2364</x:v>
      </x:c>
      <x:c r="Q536" t="s">
        <x:v>291</x:v>
      </x:c>
      <x:c r="R536">
        <x:v>1</x:v>
      </x:c>
      <x:c r="S536" t="s">
        <x:v>42</x:v>
      </x:c>
      <x:c r="T536" t="s">
        <x:v>44</x:v>
      </x:c>
      <x:c r="U536" t="s">
        <x:v>44</x:v>
      </x:c>
      <x:c r="V536" t="s">
        <x:v>45</x:v>
      </x:c>
      <x:c r="W536" t="s">
        <x:v>46</x:v>
      </x:c>
      <x:c r="X536">
        <x:v>847.46</x:v>
      </x:c>
      <x:c r="Y536" t="s">
        <x:v>290</x:v>
      </x:c>
      <x:c r="Z536" t="s">
        <x:v>48</x:v>
      </x:c>
      <x:c r="AA536" t="s">
        <x:v>49</x:v>
      </x:c>
    </x:row>
    <x:row r="537">
      <x:c r="A537" s="1">
        <x:v>46261</x:v>
      </x:c>
      <x:c r="B537" t="s">
        <x:v>4054</x:v>
      </x:c>
      <x:c r="C537" t="s">
        <x:v>2365</x:v>
      </x:c>
      <x:c r="D537" t="s">
        <x:v>269</x:v>
      </x:c>
      <x:c r="E537" t="s">
        <x:v>2366</x:v>
      </x:c>
      <x:c r="F537" t="s">
        <x:v>31</x:v>
      </x:c>
      <x:c r="G537" t="s">
        <x:v>2367</x:v>
      </x:c>
      <x:c r="H537" t="s">
        <x:v>2368</x:v>
      </x:c>
      <x:c r="I537" t="s">
        <x:v>2369</x:v>
      </x:c>
      <x:c r="J537" t="s">
        <x:v>776</x:v>
      </x:c>
      <x:c r="K537" t="s">
        <x:v>777</x:v>
      </x:c>
      <x:c r="L537" t="s">
        <x:v>37</x:v>
      </x:c>
      <x:c r="M537" t="s">
        <x:v>2370</x:v>
      </x:c>
      <x:c r="N537" t="s">
        <x:v>610</x:v>
      </x:c>
      <x:c r="O537" t="s">
        <x:v>1254</x:v>
      </x:c>
      <x:c r="P537" t="s">
        <x:v>2371</x:v>
      </x:c>
      <x:c r="Q537" t="s">
        <x:v>289</x:v>
      </x:c>
      <x:c r="R537">
        <x:v>1</x:v>
      </x:c>
      <x:c r="S537" t="s">
        <x:v>42</x:v>
      </x:c>
      <x:c r="T537" t="s">
        <x:v>44</x:v>
      </x:c>
      <x:c r="U537" t="s">
        <x:v>44</x:v>
      </x:c>
      <x:c r="V537" t="s">
        <x:v>45</x:v>
      </x:c>
      <x:c r="W537" t="s">
        <x:v>46</x:v>
      </x:c>
      <x:c r="X537">
        <x:v>0</x:v>
      </x:c>
      <x:c r="Y537" t="s">
        <x:v>290</x:v>
      </x:c>
      <x:c r="Z537" t="s">
        <x:v>48</x:v>
      </x:c>
      <x:c r="AA537" t="s">
        <x:v>49</x:v>
      </x:c>
    </x:row>
    <x:row r="538">
      <x:c r="A538" s="1">
        <x:v>46261</x:v>
      </x:c>
      <x:c r="B538" t="s">
        <x:v>4054</x:v>
      </x:c>
      <x:c r="C538" t="s">
        <x:v>2365</x:v>
      </x:c>
      <x:c r="D538" t="s">
        <x:v>269</x:v>
      </x:c>
      <x:c r="E538" t="s">
        <x:v>2366</x:v>
      </x:c>
      <x:c r="F538" t="s">
        <x:v>31</x:v>
      </x:c>
      <x:c r="G538" t="s">
        <x:v>2367</x:v>
      </x:c>
      <x:c r="H538" t="s">
        <x:v>2368</x:v>
      </x:c>
      <x:c r="I538" t="s">
        <x:v>2369</x:v>
      </x:c>
      <x:c r="J538" t="s">
        <x:v>776</x:v>
      </x:c>
      <x:c r="K538" t="s">
        <x:v>777</x:v>
      </x:c>
      <x:c r="L538" t="s">
        <x:v>37</x:v>
      </x:c>
      <x:c r="M538" t="s">
        <x:v>2370</x:v>
      </x:c>
      <x:c r="N538" t="s">
        <x:v>610</x:v>
      </x:c>
      <x:c r="O538" t="s">
        <x:v>1254</x:v>
      </x:c>
      <x:c r="P538" t="s">
        <x:v>2371</x:v>
      </x:c>
      <x:c r="Q538" t="s">
        <x:v>1139</x:v>
      </x:c>
      <x:c r="R538">
        <x:v>1</x:v>
      </x:c>
      <x:c r="S538" t="s">
        <x:v>42</x:v>
      </x:c>
      <x:c r="T538" t="s">
        <x:v>44</x:v>
      </x:c>
      <x:c r="U538" t="s">
        <x:v>44</x:v>
      </x:c>
      <x:c r="V538" t="s">
        <x:v>45</x:v>
      </x:c>
      <x:c r="W538" t="s">
        <x:v>46</x:v>
      </x:c>
      <x:c r="X538">
        <x:v>635.59</x:v>
      </x:c>
      <x:c r="Y538" t="s">
        <x:v>290</x:v>
      </x:c>
      <x:c r="Z538" t="s">
        <x:v>48</x:v>
      </x:c>
      <x:c r="AA538" t="s">
        <x:v>49</x:v>
      </x:c>
    </x:row>
    <x:row r="539">
      <x:c r="A539" s="1">
        <x:v>46261</x:v>
      </x:c>
      <x:c r="B539" t="s">
        <x:v>4054</x:v>
      </x:c>
      <x:c r="C539" t="s">
        <x:v>2372</x:v>
      </x:c>
      <x:c r="D539" t="s">
        <x:v>29</x:v>
      </x:c>
      <x:c r="E539" t="s">
        <x:v>2373</x:v>
      </x:c>
      <x:c r="F539" t="s">
        <x:v>31</x:v>
      </x:c>
      <x:c r="G539" t="s">
        <x:v>2374</x:v>
      </x:c>
      <x:c r="H539" t="s">
        <x:v>2375</x:v>
      </x:c>
      <x:c r="I539" t="s">
        <x:v>2376</x:v>
      </x:c>
      <x:c r="J539" t="s">
        <x:v>776</x:v>
      </x:c>
      <x:c r="K539" t="s">
        <x:v>777</x:v>
      </x:c>
      <x:c r="L539" t="s">
        <x:v>37</x:v>
      </x:c>
      <x:c r="M539" t="s">
        <x:v>2377</x:v>
      </x:c>
      <x:c r="N539" t="s">
        <x:v>2378</x:v>
      </x:c>
      <x:c r="O539" t="s">
        <x:v>2375</x:v>
      </x:c>
      <x:c r="P539" t="s">
        <x:v>2379</x:v>
      </x:c>
      <x:c r="Q539" t="s">
        <x:v>91</x:v>
      </x:c>
      <x:c r="R539">
        <x:v>1</x:v>
      </x:c>
      <x:c r="S539" t="s">
        <x:v>42</x:v>
      </x:c>
      <x:c r="T539" t="s">
        <x:v>44</x:v>
      </x:c>
      <x:c r="U539" t="s">
        <x:v>44</x:v>
      </x:c>
      <x:c r="V539" t="s">
        <x:v>45</x:v>
      </x:c>
      <x:c r="W539" t="s">
        <x:v>46</x:v>
      </x:c>
      <x:c r="X539">
        <x:v>135.59</x:v>
      </x:c>
      <x:c r="Y539" t="s">
        <x:v>47</x:v>
      </x:c>
      <x:c r="Z539" t="s">
        <x:v>48</x:v>
      </x:c>
      <x:c r="AA539" t="s">
        <x:v>49</x:v>
      </x:c>
      <x:c r="AD539">
        <x:v>30</x:v>
      </x:c>
    </x:row>
    <x:row r="540">
      <x:c r="A540" s="1">
        <x:v>46261</x:v>
      </x:c>
      <x:c r="B540" t="s">
        <x:v>4054</x:v>
      </x:c>
      <x:c r="C540" t="s">
        <x:v>2372</x:v>
      </x:c>
      <x:c r="D540" t="s">
        <x:v>29</x:v>
      </x:c>
      <x:c r="E540" t="s">
        <x:v>2373</x:v>
      </x:c>
      <x:c r="F540" t="s">
        <x:v>31</x:v>
      </x:c>
      <x:c r="G540" t="s">
        <x:v>2374</x:v>
      </x:c>
      <x:c r="H540" t="s">
        <x:v>2375</x:v>
      </x:c>
      <x:c r="I540" t="s">
        <x:v>2376</x:v>
      </x:c>
      <x:c r="J540" t="s">
        <x:v>776</x:v>
      </x:c>
      <x:c r="K540" t="s">
        <x:v>777</x:v>
      </x:c>
      <x:c r="L540" t="s">
        <x:v>37</x:v>
      </x:c>
      <x:c r="M540" t="s">
        <x:v>2377</x:v>
      </x:c>
      <x:c r="N540" t="s">
        <x:v>2378</x:v>
      </x:c>
      <x:c r="O540" t="s">
        <x:v>2375</x:v>
      </x:c>
      <x:c r="P540" t="s">
        <x:v>2379</x:v>
      </x:c>
      <x:c r="Q540" t="s">
        <x:v>41</x:v>
      </x:c>
      <x:c r="R540">
        <x:v>1</x:v>
      </x:c>
      <x:c r="S540" t="s">
        <x:v>42</x:v>
      </x:c>
      <x:c r="T540" t="s">
        <x:v>44</x:v>
      </x:c>
      <x:c r="U540" t="s">
        <x:v>44</x:v>
      </x:c>
      <x:c r="V540" t="s">
        <x:v>45</x:v>
      </x:c>
      <x:c r="W540" t="s">
        <x:v>46</x:v>
      </x:c>
      <x:c r="X540">
        <x:v>186.44</x:v>
      </x:c>
      <x:c r="Y540" t="s">
        <x:v>47</x:v>
      </x:c>
      <x:c r="Z540" t="s">
        <x:v>48</x:v>
      </x:c>
      <x:c r="AA540" t="s">
        <x:v>49</x:v>
      </x:c>
      <x:c r="AD540">
        <x:v>50</x:v>
      </x:c>
    </x:row>
    <x:row r="541">
      <x:c r="A541" s="1">
        <x:v>46261</x:v>
      </x:c>
      <x:c r="B541" t="s">
        <x:v>4054</x:v>
      </x:c>
      <x:c r="C541" t="s">
        <x:v>2380</x:v>
      </x:c>
      <x:c r="D541" t="s">
        <x:v>269</x:v>
      </x:c>
      <x:c r="E541" t="s">
        <x:v>2381</x:v>
      </x:c>
      <x:c r="F541" t="s">
        <x:v>31</x:v>
      </x:c>
      <x:c r="G541" t="s">
        <x:v>2382</x:v>
      </x:c>
      <x:c r="H541" t="s">
        <x:v>1950</x:v>
      </x:c>
      <x:c r="I541" t="s">
        <x:v>1951</x:v>
      </x:c>
      <x:c r="J541" t="s">
        <x:v>776</x:v>
      </x:c>
      <x:c r="K541" t="s">
        <x:v>777</x:v>
      </x:c>
      <x:c r="L541" t="s">
        <x:v>37</x:v>
      </x:c>
      <x:c r="M541" t="s">
        <x:v>1952</x:v>
      </x:c>
      <x:c r="N541" t="s">
        <x:v>1953</x:v>
      </x:c>
      <x:c r="O541" t="s">
        <x:v>800</x:v>
      </x:c>
      <x:c r="P541" t="s">
        <x:v>2383</x:v>
      </x:c>
      <x:c r="Q541" t="s">
        <x:v>289</x:v>
      </x:c>
      <x:c r="R541">
        <x:v>1</x:v>
      </x:c>
      <x:c r="S541" t="s">
        <x:v>42</x:v>
      </x:c>
      <x:c r="T541" t="s">
        <x:v>44</x:v>
      </x:c>
      <x:c r="U541" t="s">
        <x:v>44</x:v>
      </x:c>
      <x:c r="V541" t="s">
        <x:v>45</x:v>
      </x:c>
      <x:c r="W541" t="s">
        <x:v>60</x:v>
      </x:c>
      <x:c r="X541">
        <x:v>0</x:v>
      </x:c>
      <x:c r="Y541" t="s">
        <x:v>290</x:v>
      </x:c>
      <x:c r="Z541" t="s">
        <x:v>48</x:v>
      </x:c>
      <x:c r="AA541" t="s">
        <x:v>49</x:v>
      </x:c>
    </x:row>
    <x:row r="542">
      <x:c r="A542" s="1">
        <x:v>46261</x:v>
      </x:c>
      <x:c r="B542" t="s">
        <x:v>4054</x:v>
      </x:c>
      <x:c r="C542" t="s">
        <x:v>2380</x:v>
      </x:c>
      <x:c r="D542" t="s">
        <x:v>269</x:v>
      </x:c>
      <x:c r="E542" t="s">
        <x:v>2381</x:v>
      </x:c>
      <x:c r="F542" t="s">
        <x:v>31</x:v>
      </x:c>
      <x:c r="G542" t="s">
        <x:v>2382</x:v>
      </x:c>
      <x:c r="H542" t="s">
        <x:v>1950</x:v>
      </x:c>
      <x:c r="I542" t="s">
        <x:v>1951</x:v>
      </x:c>
      <x:c r="J542" t="s">
        <x:v>776</x:v>
      </x:c>
      <x:c r="K542" t="s">
        <x:v>777</x:v>
      </x:c>
      <x:c r="L542" t="s">
        <x:v>37</x:v>
      </x:c>
      <x:c r="M542" t="s">
        <x:v>1952</x:v>
      </x:c>
      <x:c r="N542" t="s">
        <x:v>1953</x:v>
      </x:c>
      <x:c r="O542" t="s">
        <x:v>800</x:v>
      </x:c>
      <x:c r="P542" t="s">
        <x:v>2383</x:v>
      </x:c>
      <x:c r="Q542" t="s">
        <x:v>291</x:v>
      </x:c>
      <x:c r="R542">
        <x:v>1</x:v>
      </x:c>
      <x:c r="S542" t="s">
        <x:v>42</x:v>
      </x:c>
      <x:c r="T542" t="s">
        <x:v>44</x:v>
      </x:c>
      <x:c r="U542" t="s">
        <x:v>44</x:v>
      </x:c>
      <x:c r="V542" t="s">
        <x:v>45</x:v>
      </x:c>
      <x:c r="W542" t="s">
        <x:v>60</x:v>
      </x:c>
      <x:c r="X542">
        <x:v>762.71</x:v>
      </x:c>
      <x:c r="Y542" t="s">
        <x:v>290</x:v>
      </x:c>
      <x:c r="Z542" t="s">
        <x:v>48</x:v>
      </x:c>
      <x:c r="AA542" t="s">
        <x:v>49</x:v>
      </x:c>
    </x:row>
    <x:row r="543">
      <x:c r="A543" s="1">
        <x:v>46261</x:v>
      </x:c>
      <x:c r="B543" t="s">
        <x:v>4054</x:v>
      </x:c>
      <x:c r="C543" t="s">
        <x:v>2384</x:v>
      </x:c>
      <x:c r="D543" t="s">
        <x:v>269</x:v>
      </x:c>
      <x:c r="E543" t="s">
        <x:v>2385</x:v>
      </x:c>
      <x:c r="F543" t="s">
        <x:v>31</x:v>
      </x:c>
      <x:c r="G543" t="s">
        <x:v>2386</x:v>
      </x:c>
      <x:c r="H543" t="s">
        <x:v>2387</x:v>
      </x:c>
      <x:c r="I543" t="s">
        <x:v>2388</x:v>
      </x:c>
      <x:c r="J543" t="s">
        <x:v>1110</x:v>
      </x:c>
      <x:c r="K543" t="s">
        <x:v>210</x:v>
      </x:c>
      <x:c r="L543" t="s">
        <x:v>37</x:v>
      </x:c>
      <x:c r="M543" t="s">
        <x:v>2389</x:v>
      </x:c>
      <x:c r="N543" t="s">
        <x:v>610</x:v>
      </x:c>
      <x:c r="O543" t="s">
        <x:v>1113</x:v>
      </x:c>
      <x:c r="P543" t="s">
        <x:v>2390</x:v>
      </x:c>
      <x:c r="Q543" t="s">
        <x:v>289</x:v>
      </x:c>
      <x:c r="R543">
        <x:v>1</x:v>
      </x:c>
      <x:c r="S543" t="s">
        <x:v>42</x:v>
      </x:c>
      <x:c r="T543" t="s">
        <x:v>44</x:v>
      </x:c>
      <x:c r="U543" t="s">
        <x:v>44</x:v>
      </x:c>
      <x:c r="V543" t="s">
        <x:v>45</x:v>
      </x:c>
      <x:c r="W543" t="s">
        <x:v>60</x:v>
      </x:c>
      <x:c r="X543">
        <x:v>0</x:v>
      </x:c>
      <x:c r="Y543" t="s">
        <x:v>290</x:v>
      </x:c>
      <x:c r="Z543" t="s">
        <x:v>48</x:v>
      </x:c>
      <x:c r="AA543" t="s">
        <x:v>49</x:v>
      </x:c>
      <x:c r="AB543">
        <x:v>970582106</x:v>
      </x:c>
      <x:c r="AC543" t="s">
        <x:v>1115</x:v>
      </x:c>
    </x:row>
    <x:row r="544">
      <x:c r="A544" s="1">
        <x:v>46261</x:v>
      </x:c>
      <x:c r="B544" t="s">
        <x:v>4054</x:v>
      </x:c>
      <x:c r="C544" t="s">
        <x:v>2384</x:v>
      </x:c>
      <x:c r="D544" t="s">
        <x:v>269</x:v>
      </x:c>
      <x:c r="E544" t="s">
        <x:v>2385</x:v>
      </x:c>
      <x:c r="F544" t="s">
        <x:v>31</x:v>
      </x:c>
      <x:c r="G544" t="s">
        <x:v>2386</x:v>
      </x:c>
      <x:c r="H544" t="s">
        <x:v>2387</x:v>
      </x:c>
      <x:c r="I544" t="s">
        <x:v>2388</x:v>
      </x:c>
      <x:c r="J544" t="s">
        <x:v>1110</x:v>
      </x:c>
      <x:c r="K544" t="s">
        <x:v>210</x:v>
      </x:c>
      <x:c r="L544" t="s">
        <x:v>37</x:v>
      </x:c>
      <x:c r="M544" t="s">
        <x:v>2389</x:v>
      </x:c>
      <x:c r="N544" t="s">
        <x:v>610</x:v>
      </x:c>
      <x:c r="O544" t="s">
        <x:v>1113</x:v>
      </x:c>
      <x:c r="P544" t="s">
        <x:v>2390</x:v>
      </x:c>
      <x:c r="Q544" t="s">
        <x:v>2391</x:v>
      </x:c>
      <x:c r="R544">
        <x:v>1</x:v>
      </x:c>
      <x:c r="S544" t="s">
        <x:v>42</x:v>
      </x:c>
      <x:c r="T544" t="s">
        <x:v>44</x:v>
      </x:c>
      <x:c r="U544" t="s">
        <x:v>44</x:v>
      </x:c>
      <x:c r="V544" t="s">
        <x:v>45</x:v>
      </x:c>
      <x:c r="W544" t="s">
        <x:v>60</x:v>
      </x:c>
      <x:c r="X544">
        <x:v>139.83000000000001</x:v>
      </x:c>
      <x:c r="Y544" t="s">
        <x:v>290</x:v>
      </x:c>
      <x:c r="Z544" t="s">
        <x:v>48</x:v>
      </x:c>
      <x:c r="AA544" t="s">
        <x:v>49</x:v>
      </x:c>
      <x:c r="AB544">
        <x:v>970582106</x:v>
      </x:c>
      <x:c r="AC544" t="s">
        <x:v>1115</x:v>
      </x:c>
    </x:row>
    <x:row r="545">
      <x:c r="A545" s="1">
        <x:v>46261</x:v>
      </x:c>
      <x:c r="B545" t="s">
        <x:v>4054</x:v>
      </x:c>
      <x:c r="C545" t="s">
        <x:v>2392</x:v>
      </x:c>
      <x:c r="D545" t="s">
        <x:v>269</x:v>
      </x:c>
      <x:c r="E545" t="s">
        <x:v>2393</x:v>
      </x:c>
      <x:c r="F545" t="s">
        <x:v>31</x:v>
      </x:c>
      <x:c r="G545" t="s">
        <x:v>2394</x:v>
      </x:c>
      <x:c r="H545" t="s">
        <x:v>2395</x:v>
      </x:c>
      <x:c r="I545" t="s">
        <x:v>2396</x:v>
      </x:c>
      <x:c r="J545" t="s">
        <x:v>1110</x:v>
      </x:c>
      <x:c r="K545" t="s">
        <x:v>210</x:v>
      </x:c>
      <x:c r="L545" t="s">
        <x:v>37</x:v>
      </x:c>
      <x:c r="M545" t="s">
        <x:v>2397</x:v>
      </x:c>
      <x:c r="N545" t="s">
        <x:v>610</x:v>
      </x:c>
      <x:c r="O545" t="s">
        <x:v>1113</x:v>
      </x:c>
      <x:c r="P545" t="s">
        <x:v>2398</x:v>
      </x:c>
      <x:c r="Q545" t="s">
        <x:v>214</x:v>
      </x:c>
      <x:c r="R545">
        <x:v>1</x:v>
      </x:c>
      <x:c r="S545" t="s">
        <x:v>42</x:v>
      </x:c>
      <x:c r="T545" t="s">
        <x:v>44</x:v>
      </x:c>
      <x:c r="U545" t="s">
        <x:v>44</x:v>
      </x:c>
      <x:c r="V545" t="s">
        <x:v>45</x:v>
      </x:c>
      <x:c r="W545" t="s">
        <x:v>60</x:v>
      </x:c>
      <x:c r="X545">
        <x:v>254.24</x:v>
      </x:c>
      <x:c r="Y545" t="s">
        <x:v>61</x:v>
      </x:c>
      <x:c r="Z545" t="s">
        <x:v>48</x:v>
      </x:c>
      <x:c r="AA545" t="s">
        <x:v>49</x:v>
      </x:c>
      <x:c r="AB545">
        <x:v>970582106</x:v>
      </x:c>
      <x:c r="AC545" t="s">
        <x:v>1115</x:v>
      </x:c>
    </x:row>
    <x:row r="546">
      <x:c r="A546" s="1">
        <x:v>46261</x:v>
      </x:c>
      <x:c r="B546" t="s">
        <x:v>4054</x:v>
      </x:c>
      <x:c r="C546" t="s">
        <x:v>2399</x:v>
      </x:c>
      <x:c r="D546" t="s">
        <x:v>29</x:v>
      </x:c>
      <x:c r="E546" t="s">
        <x:v>2400</x:v>
      </x:c>
      <x:c r="F546" t="s">
        <x:v>31</x:v>
      </x:c>
      <x:c r="G546" t="s">
        <x:v>2401</x:v>
      </x:c>
      <x:c r="H546" t="s">
        <x:v>2402</x:v>
      </x:c>
      <x:c r="I546" t="s">
        <x:v>2403</x:v>
      </x:c>
      <x:c r="J546" t="s">
        <x:v>2404</x:v>
      </x:c>
      <x:c r="K546" t="s">
        <x:v>1427</x:v>
      </x:c>
      <x:c r="L546" t="s">
        <x:v>37</x:v>
      </x:c>
      <x:c r="M546" t="s">
        <x:v>2405</x:v>
      </x:c>
      <x:c r="N546" t="s">
        <x:v>2406</x:v>
      </x:c>
      <x:c r="O546" t="s">
        <x:v>2402</x:v>
      </x:c>
      <x:c r="P546" t="s">
        <x:v>2407</x:v>
      </x:c>
      <x:c r="Q546" t="s">
        <x:v>91</x:v>
      </x:c>
      <x:c r="R546">
        <x:v>1</x:v>
      </x:c>
      <x:c r="S546" t="s">
        <x:v>42</x:v>
      </x:c>
      <x:c r="T546" t="s">
        <x:v>44</x:v>
      </x:c>
      <x:c r="U546" t="s">
        <x:v>44</x:v>
      </x:c>
      <x:c r="V546" t="s">
        <x:v>45</x:v>
      </x:c>
      <x:c r="W546" t="s">
        <x:v>60</x:v>
      </x:c>
      <x:c r="X546">
        <x:v>135.59</x:v>
      </x:c>
      <x:c r="Y546" t="s">
        <x:v>47</x:v>
      </x:c>
      <x:c r="Z546" t="s">
        <x:v>48</x:v>
      </x:c>
      <x:c r="AA546" t="s">
        <x:v>49</x:v>
      </x:c>
      <x:c r="AB546">
        <x:v>991104175</x:v>
      </x:c>
      <x:c r="AD546">
        <x:v>30</x:v>
      </x:c>
    </x:row>
    <x:row r="547">
      <x:c r="A547" s="1">
        <x:v>46262</x:v>
      </x:c>
      <x:c r="B547" t="s">
        <x:v>4054</x:v>
      </x:c>
      <x:c r="C547" t="s">
        <x:v>2408</x:v>
      </x:c>
      <x:c r="D547" t="s">
        <x:v>269</x:v>
      </x:c>
      <x:c r="E547" t="s">
        <x:v>2409</x:v>
      </x:c>
      <x:c r="F547" t="s">
        <x:v>31</x:v>
      </x:c>
      <x:c r="G547" t="s">
        <x:v>2410</x:v>
      </x:c>
      <x:c r="H547" t="s">
        <x:v>1046</x:v>
      </x:c>
      <x:c r="I547" t="s">
        <x:v>1047</x:v>
      </x:c>
      <x:c r="J547" t="s">
        <x:v>776</x:v>
      </x:c>
      <x:c r="K547" t="s">
        <x:v>777</x:v>
      </x:c>
      <x:c r="L547" t="s">
        <x:v>37</x:v>
      </x:c>
      <x:c r="M547" t="s">
        <x:v>1048</x:v>
      </x:c>
      <x:c r="N547" t="s">
        <x:v>1049</x:v>
      </x:c>
      <x:c r="O547" t="s">
        <x:v>800</x:v>
      </x:c>
      <x:c r="P547" t="s">
        <x:v>2411</x:v>
      </x:c>
      <x:c r="Q547" t="s">
        <x:v>289</x:v>
      </x:c>
      <x:c r="R547">
        <x:v>1</x:v>
      </x:c>
      <x:c r="S547" t="s">
        <x:v>42</x:v>
      </x:c>
      <x:c r="T547" t="s">
        <x:v>44</x:v>
      </x:c>
      <x:c r="U547" t="s">
        <x:v>44</x:v>
      </x:c>
      <x:c r="V547" t="s">
        <x:v>45</x:v>
      </x:c>
      <x:c r="W547" t="s">
        <x:v>46</x:v>
      </x:c>
      <x:c r="X547">
        <x:v>0</x:v>
      </x:c>
      <x:c r="Y547" t="s">
        <x:v>290</x:v>
      </x:c>
      <x:c r="Z547" t="s">
        <x:v>48</x:v>
      </x:c>
      <x:c r="AA547" t="s">
        <x:v>49</x:v>
      </x:c>
    </x:row>
    <x:row r="548">
      <x:c r="A548" s="1">
        <x:v>46262</x:v>
      </x:c>
      <x:c r="B548" t="s">
        <x:v>4054</x:v>
      </x:c>
      <x:c r="C548" t="s">
        <x:v>2408</x:v>
      </x:c>
      <x:c r="D548" t="s">
        <x:v>269</x:v>
      </x:c>
      <x:c r="E548" t="s">
        <x:v>2409</x:v>
      </x:c>
      <x:c r="F548" t="s">
        <x:v>31</x:v>
      </x:c>
      <x:c r="G548" t="s">
        <x:v>2410</x:v>
      </x:c>
      <x:c r="H548" t="s">
        <x:v>1046</x:v>
      </x:c>
      <x:c r="I548" t="s">
        <x:v>1047</x:v>
      </x:c>
      <x:c r="J548" t="s">
        <x:v>776</x:v>
      </x:c>
      <x:c r="K548" t="s">
        <x:v>777</x:v>
      </x:c>
      <x:c r="L548" t="s">
        <x:v>37</x:v>
      </x:c>
      <x:c r="M548" t="s">
        <x:v>1048</x:v>
      </x:c>
      <x:c r="N548" t="s">
        <x:v>1049</x:v>
      </x:c>
      <x:c r="O548" t="s">
        <x:v>800</x:v>
      </x:c>
      <x:c r="P548" t="s">
        <x:v>2411</x:v>
      </x:c>
      <x:c r="Q548" t="s">
        <x:v>2412</x:v>
      </x:c>
      <x:c r="R548">
        <x:v>1</x:v>
      </x:c>
      <x:c r="S548" t="s">
        <x:v>42</x:v>
      </x:c>
      <x:c r="T548" t="s">
        <x:v>44</x:v>
      </x:c>
      <x:c r="U548" t="s">
        <x:v>44</x:v>
      </x:c>
      <x:c r="V548" t="s">
        <x:v>45</x:v>
      </x:c>
      <x:c r="W548" t="s">
        <x:v>46</x:v>
      </x:c>
      <x:c r="X548">
        <x:v>1169.49</x:v>
      </x:c>
      <x:c r="Y548" t="s">
        <x:v>290</x:v>
      </x:c>
      <x:c r="Z548" t="s">
        <x:v>48</x:v>
      </x:c>
      <x:c r="AA548" t="s">
        <x:v>49</x:v>
      </x:c>
    </x:row>
    <x:row r="549">
      <x:c r="A549" s="1">
        <x:v>46262</x:v>
      </x:c>
      <x:c r="B549" t="s">
        <x:v>4054</x:v>
      </x:c>
      <x:c r="C549" t="s">
        <x:v>2413</x:v>
      </x:c>
      <x:c r="D549" t="s">
        <x:v>29</x:v>
      </x:c>
      <x:c r="E549" t="s">
        <x:v>2414</x:v>
      </x:c>
      <x:c r="F549" t="s">
        <x:v>31</x:v>
      </x:c>
      <x:c r="G549" t="s">
        <x:v>2415</x:v>
      </x:c>
      <x:c r="H549" t="s">
        <x:v>2416</x:v>
      </x:c>
      <x:c r="I549" t="s">
        <x:v>2417</x:v>
      </x:c>
      <x:c r="J549" t="s">
        <x:v>664</x:v>
      </x:c>
      <x:c r="K549" t="s">
        <x:v>36</x:v>
      </x:c>
      <x:c r="L549" t="s">
        <x:v>37</x:v>
      </x:c>
      <x:c r="M549" t="s">
        <x:v>2418</x:v>
      </x:c>
      <x:c r="N549" t="s">
        <x:v>2419</x:v>
      </x:c>
      <x:c r="O549" t="s">
        <x:v>2416</x:v>
      </x:c>
      <x:c r="P549" t="s">
        <x:v>2420</x:v>
      </x:c>
      <x:c r="Q549" t="s">
        <x:v>202</x:v>
      </x:c>
      <x:c r="R549">
        <x:v>1</x:v>
      </x:c>
      <x:c r="S549" t="s">
        <x:v>42</x:v>
      </x:c>
      <x:c r="T549" t="s">
        <x:v>44</x:v>
      </x:c>
      <x:c r="U549" t="s">
        <x:v>44</x:v>
      </x:c>
      <x:c r="V549" t="s">
        <x:v>45</x:v>
      </x:c>
      <x:c r="W549" t="s">
        <x:v>60</x:v>
      </x:c>
      <x:c r="X549">
        <x:v>152.54</x:v>
      </x:c>
      <x:c r="Y549" t="s">
        <x:v>47</x:v>
      </x:c>
      <x:c r="Z549" t="s">
        <x:v>48</x:v>
      </x:c>
      <x:c r="AA549" t="s">
        <x:v>49</x:v>
      </x:c>
      <x:c r="AB549">
        <x:v>997145685</x:v>
      </x:c>
      <x:c r="AC549" t="s">
        <x:v>668</x:v>
      </x:c>
      <x:c r="AD549">
        <x:v>30</x:v>
      </x:c>
    </x:row>
    <x:row r="550">
      <x:c r="A550" s="1">
        <x:v>46262</x:v>
      </x:c>
      <x:c r="B550" t="s">
        <x:v>4054</x:v>
      </x:c>
      <x:c r="C550" t="s">
        <x:v>2429</x:v>
      </x:c>
      <x:c r="D550" t="s">
        <x:v>29</x:v>
      </x:c>
      <x:c r="E550" t="s">
        <x:v>2430</x:v>
      </x:c>
      <x:c r="F550" t="s">
        <x:v>31</x:v>
      </x:c>
      <x:c r="G550" t="s">
        <x:v>2431</x:v>
      </x:c>
      <x:c r="H550" t="s">
        <x:v>2432</x:v>
      </x:c>
      <x:c r="I550" t="s">
        <x:v>2433</x:v>
      </x:c>
      <x:c r="J550" t="s">
        <x:v>412</x:v>
      </x:c>
      <x:c r="K550" t="s">
        <x:v>413</x:v>
      </x:c>
      <x:c r="L550" t="s">
        <x:v>37</x:v>
      </x:c>
      <x:c r="M550" t="s">
        <x:v>2434</x:v>
      </x:c>
      <x:c r="N550" t="s">
        <x:v>2435</x:v>
      </x:c>
      <x:c r="O550" t="s">
        <x:v>2432</x:v>
      </x:c>
      <x:c r="P550" t="s">
        <x:v>2436</x:v>
      </x:c>
      <x:c r="Q550" t="s">
        <x:v>41</x:v>
      </x:c>
      <x:c r="R550">
        <x:v>1</x:v>
      </x:c>
      <x:c r="S550" t="s">
        <x:v>42</x:v>
      </x:c>
      <x:c r="T550" t="s">
        <x:v>44</x:v>
      </x:c>
      <x:c r="U550" t="s">
        <x:v>44</x:v>
      </x:c>
      <x:c r="V550" t="s">
        <x:v>532</x:v>
      </x:c>
      <x:c r="W550" t="s">
        <x:v>1980</x:v>
      </x:c>
      <x:c r="X550">
        <x:v>186.44</x:v>
      </x:c>
      <x:c r="Y550" t="s">
        <x:v>47</x:v>
      </x:c>
      <x:c r="Z550" t="s">
        <x:v>48</x:v>
      </x:c>
      <x:c r="AA550" t="s">
        <x:v>535</x:v>
      </x:c>
      <x:c r="AB550">
        <x:v>982673362</x:v>
      </x:c>
      <x:c r="AC550" t="s">
        <x:v>417</x:v>
      </x:c>
      <x:c r="AD550">
        <x:v>50</x:v>
      </x:c>
    </x:row>
    <x:row r="551">
      <x:c r="A551" s="1">
        <x:v>46262</x:v>
      </x:c>
      <x:c r="B551" t="s">
        <x:v>4054</x:v>
      </x:c>
      <x:c r="C551" t="s">
        <x:v>2429</x:v>
      </x:c>
      <x:c r="D551" t="s">
        <x:v>29</x:v>
      </x:c>
      <x:c r="E551" t="s">
        <x:v>2430</x:v>
      </x:c>
      <x:c r="F551" t="s">
        <x:v>31</x:v>
      </x:c>
      <x:c r="G551" t="s">
        <x:v>2431</x:v>
      </x:c>
      <x:c r="H551" t="s">
        <x:v>2432</x:v>
      </x:c>
      <x:c r="I551" t="s">
        <x:v>2433</x:v>
      </x:c>
      <x:c r="J551" t="s">
        <x:v>412</x:v>
      </x:c>
      <x:c r="K551" t="s">
        <x:v>413</x:v>
      </x:c>
      <x:c r="L551" t="s">
        <x:v>37</x:v>
      </x:c>
      <x:c r="M551" t="s">
        <x:v>2434</x:v>
      </x:c>
      <x:c r="N551" t="s">
        <x:v>2435</x:v>
      </x:c>
      <x:c r="O551" t="s">
        <x:v>2432</x:v>
      </x:c>
      <x:c r="P551" t="s">
        <x:v>2436</x:v>
      </x:c>
      <x:c r="Q551" t="s">
        <x:v>102</x:v>
      </x:c>
      <x:c r="R551">
        <x:v>1</x:v>
      </x:c>
      <x:c r="S551" t="s">
        <x:v>42</x:v>
      </x:c>
      <x:c r="T551" t="s">
        <x:v>44</x:v>
      </x:c>
      <x:c r="U551" t="s">
        <x:v>44</x:v>
      </x:c>
      <x:c r="V551" t="s">
        <x:v>532</x:v>
      </x:c>
      <x:c r="W551" t="s">
        <x:v>1980</x:v>
      </x:c>
      <x:c r="X551">
        <x:v>186.44</x:v>
      </x:c>
      <x:c r="Y551" t="s">
        <x:v>47</x:v>
      </x:c>
      <x:c r="Z551" t="s">
        <x:v>48</x:v>
      </x:c>
      <x:c r="AA551" t="s">
        <x:v>535</x:v>
      </x:c>
      <x:c r="AB551">
        <x:v>982673362</x:v>
      </x:c>
      <x:c r="AC551" t="s">
        <x:v>417</x:v>
      </x:c>
      <x:c r="AD551">
        <x:v>50</x:v>
      </x:c>
    </x:row>
    <x:row r="552">
      <x:c r="A552" s="1">
        <x:v>46263</x:v>
      </x:c>
      <x:c r="B552" t="s">
        <x:v>4054</x:v>
      </x:c>
      <x:c r="C552" t="s">
        <x:v>2437</x:v>
      </x:c>
      <x:c r="D552" t="s">
        <x:v>29</x:v>
      </x:c>
      <x:c r="E552" t="s">
        <x:v>2438</x:v>
      </x:c>
      <x:c r="F552" t="s">
        <x:v>31</x:v>
      </x:c>
      <x:c r="G552" t="s">
        <x:v>2439</x:v>
      </x:c>
      <x:c r="H552" t="s">
        <x:v>2440</x:v>
      </x:c>
      <x:c r="I552" t="s">
        <x:v>2441</x:v>
      </x:c>
      <x:c r="J552" t="s">
        <x:v>2442</x:v>
      </x:c>
      <x:c r="K552" t="s">
        <x:v>263</x:v>
      </x:c>
      <x:c r="L552" t="s">
        <x:v>37</x:v>
      </x:c>
      <x:c r="M552" t="s">
        <x:v>2443</x:v>
      </x:c>
      <x:c r="N552" t="s">
        <x:v>2444</x:v>
      </x:c>
      <x:c r="O552" t="s">
        <x:v>2440</x:v>
      </x:c>
      <x:c r="P552" t="s">
        <x:v>2445</x:v>
      </x:c>
      <x:c r="Q552" t="s">
        <x:v>41</x:v>
      </x:c>
      <x:c r="R552">
        <x:v>1</x:v>
      </x:c>
      <x:c r="S552" t="s">
        <x:v>42</x:v>
      </x:c>
      <x:c r="T552" t="s">
        <x:v>44</x:v>
      </x:c>
      <x:c r="U552" t="s">
        <x:v>44</x:v>
      </x:c>
      <x:c r="V552" t="s">
        <x:v>45</x:v>
      </x:c>
      <x:c r="W552" t="s">
        <x:v>60</x:v>
      </x:c>
      <x:c r="X552">
        <x:v>186.44</x:v>
      </x:c>
      <x:c r="Y552" t="s">
        <x:v>47</x:v>
      </x:c>
      <x:c r="Z552" t="s">
        <x:v>48</x:v>
      </x:c>
      <x:c r="AA552" t="s">
        <x:v>49</x:v>
      </x:c>
      <x:c r="AB552">
        <x:v>987407109</x:v>
      </x:c>
      <x:c r="AC552" t="s">
        <x:v>2446</x:v>
      </x:c>
      <x:c r="AD552">
        <x:v>50</x:v>
      </x:c>
    </x:row>
    <x:row r="553">
      <x:c r="A553" s="1">
        <x:v>46263</x:v>
      </x:c>
      <x:c r="B553" t="s">
        <x:v>4054</x:v>
      </x:c>
      <x:c r="C553" t="s">
        <x:v>2447</x:v>
      </x:c>
      <x:c r="D553" t="s">
        <x:v>29</x:v>
      </x:c>
      <x:c r="E553" t="s">
        <x:v>2448</x:v>
      </x:c>
      <x:c r="F553" t="s">
        <x:v>31</x:v>
      </x:c>
      <x:c r="G553" t="s">
        <x:v>2449</x:v>
      </x:c>
      <x:c r="H553" t="s">
        <x:v>2450</x:v>
      </x:c>
      <x:c r="I553" t="s">
        <x:v>2451</x:v>
      </x:c>
      <x:c r="J553" t="s">
        <x:v>1304</x:v>
      </x:c>
      <x:c r="K553" t="s">
        <x:v>366</x:v>
      </x:c>
      <x:c r="L553" t="s">
        <x:v>37</x:v>
      </x:c>
      <x:c r="M553" t="s">
        <x:v>2452</x:v>
      </x:c>
      <x:c r="N553" t="s">
        <x:v>2453</x:v>
      </x:c>
      <x:c r="O553" t="s">
        <x:v>2450</x:v>
      </x:c>
      <x:c r="P553" t="s">
        <x:v>2454</x:v>
      </x:c>
      <x:c r="Q553" t="s">
        <x:v>131</x:v>
      </x:c>
      <x:c r="R553">
        <x:v>1</x:v>
      </x:c>
      <x:c r="S553" t="s">
        <x:v>70</x:v>
      </x:c>
      <x:c r="T553" t="s">
        <x:v>43</x:v>
      </x:c>
      <x:c r="U553" t="s">
        <x:v>44</x:v>
      </x:c>
      <x:c r="V553" t="s">
        <x:v>71</x:v>
      </x:c>
      <x:c r="W553" t="s">
        <x:v>185</x:v>
      </x:c>
      <x:c r="X553">
        <x:v>152.54</x:v>
      </x:c>
      <x:c r="Y553" t="s">
        <x:v>47</x:v>
      </x:c>
      <x:c r="Z553" t="s">
        <x:v>48</x:v>
      </x:c>
      <x:c r="AA553" t="s">
        <x:v>73</x:v>
      </x:c>
      <x:c r="AB553">
        <x:v>980702810</x:v>
      </x:c>
      <x:c r="AC553" t="s">
        <x:v>1309</x:v>
      </x:c>
      <x:c r="AD553">
        <x:v>30</x:v>
      </x:c>
    </x:row>
    <x:row r="554">
      <x:c r="A554" s="1">
        <x:v>46265</x:v>
      </x:c>
      <x:c r="B554" t="s">
        <x:v>4054</x:v>
      </x:c>
      <x:c r="C554" t="s">
        <x:v>2455</x:v>
      </x:c>
      <x:c r="D554" t="s">
        <x:v>269</x:v>
      </x:c>
      <x:c r="E554" t="s">
        <x:v>2456</x:v>
      </x:c>
      <x:c r="F554" t="s">
        <x:v>31</x:v>
      </x:c>
      <x:c r="G554" t="s">
        <x:v>2457</x:v>
      </x:c>
      <x:c r="H554" t="s">
        <x:v>2458</x:v>
      </x:c>
      <x:c r="I554" t="s">
        <x:v>2459</x:v>
      </x:c>
      <x:c r="J554" t="s">
        <x:v>2460</x:v>
      </x:c>
      <x:c r="K554" t="s">
        <x:v>2461</x:v>
      </x:c>
      <x:c r="L554" t="s">
        <x:v>37</x:v>
      </x:c>
      <x:c r="M554" t="s">
        <x:v>2462</x:v>
      </x:c>
      <x:c r="N554" t="s">
        <x:v>2463</x:v>
      </x:c>
      <x:c r="O554" t="s">
        <x:v>1761</x:v>
      </x:c>
      <x:c r="P554" t="s">
        <x:v>2464</x:v>
      </x:c>
      <x:c r="Q554" t="s">
        <x:v>482</x:v>
      </x:c>
      <x:c r="R554">
        <x:v>1</x:v>
      </x:c>
      <x:c r="S554" t="s">
        <x:v>42</x:v>
      </x:c>
      <x:c r="T554" t="s">
        <x:v>44</x:v>
      </x:c>
      <x:c r="U554" t="s">
        <x:v>44</x:v>
      </x:c>
      <x:c r="V554" t="s">
        <x:v>45</x:v>
      </x:c>
      <x:c r="W554" t="s">
        <x:v>46</x:v>
      </x:c>
      <x:c r="X554">
        <x:v>101.69</x:v>
      </x:c>
      <x:c r="Y554" t="s">
        <x:v>61</x:v>
      </x:c>
      <x:c r="Z554" t="s">
        <x:v>48</x:v>
      </x:c>
      <x:c r="AA554" t="s">
        <x:v>49</x:v>
      </x:c>
    </x:row>
    <x:row r="555">
      <x:c r="A555" s="1">
        <x:v>46265</x:v>
      </x:c>
      <x:c r="B555" t="s">
        <x:v>4054</x:v>
      </x:c>
      <x:c r="C555" t="s">
        <x:v>2465</x:v>
      </x:c>
      <x:c r="D555" t="s">
        <x:v>29</x:v>
      </x:c>
      <x:c r="E555" t="s">
        <x:v>2466</x:v>
      </x:c>
      <x:c r="F555" t="s">
        <x:v>31</x:v>
      </x:c>
      <x:c r="G555" t="s">
        <x:v>2467</x:v>
      </x:c>
      <x:c r="H555" t="s">
        <x:v>2468</x:v>
      </x:c>
      <x:c r="I555" t="s">
        <x:v>2469</x:v>
      </x:c>
      <x:c r="J555" t="s">
        <x:v>1110</x:v>
      </x:c>
      <x:c r="K555" t="s">
        <x:v>210</x:v>
      </x:c>
      <x:c r="L555" t="s">
        <x:v>37</x:v>
      </x:c>
      <x:c r="M555" t="s">
        <x:v>2470</x:v>
      </x:c>
      <x:c r="N555" t="s">
        <x:v>2471</x:v>
      </x:c>
      <x:c r="O555" t="s">
        <x:v>2468</x:v>
      </x:c>
      <x:c r="P555" t="s">
        <x:v>2472</x:v>
      </x:c>
      <x:c r="Q555" t="s">
        <x:v>160</x:v>
      </x:c>
      <x:c r="R555">
        <x:v>1</x:v>
      </x:c>
      <x:c r="S555" t="s">
        <x:v>42</x:v>
      </x:c>
      <x:c r="T555" t="s">
        <x:v>44</x:v>
      </x:c>
      <x:c r="U555" t="s">
        <x:v>44</x:v>
      </x:c>
      <x:c r="V555" t="s">
        <x:v>45</x:v>
      </x:c>
      <x:c r="W555" t="s">
        <x:v>46</x:v>
      </x:c>
      <x:c r="X555">
        <x:v>135.59</x:v>
      </x:c>
      <x:c r="Y555" t="s">
        <x:v>47</x:v>
      </x:c>
      <x:c r="Z555" t="s">
        <x:v>48</x:v>
      </x:c>
      <x:c r="AA555" t="s">
        <x:v>49</x:v>
      </x:c>
      <x:c r="AB555">
        <x:v>970582106</x:v>
      </x:c>
      <x:c r="AC555" t="s">
        <x:v>1115</x:v>
      </x:c>
      <x:c r="AD555">
        <x:v>30</x:v>
      </x:c>
    </x:row>
    <x:row r="556">
      <x:c r="A556" s="1">
        <x:v>46265</x:v>
      </x:c>
      <x:c r="B556" t="s">
        <x:v>4054</x:v>
      </x:c>
      <x:c r="C556" t="s">
        <x:v>2473</x:v>
      </x:c>
      <x:c r="D556" t="s">
        <x:v>29</x:v>
      </x:c>
      <x:c r="E556" t="s">
        <x:v>2474</x:v>
      </x:c>
      <x:c r="F556" t="s">
        <x:v>31</x:v>
      </x:c>
      <x:c r="G556" t="s">
        <x:v>2475</x:v>
      </x:c>
      <x:c r="H556" t="s">
        <x:v>2476</x:v>
      </x:c>
      <x:c r="I556" t="s">
        <x:v>2477</x:v>
      </x:c>
      <x:c r="J556" t="s">
        <x:v>1326</x:v>
      </x:c>
      <x:c r="K556" t="s">
        <x:v>36</x:v>
      </x:c>
      <x:c r="L556" t="s">
        <x:v>37</x:v>
      </x:c>
      <x:c r="M556" t="s">
        <x:v>2478</x:v>
      </x:c>
      <x:c r="N556" t="s">
        <x:v>2479</x:v>
      </x:c>
      <x:c r="O556" t="s">
        <x:v>2476</x:v>
      </x:c>
      <x:c r="P556" t="s">
        <x:v>2480</x:v>
      </x:c>
      <x:c r="Q556" t="s">
        <x:v>202</x:v>
      </x:c>
      <x:c r="R556">
        <x:v>1</x:v>
      </x:c>
      <x:c r="S556" t="s">
        <x:v>42</x:v>
      </x:c>
      <x:c r="T556" t="s">
        <x:v>44</x:v>
      </x:c>
      <x:c r="U556" t="s">
        <x:v>44</x:v>
      </x:c>
      <x:c r="V556" t="s">
        <x:v>45</x:v>
      </x:c>
      <x:c r="W556" t="s">
        <x:v>60</x:v>
      </x:c>
      <x:c r="X556">
        <x:v>152.54</x:v>
      </x:c>
      <x:c r="Y556" t="s">
        <x:v>47</x:v>
      </x:c>
      <x:c r="Z556" t="s">
        <x:v>48</x:v>
      </x:c>
      <x:c r="AA556" t="s">
        <x:v>49</x:v>
      </x:c>
      <x:c r="AB556">
        <x:v>999111362</x:v>
      </x:c>
      <x:c r="AC556" t="s">
        <x:v>1330</x:v>
      </x:c>
      <x:c r="AD556">
        <x:v>30</x:v>
      </x:c>
    </x:row>
    <x:row r="557">
      <x:c r="A557" s="1">
        <x:v>46266</x:v>
      </x:c>
      <x:c r="B557" t="s">
        <x:v>4056</x:v>
      </x:c>
      <x:c r="C557" t="s">
        <x:v>2481</x:v>
      </x:c>
      <x:c r="D557" t="s">
        <x:v>29</x:v>
      </x:c>
      <x:c r="E557" t="s">
        <x:v>2482</x:v>
      </x:c>
      <x:c r="F557" t="s">
        <x:v>31</x:v>
      </x:c>
      <x:c r="G557" t="s">
        <x:v>2483</x:v>
      </x:c>
      <x:c r="H557" t="s">
        <x:v>2484</x:v>
      </x:c>
      <x:c r="I557" t="s">
        <x:v>2485</x:v>
      </x:c>
      <x:c r="J557" t="s">
        <x:v>4057</x:v>
      </x:c>
      <x:c r="K557" t="s">
        <x:v>4058</x:v>
      </x:c>
      <x:c r="L557" t="s">
        <x:v>37</x:v>
      </x:c>
      <x:c r="M557" t="s">
        <x:v>2486</x:v>
      </x:c>
      <x:c r="N557" t="s">
        <x:v>2487</x:v>
      </x:c>
      <x:c r="O557" t="s">
        <x:v>2484</x:v>
      </x:c>
      <x:c r="P557" t="s">
        <x:v>2488</x:v>
      </x:c>
      <x:c r="Q557" t="s">
        <x:v>1159</x:v>
      </x:c>
      <x:c r="R557">
        <x:v>1</x:v>
      </x:c>
      <x:c r="S557" t="s">
        <x:v>42</x:v>
      </x:c>
      <x:c r="T557" t="s">
        <x:v>44</x:v>
      </x:c>
      <x:c r="U557" t="s">
        <x:v>44</x:v>
      </x:c>
      <x:c r="V557" t="s">
        <x:v>45</x:v>
      </x:c>
      <x:c r="W557" t="s">
        <x:v>60</x:v>
      </x:c>
      <x:c r="X557">
        <x:v>338.98</x:v>
      </x:c>
      <x:c r="Y557" t="s">
        <x:v>47</x:v>
      </x:c>
      <x:c r="Z557" t="s">
        <x:v>48</x:v>
      </x:c>
      <x:c r="AA557" t="s">
        <x:v>49</x:v>
      </x:c>
      <x:c r="AD557">
        <x:v>100</x:v>
      </x:c>
    </x:row>
    <x:row r="558">
      <x:c r="A558" s="1">
        <x:v>46266</x:v>
      </x:c>
      <x:c r="B558" t="s">
        <x:v>4056</x:v>
      </x:c>
      <x:c r="C558" t="s">
        <x:v>2489</x:v>
      </x:c>
      <x:c r="D558" t="s">
        <x:v>29</x:v>
      </x:c>
      <x:c r="E558" t="s">
        <x:v>2490</x:v>
      </x:c>
      <x:c r="F558" t="s">
        <x:v>31</x:v>
      </x:c>
      <x:c r="G558" t="s">
        <x:v>2491</x:v>
      </x:c>
      <x:c r="H558" t="s">
        <x:v>2492</x:v>
      </x:c>
      <x:c r="I558" t="s">
        <x:v>2493</x:v>
      </x:c>
      <x:c r="J558" t="s">
        <x:v>776</x:v>
      </x:c>
      <x:c r="K558" t="s">
        <x:v>777</x:v>
      </x:c>
      <x:c r="L558" t="s">
        <x:v>37</x:v>
      </x:c>
      <x:c r="M558" t="s">
        <x:v>2494</x:v>
      </x:c>
      <x:c r="N558" t="s">
        <x:v>2495</x:v>
      </x:c>
      <x:c r="O558" t="s">
        <x:v>2492</x:v>
      </x:c>
      <x:c r="P558" t="s">
        <x:v>2496</x:v>
      </x:c>
      <x:c r="Q558" t="s">
        <x:v>643</x:v>
      </x:c>
      <x:c r="R558">
        <x:v>1</x:v>
      </x:c>
      <x:c r="S558" t="s">
        <x:v>42</x:v>
      </x:c>
      <x:c r="T558" t="s">
        <x:v>44</x:v>
      </x:c>
      <x:c r="U558" t="s">
        <x:v>44</x:v>
      </x:c>
      <x:c r="V558" t="s">
        <x:v>45</x:v>
      </x:c>
      <x:c r="W558" t="s">
        <x:v>46</x:v>
      </x:c>
      <x:c r="X558">
        <x:v>84.75</x:v>
      </x:c>
      <x:c r="Y558" t="s">
        <x:v>47</x:v>
      </x:c>
      <x:c r="Z558" t="s">
        <x:v>48</x:v>
      </x:c>
      <x:c r="AA558" t="s">
        <x:v>49</x:v>
      </x:c>
    </x:row>
    <x:row r="559">
      <x:c r="A559" s="1">
        <x:v>46266</x:v>
      </x:c>
      <x:c r="B559" t="s">
        <x:v>4056</x:v>
      </x:c>
      <x:c r="C559" t="s">
        <x:v>2497</x:v>
      </x:c>
      <x:c r="D559" t="s">
        <x:v>29</x:v>
      </x:c>
      <x:c r="E559" t="s">
        <x:v>2498</x:v>
      </x:c>
      <x:c r="F559" t="s">
        <x:v>31</x:v>
      </x:c>
      <x:c r="G559" t="s">
        <x:v>2499</x:v>
      </x:c>
      <x:c r="H559" t="s">
        <x:v>2500</x:v>
      </x:c>
      <x:c r="I559" t="s">
        <x:v>2501</x:v>
      </x:c>
      <x:c r="J559" t="s">
        <x:v>2502</x:v>
      </x:c>
      <x:c r="K559" t="s">
        <x:v>1122</x:v>
      </x:c>
      <x:c r="L559" t="s">
        <x:v>37</x:v>
      </x:c>
      <x:c r="M559" t="s">
        <x:v>2503</x:v>
      </x:c>
      <x:c r="N559" t="s">
        <x:v>2504</x:v>
      </x:c>
      <x:c r="O559" t="s">
        <x:v>2500</x:v>
      </x:c>
      <x:c r="P559" t="s">
        <x:v>2505</x:v>
      </x:c>
      <x:c r="Q559" t="s">
        <x:v>41</x:v>
      </x:c>
      <x:c r="R559">
        <x:v>1</x:v>
      </x:c>
      <x:c r="S559" t="s">
        <x:v>42</x:v>
      </x:c>
      <x:c r="T559" t="s">
        <x:v>44</x:v>
      </x:c>
      <x:c r="U559" t="s">
        <x:v>44</x:v>
      </x:c>
      <x:c r="V559" t="s">
        <x:v>45</x:v>
      </x:c>
      <x:c r="W559" t="s">
        <x:v>60</x:v>
      </x:c>
      <x:c r="X559">
        <x:v>186.44</x:v>
      </x:c>
      <x:c r="Y559" t="s">
        <x:v>47</x:v>
      </x:c>
      <x:c r="Z559" t="s">
        <x:v>48</x:v>
      </x:c>
      <x:c r="AA559" t="s">
        <x:v>49</x:v>
      </x:c>
      <x:c r="AB559">
        <x:v>992789956</x:v>
      </x:c>
      <x:c r="AC559" t="s">
        <x:v>2506</x:v>
      </x:c>
      <x:c r="AD559">
        <x:v>50</x:v>
      </x:c>
    </x:row>
    <x:row r="560">
      <x:c r="A560" s="1">
        <x:v>46266</x:v>
      </x:c>
      <x:c r="B560" t="s">
        <x:v>4056</x:v>
      </x:c>
      <x:c r="C560" t="s">
        <x:v>2507</x:v>
      </x:c>
      <x:c r="D560" t="s">
        <x:v>29</x:v>
      </x:c>
      <x:c r="E560" t="s">
        <x:v>2508</x:v>
      </x:c>
      <x:c r="F560" t="s">
        <x:v>31</x:v>
      </x:c>
      <x:c r="G560" t="s">
        <x:v>2509</x:v>
      </x:c>
      <x:c r="H560" t="s">
        <x:v>2510</x:v>
      </x:c>
      <x:c r="I560" t="s">
        <x:v>2511</x:v>
      </x:c>
      <x:c r="J560" t="s">
        <x:v>776</x:v>
      </x:c>
      <x:c r="K560" t="s">
        <x:v>777</x:v>
      </x:c>
      <x:c r="L560" t="s">
        <x:v>37</x:v>
      </x:c>
      <x:c r="M560" t="s">
        <x:v>2512</x:v>
      </x:c>
      <x:c r="N560" t="s">
        <x:v>2513</x:v>
      </x:c>
      <x:c r="O560" t="s">
        <x:v>2510</x:v>
      </x:c>
      <x:c r="P560" t="s">
        <x:v>2514</x:v>
      </x:c>
      <x:c r="Q560" t="s">
        <x:v>643</x:v>
      </x:c>
      <x:c r="R560">
        <x:v>1</x:v>
      </x:c>
      <x:c r="S560" t="s">
        <x:v>42</x:v>
      </x:c>
      <x:c r="T560" t="s">
        <x:v>44</x:v>
      </x:c>
      <x:c r="U560" t="s">
        <x:v>44</x:v>
      </x:c>
      <x:c r="V560" t="s">
        <x:v>45</x:v>
      </x:c>
      <x:c r="W560" t="s">
        <x:v>46</x:v>
      </x:c>
      <x:c r="X560">
        <x:v>84.75</x:v>
      </x:c>
      <x:c r="Y560" t="s">
        <x:v>47</x:v>
      </x:c>
      <x:c r="Z560" t="s">
        <x:v>48</x:v>
      </x:c>
      <x:c r="AA560" t="s">
        <x:v>49</x:v>
      </x:c>
    </x:row>
    <x:row r="561">
      <x:c r="A561" s="1">
        <x:v>46266</x:v>
      </x:c>
      <x:c r="B561" t="s">
        <x:v>4056</x:v>
      </x:c>
      <x:c r="C561" t="s">
        <x:v>2515</x:v>
      </x:c>
      <x:c r="D561" t="s">
        <x:v>29</x:v>
      </x:c>
      <x:c r="E561" t="s">
        <x:v>2516</x:v>
      </x:c>
      <x:c r="F561" t="s">
        <x:v>31</x:v>
      </x:c>
      <x:c r="G561" t="s">
        <x:v>2517</x:v>
      </x:c>
      <x:c r="H561" t="s">
        <x:v>2518</x:v>
      </x:c>
      <x:c r="I561" t="s">
        <x:v>2519</x:v>
      </x:c>
      <x:c r="J561" t="s">
        <x:v>776</x:v>
      </x:c>
      <x:c r="K561" t="s">
        <x:v>777</x:v>
      </x:c>
      <x:c r="L561" t="s">
        <x:v>37</x:v>
      </x:c>
      <x:c r="M561" t="s">
        <x:v>2520</x:v>
      </x:c>
      <x:c r="N561" t="s">
        <x:v>2521</x:v>
      </x:c>
      <x:c r="O561" t="s">
        <x:v>2518</x:v>
      </x:c>
      <x:c r="P561" t="s">
        <x:v>2522</x:v>
      </x:c>
      <x:c r="Q561" t="s">
        <x:v>643</x:v>
      </x:c>
      <x:c r="R561">
        <x:v>1</x:v>
      </x:c>
      <x:c r="S561" t="s">
        <x:v>42</x:v>
      </x:c>
      <x:c r="T561" t="s">
        <x:v>44</x:v>
      </x:c>
      <x:c r="U561" t="s">
        <x:v>44</x:v>
      </x:c>
      <x:c r="V561" t="s">
        <x:v>45</x:v>
      </x:c>
      <x:c r="W561" t="s">
        <x:v>46</x:v>
      </x:c>
      <x:c r="X561">
        <x:v>84.75</x:v>
      </x:c>
      <x:c r="Y561" t="s">
        <x:v>47</x:v>
      </x:c>
      <x:c r="Z561" t="s">
        <x:v>48</x:v>
      </x:c>
      <x:c r="AA561" t="s">
        <x:v>49</x:v>
      </x:c>
    </x:row>
    <x:row r="562">
      <x:c r="A562" s="1">
        <x:v>46266</x:v>
      </x:c>
      <x:c r="B562" t="s">
        <x:v>4056</x:v>
      </x:c>
      <x:c r="C562" t="s">
        <x:v>2523</x:v>
      </x:c>
      <x:c r="D562" t="s">
        <x:v>29</x:v>
      </x:c>
      <x:c r="E562" t="s">
        <x:v>2524</x:v>
      </x:c>
      <x:c r="F562" t="s">
        <x:v>31</x:v>
      </x:c>
      <x:c r="G562" t="s">
        <x:v>2525</x:v>
      </x:c>
      <x:c r="H562" t="s">
        <x:v>2526</x:v>
      </x:c>
      <x:c r="I562" t="s">
        <x:v>2527</x:v>
      </x:c>
      <x:c r="L562" t="s">
        <x:v>37</x:v>
      </x:c>
      <x:c r="M562" t="s">
        <x:v>2529</x:v>
      </x:c>
      <x:c r="N562" t="s">
        <x:v>610</x:v>
      </x:c>
      <x:c r="O562" t="s">
        <x:v>2526</x:v>
      </x:c>
      <x:c r="P562" t="s">
        <x:v>2530</x:v>
      </x:c>
      <x:c r="Q562" t="s">
        <x:v>59</x:v>
      </x:c>
      <x:c r="R562">
        <x:v>1</x:v>
      </x:c>
      <x:c r="S562" t="s">
        <x:v>42</x:v>
      </x:c>
      <x:c r="T562" t="s">
        <x:v>44</x:v>
      </x:c>
      <x:c r="U562" t="s">
        <x:v>44</x:v>
      </x:c>
      <x:c r="V562" t="s">
        <x:v>45</x:v>
      </x:c>
      <x:c r="W562" t="s">
        <x:v>46</x:v>
      </x:c>
      <x:c r="X562">
        <x:v>139.83000000000001</x:v>
      </x:c>
      <x:c r="Y562" t="s">
        <x:v>290</x:v>
      </x:c>
      <x:c r="Z562" t="s">
        <x:v>48</x:v>
      </x:c>
      <x:c r="AA562" t="s">
        <x:v>49</x:v>
      </x:c>
    </x:row>
    <x:row r="563">
      <x:c r="A563" s="1">
        <x:v>46266</x:v>
      </x:c>
      <x:c r="B563" t="s">
        <x:v>4056</x:v>
      </x:c>
      <x:c r="C563" t="s">
        <x:v>2523</x:v>
      </x:c>
      <x:c r="D563" t="s">
        <x:v>29</x:v>
      </x:c>
      <x:c r="E563" t="s">
        <x:v>2524</x:v>
      </x:c>
      <x:c r="F563" t="s">
        <x:v>31</x:v>
      </x:c>
      <x:c r="G563" t="s">
        <x:v>2525</x:v>
      </x:c>
      <x:c r="H563" t="s">
        <x:v>2526</x:v>
      </x:c>
      <x:c r="I563" t="s">
        <x:v>2527</x:v>
      </x:c>
      <x:c r="L563" t="s">
        <x:v>37</x:v>
      </x:c>
      <x:c r="M563" t="s">
        <x:v>2529</x:v>
      </x:c>
      <x:c r="N563" t="s">
        <x:v>610</x:v>
      </x:c>
      <x:c r="O563" t="s">
        <x:v>2526</x:v>
      </x:c>
      <x:c r="P563" t="s">
        <x:v>2530</x:v>
      </x:c>
      <x:c r="Q563" t="s">
        <x:v>289</x:v>
      </x:c>
      <x:c r="R563">
        <x:v>1</x:v>
      </x:c>
      <x:c r="S563" t="s">
        <x:v>42</x:v>
      </x:c>
      <x:c r="T563" t="s">
        <x:v>44</x:v>
      </x:c>
      <x:c r="U563" t="s">
        <x:v>44</x:v>
      </x:c>
      <x:c r="V563" t="s">
        <x:v>45</x:v>
      </x:c>
      <x:c r="W563" t="s">
        <x:v>46</x:v>
      </x:c>
      <x:c r="X563">
        <x:v>0</x:v>
      </x:c>
      <x:c r="Y563" t="s">
        <x:v>290</x:v>
      </x:c>
      <x:c r="Z563" t="s">
        <x:v>48</x:v>
      </x:c>
      <x:c r="AA563" t="s">
        <x:v>49</x:v>
      </x:c>
    </x:row>
    <x:row r="564">
      <x:c r="A564" s="1">
        <x:v>46266</x:v>
      </x:c>
      <x:c r="B564" t="s">
        <x:v>4056</x:v>
      </x:c>
      <x:c r="C564" t="s">
        <x:v>2532</x:v>
      </x:c>
      <x:c r="D564" t="s">
        <x:v>29</x:v>
      </x:c>
      <x:c r="E564" t="s">
        <x:v>2533</x:v>
      </x:c>
      <x:c r="F564" t="s">
        <x:v>31</x:v>
      </x:c>
      <x:c r="G564" t="s">
        <x:v>2534</x:v>
      </x:c>
      <x:c r="H564" t="s">
        <x:v>1619</x:v>
      </x:c>
      <x:c r="I564" t="s">
        <x:v>2535</x:v>
      </x:c>
      <x:c r="J564" t="s">
        <x:v>1619</x:v>
      </x:c>
      <x:c r="K564" t="s">
        <x:v>1620</x:v>
      </x:c>
      <x:c r="L564" t="s">
        <x:v>37</x:v>
      </x:c>
      <x:c r="M564" t="s">
        <x:v>1621</x:v>
      </x:c>
      <x:c r="N564" t="s">
        <x:v>1622</x:v>
      </x:c>
      <x:c r="O564" t="s">
        <x:v>1619</x:v>
      </x:c>
      <x:c r="P564" t="s">
        <x:v>2536</x:v>
      </x:c>
      <x:c r="Q564" t="s">
        <x:v>1217</x:v>
      </x:c>
      <x:c r="R564">
        <x:v>1</x:v>
      </x:c>
      <x:c r="S564" t="s">
        <x:v>70</x:v>
      </x:c>
      <x:c r="T564" t="s">
        <x:v>43</x:v>
      </x:c>
      <x:c r="U564" t="s">
        <x:v>44</x:v>
      </x:c>
      <x:c r="V564" t="s">
        <x:v>71</x:v>
      </x:c>
      <x:c r="W564" t="s">
        <x:v>72</x:v>
      </x:c>
      <x:c r="X564">
        <x:v>139.83000000000001</x:v>
      </x:c>
      <x:c r="Y564" t="s">
        <x:v>290</x:v>
      </x:c>
      <x:c r="Z564" t="s">
        <x:v>48</x:v>
      </x:c>
      <x:c r="AA564" t="s">
        <x:v>73</x:v>
      </x:c>
      <x:c r="AB564">
        <x:v>950418896</x:v>
      </x:c>
    </x:row>
    <x:row r="565">
      <x:c r="A565" s="1">
        <x:v>46266</x:v>
      </x:c>
      <x:c r="B565" t="s">
        <x:v>4056</x:v>
      </x:c>
      <x:c r="C565" t="s">
        <x:v>2532</x:v>
      </x:c>
      <x:c r="D565" t="s">
        <x:v>29</x:v>
      </x:c>
      <x:c r="E565" t="s">
        <x:v>2533</x:v>
      </x:c>
      <x:c r="F565" t="s">
        <x:v>31</x:v>
      </x:c>
      <x:c r="G565" t="s">
        <x:v>2534</x:v>
      </x:c>
      <x:c r="H565" t="s">
        <x:v>1619</x:v>
      </x:c>
      <x:c r="I565" t="s">
        <x:v>2535</x:v>
      </x:c>
      <x:c r="J565" t="s">
        <x:v>1619</x:v>
      </x:c>
      <x:c r="K565" t="s">
        <x:v>1620</x:v>
      </x:c>
      <x:c r="L565" t="s">
        <x:v>37</x:v>
      </x:c>
      <x:c r="M565" t="s">
        <x:v>1621</x:v>
      </x:c>
      <x:c r="N565" t="s">
        <x:v>1622</x:v>
      </x:c>
      <x:c r="O565" t="s">
        <x:v>1619</x:v>
      </x:c>
      <x:c r="P565" t="s">
        <x:v>2536</x:v>
      </x:c>
      <x:c r="Q565" t="s">
        <x:v>289</x:v>
      </x:c>
      <x:c r="R565">
        <x:v>1</x:v>
      </x:c>
      <x:c r="S565" t="s">
        <x:v>70</x:v>
      </x:c>
      <x:c r="T565" t="s">
        <x:v>43</x:v>
      </x:c>
      <x:c r="U565" t="s">
        <x:v>44</x:v>
      </x:c>
      <x:c r="V565" t="s">
        <x:v>71</x:v>
      </x:c>
      <x:c r="W565" t="s">
        <x:v>72</x:v>
      </x:c>
      <x:c r="X565">
        <x:v>0</x:v>
      </x:c>
      <x:c r="Y565" t="s">
        <x:v>290</x:v>
      </x:c>
      <x:c r="Z565" t="s">
        <x:v>48</x:v>
      </x:c>
      <x:c r="AA565" t="s">
        <x:v>73</x:v>
      </x:c>
      <x:c r="AB565">
        <x:v>950418896</x:v>
      </x:c>
    </x:row>
    <x:row r="566">
      <x:c r="A566" s="1">
        <x:v>46266</x:v>
      </x:c>
      <x:c r="B566" t="s">
        <x:v>4056</x:v>
      </x:c>
      <x:c r="C566" t="s">
        <x:v>4059</x:v>
      </x:c>
      <x:c r="D566" t="s">
        <x:v>29</x:v>
      </x:c>
      <x:c r="E566" t="s">
        <x:v>4060</x:v>
      </x:c>
      <x:c r="F566" t="s">
        <x:v>31</x:v>
      </x:c>
      <x:c r="G566" t="s">
        <x:v>4061</x:v>
      </x:c>
      <x:c r="H566" t="s">
        <x:v>4062</x:v>
      </x:c>
      <x:c r="I566" t="s">
        <x:v>4063</x:v>
      </x:c>
      <x:c r="J566" t="s">
        <x:v>1326</x:v>
      </x:c>
      <x:c r="K566" t="s">
        <x:v>36</x:v>
      </x:c>
      <x:c r="L566" t="s">
        <x:v>37</x:v>
      </x:c>
      <x:c r="M566" t="s">
        <x:v>4064</x:v>
      </x:c>
      <x:c r="N566" t="s">
        <x:v>4065</x:v>
      </x:c>
      <x:c r="O566" t="s">
        <x:v>4062</x:v>
      </x:c>
      <x:c r="P566" t="s">
        <x:v>4066</x:v>
      </x:c>
      <x:c r="Q566" t="s">
        <x:v>91</x:v>
      </x:c>
      <x:c r="R566">
        <x:v>1</x:v>
      </x:c>
      <x:c r="S566" t="s">
        <x:v>42</x:v>
      </x:c>
      <x:c r="T566" t="s">
        <x:v>44</x:v>
      </x:c>
      <x:c r="U566" t="s">
        <x:v>44</x:v>
      </x:c>
      <x:c r="V566" t="s">
        <x:v>532</x:v>
      </x:c>
      <x:c r="W566" t="s">
        <x:v>1980</x:v>
      </x:c>
      <x:c r="X566">
        <x:v>135.59</x:v>
      </x:c>
      <x:c r="Y566" t="s">
        <x:v>47</x:v>
      </x:c>
      <x:c r="Z566" t="s">
        <x:v>48</x:v>
      </x:c>
      <x:c r="AA566" t="s">
        <x:v>535</x:v>
      </x:c>
      <x:c r="AB566">
        <x:v>999111362</x:v>
      </x:c>
      <x:c r="AC566" t="s">
        <x:v>1330</x:v>
      </x:c>
      <x:c r="AD566">
        <x:v>30</x:v>
      </x:c>
    </x:row>
    <x:row r="567">
      <x:c r="A567" s="1">
        <x:v>46267</x:v>
      </x:c>
      <x:c r="B567" t="s">
        <x:v>4056</x:v>
      </x:c>
      <x:c r="C567" t="s">
        <x:v>2537</x:v>
      </x:c>
      <x:c r="D567" t="s">
        <x:v>29</x:v>
      </x:c>
      <x:c r="E567" t="s">
        <x:v>2538</x:v>
      </x:c>
      <x:c r="F567" t="s">
        <x:v>31</x:v>
      </x:c>
      <x:c r="G567" t="s">
        <x:v>2539</x:v>
      </x:c>
      <x:c r="H567" t="s">
        <x:v>2098</x:v>
      </x:c>
      <x:c r="I567" t="s">
        <x:v>2099</x:v>
      </x:c>
      <x:c r="J567" t="s">
        <x:v>412</x:v>
      </x:c>
      <x:c r="K567" t="s">
        <x:v>413</x:v>
      </x:c>
      <x:c r="L567" t="s">
        <x:v>37</x:v>
      </x:c>
      <x:c r="M567" t="s">
        <x:v>2100</x:v>
      </x:c>
      <x:c r="N567" t="s">
        <x:v>2101</x:v>
      </x:c>
      <x:c r="O567" t="s">
        <x:v>2098</x:v>
      </x:c>
      <x:c r="P567" t="s">
        <x:v>2540</x:v>
      </x:c>
      <x:c r="Q567" t="s">
        <x:v>160</x:v>
      </x:c>
      <x:c r="R567">
        <x:v>1</x:v>
      </x:c>
      <x:c r="S567" t="s">
        <x:v>42</x:v>
      </x:c>
      <x:c r="T567" t="s">
        <x:v>44</x:v>
      </x:c>
      <x:c r="U567" t="s">
        <x:v>44</x:v>
      </x:c>
      <x:c r="V567" t="s">
        <x:v>45</x:v>
      </x:c>
      <x:c r="W567" t="s">
        <x:v>46</x:v>
      </x:c>
      <x:c r="X567">
        <x:v>135.59</x:v>
      </x:c>
      <x:c r="Y567" t="s">
        <x:v>47</x:v>
      </x:c>
      <x:c r="Z567" t="s">
        <x:v>48</x:v>
      </x:c>
      <x:c r="AA567" t="s">
        <x:v>49</x:v>
      </x:c>
      <x:c r="AB567">
        <x:v>982673362</x:v>
      </x:c>
      <x:c r="AC567" t="s">
        <x:v>417</x:v>
      </x:c>
      <x:c r="AD567">
        <x:v>30</x:v>
      </x:c>
    </x:row>
    <x:row r="568">
      <x:c r="A568" s="1">
        <x:v>46267</x:v>
      </x:c>
      <x:c r="B568" t="s">
        <x:v>4056</x:v>
      </x:c>
      <x:c r="C568" t="s">
        <x:v>2541</x:v>
      </x:c>
      <x:c r="D568" t="s">
        <x:v>269</x:v>
      </x:c>
      <x:c r="E568" t="s">
        <x:v>2542</x:v>
      </x:c>
      <x:c r="F568" t="s">
        <x:v>31</x:v>
      </x:c>
      <x:c r="G568" t="s">
        <x:v>2543</x:v>
      </x:c>
      <x:c r="H568" t="s">
        <x:v>1014</x:v>
      </x:c>
      <x:c r="I568" t="s">
        <x:v>1015</x:v>
      </x:c>
      <x:c r="J568" t="s">
        <x:v>776</x:v>
      </x:c>
      <x:c r="K568" t="s">
        <x:v>777</x:v>
      </x:c>
      <x:c r="L568" t="s">
        <x:v>37</x:v>
      </x:c>
      <x:c r="M568" t="s">
        <x:v>1016</x:v>
      </x:c>
      <x:c r="N568" t="s">
        <x:v>1017</x:v>
      </x:c>
      <x:c r="O568" t="s">
        <x:v>800</x:v>
      </x:c>
      <x:c r="P568" t="s">
        <x:v>2544</x:v>
      </x:c>
      <x:c r="Q568" t="s">
        <x:v>2412</x:v>
      </x:c>
      <x:c r="R568">
        <x:v>1</x:v>
      </x:c>
      <x:c r="S568" t="s">
        <x:v>42</x:v>
      </x:c>
      <x:c r="T568" t="s">
        <x:v>44</x:v>
      </x:c>
      <x:c r="U568" t="s">
        <x:v>44</x:v>
      </x:c>
      <x:c r="V568" t="s">
        <x:v>45</x:v>
      </x:c>
      <x:c r="W568" t="s">
        <x:v>46</x:v>
      </x:c>
      <x:c r="X568">
        <x:v>1169.49</x:v>
      </x:c>
      <x:c r="Y568" t="s">
        <x:v>290</x:v>
      </x:c>
      <x:c r="Z568" t="s">
        <x:v>48</x:v>
      </x:c>
      <x:c r="AA568" t="s">
        <x:v>49</x:v>
      </x:c>
    </x:row>
    <x:row r="569">
      <x:c r="A569" s="1">
        <x:v>46267</x:v>
      </x:c>
      <x:c r="B569" t="s">
        <x:v>4056</x:v>
      </x:c>
      <x:c r="C569" t="s">
        <x:v>2541</x:v>
      </x:c>
      <x:c r="D569" t="s">
        <x:v>269</x:v>
      </x:c>
      <x:c r="E569" t="s">
        <x:v>2542</x:v>
      </x:c>
      <x:c r="F569" t="s">
        <x:v>31</x:v>
      </x:c>
      <x:c r="G569" t="s">
        <x:v>2543</x:v>
      </x:c>
      <x:c r="H569" t="s">
        <x:v>1014</x:v>
      </x:c>
      <x:c r="I569" t="s">
        <x:v>1015</x:v>
      </x:c>
      <x:c r="J569" t="s">
        <x:v>776</x:v>
      </x:c>
      <x:c r="K569" t="s">
        <x:v>777</x:v>
      </x:c>
      <x:c r="L569" t="s">
        <x:v>37</x:v>
      </x:c>
      <x:c r="M569" t="s">
        <x:v>1016</x:v>
      </x:c>
      <x:c r="N569" t="s">
        <x:v>1017</x:v>
      </x:c>
      <x:c r="O569" t="s">
        <x:v>800</x:v>
      </x:c>
      <x:c r="P569" t="s">
        <x:v>2544</x:v>
      </x:c>
      <x:c r="Q569" t="s">
        <x:v>289</x:v>
      </x:c>
      <x:c r="R569">
        <x:v>1</x:v>
      </x:c>
      <x:c r="S569" t="s">
        <x:v>42</x:v>
      </x:c>
      <x:c r="T569" t="s">
        <x:v>44</x:v>
      </x:c>
      <x:c r="U569" t="s">
        <x:v>44</x:v>
      </x:c>
      <x:c r="V569" t="s">
        <x:v>45</x:v>
      </x:c>
      <x:c r="W569" t="s">
        <x:v>46</x:v>
      </x:c>
      <x:c r="X569">
        <x:v>0</x:v>
      </x:c>
      <x:c r="Y569" t="s">
        <x:v>290</x:v>
      </x:c>
      <x:c r="Z569" t="s">
        <x:v>48</x:v>
      </x:c>
      <x:c r="AA569" t="s">
        <x:v>49</x:v>
      </x:c>
    </x:row>
    <x:row r="570">
      <x:c r="A570" s="1">
        <x:v>46267</x:v>
      </x:c>
      <x:c r="B570" t="s">
        <x:v>4056</x:v>
      </x:c>
      <x:c r="C570" t="s">
        <x:v>2545</x:v>
      </x:c>
      <x:c r="D570" t="s">
        <x:v>269</x:v>
      </x:c>
      <x:c r="E570" t="s">
        <x:v>2546</x:v>
      </x:c>
      <x:c r="F570" t="s">
        <x:v>31</x:v>
      </x:c>
      <x:c r="G570" t="s">
        <x:v>2547</x:v>
      </x:c>
      <x:c r="H570" t="s">
        <x:v>2492</x:v>
      </x:c>
      <x:c r="I570" t="s">
        <x:v>2493</x:v>
      </x:c>
      <x:c r="J570" t="s">
        <x:v>776</x:v>
      </x:c>
      <x:c r="K570" t="s">
        <x:v>777</x:v>
      </x:c>
      <x:c r="L570" t="s">
        <x:v>37</x:v>
      </x:c>
      <x:c r="M570" t="s">
        <x:v>2494</x:v>
      </x:c>
      <x:c r="N570" t="s">
        <x:v>2495</x:v>
      </x:c>
      <x:c r="O570" t="s">
        <x:v>800</x:v>
      </x:c>
      <x:c r="P570" t="s">
        <x:v>2548</x:v>
      </x:c>
      <x:c r="Q570" t="s">
        <x:v>291</x:v>
      </x:c>
      <x:c r="R570">
        <x:v>1</x:v>
      </x:c>
      <x:c r="S570" t="s">
        <x:v>42</x:v>
      </x:c>
      <x:c r="T570" t="s">
        <x:v>44</x:v>
      </x:c>
      <x:c r="U570" t="s">
        <x:v>44</x:v>
      </x:c>
      <x:c r="V570" t="s">
        <x:v>45</x:v>
      </x:c>
      <x:c r="W570" t="s">
        <x:v>46</x:v>
      </x:c>
      <x:c r="X570">
        <x:v>762.71</x:v>
      </x:c>
      <x:c r="Y570" t="s">
        <x:v>290</x:v>
      </x:c>
      <x:c r="Z570" t="s">
        <x:v>48</x:v>
      </x:c>
      <x:c r="AA570" t="s">
        <x:v>49</x:v>
      </x:c>
    </x:row>
    <x:row r="571">
      <x:c r="A571" s="1">
        <x:v>46267</x:v>
      </x:c>
      <x:c r="B571" t="s">
        <x:v>4056</x:v>
      </x:c>
      <x:c r="C571" t="s">
        <x:v>2545</x:v>
      </x:c>
      <x:c r="D571" t="s">
        <x:v>269</x:v>
      </x:c>
      <x:c r="E571" t="s">
        <x:v>2546</x:v>
      </x:c>
      <x:c r="F571" t="s">
        <x:v>31</x:v>
      </x:c>
      <x:c r="G571" t="s">
        <x:v>2547</x:v>
      </x:c>
      <x:c r="H571" t="s">
        <x:v>2492</x:v>
      </x:c>
      <x:c r="I571" t="s">
        <x:v>2493</x:v>
      </x:c>
      <x:c r="J571" t="s">
        <x:v>776</x:v>
      </x:c>
      <x:c r="K571" t="s">
        <x:v>777</x:v>
      </x:c>
      <x:c r="L571" t="s">
        <x:v>37</x:v>
      </x:c>
      <x:c r="M571" t="s">
        <x:v>2494</x:v>
      </x:c>
      <x:c r="N571" t="s">
        <x:v>2495</x:v>
      </x:c>
      <x:c r="O571" t="s">
        <x:v>800</x:v>
      </x:c>
      <x:c r="P571" t="s">
        <x:v>2548</x:v>
      </x:c>
      <x:c r="Q571" t="s">
        <x:v>289</x:v>
      </x:c>
      <x:c r="R571">
        <x:v>1</x:v>
      </x:c>
      <x:c r="S571" t="s">
        <x:v>42</x:v>
      </x:c>
      <x:c r="T571" t="s">
        <x:v>44</x:v>
      </x:c>
      <x:c r="U571" t="s">
        <x:v>44</x:v>
      </x:c>
      <x:c r="V571" t="s">
        <x:v>45</x:v>
      </x:c>
      <x:c r="W571" t="s">
        <x:v>46</x:v>
      </x:c>
      <x:c r="X571">
        <x:v>0</x:v>
      </x:c>
      <x:c r="Y571" t="s">
        <x:v>290</x:v>
      </x:c>
      <x:c r="Z571" t="s">
        <x:v>48</x:v>
      </x:c>
      <x:c r="AA571" t="s">
        <x:v>49</x:v>
      </x:c>
    </x:row>
    <x:row r="572">
      <x:c r="A572" s="1">
        <x:v>46267</x:v>
      </x:c>
      <x:c r="B572" t="s">
        <x:v>4056</x:v>
      </x:c>
      <x:c r="C572" t="s">
        <x:v>2549</x:v>
      </x:c>
      <x:c r="D572" t="s">
        <x:v>269</x:v>
      </x:c>
      <x:c r="E572" t="s">
        <x:v>2550</x:v>
      </x:c>
      <x:c r="F572" t="s">
        <x:v>31</x:v>
      </x:c>
      <x:c r="G572" t="s">
        <x:v>2551</x:v>
      </x:c>
      <x:c r="H572" t="s">
        <x:v>2368</x:v>
      </x:c>
      <x:c r="I572" t="s">
        <x:v>2369</x:v>
      </x:c>
      <x:c r="J572" t="s">
        <x:v>2841</x:v>
      </x:c>
      <x:c r="K572" t="s">
        <x:v>210</x:v>
      </x:c>
      <x:c r="L572" t="s">
        <x:v>37</x:v>
      </x:c>
      <x:c r="M572" t="s">
        <x:v>2370</x:v>
      </x:c>
      <x:c r="N572" t="s">
        <x:v>610</x:v>
      </x:c>
      <x:c r="O572" t="s">
        <x:v>1254</x:v>
      </x:c>
      <x:c r="P572" t="s">
        <x:v>2552</x:v>
      </x:c>
      <x:c r="Q572" t="s">
        <x:v>291</x:v>
      </x:c>
      <x:c r="R572">
        <x:v>1</x:v>
      </x:c>
      <x:c r="S572" t="s">
        <x:v>42</x:v>
      </x:c>
      <x:c r="T572" t="s">
        <x:v>44</x:v>
      </x:c>
      <x:c r="U572" t="s">
        <x:v>44</x:v>
      </x:c>
      <x:c r="V572" t="s">
        <x:v>45</x:v>
      </x:c>
      <x:c r="W572" t="s">
        <x:v>46</x:v>
      </x:c>
      <x:c r="X572">
        <x:v>762.71</x:v>
      </x:c>
      <x:c r="Y572" t="s">
        <x:v>290</x:v>
      </x:c>
      <x:c r="Z572" t="s">
        <x:v>48</x:v>
      </x:c>
      <x:c r="AA572" t="s">
        <x:v>49</x:v>
      </x:c>
      <x:c r="AB572">
        <x:v>994872106</x:v>
      </x:c>
      <x:c r="AC572" t="s">
        <x:v>1256</x:v>
      </x:c>
    </x:row>
    <x:row r="573">
      <x:c r="A573" s="1">
        <x:v>46267</x:v>
      </x:c>
      <x:c r="B573" t="s">
        <x:v>4056</x:v>
      </x:c>
      <x:c r="C573" t="s">
        <x:v>2549</x:v>
      </x:c>
      <x:c r="D573" t="s">
        <x:v>269</x:v>
      </x:c>
      <x:c r="E573" t="s">
        <x:v>2550</x:v>
      </x:c>
      <x:c r="F573" t="s">
        <x:v>31</x:v>
      </x:c>
      <x:c r="G573" t="s">
        <x:v>2551</x:v>
      </x:c>
      <x:c r="H573" t="s">
        <x:v>2368</x:v>
      </x:c>
      <x:c r="I573" t="s">
        <x:v>2369</x:v>
      </x:c>
      <x:c r="J573" t="s">
        <x:v>2841</x:v>
      </x:c>
      <x:c r="K573" t="s">
        <x:v>210</x:v>
      </x:c>
      <x:c r="L573" t="s">
        <x:v>37</x:v>
      </x:c>
      <x:c r="M573" t="s">
        <x:v>2370</x:v>
      </x:c>
      <x:c r="N573" t="s">
        <x:v>610</x:v>
      </x:c>
      <x:c r="O573" t="s">
        <x:v>1254</x:v>
      </x:c>
      <x:c r="P573" t="s">
        <x:v>2552</x:v>
      </x:c>
      <x:c r="Q573" t="s">
        <x:v>289</x:v>
      </x:c>
      <x:c r="R573">
        <x:v>1</x:v>
      </x:c>
      <x:c r="S573" t="s">
        <x:v>42</x:v>
      </x:c>
      <x:c r="T573" t="s">
        <x:v>44</x:v>
      </x:c>
      <x:c r="U573" t="s">
        <x:v>44</x:v>
      </x:c>
      <x:c r="V573" t="s">
        <x:v>45</x:v>
      </x:c>
      <x:c r="W573" t="s">
        <x:v>46</x:v>
      </x:c>
      <x:c r="X573">
        <x:v>0</x:v>
      </x:c>
      <x:c r="Y573" t="s">
        <x:v>290</x:v>
      </x:c>
      <x:c r="Z573" t="s">
        <x:v>48</x:v>
      </x:c>
      <x:c r="AA573" t="s">
        <x:v>49</x:v>
      </x:c>
      <x:c r="AB573">
        <x:v>994872106</x:v>
      </x:c>
      <x:c r="AC573" t="s">
        <x:v>1256</x:v>
      </x:c>
    </x:row>
    <x:row r="574">
      <x:c r="A574" s="1">
        <x:v>46267</x:v>
      </x:c>
      <x:c r="B574" t="s">
        <x:v>4056</x:v>
      </x:c>
      <x:c r="C574" t="s">
        <x:v>2553</x:v>
      </x:c>
      <x:c r="D574" t="s">
        <x:v>29</x:v>
      </x:c>
      <x:c r="E574" t="s">
        <x:v>2554</x:v>
      </x:c>
      <x:c r="F574" t="s">
        <x:v>31</x:v>
      </x:c>
      <x:c r="G574" t="s">
        <x:v>2555</x:v>
      </x:c>
      <x:c r="H574" t="s">
        <x:v>2556</x:v>
      </x:c>
      <x:c r="I574" t="s">
        <x:v>2557</x:v>
      </x:c>
      <x:c r="J574" t="s">
        <x:v>1326</x:v>
      </x:c>
      <x:c r="K574" t="s">
        <x:v>36</x:v>
      </x:c>
      <x:c r="L574" t="s">
        <x:v>37</x:v>
      </x:c>
      <x:c r="M574" t="s">
        <x:v>2558</x:v>
      </x:c>
      <x:c r="N574" t="s">
        <x:v>2559</x:v>
      </x:c>
      <x:c r="O574" t="s">
        <x:v>2556</x:v>
      </x:c>
      <x:c r="P574" t="s">
        <x:v>2560</x:v>
      </x:c>
      <x:c r="Q574" t="s">
        <x:v>102</x:v>
      </x:c>
      <x:c r="R574">
        <x:v>1</x:v>
      </x:c>
      <x:c r="S574" t="s">
        <x:v>42</x:v>
      </x:c>
      <x:c r="T574" t="s">
        <x:v>44</x:v>
      </x:c>
      <x:c r="U574" t="s">
        <x:v>44</x:v>
      </x:c>
      <x:c r="V574" t="s">
        <x:v>45</x:v>
      </x:c>
      <x:c r="W574" t="s">
        <x:v>46</x:v>
      </x:c>
      <x:c r="X574">
        <x:v>186.44</x:v>
      </x:c>
      <x:c r="Y574" t="s">
        <x:v>47</x:v>
      </x:c>
      <x:c r="Z574" t="s">
        <x:v>48</x:v>
      </x:c>
      <x:c r="AA574" t="s">
        <x:v>49</x:v>
      </x:c>
      <x:c r="AB574">
        <x:v>999111362</x:v>
      </x:c>
      <x:c r="AC574" t="s">
        <x:v>1330</x:v>
      </x:c>
      <x:c r="AD574">
        <x:v>50</x:v>
      </x:c>
    </x:row>
    <x:row r="575">
      <x:c r="A575" s="1">
        <x:v>46267</x:v>
      </x:c>
      <x:c r="B575" t="s">
        <x:v>4056</x:v>
      </x:c>
      <x:c r="C575" t="s">
        <x:v>2561</x:v>
      </x:c>
      <x:c r="D575" t="s">
        <x:v>269</x:v>
      </x:c>
      <x:c r="E575" t="s">
        <x:v>2562</x:v>
      </x:c>
      <x:c r="F575" t="s">
        <x:v>31</x:v>
      </x:c>
      <x:c r="G575" t="s">
        <x:v>2563</x:v>
      </x:c>
      <x:c r="H575" t="s">
        <x:v>2518</x:v>
      </x:c>
      <x:c r="I575" t="s">
        <x:v>2519</x:v>
      </x:c>
      <x:c r="J575" t="s">
        <x:v>776</x:v>
      </x:c>
      <x:c r="K575" t="s">
        <x:v>777</x:v>
      </x:c>
      <x:c r="L575" t="s">
        <x:v>37</x:v>
      </x:c>
      <x:c r="M575" t="s">
        <x:v>2520</x:v>
      </x:c>
      <x:c r="N575" t="s">
        <x:v>2521</x:v>
      </x:c>
      <x:c r="O575" t="s">
        <x:v>800</x:v>
      </x:c>
      <x:c r="P575" t="s">
        <x:v>2564</x:v>
      </x:c>
      <x:c r="Q575" t="s">
        <x:v>291</x:v>
      </x:c>
      <x:c r="R575">
        <x:v>1</x:v>
      </x:c>
      <x:c r="S575" t="s">
        <x:v>42</x:v>
      </x:c>
      <x:c r="T575" t="s">
        <x:v>44</x:v>
      </x:c>
      <x:c r="U575" t="s">
        <x:v>44</x:v>
      </x:c>
      <x:c r="V575" t="s">
        <x:v>45</x:v>
      </x:c>
      <x:c r="W575" t="s">
        <x:v>46</x:v>
      </x:c>
      <x:c r="X575">
        <x:v>762.71</x:v>
      </x:c>
      <x:c r="Y575" t="s">
        <x:v>290</x:v>
      </x:c>
      <x:c r="Z575" t="s">
        <x:v>48</x:v>
      </x:c>
      <x:c r="AA575" t="s">
        <x:v>49</x:v>
      </x:c>
    </x:row>
    <x:row r="576">
      <x:c r="A576" s="1">
        <x:v>46267</x:v>
      </x:c>
      <x:c r="B576" t="s">
        <x:v>4056</x:v>
      </x:c>
      <x:c r="C576" t="s">
        <x:v>2561</x:v>
      </x:c>
      <x:c r="D576" t="s">
        <x:v>269</x:v>
      </x:c>
      <x:c r="E576" t="s">
        <x:v>2562</x:v>
      </x:c>
      <x:c r="F576" t="s">
        <x:v>31</x:v>
      </x:c>
      <x:c r="G576" t="s">
        <x:v>2563</x:v>
      </x:c>
      <x:c r="H576" t="s">
        <x:v>2518</x:v>
      </x:c>
      <x:c r="I576" t="s">
        <x:v>2519</x:v>
      </x:c>
      <x:c r="J576" t="s">
        <x:v>776</x:v>
      </x:c>
      <x:c r="K576" t="s">
        <x:v>777</x:v>
      </x:c>
      <x:c r="L576" t="s">
        <x:v>37</x:v>
      </x:c>
      <x:c r="M576" t="s">
        <x:v>2520</x:v>
      </x:c>
      <x:c r="N576" t="s">
        <x:v>2521</x:v>
      </x:c>
      <x:c r="O576" t="s">
        <x:v>800</x:v>
      </x:c>
      <x:c r="P576" t="s">
        <x:v>2564</x:v>
      </x:c>
      <x:c r="Q576" t="s">
        <x:v>289</x:v>
      </x:c>
      <x:c r="R576">
        <x:v>1</x:v>
      </x:c>
      <x:c r="S576" t="s">
        <x:v>42</x:v>
      </x:c>
      <x:c r="T576" t="s">
        <x:v>44</x:v>
      </x:c>
      <x:c r="U576" t="s">
        <x:v>44</x:v>
      </x:c>
      <x:c r="V576" t="s">
        <x:v>45</x:v>
      </x:c>
      <x:c r="W576" t="s">
        <x:v>46</x:v>
      </x:c>
      <x:c r="X576">
        <x:v>0</x:v>
      </x:c>
      <x:c r="Y576" t="s">
        <x:v>290</x:v>
      </x:c>
      <x:c r="Z576" t="s">
        <x:v>48</x:v>
      </x:c>
      <x:c r="AA576" t="s">
        <x:v>49</x:v>
      </x:c>
    </x:row>
    <x:row r="577">
      <x:c r="A577" s="1">
        <x:v>46267</x:v>
      </x:c>
      <x:c r="B577" t="s">
        <x:v>4056</x:v>
      </x:c>
      <x:c r="C577" t="s">
        <x:v>4067</x:v>
      </x:c>
      <x:c r="D577" t="s">
        <x:v>29</x:v>
      </x:c>
      <x:c r="E577" t="s">
        <x:v>4068</x:v>
      </x:c>
      <x:c r="F577" t="s">
        <x:v>31</x:v>
      </x:c>
      <x:c r="G577" t="s">
        <x:v>4069</x:v>
      </x:c>
      <x:c r="H577" t="s">
        <x:v>4070</x:v>
      </x:c>
      <x:c r="I577" t="s">
        <x:v>4071</x:v>
      </x:c>
      <x:c r="J577" t="s">
        <x:v>137</x:v>
      </x:c>
      <x:c r="K577" t="s">
        <x:v>138</x:v>
      </x:c>
      <x:c r="L577" t="s">
        <x:v>37</x:v>
      </x:c>
      <x:c r="M577" t="s">
        <x:v>4072</x:v>
      </x:c>
      <x:c r="N577" t="s">
        <x:v>4073</x:v>
      </x:c>
      <x:c r="O577" t="s">
        <x:v>4070</x:v>
      </x:c>
      <x:c r="P577" t="s">
        <x:v>4074</x:v>
      </x:c>
      <x:c r="Q577" t="s">
        <x:v>91</x:v>
      </x:c>
      <x:c r="R577">
        <x:v>1</x:v>
      </x:c>
      <x:c r="S577" t="s">
        <x:v>42</x:v>
      </x:c>
      <x:c r="T577" t="s">
        <x:v>44</x:v>
      </x:c>
      <x:c r="U577" t="s">
        <x:v>44</x:v>
      </x:c>
      <x:c r="V577" t="s">
        <x:v>71</x:v>
      </x:c>
      <x:c r="W577" t="s">
        <x:v>72</x:v>
      </x:c>
      <x:c r="X577">
        <x:v>135.59</x:v>
      </x:c>
      <x:c r="Y577" t="s">
        <x:v>47</x:v>
      </x:c>
      <x:c r="Z577" t="s">
        <x:v>48</x:v>
      </x:c>
      <x:c r="AA577" t="s">
        <x:v>73</x:v>
      </x:c>
      <x:c r="AB577">
        <x:v>987407712</x:v>
      </x:c>
      <x:c r="AC577" t="s">
        <x:v>142</x:v>
      </x:c>
      <x:c r="AD577">
        <x:v>30</x:v>
      </x:c>
    </x:row>
    <x:row r="578">
      <x:c r="A578" s="1">
        <x:v>46267</x:v>
      </x:c>
      <x:c r="B578" t="s">
        <x:v>4056</x:v>
      </x:c>
      <x:c r="C578" t="s">
        <x:v>4075</x:v>
      </x:c>
      <x:c r="D578" t="s">
        <x:v>29</x:v>
      </x:c>
      <x:c r="E578" t="s">
        <x:v>4076</x:v>
      </x:c>
      <x:c r="F578" t="s">
        <x:v>31</x:v>
      </x:c>
      <x:c r="G578" t="s">
        <x:v>4077</x:v>
      </x:c>
      <x:c r="H578" t="s">
        <x:v>4078</x:v>
      </x:c>
      <x:c r="I578" t="s">
        <x:v>4079</x:v>
      </x:c>
      <x:c r="J578" t="s">
        <x:v>1326</x:v>
      </x:c>
      <x:c r="K578" t="s">
        <x:v>36</x:v>
      </x:c>
      <x:c r="L578" t="s">
        <x:v>37</x:v>
      </x:c>
      <x:c r="M578" t="s">
        <x:v>4080</x:v>
      </x:c>
      <x:c r="N578" t="s">
        <x:v>4081</x:v>
      </x:c>
      <x:c r="O578" t="s">
        <x:v>4078</x:v>
      </x:c>
      <x:c r="P578" t="s">
        <x:v>4082</x:v>
      </x:c>
      <x:c r="Q578" t="s">
        <x:v>203</x:v>
      </x:c>
      <x:c r="R578">
        <x:v>1</x:v>
      </x:c>
      <x:c r="S578" t="s">
        <x:v>42</x:v>
      </x:c>
      <x:c r="T578" t="s">
        <x:v>44</x:v>
      </x:c>
      <x:c r="U578" t="s">
        <x:v>44</x:v>
      </x:c>
      <x:c r="V578" t="s">
        <x:v>71</x:v>
      </x:c>
      <x:c r="W578" t="s">
        <x:v>185</x:v>
      </x:c>
      <x:c r="X578">
        <x:v>135.59</x:v>
      </x:c>
      <x:c r="Y578" t="s">
        <x:v>47</x:v>
      </x:c>
      <x:c r="Z578" t="s">
        <x:v>48</x:v>
      </x:c>
      <x:c r="AA578" t="s">
        <x:v>73</x:v>
      </x:c>
      <x:c r="AB578">
        <x:v>999111362</x:v>
      </x:c>
      <x:c r="AC578" t="s">
        <x:v>1330</x:v>
      </x:c>
      <x:c r="AD578">
        <x:v>30</x:v>
      </x:c>
    </x:row>
    <x:row r="579">
      <x:c r="A579" s="1">
        <x:v>46268</x:v>
      </x:c>
      <x:c r="B579" t="s">
        <x:v>4056</x:v>
      </x:c>
      <x:c r="C579" t="s">
        <x:v>2565</x:v>
      </x:c>
      <x:c r="D579" t="s">
        <x:v>29</x:v>
      </x:c>
      <x:c r="E579" t="s">
        <x:v>2566</x:v>
      </x:c>
      <x:c r="F579" t="s">
        <x:v>31</x:v>
      </x:c>
      <x:c r="G579" t="s">
        <x:v>2567</x:v>
      </x:c>
      <x:c r="H579" t="s">
        <x:v>2568</x:v>
      </x:c>
      <x:c r="I579" t="s">
        <x:v>2569</x:v>
      </x:c>
      <x:c r="J579" t="s">
        <x:v>478</x:v>
      </x:c>
      <x:c r="K579" t="s">
        <x:v>210</x:v>
      </x:c>
      <x:c r="L579" t="s">
        <x:v>37</x:v>
      </x:c>
      <x:c r="M579" t="s">
        <x:v>2570</x:v>
      </x:c>
      <x:c r="N579" t="s">
        <x:v>2571</x:v>
      </x:c>
      <x:c r="O579" t="s">
        <x:v>2568</x:v>
      </x:c>
      <x:c r="P579" t="s">
        <x:v>2572</x:v>
      </x:c>
      <x:c r="Q579" t="s">
        <x:v>91</x:v>
      </x:c>
      <x:c r="R579">
        <x:v>1</x:v>
      </x:c>
      <x:c r="S579" t="s">
        <x:v>70</x:v>
      </x:c>
      <x:c r="T579" t="s">
        <x:v>43</x:v>
      </x:c>
      <x:c r="U579" t="s">
        <x:v>44</x:v>
      </x:c>
      <x:c r="V579" t="s">
        <x:v>71</x:v>
      </x:c>
      <x:c r="W579" t="s">
        <x:v>72</x:v>
      </x:c>
      <x:c r="X579">
        <x:v>135.59</x:v>
      </x:c>
      <x:c r="Y579" t="s">
        <x:v>47</x:v>
      </x:c>
      <x:c r="Z579" t="s">
        <x:v>48</x:v>
      </x:c>
      <x:c r="AA579" t="s">
        <x:v>73</x:v>
      </x:c>
      <x:c r="AB579">
        <x:v>982536223</x:v>
      </x:c>
      <x:c r="AC579" t="s">
        <x:v>483</x:v>
      </x:c>
      <x:c r="AD579">
        <x:v>30</x:v>
      </x:c>
    </x:row>
    <x:row r="580">
      <x:c r="A580" s="1">
        <x:v>46268</x:v>
      </x:c>
      <x:c r="B580" t="s">
        <x:v>4056</x:v>
      </x:c>
      <x:c r="C580" t="s">
        <x:v>2573</x:v>
      </x:c>
      <x:c r="D580" t="s">
        <x:v>29</x:v>
      </x:c>
      <x:c r="E580" t="s">
        <x:v>2574</x:v>
      </x:c>
      <x:c r="F580" t="s">
        <x:v>31</x:v>
      </x:c>
      <x:c r="G580" t="s">
        <x:v>2575</x:v>
      </x:c>
      <x:c r="H580" t="s">
        <x:v>2576</x:v>
      </x:c>
      <x:c r="I580" t="s">
        <x:v>2577</x:v>
      </x:c>
      <x:c r="J580" t="s">
        <x:v>764</x:v>
      </x:c>
      <x:c r="K580" t="s">
        <x:v>210</x:v>
      </x:c>
      <x:c r="L580" t="s">
        <x:v>37</x:v>
      </x:c>
      <x:c r="M580" t="s">
        <x:v>2579</x:v>
      </x:c>
      <x:c r="N580" t="s">
        <x:v>2580</x:v>
      </x:c>
      <x:c r="O580" t="s">
        <x:v>2576</x:v>
      </x:c>
      <x:c r="P580" t="s">
        <x:v>2581</x:v>
      </x:c>
      <x:c r="Q580" t="s">
        <x:v>41</x:v>
      </x:c>
      <x:c r="R580">
        <x:v>1</x:v>
      </x:c>
      <x:c r="S580" t="s">
        <x:v>42</x:v>
      </x:c>
      <x:c r="T580" t="s">
        <x:v>44</x:v>
      </x:c>
      <x:c r="U580" t="s">
        <x:v>44</x:v>
      </x:c>
      <x:c r="V580" t="s">
        <x:v>45</x:v>
      </x:c>
      <x:c r="W580" t="s">
        <x:v>60</x:v>
      </x:c>
      <x:c r="X580">
        <x:v>186.44</x:v>
      </x:c>
      <x:c r="Y580" t="s">
        <x:v>47</x:v>
      </x:c>
      <x:c r="Z580" t="s">
        <x:v>48</x:v>
      </x:c>
      <x:c r="AA580" t="s">
        <x:v>49</x:v>
      </x:c>
      <x:c r="AB580">
        <x:v>969791876</x:v>
      </x:c>
      <x:c r="AC580" t="s">
        <x:v>770</x:v>
      </x:c>
      <x:c r="AD580">
        <x:v>50</x:v>
      </x:c>
    </x:row>
    <x:row r="581">
      <x:c r="A581" s="1">
        <x:v>46268</x:v>
      </x:c>
      <x:c r="B581" t="s">
        <x:v>4056</x:v>
      </x:c>
      <x:c r="C581" t="s">
        <x:v>2573</x:v>
      </x:c>
      <x:c r="D581" t="s">
        <x:v>29</x:v>
      </x:c>
      <x:c r="E581" t="s">
        <x:v>2574</x:v>
      </x:c>
      <x:c r="F581" t="s">
        <x:v>31</x:v>
      </x:c>
      <x:c r="G581" t="s">
        <x:v>2575</x:v>
      </x:c>
      <x:c r="H581" t="s">
        <x:v>2576</x:v>
      </x:c>
      <x:c r="I581" t="s">
        <x:v>2577</x:v>
      </x:c>
      <x:c r="J581" t="s">
        <x:v>764</x:v>
      </x:c>
      <x:c r="K581" t="s">
        <x:v>210</x:v>
      </x:c>
      <x:c r="L581" t="s">
        <x:v>37</x:v>
      </x:c>
      <x:c r="M581" t="s">
        <x:v>2579</x:v>
      </x:c>
      <x:c r="N581" t="s">
        <x:v>2580</x:v>
      </x:c>
      <x:c r="O581" t="s">
        <x:v>2576</x:v>
      </x:c>
      <x:c r="P581" t="s">
        <x:v>2581</x:v>
      </x:c>
      <x:c r="Q581" t="s">
        <x:v>102</x:v>
      </x:c>
      <x:c r="R581">
        <x:v>1</x:v>
      </x:c>
      <x:c r="S581" t="s">
        <x:v>42</x:v>
      </x:c>
      <x:c r="T581" t="s">
        <x:v>44</x:v>
      </x:c>
      <x:c r="U581" t="s">
        <x:v>44</x:v>
      </x:c>
      <x:c r="V581" t="s">
        <x:v>45</x:v>
      </x:c>
      <x:c r="W581" t="s">
        <x:v>60</x:v>
      </x:c>
      <x:c r="X581">
        <x:v>186.44</x:v>
      </x:c>
      <x:c r="Y581" t="s">
        <x:v>47</x:v>
      </x:c>
      <x:c r="Z581" t="s">
        <x:v>48</x:v>
      </x:c>
      <x:c r="AA581" t="s">
        <x:v>49</x:v>
      </x:c>
      <x:c r="AB581">
        <x:v>969791876</x:v>
      </x:c>
      <x:c r="AC581" t="s">
        <x:v>770</x:v>
      </x:c>
      <x:c r="AD581">
        <x:v>50</x:v>
      </x:c>
    </x:row>
    <x:row r="582">
      <x:c r="A582" s="1">
        <x:v>46268</x:v>
      </x:c>
      <x:c r="B582" t="s">
        <x:v>4056</x:v>
      </x:c>
      <x:c r="C582" t="s">
        <x:v>2582</x:v>
      </x:c>
      <x:c r="D582" t="s">
        <x:v>269</x:v>
      </x:c>
      <x:c r="E582" t="s">
        <x:v>2583</x:v>
      </x:c>
      <x:c r="F582" t="s">
        <x:v>31</x:v>
      </x:c>
      <x:c r="G582" t="s">
        <x:v>2584</x:v>
      </x:c>
      <x:c r="H582" t="s">
        <x:v>2178</x:v>
      </x:c>
      <x:c r="I582" t="s">
        <x:v>2179</x:v>
      </x:c>
      <x:c r="J582" t="s">
        <x:v>776</x:v>
      </x:c>
      <x:c r="K582" t="s">
        <x:v>777</x:v>
      </x:c>
      <x:c r="L582" t="s">
        <x:v>37</x:v>
      </x:c>
      <x:c r="M582" t="s">
        <x:v>2180</x:v>
      </x:c>
      <x:c r="N582" t="s">
        <x:v>2181</x:v>
      </x:c>
      <x:c r="O582" t="s">
        <x:v>800</x:v>
      </x:c>
      <x:c r="P582" t="s">
        <x:v>2585</x:v>
      </x:c>
      <x:c r="Q582" t="s">
        <x:v>291</x:v>
      </x:c>
      <x:c r="R582">
        <x:v>1</x:v>
      </x:c>
      <x:c r="S582" t="s">
        <x:v>42</x:v>
      </x:c>
      <x:c r="T582" t="s">
        <x:v>44</x:v>
      </x:c>
      <x:c r="U582" t="s">
        <x:v>44</x:v>
      </x:c>
      <x:c r="V582" t="s">
        <x:v>45</x:v>
      </x:c>
      <x:c r="W582" t="s">
        <x:v>60</x:v>
      </x:c>
      <x:c r="X582">
        <x:v>1525.42</x:v>
      </x:c>
      <x:c r="Y582" t="s">
        <x:v>290</x:v>
      </x:c>
      <x:c r="Z582" t="s">
        <x:v>48</x:v>
      </x:c>
      <x:c r="AA582" t="s">
        <x:v>49</x:v>
      </x:c>
    </x:row>
    <x:row r="583">
      <x:c r="A583" s="1">
        <x:v>46268</x:v>
      </x:c>
      <x:c r="B583" t="s">
        <x:v>4056</x:v>
      </x:c>
      <x:c r="C583" t="s">
        <x:v>2582</x:v>
      </x:c>
      <x:c r="D583" t="s">
        <x:v>269</x:v>
      </x:c>
      <x:c r="E583" t="s">
        <x:v>2583</x:v>
      </x:c>
      <x:c r="F583" t="s">
        <x:v>31</x:v>
      </x:c>
      <x:c r="G583" t="s">
        <x:v>2584</x:v>
      </x:c>
      <x:c r="H583" t="s">
        <x:v>2178</x:v>
      </x:c>
      <x:c r="I583" t="s">
        <x:v>2179</x:v>
      </x:c>
      <x:c r="J583" t="s">
        <x:v>776</x:v>
      </x:c>
      <x:c r="K583" t="s">
        <x:v>777</x:v>
      </x:c>
      <x:c r="L583" t="s">
        <x:v>37</x:v>
      </x:c>
      <x:c r="M583" t="s">
        <x:v>2180</x:v>
      </x:c>
      <x:c r="N583" t="s">
        <x:v>2181</x:v>
      </x:c>
      <x:c r="O583" t="s">
        <x:v>800</x:v>
      </x:c>
      <x:c r="P583" t="s">
        <x:v>2585</x:v>
      </x:c>
      <x:c r="Q583" t="s">
        <x:v>289</x:v>
      </x:c>
      <x:c r="R583">
        <x:v>1</x:v>
      </x:c>
      <x:c r="S583" t="s">
        <x:v>42</x:v>
      </x:c>
      <x:c r="T583" t="s">
        <x:v>44</x:v>
      </x:c>
      <x:c r="U583" t="s">
        <x:v>44</x:v>
      </x:c>
      <x:c r="V583" t="s">
        <x:v>45</x:v>
      </x:c>
      <x:c r="W583" t="s">
        <x:v>60</x:v>
      </x:c>
      <x:c r="X583">
        <x:v>0</x:v>
      </x:c>
      <x:c r="Y583" t="s">
        <x:v>290</x:v>
      </x:c>
      <x:c r="Z583" t="s">
        <x:v>48</x:v>
      </x:c>
      <x:c r="AA583" t="s">
        <x:v>49</x:v>
      </x:c>
    </x:row>
    <x:row r="584">
      <x:c r="A584" s="1">
        <x:v>46268</x:v>
      </x:c>
      <x:c r="B584" t="s">
        <x:v>4056</x:v>
      </x:c>
      <x:c r="C584" t="s">
        <x:v>4083</x:v>
      </x:c>
      <x:c r="D584" t="s">
        <x:v>29</x:v>
      </x:c>
      <x:c r="E584" t="s">
        <x:v>4084</x:v>
      </x:c>
      <x:c r="F584" t="s">
        <x:v>31</x:v>
      </x:c>
      <x:c r="G584" t="s">
        <x:v>4085</x:v>
      </x:c>
      <x:c r="H584" t="s">
        <x:v>4086</x:v>
      </x:c>
      <x:c r="I584" t="s">
        <x:v>4087</x:v>
      </x:c>
      <x:c r="J584" t="s">
        <x:v>717</x:v>
      </x:c>
      <x:c r="K584" t="s">
        <x:v>718</x:v>
      </x:c>
      <x:c r="L584" t="s">
        <x:v>37</x:v>
      </x:c>
      <x:c r="M584" t="s">
        <x:v>4088</x:v>
      </x:c>
      <x:c r="N584" t="s">
        <x:v>4089</x:v>
      </x:c>
      <x:c r="O584" t="s">
        <x:v>4086</x:v>
      </x:c>
      <x:c r="P584" t="s">
        <x:v>4090</x:v>
      </x:c>
      <x:c r="Q584" t="s">
        <x:v>131</x:v>
      </x:c>
      <x:c r="R584">
        <x:v>1</x:v>
      </x:c>
      <x:c r="S584" t="s">
        <x:v>42</x:v>
      </x:c>
      <x:c r="T584" t="s">
        <x:v>44</x:v>
      </x:c>
      <x:c r="U584" t="s">
        <x:v>44</x:v>
      </x:c>
      <x:c r="V584" t="s">
        <x:v>71</x:v>
      </x:c>
      <x:c r="W584" t="s">
        <x:v>2078</x:v>
      </x:c>
      <x:c r="X584">
        <x:v>152.54</x:v>
      </x:c>
      <x:c r="Y584" t="s">
        <x:v>47</x:v>
      </x:c>
      <x:c r="Z584" t="s">
        <x:v>48</x:v>
      </x:c>
      <x:c r="AA584" t="s">
        <x:v>73</x:v>
      </x:c>
      <x:c r="AB584">
        <x:v>955356636</x:v>
      </x:c>
      <x:c r="AC584" t="s">
        <x:v>722</x:v>
      </x:c>
      <x:c r="AD584">
        <x:v>30</x:v>
      </x:c>
    </x:row>
    <x:row r="585">
      <x:c r="A585" s="1">
        <x:v>46269</x:v>
      </x:c>
      <x:c r="B585" t="s">
        <x:v>4056</x:v>
      </x:c>
      <x:c r="C585" t="s">
        <x:v>2586</x:v>
      </x:c>
      <x:c r="D585" t="s">
        <x:v>269</x:v>
      </x:c>
      <x:c r="E585" t="s">
        <x:v>2587</x:v>
      </x:c>
      <x:c r="F585" t="s">
        <x:v>31</x:v>
      </x:c>
      <x:c r="G585" t="s">
        <x:v>2588</x:v>
      </x:c>
      <x:c r="H585" t="s">
        <x:v>2589</x:v>
      </x:c>
      <x:c r="I585" t="s">
        <x:v>2590</x:v>
      </x:c>
      <x:c r="J585" t="s">
        <x:v>274</x:v>
      </x:c>
      <x:c r="K585" t="s">
        <x:v>275</x:v>
      </x:c>
      <x:c r="L585" t="s">
        <x:v>37</x:v>
      </x:c>
      <x:c r="M585" t="s">
        <x:v>2591</x:v>
      </x:c>
      <x:c r="N585" t="s">
        <x:v>2592</x:v>
      </x:c>
      <x:c r="O585" t="s">
        <x:v>278</x:v>
      </x:c>
      <x:c r="P585" t="s">
        <x:v>2593</x:v>
      </x:c>
      <x:c r="Q585" t="s">
        <x:v>291</x:v>
      </x:c>
      <x:c r="R585">
        <x:v>1</x:v>
      </x:c>
      <x:c r="S585" t="s">
        <x:v>42</x:v>
      </x:c>
      <x:c r="T585" t="s">
        <x:v>44</x:v>
      </x:c>
      <x:c r="U585" t="s">
        <x:v>44</x:v>
      </x:c>
      <x:c r="V585" t="s">
        <x:v>45</x:v>
      </x:c>
      <x:c r="W585" t="s">
        <x:v>46</x:v>
      </x:c>
      <x:c r="X585">
        <x:v>1050.8499999999999</x:v>
      </x:c>
      <x:c r="Y585" t="s">
        <x:v>290</x:v>
      </x:c>
      <x:c r="Z585" t="s">
        <x:v>48</x:v>
      </x:c>
      <x:c r="AA585" t="s">
        <x:v>49</x:v>
      </x:c>
      <x:c r="AB585">
        <x:v>950133748</x:v>
      </x:c>
      <x:c r="AC585" t="s">
        <x:v>280</x:v>
      </x:c>
    </x:row>
    <x:row r="586">
      <x:c r="A586" s="1">
        <x:v>46269</x:v>
      </x:c>
      <x:c r="B586" t="s">
        <x:v>4056</x:v>
      </x:c>
      <x:c r="C586" t="s">
        <x:v>2586</x:v>
      </x:c>
      <x:c r="D586" t="s">
        <x:v>269</x:v>
      </x:c>
      <x:c r="E586" t="s">
        <x:v>2587</x:v>
      </x:c>
      <x:c r="F586" t="s">
        <x:v>31</x:v>
      </x:c>
      <x:c r="G586" t="s">
        <x:v>2588</x:v>
      </x:c>
      <x:c r="H586" t="s">
        <x:v>2589</x:v>
      </x:c>
      <x:c r="I586" t="s">
        <x:v>2590</x:v>
      </x:c>
      <x:c r="J586" t="s">
        <x:v>274</x:v>
      </x:c>
      <x:c r="K586" t="s">
        <x:v>275</x:v>
      </x:c>
      <x:c r="L586" t="s">
        <x:v>37</x:v>
      </x:c>
      <x:c r="M586" t="s">
        <x:v>2591</x:v>
      </x:c>
      <x:c r="N586" t="s">
        <x:v>2592</x:v>
      </x:c>
      <x:c r="O586" t="s">
        <x:v>278</x:v>
      </x:c>
      <x:c r="P586" t="s">
        <x:v>2593</x:v>
      </x:c>
      <x:c r="Q586" t="s">
        <x:v>289</x:v>
      </x:c>
      <x:c r="R586">
        <x:v>1</x:v>
      </x:c>
      <x:c r="S586" t="s">
        <x:v>42</x:v>
      </x:c>
      <x:c r="T586" t="s">
        <x:v>44</x:v>
      </x:c>
      <x:c r="U586" t="s">
        <x:v>44</x:v>
      </x:c>
      <x:c r="V586" t="s">
        <x:v>45</x:v>
      </x:c>
      <x:c r="W586" t="s">
        <x:v>46</x:v>
      </x:c>
      <x:c r="X586">
        <x:v>0</x:v>
      </x:c>
      <x:c r="Y586" t="s">
        <x:v>290</x:v>
      </x:c>
      <x:c r="Z586" t="s">
        <x:v>48</x:v>
      </x:c>
      <x:c r="AA586" t="s">
        <x:v>49</x:v>
      </x:c>
      <x:c r="AB586">
        <x:v>950133748</x:v>
      </x:c>
      <x:c r="AC586" t="s">
        <x:v>280</x:v>
      </x:c>
    </x:row>
    <x:row r="587">
      <x:c r="A587" s="1">
        <x:v>46269</x:v>
      </x:c>
      <x:c r="B587" t="s">
        <x:v>4056</x:v>
      </x:c>
      <x:c r="C587" t="s">
        <x:v>2594</x:v>
      </x:c>
      <x:c r="D587" t="s">
        <x:v>29</x:v>
      </x:c>
      <x:c r="E587" t="s">
        <x:v>2595</x:v>
      </x:c>
      <x:c r="F587" t="s">
        <x:v>31</x:v>
      </x:c>
      <x:c r="G587" t="s">
        <x:v>2596</x:v>
      </x:c>
      <x:c r="H587" t="s">
        <x:v>2597</x:v>
      </x:c>
      <x:c r="I587" t="s">
        <x:v>2598</x:v>
      </x:c>
      <x:c r="J587" t="s">
        <x:v>2599</x:v>
      </x:c>
      <x:c r="K587" t="s">
        <x:v>2600</x:v>
      </x:c>
      <x:c r="L587" t="s">
        <x:v>37</x:v>
      </x:c>
      <x:c r="M587" t="s">
        <x:v>2601</x:v>
      </x:c>
      <x:c r="N587" t="s">
        <x:v>2602</x:v>
      </x:c>
      <x:c r="O587" t="s">
        <x:v>2597</x:v>
      </x:c>
      <x:c r="P587" t="s">
        <x:v>2603</x:v>
      </x:c>
      <x:c r="Q587" t="s">
        <x:v>1159</x:v>
      </x:c>
      <x:c r="R587">
        <x:v>1</x:v>
      </x:c>
      <x:c r="S587" t="s">
        <x:v>42</x:v>
      </x:c>
      <x:c r="T587" t="s">
        <x:v>44</x:v>
      </x:c>
      <x:c r="U587" t="s">
        <x:v>44</x:v>
      </x:c>
      <x:c r="V587" t="s">
        <x:v>45</x:v>
      </x:c>
      <x:c r="W587" t="s">
        <x:v>46</x:v>
      </x:c>
      <x:c r="X587">
        <x:v>338.98</x:v>
      </x:c>
      <x:c r="Y587" t="s">
        <x:v>47</x:v>
      </x:c>
      <x:c r="Z587" t="s">
        <x:v>48</x:v>
      </x:c>
      <x:c r="AA587" t="s">
        <x:v>49</x:v>
      </x:c>
      <x:c r="AB587">
        <x:v>949900695</x:v>
      </x:c>
      <x:c r="AC587" t="s">
        <x:v>2604</x:v>
      </x:c>
      <x:c r="AD587">
        <x:v>100</x:v>
      </x:c>
    </x:row>
    <x:row r="588">
      <x:c r="A588" s="1">
        <x:v>46269</x:v>
      </x:c>
      <x:c r="B588" t="s">
        <x:v>4056</x:v>
      </x:c>
      <x:c r="C588" t="s">
        <x:v>2605</x:v>
      </x:c>
      <x:c r="D588" t="s">
        <x:v>269</x:v>
      </x:c>
      <x:c r="E588" t="s">
        <x:v>2606</x:v>
      </x:c>
      <x:c r="F588" t="s">
        <x:v>31</x:v>
      </x:c>
      <x:c r="G588" t="s">
        <x:v>2607</x:v>
      </x:c>
      <x:c r="H588" t="s">
        <x:v>2209</x:v>
      </x:c>
      <x:c r="I588" t="s">
        <x:v>2210</x:v>
      </x:c>
      <x:c r="J588" t="s">
        <x:v>274</x:v>
      </x:c>
      <x:c r="K588" t="s">
        <x:v>275</x:v>
      </x:c>
      <x:c r="L588" t="s">
        <x:v>37</x:v>
      </x:c>
      <x:c r="M588" t="s">
        <x:v>2211</x:v>
      </x:c>
      <x:c r="N588" t="s">
        <x:v>2212</x:v>
      </x:c>
      <x:c r="O588" t="s">
        <x:v>278</x:v>
      </x:c>
      <x:c r="P588" t="s">
        <x:v>2608</x:v>
      </x:c>
      <x:c r="Q588" t="s">
        <x:v>291</x:v>
      </x:c>
      <x:c r="R588">
        <x:v>1</x:v>
      </x:c>
      <x:c r="S588" t="s">
        <x:v>42</x:v>
      </x:c>
      <x:c r="T588" t="s">
        <x:v>44</x:v>
      </x:c>
      <x:c r="U588" t="s">
        <x:v>44</x:v>
      </x:c>
      <x:c r="V588" t="s">
        <x:v>45</x:v>
      </x:c>
      <x:c r="W588" t="s">
        <x:v>46</x:v>
      </x:c>
      <x:c r="X588">
        <x:v>3211.86</x:v>
      </x:c>
      <x:c r="Y588" t="s">
        <x:v>290</x:v>
      </x:c>
      <x:c r="Z588" t="s">
        <x:v>48</x:v>
      </x:c>
      <x:c r="AA588" t="s">
        <x:v>49</x:v>
      </x:c>
      <x:c r="AB588">
        <x:v>950133748</x:v>
      </x:c>
      <x:c r="AC588" t="s">
        <x:v>280</x:v>
      </x:c>
    </x:row>
    <x:row r="589">
      <x:c r="A589" s="1">
        <x:v>46269</x:v>
      </x:c>
      <x:c r="B589" t="s">
        <x:v>4056</x:v>
      </x:c>
      <x:c r="C589" t="s">
        <x:v>2605</x:v>
      </x:c>
      <x:c r="D589" t="s">
        <x:v>269</x:v>
      </x:c>
      <x:c r="E589" t="s">
        <x:v>2606</x:v>
      </x:c>
      <x:c r="F589" t="s">
        <x:v>31</x:v>
      </x:c>
      <x:c r="G589" t="s">
        <x:v>2607</x:v>
      </x:c>
      <x:c r="H589" t="s">
        <x:v>2209</x:v>
      </x:c>
      <x:c r="I589" t="s">
        <x:v>2210</x:v>
      </x:c>
      <x:c r="J589" t="s">
        <x:v>274</x:v>
      </x:c>
      <x:c r="K589" t="s">
        <x:v>275</x:v>
      </x:c>
      <x:c r="L589" t="s">
        <x:v>37</x:v>
      </x:c>
      <x:c r="M589" t="s">
        <x:v>2211</x:v>
      </x:c>
      <x:c r="N589" t="s">
        <x:v>2212</x:v>
      </x:c>
      <x:c r="O589" t="s">
        <x:v>278</x:v>
      </x:c>
      <x:c r="P589" t="s">
        <x:v>2608</x:v>
      </x:c>
      <x:c r="Q589" t="s">
        <x:v>289</x:v>
      </x:c>
      <x:c r="R589">
        <x:v>1</x:v>
      </x:c>
      <x:c r="S589" t="s">
        <x:v>42</x:v>
      </x:c>
      <x:c r="T589" t="s">
        <x:v>44</x:v>
      </x:c>
      <x:c r="U589" t="s">
        <x:v>44</x:v>
      </x:c>
      <x:c r="V589" t="s">
        <x:v>45</x:v>
      </x:c>
      <x:c r="W589" t="s">
        <x:v>46</x:v>
      </x:c>
      <x:c r="X589">
        <x:v>0</x:v>
      </x:c>
      <x:c r="Y589" t="s">
        <x:v>290</x:v>
      </x:c>
      <x:c r="Z589" t="s">
        <x:v>48</x:v>
      </x:c>
      <x:c r="AA589" t="s">
        <x:v>49</x:v>
      </x:c>
      <x:c r="AB589">
        <x:v>950133748</x:v>
      </x:c>
      <x:c r="AC589" t="s">
        <x:v>280</x:v>
      </x:c>
    </x:row>
    <x:row r="590">
      <x:c r="A590" s="1">
        <x:v>46269</x:v>
      </x:c>
      <x:c r="B590" t="s">
        <x:v>4056</x:v>
      </x:c>
      <x:c r="C590" t="s">
        <x:v>2609</x:v>
      </x:c>
      <x:c r="D590" t="s">
        <x:v>269</x:v>
      </x:c>
      <x:c r="E590" t="s">
        <x:v>2610</x:v>
      </x:c>
      <x:c r="F590" t="s">
        <x:v>31</x:v>
      </x:c>
      <x:c r="G590" t="s">
        <x:v>2611</x:v>
      </x:c>
      <x:c r="H590" t="s">
        <x:v>2589</x:v>
      </x:c>
      <x:c r="I590" t="s">
        <x:v>2590</x:v>
      </x:c>
      <x:c r="J590" t="s">
        <x:v>274</x:v>
      </x:c>
      <x:c r="K590" t="s">
        <x:v>275</x:v>
      </x:c>
      <x:c r="L590" t="s">
        <x:v>37</x:v>
      </x:c>
      <x:c r="M590" t="s">
        <x:v>2591</x:v>
      </x:c>
      <x:c r="N590" t="s">
        <x:v>2592</x:v>
      </x:c>
      <x:c r="O590" t="s">
        <x:v>278</x:v>
      </x:c>
      <x:c r="P590" t="s">
        <x:v>2612</x:v>
      </x:c>
      <x:c r="Q590" t="s">
        <x:v>202</x:v>
      </x:c>
      <x:c r="R590">
        <x:v>1</x:v>
      </x:c>
      <x:c r="S590" t="s">
        <x:v>42</x:v>
      </x:c>
      <x:c r="T590" t="s">
        <x:v>44</x:v>
      </x:c>
      <x:c r="U590" t="s">
        <x:v>44</x:v>
      </x:c>
      <x:c r="V590" t="s">
        <x:v>45</x:v>
      </x:c>
      <x:c r="W590" t="s">
        <x:v>60</x:v>
      </x:c>
      <x:c r="X590">
        <x:v>152.54</x:v>
      </x:c>
      <x:c r="Y590" t="s">
        <x:v>47</x:v>
      </x:c>
      <x:c r="Z590" t="s">
        <x:v>48</x:v>
      </x:c>
      <x:c r="AA590" t="s">
        <x:v>49</x:v>
      </x:c>
      <x:c r="AB590">
        <x:v>950133748</x:v>
      </x:c>
      <x:c r="AC590" t="s">
        <x:v>280</x:v>
      </x:c>
      <x:c r="AD590">
        <x:v>30</x:v>
      </x:c>
    </x:row>
    <x:row r="591">
      <x:c r="A591" s="1">
        <x:v>46269</x:v>
      </x:c>
      <x:c r="B591" t="s">
        <x:v>4056</x:v>
      </x:c>
      <x:c r="C591" t="s">
        <x:v>2613</x:v>
      </x:c>
      <x:c r="D591" t="s">
        <x:v>29</x:v>
      </x:c>
      <x:c r="E591" t="s">
        <x:v>2614</x:v>
      </x:c>
      <x:c r="F591" t="s">
        <x:v>31</x:v>
      </x:c>
      <x:c r="G591" t="s">
        <x:v>2615</x:v>
      </x:c>
      <x:c r="H591" t="s">
        <x:v>2616</x:v>
      </x:c>
      <x:c r="I591" t="s">
        <x:v>2617</x:v>
      </x:c>
      <x:c r="L591" t="s">
        <x:v>37</x:v>
      </x:c>
      <x:c r="M591" t="s">
        <x:v>2619</x:v>
      </x:c>
      <x:c r="N591" t="s">
        <x:v>2620</x:v>
      </x:c>
      <x:c r="O591" t="s">
        <x:v>2616</x:v>
      </x:c>
      <x:c r="P591" t="s">
        <x:v>2621</x:v>
      </x:c>
      <x:c r="Q591" t="s">
        <x:v>160</x:v>
      </x:c>
      <x:c r="R591">
        <x:v>1</x:v>
      </x:c>
      <x:c r="S591" t="s">
        <x:v>42</x:v>
      </x:c>
      <x:c r="T591" t="s">
        <x:v>44</x:v>
      </x:c>
      <x:c r="U591" t="s">
        <x:v>44</x:v>
      </x:c>
      <x:c r="V591" t="s">
        <x:v>45</x:v>
      </x:c>
      <x:c r="W591" t="s">
        <x:v>60</x:v>
      </x:c>
      <x:c r="X591">
        <x:v>135.59</x:v>
      </x:c>
      <x:c r="Y591" t="s">
        <x:v>47</x:v>
      </x:c>
      <x:c r="Z591" t="s">
        <x:v>48</x:v>
      </x:c>
      <x:c r="AA591" t="s">
        <x:v>49</x:v>
      </x:c>
      <x:c r="AD591">
        <x:v>30</x:v>
      </x:c>
    </x:row>
    <x:row r="592">
      <x:c r="A592" s="1">
        <x:v>46269</x:v>
      </x:c>
      <x:c r="B592" t="s">
        <x:v>4056</x:v>
      </x:c>
      <x:c r="C592" t="s">
        <x:v>4091</x:v>
      </x:c>
      <x:c r="D592" t="s">
        <x:v>29</x:v>
      </x:c>
      <x:c r="E592" t="s">
        <x:v>4092</x:v>
      </x:c>
      <x:c r="F592" t="s">
        <x:v>31</x:v>
      </x:c>
      <x:c r="G592" t="s">
        <x:v>4093</x:v>
      </x:c>
      <x:c r="H592" t="s">
        <x:v>4094</x:v>
      </x:c>
      <x:c r="I592" t="s">
        <x:v>4095</x:v>
      </x:c>
      <x:c r="J592" t="s">
        <x:v>764</x:v>
      </x:c>
      <x:c r="K592" t="s">
        <x:v>210</x:v>
      </x:c>
      <x:c r="L592" t="s">
        <x:v>37</x:v>
      </x:c>
      <x:c r="M592" t="s">
        <x:v>4096</x:v>
      </x:c>
      <x:c r="N592" t="s">
        <x:v>4097</x:v>
      </x:c>
      <x:c r="O592" t="s">
        <x:v>4094</x:v>
      </x:c>
      <x:c r="P592" t="s">
        <x:v>4098</x:v>
      </x:c>
      <x:c r="Q592" t="s">
        <x:v>160</x:v>
      </x:c>
      <x:c r="R592">
        <x:v>1</x:v>
      </x:c>
      <x:c r="S592" t="s">
        <x:v>42</x:v>
      </x:c>
      <x:c r="T592" t="s">
        <x:v>44</x:v>
      </x:c>
      <x:c r="U592" t="s">
        <x:v>44</x:v>
      </x:c>
      <x:c r="V592" t="s">
        <x:v>532</x:v>
      </x:c>
      <x:c r="W592" t="s">
        <x:v>4099</x:v>
      </x:c>
      <x:c r="X592">
        <x:v>135.59</x:v>
      </x:c>
      <x:c r="Y592" t="s">
        <x:v>47</x:v>
      </x:c>
      <x:c r="Z592" t="s">
        <x:v>48</x:v>
      </x:c>
      <x:c r="AA592" t="s">
        <x:v>535</x:v>
      </x:c>
      <x:c r="AB592">
        <x:v>969791876</x:v>
      </x:c>
      <x:c r="AC592" t="s">
        <x:v>770</x:v>
      </x:c>
      <x:c r="AD592">
        <x:v>30</x:v>
      </x:c>
    </x:row>
    <x:row r="593">
      <x:c r="A593" s="1">
        <x:v>46270</x:v>
      </x:c>
      <x:c r="B593" t="s">
        <x:v>4056</x:v>
      </x:c>
      <x:c r="C593" t="s">
        <x:v>2622</x:v>
      </x:c>
      <x:c r="D593" t="s">
        <x:v>269</x:v>
      </x:c>
      <x:c r="E593" t="s">
        <x:v>2623</x:v>
      </x:c>
      <x:c r="F593" t="s">
        <x:v>31</x:v>
      </x:c>
      <x:c r="G593" t="s">
        <x:v>2624</x:v>
      </x:c>
      <x:c r="H593" t="s">
        <x:v>2625</x:v>
      </x:c>
      <x:c r="I593" t="s">
        <x:v>2626</x:v>
      </x:c>
      <x:c r="J593" t="s">
        <x:v>706</x:v>
      </x:c>
      <x:c r="K593" t="s">
        <x:v>707</x:v>
      </x:c>
      <x:c r="L593" t="s">
        <x:v>37</x:v>
      </x:c>
      <x:c r="M593" t="s">
        <x:v>2627</x:v>
      </x:c>
      <x:c r="N593" t="s">
        <x:v>2628</x:v>
      </x:c>
      <x:c r="O593" t="s">
        <x:v>2629</x:v>
      </x:c>
      <x:c r="P593" t="s">
        <x:v>2630</x:v>
      </x:c>
      <x:c r="Q593" t="s">
        <x:v>102</x:v>
      </x:c>
      <x:c r="R593">
        <x:v>1</x:v>
      </x:c>
      <x:c r="S593" t="s">
        <x:v>70</x:v>
      </x:c>
      <x:c r="T593" t="s">
        <x:v>43</x:v>
      </x:c>
      <x:c r="U593" t="s">
        <x:v>44</x:v>
      </x:c>
      <x:c r="V593" t="s">
        <x:v>71</x:v>
      </x:c>
      <x:c r="W593" t="s">
        <x:v>72</x:v>
      </x:c>
      <x:c r="X593">
        <x:v>169.49</x:v>
      </x:c>
      <x:c r="Y593" t="s">
        <x:v>47</x:v>
      </x:c>
      <x:c r="Z593" t="s">
        <x:v>48</x:v>
      </x:c>
      <x:c r="AA593" t="s">
        <x:v>73</x:v>
      </x:c>
      <x:c r="AB593">
        <x:v>998418895</x:v>
      </x:c>
      <x:c r="AC593" t="s">
        <x:v>711</x:v>
      </x:c>
      <x:c r="AD593">
        <x:v>50</x:v>
      </x:c>
    </x:row>
    <x:row r="594">
      <x:c r="A594" s="1">
        <x:v>46270</x:v>
      </x:c>
      <x:c r="B594" t="s">
        <x:v>4056</x:v>
      </x:c>
      <x:c r="C594" t="s">
        <x:v>2622</x:v>
      </x:c>
      <x:c r="D594" t="s">
        <x:v>269</x:v>
      </x:c>
      <x:c r="E594" t="s">
        <x:v>2623</x:v>
      </x:c>
      <x:c r="F594" t="s">
        <x:v>31</x:v>
      </x:c>
      <x:c r="G594" t="s">
        <x:v>2624</x:v>
      </x:c>
      <x:c r="H594" t="s">
        <x:v>2625</x:v>
      </x:c>
      <x:c r="I594" t="s">
        <x:v>2626</x:v>
      </x:c>
      <x:c r="J594" t="s">
        <x:v>706</x:v>
      </x:c>
      <x:c r="K594" t="s">
        <x:v>707</x:v>
      </x:c>
      <x:c r="L594" t="s">
        <x:v>37</x:v>
      </x:c>
      <x:c r="M594" t="s">
        <x:v>2627</x:v>
      </x:c>
      <x:c r="N594" t="s">
        <x:v>2628</x:v>
      </x:c>
      <x:c r="O594" t="s">
        <x:v>2629</x:v>
      </x:c>
      <x:c r="P594" t="s">
        <x:v>2630</x:v>
      </x:c>
      <x:c r="Q594" t="s">
        <x:v>41</x:v>
      </x:c>
      <x:c r="R594">
        <x:v>1</x:v>
      </x:c>
      <x:c r="S594" t="s">
        <x:v>70</x:v>
      </x:c>
      <x:c r="T594" t="s">
        <x:v>43</x:v>
      </x:c>
      <x:c r="U594" t="s">
        <x:v>44</x:v>
      </x:c>
      <x:c r="V594" t="s">
        <x:v>71</x:v>
      </x:c>
      <x:c r="W594" t="s">
        <x:v>72</x:v>
      </x:c>
      <x:c r="X594">
        <x:v>169.49</x:v>
      </x:c>
      <x:c r="Y594" t="s">
        <x:v>47</x:v>
      </x:c>
      <x:c r="Z594" t="s">
        <x:v>48</x:v>
      </x:c>
      <x:c r="AA594" t="s">
        <x:v>73</x:v>
      </x:c>
      <x:c r="AB594">
        <x:v>998418895</x:v>
      </x:c>
      <x:c r="AC594" t="s">
        <x:v>711</x:v>
      </x:c>
      <x:c r="AD594">
        <x:v>50</x:v>
      </x:c>
    </x:row>
    <x:row r="595">
      <x:c r="A595" s="1">
        <x:v>46270</x:v>
      </x:c>
      <x:c r="B595" t="s">
        <x:v>4056</x:v>
      </x:c>
      <x:c r="C595" t="s">
        <x:v>2631</x:v>
      </x:c>
      <x:c r="D595" t="s">
        <x:v>269</x:v>
      </x:c>
      <x:c r="E595" t="s">
        <x:v>2632</x:v>
      </x:c>
      <x:c r="F595" t="s">
        <x:v>31</x:v>
      </x:c>
      <x:c r="G595" t="s">
        <x:v>2633</x:v>
      </x:c>
      <x:c r="H595" t="s">
        <x:v>2634</x:v>
      </x:c>
      <x:c r="I595" t="s">
        <x:v>2635</x:v>
      </x:c>
      <x:c r="J595" t="s">
        <x:v>2634</x:v>
      </x:c>
      <x:c r="L595" t="s">
        <x:v>37</x:v>
      </x:c>
      <x:c r="M595" t="s">
        <x:v>2636</x:v>
      </x:c>
      <x:c r="N595" t="s">
        <x:v>2637</x:v>
      </x:c>
      <x:c r="O595" t="s">
        <x:v>1113</x:v>
      </x:c>
      <x:c r="P595" t="s">
        <x:v>2638</x:v>
      </x:c>
      <x:c r="Q595" t="s">
        <x:v>214</x:v>
      </x:c>
      <x:c r="R595">
        <x:v>1</x:v>
      </x:c>
      <x:c r="S595" t="s">
        <x:v>42</x:v>
      </x:c>
      <x:c r="T595" t="s">
        <x:v>44</x:v>
      </x:c>
      <x:c r="U595" t="s">
        <x:v>44</x:v>
      </x:c>
      <x:c r="V595" t="s">
        <x:v>45</x:v>
      </x:c>
      <x:c r="W595" t="s">
        <x:v>60</x:v>
      </x:c>
      <x:c r="X595">
        <x:v>254.24</x:v>
      </x:c>
      <x:c r="Y595" t="s">
        <x:v>61</x:v>
      </x:c>
      <x:c r="Z595" t="s">
        <x:v>48</x:v>
      </x:c>
      <x:c r="AA595" t="s">
        <x:v>49</x:v>
      </x:c>
    </x:row>
    <x:row r="596">
      <x:c r="A596" s="1">
        <x:v>46270</x:v>
      </x:c>
      <x:c r="B596" t="s">
        <x:v>4056</x:v>
      </x:c>
      <x:c r="C596" t="s">
        <x:v>4100</x:v>
      </x:c>
      <x:c r="D596" t="s">
        <x:v>29</x:v>
      </x:c>
      <x:c r="E596" t="s">
        <x:v>4101</x:v>
      </x:c>
      <x:c r="F596" t="s">
        <x:v>31</x:v>
      </x:c>
      <x:c r="G596" t="s">
        <x:v>4102</x:v>
      </x:c>
      <x:c r="H596" t="s">
        <x:v>4103</x:v>
      </x:c>
      <x:c r="I596" t="s">
        <x:v>4104</x:v>
      </x:c>
      <x:c r="J596" t="s">
        <x:v>3204</x:v>
      </x:c>
      <x:c r="K596" t="s">
        <x:v>3208</x:v>
      </x:c>
      <x:c r="L596" t="s">
        <x:v>37</x:v>
      </x:c>
      <x:c r="M596" t="s">
        <x:v>4105</x:v>
      </x:c>
      <x:c r="N596" t="s">
        <x:v>4106</x:v>
      </x:c>
      <x:c r="O596" t="s">
        <x:v>4103</x:v>
      </x:c>
      <x:c r="P596" t="s">
        <x:v>4107</x:v>
      </x:c>
      <x:c r="Q596" t="s">
        <x:v>131</x:v>
      </x:c>
      <x:c r="R596">
        <x:v>1</x:v>
      </x:c>
      <x:c r="S596" t="s">
        <x:v>42</x:v>
      </x:c>
      <x:c r="T596" t="s">
        <x:v>44</x:v>
      </x:c>
      <x:c r="U596" t="s">
        <x:v>44</x:v>
      </x:c>
      <x:c r="V596" t="s">
        <x:v>532</x:v>
      </x:c>
      <x:c r="W596" t="s">
        <x:v>4099</x:v>
      </x:c>
      <x:c r="X596">
        <x:v>152.54</x:v>
      </x:c>
      <x:c r="Y596" t="s">
        <x:v>47</x:v>
      </x:c>
      <x:c r="Z596" t="s">
        <x:v>48</x:v>
      </x:c>
      <x:c r="AA596" t="s">
        <x:v>535</x:v>
      </x:c>
      <x:c r="AB596">
        <x:v>926323940</x:v>
      </x:c>
      <x:c r="AC596" t="s">
        <x:v>3206</x:v>
      </x:c>
      <x:c r="AD596">
        <x:v>30</x:v>
      </x:c>
    </x:row>
    <x:row r="597">
      <x:c r="A597" s="1">
        <x:v>46270</x:v>
      </x:c>
      <x:c r="B597" t="s">
        <x:v>4056</x:v>
      </x:c>
      <x:c r="C597" t="s">
        <x:v>4108</x:v>
      </x:c>
      <x:c r="D597" t="s">
        <x:v>29</x:v>
      </x:c>
      <x:c r="E597" t="s">
        <x:v>4109</x:v>
      </x:c>
      <x:c r="F597" t="s">
        <x:v>31</x:v>
      </x:c>
      <x:c r="G597" t="s">
        <x:v>4110</x:v>
      </x:c>
      <x:c r="H597" t="s">
        <x:v>4111</x:v>
      </x:c>
      <x:c r="I597" t="s">
        <x:v>4112</x:v>
      </x:c>
      <x:c r="J597" t="s">
        <x:v>776</x:v>
      </x:c>
      <x:c r="K597" t="s">
        <x:v>777</x:v>
      </x:c>
      <x:c r="L597" t="s">
        <x:v>37</x:v>
      </x:c>
      <x:c r="M597" t="s">
        <x:v>4113</x:v>
      </x:c>
      <x:c r="N597" t="s">
        <x:v>4114</x:v>
      </x:c>
      <x:c r="O597" t="s">
        <x:v>4111</x:v>
      </x:c>
      <x:c r="P597" t="s">
        <x:v>4115</x:v>
      </x:c>
      <x:c r="Q597" t="s">
        <x:v>91</x:v>
      </x:c>
      <x:c r="R597">
        <x:v>1</x:v>
      </x:c>
      <x:c r="S597" t="s">
        <x:v>42</x:v>
      </x:c>
      <x:c r="T597" t="s">
        <x:v>44</x:v>
      </x:c>
      <x:c r="U597" t="s">
        <x:v>44</x:v>
      </x:c>
      <x:c r="V597" t="s">
        <x:v>532</x:v>
      </x:c>
      <x:c r="W597" t="s">
        <x:v>1980</x:v>
      </x:c>
      <x:c r="X597">
        <x:v>135.59</x:v>
      </x:c>
      <x:c r="Y597" t="s">
        <x:v>47</x:v>
      </x:c>
      <x:c r="Z597" t="s">
        <x:v>48</x:v>
      </x:c>
      <x:c r="AA597" t="s">
        <x:v>535</x:v>
      </x:c>
      <x:c r="AD597">
        <x:v>30</x:v>
      </x:c>
    </x:row>
    <x:row r="598">
      <x:c r="A598" s="1">
        <x:v>46270</x:v>
      </x:c>
      <x:c r="B598" t="s">
        <x:v>4056</x:v>
      </x:c>
      <x:c r="C598" t="s">
        <x:v>4116</x:v>
      </x:c>
      <x:c r="D598" t="s">
        <x:v>29</x:v>
      </x:c>
      <x:c r="E598" t="s">
        <x:v>4117</x:v>
      </x:c>
      <x:c r="F598" t="s">
        <x:v>31</x:v>
      </x:c>
      <x:c r="G598" t="s">
        <x:v>4118</x:v>
      </x:c>
      <x:c r="H598" t="s">
        <x:v>4119</x:v>
      </x:c>
      <x:c r="I598" t="s">
        <x:v>4120</x:v>
      </x:c>
      <x:c r="J598" t="s">
        <x:v>1326</x:v>
      </x:c>
      <x:c r="K598" t="s">
        <x:v>36</x:v>
      </x:c>
      <x:c r="L598" t="s">
        <x:v>37</x:v>
      </x:c>
      <x:c r="M598" t="s">
        <x:v>4121</x:v>
      </x:c>
      <x:c r="N598" t="s">
        <x:v>4122</x:v>
      </x:c>
      <x:c r="O598" t="s">
        <x:v>4119</x:v>
      </x:c>
      <x:c r="P598" t="s">
        <x:v>4123</x:v>
      </x:c>
      <x:c r="Q598" t="s">
        <x:v>160</x:v>
      </x:c>
      <x:c r="R598">
        <x:v>1</x:v>
      </x:c>
      <x:c r="S598" t="s">
        <x:v>42</x:v>
      </x:c>
      <x:c r="T598" t="s">
        <x:v>44</x:v>
      </x:c>
      <x:c r="U598" t="s">
        <x:v>44</x:v>
      </x:c>
      <x:c r="V598" t="s">
        <x:v>71</x:v>
      </x:c>
      <x:c r="W598" t="s">
        <x:v>185</x:v>
      </x:c>
      <x:c r="X598">
        <x:v>135.59</x:v>
      </x:c>
      <x:c r="Y598" t="s">
        <x:v>47</x:v>
      </x:c>
      <x:c r="Z598" t="s">
        <x:v>48</x:v>
      </x:c>
      <x:c r="AA598" t="s">
        <x:v>73</x:v>
      </x:c>
      <x:c r="AB598">
        <x:v>999111362</x:v>
      </x:c>
      <x:c r="AC598" t="s">
        <x:v>1330</x:v>
      </x:c>
      <x:c r="AD598">
        <x:v>30</x:v>
      </x:c>
    </x:row>
    <x:row r="599">
      <x:c r="A599" s="1">
        <x:v>46270</x:v>
      </x:c>
      <x:c r="B599" t="s">
        <x:v>4056</x:v>
      </x:c>
      <x:c r="C599" t="s">
        <x:v>4124</x:v>
      </x:c>
      <x:c r="D599" t="s">
        <x:v>269</x:v>
      </x:c>
      <x:c r="E599" t="s">
        <x:v>4125</x:v>
      </x:c>
      <x:c r="F599" t="s">
        <x:v>31</x:v>
      </x:c>
      <x:c r="G599" t="s">
        <x:v>4126</x:v>
      </x:c>
      <x:c r="H599" t="s">
        <x:v>4127</x:v>
      </x:c>
      <x:c r="I599" t="s">
        <x:v>4128</x:v>
      </x:c>
      <x:c r="J599" t="s">
        <x:v>435</x:v>
      </x:c>
      <x:c r="K599" t="s">
        <x:v>436</x:v>
      </x:c>
      <x:c r="L599" t="s">
        <x:v>37</x:v>
      </x:c>
      <x:c r="M599" t="s">
        <x:v>4129</x:v>
      </x:c>
      <x:c r="N599" t="s">
        <x:v>4130</x:v>
      </x:c>
      <x:c r="O599" t="s">
        <x:v>4127</x:v>
      </x:c>
      <x:c r="P599" t="s">
        <x:v>4131</x:v>
      </x:c>
      <x:c r="Q599" t="s">
        <x:v>203</x:v>
      </x:c>
      <x:c r="R599">
        <x:v>1</x:v>
      </x:c>
      <x:c r="S599" t="s">
        <x:v>42</x:v>
      </x:c>
      <x:c r="T599" t="s">
        <x:v>44</x:v>
      </x:c>
      <x:c r="U599" t="s">
        <x:v>44</x:v>
      </x:c>
      <x:c r="V599" t="s">
        <x:v>532</x:v>
      </x:c>
      <x:c r="W599" t="s">
        <x:v>4099</x:v>
      </x:c>
      <x:c r="X599">
        <x:v>135.59</x:v>
      </x:c>
      <x:c r="Y599" t="s">
        <x:v>47</x:v>
      </x:c>
      <x:c r="Z599" t="s">
        <x:v>48</x:v>
      </x:c>
      <x:c r="AA599" t="s">
        <x:v>535</x:v>
      </x:c>
      <x:c r="AB599">
        <x:v>992903716</x:v>
      </x:c>
      <x:c r="AC599" t="s">
        <x:v>440</x:v>
      </x:c>
      <x:c r="AD599">
        <x:v>30</x:v>
      </x:c>
    </x:row>
    <x:row r="600">
      <x:c r="A600" s="1">
        <x:v>46270</x:v>
      </x:c>
      <x:c r="B600" t="s">
        <x:v>4056</x:v>
      </x:c>
      <x:c r="C600" t="s">
        <x:v>4124</x:v>
      </x:c>
      <x:c r="D600" t="s">
        <x:v>269</x:v>
      </x:c>
      <x:c r="E600" t="s">
        <x:v>4125</x:v>
      </x:c>
      <x:c r="F600" t="s">
        <x:v>31</x:v>
      </x:c>
      <x:c r="G600" t="s">
        <x:v>4126</x:v>
      </x:c>
      <x:c r="H600" t="s">
        <x:v>4127</x:v>
      </x:c>
      <x:c r="I600" t="s">
        <x:v>4128</x:v>
      </x:c>
      <x:c r="J600" t="s">
        <x:v>435</x:v>
      </x:c>
      <x:c r="K600" t="s">
        <x:v>436</x:v>
      </x:c>
      <x:c r="L600" t="s">
        <x:v>37</x:v>
      </x:c>
      <x:c r="M600" t="s">
        <x:v>4129</x:v>
      </x:c>
      <x:c r="N600" t="s">
        <x:v>4130</x:v>
      </x:c>
      <x:c r="O600" t="s">
        <x:v>4127</x:v>
      </x:c>
      <x:c r="P600" t="s">
        <x:v>4131</x:v>
      </x:c>
      <x:c r="Q600" t="s">
        <x:v>131</x:v>
      </x:c>
      <x:c r="R600">
        <x:v>1</x:v>
      </x:c>
      <x:c r="S600" t="s">
        <x:v>42</x:v>
      </x:c>
      <x:c r="T600" t="s">
        <x:v>44</x:v>
      </x:c>
      <x:c r="U600" t="s">
        <x:v>44</x:v>
      </x:c>
      <x:c r="V600" t="s">
        <x:v>532</x:v>
      </x:c>
      <x:c r="W600" t="s">
        <x:v>4099</x:v>
      </x:c>
      <x:c r="X600">
        <x:v>152.54</x:v>
      </x:c>
      <x:c r="Y600" t="s">
        <x:v>47</x:v>
      </x:c>
      <x:c r="Z600" t="s">
        <x:v>48</x:v>
      </x:c>
      <x:c r="AA600" t="s">
        <x:v>535</x:v>
      </x:c>
      <x:c r="AB600">
        <x:v>992903716</x:v>
      </x:c>
      <x:c r="AC600" t="s">
        <x:v>440</x:v>
      </x:c>
      <x:c r="AD600">
        <x:v>30</x:v>
      </x:c>
    </x:row>
    <x:row r="601">
      <x:c r="A601" s="1">
        <x:v>46272</x:v>
      </x:c>
      <x:c r="B601" t="s">
        <x:v>4056</x:v>
      </x:c>
      <x:c r="C601" t="s">
        <x:v>2639</x:v>
      </x:c>
      <x:c r="D601" t="s">
        <x:v>29</x:v>
      </x:c>
      <x:c r="E601" t="s">
        <x:v>2640</x:v>
      </x:c>
      <x:c r="F601" t="s">
        <x:v>31</x:v>
      </x:c>
      <x:c r="G601" t="s">
        <x:v>2641</x:v>
      </x:c>
      <x:c r="H601" t="s">
        <x:v>2642</x:v>
      </x:c>
      <x:c r="I601" t="s">
        <x:v>2643</x:v>
      </x:c>
      <x:c r="J601" t="s">
        <x:v>664</x:v>
      </x:c>
      <x:c r="K601" t="s">
        <x:v>36</x:v>
      </x:c>
      <x:c r="L601" t="s">
        <x:v>37</x:v>
      </x:c>
      <x:c r="M601" t="s">
        <x:v>2644</x:v>
      </x:c>
      <x:c r="N601" t="s">
        <x:v>2645</x:v>
      </x:c>
      <x:c r="O601" t="s">
        <x:v>2642</x:v>
      </x:c>
      <x:c r="P601" t="s">
        <x:v>2646</x:v>
      </x:c>
      <x:c r="Q601" t="s">
        <x:v>91</x:v>
      </x:c>
      <x:c r="R601">
        <x:v>1</x:v>
      </x:c>
      <x:c r="S601" t="s">
        <x:v>70</x:v>
      </x:c>
      <x:c r="T601" t="s">
        <x:v>43</x:v>
      </x:c>
      <x:c r="U601" t="s">
        <x:v>44</x:v>
      </x:c>
      <x:c r="V601" t="s">
        <x:v>71</x:v>
      </x:c>
      <x:c r="W601" t="s">
        <x:v>185</x:v>
      </x:c>
      <x:c r="X601">
        <x:v>135.59</x:v>
      </x:c>
      <x:c r="Y601" t="s">
        <x:v>47</x:v>
      </x:c>
      <x:c r="Z601" t="s">
        <x:v>48</x:v>
      </x:c>
      <x:c r="AA601" t="s">
        <x:v>73</x:v>
      </x:c>
      <x:c r="AB601">
        <x:v>997145685</x:v>
      </x:c>
      <x:c r="AC601" t="s">
        <x:v>668</x:v>
      </x:c>
      <x:c r="AD601">
        <x:v>30</x:v>
      </x:c>
    </x:row>
    <x:row r="602">
      <x:c r="A602" s="1">
        <x:v>46272</x:v>
      </x:c>
      <x:c r="B602" t="s">
        <x:v>4056</x:v>
      </x:c>
      <x:c r="C602" t="s">
        <x:v>2647</x:v>
      </x:c>
      <x:c r="D602" t="s">
        <x:v>29</x:v>
      </x:c>
      <x:c r="E602" t="s">
        <x:v>2648</x:v>
      </x:c>
      <x:c r="F602" t="s">
        <x:v>31</x:v>
      </x:c>
      <x:c r="G602" t="s">
        <x:v>2649</x:v>
      </x:c>
      <x:c r="H602" t="s">
        <x:v>2650</x:v>
      </x:c>
      <x:c r="I602" t="s">
        <x:v>2651</x:v>
      </x:c>
      <x:c r="J602" t="s">
        <x:v>2324</x:v>
      </x:c>
      <x:c r="K602" t="s">
        <x:v>1546</x:v>
      </x:c>
      <x:c r="L602" t="s">
        <x:v>37</x:v>
      </x:c>
      <x:c r="M602" t="s">
        <x:v>2652</x:v>
      </x:c>
      <x:c r="N602" t="s">
        <x:v>2653</x:v>
      </x:c>
      <x:c r="O602" t="s">
        <x:v>2650</x:v>
      </x:c>
      <x:c r="P602" t="s">
        <x:v>2654</x:v>
      </x:c>
      <x:c r="Q602" t="s">
        <x:v>102</x:v>
      </x:c>
      <x:c r="R602">
        <x:v>1</x:v>
      </x:c>
      <x:c r="S602" t="s">
        <x:v>70</x:v>
      </x:c>
      <x:c r="T602" t="s">
        <x:v>43</x:v>
      </x:c>
      <x:c r="U602" t="s">
        <x:v>44</x:v>
      </x:c>
      <x:c r="V602" t="s">
        <x:v>71</x:v>
      </x:c>
      <x:c r="W602" t="s">
        <x:v>185</x:v>
      </x:c>
      <x:c r="X602">
        <x:v>186.44</x:v>
      </x:c>
      <x:c r="Y602" t="s">
        <x:v>47</x:v>
      </x:c>
      <x:c r="Z602" t="s">
        <x:v>48</x:v>
      </x:c>
      <x:c r="AA602" t="s">
        <x:v>73</x:v>
      </x:c>
      <x:c r="AB602">
        <x:v>945093839</x:v>
      </x:c>
      <x:c r="AC602" t="s">
        <x:v>2328</x:v>
      </x:c>
      <x:c r="AD602">
        <x:v>50</x:v>
      </x:c>
    </x:row>
    <x:row r="603">
      <x:c r="A603" s="1">
        <x:v>46272</x:v>
      </x:c>
      <x:c r="B603" t="s">
        <x:v>4056</x:v>
      </x:c>
      <x:c r="C603" t="s">
        <x:v>2655</x:v>
      </x:c>
      <x:c r="D603" t="s">
        <x:v>29</x:v>
      </x:c>
      <x:c r="E603" t="s">
        <x:v>2656</x:v>
      </x:c>
      <x:c r="F603" t="s">
        <x:v>31</x:v>
      </x:c>
      <x:c r="G603" t="s">
        <x:v>2657</x:v>
      </x:c>
      <x:c r="H603" t="s">
        <x:v>2658</x:v>
      </x:c>
      <x:c r="I603" t="s">
        <x:v>2659</x:v>
      </x:c>
      <x:c r="J603" t="s">
        <x:v>717</x:v>
      </x:c>
      <x:c r="K603" t="s">
        <x:v>718</x:v>
      </x:c>
      <x:c r="L603" t="s">
        <x:v>37</x:v>
      </x:c>
      <x:c r="M603" t="s">
        <x:v>2660</x:v>
      </x:c>
      <x:c r="N603" t="s">
        <x:v>2661</x:v>
      </x:c>
      <x:c r="O603" t="s">
        <x:v>2658</x:v>
      </x:c>
      <x:c r="P603" t="s">
        <x:v>2662</x:v>
      </x:c>
      <x:c r="Q603" t="s">
        <x:v>102</x:v>
      </x:c>
      <x:c r="R603">
        <x:v>1</x:v>
      </x:c>
      <x:c r="S603" t="s">
        <x:v>42</x:v>
      </x:c>
      <x:c r="T603" t="s">
        <x:v>44</x:v>
      </x:c>
      <x:c r="U603" t="s">
        <x:v>44</x:v>
      </x:c>
      <x:c r="V603" t="s">
        <x:v>45</x:v>
      </x:c>
      <x:c r="W603" t="s">
        <x:v>60</x:v>
      </x:c>
      <x:c r="X603">
        <x:v>186.44</x:v>
      </x:c>
      <x:c r="Y603" t="s">
        <x:v>47</x:v>
      </x:c>
      <x:c r="Z603" t="s">
        <x:v>48</x:v>
      </x:c>
      <x:c r="AA603" t="s">
        <x:v>49</x:v>
      </x:c>
      <x:c r="AB603">
        <x:v>955356636</x:v>
      </x:c>
      <x:c r="AC603" t="s">
        <x:v>722</x:v>
      </x:c>
      <x:c r="AD603">
        <x:v>50</x:v>
      </x:c>
    </x:row>
    <x:row r="604">
      <x:c r="A604" s="1">
        <x:v>46272</x:v>
      </x:c>
      <x:c r="B604" t="s">
        <x:v>4056</x:v>
      </x:c>
      <x:c r="C604" t="s">
        <x:v>4132</x:v>
      </x:c>
      <x:c r="D604" t="s">
        <x:v>29</x:v>
      </x:c>
      <x:c r="E604" t="s">
        <x:v>4133</x:v>
      </x:c>
      <x:c r="F604" t="s">
        <x:v>31</x:v>
      </x:c>
      <x:c r="G604" t="s">
        <x:v>4134</x:v>
      </x:c>
      <x:c r="H604" t="s">
        <x:v>4135</x:v>
      </x:c>
      <x:c r="I604" t="s">
        <x:v>4136</x:v>
      </x:c>
      <x:c r="J604" t="s">
        <x:v>2841</x:v>
      </x:c>
      <x:c r="K604" t="s">
        <x:v>210</x:v>
      </x:c>
      <x:c r="L604" t="s">
        <x:v>37</x:v>
      </x:c>
      <x:c r="M604" t="s">
        <x:v>4137</x:v>
      </x:c>
      <x:c r="N604" t="s">
        <x:v>4138</x:v>
      </x:c>
      <x:c r="O604" t="s">
        <x:v>4135</x:v>
      </x:c>
      <x:c r="P604" t="s">
        <x:v>4139</x:v>
      </x:c>
      <x:c r="Q604" t="s">
        <x:v>91</x:v>
      </x:c>
      <x:c r="R604">
        <x:v>1</x:v>
      </x:c>
      <x:c r="S604" t="s">
        <x:v>42</x:v>
      </x:c>
      <x:c r="T604" t="s">
        <x:v>44</x:v>
      </x:c>
      <x:c r="U604" t="s">
        <x:v>44</x:v>
      </x:c>
      <x:c r="V604" t="s">
        <x:v>71</x:v>
      </x:c>
      <x:c r="W604" t="s">
        <x:v>72</x:v>
      </x:c>
      <x:c r="X604">
        <x:v>135.59</x:v>
      </x:c>
      <x:c r="Y604" t="s">
        <x:v>47</x:v>
      </x:c>
      <x:c r="Z604" t="s">
        <x:v>48</x:v>
      </x:c>
      <x:c r="AA604" t="s">
        <x:v>73</x:v>
      </x:c>
      <x:c r="AB604">
        <x:v>994872106</x:v>
      </x:c>
      <x:c r="AC604" t="s">
        <x:v>1256</x:v>
      </x:c>
      <x:c r="AD604">
        <x:v>30</x:v>
      </x:c>
    </x:row>
    <x:row r="605">
      <x:c r="A605" s="1">
        <x:v>46272</x:v>
      </x:c>
      <x:c r="B605" t="s">
        <x:v>4056</x:v>
      </x:c>
      <x:c r="C605" t="s">
        <x:v>4140</x:v>
      </x:c>
      <x:c r="D605" t="s">
        <x:v>29</x:v>
      </x:c>
      <x:c r="E605" t="s">
        <x:v>4141</x:v>
      </x:c>
      <x:c r="F605" t="s">
        <x:v>31</x:v>
      </x:c>
      <x:c r="G605" t="s">
        <x:v>4142</x:v>
      </x:c>
      <x:c r="H605" t="s">
        <x:v>4143</x:v>
      </x:c>
      <x:c r="I605" t="s">
        <x:v>4144</x:v>
      </x:c>
      <x:c r="J605" t="s">
        <x:v>3166</x:v>
      </x:c>
      <x:c r="K605" t="s">
        <x:v>2600</x:v>
      </x:c>
      <x:c r="L605" t="s">
        <x:v>37</x:v>
      </x:c>
      <x:c r="M605" t="s">
        <x:v>4145</x:v>
      </x:c>
      <x:c r="N605" t="s">
        <x:v>4146</x:v>
      </x:c>
      <x:c r="O605" t="s">
        <x:v>4143</x:v>
      </x:c>
      <x:c r="P605" t="s">
        <x:v>4147</x:v>
      </x:c>
      <x:c r="Q605" t="s">
        <x:v>131</x:v>
      </x:c>
      <x:c r="R605">
        <x:v>1</x:v>
      </x:c>
      <x:c r="S605" t="s">
        <x:v>42</x:v>
      </x:c>
      <x:c r="T605" t="s">
        <x:v>44</x:v>
      </x:c>
      <x:c r="U605" t="s">
        <x:v>44</x:v>
      </x:c>
      <x:c r="V605" t="s">
        <x:v>45</x:v>
      </x:c>
      <x:c r="W605" t="s">
        <x:v>60</x:v>
      </x:c>
      <x:c r="X605">
        <x:v>152.54</x:v>
      </x:c>
      <x:c r="Y605" t="s">
        <x:v>47</x:v>
      </x:c>
      <x:c r="Z605" t="s">
        <x:v>48</x:v>
      </x:c>
      <x:c r="AA605" t="s">
        <x:v>49</x:v>
      </x:c>
      <x:c r="AB605">
        <x:v>973914900</x:v>
      </x:c>
      <x:c r="AC605" t="s">
        <x:v>3167</x:v>
      </x:c>
      <x:c r="AD605">
        <x:v>30</x:v>
      </x:c>
    </x:row>
    <x:row r="606">
      <x:c r="A606" s="1">
        <x:v>46272</x:v>
      </x:c>
      <x:c r="B606" t="s">
        <x:v>4056</x:v>
      </x:c>
      <x:c r="C606" t="s">
        <x:v>4148</x:v>
      </x:c>
      <x:c r="D606" t="s">
        <x:v>29</x:v>
      </x:c>
      <x:c r="E606" t="s">
        <x:v>4149</x:v>
      </x:c>
      <x:c r="F606" t="s">
        <x:v>31</x:v>
      </x:c>
      <x:c r="G606" t="s">
        <x:v>4150</x:v>
      </x:c>
      <x:c r="H606" t="s">
        <x:v>4151</x:v>
      </x:c>
      <x:c r="I606" t="s">
        <x:v>4152</x:v>
      </x:c>
      <x:c r="J606" t="s">
        <x:v>776</x:v>
      </x:c>
      <x:c r="K606" t="s">
        <x:v>777</x:v>
      </x:c>
      <x:c r="L606" t="s">
        <x:v>37</x:v>
      </x:c>
      <x:c r="M606" t="s">
        <x:v>4153</x:v>
      </x:c>
      <x:c r="N606" t="s">
        <x:v>4154</x:v>
      </x:c>
      <x:c r="O606" t="s">
        <x:v>4151</x:v>
      </x:c>
      <x:c r="P606" t="s">
        <x:v>4155</x:v>
      </x:c>
      <x:c r="Q606" t="s">
        <x:v>160</x:v>
      </x:c>
      <x:c r="R606">
        <x:v>1</x:v>
      </x:c>
      <x:c r="S606" t="s">
        <x:v>42</x:v>
      </x:c>
      <x:c r="T606" t="s">
        <x:v>44</x:v>
      </x:c>
      <x:c r="U606" t="s">
        <x:v>44</x:v>
      </x:c>
      <x:c r="V606" t="s">
        <x:v>45</x:v>
      </x:c>
      <x:c r="W606" t="s">
        <x:v>60</x:v>
      </x:c>
      <x:c r="X606">
        <x:v>135.59</x:v>
      </x:c>
      <x:c r="Y606" t="s">
        <x:v>47</x:v>
      </x:c>
      <x:c r="Z606" t="s">
        <x:v>48</x:v>
      </x:c>
      <x:c r="AA606" t="s">
        <x:v>49</x:v>
      </x:c>
      <x:c r="AD606">
        <x:v>30</x:v>
      </x:c>
    </x:row>
    <x:row r="607">
      <x:c r="A607" s="1">
        <x:v>46272</x:v>
      </x:c>
      <x:c r="B607" t="s">
        <x:v>4056</x:v>
      </x:c>
      <x:c r="C607" t="s">
        <x:v>4156</x:v>
      </x:c>
      <x:c r="D607" t="s">
        <x:v>29</x:v>
      </x:c>
      <x:c r="E607" t="s">
        <x:v>4157</x:v>
      </x:c>
      <x:c r="F607" t="s">
        <x:v>31</x:v>
      </x:c>
      <x:c r="G607" t="s">
        <x:v>4158</x:v>
      </x:c>
      <x:c r="H607" t="s">
        <x:v>4159</x:v>
      </x:c>
      <x:c r="I607" t="s">
        <x:v>4160</x:v>
      </x:c>
      <x:c r="J607" t="s">
        <x:v>706</x:v>
      </x:c>
      <x:c r="K607" t="s">
        <x:v>707</x:v>
      </x:c>
      <x:c r="L607" t="s">
        <x:v>37</x:v>
      </x:c>
      <x:c r="M607" t="s">
        <x:v>4161</x:v>
      </x:c>
      <x:c r="N607" t="s">
        <x:v>4162</x:v>
      </x:c>
      <x:c r="O607" t="s">
        <x:v>4159</x:v>
      </x:c>
      <x:c r="P607" t="s">
        <x:v>4163</x:v>
      </x:c>
      <x:c r="Q607" t="s">
        <x:v>131</x:v>
      </x:c>
      <x:c r="R607">
        <x:v>1</x:v>
      </x:c>
      <x:c r="S607" t="s">
        <x:v>42</x:v>
      </x:c>
      <x:c r="T607" t="s">
        <x:v>44</x:v>
      </x:c>
      <x:c r="U607" t="s">
        <x:v>44</x:v>
      </x:c>
      <x:c r="V607" t="s">
        <x:v>45</x:v>
      </x:c>
      <x:c r="W607" t="s">
        <x:v>60</x:v>
      </x:c>
      <x:c r="X607">
        <x:v>152.54</x:v>
      </x:c>
      <x:c r="Y607" t="s">
        <x:v>47</x:v>
      </x:c>
      <x:c r="Z607" t="s">
        <x:v>48</x:v>
      </x:c>
      <x:c r="AA607" t="s">
        <x:v>49</x:v>
      </x:c>
      <x:c r="AB607">
        <x:v>998418895</x:v>
      </x:c>
      <x:c r="AC607" t="s">
        <x:v>711</x:v>
      </x:c>
      <x:c r="AD607">
        <x:v>30</x:v>
      </x:c>
    </x:row>
    <x:row r="608">
      <x:c r="A608" s="1">
        <x:v>46272</x:v>
      </x:c>
      <x:c r="B608" t="s">
        <x:v>4056</x:v>
      </x:c>
      <x:c r="C608" t="s">
        <x:v>4164</x:v>
      </x:c>
      <x:c r="D608" t="s">
        <x:v>29</x:v>
      </x:c>
      <x:c r="E608" t="s">
        <x:v>4165</x:v>
      </x:c>
      <x:c r="F608" t="s">
        <x:v>31</x:v>
      </x:c>
      <x:c r="G608" t="s">
        <x:v>4166</x:v>
      </x:c>
      <x:c r="H608" t="s">
        <x:v>4167</x:v>
      </x:c>
      <x:c r="I608" t="s">
        <x:v>4168</x:v>
      </x:c>
      <x:c r="J608" t="s">
        <x:v>664</x:v>
      </x:c>
      <x:c r="K608" t="s">
        <x:v>36</x:v>
      </x:c>
      <x:c r="L608" t="s">
        <x:v>37</x:v>
      </x:c>
      <x:c r="M608" t="s">
        <x:v>4169</x:v>
      </x:c>
      <x:c r="N608" t="s">
        <x:v>4170</x:v>
      </x:c>
      <x:c r="O608" t="s">
        <x:v>4167</x:v>
      </x:c>
      <x:c r="P608" t="s">
        <x:v>4171</x:v>
      </x:c>
      <x:c r="Q608" t="s">
        <x:v>160</x:v>
      </x:c>
      <x:c r="R608">
        <x:v>1</x:v>
      </x:c>
      <x:c r="S608" t="s">
        <x:v>42</x:v>
      </x:c>
      <x:c r="T608" t="s">
        <x:v>44</x:v>
      </x:c>
      <x:c r="U608" t="s">
        <x:v>44</x:v>
      </x:c>
      <x:c r="V608" t="s">
        <x:v>45</x:v>
      </x:c>
      <x:c r="W608" t="s">
        <x:v>60</x:v>
      </x:c>
      <x:c r="X608">
        <x:v>135.59</x:v>
      </x:c>
      <x:c r="Y608" t="s">
        <x:v>47</x:v>
      </x:c>
      <x:c r="Z608" t="s">
        <x:v>48</x:v>
      </x:c>
      <x:c r="AA608" t="s">
        <x:v>49</x:v>
      </x:c>
      <x:c r="AB608">
        <x:v>997145685</x:v>
      </x:c>
      <x:c r="AC608" t="s">
        <x:v>668</x:v>
      </x:c>
      <x:c r="AD608">
        <x:v>30</x:v>
      </x:c>
    </x:row>
    <x:row r="609">
      <x:c r="A609" s="1">
        <x:v>46273</x:v>
      </x:c>
      <x:c r="B609" t="s">
        <x:v>4056</x:v>
      </x:c>
      <x:c r="C609" t="s">
        <x:v>2663</x:v>
      </x:c>
      <x:c r="D609" t="s">
        <x:v>29</x:v>
      </x:c>
      <x:c r="E609" t="s">
        <x:v>2664</x:v>
      </x:c>
      <x:c r="F609" t="s">
        <x:v>31</x:v>
      </x:c>
      <x:c r="G609" t="s">
        <x:v>2665</x:v>
      </x:c>
      <x:c r="H609" t="s">
        <x:v>2666</x:v>
      </x:c>
      <x:c r="I609" t="s">
        <x:v>2667</x:v>
      </x:c>
      <x:c r="J609" t="s">
        <x:v>664</x:v>
      </x:c>
      <x:c r="K609" t="s">
        <x:v>36</x:v>
      </x:c>
      <x:c r="L609" t="s">
        <x:v>37</x:v>
      </x:c>
      <x:c r="M609" t="s">
        <x:v>2668</x:v>
      </x:c>
      <x:c r="N609" t="s">
        <x:v>2669</x:v>
      </x:c>
      <x:c r="O609" t="s">
        <x:v>2666</x:v>
      </x:c>
      <x:c r="P609" t="s">
        <x:v>2670</x:v>
      </x:c>
      <x:c r="Q609" t="s">
        <x:v>41</x:v>
      </x:c>
      <x:c r="R609">
        <x:v>1</x:v>
      </x:c>
      <x:c r="S609" t="s">
        <x:v>70</x:v>
      </x:c>
      <x:c r="T609" t="s">
        <x:v>43</x:v>
      </x:c>
      <x:c r="U609" t="s">
        <x:v>44</x:v>
      </x:c>
      <x:c r="V609" t="s">
        <x:v>71</x:v>
      </x:c>
      <x:c r="W609" t="s">
        <x:v>185</x:v>
      </x:c>
      <x:c r="X609">
        <x:v>186.44</x:v>
      </x:c>
      <x:c r="Y609" t="s">
        <x:v>47</x:v>
      </x:c>
      <x:c r="Z609" t="s">
        <x:v>48</x:v>
      </x:c>
      <x:c r="AA609" t="s">
        <x:v>73</x:v>
      </x:c>
      <x:c r="AB609">
        <x:v>997145685</x:v>
      </x:c>
      <x:c r="AC609" t="s">
        <x:v>668</x:v>
      </x:c>
      <x:c r="AD609">
        <x:v>50</x:v>
      </x:c>
    </x:row>
    <x:row r="610">
      <x:c r="A610" s="1">
        <x:v>46273</x:v>
      </x:c>
      <x:c r="B610" t="s">
        <x:v>4056</x:v>
      </x:c>
      <x:c r="C610" t="s">
        <x:v>4172</x:v>
      </x:c>
      <x:c r="D610" t="s">
        <x:v>29</x:v>
      </x:c>
      <x:c r="E610" t="s">
        <x:v>4173</x:v>
      </x:c>
      <x:c r="F610" t="s">
        <x:v>31</x:v>
      </x:c>
      <x:c r="G610" t="s">
        <x:v>4174</x:v>
      </x:c>
      <x:c r="H610" t="s">
        <x:v>4175</x:v>
      </x:c>
      <x:c r="I610" t="s">
        <x:v>4176</x:v>
      </x:c>
      <x:c r="J610" t="s">
        <x:v>717</x:v>
      </x:c>
      <x:c r="K610" t="s">
        <x:v>718</x:v>
      </x:c>
      <x:c r="L610" t="s">
        <x:v>37</x:v>
      </x:c>
      <x:c r="M610" t="s">
        <x:v>4177</x:v>
      </x:c>
      <x:c r="N610" t="s">
        <x:v>4178</x:v>
      </x:c>
      <x:c r="O610" t="s">
        <x:v>4175</x:v>
      </x:c>
      <x:c r="P610" t="s">
        <x:v>4179</x:v>
      </x:c>
      <x:c r="Q610" t="s">
        <x:v>91</x:v>
      </x:c>
      <x:c r="R610">
        <x:v>1</x:v>
      </x:c>
      <x:c r="S610" t="s">
        <x:v>42</x:v>
      </x:c>
      <x:c r="T610" t="s">
        <x:v>44</x:v>
      </x:c>
      <x:c r="U610" t="s">
        <x:v>44</x:v>
      </x:c>
      <x:c r="V610" t="s">
        <x:v>71</x:v>
      </x:c>
      <x:c r="W610" t="s">
        <x:v>185</x:v>
      </x:c>
      <x:c r="X610">
        <x:v>135.59</x:v>
      </x:c>
      <x:c r="Y610" t="s">
        <x:v>47</x:v>
      </x:c>
      <x:c r="Z610" t="s">
        <x:v>48</x:v>
      </x:c>
      <x:c r="AA610" t="s">
        <x:v>73</x:v>
      </x:c>
      <x:c r="AB610">
        <x:v>955356636</x:v>
      </x:c>
      <x:c r="AC610" t="s">
        <x:v>722</x:v>
      </x:c>
      <x:c r="AD610">
        <x:v>30</x:v>
      </x:c>
    </x:row>
    <x:row r="611">
      <x:c r="A611" s="1">
        <x:v>46273</x:v>
      </x:c>
      <x:c r="B611" t="s">
        <x:v>4056</x:v>
      </x:c>
      <x:c r="C611" t="s">
        <x:v>4180</x:v>
      </x:c>
      <x:c r="D611" t="s">
        <x:v>29</x:v>
      </x:c>
      <x:c r="E611" t="s">
        <x:v>4181</x:v>
      </x:c>
      <x:c r="F611" t="s">
        <x:v>31</x:v>
      </x:c>
      <x:c r="G611" t="s">
        <x:v>4182</x:v>
      </x:c>
      <x:c r="H611" t="s">
        <x:v>4183</x:v>
      </x:c>
      <x:c r="I611" t="s">
        <x:v>4184</x:v>
      </x:c>
      <x:c r="J611" t="s">
        <x:v>3269</x:v>
      </x:c>
      <x:c r="K611" t="s">
        <x:v>1546</x:v>
      </x:c>
      <x:c r="L611" t="s">
        <x:v>37</x:v>
      </x:c>
      <x:c r="M611" t="s">
        <x:v>4185</x:v>
      </x:c>
      <x:c r="N611" t="s">
        <x:v>4186</x:v>
      </x:c>
      <x:c r="O611" t="s">
        <x:v>4183</x:v>
      </x:c>
      <x:c r="P611" t="s">
        <x:v>4187</x:v>
      </x:c>
      <x:c r="Q611" t="s">
        <x:v>160</x:v>
      </x:c>
      <x:c r="R611">
        <x:v>1</x:v>
      </x:c>
      <x:c r="S611" t="s">
        <x:v>42</x:v>
      </x:c>
      <x:c r="T611" t="s">
        <x:v>44</x:v>
      </x:c>
      <x:c r="U611" t="s">
        <x:v>44</x:v>
      </x:c>
      <x:c r="V611" t="s">
        <x:v>45</x:v>
      </x:c>
      <x:c r="W611" t="s">
        <x:v>60</x:v>
      </x:c>
      <x:c r="X611">
        <x:v>135.59</x:v>
      </x:c>
      <x:c r="Y611" t="s">
        <x:v>47</x:v>
      </x:c>
      <x:c r="Z611" t="s">
        <x:v>48</x:v>
      </x:c>
      <x:c r="AA611" t="s">
        <x:v>49</x:v>
      </x:c>
      <x:c r="AB611">
        <x:v>995175656</x:v>
      </x:c>
      <x:c r="AC611" t="s">
        <x:v>3270</x:v>
      </x:c>
      <x:c r="AD611">
        <x:v>30</x:v>
      </x:c>
    </x:row>
    <x:row r="612">
      <x:c r="A612" s="1">
        <x:v>46273</x:v>
      </x:c>
      <x:c r="B612" t="s">
        <x:v>4056</x:v>
      </x:c>
      <x:c r="C612" t="s">
        <x:v>4188</x:v>
      </x:c>
      <x:c r="D612" t="s">
        <x:v>29</x:v>
      </x:c>
      <x:c r="E612" t="s">
        <x:v>4189</x:v>
      </x:c>
      <x:c r="F612" t="s">
        <x:v>31</x:v>
      </x:c>
      <x:c r="G612" t="s">
        <x:v>4190</x:v>
      </x:c>
      <x:c r="H612" t="s">
        <x:v>4191</x:v>
      </x:c>
      <x:c r="I612" t="s">
        <x:v>4192</x:v>
      </x:c>
      <x:c r="J612" t="s">
        <x:v>764</x:v>
      </x:c>
      <x:c r="K612" t="s">
        <x:v>210</x:v>
      </x:c>
      <x:c r="L612" t="s">
        <x:v>37</x:v>
      </x:c>
      <x:c r="M612" t="s">
        <x:v>4193</x:v>
      </x:c>
      <x:c r="N612" t="s">
        <x:v>4194</x:v>
      </x:c>
      <x:c r="O612" t="s">
        <x:v>4191</x:v>
      </x:c>
      <x:c r="P612" t="s">
        <x:v>4195</x:v>
      </x:c>
      <x:c r="Q612" t="s">
        <x:v>91</x:v>
      </x:c>
      <x:c r="R612">
        <x:v>1</x:v>
      </x:c>
      <x:c r="S612" t="s">
        <x:v>42</x:v>
      </x:c>
      <x:c r="T612" t="s">
        <x:v>44</x:v>
      </x:c>
      <x:c r="U612" t="s">
        <x:v>44</x:v>
      </x:c>
      <x:c r="V612" t="s">
        <x:v>532</x:v>
      </x:c>
      <x:c r="W612" t="s">
        <x:v>4099</x:v>
      </x:c>
      <x:c r="X612">
        <x:v>135.59</x:v>
      </x:c>
      <x:c r="Y612" t="s">
        <x:v>47</x:v>
      </x:c>
      <x:c r="Z612" t="s">
        <x:v>48</x:v>
      </x:c>
      <x:c r="AA612" t="s">
        <x:v>535</x:v>
      </x:c>
      <x:c r="AB612">
        <x:v>969791876</x:v>
      </x:c>
      <x:c r="AC612" t="s">
        <x:v>770</x:v>
      </x:c>
      <x:c r="AD612">
        <x:v>30</x:v>
      </x:c>
    </x:row>
    <x:row r="613">
      <x:c r="A613" s="1">
        <x:v>46273</x:v>
      </x:c>
      <x:c r="B613" t="s">
        <x:v>4056</x:v>
      </x:c>
      <x:c r="C613" t="s">
        <x:v>4196</x:v>
      </x:c>
      <x:c r="D613" t="s">
        <x:v>29</x:v>
      </x:c>
      <x:c r="E613" t="s">
        <x:v>4197</x:v>
      </x:c>
      <x:c r="F613" t="s">
        <x:v>31</x:v>
      </x:c>
      <x:c r="G613" t="s">
        <x:v>4198</x:v>
      </x:c>
      <x:c r="H613" t="s">
        <x:v>4199</x:v>
      </x:c>
      <x:c r="I613" t="s">
        <x:v>4200</x:v>
      </x:c>
      <x:c r="J613" t="s">
        <x:v>1599</x:v>
      </x:c>
      <x:c r="K613" t="s">
        <x:v>1600</x:v>
      </x:c>
      <x:c r="L613" t="s">
        <x:v>37</x:v>
      </x:c>
      <x:c r="M613" t="s">
        <x:v>4201</x:v>
      </x:c>
      <x:c r="N613" t="s">
        <x:v>4202</x:v>
      </x:c>
      <x:c r="O613" t="s">
        <x:v>4199</x:v>
      </x:c>
      <x:c r="P613" t="s">
        <x:v>4203</x:v>
      </x:c>
      <x:c r="Q613" t="s">
        <x:v>131</x:v>
      </x:c>
      <x:c r="R613">
        <x:v>1</x:v>
      </x:c>
      <x:c r="S613" t="s">
        <x:v>42</x:v>
      </x:c>
      <x:c r="T613" t="s">
        <x:v>44</x:v>
      </x:c>
      <x:c r="U613" t="s">
        <x:v>44</x:v>
      </x:c>
      <x:c r="V613" t="s">
        <x:v>71</x:v>
      </x:c>
      <x:c r="W613" t="s">
        <x:v>185</x:v>
      </x:c>
      <x:c r="X613">
        <x:v>152.54</x:v>
      </x:c>
      <x:c r="Y613" t="s">
        <x:v>47</x:v>
      </x:c>
      <x:c r="Z613" t="s">
        <x:v>48</x:v>
      </x:c>
      <x:c r="AA613" t="s">
        <x:v>73</x:v>
      </x:c>
      <x:c r="AB613">
        <x:v>980543337</x:v>
      </x:c>
      <x:c r="AC613" t="s">
        <x:v>1604</x:v>
      </x:c>
      <x:c r="AD613">
        <x:v>30</x:v>
      </x:c>
    </x:row>
    <x:row r="614">
      <x:c r="A614" s="1">
        <x:v>46273</x:v>
      </x:c>
      <x:c r="B614" t="s">
        <x:v>4056</x:v>
      </x:c>
      <x:c r="C614" t="s">
        <x:v>4204</x:v>
      </x:c>
      <x:c r="D614" t="s">
        <x:v>29</x:v>
      </x:c>
      <x:c r="E614" t="s">
        <x:v>4205</x:v>
      </x:c>
      <x:c r="F614" t="s">
        <x:v>31</x:v>
      </x:c>
      <x:c r="G614" t="s">
        <x:v>4206</x:v>
      </x:c>
      <x:c r="H614" t="s">
        <x:v>4191</x:v>
      </x:c>
      <x:c r="I614" t="s">
        <x:v>4192</x:v>
      </x:c>
      <x:c r="J614" t="s">
        <x:v>3587</x:v>
      </x:c>
      <x:c r="K614" t="s">
        <x:v>210</x:v>
      </x:c>
      <x:c r="L614" t="s">
        <x:v>37</x:v>
      </x:c>
      <x:c r="M614" t="s">
        <x:v>4193</x:v>
      </x:c>
      <x:c r="N614" t="s">
        <x:v>4194</x:v>
      </x:c>
      <x:c r="O614" t="s">
        <x:v>4191</x:v>
      </x:c>
      <x:c r="P614" t="s">
        <x:v>4195</x:v>
      </x:c>
      <x:c r="Q614" t="s">
        <x:v>1159</x:v>
      </x:c>
      <x:c r="R614">
        <x:v>1</x:v>
      </x:c>
      <x:c r="S614" t="s">
        <x:v>42</x:v>
      </x:c>
      <x:c r="T614" t="s">
        <x:v>44</x:v>
      </x:c>
      <x:c r="U614" t="s">
        <x:v>44</x:v>
      </x:c>
      <x:c r="V614" t="s">
        <x:v>532</x:v>
      </x:c>
      <x:c r="W614" t="s">
        <x:v>4099</x:v>
      </x:c>
      <x:c r="X614">
        <x:v>338.98</x:v>
      </x:c>
      <x:c r="Y614" t="s">
        <x:v>47</x:v>
      </x:c>
      <x:c r="Z614" t="s">
        <x:v>48</x:v>
      </x:c>
      <x:c r="AA614" t="s">
        <x:v>535</x:v>
      </x:c>
      <x:c r="AB614">
        <x:v>997061004</x:v>
      </x:c>
      <x:c r="AD614">
        <x:v>100</x:v>
      </x:c>
    </x:row>
    <x:row r="615">
      <x:c r="A615" s="1">
        <x:v>46274</x:v>
      </x:c>
      <x:c r="B615" t="s">
        <x:v>4056</x:v>
      </x:c>
      <x:c r="C615" t="s">
        <x:v>2671</x:v>
      </x:c>
      <x:c r="D615" t="s">
        <x:v>29</x:v>
      </x:c>
      <x:c r="E615" t="s">
        <x:v>2672</x:v>
      </x:c>
      <x:c r="F615" t="s">
        <x:v>31</x:v>
      </x:c>
      <x:c r="G615" t="s">
        <x:v>2673</x:v>
      </x:c>
      <x:c r="H615" t="s">
        <x:v>2674</x:v>
      </x:c>
      <x:c r="I615" t="s">
        <x:v>2675</x:v>
      </x:c>
      <x:c r="J615" t="s">
        <x:v>3080</x:v>
      </x:c>
      <x:c r="K615" t="s">
        <x:v>777</x:v>
      </x:c>
      <x:c r="L615" t="s">
        <x:v>37</x:v>
      </x:c>
      <x:c r="M615" t="s">
        <x:v>2676</x:v>
      </x:c>
      <x:c r="N615" t="s">
        <x:v>2677</x:v>
      </x:c>
      <x:c r="O615" t="s">
        <x:v>2674</x:v>
      </x:c>
      <x:c r="P615" t="s">
        <x:v>2678</x:v>
      </x:c>
      <x:c r="Q615" t="s">
        <x:v>41</x:v>
      </x:c>
      <x:c r="R615">
        <x:v>1</x:v>
      </x:c>
      <x:c r="S615" t="s">
        <x:v>42</x:v>
      </x:c>
      <x:c r="T615" t="s">
        <x:v>44</x:v>
      </x:c>
      <x:c r="U615" t="s">
        <x:v>44</x:v>
      </x:c>
      <x:c r="V615" t="s">
        <x:v>45</x:v>
      </x:c>
      <x:c r="W615" t="s">
        <x:v>60</x:v>
      </x:c>
      <x:c r="X615">
        <x:v>186.44</x:v>
      </x:c>
      <x:c r="Y615" t="s">
        <x:v>47</x:v>
      </x:c>
      <x:c r="Z615" t="s">
        <x:v>48</x:v>
      </x:c>
      <x:c r="AA615" t="s">
        <x:v>49</x:v>
      </x:c>
      <x:c r="AB615">
        <x:v>937242809</x:v>
      </x:c>
      <x:c r="AC615" t="s">
        <x:v>3081</x:v>
      </x:c>
      <x:c r="AD615">
        <x:v>50</x:v>
      </x:c>
    </x:row>
    <x:row r="616">
      <x:c r="A616" s="1">
        <x:v>46274</x:v>
      </x:c>
      <x:c r="B616" t="s">
        <x:v>4056</x:v>
      </x:c>
      <x:c r="C616" t="s">
        <x:v>2671</x:v>
      </x:c>
      <x:c r="D616" t="s">
        <x:v>29</x:v>
      </x:c>
      <x:c r="E616" t="s">
        <x:v>2672</x:v>
      </x:c>
      <x:c r="F616" t="s">
        <x:v>31</x:v>
      </x:c>
      <x:c r="G616" t="s">
        <x:v>2673</x:v>
      </x:c>
      <x:c r="H616" t="s">
        <x:v>2674</x:v>
      </x:c>
      <x:c r="I616" t="s">
        <x:v>2675</x:v>
      </x:c>
      <x:c r="J616" t="s">
        <x:v>3080</x:v>
      </x:c>
      <x:c r="K616" t="s">
        <x:v>777</x:v>
      </x:c>
      <x:c r="L616" t="s">
        <x:v>37</x:v>
      </x:c>
      <x:c r="M616" t="s">
        <x:v>2676</x:v>
      </x:c>
      <x:c r="N616" t="s">
        <x:v>2677</x:v>
      </x:c>
      <x:c r="O616" t="s">
        <x:v>2674</x:v>
      </x:c>
      <x:c r="P616" t="s">
        <x:v>2678</x:v>
      </x:c>
      <x:c r="Q616" t="s">
        <x:v>102</x:v>
      </x:c>
      <x:c r="R616">
        <x:v>1</x:v>
      </x:c>
      <x:c r="S616" t="s">
        <x:v>42</x:v>
      </x:c>
      <x:c r="T616" t="s">
        <x:v>44</x:v>
      </x:c>
      <x:c r="U616" t="s">
        <x:v>44</x:v>
      </x:c>
      <x:c r="V616" t="s">
        <x:v>45</x:v>
      </x:c>
      <x:c r="W616" t="s">
        <x:v>60</x:v>
      </x:c>
      <x:c r="X616">
        <x:v>186.44</x:v>
      </x:c>
      <x:c r="Y616" t="s">
        <x:v>47</x:v>
      </x:c>
      <x:c r="Z616" t="s">
        <x:v>48</x:v>
      </x:c>
      <x:c r="AA616" t="s">
        <x:v>49</x:v>
      </x:c>
      <x:c r="AB616">
        <x:v>937242809</x:v>
      </x:c>
      <x:c r="AC616" t="s">
        <x:v>3081</x:v>
      </x:c>
      <x:c r="AD616">
        <x:v>50</x:v>
      </x:c>
    </x:row>
    <x:row r="617">
      <x:c r="A617" s="1">
        <x:v>46274</x:v>
      </x:c>
      <x:c r="B617" t="s">
        <x:v>4056</x:v>
      </x:c>
      <x:c r="C617" t="s">
        <x:v>2679</x:v>
      </x:c>
      <x:c r="D617" t="s">
        <x:v>29</x:v>
      </x:c>
      <x:c r="E617" t="s">
        <x:v>2680</x:v>
      </x:c>
      <x:c r="F617" t="s">
        <x:v>31</x:v>
      </x:c>
      <x:c r="G617" t="s">
        <x:v>2681</x:v>
      </x:c>
      <x:c r="H617" t="s">
        <x:v>1619</x:v>
      </x:c>
      <x:c r="I617" t="s">
        <x:v>2535</x:v>
      </x:c>
      <x:c r="J617" t="s">
        <x:v>1619</x:v>
      </x:c>
      <x:c r="K617" t="s">
        <x:v>1620</x:v>
      </x:c>
      <x:c r="L617" t="s">
        <x:v>37</x:v>
      </x:c>
      <x:c r="M617" t="s">
        <x:v>1621</x:v>
      </x:c>
      <x:c r="N617" t="s">
        <x:v>1622</x:v>
      </x:c>
      <x:c r="O617" t="s">
        <x:v>1619</x:v>
      </x:c>
      <x:c r="P617" t="s">
        <x:v>2682</x:v>
      </x:c>
      <x:c r="Q617" t="s">
        <x:v>1217</x:v>
      </x:c>
      <x:c r="R617">
        <x:v>1</x:v>
      </x:c>
      <x:c r="S617" t="s">
        <x:v>70</x:v>
      </x:c>
      <x:c r="T617" t="s">
        <x:v>43</x:v>
      </x:c>
      <x:c r="U617" t="s">
        <x:v>44</x:v>
      </x:c>
      <x:c r="V617" t="s">
        <x:v>71</x:v>
      </x:c>
      <x:c r="W617" t="s">
        <x:v>185</x:v>
      </x:c>
      <x:c r="X617">
        <x:v>139.83000000000001</x:v>
      </x:c>
      <x:c r="Y617" t="s">
        <x:v>290</x:v>
      </x:c>
      <x:c r="Z617" t="s">
        <x:v>48</x:v>
      </x:c>
      <x:c r="AA617" t="s">
        <x:v>73</x:v>
      </x:c>
      <x:c r="AB617">
        <x:v>950418896</x:v>
      </x:c>
    </x:row>
    <x:row r="618">
      <x:c r="A618" s="1">
        <x:v>46274</x:v>
      </x:c>
      <x:c r="B618" t="s">
        <x:v>4056</x:v>
      </x:c>
      <x:c r="C618" t="s">
        <x:v>2679</x:v>
      </x:c>
      <x:c r="D618" t="s">
        <x:v>29</x:v>
      </x:c>
      <x:c r="E618" t="s">
        <x:v>2680</x:v>
      </x:c>
      <x:c r="F618" t="s">
        <x:v>31</x:v>
      </x:c>
      <x:c r="G618" t="s">
        <x:v>2681</x:v>
      </x:c>
      <x:c r="H618" t="s">
        <x:v>1619</x:v>
      </x:c>
      <x:c r="I618" t="s">
        <x:v>2535</x:v>
      </x:c>
      <x:c r="J618" t="s">
        <x:v>1619</x:v>
      </x:c>
      <x:c r="K618" t="s">
        <x:v>1620</x:v>
      </x:c>
      <x:c r="L618" t="s">
        <x:v>37</x:v>
      </x:c>
      <x:c r="M618" t="s">
        <x:v>1621</x:v>
      </x:c>
      <x:c r="N618" t="s">
        <x:v>1622</x:v>
      </x:c>
      <x:c r="O618" t="s">
        <x:v>1619</x:v>
      </x:c>
      <x:c r="P618" t="s">
        <x:v>2682</x:v>
      </x:c>
      <x:c r="Q618" t="s">
        <x:v>289</x:v>
      </x:c>
      <x:c r="R618">
        <x:v>1</x:v>
      </x:c>
      <x:c r="S618" t="s">
        <x:v>70</x:v>
      </x:c>
      <x:c r="T618" t="s">
        <x:v>43</x:v>
      </x:c>
      <x:c r="U618" t="s">
        <x:v>44</x:v>
      </x:c>
      <x:c r="V618" t="s">
        <x:v>71</x:v>
      </x:c>
      <x:c r="W618" t="s">
        <x:v>185</x:v>
      </x:c>
      <x:c r="X618">
        <x:v>0</x:v>
      </x:c>
      <x:c r="Y618" t="s">
        <x:v>290</x:v>
      </x:c>
      <x:c r="Z618" t="s">
        <x:v>48</x:v>
      </x:c>
      <x:c r="AA618" t="s">
        <x:v>73</x:v>
      </x:c>
      <x:c r="AB618">
        <x:v>950418896</x:v>
      </x:c>
    </x:row>
    <x:row r="619">
      <x:c r="A619" s="1">
        <x:v>46274</x:v>
      </x:c>
      <x:c r="B619" t="s">
        <x:v>4056</x:v>
      </x:c>
      <x:c r="C619" t="s">
        <x:v>2683</x:v>
      </x:c>
      <x:c r="D619" t="s">
        <x:v>29</x:v>
      </x:c>
      <x:c r="E619" t="s">
        <x:v>2684</x:v>
      </x:c>
      <x:c r="F619" t="s">
        <x:v>31</x:v>
      </x:c>
      <x:c r="G619" t="s">
        <x:v>2685</x:v>
      </x:c>
      <x:c r="H619" t="s">
        <x:v>1250</x:v>
      </x:c>
      <x:c r="I619" t="s">
        <x:v>1251</x:v>
      </x:c>
      <x:c r="J619" t="s">
        <x:v>2841</x:v>
      </x:c>
      <x:c r="K619" t="s">
        <x:v>210</x:v>
      </x:c>
      <x:c r="L619" t="s">
        <x:v>37</x:v>
      </x:c>
      <x:c r="M619" t="s">
        <x:v>1253</x:v>
      </x:c>
      <x:c r="N619" t="s">
        <x:v>610</x:v>
      </x:c>
      <x:c r="O619" t="s">
        <x:v>1254</x:v>
      </x:c>
      <x:c r="P619" t="s">
        <x:v>2686</x:v>
      </x:c>
      <x:c r="Q619" t="s">
        <x:v>289</x:v>
      </x:c>
      <x:c r="R619">
        <x:v>1</x:v>
      </x:c>
      <x:c r="S619" t="s">
        <x:v>42</x:v>
      </x:c>
      <x:c r="T619" t="s">
        <x:v>44</x:v>
      </x:c>
      <x:c r="U619" t="s">
        <x:v>44</x:v>
      </x:c>
      <x:c r="V619" t="s">
        <x:v>45</x:v>
      </x:c>
      <x:c r="W619" t="s">
        <x:v>46</x:v>
      </x:c>
      <x:c r="X619">
        <x:v>0</x:v>
      </x:c>
      <x:c r="Y619" t="s">
        <x:v>290</x:v>
      </x:c>
      <x:c r="Z619" t="s">
        <x:v>48</x:v>
      </x:c>
      <x:c r="AA619" t="s">
        <x:v>49</x:v>
      </x:c>
      <x:c r="AB619">
        <x:v>994872106</x:v>
      </x:c>
      <x:c r="AC619" t="s">
        <x:v>1256</x:v>
      </x:c>
    </x:row>
    <x:row r="620">
      <x:c r="A620" s="1">
        <x:v>46274</x:v>
      </x:c>
      <x:c r="B620" t="s">
        <x:v>4056</x:v>
      </x:c>
      <x:c r="C620" t="s">
        <x:v>2683</x:v>
      </x:c>
      <x:c r="D620" t="s">
        <x:v>29</x:v>
      </x:c>
      <x:c r="E620" t="s">
        <x:v>2684</x:v>
      </x:c>
      <x:c r="F620" t="s">
        <x:v>31</x:v>
      </x:c>
      <x:c r="G620" t="s">
        <x:v>2685</x:v>
      </x:c>
      <x:c r="H620" t="s">
        <x:v>1250</x:v>
      </x:c>
      <x:c r="I620" t="s">
        <x:v>1251</x:v>
      </x:c>
      <x:c r="J620" t="s">
        <x:v>2841</x:v>
      </x:c>
      <x:c r="K620" t="s">
        <x:v>210</x:v>
      </x:c>
      <x:c r="L620" t="s">
        <x:v>37</x:v>
      </x:c>
      <x:c r="M620" t="s">
        <x:v>1253</x:v>
      </x:c>
      <x:c r="N620" t="s">
        <x:v>610</x:v>
      </x:c>
      <x:c r="O620" t="s">
        <x:v>1254</x:v>
      </x:c>
      <x:c r="P620" t="s">
        <x:v>2686</x:v>
      </x:c>
      <x:c r="Q620" t="s">
        <x:v>291</x:v>
      </x:c>
      <x:c r="R620">
        <x:v>1</x:v>
      </x:c>
      <x:c r="S620" t="s">
        <x:v>42</x:v>
      </x:c>
      <x:c r="T620" t="s">
        <x:v>44</x:v>
      </x:c>
      <x:c r="U620" t="s">
        <x:v>44</x:v>
      </x:c>
      <x:c r="V620" t="s">
        <x:v>45</x:v>
      </x:c>
      <x:c r="W620" t="s">
        <x:v>46</x:v>
      </x:c>
      <x:c r="X620">
        <x:v>762.71</x:v>
      </x:c>
      <x:c r="Y620" t="s">
        <x:v>290</x:v>
      </x:c>
      <x:c r="Z620" t="s">
        <x:v>48</x:v>
      </x:c>
      <x:c r="AA620" t="s">
        <x:v>49</x:v>
      </x:c>
      <x:c r="AB620">
        <x:v>994872106</x:v>
      </x:c>
      <x:c r="AC620" t="s">
        <x:v>1256</x:v>
      </x:c>
    </x:row>
    <x:row r="621">
      <x:c r="A621" s="1">
        <x:v>46274</x:v>
      </x:c>
      <x:c r="B621" t="s">
        <x:v>4056</x:v>
      </x:c>
      <x:c r="C621" t="s">
        <x:v>2687</x:v>
      </x:c>
      <x:c r="D621" t="s">
        <x:v>269</x:v>
      </x:c>
      <x:c r="E621" t="s">
        <x:v>2688</x:v>
      </x:c>
      <x:c r="F621" t="s">
        <x:v>31</x:v>
      </x:c>
      <x:c r="G621" t="s">
        <x:v>2689</x:v>
      </x:c>
      <x:c r="H621" t="s">
        <x:v>2690</x:v>
      </x:c>
      <x:c r="I621" t="s">
        <x:v>2691</x:v>
      </x:c>
      <x:c r="J621" t="s">
        <x:v>2841</x:v>
      </x:c>
      <x:c r="K621" t="s">
        <x:v>210</x:v>
      </x:c>
      <x:c r="L621" t="s">
        <x:v>37</x:v>
      </x:c>
      <x:c r="M621" t="s">
        <x:v>2692</x:v>
      </x:c>
      <x:c r="N621" t="s">
        <x:v>610</x:v>
      </x:c>
      <x:c r="O621" t="s">
        <x:v>1254</x:v>
      </x:c>
      <x:c r="P621" t="s">
        <x:v>2693</x:v>
      </x:c>
      <x:c r="Q621" t="s">
        <x:v>291</x:v>
      </x:c>
      <x:c r="R621">
        <x:v>1</x:v>
      </x:c>
      <x:c r="S621" t="s">
        <x:v>42</x:v>
      </x:c>
      <x:c r="T621" t="s">
        <x:v>44</x:v>
      </x:c>
      <x:c r="U621" t="s">
        <x:v>44</x:v>
      </x:c>
      <x:c r="V621" t="s">
        <x:v>45</x:v>
      </x:c>
      <x:c r="W621" t="s">
        <x:v>46</x:v>
      </x:c>
      <x:c r="X621">
        <x:v>847.46</x:v>
      </x:c>
      <x:c r="Y621" t="s">
        <x:v>290</x:v>
      </x:c>
      <x:c r="Z621" t="s">
        <x:v>48</x:v>
      </x:c>
      <x:c r="AA621" t="s">
        <x:v>49</x:v>
      </x:c>
      <x:c r="AB621">
        <x:v>994872106</x:v>
      </x:c>
      <x:c r="AC621" t="s">
        <x:v>1256</x:v>
      </x:c>
    </x:row>
    <x:row r="622">
      <x:c r="A622" s="1">
        <x:v>46274</x:v>
      </x:c>
      <x:c r="B622" t="s">
        <x:v>4056</x:v>
      </x:c>
      <x:c r="C622" t="s">
        <x:v>2687</x:v>
      </x:c>
      <x:c r="D622" t="s">
        <x:v>269</x:v>
      </x:c>
      <x:c r="E622" t="s">
        <x:v>2688</x:v>
      </x:c>
      <x:c r="F622" t="s">
        <x:v>31</x:v>
      </x:c>
      <x:c r="G622" t="s">
        <x:v>2689</x:v>
      </x:c>
      <x:c r="H622" t="s">
        <x:v>2690</x:v>
      </x:c>
      <x:c r="I622" t="s">
        <x:v>2691</x:v>
      </x:c>
      <x:c r="J622" t="s">
        <x:v>2841</x:v>
      </x:c>
      <x:c r="K622" t="s">
        <x:v>210</x:v>
      </x:c>
      <x:c r="L622" t="s">
        <x:v>37</x:v>
      </x:c>
      <x:c r="M622" t="s">
        <x:v>2692</x:v>
      </x:c>
      <x:c r="N622" t="s">
        <x:v>610</x:v>
      </x:c>
      <x:c r="O622" t="s">
        <x:v>1254</x:v>
      </x:c>
      <x:c r="P622" t="s">
        <x:v>2693</x:v>
      </x:c>
      <x:c r="Q622" t="s">
        <x:v>289</x:v>
      </x:c>
      <x:c r="R622">
        <x:v>1</x:v>
      </x:c>
      <x:c r="S622" t="s">
        <x:v>42</x:v>
      </x:c>
      <x:c r="T622" t="s">
        <x:v>44</x:v>
      </x:c>
      <x:c r="U622" t="s">
        <x:v>44</x:v>
      </x:c>
      <x:c r="V622" t="s">
        <x:v>45</x:v>
      </x:c>
      <x:c r="W622" t="s">
        <x:v>46</x:v>
      </x:c>
      <x:c r="X622">
        <x:v>0</x:v>
      </x:c>
      <x:c r="Y622" t="s">
        <x:v>290</x:v>
      </x:c>
      <x:c r="Z622" t="s">
        <x:v>48</x:v>
      </x:c>
      <x:c r="AA622" t="s">
        <x:v>49</x:v>
      </x:c>
      <x:c r="AB622">
        <x:v>994872106</x:v>
      </x:c>
      <x:c r="AC622" t="s">
        <x:v>1256</x:v>
      </x:c>
    </x:row>
    <x:row r="623">
      <x:c r="A623" s="1">
        <x:v>46274</x:v>
      </x:c>
      <x:c r="B623" t="s">
        <x:v>4056</x:v>
      </x:c>
      <x:c r="C623" t="s">
        <x:v>4207</x:v>
      </x:c>
      <x:c r="D623" t="s">
        <x:v>29</x:v>
      </x:c>
      <x:c r="E623" t="s">
        <x:v>4208</x:v>
      </x:c>
      <x:c r="F623" t="s">
        <x:v>31</x:v>
      </x:c>
      <x:c r="G623" t="s">
        <x:v>4209</x:v>
      </x:c>
      <x:c r="H623" t="s">
        <x:v>4210</x:v>
      </x:c>
      <x:c r="I623" t="s">
        <x:v>4211</x:v>
      </x:c>
      <x:c r="J623" t="s">
        <x:v>1887</x:v>
      </x:c>
      <x:c r="L623" t="s">
        <x:v>37</x:v>
      </x:c>
      <x:c r="M623" t="s">
        <x:v>4212</x:v>
      </x:c>
      <x:c r="N623" t="s">
        <x:v>4213</x:v>
      </x:c>
      <x:c r="O623" t="s">
        <x:v>4210</x:v>
      </x:c>
      <x:c r="P623" t="s">
        <x:v>4214</x:v>
      </x:c>
      <x:c r="Q623" t="s">
        <x:v>91</x:v>
      </x:c>
      <x:c r="R623">
        <x:v>1</x:v>
      </x:c>
      <x:c r="S623" t="s">
        <x:v>42</x:v>
      </x:c>
      <x:c r="T623" t="s">
        <x:v>44</x:v>
      </x:c>
      <x:c r="U623" t="s">
        <x:v>44</x:v>
      </x:c>
      <x:c r="V623" t="s">
        <x:v>71</x:v>
      </x:c>
      <x:c r="W623" t="s">
        <x:v>72</x:v>
      </x:c>
      <x:c r="X623">
        <x:v>135.59</x:v>
      </x:c>
      <x:c r="Y623" t="s">
        <x:v>47</x:v>
      </x:c>
      <x:c r="Z623" t="s">
        <x:v>48</x:v>
      </x:c>
      <x:c r="AA623" t="s">
        <x:v>73</x:v>
      </x:c>
      <x:c r="AD623">
        <x:v>30</x:v>
      </x:c>
    </x:row>
    <x:row r="624">
      <x:c r="A624" s="1">
        <x:v>46274</x:v>
      </x:c>
      <x:c r="B624" t="s">
        <x:v>4056</x:v>
      </x:c>
      <x:c r="C624" t="s">
        <x:v>4215</x:v>
      </x:c>
      <x:c r="D624" t="s">
        <x:v>29</x:v>
      </x:c>
      <x:c r="E624" t="s">
        <x:v>4216</x:v>
      </x:c>
      <x:c r="F624" t="s">
        <x:v>31</x:v>
      </x:c>
      <x:c r="G624" t="s">
        <x:v>4217</x:v>
      </x:c>
      <x:c r="H624" t="s">
        <x:v>4218</x:v>
      </x:c>
      <x:c r="I624" t="s">
        <x:v>4219</x:v>
      </x:c>
      <x:c r="J624" t="s">
        <x:v>1110</x:v>
      </x:c>
      <x:c r="K624" t="s">
        <x:v>210</x:v>
      </x:c>
      <x:c r="L624" t="s">
        <x:v>37</x:v>
      </x:c>
      <x:c r="M624" t="s">
        <x:v>4220</x:v>
      </x:c>
      <x:c r="N624" t="s">
        <x:v>4221</x:v>
      </x:c>
      <x:c r="O624" t="s">
        <x:v>4218</x:v>
      </x:c>
      <x:c r="P624" t="s">
        <x:v>4222</x:v>
      </x:c>
      <x:c r="Q624" t="s">
        <x:v>91</x:v>
      </x:c>
      <x:c r="R624">
        <x:v>1</x:v>
      </x:c>
      <x:c r="S624" t="s">
        <x:v>42</x:v>
      </x:c>
      <x:c r="T624" t="s">
        <x:v>44</x:v>
      </x:c>
      <x:c r="U624" t="s">
        <x:v>44</x:v>
      </x:c>
      <x:c r="V624" t="s">
        <x:v>532</x:v>
      </x:c>
      <x:c r="W624" t="s">
        <x:v>4099</x:v>
      </x:c>
      <x:c r="X624">
        <x:v>135.59</x:v>
      </x:c>
      <x:c r="Y624" t="s">
        <x:v>47</x:v>
      </x:c>
      <x:c r="Z624" t="s">
        <x:v>48</x:v>
      </x:c>
      <x:c r="AA624" t="s">
        <x:v>535</x:v>
      </x:c>
      <x:c r="AB624">
        <x:v>970582106</x:v>
      </x:c>
      <x:c r="AC624" t="s">
        <x:v>1115</x:v>
      </x:c>
      <x:c r="AD624">
        <x:v>30</x:v>
      </x:c>
    </x:row>
    <x:row r="625">
      <x:c r="A625" s="1">
        <x:v>46274</x:v>
      </x:c>
      <x:c r="B625" t="s">
        <x:v>4056</x:v>
      </x:c>
      <x:c r="C625" t="s">
        <x:v>4223</x:v>
      </x:c>
      <x:c r="D625" t="s">
        <x:v>29</x:v>
      </x:c>
      <x:c r="E625" t="s">
        <x:v>4224</x:v>
      </x:c>
      <x:c r="F625" t="s">
        <x:v>31</x:v>
      </x:c>
      <x:c r="G625" t="s">
        <x:v>4225</x:v>
      </x:c>
      <x:c r="H625" t="s">
        <x:v>4226</x:v>
      </x:c>
      <x:c r="I625" t="s">
        <x:v>4227</x:v>
      </x:c>
      <x:c r="J625" t="s">
        <x:v>1887</x:v>
      </x:c>
      <x:c r="L625" t="s">
        <x:v>37</x:v>
      </x:c>
      <x:c r="M625" t="s">
        <x:v>4228</x:v>
      </x:c>
      <x:c r="N625" t="s">
        <x:v>4229</x:v>
      </x:c>
      <x:c r="O625" t="s">
        <x:v>4226</x:v>
      </x:c>
      <x:c r="P625" t="s">
        <x:v>4230</x:v>
      </x:c>
      <x:c r="Q625" t="s">
        <x:v>91</x:v>
      </x:c>
      <x:c r="R625">
        <x:v>1</x:v>
      </x:c>
      <x:c r="S625" t="s">
        <x:v>42</x:v>
      </x:c>
      <x:c r="T625" t="s">
        <x:v>44</x:v>
      </x:c>
      <x:c r="U625" t="s">
        <x:v>44</x:v>
      </x:c>
      <x:c r="V625" t="s">
        <x:v>71</x:v>
      </x:c>
      <x:c r="W625" t="s">
        <x:v>185</x:v>
      </x:c>
      <x:c r="X625">
        <x:v>135.59</x:v>
      </x:c>
      <x:c r="Y625" t="s">
        <x:v>47</x:v>
      </x:c>
      <x:c r="Z625" t="s">
        <x:v>48</x:v>
      </x:c>
      <x:c r="AA625" t="s">
        <x:v>73</x:v>
      </x:c>
      <x:c r="AD625">
        <x:v>30</x:v>
      </x:c>
    </x:row>
    <x:row r="626">
      <x:c r="A626" s="1">
        <x:v>46274</x:v>
      </x:c>
      <x:c r="B626" t="s">
        <x:v>4056</x:v>
      </x:c>
      <x:c r="C626" t="s">
        <x:v>4231</x:v>
      </x:c>
      <x:c r="D626" t="s">
        <x:v>269</x:v>
      </x:c>
      <x:c r="E626" t="s">
        <x:v>4232</x:v>
      </x:c>
      <x:c r="F626" t="s">
        <x:v>31</x:v>
      </x:c>
      <x:c r="G626" t="s">
        <x:v>4233</x:v>
      </x:c>
      <x:c r="H626" t="s">
        <x:v>4234</x:v>
      </x:c>
      <x:c r="I626" t="s">
        <x:v>4235</x:v>
      </x:c>
      <x:c r="J626" t="s">
        <x:v>117</x:v>
      </x:c>
      <x:c r="K626" t="s">
        <x:v>118</x:v>
      </x:c>
      <x:c r="L626" t="s">
        <x:v>37</x:v>
      </x:c>
      <x:c r="M626" t="s">
        <x:v>4236</x:v>
      </x:c>
      <x:c r="N626" t="s">
        <x:v>4237</x:v>
      </x:c>
      <x:c r="O626" t="s">
        <x:v>4238</x:v>
      </x:c>
      <x:c r="P626" t="s">
        <x:v>4239</x:v>
      </x:c>
      <x:c r="Q626" t="s">
        <x:v>203</x:v>
      </x:c>
      <x:c r="R626">
        <x:v>1</x:v>
      </x:c>
      <x:c r="S626" t="s">
        <x:v>42</x:v>
      </x:c>
      <x:c r="T626" t="s">
        <x:v>44</x:v>
      </x:c>
      <x:c r="U626" t="s">
        <x:v>44</x:v>
      </x:c>
      <x:c r="V626" t="s">
        <x:v>45</x:v>
      </x:c>
      <x:c r="W626" t="s">
        <x:v>60</x:v>
      </x:c>
      <x:c r="X626">
        <x:v>135.59</x:v>
      </x:c>
      <x:c r="Y626" t="s">
        <x:v>47</x:v>
      </x:c>
      <x:c r="Z626" t="s">
        <x:v>48</x:v>
      </x:c>
      <x:c r="AA626" t="s">
        <x:v>49</x:v>
      </x:c>
      <x:c r="AB626">
        <x:v>945319366</x:v>
      </x:c>
      <x:c r="AC626" t="s">
        <x:v>122</x:v>
      </x:c>
      <x:c r="AD626">
        <x:v>30</x:v>
      </x:c>
    </x:row>
    <x:row r="627">
      <x:c r="A627" s="1">
        <x:v>46274</x:v>
      </x:c>
      <x:c r="B627" t="s">
        <x:v>4056</x:v>
      </x:c>
      <x:c r="C627" t="s">
        <x:v>4240</x:v>
      </x:c>
      <x:c r="D627" t="s">
        <x:v>29</x:v>
      </x:c>
      <x:c r="E627" t="s">
        <x:v>4241</x:v>
      </x:c>
      <x:c r="F627" t="s">
        <x:v>31</x:v>
      </x:c>
      <x:c r="G627" t="s">
        <x:v>4242</x:v>
      </x:c>
      <x:c r="H627" t="s">
        <x:v>4243</x:v>
      </x:c>
      <x:c r="I627" t="s">
        <x:v>4244</x:v>
      </x:c>
      <x:c r="J627" t="s">
        <x:v>776</x:v>
      </x:c>
      <x:c r="K627" t="s">
        <x:v>777</x:v>
      </x:c>
      <x:c r="L627" t="s">
        <x:v>37</x:v>
      </x:c>
      <x:c r="M627" t="s">
        <x:v>4245</x:v>
      </x:c>
      <x:c r="N627" t="s">
        <x:v>4246</x:v>
      </x:c>
      <x:c r="O627" t="s">
        <x:v>4243</x:v>
      </x:c>
      <x:c r="P627" t="s">
        <x:v>4247</x:v>
      </x:c>
      <x:c r="Q627" t="s">
        <x:v>91</x:v>
      </x:c>
      <x:c r="R627">
        <x:v>1</x:v>
      </x:c>
      <x:c r="S627" t="s">
        <x:v>42</x:v>
      </x:c>
      <x:c r="T627" t="s">
        <x:v>44</x:v>
      </x:c>
      <x:c r="U627" t="s">
        <x:v>44</x:v>
      </x:c>
      <x:c r="V627" t="s">
        <x:v>45</x:v>
      </x:c>
      <x:c r="W627" t="s">
        <x:v>60</x:v>
      </x:c>
      <x:c r="X627">
        <x:v>135.59</x:v>
      </x:c>
      <x:c r="Y627" t="s">
        <x:v>47</x:v>
      </x:c>
      <x:c r="Z627" t="s">
        <x:v>48</x:v>
      </x:c>
      <x:c r="AA627" t="s">
        <x:v>49</x:v>
      </x:c>
      <x:c r="AD627">
        <x:v>30</x:v>
      </x:c>
    </x:row>
    <x:row r="628">
      <x:c r="A628" s="1">
        <x:v>46275</x:v>
      </x:c>
      <x:c r="B628" t="s">
        <x:v>4056</x:v>
      </x:c>
      <x:c r="C628" t="s">
        <x:v>2694</x:v>
      </x:c>
      <x:c r="D628" t="s">
        <x:v>29</x:v>
      </x:c>
      <x:c r="E628" t="s">
        <x:v>2695</x:v>
      </x:c>
      <x:c r="F628" t="s">
        <x:v>31</x:v>
      </x:c>
      <x:c r="G628" t="s">
        <x:v>2696</x:v>
      </x:c>
      <x:c r="H628" t="s">
        <x:v>2697</x:v>
      </x:c>
      <x:c r="I628" t="s">
        <x:v>2698</x:v>
      </x:c>
      <x:c r="J628" t="s">
        <x:v>435</x:v>
      </x:c>
      <x:c r="K628" t="s">
        <x:v>436</x:v>
      </x:c>
      <x:c r="L628" t="s">
        <x:v>37</x:v>
      </x:c>
      <x:c r="M628" t="s">
        <x:v>2699</x:v>
      </x:c>
      <x:c r="N628" t="s">
        <x:v>2700</x:v>
      </x:c>
      <x:c r="O628" t="s">
        <x:v>2697</x:v>
      </x:c>
      <x:c r="P628" t="s">
        <x:v>2701</x:v>
      </x:c>
      <x:c r="Q628" t="s">
        <x:v>202</x:v>
      </x:c>
      <x:c r="R628">
        <x:v>1</x:v>
      </x:c>
      <x:c r="S628" t="s">
        <x:v>42</x:v>
      </x:c>
      <x:c r="T628" t="s">
        <x:v>44</x:v>
      </x:c>
      <x:c r="U628" t="s">
        <x:v>44</x:v>
      </x:c>
      <x:c r="V628" t="s">
        <x:v>45</x:v>
      </x:c>
      <x:c r="W628" t="s">
        <x:v>46</x:v>
      </x:c>
      <x:c r="X628">
        <x:v>152.54</x:v>
      </x:c>
      <x:c r="Y628" t="s">
        <x:v>47</x:v>
      </x:c>
      <x:c r="Z628" t="s">
        <x:v>48</x:v>
      </x:c>
      <x:c r="AA628" t="s">
        <x:v>49</x:v>
      </x:c>
      <x:c r="AB628">
        <x:v>992903716</x:v>
      </x:c>
      <x:c r="AC628" t="s">
        <x:v>440</x:v>
      </x:c>
      <x:c r="AD628">
        <x:v>30</x:v>
      </x:c>
    </x:row>
    <x:row r="629">
      <x:c r="A629" s="1">
        <x:v>46275</x:v>
      </x:c>
      <x:c r="B629" t="s">
        <x:v>4056</x:v>
      </x:c>
      <x:c r="C629" t="s">
        <x:v>4248</x:v>
      </x:c>
      <x:c r="D629" t="s">
        <x:v>29</x:v>
      </x:c>
      <x:c r="E629" t="s">
        <x:v>4249</x:v>
      </x:c>
      <x:c r="F629" t="s">
        <x:v>31</x:v>
      </x:c>
      <x:c r="G629" t="s">
        <x:v>4250</x:v>
      </x:c>
      <x:c r="H629" t="s">
        <x:v>4251</x:v>
      </x:c>
      <x:c r="I629" t="s">
        <x:v>4252</x:v>
      </x:c>
      <x:c r="J629" t="s">
        <x:v>664</x:v>
      </x:c>
      <x:c r="K629" t="s">
        <x:v>36</x:v>
      </x:c>
      <x:c r="L629" t="s">
        <x:v>37</x:v>
      </x:c>
      <x:c r="M629" t="s">
        <x:v>4253</x:v>
      </x:c>
      <x:c r="N629" t="s">
        <x:v>610</x:v>
      </x:c>
      <x:c r="O629" t="s">
        <x:v>4251</x:v>
      </x:c>
      <x:c r="P629" t="s">
        <x:v>4254</x:v>
      </x:c>
      <x:c r="Q629" t="s">
        <x:v>131</x:v>
      </x:c>
      <x:c r="R629">
        <x:v>1</x:v>
      </x:c>
      <x:c r="S629" t="s">
        <x:v>42</x:v>
      </x:c>
      <x:c r="T629" t="s">
        <x:v>44</x:v>
      </x:c>
      <x:c r="U629" t="s">
        <x:v>44</x:v>
      </x:c>
      <x:c r="V629" t="s">
        <x:v>71</x:v>
      </x:c>
      <x:c r="W629" t="s">
        <x:v>72</x:v>
      </x:c>
      <x:c r="X629">
        <x:v>152.54</x:v>
      </x:c>
      <x:c r="Y629" t="s">
        <x:v>47</x:v>
      </x:c>
      <x:c r="Z629" t="s">
        <x:v>48</x:v>
      </x:c>
      <x:c r="AA629" t="s">
        <x:v>73</x:v>
      </x:c>
      <x:c r="AB629">
        <x:v>997145685</x:v>
      </x:c>
      <x:c r="AC629" t="s">
        <x:v>668</x:v>
      </x:c>
      <x:c r="AD629">
        <x:v>30</x:v>
      </x:c>
    </x:row>
    <x:row r="630">
      <x:c r="A630" s="1">
        <x:v>46275</x:v>
      </x:c>
      <x:c r="B630" t="s">
        <x:v>4056</x:v>
      </x:c>
      <x:c r="C630" t="s">
        <x:v>4255</x:v>
      </x:c>
      <x:c r="D630" t="s">
        <x:v>29</x:v>
      </x:c>
      <x:c r="E630" t="s">
        <x:v>4256</x:v>
      </x:c>
      <x:c r="F630" t="s">
        <x:v>31</x:v>
      </x:c>
      <x:c r="G630" t="s">
        <x:v>4257</x:v>
      </x:c>
      <x:c r="H630" t="s">
        <x:v>4258</x:v>
      </x:c>
      <x:c r="I630" t="s">
        <x:v>4259</x:v>
      </x:c>
      <x:c r="J630" t="s">
        <x:v>717</x:v>
      </x:c>
      <x:c r="K630" t="s">
        <x:v>718</x:v>
      </x:c>
      <x:c r="L630" t="s">
        <x:v>37</x:v>
      </x:c>
      <x:c r="M630" t="s">
        <x:v>4260</x:v>
      </x:c>
      <x:c r="N630" t="s">
        <x:v>4261</x:v>
      </x:c>
      <x:c r="O630" t="s">
        <x:v>4258</x:v>
      </x:c>
      <x:c r="P630" t="s">
        <x:v>4262</x:v>
      </x:c>
      <x:c r="Q630" t="s">
        <x:v>91</x:v>
      </x:c>
      <x:c r="R630">
        <x:v>1</x:v>
      </x:c>
      <x:c r="S630" t="s">
        <x:v>42</x:v>
      </x:c>
      <x:c r="T630" t="s">
        <x:v>44</x:v>
      </x:c>
      <x:c r="U630" t="s">
        <x:v>44</x:v>
      </x:c>
      <x:c r="V630" t="s">
        <x:v>71</x:v>
      </x:c>
      <x:c r="W630" t="s">
        <x:v>72</x:v>
      </x:c>
      <x:c r="X630">
        <x:v>135.59</x:v>
      </x:c>
      <x:c r="Y630" t="s">
        <x:v>47</x:v>
      </x:c>
      <x:c r="Z630" t="s">
        <x:v>48</x:v>
      </x:c>
      <x:c r="AA630" t="s">
        <x:v>73</x:v>
      </x:c>
      <x:c r="AB630">
        <x:v>955356636</x:v>
      </x:c>
      <x:c r="AC630" t="s">
        <x:v>722</x:v>
      </x:c>
      <x:c r="AD630">
        <x:v>30</x:v>
      </x:c>
    </x:row>
    <x:row r="631">
      <x:c r="A631" s="1">
        <x:v>46276</x:v>
      </x:c>
      <x:c r="B631" t="s">
        <x:v>4056</x:v>
      </x:c>
      <x:c r="C631" t="s">
        <x:v>2702</x:v>
      </x:c>
      <x:c r="D631" t="s">
        <x:v>29</x:v>
      </x:c>
      <x:c r="E631" t="s">
        <x:v>2703</x:v>
      </x:c>
      <x:c r="F631" t="s">
        <x:v>31</x:v>
      </x:c>
      <x:c r="G631" t="s">
        <x:v>2704</x:v>
      </x:c>
      <x:c r="H631" t="s">
        <x:v>2705</x:v>
      </x:c>
      <x:c r="I631" t="s">
        <x:v>2706</x:v>
      </x:c>
      <x:c r="J631" t="s">
        <x:v>1326</x:v>
      </x:c>
      <x:c r="K631" t="s">
        <x:v>36</x:v>
      </x:c>
      <x:c r="L631" t="s">
        <x:v>37</x:v>
      </x:c>
      <x:c r="M631" t="s">
        <x:v>2707</x:v>
      </x:c>
      <x:c r="N631" t="s">
        <x:v>2708</x:v>
      </x:c>
      <x:c r="O631" t="s">
        <x:v>2705</x:v>
      </x:c>
      <x:c r="P631" t="s">
        <x:v>2709</x:v>
      </x:c>
      <x:c r="Q631" t="s">
        <x:v>102</x:v>
      </x:c>
      <x:c r="R631">
        <x:v>1</x:v>
      </x:c>
      <x:c r="S631" t="s">
        <x:v>42</x:v>
      </x:c>
      <x:c r="T631" t="s">
        <x:v>44</x:v>
      </x:c>
      <x:c r="U631" t="s">
        <x:v>44</x:v>
      </x:c>
      <x:c r="V631" t="s">
        <x:v>45</x:v>
      </x:c>
      <x:c r="W631" t="s">
        <x:v>46</x:v>
      </x:c>
      <x:c r="X631">
        <x:v>186.44</x:v>
      </x:c>
      <x:c r="Y631" t="s">
        <x:v>47</x:v>
      </x:c>
      <x:c r="Z631" t="s">
        <x:v>48</x:v>
      </x:c>
      <x:c r="AA631" t="s">
        <x:v>49</x:v>
      </x:c>
      <x:c r="AB631">
        <x:v>999111362</x:v>
      </x:c>
      <x:c r="AC631" t="s">
        <x:v>1330</x:v>
      </x:c>
      <x:c r="AD631">
        <x:v>50</x:v>
      </x:c>
    </x:row>
    <x:row r="632">
      <x:c r="A632" s="1">
        <x:v>46276</x:v>
      </x:c>
      <x:c r="B632" t="s">
        <x:v>4056</x:v>
      </x:c>
      <x:c r="C632" t="s">
        <x:v>2710</x:v>
      </x:c>
      <x:c r="D632" t="s">
        <x:v>29</x:v>
      </x:c>
      <x:c r="E632" t="s">
        <x:v>2711</x:v>
      </x:c>
      <x:c r="F632" t="s">
        <x:v>31</x:v>
      </x:c>
      <x:c r="G632" t="s">
        <x:v>2712</x:v>
      </x:c>
      <x:c r="H632" t="s">
        <x:v>2713</x:v>
      </x:c>
      <x:c r="I632" t="s">
        <x:v>2714</x:v>
      </x:c>
      <x:c r="J632" t="s">
        <x:v>717</x:v>
      </x:c>
      <x:c r="K632" t="s">
        <x:v>718</x:v>
      </x:c>
      <x:c r="L632" t="s">
        <x:v>37</x:v>
      </x:c>
      <x:c r="M632" t="s">
        <x:v>2715</x:v>
      </x:c>
      <x:c r="N632" t="s">
        <x:v>2716</x:v>
      </x:c>
      <x:c r="O632" t="s">
        <x:v>2713</x:v>
      </x:c>
      <x:c r="P632" t="s">
        <x:v>2717</x:v>
      </x:c>
      <x:c r="Q632" t="s">
        <x:v>102</x:v>
      </x:c>
      <x:c r="R632">
        <x:v>1</x:v>
      </x:c>
      <x:c r="S632" t="s">
        <x:v>42</x:v>
      </x:c>
      <x:c r="T632" t="s">
        <x:v>44</x:v>
      </x:c>
      <x:c r="U632" t="s">
        <x:v>44</x:v>
      </x:c>
      <x:c r="V632" t="s">
        <x:v>45</x:v>
      </x:c>
      <x:c r="W632" t="s">
        <x:v>46</x:v>
      </x:c>
      <x:c r="X632">
        <x:v>186.44</x:v>
      </x:c>
      <x:c r="Y632" t="s">
        <x:v>47</x:v>
      </x:c>
      <x:c r="Z632" t="s">
        <x:v>48</x:v>
      </x:c>
      <x:c r="AA632" t="s">
        <x:v>49</x:v>
      </x:c>
      <x:c r="AB632">
        <x:v>955356636</x:v>
      </x:c>
      <x:c r="AC632" t="s">
        <x:v>722</x:v>
      </x:c>
      <x:c r="AD632">
        <x:v>50</x:v>
      </x:c>
    </x:row>
    <x:row r="633">
      <x:c r="A633" s="1">
        <x:v>46276</x:v>
      </x:c>
      <x:c r="B633" t="s">
        <x:v>4056</x:v>
      </x:c>
      <x:c r="C633" t="s">
        <x:v>4263</x:v>
      </x:c>
      <x:c r="D633" t="s">
        <x:v>29</x:v>
      </x:c>
      <x:c r="E633" t="s">
        <x:v>4264</x:v>
      </x:c>
      <x:c r="F633" t="s">
        <x:v>31</x:v>
      </x:c>
      <x:c r="G633" t="s">
        <x:v>4265</x:v>
      </x:c>
      <x:c r="H633" t="s">
        <x:v>4062</x:v>
      </x:c>
      <x:c r="I633" t="s">
        <x:v>4063</x:v>
      </x:c>
      <x:c r="J633" t="s">
        <x:v>1326</x:v>
      </x:c>
      <x:c r="K633" t="s">
        <x:v>36</x:v>
      </x:c>
      <x:c r="L633" t="s">
        <x:v>37</x:v>
      </x:c>
      <x:c r="M633" t="s">
        <x:v>4064</x:v>
      </x:c>
      <x:c r="N633" t="s">
        <x:v>4065</x:v>
      </x:c>
      <x:c r="O633" t="s">
        <x:v>4062</x:v>
      </x:c>
      <x:c r="P633" t="s">
        <x:v>4266</x:v>
      </x:c>
      <x:c r="Q633" t="s">
        <x:v>91</x:v>
      </x:c>
      <x:c r="R633">
        <x:v>1</x:v>
      </x:c>
      <x:c r="S633" t="s">
        <x:v>42</x:v>
      </x:c>
      <x:c r="T633" t="s">
        <x:v>44</x:v>
      </x:c>
      <x:c r="U633" t="s">
        <x:v>44</x:v>
      </x:c>
      <x:c r="V633" t="s">
        <x:v>71</x:v>
      </x:c>
      <x:c r="W633" t="s">
        <x:v>72</x:v>
      </x:c>
      <x:c r="X633">
        <x:v>135.59</x:v>
      </x:c>
      <x:c r="Y633" t="s">
        <x:v>47</x:v>
      </x:c>
      <x:c r="Z633" t="s">
        <x:v>48</x:v>
      </x:c>
      <x:c r="AA633" t="s">
        <x:v>73</x:v>
      </x:c>
      <x:c r="AB633">
        <x:v>999111362</x:v>
      </x:c>
      <x:c r="AC633" t="s">
        <x:v>1330</x:v>
      </x:c>
      <x:c r="AD633">
        <x:v>30</x:v>
      </x:c>
    </x:row>
    <x:row r="634">
      <x:c r="A634" s="1">
        <x:v>46276</x:v>
      </x:c>
      <x:c r="B634" t="s">
        <x:v>4056</x:v>
      </x:c>
      <x:c r="C634" t="s">
        <x:v>4267</x:v>
      </x:c>
      <x:c r="D634" t="s">
        <x:v>29</x:v>
      </x:c>
      <x:c r="E634" t="s">
        <x:v>4268</x:v>
      </x:c>
      <x:c r="F634" t="s">
        <x:v>31</x:v>
      </x:c>
      <x:c r="G634" t="s">
        <x:v>4269</x:v>
      </x:c>
      <x:c r="H634" t="s">
        <x:v>4270</x:v>
      </x:c>
      <x:c r="I634" t="s">
        <x:v>4271</x:v>
      </x:c>
      <x:c r="J634" t="s">
        <x:v>2784</x:v>
      </x:c>
      <x:c r="K634" t="s">
        <x:v>210</x:v>
      </x:c>
      <x:c r="L634" t="s">
        <x:v>37</x:v>
      </x:c>
      <x:c r="M634" t="s">
        <x:v>4272</x:v>
      </x:c>
      <x:c r="N634" t="s">
        <x:v>4273</x:v>
      </x:c>
      <x:c r="O634" t="s">
        <x:v>4270</x:v>
      </x:c>
      <x:c r="P634" t="s">
        <x:v>4274</x:v>
      </x:c>
      <x:c r="Q634" t="s">
        <x:v>91</x:v>
      </x:c>
      <x:c r="R634">
        <x:v>1</x:v>
      </x:c>
      <x:c r="S634" t="s">
        <x:v>42</x:v>
      </x:c>
      <x:c r="T634" t="s">
        <x:v>44</x:v>
      </x:c>
      <x:c r="U634" t="s">
        <x:v>44</x:v>
      </x:c>
      <x:c r="V634" t="s">
        <x:v>71</x:v>
      </x:c>
      <x:c r="W634" t="s">
        <x:v>72</x:v>
      </x:c>
      <x:c r="X634">
        <x:v>135.59</x:v>
      </x:c>
      <x:c r="Y634" t="s">
        <x:v>47</x:v>
      </x:c>
      <x:c r="Z634" t="s">
        <x:v>48</x:v>
      </x:c>
      <x:c r="AA634" t="s">
        <x:v>73</x:v>
      </x:c>
      <x:c r="AD634">
        <x:v>30</x:v>
      </x:c>
    </x:row>
    <x:row r="635">
      <x:c r="A635" s="1">
        <x:v>46276</x:v>
      </x:c>
      <x:c r="B635" t="s">
        <x:v>4056</x:v>
      </x:c>
      <x:c r="C635" t="s">
        <x:v>4275</x:v>
      </x:c>
      <x:c r="D635" t="s">
        <x:v>29</x:v>
      </x:c>
      <x:c r="E635" t="s">
        <x:v>4276</x:v>
      </x:c>
      <x:c r="F635" t="s">
        <x:v>31</x:v>
      </x:c>
      <x:c r="G635" t="s">
        <x:v>4277</x:v>
      </x:c>
      <x:c r="H635" t="s">
        <x:v>4278</x:v>
      </x:c>
      <x:c r="I635" t="s">
        <x:v>4279</x:v>
      </x:c>
      <x:c r="J635" t="s">
        <x:v>435</x:v>
      </x:c>
      <x:c r="K635" t="s">
        <x:v>436</x:v>
      </x:c>
      <x:c r="L635" t="s">
        <x:v>37</x:v>
      </x:c>
      <x:c r="M635" t="s">
        <x:v>4280</x:v>
      </x:c>
      <x:c r="N635" t="s">
        <x:v>4281</x:v>
      </x:c>
      <x:c r="O635" t="s">
        <x:v>4278</x:v>
      </x:c>
      <x:c r="P635" t="s">
        <x:v>4282</x:v>
      </x:c>
      <x:c r="Q635" t="s">
        <x:v>91</x:v>
      </x:c>
      <x:c r="R635">
        <x:v>1</x:v>
      </x:c>
      <x:c r="S635" t="s">
        <x:v>42</x:v>
      </x:c>
      <x:c r="T635" t="s">
        <x:v>44</x:v>
      </x:c>
      <x:c r="U635" t="s">
        <x:v>44</x:v>
      </x:c>
      <x:c r="V635" t="s">
        <x:v>45</x:v>
      </x:c>
      <x:c r="W635" t="s">
        <x:v>60</x:v>
      </x:c>
      <x:c r="X635">
        <x:v>135.59</x:v>
      </x:c>
      <x:c r="Y635" t="s">
        <x:v>47</x:v>
      </x:c>
      <x:c r="Z635" t="s">
        <x:v>48</x:v>
      </x:c>
      <x:c r="AA635" t="s">
        <x:v>49</x:v>
      </x:c>
      <x:c r="AB635">
        <x:v>992903716</x:v>
      </x:c>
      <x:c r="AC635" t="s">
        <x:v>440</x:v>
      </x:c>
      <x:c r="AD635">
        <x:v>30</x:v>
      </x:c>
    </x:row>
    <x:row r="636">
      <x:c r="A636" s="1">
        <x:v>46277</x:v>
      </x:c>
      <x:c r="B636" t="s">
        <x:v>4056</x:v>
      </x:c>
      <x:c r="C636" t="s">
        <x:v>2718</x:v>
      </x:c>
      <x:c r="D636" t="s">
        <x:v>29</x:v>
      </x:c>
      <x:c r="E636" t="s">
        <x:v>2719</x:v>
      </x:c>
      <x:c r="F636" t="s">
        <x:v>31</x:v>
      </x:c>
      <x:c r="G636" t="s">
        <x:v>2720</x:v>
      </x:c>
      <x:c r="H636" t="s">
        <x:v>2721</x:v>
      </x:c>
      <x:c r="I636" t="s">
        <x:v>2722</x:v>
      </x:c>
      <x:c r="J636" t="s">
        <x:v>1075</x:v>
      </x:c>
      <x:c r="K636" t="s">
        <x:v>98</x:v>
      </x:c>
      <x:c r="L636" t="s">
        <x:v>37</x:v>
      </x:c>
      <x:c r="M636" t="s">
        <x:v>2724</x:v>
      </x:c>
      <x:c r="N636" t="s">
        <x:v>2725</x:v>
      </x:c>
      <x:c r="O636" t="s">
        <x:v>2721</x:v>
      </x:c>
      <x:c r="P636" t="s">
        <x:v>2726</x:v>
      </x:c>
      <x:c r="Q636" t="s">
        <x:v>160</x:v>
      </x:c>
      <x:c r="R636">
        <x:v>1</x:v>
      </x:c>
      <x:c r="S636" t="s">
        <x:v>42</x:v>
      </x:c>
      <x:c r="T636" t="s">
        <x:v>44</x:v>
      </x:c>
      <x:c r="U636" t="s">
        <x:v>44</x:v>
      </x:c>
      <x:c r="V636" t="s">
        <x:v>45</x:v>
      </x:c>
      <x:c r="W636" t="s">
        <x:v>46</x:v>
      </x:c>
      <x:c r="X636">
        <x:v>135.59</x:v>
      </x:c>
      <x:c r="Y636" t="s">
        <x:v>47</x:v>
      </x:c>
      <x:c r="Z636" t="s">
        <x:v>48</x:v>
      </x:c>
      <x:c r="AA636" t="s">
        <x:v>49</x:v>
      </x:c>
      <x:c r="AB636">
        <x:v>999986041</x:v>
      </x:c>
      <x:c r="AC636" t="s">
        <x:v>1079</x:v>
      </x:c>
      <x:c r="AD636">
        <x:v>30</x:v>
      </x:c>
    </x:row>
    <x:row r="637">
      <x:c r="A637" s="1">
        <x:v>46277</x:v>
      </x:c>
      <x:c r="B637" t="s">
        <x:v>4056</x:v>
      </x:c>
      <x:c r="C637" t="s">
        <x:v>2728</x:v>
      </x:c>
      <x:c r="D637" t="s">
        <x:v>29</x:v>
      </x:c>
      <x:c r="E637" t="s">
        <x:v>2729</x:v>
      </x:c>
      <x:c r="F637" t="s">
        <x:v>31</x:v>
      </x:c>
      <x:c r="G637" t="s">
        <x:v>2730</x:v>
      </x:c>
      <x:c r="H637" t="s">
        <x:v>2731</x:v>
      </x:c>
      <x:c r="I637" t="s">
        <x:v>2732</x:v>
      </x:c>
      <x:c r="J637" t="s">
        <x:v>1326</x:v>
      </x:c>
      <x:c r="K637" t="s">
        <x:v>36</x:v>
      </x:c>
      <x:c r="L637" t="s">
        <x:v>37</x:v>
      </x:c>
      <x:c r="M637" t="s">
        <x:v>2735</x:v>
      </x:c>
      <x:c r="N637" t="s">
        <x:v>2736</x:v>
      </x:c>
      <x:c r="O637" t="s">
        <x:v>2731</x:v>
      </x:c>
      <x:c r="P637" t="s">
        <x:v>2737</x:v>
      </x:c>
      <x:c r="Q637" t="s">
        <x:v>202</x:v>
      </x:c>
      <x:c r="R637">
        <x:v>1</x:v>
      </x:c>
      <x:c r="S637" t="s">
        <x:v>42</x:v>
      </x:c>
      <x:c r="T637" t="s">
        <x:v>44</x:v>
      </x:c>
      <x:c r="U637" t="s">
        <x:v>44</x:v>
      </x:c>
      <x:c r="V637" t="s">
        <x:v>45</x:v>
      </x:c>
      <x:c r="W637" t="s">
        <x:v>46</x:v>
      </x:c>
      <x:c r="X637">
        <x:v>152.54</x:v>
      </x:c>
      <x:c r="Y637" t="s">
        <x:v>47</x:v>
      </x:c>
      <x:c r="Z637" t="s">
        <x:v>48</x:v>
      </x:c>
      <x:c r="AA637" t="s">
        <x:v>49</x:v>
      </x:c>
      <x:c r="AB637">
        <x:v>999111362</x:v>
      </x:c>
      <x:c r="AC637" t="s">
        <x:v>1330</x:v>
      </x:c>
      <x:c r="AD637">
        <x:v>30</x:v>
      </x:c>
    </x:row>
    <x:row r="638">
      <x:c r="A638" s="1">
        <x:v>46277</x:v>
      </x:c>
      <x:c r="B638" t="s">
        <x:v>4056</x:v>
      </x:c>
      <x:c r="C638" t="s">
        <x:v>2738</x:v>
      </x:c>
      <x:c r="D638" t="s">
        <x:v>29</x:v>
      </x:c>
      <x:c r="E638" t="s">
        <x:v>2739</x:v>
      </x:c>
      <x:c r="F638" t="s">
        <x:v>31</x:v>
      </x:c>
      <x:c r="G638" t="s">
        <x:v>2740</x:v>
      </x:c>
      <x:c r="H638" t="s">
        <x:v>2741</x:v>
      </x:c>
      <x:c r="I638" t="s">
        <x:v>2742</x:v>
      </x:c>
      <x:c r="J638" t="s">
        <x:v>706</x:v>
      </x:c>
      <x:c r="K638" t="s">
        <x:v>707</x:v>
      </x:c>
      <x:c r="L638" t="s">
        <x:v>37</x:v>
      </x:c>
      <x:c r="M638" t="s">
        <x:v>2743</x:v>
      </x:c>
      <x:c r="N638" t="s">
        <x:v>2744</x:v>
      </x:c>
      <x:c r="O638" t="s">
        <x:v>2741</x:v>
      </x:c>
      <x:c r="P638" t="s">
        <x:v>2745</x:v>
      </x:c>
      <x:c r="Q638" t="s">
        <x:v>91</x:v>
      </x:c>
      <x:c r="R638">
        <x:v>1</x:v>
      </x:c>
      <x:c r="S638" t="s">
        <x:v>42</x:v>
      </x:c>
      <x:c r="T638" t="s">
        <x:v>44</x:v>
      </x:c>
      <x:c r="U638" t="s">
        <x:v>44</x:v>
      </x:c>
      <x:c r="V638" t="s">
        <x:v>45</x:v>
      </x:c>
      <x:c r="W638" t="s">
        <x:v>60</x:v>
      </x:c>
      <x:c r="X638">
        <x:v>135.59</x:v>
      </x:c>
      <x:c r="Y638" t="s">
        <x:v>47</x:v>
      </x:c>
      <x:c r="Z638" t="s">
        <x:v>48</x:v>
      </x:c>
      <x:c r="AA638" t="s">
        <x:v>49</x:v>
      </x:c>
      <x:c r="AB638">
        <x:v>998418895</x:v>
      </x:c>
      <x:c r="AC638" t="s">
        <x:v>711</x:v>
      </x:c>
      <x:c r="AD638">
        <x:v>30</x:v>
      </x:c>
    </x:row>
    <x:row r="639">
      <x:c r="A639" s="1">
        <x:v>46277</x:v>
      </x:c>
      <x:c r="B639" t="s">
        <x:v>4056</x:v>
      </x:c>
      <x:c r="C639" t="s">
        <x:v>4283</x:v>
      </x:c>
      <x:c r="D639" t="s">
        <x:v>29</x:v>
      </x:c>
      <x:c r="E639" t="s">
        <x:v>4284</x:v>
      </x:c>
      <x:c r="F639" t="s">
        <x:v>31</x:v>
      </x:c>
      <x:c r="G639" t="s">
        <x:v>4285</x:v>
      </x:c>
      <x:c r="H639" t="s">
        <x:v>4286</x:v>
      </x:c>
      <x:c r="I639" t="s">
        <x:v>4287</x:v>
      </x:c>
      <x:c r="J639" t="s">
        <x:v>3372</x:v>
      </x:c>
      <x:c r="K639" t="s">
        <x:v>210</x:v>
      </x:c>
      <x:c r="L639" t="s">
        <x:v>37</x:v>
      </x:c>
      <x:c r="M639" t="s">
        <x:v>4288</x:v>
      </x:c>
      <x:c r="N639" t="s">
        <x:v>4289</x:v>
      </x:c>
      <x:c r="O639" t="s">
        <x:v>4286</x:v>
      </x:c>
      <x:c r="P639" t="s">
        <x:v>4290</x:v>
      </x:c>
      <x:c r="Q639" t="s">
        <x:v>160</x:v>
      </x:c>
      <x:c r="R639">
        <x:v>1</x:v>
      </x:c>
      <x:c r="S639" t="s">
        <x:v>42</x:v>
      </x:c>
      <x:c r="T639" t="s">
        <x:v>44</x:v>
      </x:c>
      <x:c r="U639" t="s">
        <x:v>44</x:v>
      </x:c>
      <x:c r="V639" t="s">
        <x:v>71</x:v>
      </x:c>
      <x:c r="W639" t="s">
        <x:v>72</x:v>
      </x:c>
      <x:c r="X639">
        <x:v>135.59</x:v>
      </x:c>
      <x:c r="Y639" t="s">
        <x:v>47</x:v>
      </x:c>
      <x:c r="Z639" t="s">
        <x:v>48</x:v>
      </x:c>
      <x:c r="AA639" t="s">
        <x:v>73</x:v>
      </x:c>
      <x:c r="AB639">
        <x:v>995560200</x:v>
      </x:c>
      <x:c r="AC639" t="s">
        <x:v>3373</x:v>
      </x:c>
      <x:c r="AD639">
        <x:v>30</x:v>
      </x:c>
    </x:row>
    <x:row r="640">
      <x:c r="A640" s="1">
        <x:v>46277</x:v>
      </x:c>
      <x:c r="B640" t="s">
        <x:v>4056</x:v>
      </x:c>
      <x:c r="C640" t="s">
        <x:v>4291</x:v>
      </x:c>
      <x:c r="D640" t="s">
        <x:v>29</x:v>
      </x:c>
      <x:c r="E640" t="s">
        <x:v>4292</x:v>
      </x:c>
      <x:c r="F640" t="s">
        <x:v>31</x:v>
      </x:c>
      <x:c r="G640" t="s">
        <x:v>4293</x:v>
      </x:c>
      <x:c r="H640" t="s">
        <x:v>4294</x:v>
      </x:c>
      <x:c r="I640" t="s">
        <x:v>4295</x:v>
      </x:c>
      <x:c r="J640" t="s">
        <x:v>1110</x:v>
      </x:c>
      <x:c r="K640" t="s">
        <x:v>210</x:v>
      </x:c>
      <x:c r="L640" t="s">
        <x:v>37</x:v>
      </x:c>
      <x:c r="M640" t="s">
        <x:v>4296</x:v>
      </x:c>
      <x:c r="N640" t="s">
        <x:v>4297</x:v>
      </x:c>
      <x:c r="O640" t="s">
        <x:v>4294</x:v>
      </x:c>
      <x:c r="P640" t="s">
        <x:v>4298</x:v>
      </x:c>
      <x:c r="Q640" t="s">
        <x:v>203</x:v>
      </x:c>
      <x:c r="R640">
        <x:v>1</x:v>
      </x:c>
      <x:c r="S640" t="s">
        <x:v>42</x:v>
      </x:c>
      <x:c r="T640" t="s">
        <x:v>44</x:v>
      </x:c>
      <x:c r="U640" t="s">
        <x:v>44</x:v>
      </x:c>
      <x:c r="V640" t="s">
        <x:v>45</x:v>
      </x:c>
      <x:c r="W640" t="s">
        <x:v>60</x:v>
      </x:c>
      <x:c r="X640">
        <x:v>135.59</x:v>
      </x:c>
      <x:c r="Y640" t="s">
        <x:v>47</x:v>
      </x:c>
      <x:c r="Z640" t="s">
        <x:v>48</x:v>
      </x:c>
      <x:c r="AA640" t="s">
        <x:v>49</x:v>
      </x:c>
      <x:c r="AB640">
        <x:v>970582106</x:v>
      </x:c>
      <x:c r="AC640" t="s">
        <x:v>1115</x:v>
      </x:c>
      <x:c r="AD640">
        <x:v>30</x:v>
      </x:c>
    </x:row>
    <x:row r="641">
      <x:c r="A641" s="1">
        <x:v>46277</x:v>
      </x:c>
      <x:c r="B641" t="s">
        <x:v>4056</x:v>
      </x:c>
      <x:c r="C641" t="s">
        <x:v>4291</x:v>
      </x:c>
      <x:c r="D641" t="s">
        <x:v>29</x:v>
      </x:c>
      <x:c r="E641" t="s">
        <x:v>4292</x:v>
      </x:c>
      <x:c r="F641" t="s">
        <x:v>31</x:v>
      </x:c>
      <x:c r="G641" t="s">
        <x:v>4293</x:v>
      </x:c>
      <x:c r="H641" t="s">
        <x:v>4294</x:v>
      </x:c>
      <x:c r="I641" t="s">
        <x:v>4295</x:v>
      </x:c>
      <x:c r="J641" t="s">
        <x:v>1110</x:v>
      </x:c>
      <x:c r="K641" t="s">
        <x:v>210</x:v>
      </x:c>
      <x:c r="L641" t="s">
        <x:v>37</x:v>
      </x:c>
      <x:c r="M641" t="s">
        <x:v>4296</x:v>
      </x:c>
      <x:c r="N641" t="s">
        <x:v>4297</x:v>
      </x:c>
      <x:c r="O641" t="s">
        <x:v>4294</x:v>
      </x:c>
      <x:c r="P641" t="s">
        <x:v>4298</x:v>
      </x:c>
      <x:c r="Q641" t="s">
        <x:v>202</x:v>
      </x:c>
      <x:c r="R641">
        <x:v>1</x:v>
      </x:c>
      <x:c r="S641" t="s">
        <x:v>42</x:v>
      </x:c>
      <x:c r="T641" t="s">
        <x:v>44</x:v>
      </x:c>
      <x:c r="U641" t="s">
        <x:v>44</x:v>
      </x:c>
      <x:c r="V641" t="s">
        <x:v>45</x:v>
      </x:c>
      <x:c r="W641" t="s">
        <x:v>60</x:v>
      </x:c>
      <x:c r="X641">
        <x:v>152.54</x:v>
      </x:c>
      <x:c r="Y641" t="s">
        <x:v>47</x:v>
      </x:c>
      <x:c r="Z641" t="s">
        <x:v>48</x:v>
      </x:c>
      <x:c r="AA641" t="s">
        <x:v>49</x:v>
      </x:c>
      <x:c r="AB641">
        <x:v>970582106</x:v>
      </x:c>
      <x:c r="AC641" t="s">
        <x:v>1115</x:v>
      </x:c>
      <x:c r="AD641">
        <x:v>30</x:v>
      </x:c>
    </x:row>
    <x:row r="642">
      <x:c r="A642" s="1">
        <x:v>46277</x:v>
      </x:c>
      <x:c r="B642" t="s">
        <x:v>4056</x:v>
      </x:c>
      <x:c r="C642" t="s">
        <x:v>4299</x:v>
      </x:c>
      <x:c r="D642" t="s">
        <x:v>29</x:v>
      </x:c>
      <x:c r="E642" t="s">
        <x:v>4300</x:v>
      </x:c>
      <x:c r="F642" t="s">
        <x:v>31</x:v>
      </x:c>
      <x:c r="G642" t="s">
        <x:v>4301</x:v>
      </x:c>
      <x:c r="H642" t="s">
        <x:v>4302</x:v>
      </x:c>
      <x:c r="I642" t="s">
        <x:v>4303</x:v>
      </x:c>
      <x:c r="J642" t="s">
        <x:v>776</x:v>
      </x:c>
      <x:c r="K642" t="s">
        <x:v>777</x:v>
      </x:c>
      <x:c r="L642" t="s">
        <x:v>37</x:v>
      </x:c>
      <x:c r="M642" t="s">
        <x:v>4304</x:v>
      </x:c>
      <x:c r="N642" t="s">
        <x:v>4305</x:v>
      </x:c>
      <x:c r="O642" t="s">
        <x:v>4302</x:v>
      </x:c>
      <x:c r="P642" t="s">
        <x:v>4306</x:v>
      </x:c>
      <x:c r="Q642" t="s">
        <x:v>131</x:v>
      </x:c>
      <x:c r="R642">
        <x:v>1</x:v>
      </x:c>
      <x:c r="S642" t="s">
        <x:v>42</x:v>
      </x:c>
      <x:c r="T642" t="s">
        <x:v>44</x:v>
      </x:c>
      <x:c r="U642" t="s">
        <x:v>44</x:v>
      </x:c>
      <x:c r="V642" t="s">
        <x:v>71</x:v>
      </x:c>
      <x:c r="W642" t="s">
        <x:v>185</x:v>
      </x:c>
      <x:c r="X642">
        <x:v>152.54</x:v>
      </x:c>
      <x:c r="Y642" t="s">
        <x:v>47</x:v>
      </x:c>
      <x:c r="Z642" t="s">
        <x:v>48</x:v>
      </x:c>
      <x:c r="AA642" t="s">
        <x:v>73</x:v>
      </x:c>
      <x:c r="AD642">
        <x:v>30</x:v>
      </x:c>
    </x:row>
    <x:row r="643">
      <x:c r="A643" s="1">
        <x:v>46279</x:v>
      </x:c>
      <x:c r="B643" t="s">
        <x:v>4056</x:v>
      </x:c>
      <x:c r="C643" t="s">
        <x:v>2746</x:v>
      </x:c>
      <x:c r="D643" t="s">
        <x:v>29</x:v>
      </x:c>
      <x:c r="E643" t="s">
        <x:v>2747</x:v>
      </x:c>
      <x:c r="F643" t="s">
        <x:v>31</x:v>
      </x:c>
      <x:c r="G643" t="s">
        <x:v>2748</x:v>
      </x:c>
      <x:c r="H643" t="s">
        <x:v>2749</x:v>
      </x:c>
      <x:c r="I643" t="s">
        <x:v>4307</x:v>
      </x:c>
      <x:c r="J643" t="s">
        <x:v>1599</x:v>
      </x:c>
      <x:c r="K643" t="s">
        <x:v>1600</x:v>
      </x:c>
      <x:c r="L643" t="s">
        <x:v>37</x:v>
      </x:c>
      <x:c r="M643" t="s">
        <x:v>2751</x:v>
      </x:c>
      <x:c r="N643" t="s">
        <x:v>2752</x:v>
      </x:c>
      <x:c r="O643" t="s">
        <x:v>2749</x:v>
      </x:c>
      <x:c r="P643" t="s">
        <x:v>2753</x:v>
      </x:c>
      <x:c r="Q643" t="s">
        <x:v>102</x:v>
      </x:c>
      <x:c r="R643">
        <x:v>1</x:v>
      </x:c>
      <x:c r="S643" t="s">
        <x:v>70</x:v>
      </x:c>
      <x:c r="T643" t="s">
        <x:v>43</x:v>
      </x:c>
      <x:c r="U643" t="s">
        <x:v>44</x:v>
      </x:c>
      <x:c r="V643" t="s">
        <x:v>71</x:v>
      </x:c>
      <x:c r="W643" t="s">
        <x:v>185</x:v>
      </x:c>
      <x:c r="X643">
        <x:v>186.44</x:v>
      </x:c>
      <x:c r="Y643" t="s">
        <x:v>47</x:v>
      </x:c>
      <x:c r="Z643" t="s">
        <x:v>48</x:v>
      </x:c>
      <x:c r="AA643" t="s">
        <x:v>73</x:v>
      </x:c>
      <x:c r="AB643">
        <x:v>980543337</x:v>
      </x:c>
      <x:c r="AC643" t="s">
        <x:v>1604</x:v>
      </x:c>
      <x:c r="AD643">
        <x:v>50</x:v>
      </x:c>
    </x:row>
    <x:row r="644">
      <x:c r="A644" s="1">
        <x:v>46279</x:v>
      </x:c>
      <x:c r="B644" t="s">
        <x:v>4056</x:v>
      </x:c>
      <x:c r="C644" t="s">
        <x:v>2754</x:v>
      </x:c>
      <x:c r="D644" t="s">
        <x:v>29</x:v>
      </x:c>
      <x:c r="E644" t="s">
        <x:v>2755</x:v>
      </x:c>
      <x:c r="F644" t="s">
        <x:v>31</x:v>
      </x:c>
      <x:c r="G644" t="s">
        <x:v>2756</x:v>
      </x:c>
      <x:c r="H644" t="s">
        <x:v>2757</x:v>
      </x:c>
      <x:c r="I644" t="s">
        <x:v>2758</x:v>
      </x:c>
      <x:c r="J644" t="s">
        <x:v>717</x:v>
      </x:c>
      <x:c r="K644" t="s">
        <x:v>718</x:v>
      </x:c>
      <x:c r="L644" t="s">
        <x:v>37</x:v>
      </x:c>
      <x:c r="M644" t="s">
        <x:v>2759</x:v>
      </x:c>
      <x:c r="N644" t="s">
        <x:v>2760</x:v>
      </x:c>
      <x:c r="O644" t="s">
        <x:v>2757</x:v>
      </x:c>
      <x:c r="P644" t="s">
        <x:v>2761</x:v>
      </x:c>
      <x:c r="Q644" t="s">
        <x:v>41</x:v>
      </x:c>
      <x:c r="R644">
        <x:v>1</x:v>
      </x:c>
      <x:c r="S644" t="s">
        <x:v>70</x:v>
      </x:c>
      <x:c r="T644" t="s">
        <x:v>43</x:v>
      </x:c>
      <x:c r="U644" t="s">
        <x:v>44</x:v>
      </x:c>
      <x:c r="V644" t="s">
        <x:v>71</x:v>
      </x:c>
      <x:c r="W644" t="s">
        <x:v>72</x:v>
      </x:c>
      <x:c r="X644">
        <x:v>186.44</x:v>
      </x:c>
      <x:c r="Y644" t="s">
        <x:v>47</x:v>
      </x:c>
      <x:c r="Z644" t="s">
        <x:v>48</x:v>
      </x:c>
      <x:c r="AA644" t="s">
        <x:v>73</x:v>
      </x:c>
      <x:c r="AB644">
        <x:v>955356636</x:v>
      </x:c>
      <x:c r="AC644" t="s">
        <x:v>722</x:v>
      </x:c>
      <x:c r="AD644">
        <x:v>50</x:v>
      </x:c>
    </x:row>
    <x:row r="645">
      <x:c r="A645" s="1">
        <x:v>46279</x:v>
      </x:c>
      <x:c r="B645" t="s">
        <x:v>4056</x:v>
      </x:c>
      <x:c r="C645" t="s">
        <x:v>2754</x:v>
      </x:c>
      <x:c r="D645" t="s">
        <x:v>29</x:v>
      </x:c>
      <x:c r="E645" t="s">
        <x:v>2755</x:v>
      </x:c>
      <x:c r="F645" t="s">
        <x:v>31</x:v>
      </x:c>
      <x:c r="G645" t="s">
        <x:v>2756</x:v>
      </x:c>
      <x:c r="H645" t="s">
        <x:v>2757</x:v>
      </x:c>
      <x:c r="I645" t="s">
        <x:v>2758</x:v>
      </x:c>
      <x:c r="J645" t="s">
        <x:v>717</x:v>
      </x:c>
      <x:c r="K645" t="s">
        <x:v>718</x:v>
      </x:c>
      <x:c r="L645" t="s">
        <x:v>37</x:v>
      </x:c>
      <x:c r="M645" t="s">
        <x:v>2759</x:v>
      </x:c>
      <x:c r="N645" t="s">
        <x:v>2760</x:v>
      </x:c>
      <x:c r="O645" t="s">
        <x:v>2757</x:v>
      </x:c>
      <x:c r="P645" t="s">
        <x:v>2761</x:v>
      </x:c>
      <x:c r="Q645" t="s">
        <x:v>160</x:v>
      </x:c>
      <x:c r="R645">
        <x:v>1</x:v>
      </x:c>
      <x:c r="S645" t="s">
        <x:v>70</x:v>
      </x:c>
      <x:c r="T645" t="s">
        <x:v>43</x:v>
      </x:c>
      <x:c r="U645" t="s">
        <x:v>44</x:v>
      </x:c>
      <x:c r="V645" t="s">
        <x:v>71</x:v>
      </x:c>
      <x:c r="W645" t="s">
        <x:v>72</x:v>
      </x:c>
      <x:c r="X645">
        <x:v>135.59</x:v>
      </x:c>
      <x:c r="Y645" t="s">
        <x:v>47</x:v>
      </x:c>
      <x:c r="Z645" t="s">
        <x:v>48</x:v>
      </x:c>
      <x:c r="AA645" t="s">
        <x:v>73</x:v>
      </x:c>
      <x:c r="AB645">
        <x:v>955356636</x:v>
      </x:c>
      <x:c r="AC645" t="s">
        <x:v>722</x:v>
      </x:c>
      <x:c r="AD645">
        <x:v>30</x:v>
      </x:c>
    </x:row>
    <x:row r="646">
      <x:c r="A646" s="1">
        <x:v>46279</x:v>
      </x:c>
      <x:c r="B646" t="s">
        <x:v>4056</x:v>
      </x:c>
      <x:c r="C646" t="s">
        <x:v>2762</x:v>
      </x:c>
      <x:c r="D646" t="s">
        <x:v>269</x:v>
      </x:c>
      <x:c r="E646" t="s">
        <x:v>2763</x:v>
      </x:c>
      <x:c r="F646" t="s">
        <x:v>31</x:v>
      </x:c>
      <x:c r="G646" t="s">
        <x:v>2764</x:v>
      </x:c>
      <x:c r="H646" t="s">
        <x:v>2765</x:v>
      </x:c>
      <x:c r="I646" t="s">
        <x:v>2766</x:v>
      </x:c>
      <x:c r="J646" t="s">
        <x:v>3587</x:v>
      </x:c>
      <x:c r="K646" t="s">
        <x:v>210</x:v>
      </x:c>
      <x:c r="L646" t="s">
        <x:v>37</x:v>
      </x:c>
      <x:c r="M646" t="s">
        <x:v>2767</x:v>
      </x:c>
      <x:c r="N646" t="s">
        <x:v>2768</x:v>
      </x:c>
      <x:c r="O646" t="s">
        <x:v>1854</x:v>
      </x:c>
      <x:c r="P646" t="s">
        <x:v>2769</x:v>
      </x:c>
      <x:c r="Q646" t="s">
        <x:v>289</x:v>
      </x:c>
      <x:c r="R646">
        <x:v>1</x:v>
      </x:c>
      <x:c r="S646" t="s">
        <x:v>42</x:v>
      </x:c>
      <x:c r="T646" t="s">
        <x:v>44</x:v>
      </x:c>
      <x:c r="U646" t="s">
        <x:v>44</x:v>
      </x:c>
      <x:c r="V646" t="s">
        <x:v>45</x:v>
      </x:c>
      <x:c r="W646" t="s">
        <x:v>46</x:v>
      </x:c>
      <x:c r="X646">
        <x:v>0</x:v>
      </x:c>
      <x:c r="Y646" t="s">
        <x:v>290</x:v>
      </x:c>
      <x:c r="Z646" t="s">
        <x:v>48</x:v>
      </x:c>
      <x:c r="AA646" t="s">
        <x:v>49</x:v>
      </x:c>
      <x:c r="AB646">
        <x:v>997061004</x:v>
      </x:c>
    </x:row>
    <x:row r="647">
      <x:c r="A647" s="1">
        <x:v>46279</x:v>
      </x:c>
      <x:c r="B647" t="s">
        <x:v>4056</x:v>
      </x:c>
      <x:c r="C647" t="s">
        <x:v>2762</x:v>
      </x:c>
      <x:c r="D647" t="s">
        <x:v>269</x:v>
      </x:c>
      <x:c r="E647" t="s">
        <x:v>2763</x:v>
      </x:c>
      <x:c r="F647" t="s">
        <x:v>31</x:v>
      </x:c>
      <x:c r="G647" t="s">
        <x:v>2764</x:v>
      </x:c>
      <x:c r="H647" t="s">
        <x:v>2765</x:v>
      </x:c>
      <x:c r="I647" t="s">
        <x:v>2766</x:v>
      </x:c>
      <x:c r="J647" t="s">
        <x:v>3587</x:v>
      </x:c>
      <x:c r="K647" t="s">
        <x:v>210</x:v>
      </x:c>
      <x:c r="L647" t="s">
        <x:v>37</x:v>
      </x:c>
      <x:c r="M647" t="s">
        <x:v>2767</x:v>
      </x:c>
      <x:c r="N647" t="s">
        <x:v>2768</x:v>
      </x:c>
      <x:c r="O647" t="s">
        <x:v>1854</x:v>
      </x:c>
      <x:c r="P647" t="s">
        <x:v>2769</x:v>
      </x:c>
      <x:c r="Q647" t="s">
        <x:v>975</x:v>
      </x:c>
      <x:c r="R647">
        <x:v>1</x:v>
      </x:c>
      <x:c r="S647" t="s">
        <x:v>42</x:v>
      </x:c>
      <x:c r="T647" t="s">
        <x:v>44</x:v>
      </x:c>
      <x:c r="U647" t="s">
        <x:v>44</x:v>
      </x:c>
      <x:c r="V647" t="s">
        <x:v>45</x:v>
      </x:c>
      <x:c r="W647" t="s">
        <x:v>46</x:v>
      </x:c>
      <x:c r="X647">
        <x:v>805.08</x:v>
      </x:c>
      <x:c r="Y647" t="s">
        <x:v>290</x:v>
      </x:c>
      <x:c r="Z647" t="s">
        <x:v>48</x:v>
      </x:c>
      <x:c r="AA647" t="s">
        <x:v>49</x:v>
      </x:c>
      <x:c r="AB647">
        <x:v>997061004</x:v>
      </x:c>
    </x:row>
    <x:row r="648">
      <x:c r="A648" s="1">
        <x:v>46279</x:v>
      </x:c>
      <x:c r="B648" t="s">
        <x:v>4056</x:v>
      </x:c>
      <x:c r="C648" t="s">
        <x:v>2770</x:v>
      </x:c>
      <x:c r="D648" t="s">
        <x:v>29</x:v>
      </x:c>
      <x:c r="E648" t="s">
        <x:v>2771</x:v>
      </x:c>
      <x:c r="F648" t="s">
        <x:v>31</x:v>
      </x:c>
      <x:c r="G648" t="s">
        <x:v>2772</x:v>
      </x:c>
      <x:c r="H648" t="s">
        <x:v>2773</x:v>
      </x:c>
      <x:c r="I648" t="s">
        <x:v>2774</x:v>
      </x:c>
      <x:c r="J648" t="s">
        <x:v>435</x:v>
      </x:c>
      <x:c r="K648" t="s">
        <x:v>436</x:v>
      </x:c>
      <x:c r="L648" t="s">
        <x:v>37</x:v>
      </x:c>
      <x:c r="M648" t="s">
        <x:v>2776</x:v>
      </x:c>
      <x:c r="N648" t="s">
        <x:v>2777</x:v>
      </x:c>
      <x:c r="O648" t="s">
        <x:v>2773</x:v>
      </x:c>
      <x:c r="P648" t="s">
        <x:v>2778</x:v>
      </x:c>
      <x:c r="Q648" t="s">
        <x:v>159</x:v>
      </x:c>
      <x:c r="R648">
        <x:v>1</x:v>
      </x:c>
      <x:c r="S648" t="s">
        <x:v>42</x:v>
      </x:c>
      <x:c r="T648" t="s">
        <x:v>44</x:v>
      </x:c>
      <x:c r="U648" t="s">
        <x:v>44</x:v>
      </x:c>
      <x:c r="V648" t="s">
        <x:v>45</x:v>
      </x:c>
      <x:c r="W648" t="s">
        <x:v>46</x:v>
      </x:c>
      <x:c r="X648">
        <x:v>152.54</x:v>
      </x:c>
      <x:c r="Y648" t="s">
        <x:v>47</x:v>
      </x:c>
      <x:c r="Z648" t="s">
        <x:v>48</x:v>
      </x:c>
      <x:c r="AA648" t="s">
        <x:v>49</x:v>
      </x:c>
      <x:c r="AB648">
        <x:v>992903716</x:v>
      </x:c>
      <x:c r="AC648" t="s">
        <x:v>440</x:v>
      </x:c>
      <x:c r="AD648">
        <x:v>30</x:v>
      </x:c>
    </x:row>
    <x:row r="649">
      <x:c r="A649" s="1">
        <x:v>46279</x:v>
      </x:c>
      <x:c r="B649" t="s">
        <x:v>4056</x:v>
      </x:c>
      <x:c r="C649" t="s">
        <x:v>2779</x:v>
      </x:c>
      <x:c r="D649" t="s">
        <x:v>269</x:v>
      </x:c>
      <x:c r="E649" t="s">
        <x:v>2780</x:v>
      </x:c>
      <x:c r="F649" t="s">
        <x:v>31</x:v>
      </x:c>
      <x:c r="G649" t="s">
        <x:v>2781</x:v>
      </x:c>
      <x:c r="H649" t="s">
        <x:v>2782</x:v>
      </x:c>
      <x:c r="I649" t="s">
        <x:v>2783</x:v>
      </x:c>
      <x:c r="J649" t="s">
        <x:v>2784</x:v>
      </x:c>
      <x:c r="K649" t="s">
        <x:v>210</x:v>
      </x:c>
      <x:c r="L649" t="s">
        <x:v>37</x:v>
      </x:c>
      <x:c r="M649" t="s">
        <x:v>2785</x:v>
      </x:c>
      <x:c r="N649" t="s">
        <x:v>610</x:v>
      </x:c>
      <x:c r="O649" t="s">
        <x:v>2784</x:v>
      </x:c>
      <x:c r="P649" t="s">
        <x:v>2786</x:v>
      </x:c>
      <x:c r="Q649" t="s">
        <x:v>372</x:v>
      </x:c>
      <x:c r="R649">
        <x:v>1</x:v>
      </x:c>
      <x:c r="S649" t="s">
        <x:v>42</x:v>
      </x:c>
      <x:c r="T649" t="s">
        <x:v>44</x:v>
      </x:c>
      <x:c r="U649" t="s">
        <x:v>44</x:v>
      </x:c>
      <x:c r="V649" t="s">
        <x:v>45</x:v>
      </x:c>
      <x:c r="W649" t="s">
        <x:v>60</x:v>
      </x:c>
      <x:c r="X649">
        <x:v>635.59</x:v>
      </x:c>
      <x:c r="Y649" t="s">
        <x:v>290</x:v>
      </x:c>
      <x:c r="Z649" t="s">
        <x:v>48</x:v>
      </x:c>
      <x:c r="AA649" t="s">
        <x:v>49</x:v>
      </x:c>
    </x:row>
    <x:row r="650">
      <x:c r="A650" s="1">
        <x:v>46279</x:v>
      </x:c>
      <x:c r="B650" t="s">
        <x:v>4056</x:v>
      </x:c>
      <x:c r="C650" t="s">
        <x:v>2779</x:v>
      </x:c>
      <x:c r="D650" t="s">
        <x:v>269</x:v>
      </x:c>
      <x:c r="E650" t="s">
        <x:v>2780</x:v>
      </x:c>
      <x:c r="F650" t="s">
        <x:v>31</x:v>
      </x:c>
      <x:c r="G650" t="s">
        <x:v>2781</x:v>
      </x:c>
      <x:c r="H650" t="s">
        <x:v>2782</x:v>
      </x:c>
      <x:c r="I650" t="s">
        <x:v>2783</x:v>
      </x:c>
      <x:c r="J650" t="s">
        <x:v>2784</x:v>
      </x:c>
      <x:c r="K650" t="s">
        <x:v>210</x:v>
      </x:c>
      <x:c r="L650" t="s">
        <x:v>37</x:v>
      </x:c>
      <x:c r="M650" t="s">
        <x:v>2785</x:v>
      </x:c>
      <x:c r="N650" t="s">
        <x:v>610</x:v>
      </x:c>
      <x:c r="O650" t="s">
        <x:v>2784</x:v>
      </x:c>
      <x:c r="P650" t="s">
        <x:v>2786</x:v>
      </x:c>
      <x:c r="Q650" t="s">
        <x:v>289</x:v>
      </x:c>
      <x:c r="R650">
        <x:v>1</x:v>
      </x:c>
      <x:c r="S650" t="s">
        <x:v>42</x:v>
      </x:c>
      <x:c r="T650" t="s">
        <x:v>44</x:v>
      </x:c>
      <x:c r="U650" t="s">
        <x:v>44</x:v>
      </x:c>
      <x:c r="V650" t="s">
        <x:v>45</x:v>
      </x:c>
      <x:c r="W650" t="s">
        <x:v>60</x:v>
      </x:c>
      <x:c r="X650">
        <x:v>0</x:v>
      </x:c>
      <x:c r="Y650" t="s">
        <x:v>290</x:v>
      </x:c>
      <x:c r="Z650" t="s">
        <x:v>48</x:v>
      </x:c>
      <x:c r="AA650" t="s">
        <x:v>49</x:v>
      </x:c>
    </x:row>
    <x:row r="651">
      <x:c r="A651" s="1">
        <x:v>46279</x:v>
      </x:c>
      <x:c r="B651" t="s">
        <x:v>4056</x:v>
      </x:c>
      <x:c r="C651" t="s">
        <x:v>4308</x:v>
      </x:c>
      <x:c r="D651" t="s">
        <x:v>29</x:v>
      </x:c>
      <x:c r="E651" t="s">
        <x:v>4309</x:v>
      </x:c>
      <x:c r="F651" t="s">
        <x:v>31</x:v>
      </x:c>
      <x:c r="G651" t="s">
        <x:v>4310</x:v>
      </x:c>
      <x:c r="H651" t="s">
        <x:v>4311</x:v>
      </x:c>
      <x:c r="I651" t="s">
        <x:v>4312</x:v>
      </x:c>
      <x:c r="J651" t="s">
        <x:v>137</x:v>
      </x:c>
      <x:c r="K651" t="s">
        <x:v>138</x:v>
      </x:c>
      <x:c r="L651" t="s">
        <x:v>37</x:v>
      </x:c>
      <x:c r="M651" t="s">
        <x:v>4313</x:v>
      </x:c>
      <x:c r="N651" t="s">
        <x:v>4314</x:v>
      </x:c>
      <x:c r="O651" t="s">
        <x:v>4311</x:v>
      </x:c>
      <x:c r="P651" t="s">
        <x:v>4315</x:v>
      </x:c>
      <x:c r="Q651" t="s">
        <x:v>202</x:v>
      </x:c>
      <x:c r="R651">
        <x:v>1</x:v>
      </x:c>
      <x:c r="S651" t="s">
        <x:v>42</x:v>
      </x:c>
      <x:c r="T651" t="s">
        <x:v>44</x:v>
      </x:c>
      <x:c r="U651" t="s">
        <x:v>44</x:v>
      </x:c>
      <x:c r="V651" t="s">
        <x:v>45</x:v>
      </x:c>
      <x:c r="W651" t="s">
        <x:v>60</x:v>
      </x:c>
      <x:c r="X651">
        <x:v>152.54</x:v>
      </x:c>
      <x:c r="Y651" t="s">
        <x:v>47</x:v>
      </x:c>
      <x:c r="Z651" t="s">
        <x:v>48</x:v>
      </x:c>
      <x:c r="AA651" t="s">
        <x:v>49</x:v>
      </x:c>
      <x:c r="AB651">
        <x:v>987407712</x:v>
      </x:c>
      <x:c r="AC651" t="s">
        <x:v>142</x:v>
      </x:c>
      <x:c r="AD651">
        <x:v>30</x:v>
      </x:c>
    </x:row>
    <x:row r="652">
      <x:c r="A652" s="1">
        <x:v>46279</x:v>
      </x:c>
      <x:c r="B652" t="s">
        <x:v>4056</x:v>
      </x:c>
      <x:c r="C652" t="s">
        <x:v>4308</x:v>
      </x:c>
      <x:c r="D652" t="s">
        <x:v>29</x:v>
      </x:c>
      <x:c r="E652" t="s">
        <x:v>4309</x:v>
      </x:c>
      <x:c r="F652" t="s">
        <x:v>31</x:v>
      </x:c>
      <x:c r="G652" t="s">
        <x:v>4310</x:v>
      </x:c>
      <x:c r="H652" t="s">
        <x:v>4311</x:v>
      </x:c>
      <x:c r="I652" t="s">
        <x:v>4312</x:v>
      </x:c>
      <x:c r="J652" t="s">
        <x:v>137</x:v>
      </x:c>
      <x:c r="K652" t="s">
        <x:v>138</x:v>
      </x:c>
      <x:c r="L652" t="s">
        <x:v>37</x:v>
      </x:c>
      <x:c r="M652" t="s">
        <x:v>4313</x:v>
      </x:c>
      <x:c r="N652" t="s">
        <x:v>4314</x:v>
      </x:c>
      <x:c r="O652" t="s">
        <x:v>4311</x:v>
      </x:c>
      <x:c r="P652" t="s">
        <x:v>4315</x:v>
      </x:c>
      <x:c r="Q652" t="s">
        <x:v>203</x:v>
      </x:c>
      <x:c r="R652">
        <x:v>1</x:v>
      </x:c>
      <x:c r="S652" t="s">
        <x:v>42</x:v>
      </x:c>
      <x:c r="T652" t="s">
        <x:v>44</x:v>
      </x:c>
      <x:c r="U652" t="s">
        <x:v>44</x:v>
      </x:c>
      <x:c r="V652" t="s">
        <x:v>45</x:v>
      </x:c>
      <x:c r="W652" t="s">
        <x:v>60</x:v>
      </x:c>
      <x:c r="X652">
        <x:v>135.59</x:v>
      </x:c>
      <x:c r="Y652" t="s">
        <x:v>47</x:v>
      </x:c>
      <x:c r="Z652" t="s">
        <x:v>48</x:v>
      </x:c>
      <x:c r="AA652" t="s">
        <x:v>49</x:v>
      </x:c>
      <x:c r="AB652">
        <x:v>987407712</x:v>
      </x:c>
      <x:c r="AC652" t="s">
        <x:v>142</x:v>
      </x:c>
      <x:c r="AD652">
        <x:v>30</x:v>
      </x:c>
    </x:row>
    <x:row r="653">
      <x:c r="A653" s="1">
        <x:v>46279</x:v>
      </x:c>
      <x:c r="B653" t="s">
        <x:v>4056</x:v>
      </x:c>
      <x:c r="C653" t="s">
        <x:v>4316</x:v>
      </x:c>
      <x:c r="D653" t="s">
        <x:v>29</x:v>
      </x:c>
      <x:c r="E653" t="s">
        <x:v>4317</x:v>
      </x:c>
      <x:c r="F653" t="s">
        <x:v>31</x:v>
      </x:c>
      <x:c r="G653" t="s">
        <x:v>4318</x:v>
      </x:c>
      <x:c r="H653" t="s">
        <x:v>4319</x:v>
      </x:c>
      <x:c r="I653" t="s">
        <x:v>4320</x:v>
      </x:c>
      <x:c r="J653" t="s">
        <x:v>2784</x:v>
      </x:c>
      <x:c r="K653" t="s">
        <x:v>210</x:v>
      </x:c>
      <x:c r="L653" t="s">
        <x:v>37</x:v>
      </x:c>
      <x:c r="M653" t="s">
        <x:v>4321</x:v>
      </x:c>
      <x:c r="N653" t="s">
        <x:v>4322</x:v>
      </x:c>
      <x:c r="O653" t="s">
        <x:v>4319</x:v>
      </x:c>
      <x:c r="P653" t="s">
        <x:v>4323</x:v>
      </x:c>
      <x:c r="Q653" t="s">
        <x:v>160</x:v>
      </x:c>
      <x:c r="R653">
        <x:v>1</x:v>
      </x:c>
      <x:c r="S653" t="s">
        <x:v>42</x:v>
      </x:c>
      <x:c r="T653" t="s">
        <x:v>44</x:v>
      </x:c>
      <x:c r="U653" t="s">
        <x:v>44</x:v>
      </x:c>
      <x:c r="V653" t="s">
        <x:v>532</x:v>
      </x:c>
      <x:c r="W653" t="s">
        <x:v>4099</x:v>
      </x:c>
      <x:c r="X653">
        <x:v>135.59</x:v>
      </x:c>
      <x:c r="Y653" t="s">
        <x:v>47</x:v>
      </x:c>
      <x:c r="Z653" t="s">
        <x:v>48</x:v>
      </x:c>
      <x:c r="AA653" t="s">
        <x:v>535</x:v>
      </x:c>
      <x:c r="AD653">
        <x:v>30</x:v>
      </x:c>
    </x:row>
    <x:row r="654">
      <x:c r="A654" s="1">
        <x:v>46280</x:v>
      </x:c>
      <x:c r="B654" t="s">
        <x:v>4056</x:v>
      </x:c>
      <x:c r="C654" t="s">
        <x:v>2787</x:v>
      </x:c>
      <x:c r="D654" t="s">
        <x:v>29</x:v>
      </x:c>
      <x:c r="E654" t="s">
        <x:v>2788</x:v>
      </x:c>
      <x:c r="F654" t="s">
        <x:v>31</x:v>
      </x:c>
      <x:c r="G654" t="s">
        <x:v>2789</x:v>
      </x:c>
      <x:c r="H654" t="s">
        <x:v>2790</x:v>
      </x:c>
      <x:c r="I654" t="s">
        <x:v>2791</x:v>
      </x:c>
      <x:c r="J654" t="s">
        <x:v>3166</x:v>
      </x:c>
      <x:c r="K654" t="s">
        <x:v>2600</x:v>
      </x:c>
      <x:c r="L654" t="s">
        <x:v>37</x:v>
      </x:c>
      <x:c r="M654" t="s">
        <x:v>2792</x:v>
      </x:c>
      <x:c r="N654" t="s">
        <x:v>2793</x:v>
      </x:c>
      <x:c r="O654" t="s">
        <x:v>2790</x:v>
      </x:c>
      <x:c r="P654" t="s">
        <x:v>2794</x:v>
      </x:c>
      <x:c r="Q654" t="s">
        <x:v>160</x:v>
      </x:c>
      <x:c r="R654">
        <x:v>1</x:v>
      </x:c>
      <x:c r="S654" t="s">
        <x:v>70</x:v>
      </x:c>
      <x:c r="T654" t="s">
        <x:v>43</x:v>
      </x:c>
      <x:c r="U654" t="s">
        <x:v>44</x:v>
      </x:c>
      <x:c r="V654" t="s">
        <x:v>71</x:v>
      </x:c>
      <x:c r="W654" t="s">
        <x:v>72</x:v>
      </x:c>
      <x:c r="X654">
        <x:v>135.59</x:v>
      </x:c>
      <x:c r="Y654" t="s">
        <x:v>47</x:v>
      </x:c>
      <x:c r="Z654" t="s">
        <x:v>48</x:v>
      </x:c>
      <x:c r="AA654" t="s">
        <x:v>73</x:v>
      </x:c>
      <x:c r="AB654">
        <x:v>973914900</x:v>
      </x:c>
      <x:c r="AC654" t="s">
        <x:v>3167</x:v>
      </x:c>
      <x:c r="AD654">
        <x:v>30</x:v>
      </x:c>
    </x:row>
    <x:row r="655">
      <x:c r="A655" s="1">
        <x:v>46280</x:v>
      </x:c>
      <x:c r="B655" t="s">
        <x:v>4056</x:v>
      </x:c>
      <x:c r="C655" t="s">
        <x:v>2795</x:v>
      </x:c>
      <x:c r="D655" t="s">
        <x:v>269</x:v>
      </x:c>
      <x:c r="E655" t="s">
        <x:v>2796</x:v>
      </x:c>
      <x:c r="F655" t="s">
        <x:v>31</x:v>
      </x:c>
      <x:c r="G655" t="s">
        <x:v>2797</x:v>
      </x:c>
      <x:c r="H655" t="s">
        <x:v>2798</x:v>
      </x:c>
      <x:c r="I655" t="s">
        <x:v>2799</x:v>
      </x:c>
      <x:c r="J655" t="s">
        <x:v>274</x:v>
      </x:c>
      <x:c r="K655" t="s">
        <x:v>275</x:v>
      </x:c>
      <x:c r="L655" t="s">
        <x:v>37</x:v>
      </x:c>
      <x:c r="M655" t="s">
        <x:v>2800</x:v>
      </x:c>
      <x:c r="N655" t="s">
        <x:v>2801</x:v>
      </x:c>
      <x:c r="O655" t="s">
        <x:v>278</x:v>
      </x:c>
      <x:c r="P655" t="s">
        <x:v>2802</x:v>
      </x:c>
      <x:c r="Q655" t="s">
        <x:v>291</x:v>
      </x:c>
      <x:c r="R655">
        <x:v>1</x:v>
      </x:c>
      <x:c r="S655" t="s">
        <x:v>42</x:v>
      </x:c>
      <x:c r="T655" t="s">
        <x:v>44</x:v>
      </x:c>
      <x:c r="U655" t="s">
        <x:v>44</x:v>
      </x:c>
      <x:c r="V655" t="s">
        <x:v>45</x:v>
      </x:c>
      <x:c r="W655" t="s">
        <x:v>46</x:v>
      </x:c>
      <x:c r="X655">
        <x:v>1050.8499999999999</x:v>
      </x:c>
      <x:c r="Y655" t="s">
        <x:v>290</x:v>
      </x:c>
      <x:c r="Z655" t="s">
        <x:v>48</x:v>
      </x:c>
      <x:c r="AA655" t="s">
        <x:v>49</x:v>
      </x:c>
      <x:c r="AB655">
        <x:v>950133748</x:v>
      </x:c>
      <x:c r="AC655" t="s">
        <x:v>280</x:v>
      </x:c>
    </x:row>
    <x:row r="656">
      <x:c r="A656" s="1">
        <x:v>46280</x:v>
      </x:c>
      <x:c r="B656" t="s">
        <x:v>4056</x:v>
      </x:c>
      <x:c r="C656" t="s">
        <x:v>2795</x:v>
      </x:c>
      <x:c r="D656" t="s">
        <x:v>269</x:v>
      </x:c>
      <x:c r="E656" t="s">
        <x:v>2796</x:v>
      </x:c>
      <x:c r="F656" t="s">
        <x:v>31</x:v>
      </x:c>
      <x:c r="G656" t="s">
        <x:v>2797</x:v>
      </x:c>
      <x:c r="H656" t="s">
        <x:v>2798</x:v>
      </x:c>
      <x:c r="I656" t="s">
        <x:v>2799</x:v>
      </x:c>
      <x:c r="J656" t="s">
        <x:v>274</x:v>
      </x:c>
      <x:c r="K656" t="s">
        <x:v>275</x:v>
      </x:c>
      <x:c r="L656" t="s">
        <x:v>37</x:v>
      </x:c>
      <x:c r="M656" t="s">
        <x:v>2800</x:v>
      </x:c>
      <x:c r="N656" t="s">
        <x:v>2801</x:v>
      </x:c>
      <x:c r="O656" t="s">
        <x:v>278</x:v>
      </x:c>
      <x:c r="P656" t="s">
        <x:v>2802</x:v>
      </x:c>
      <x:c r="Q656" t="s">
        <x:v>289</x:v>
      </x:c>
      <x:c r="R656">
        <x:v>1</x:v>
      </x:c>
      <x:c r="S656" t="s">
        <x:v>42</x:v>
      </x:c>
      <x:c r="T656" t="s">
        <x:v>44</x:v>
      </x:c>
      <x:c r="U656" t="s">
        <x:v>44</x:v>
      </x:c>
      <x:c r="V656" t="s">
        <x:v>45</x:v>
      </x:c>
      <x:c r="W656" t="s">
        <x:v>46</x:v>
      </x:c>
      <x:c r="X656">
        <x:v>0</x:v>
      </x:c>
      <x:c r="Y656" t="s">
        <x:v>290</x:v>
      </x:c>
      <x:c r="Z656" t="s">
        <x:v>48</x:v>
      </x:c>
      <x:c r="AA656" t="s">
        <x:v>49</x:v>
      </x:c>
      <x:c r="AB656">
        <x:v>950133748</x:v>
      </x:c>
      <x:c r="AC656" t="s">
        <x:v>280</x:v>
      </x:c>
    </x:row>
    <x:row r="657">
      <x:c r="A657" s="1">
        <x:v>46280</x:v>
      </x:c>
      <x:c r="B657" t="s">
        <x:v>4056</x:v>
      </x:c>
      <x:c r="C657" t="s">
        <x:v>2803</x:v>
      </x:c>
      <x:c r="D657" t="s">
        <x:v>269</x:v>
      </x:c>
      <x:c r="E657" t="s">
        <x:v>2804</x:v>
      </x:c>
      <x:c r="F657" t="s">
        <x:v>31</x:v>
      </x:c>
      <x:c r="G657" t="s">
        <x:v>2805</x:v>
      </x:c>
      <x:c r="H657" t="s">
        <x:v>2806</x:v>
      </x:c>
      <x:c r="I657" t="s">
        <x:v>2807</x:v>
      </x:c>
      <x:c r="J657" t="s">
        <x:v>274</x:v>
      </x:c>
      <x:c r="K657" t="s">
        <x:v>275</x:v>
      </x:c>
      <x:c r="L657" t="s">
        <x:v>37</x:v>
      </x:c>
      <x:c r="M657" t="s">
        <x:v>2808</x:v>
      </x:c>
      <x:c r="N657" t="s">
        <x:v>2809</x:v>
      </x:c>
      <x:c r="O657" t="s">
        <x:v>278</x:v>
      </x:c>
      <x:c r="P657" t="s">
        <x:v>2810</x:v>
      </x:c>
      <x:c r="Q657" t="s">
        <x:v>289</x:v>
      </x:c>
      <x:c r="R657">
        <x:v>1</x:v>
      </x:c>
      <x:c r="S657" t="s">
        <x:v>42</x:v>
      </x:c>
      <x:c r="T657" t="s">
        <x:v>44</x:v>
      </x:c>
      <x:c r="U657" t="s">
        <x:v>44</x:v>
      </x:c>
      <x:c r="V657" t="s">
        <x:v>45</x:v>
      </x:c>
      <x:c r="W657" t="s">
        <x:v>60</x:v>
      </x:c>
      <x:c r="X657">
        <x:v>0</x:v>
      </x:c>
      <x:c r="Y657" t="s">
        <x:v>290</x:v>
      </x:c>
      <x:c r="Z657" t="s">
        <x:v>48</x:v>
      </x:c>
      <x:c r="AA657" t="s">
        <x:v>49</x:v>
      </x:c>
      <x:c r="AB657">
        <x:v>950133748</x:v>
      </x:c>
      <x:c r="AC657" t="s">
        <x:v>280</x:v>
      </x:c>
    </x:row>
    <x:row r="658">
      <x:c r="A658" s="1">
        <x:v>46280</x:v>
      </x:c>
      <x:c r="B658" t="s">
        <x:v>4056</x:v>
      </x:c>
      <x:c r="C658" t="s">
        <x:v>2803</x:v>
      </x:c>
      <x:c r="D658" t="s">
        <x:v>269</x:v>
      </x:c>
      <x:c r="E658" t="s">
        <x:v>2804</x:v>
      </x:c>
      <x:c r="F658" t="s">
        <x:v>31</x:v>
      </x:c>
      <x:c r="G658" t="s">
        <x:v>2805</x:v>
      </x:c>
      <x:c r="H658" t="s">
        <x:v>2806</x:v>
      </x:c>
      <x:c r="I658" t="s">
        <x:v>2807</x:v>
      </x:c>
      <x:c r="J658" t="s">
        <x:v>274</x:v>
      </x:c>
      <x:c r="K658" t="s">
        <x:v>275</x:v>
      </x:c>
      <x:c r="L658" t="s">
        <x:v>37</x:v>
      </x:c>
      <x:c r="M658" t="s">
        <x:v>2808</x:v>
      </x:c>
      <x:c r="N658" t="s">
        <x:v>2809</x:v>
      </x:c>
      <x:c r="O658" t="s">
        <x:v>278</x:v>
      </x:c>
      <x:c r="P658" t="s">
        <x:v>2810</x:v>
      </x:c>
      <x:c r="Q658" t="s">
        <x:v>372</x:v>
      </x:c>
      <x:c r="R658">
        <x:v>1</x:v>
      </x:c>
      <x:c r="S658" t="s">
        <x:v>42</x:v>
      </x:c>
      <x:c r="T658" t="s">
        <x:v>44</x:v>
      </x:c>
      <x:c r="U658" t="s">
        <x:v>44</x:v>
      </x:c>
      <x:c r="V658" t="s">
        <x:v>45</x:v>
      </x:c>
      <x:c r="W658" t="s">
        <x:v>60</x:v>
      </x:c>
      <x:c r="X658">
        <x:v>805.08</x:v>
      </x:c>
      <x:c r="Y658" t="s">
        <x:v>290</x:v>
      </x:c>
      <x:c r="Z658" t="s">
        <x:v>48</x:v>
      </x:c>
      <x:c r="AA658" t="s">
        <x:v>49</x:v>
      </x:c>
      <x:c r="AB658">
        <x:v>950133748</x:v>
      </x:c>
      <x:c r="AC658" t="s">
        <x:v>280</x:v>
      </x:c>
    </x:row>
    <x:row r="659">
      <x:c r="A659" s="1">
        <x:v>46280</x:v>
      </x:c>
      <x:c r="B659" t="s">
        <x:v>4056</x:v>
      </x:c>
      <x:c r="C659" t="s">
        <x:v>2811</x:v>
      </x:c>
      <x:c r="D659" t="s">
        <x:v>269</x:v>
      </x:c>
      <x:c r="E659" t="s">
        <x:v>2812</x:v>
      </x:c>
      <x:c r="F659" t="s">
        <x:v>31</x:v>
      </x:c>
      <x:c r="G659" t="s">
        <x:v>2813</x:v>
      </x:c>
      <x:c r="H659" t="s">
        <x:v>2806</x:v>
      </x:c>
      <x:c r="I659" t="s">
        <x:v>2807</x:v>
      </x:c>
      <x:c r="J659" t="s">
        <x:v>274</x:v>
      </x:c>
      <x:c r="K659" t="s">
        <x:v>275</x:v>
      </x:c>
      <x:c r="L659" t="s">
        <x:v>37</x:v>
      </x:c>
      <x:c r="M659" t="s">
        <x:v>2808</x:v>
      </x:c>
      <x:c r="N659" t="s">
        <x:v>2809</x:v>
      </x:c>
      <x:c r="O659" t="s">
        <x:v>278</x:v>
      </x:c>
      <x:c r="P659" t="s">
        <x:v>2814</x:v>
      </x:c>
      <x:c r="Q659" t="s">
        <x:v>131</x:v>
      </x:c>
      <x:c r="R659">
        <x:v>1</x:v>
      </x:c>
      <x:c r="S659" t="s">
        <x:v>42</x:v>
      </x:c>
      <x:c r="T659" t="s">
        <x:v>44</x:v>
      </x:c>
      <x:c r="U659" t="s">
        <x:v>44</x:v>
      </x:c>
      <x:c r="V659" t="s">
        <x:v>45</x:v>
      </x:c>
      <x:c r="W659" t="s">
        <x:v>60</x:v>
      </x:c>
      <x:c r="X659">
        <x:v>152.54</x:v>
      </x:c>
      <x:c r="Y659" t="s">
        <x:v>47</x:v>
      </x:c>
      <x:c r="Z659" t="s">
        <x:v>48</x:v>
      </x:c>
      <x:c r="AA659" t="s">
        <x:v>49</x:v>
      </x:c>
      <x:c r="AB659">
        <x:v>950133748</x:v>
      </x:c>
      <x:c r="AC659" t="s">
        <x:v>280</x:v>
      </x:c>
      <x:c r="AD659">
        <x:v>30</x:v>
      </x:c>
    </x:row>
    <x:row r="660">
      <x:c r="A660" s="1">
        <x:v>46280</x:v>
      </x:c>
      <x:c r="B660" t="s">
        <x:v>4056</x:v>
      </x:c>
      <x:c r="C660" t="s">
        <x:v>2815</x:v>
      </x:c>
      <x:c r="D660" t="s">
        <x:v>269</x:v>
      </x:c>
      <x:c r="E660" t="s">
        <x:v>2816</x:v>
      </x:c>
      <x:c r="F660" t="s">
        <x:v>31</x:v>
      </x:c>
      <x:c r="G660" t="s">
        <x:v>2817</x:v>
      </x:c>
      <x:c r="H660" t="s">
        <x:v>2818</x:v>
      </x:c>
      <x:c r="I660" t="s">
        <x:v>2819</x:v>
      </x:c>
      <x:c r="J660" t="s">
        <x:v>274</x:v>
      </x:c>
      <x:c r="K660" t="s">
        <x:v>275</x:v>
      </x:c>
      <x:c r="L660" t="s">
        <x:v>37</x:v>
      </x:c>
      <x:c r="M660" t="s">
        <x:v>2820</x:v>
      </x:c>
      <x:c r="N660" t="s">
        <x:v>2821</x:v>
      </x:c>
      <x:c r="O660" t="s">
        <x:v>278</x:v>
      </x:c>
      <x:c r="P660" t="s">
        <x:v>2822</x:v>
      </x:c>
      <x:c r="Q660" t="s">
        <x:v>59</x:v>
      </x:c>
      <x:c r="R660">
        <x:v>2</x:v>
      </x:c>
      <x:c r="S660" t="s">
        <x:v>42</x:v>
      </x:c>
      <x:c r="T660" t="s">
        <x:v>44</x:v>
      </x:c>
      <x:c r="U660" t="s">
        <x:v>44</x:v>
      </x:c>
      <x:c r="V660" t="s">
        <x:v>45</x:v>
      </x:c>
      <x:c r="W660" t="s">
        <x:v>60</x:v>
      </x:c>
      <x:c r="X660">
        <x:v>203.39</x:v>
      </x:c>
      <x:c r="Y660" t="s">
        <x:v>61</x:v>
      </x:c>
      <x:c r="Z660" t="s">
        <x:v>48</x:v>
      </x:c>
      <x:c r="AA660" t="s">
        <x:v>49</x:v>
      </x:c>
      <x:c r="AB660">
        <x:v>950133748</x:v>
      </x:c>
      <x:c r="AC660" t="s">
        <x:v>280</x:v>
      </x:c>
    </x:row>
    <x:row r="661">
      <x:c r="A661" s="1">
        <x:v>46281</x:v>
      </x:c>
      <x:c r="B661" t="s">
        <x:v>4056</x:v>
      </x:c>
      <x:c r="C661" t="s">
        <x:v>2823</x:v>
      </x:c>
      <x:c r="D661" t="s">
        <x:v>269</x:v>
      </x:c>
      <x:c r="E661" t="s">
        <x:v>2824</x:v>
      </x:c>
      <x:c r="F661" t="s">
        <x:v>31</x:v>
      </x:c>
      <x:c r="G661" t="s">
        <x:v>2825</x:v>
      </x:c>
      <x:c r="H661" t="s">
        <x:v>607</x:v>
      </x:c>
      <x:c r="I661" t="s">
        <x:v>608</x:v>
      </x:c>
      <x:c r="J661" t="s">
        <x:v>2784</x:v>
      </x:c>
      <x:c r="K661" t="s">
        <x:v>210</x:v>
      </x:c>
      <x:c r="L661" t="s">
        <x:v>37</x:v>
      </x:c>
      <x:c r="M661" t="s">
        <x:v>609</x:v>
      </x:c>
      <x:c r="N661" t="s">
        <x:v>610</x:v>
      </x:c>
      <x:c r="O661" t="s">
        <x:v>2784</x:v>
      </x:c>
      <x:c r="P661" t="s">
        <x:v>2826</x:v>
      </x:c>
      <x:c r="Q661" t="s">
        <x:v>214</x:v>
      </x:c>
      <x:c r="R661">
        <x:v>1</x:v>
      </x:c>
      <x:c r="S661" t="s">
        <x:v>42</x:v>
      </x:c>
      <x:c r="T661" t="s">
        <x:v>44</x:v>
      </x:c>
      <x:c r="U661" t="s">
        <x:v>44</x:v>
      </x:c>
      <x:c r="V661" t="s">
        <x:v>45</x:v>
      </x:c>
      <x:c r="W661" t="s">
        <x:v>60</x:v>
      </x:c>
      <x:c r="X661">
        <x:v>254.24</x:v>
      </x:c>
      <x:c r="Y661" t="s">
        <x:v>61</x:v>
      </x:c>
      <x:c r="Z661" t="s">
        <x:v>48</x:v>
      </x:c>
      <x:c r="AA661" t="s">
        <x:v>49</x:v>
      </x:c>
    </x:row>
    <x:row r="662">
      <x:c r="A662" s="1">
        <x:v>46281</x:v>
      </x:c>
      <x:c r="B662" t="s">
        <x:v>4056</x:v>
      </x:c>
      <x:c r="C662" t="s">
        <x:v>2827</x:v>
      </x:c>
      <x:c r="D662" t="s">
        <x:v>29</x:v>
      </x:c>
      <x:c r="E662" t="s">
        <x:v>2828</x:v>
      </x:c>
      <x:c r="F662" t="s">
        <x:v>31</x:v>
      </x:c>
      <x:c r="G662" t="s">
        <x:v>2829</x:v>
      </x:c>
      <x:c r="H662" t="s">
        <x:v>2830</x:v>
      </x:c>
      <x:c r="I662" t="s">
        <x:v>2831</x:v>
      </x:c>
      <x:c r="J662" t="s">
        <x:v>664</x:v>
      </x:c>
      <x:c r="K662" t="s">
        <x:v>36</x:v>
      </x:c>
      <x:c r="L662" t="s">
        <x:v>37</x:v>
      </x:c>
      <x:c r="M662" t="s">
        <x:v>2833</x:v>
      </x:c>
      <x:c r="N662" t="s">
        <x:v>2834</x:v>
      </x:c>
      <x:c r="O662" t="s">
        <x:v>2830</x:v>
      </x:c>
      <x:c r="P662" t="s">
        <x:v>2835</x:v>
      </x:c>
      <x:c r="Q662" t="s">
        <x:v>160</x:v>
      </x:c>
      <x:c r="R662">
        <x:v>1</x:v>
      </x:c>
      <x:c r="S662" t="s">
        <x:v>42</x:v>
      </x:c>
      <x:c r="T662" t="s">
        <x:v>44</x:v>
      </x:c>
      <x:c r="U662" t="s">
        <x:v>44</x:v>
      </x:c>
      <x:c r="V662" t="s">
        <x:v>45</x:v>
      </x:c>
      <x:c r="W662" t="s">
        <x:v>46</x:v>
      </x:c>
      <x:c r="X662">
        <x:v>135.59</x:v>
      </x:c>
      <x:c r="Y662" t="s">
        <x:v>47</x:v>
      </x:c>
      <x:c r="Z662" t="s">
        <x:v>48</x:v>
      </x:c>
      <x:c r="AA662" t="s">
        <x:v>49</x:v>
      </x:c>
      <x:c r="AB662">
        <x:v>997145685</x:v>
      </x:c>
      <x:c r="AC662" t="s">
        <x:v>668</x:v>
      </x:c>
      <x:c r="AD662">
        <x:v>30</x:v>
      </x:c>
    </x:row>
    <x:row r="663">
      <x:c r="A663" s="1">
        <x:v>46281</x:v>
      </x:c>
      <x:c r="B663" t="s">
        <x:v>4056</x:v>
      </x:c>
      <x:c r="C663" t="s">
        <x:v>4324</x:v>
      </x:c>
      <x:c r="D663" t="s">
        <x:v>29</x:v>
      </x:c>
      <x:c r="E663" t="s">
        <x:v>4325</x:v>
      </x:c>
      <x:c r="F663" t="s">
        <x:v>31</x:v>
      </x:c>
      <x:c r="G663" t="s">
        <x:v>4326</x:v>
      </x:c>
      <x:c r="H663" t="s">
        <x:v>4327</x:v>
      </x:c>
      <x:c r="I663" t="s">
        <x:v>4328</x:v>
      </x:c>
      <x:c r="J663" t="s">
        <x:v>137</x:v>
      </x:c>
      <x:c r="K663" t="s">
        <x:v>138</x:v>
      </x:c>
      <x:c r="L663" t="s">
        <x:v>37</x:v>
      </x:c>
      <x:c r="M663" t="s">
        <x:v>4329</x:v>
      </x:c>
      <x:c r="N663" t="s">
        <x:v>4330</x:v>
      </x:c>
      <x:c r="O663" t="s">
        <x:v>4327</x:v>
      </x:c>
      <x:c r="P663" t="s">
        <x:v>4331</x:v>
      </x:c>
      <x:c r="Q663" t="s">
        <x:v>160</x:v>
      </x:c>
      <x:c r="R663">
        <x:v>1</x:v>
      </x:c>
      <x:c r="S663" t="s">
        <x:v>42</x:v>
      </x:c>
      <x:c r="T663" t="s">
        <x:v>44</x:v>
      </x:c>
      <x:c r="U663" t="s">
        <x:v>44</x:v>
      </x:c>
      <x:c r="V663" t="s">
        <x:v>45</x:v>
      </x:c>
      <x:c r="W663" t="s">
        <x:v>60</x:v>
      </x:c>
      <x:c r="X663">
        <x:v>135.59</x:v>
      </x:c>
      <x:c r="Y663" t="s">
        <x:v>47</x:v>
      </x:c>
      <x:c r="Z663" t="s">
        <x:v>48</x:v>
      </x:c>
      <x:c r="AA663" t="s">
        <x:v>49</x:v>
      </x:c>
      <x:c r="AB663">
        <x:v>987407712</x:v>
      </x:c>
      <x:c r="AC663" t="s">
        <x:v>142</x:v>
      </x:c>
      <x:c r="AD663">
        <x:v>30</x:v>
      </x:c>
    </x:row>
    <x:row r="664">
      <x:c r="A664" s="1">
        <x:v>46282</x:v>
      </x:c>
      <x:c r="B664" t="s">
        <x:v>4056</x:v>
      </x:c>
      <x:c r="C664" t="s">
        <x:v>2836</x:v>
      </x:c>
      <x:c r="D664" t="s">
        <x:v>29</x:v>
      </x:c>
      <x:c r="E664" t="s">
        <x:v>2837</x:v>
      </x:c>
      <x:c r="F664" t="s">
        <x:v>31</x:v>
      </x:c>
      <x:c r="G664" t="s">
        <x:v>2838</x:v>
      </x:c>
      <x:c r="H664" t="s">
        <x:v>2839</x:v>
      </x:c>
      <x:c r="I664" t="s">
        <x:v>2840</x:v>
      </x:c>
      <x:c r="J664" t="s">
        <x:v>717</x:v>
      </x:c>
      <x:c r="K664" t="s">
        <x:v>718</x:v>
      </x:c>
      <x:c r="L664" t="s">
        <x:v>37</x:v>
      </x:c>
      <x:c r="M664" t="s">
        <x:v>2842</x:v>
      </x:c>
      <x:c r="N664" t="s">
        <x:v>2843</x:v>
      </x:c>
      <x:c r="O664" t="s">
        <x:v>2839</x:v>
      </x:c>
      <x:c r="P664" t="s">
        <x:v>2844</x:v>
      </x:c>
      <x:c r="Q664" t="s">
        <x:v>131</x:v>
      </x:c>
      <x:c r="R664">
        <x:v>1</x:v>
      </x:c>
      <x:c r="S664" t="s">
        <x:v>42</x:v>
      </x:c>
      <x:c r="T664" t="s">
        <x:v>44</x:v>
      </x:c>
      <x:c r="U664" t="s">
        <x:v>44</x:v>
      </x:c>
      <x:c r="V664" t="s">
        <x:v>45</x:v>
      </x:c>
      <x:c r="W664" t="s">
        <x:v>46</x:v>
      </x:c>
      <x:c r="X664">
        <x:v>152.54</x:v>
      </x:c>
      <x:c r="Y664" t="s">
        <x:v>47</x:v>
      </x:c>
      <x:c r="Z664" t="s">
        <x:v>48</x:v>
      </x:c>
      <x:c r="AA664" t="s">
        <x:v>49</x:v>
      </x:c>
      <x:c r="AB664">
        <x:v>955356636</x:v>
      </x:c>
      <x:c r="AC664" t="s">
        <x:v>722</x:v>
      </x:c>
      <x:c r="AD664">
        <x:v>30</x:v>
      </x:c>
    </x:row>
    <x:row r="665">
      <x:c r="A665" s="1">
        <x:v>46282</x:v>
      </x:c>
      <x:c r="B665" t="s">
        <x:v>4056</x:v>
      </x:c>
      <x:c r="C665" t="s">
        <x:v>2845</x:v>
      </x:c>
      <x:c r="D665" t="s">
        <x:v>400</x:v>
      </x:c>
      <x:c r="E665" t="s">
        <x:v>2837</x:v>
      </x:c>
      <x:c r="F665" t="s">
        <x:v>401</x:v>
      </x:c>
      <x:c r="G665" t="s">
        <x:v>2846</x:v>
      </x:c>
      <x:c r="H665" t="s">
        <x:v>2839</x:v>
      </x:c>
      <x:c r="I665" t="s">
        <x:v>2840</x:v>
      </x:c>
      <x:c r="J665" t="s">
        <x:v>717</x:v>
      </x:c>
      <x:c r="K665" t="s">
        <x:v>718</x:v>
      </x:c>
      <x:c r="L665" t="s">
        <x:v>401</x:v>
      </x:c>
      <x:c r="M665" t="s">
        <x:v>2842</x:v>
      </x:c>
      <x:c r="N665" t="s">
        <x:v>2843</x:v>
      </x:c>
      <x:c r="O665" t="s">
        <x:v>2839</x:v>
      </x:c>
      <x:c r="P665" t="s">
        <x:v>2844</x:v>
      </x:c>
      <x:c r="Q665" t="s">
        <x:v>131</x:v>
      </x:c>
      <x:c r="R665">
        <x:v>1</x:v>
      </x:c>
      <x:c r="S665" t="s">
        <x:v>42</x:v>
      </x:c>
      <x:c r="T665" t="s">
        <x:v>44</x:v>
      </x:c>
      <x:c r="U665" t="s">
        <x:v>44</x:v>
      </x:c>
      <x:c r="V665" t="s">
        <x:v>45</x:v>
      </x:c>
      <x:c r="W665" t="s">
        <x:v>46</x:v>
      </x:c>
      <x:c r="X665">
        <x:v>-152.54</x:v>
      </x:c>
      <x:c r="Y665" t="s">
        <x:v>47</x:v>
      </x:c>
      <x:c r="Z665" t="s">
        <x:v>48</x:v>
      </x:c>
      <x:c r="AA665" t="s">
        <x:v>49</x:v>
      </x:c>
      <x:c r="AB665">
        <x:v>955356636</x:v>
      </x:c>
      <x:c r="AC665" t="s">
        <x:v>722</x:v>
      </x:c>
      <x:c r="AD665">
        <x:v>30</x:v>
      </x:c>
    </x:row>
    <x:row r="666">
      <x:c r="A666" s="1">
        <x:v>46282</x:v>
      </x:c>
      <x:c r="B666" t="s">
        <x:v>4056</x:v>
      </x:c>
      <x:c r="C666" t="s">
        <x:v>2847</x:v>
      </x:c>
      <x:c r="D666" t="s">
        <x:v>29</x:v>
      </x:c>
      <x:c r="E666" t="s">
        <x:v>2848</x:v>
      </x:c>
      <x:c r="F666" t="s">
        <x:v>31</x:v>
      </x:c>
      <x:c r="G666" t="s">
        <x:v>2849</x:v>
      </x:c>
      <x:c r="H666" t="s">
        <x:v>2850</x:v>
      </x:c>
      <x:c r="I666" t="s">
        <x:v>2851</x:v>
      </x:c>
      <x:c r="J666" t="s">
        <x:v>4332</x:v>
      </x:c>
      <x:c r="L666" t="s">
        <x:v>37</x:v>
      </x:c>
      <x:c r="M666" t="s">
        <x:v>2852</x:v>
      </x:c>
      <x:c r="N666" t="s">
        <x:v>2853</x:v>
      </x:c>
      <x:c r="O666" t="s">
        <x:v>2850</x:v>
      </x:c>
      <x:c r="P666" t="s">
        <x:v>2854</x:v>
      </x:c>
      <x:c r="Q666" t="s">
        <x:v>1569</x:v>
      </x:c>
      <x:c r="R666">
        <x:v>1</x:v>
      </x:c>
      <x:c r="S666" t="s">
        <x:v>42</x:v>
      </x:c>
      <x:c r="T666" t="s">
        <x:v>44</x:v>
      </x:c>
      <x:c r="U666" t="s">
        <x:v>44</x:v>
      </x:c>
      <x:c r="V666" t="s">
        <x:v>45</x:v>
      </x:c>
      <x:c r="W666" t="s">
        <x:v>46</x:v>
      </x:c>
      <x:c r="X666">
        <x:v>152.54</x:v>
      </x:c>
      <x:c r="Y666" t="s">
        <x:v>61</x:v>
      </x:c>
      <x:c r="Z666" t="s">
        <x:v>48</x:v>
      </x:c>
      <x:c r="AA666" t="s">
        <x:v>49</x:v>
      </x:c>
    </x:row>
    <x:row r="667">
      <x:c r="A667" s="1">
        <x:v>46282</x:v>
      </x:c>
      <x:c r="B667" t="s">
        <x:v>4056</x:v>
      </x:c>
      <x:c r="C667" t="s">
        <x:v>2855</x:v>
      </x:c>
      <x:c r="D667" t="s">
        <x:v>29</x:v>
      </x:c>
      <x:c r="E667" t="s">
        <x:v>2856</x:v>
      </x:c>
      <x:c r="F667" t="s">
        <x:v>31</x:v>
      </x:c>
      <x:c r="G667" t="s">
        <x:v>2857</x:v>
      </x:c>
      <x:c r="H667" t="s">
        <x:v>2858</x:v>
      </x:c>
      <x:c r="I667" t="s">
        <x:v>2859</x:v>
      </x:c>
      <x:c r="J667" t="s">
        <x:v>1155</x:v>
      </x:c>
      <x:c r="K667" t="s">
        <x:v>1156</x:v>
      </x:c>
      <x:c r="L667" t="s">
        <x:v>37</x:v>
      </x:c>
      <x:c r="M667" t="s">
        <x:v>2861</x:v>
      </x:c>
      <x:c r="N667" t="s">
        <x:v>2862</x:v>
      </x:c>
      <x:c r="O667" t="s">
        <x:v>2858</x:v>
      </x:c>
      <x:c r="P667" t="s">
        <x:v>2863</x:v>
      </x:c>
      <x:c r="Q667" t="s">
        <x:v>203</x:v>
      </x:c>
      <x:c r="R667">
        <x:v>1</x:v>
      </x:c>
      <x:c r="S667" t="s">
        <x:v>42</x:v>
      </x:c>
      <x:c r="T667" t="s">
        <x:v>44</x:v>
      </x:c>
      <x:c r="U667" t="s">
        <x:v>44</x:v>
      </x:c>
      <x:c r="V667" t="s">
        <x:v>45</x:v>
      </x:c>
      <x:c r="W667" t="s">
        <x:v>60</x:v>
      </x:c>
      <x:c r="X667">
        <x:v>135.59</x:v>
      </x:c>
      <x:c r="Y667" t="s">
        <x:v>47</x:v>
      </x:c>
      <x:c r="Z667" t="s">
        <x:v>48</x:v>
      </x:c>
      <x:c r="AA667" t="s">
        <x:v>49</x:v>
      </x:c>
      <x:c r="AB667">
        <x:v>995868651</x:v>
      </x:c>
      <x:c r="AC667" t="s">
        <x:v>1160</x:v>
      </x:c>
      <x:c r="AD667">
        <x:v>30</x:v>
      </x:c>
    </x:row>
    <x:row r="668">
      <x:c r="A668" s="1">
        <x:v>46282</x:v>
      </x:c>
      <x:c r="B668" t="s">
        <x:v>4056</x:v>
      </x:c>
      <x:c r="C668" t="s">
        <x:v>2864</x:v>
      </x:c>
      <x:c r="D668" t="s">
        <x:v>29</x:v>
      </x:c>
      <x:c r="E668" t="s">
        <x:v>2865</x:v>
      </x:c>
      <x:c r="F668" t="s">
        <x:v>31</x:v>
      </x:c>
      <x:c r="G668" t="s">
        <x:v>2866</x:v>
      </x:c>
      <x:c r="H668" t="s">
        <x:v>2867</x:v>
      </x:c>
      <x:c r="I668" t="s">
        <x:v>2868</x:v>
      </x:c>
      <x:c r="J668" t="s">
        <x:v>478</x:v>
      </x:c>
      <x:c r="K668" t="s">
        <x:v>210</x:v>
      </x:c>
      <x:c r="L668" t="s">
        <x:v>37</x:v>
      </x:c>
      <x:c r="M668" t="s">
        <x:v>2869</x:v>
      </x:c>
      <x:c r="N668" t="s">
        <x:v>2870</x:v>
      </x:c>
      <x:c r="O668" t="s">
        <x:v>2867</x:v>
      </x:c>
      <x:c r="P668" t="s">
        <x:v>2871</x:v>
      </x:c>
      <x:c r="Q668" t="s">
        <x:v>102</x:v>
      </x:c>
      <x:c r="R668">
        <x:v>1</x:v>
      </x:c>
      <x:c r="S668" t="s">
        <x:v>70</x:v>
      </x:c>
      <x:c r="T668" t="s">
        <x:v>43</x:v>
      </x:c>
      <x:c r="U668" t="s">
        <x:v>44</x:v>
      </x:c>
      <x:c r="V668" t="s">
        <x:v>71</x:v>
      </x:c>
      <x:c r="W668" t="s">
        <x:v>72</x:v>
      </x:c>
      <x:c r="X668">
        <x:v>186.44</x:v>
      </x:c>
      <x:c r="Y668" t="s">
        <x:v>47</x:v>
      </x:c>
      <x:c r="Z668" t="s">
        <x:v>48</x:v>
      </x:c>
      <x:c r="AA668" t="s">
        <x:v>73</x:v>
      </x:c>
      <x:c r="AB668">
        <x:v>982536223</x:v>
      </x:c>
      <x:c r="AC668" t="s">
        <x:v>483</x:v>
      </x:c>
      <x:c r="AD668">
        <x:v>50</x:v>
      </x:c>
    </x:row>
    <x:row r="669">
      <x:c r="A669" s="1">
        <x:v>46282</x:v>
      </x:c>
      <x:c r="B669" t="s">
        <x:v>4056</x:v>
      </x:c>
      <x:c r="C669" t="s">
        <x:v>2872</x:v>
      </x:c>
      <x:c r="D669" t="s">
        <x:v>269</x:v>
      </x:c>
      <x:c r="E669" t="s">
        <x:v>2873</x:v>
      </x:c>
      <x:c r="F669" t="s">
        <x:v>31</x:v>
      </x:c>
      <x:c r="G669" t="s">
        <x:v>2874</x:v>
      </x:c>
      <x:c r="H669" t="s">
        <x:v>2875</x:v>
      </x:c>
      <x:c r="I669" t="s">
        <x:v>2876</x:v>
      </x:c>
      <x:c r="J669" t="s">
        <x:v>3080</x:v>
      </x:c>
      <x:c r="K669" t="s">
        <x:v>777</x:v>
      </x:c>
      <x:c r="L669" t="s">
        <x:v>37</x:v>
      </x:c>
      <x:c r="M669" t="s">
        <x:v>2878</x:v>
      </x:c>
      <x:c r="N669" t="s">
        <x:v>2879</x:v>
      </x:c>
      <x:c r="O669" t="s">
        <x:v>2880</x:v>
      </x:c>
      <x:c r="P669" t="s">
        <x:v>2881</x:v>
      </x:c>
      <x:c r="Q669" t="s">
        <x:v>41</x:v>
      </x:c>
      <x:c r="R669">
        <x:v>1</x:v>
      </x:c>
      <x:c r="S669" t="s">
        <x:v>42</x:v>
      </x:c>
      <x:c r="T669" t="s">
        <x:v>44</x:v>
      </x:c>
      <x:c r="U669" t="s">
        <x:v>44</x:v>
      </x:c>
      <x:c r="V669" t="s">
        <x:v>45</x:v>
      </x:c>
      <x:c r="W669" t="s">
        <x:v>60</x:v>
      </x:c>
      <x:c r="X669">
        <x:v>186.44</x:v>
      </x:c>
      <x:c r="Y669" t="s">
        <x:v>47</x:v>
      </x:c>
      <x:c r="Z669" t="s">
        <x:v>48</x:v>
      </x:c>
      <x:c r="AA669" t="s">
        <x:v>49</x:v>
      </x:c>
      <x:c r="AB669">
        <x:v>937242809</x:v>
      </x:c>
      <x:c r="AC669" t="s">
        <x:v>3081</x:v>
      </x:c>
      <x:c r="AD669">
        <x:v>50</x:v>
      </x:c>
    </x:row>
    <x:row r="670">
      <x:c r="A670" s="1">
        <x:v>46283</x:v>
      </x:c>
      <x:c r="B670" t="s">
        <x:v>4056</x:v>
      </x:c>
      <x:c r="C670" t="s">
        <x:v>4333</x:v>
      </x:c>
      <x:c r="D670" t="s">
        <x:v>29</x:v>
      </x:c>
      <x:c r="E670" t="s">
        <x:v>4334</x:v>
      </x:c>
      <x:c r="F670" t="s">
        <x:v>31</x:v>
      </x:c>
      <x:c r="G670" t="s">
        <x:v>4335</x:v>
      </x:c>
      <x:c r="H670" t="s">
        <x:v>4336</x:v>
      </x:c>
      <x:c r="I670" t="s">
        <x:v>4337</x:v>
      </x:c>
      <x:c r="J670" t="s">
        <x:v>137</x:v>
      </x:c>
      <x:c r="K670" t="s">
        <x:v>138</x:v>
      </x:c>
      <x:c r="L670" t="s">
        <x:v>37</x:v>
      </x:c>
      <x:c r="M670" t="s">
        <x:v>4338</x:v>
      </x:c>
      <x:c r="N670" t="s">
        <x:v>4339</x:v>
      </x:c>
      <x:c r="O670" t="s">
        <x:v>4336</x:v>
      </x:c>
      <x:c r="P670" t="s">
        <x:v>4340</x:v>
      </x:c>
      <x:c r="Q670" t="s">
        <x:v>131</x:v>
      </x:c>
      <x:c r="R670">
        <x:v>1</x:v>
      </x:c>
      <x:c r="S670" t="s">
        <x:v>42</x:v>
      </x:c>
      <x:c r="T670" t="s">
        <x:v>44</x:v>
      </x:c>
      <x:c r="U670" t="s">
        <x:v>44</x:v>
      </x:c>
      <x:c r="V670" t="s">
        <x:v>71</x:v>
      </x:c>
      <x:c r="W670" t="s">
        <x:v>72</x:v>
      </x:c>
      <x:c r="X670">
        <x:v>152.54</x:v>
      </x:c>
      <x:c r="Y670" t="s">
        <x:v>47</x:v>
      </x:c>
      <x:c r="Z670" t="s">
        <x:v>48</x:v>
      </x:c>
      <x:c r="AA670" t="s">
        <x:v>73</x:v>
      </x:c>
      <x:c r="AB670">
        <x:v>987407712</x:v>
      </x:c>
      <x:c r="AC670" t="s">
        <x:v>142</x:v>
      </x:c>
      <x:c r="AD670">
        <x:v>30</x:v>
      </x:c>
    </x:row>
    <x:row r="671">
      <x:c r="A671" s="1">
        <x:v>46283</x:v>
      </x:c>
      <x:c r="B671" t="s">
        <x:v>4056</x:v>
      </x:c>
      <x:c r="C671" t="s">
        <x:v>4341</x:v>
      </x:c>
      <x:c r="D671" t="s">
        <x:v>29</x:v>
      </x:c>
      <x:c r="E671" t="s">
        <x:v>4342</x:v>
      </x:c>
      <x:c r="F671" t="s">
        <x:v>31</x:v>
      </x:c>
      <x:c r="G671" t="s">
        <x:v>4343</x:v>
      </x:c>
      <x:c r="H671" t="s">
        <x:v>4344</x:v>
      </x:c>
      <x:c r="I671" t="s">
        <x:v>4345</x:v>
      </x:c>
      <x:c r="J671" t="s">
        <x:v>1444</x:v>
      </x:c>
      <x:c r="K671" t="s">
        <x:v>1100</x:v>
      </x:c>
      <x:c r="L671" t="s">
        <x:v>37</x:v>
      </x:c>
      <x:c r="M671" t="s">
        <x:v>4346</x:v>
      </x:c>
      <x:c r="N671" t="s">
        <x:v>4347</x:v>
      </x:c>
      <x:c r="O671" t="s">
        <x:v>4344</x:v>
      </x:c>
      <x:c r="P671" t="s">
        <x:v>4348</x:v>
      </x:c>
      <x:c r="Q671" t="s">
        <x:v>131</x:v>
      </x:c>
      <x:c r="R671">
        <x:v>1</x:v>
      </x:c>
      <x:c r="S671" t="s">
        <x:v>42</x:v>
      </x:c>
      <x:c r="T671" t="s">
        <x:v>44</x:v>
      </x:c>
      <x:c r="U671" t="s">
        <x:v>44</x:v>
      </x:c>
      <x:c r="V671" t="s">
        <x:v>71</x:v>
      </x:c>
      <x:c r="W671" t="s">
        <x:v>72</x:v>
      </x:c>
      <x:c r="X671">
        <x:v>152.54</x:v>
      </x:c>
      <x:c r="Y671" t="s">
        <x:v>47</x:v>
      </x:c>
      <x:c r="Z671" t="s">
        <x:v>48</x:v>
      </x:c>
      <x:c r="AA671" t="s">
        <x:v>73</x:v>
      </x:c>
      <x:c r="AB671">
        <x:v>999418834</x:v>
      </x:c>
      <x:c r="AC671" t="s">
        <x:v>1446</x:v>
      </x:c>
      <x:c r="AD671">
        <x:v>30</x:v>
      </x:c>
    </x:row>
    <x:row r="672">
      <x:c r="A672" s="1">
        <x:v>46284</x:v>
      </x:c>
      <x:c r="B672" t="s">
        <x:v>4056</x:v>
      </x:c>
      <x:c r="C672" t="s">
        <x:v>2882</x:v>
      </x:c>
      <x:c r="D672" t="s">
        <x:v>29</x:v>
      </x:c>
      <x:c r="E672" t="s">
        <x:v>2883</x:v>
      </x:c>
      <x:c r="F672" t="s">
        <x:v>31</x:v>
      </x:c>
      <x:c r="G672" t="s">
        <x:v>2884</x:v>
      </x:c>
      <x:c r="H672" t="s">
        <x:v>2885</x:v>
      </x:c>
      <x:c r="I672" t="s">
        <x:v>2886</x:v>
      </x:c>
      <x:c r="J672" t="s">
        <x:v>1110</x:v>
      </x:c>
      <x:c r="K672" t="s">
        <x:v>210</x:v>
      </x:c>
      <x:c r="L672" t="s">
        <x:v>37</x:v>
      </x:c>
      <x:c r="M672" t="s">
        <x:v>2887</x:v>
      </x:c>
      <x:c r="N672" t="s">
        <x:v>2888</x:v>
      </x:c>
      <x:c r="O672" t="s">
        <x:v>2885</x:v>
      </x:c>
      <x:c r="P672" t="s">
        <x:v>2889</x:v>
      </x:c>
      <x:c r="Q672" t="s">
        <x:v>131</x:v>
      </x:c>
      <x:c r="R672">
        <x:v>1</x:v>
      </x:c>
      <x:c r="S672" t="s">
        <x:v>70</x:v>
      </x:c>
      <x:c r="T672" t="s">
        <x:v>43</x:v>
      </x:c>
      <x:c r="U672" t="s">
        <x:v>44</x:v>
      </x:c>
      <x:c r="V672" t="s">
        <x:v>71</x:v>
      </x:c>
      <x:c r="W672" t="s">
        <x:v>72</x:v>
      </x:c>
      <x:c r="X672">
        <x:v>152.54</x:v>
      </x:c>
      <x:c r="Y672" t="s">
        <x:v>47</x:v>
      </x:c>
      <x:c r="Z672" t="s">
        <x:v>48</x:v>
      </x:c>
      <x:c r="AA672" t="s">
        <x:v>73</x:v>
      </x:c>
      <x:c r="AB672">
        <x:v>970582106</x:v>
      </x:c>
      <x:c r="AC672" t="s">
        <x:v>1115</x:v>
      </x:c>
      <x:c r="AD672">
        <x:v>30</x:v>
      </x:c>
    </x:row>
    <x:row r="673">
      <x:c r="A673" s="1">
        <x:v>46284</x:v>
      </x:c>
      <x:c r="B673" t="s">
        <x:v>4056</x:v>
      </x:c>
      <x:c r="C673" t="s">
        <x:v>2890</x:v>
      </x:c>
      <x:c r="D673" t="s">
        <x:v>29</x:v>
      </x:c>
      <x:c r="E673" t="s">
        <x:v>2891</x:v>
      </x:c>
      <x:c r="F673" t="s">
        <x:v>31</x:v>
      </x:c>
      <x:c r="G673" t="s">
        <x:v>2892</x:v>
      </x:c>
      <x:c r="H673" t="s">
        <x:v>2893</x:v>
      </x:c>
      <x:c r="I673" t="s">
        <x:v>2894</x:v>
      </x:c>
      <x:c r="J673" t="s">
        <x:v>776</x:v>
      </x:c>
      <x:c r="K673" t="s">
        <x:v>777</x:v>
      </x:c>
      <x:c r="L673" t="s">
        <x:v>37</x:v>
      </x:c>
      <x:c r="M673" t="s">
        <x:v>2896</x:v>
      </x:c>
      <x:c r="N673" t="s">
        <x:v>2897</x:v>
      </x:c>
      <x:c r="O673" t="s">
        <x:v>2893</x:v>
      </x:c>
      <x:c r="P673" t="s">
        <x:v>2898</x:v>
      </x:c>
      <x:c r="Q673" t="s">
        <x:v>91</x:v>
      </x:c>
      <x:c r="R673">
        <x:v>1</x:v>
      </x:c>
      <x:c r="S673" t="s">
        <x:v>42</x:v>
      </x:c>
      <x:c r="T673" t="s">
        <x:v>44</x:v>
      </x:c>
      <x:c r="U673" t="s">
        <x:v>44</x:v>
      </x:c>
      <x:c r="V673" t="s">
        <x:v>45</x:v>
      </x:c>
      <x:c r="W673" t="s">
        <x:v>60</x:v>
      </x:c>
      <x:c r="X673">
        <x:v>135.59</x:v>
      </x:c>
      <x:c r="Y673" t="s">
        <x:v>47</x:v>
      </x:c>
      <x:c r="Z673" t="s">
        <x:v>48</x:v>
      </x:c>
      <x:c r="AA673" t="s">
        <x:v>49</x:v>
      </x:c>
      <x:c r="AD673">
        <x:v>30</x:v>
      </x:c>
    </x:row>
    <x:row r="674">
      <x:c r="A674" s="1">
        <x:v>46284</x:v>
      </x:c>
      <x:c r="B674" t="s">
        <x:v>4056</x:v>
      </x:c>
      <x:c r="C674" t="s">
        <x:v>2899</x:v>
      </x:c>
      <x:c r="D674" t="s">
        <x:v>29</x:v>
      </x:c>
      <x:c r="E674" t="s">
        <x:v>2900</x:v>
      </x:c>
      <x:c r="F674" t="s">
        <x:v>31</x:v>
      </x:c>
      <x:c r="G674" t="s">
        <x:v>2901</x:v>
      </x:c>
      <x:c r="H674" t="s">
        <x:v>2902</x:v>
      </x:c>
      <x:c r="I674" t="s">
        <x:v>2903</x:v>
      </x:c>
      <x:c r="J674" t="s">
        <x:v>137</x:v>
      </x:c>
      <x:c r="K674" t="s">
        <x:v>138</x:v>
      </x:c>
      <x:c r="L674" t="s">
        <x:v>37</x:v>
      </x:c>
      <x:c r="M674" t="s">
        <x:v>2905</x:v>
      </x:c>
      <x:c r="N674" t="s">
        <x:v>2906</x:v>
      </x:c>
      <x:c r="O674" t="s">
        <x:v>2902</x:v>
      </x:c>
      <x:c r="P674" t="s">
        <x:v>2907</x:v>
      </x:c>
      <x:c r="Q674" t="s">
        <x:v>202</x:v>
      </x:c>
      <x:c r="R674">
        <x:v>1</x:v>
      </x:c>
      <x:c r="S674" t="s">
        <x:v>42</x:v>
      </x:c>
      <x:c r="T674" t="s">
        <x:v>44</x:v>
      </x:c>
      <x:c r="U674" t="s">
        <x:v>44</x:v>
      </x:c>
      <x:c r="V674" t="s">
        <x:v>45</x:v>
      </x:c>
      <x:c r="W674" t="s">
        <x:v>60</x:v>
      </x:c>
      <x:c r="X674">
        <x:v>152.54</x:v>
      </x:c>
      <x:c r="Y674" t="s">
        <x:v>47</x:v>
      </x:c>
      <x:c r="Z674" t="s">
        <x:v>48</x:v>
      </x:c>
      <x:c r="AA674" t="s">
        <x:v>49</x:v>
      </x:c>
      <x:c r="AB674">
        <x:v>987407712</x:v>
      </x:c>
      <x:c r="AC674" t="s">
        <x:v>142</x:v>
      </x:c>
      <x:c r="AD674">
        <x:v>30</x:v>
      </x:c>
    </x:row>
    <x:row r="675">
      <x:c r="A675" s="1">
        <x:v>46284</x:v>
      </x:c>
      <x:c r="B675" t="s">
        <x:v>4056</x:v>
      </x:c>
      <x:c r="C675" t="s">
        <x:v>4349</x:v>
      </x:c>
      <x:c r="D675" t="s">
        <x:v>269</x:v>
      </x:c>
      <x:c r="E675" t="s">
        <x:v>4350</x:v>
      </x:c>
      <x:c r="F675" t="s">
        <x:v>31</x:v>
      </x:c>
      <x:c r="G675" t="s">
        <x:v>4351</x:v>
      </x:c>
      <x:c r="H675" t="s">
        <x:v>4352</x:v>
      </x:c>
      <x:c r="I675" t="s">
        <x:v>4353</x:v>
      </x:c>
      <x:c r="J675" t="s">
        <x:v>274</x:v>
      </x:c>
      <x:c r="K675" t="s">
        <x:v>275</x:v>
      </x:c>
      <x:c r="L675" t="s">
        <x:v>37</x:v>
      </x:c>
      <x:c r="M675" t="s">
        <x:v>4354</x:v>
      </x:c>
      <x:c r="N675" t="s">
        <x:v>4355</x:v>
      </x:c>
      <x:c r="O675" t="s">
        <x:v>4356</x:v>
      </x:c>
      <x:c r="P675" t="s">
        <x:v>4357</x:v>
      </x:c>
      <x:c r="Q675" t="s">
        <x:v>160</x:v>
      </x:c>
      <x:c r="R675">
        <x:v>1</x:v>
      </x:c>
      <x:c r="S675" t="s">
        <x:v>42</x:v>
      </x:c>
      <x:c r="T675" t="s">
        <x:v>44</x:v>
      </x:c>
      <x:c r="U675" t="s">
        <x:v>44</x:v>
      </x:c>
      <x:c r="V675" t="s">
        <x:v>71</x:v>
      </x:c>
      <x:c r="W675" t="s">
        <x:v>185</x:v>
      </x:c>
      <x:c r="X675">
        <x:v>135.59</x:v>
      </x:c>
      <x:c r="Y675" t="s">
        <x:v>47</x:v>
      </x:c>
      <x:c r="Z675" t="s">
        <x:v>48</x:v>
      </x:c>
      <x:c r="AA675" t="s">
        <x:v>73</x:v>
      </x:c>
      <x:c r="AB675">
        <x:v>950133748</x:v>
      </x:c>
      <x:c r="AC675" t="s">
        <x:v>280</x:v>
      </x:c>
      <x:c r="AD675">
        <x:v>30</x:v>
      </x:c>
    </x:row>
    <x:row r="676">
      <x:c r="A676" s="1">
        <x:v>46284</x:v>
      </x:c>
      <x:c r="B676" t="s">
        <x:v>4056</x:v>
      </x:c>
      <x:c r="C676" t="s">
        <x:v>4358</x:v>
      </x:c>
      <x:c r="D676" t="s">
        <x:v>29</x:v>
      </x:c>
      <x:c r="E676" t="s">
        <x:v>4359</x:v>
      </x:c>
      <x:c r="F676" t="s">
        <x:v>31</x:v>
      </x:c>
      <x:c r="G676" t="s">
        <x:v>4360</x:v>
      </x:c>
      <x:c r="H676" t="s">
        <x:v>4361</x:v>
      </x:c>
      <x:c r="I676" t="s">
        <x:v>4362</x:v>
      </x:c>
      <x:c r="L676" t="s">
        <x:v>37</x:v>
      </x:c>
      <x:c r="M676" t="s">
        <x:v>4363</x:v>
      </x:c>
      <x:c r="N676" t="s">
        <x:v>4364</x:v>
      </x:c>
      <x:c r="O676" t="s">
        <x:v>4361</x:v>
      </x:c>
      <x:c r="P676" t="s">
        <x:v>4365</x:v>
      </x:c>
      <x:c r="Q676" t="s">
        <x:v>91</x:v>
      </x:c>
      <x:c r="R676">
        <x:v>1</x:v>
      </x:c>
      <x:c r="S676" t="s">
        <x:v>42</x:v>
      </x:c>
      <x:c r="T676" t="s">
        <x:v>44</x:v>
      </x:c>
      <x:c r="U676" t="s">
        <x:v>44</x:v>
      </x:c>
      <x:c r="V676" t="s">
        <x:v>532</x:v>
      </x:c>
      <x:c r="W676" t="s">
        <x:v>1980</x:v>
      </x:c>
      <x:c r="X676">
        <x:v>135.59</x:v>
      </x:c>
      <x:c r="Y676" t="s">
        <x:v>47</x:v>
      </x:c>
      <x:c r="Z676" t="s">
        <x:v>48</x:v>
      </x:c>
      <x:c r="AA676" t="s">
        <x:v>535</x:v>
      </x:c>
      <x:c r="AD676">
        <x:v>30</x:v>
      </x:c>
    </x:row>
    <x:row r="677">
      <x:c r="A677" s="1">
        <x:v>46284</x:v>
      </x:c>
      <x:c r="B677" t="s">
        <x:v>4056</x:v>
      </x:c>
      <x:c r="C677" t="s">
        <x:v>4366</x:v>
      </x:c>
      <x:c r="D677" t="s">
        <x:v>29</x:v>
      </x:c>
      <x:c r="E677" t="s">
        <x:v>4367</x:v>
      </x:c>
      <x:c r="F677" t="s">
        <x:v>31</x:v>
      </x:c>
      <x:c r="G677" t="s">
        <x:v>4368</x:v>
      </x:c>
      <x:c r="H677" t="s">
        <x:v>4369</x:v>
      </x:c>
      <x:c r="I677" t="s">
        <x:v>4370</x:v>
      </x:c>
      <x:c r="J677" t="s">
        <x:v>776</x:v>
      </x:c>
      <x:c r="K677" t="s">
        <x:v>777</x:v>
      </x:c>
      <x:c r="L677" t="s">
        <x:v>37</x:v>
      </x:c>
      <x:c r="M677" t="s">
        <x:v>4371</x:v>
      </x:c>
      <x:c r="N677" t="s">
        <x:v>4372</x:v>
      </x:c>
      <x:c r="O677" t="s">
        <x:v>4369</x:v>
      </x:c>
      <x:c r="P677" t="s">
        <x:v>4373</x:v>
      </x:c>
      <x:c r="Q677" t="s">
        <x:v>202</x:v>
      </x:c>
      <x:c r="R677">
        <x:v>1</x:v>
      </x:c>
      <x:c r="S677" t="s">
        <x:v>42</x:v>
      </x:c>
      <x:c r="T677" t="s">
        <x:v>44</x:v>
      </x:c>
      <x:c r="U677" t="s">
        <x:v>44</x:v>
      </x:c>
      <x:c r="V677" t="s">
        <x:v>45</x:v>
      </x:c>
      <x:c r="W677" t="s">
        <x:v>60</x:v>
      </x:c>
      <x:c r="X677">
        <x:v>152.54</x:v>
      </x:c>
      <x:c r="Y677" t="s">
        <x:v>47</x:v>
      </x:c>
      <x:c r="Z677" t="s">
        <x:v>48</x:v>
      </x:c>
      <x:c r="AA677" t="s">
        <x:v>49</x:v>
      </x:c>
      <x:c r="AD677">
        <x:v>30</x:v>
      </x:c>
    </x:row>
    <x:row r="678">
      <x:c r="A678" s="1">
        <x:v>46284</x:v>
      </x:c>
      <x:c r="B678" t="s">
        <x:v>4056</x:v>
      </x:c>
      <x:c r="C678" t="s">
        <x:v>4374</x:v>
      </x:c>
      <x:c r="D678" t="s">
        <x:v>29</x:v>
      </x:c>
      <x:c r="E678" t="s">
        <x:v>4375</x:v>
      </x:c>
      <x:c r="F678" t="s">
        <x:v>31</x:v>
      </x:c>
      <x:c r="G678" t="s">
        <x:v>4376</x:v>
      </x:c>
      <x:c r="H678" t="s">
        <x:v>4377</x:v>
      </x:c>
      <x:c r="I678" t="s">
        <x:v>4378</x:v>
      </x:c>
      <x:c r="L678" t="s">
        <x:v>37</x:v>
      </x:c>
      <x:c r="M678" t="s">
        <x:v>4379</x:v>
      </x:c>
      <x:c r="N678" t="s">
        <x:v>4380</x:v>
      </x:c>
      <x:c r="O678" t="s">
        <x:v>4377</x:v>
      </x:c>
      <x:c r="P678" t="s">
        <x:v>4381</x:v>
      </x:c>
      <x:c r="Q678" t="s">
        <x:v>203</x:v>
      </x:c>
      <x:c r="R678">
        <x:v>1</x:v>
      </x:c>
      <x:c r="S678" t="s">
        <x:v>42</x:v>
      </x:c>
      <x:c r="T678" t="s">
        <x:v>44</x:v>
      </x:c>
      <x:c r="U678" t="s">
        <x:v>44</x:v>
      </x:c>
      <x:c r="V678" t="s">
        <x:v>45</x:v>
      </x:c>
      <x:c r="W678" t="s">
        <x:v>60</x:v>
      </x:c>
      <x:c r="X678">
        <x:v>135.59</x:v>
      </x:c>
      <x:c r="Y678" t="s">
        <x:v>47</x:v>
      </x:c>
      <x:c r="Z678" t="s">
        <x:v>48</x:v>
      </x:c>
      <x:c r="AA678" t="s">
        <x:v>49</x:v>
      </x:c>
      <x:c r="AD678">
        <x:v>30</x:v>
      </x:c>
    </x:row>
    <x:row r="679">
      <x:c r="A679" s="1">
        <x:v>46284</x:v>
      </x:c>
      <x:c r="B679" t="s">
        <x:v>4056</x:v>
      </x:c>
      <x:c r="C679" t="s">
        <x:v>4374</x:v>
      </x:c>
      <x:c r="D679" t="s">
        <x:v>29</x:v>
      </x:c>
      <x:c r="E679" t="s">
        <x:v>4375</x:v>
      </x:c>
      <x:c r="F679" t="s">
        <x:v>31</x:v>
      </x:c>
      <x:c r="G679" t="s">
        <x:v>4376</x:v>
      </x:c>
      <x:c r="H679" t="s">
        <x:v>4377</x:v>
      </x:c>
      <x:c r="I679" t="s">
        <x:v>4378</x:v>
      </x:c>
      <x:c r="L679" t="s">
        <x:v>37</x:v>
      </x:c>
      <x:c r="M679" t="s">
        <x:v>4379</x:v>
      </x:c>
      <x:c r="N679" t="s">
        <x:v>4380</x:v>
      </x:c>
      <x:c r="O679" t="s">
        <x:v>4377</x:v>
      </x:c>
      <x:c r="P679" t="s">
        <x:v>4381</x:v>
      </x:c>
      <x:c r="Q679" t="s">
        <x:v>202</x:v>
      </x:c>
      <x:c r="R679">
        <x:v>1</x:v>
      </x:c>
      <x:c r="S679" t="s">
        <x:v>42</x:v>
      </x:c>
      <x:c r="T679" t="s">
        <x:v>44</x:v>
      </x:c>
      <x:c r="U679" t="s">
        <x:v>44</x:v>
      </x:c>
      <x:c r="V679" t="s">
        <x:v>45</x:v>
      </x:c>
      <x:c r="W679" t="s">
        <x:v>60</x:v>
      </x:c>
      <x:c r="X679">
        <x:v>152.54</x:v>
      </x:c>
      <x:c r="Y679" t="s">
        <x:v>47</x:v>
      </x:c>
      <x:c r="Z679" t="s">
        <x:v>48</x:v>
      </x:c>
      <x:c r="AA679" t="s">
        <x:v>49</x:v>
      </x:c>
      <x:c r="AD679">
        <x:v>30</x:v>
      </x:c>
    </x:row>
    <x:row r="680">
      <x:c r="A680" s="1">
        <x:v>46284</x:v>
      </x:c>
      <x:c r="B680" t="s">
        <x:v>4056</x:v>
      </x:c>
      <x:c r="C680" t="s">
        <x:v>4382</x:v>
      </x:c>
      <x:c r="D680" t="s">
        <x:v>29</x:v>
      </x:c>
      <x:c r="E680" t="s">
        <x:v>4383</x:v>
      </x:c>
      <x:c r="F680" t="s">
        <x:v>31</x:v>
      </x:c>
      <x:c r="G680" t="s">
        <x:v>4384</x:v>
      </x:c>
      <x:c r="H680" t="s">
        <x:v>4385</x:v>
      </x:c>
      <x:c r="I680" t="s">
        <x:v>4386</x:v>
      </x:c>
      <x:c r="J680" t="s">
        <x:v>717</x:v>
      </x:c>
      <x:c r="K680" t="s">
        <x:v>718</x:v>
      </x:c>
      <x:c r="L680" t="s">
        <x:v>37</x:v>
      </x:c>
      <x:c r="M680" t="s">
        <x:v>4387</x:v>
      </x:c>
      <x:c r="N680" t="s">
        <x:v>4388</x:v>
      </x:c>
      <x:c r="O680" t="s">
        <x:v>4385</x:v>
      </x:c>
      <x:c r="P680" t="s">
        <x:v>4389</x:v>
      </x:c>
      <x:c r="Q680" t="s">
        <x:v>91</x:v>
      </x:c>
      <x:c r="R680">
        <x:v>1</x:v>
      </x:c>
      <x:c r="S680" t="s">
        <x:v>42</x:v>
      </x:c>
      <x:c r="T680" t="s">
        <x:v>44</x:v>
      </x:c>
      <x:c r="U680" t="s">
        <x:v>44</x:v>
      </x:c>
      <x:c r="V680" t="s">
        <x:v>532</x:v>
      </x:c>
      <x:c r="W680" t="s">
        <x:v>1980</x:v>
      </x:c>
      <x:c r="X680">
        <x:v>135.59</x:v>
      </x:c>
      <x:c r="Y680" t="s">
        <x:v>47</x:v>
      </x:c>
      <x:c r="Z680" t="s">
        <x:v>48</x:v>
      </x:c>
      <x:c r="AA680" t="s">
        <x:v>535</x:v>
      </x:c>
      <x:c r="AB680">
        <x:v>955356636</x:v>
      </x:c>
      <x:c r="AC680" t="s">
        <x:v>722</x:v>
      </x:c>
      <x:c r="AD680">
        <x:v>30</x:v>
      </x:c>
    </x:row>
    <x:row r="681">
      <x:c r="A681" s="1">
        <x:v>46286</x:v>
      </x:c>
      <x:c r="B681" t="s">
        <x:v>4056</x:v>
      </x:c>
      <x:c r="C681" t="s">
        <x:v>2908</x:v>
      </x:c>
      <x:c r="D681" t="s">
        <x:v>29</x:v>
      </x:c>
      <x:c r="E681" t="s">
        <x:v>2909</x:v>
      </x:c>
      <x:c r="F681" t="s">
        <x:v>31</x:v>
      </x:c>
      <x:c r="G681" t="s">
        <x:v>2910</x:v>
      </x:c>
      <x:c r="H681" t="s">
        <x:v>2911</x:v>
      </x:c>
      <x:c r="I681" t="s">
        <x:v>2912</x:v>
      </x:c>
      <x:c r="J681" t="s">
        <x:v>137</x:v>
      </x:c>
      <x:c r="K681" t="s">
        <x:v>138</x:v>
      </x:c>
      <x:c r="L681" t="s">
        <x:v>37</x:v>
      </x:c>
      <x:c r="M681" t="s">
        <x:v>2913</x:v>
      </x:c>
      <x:c r="N681" t="s">
        <x:v>2914</x:v>
      </x:c>
      <x:c r="O681" t="s">
        <x:v>2911</x:v>
      </x:c>
      <x:c r="P681" t="s">
        <x:v>2915</x:v>
      </x:c>
      <x:c r="Q681" t="s">
        <x:v>91</x:v>
      </x:c>
      <x:c r="R681">
        <x:v>1</x:v>
      </x:c>
      <x:c r="S681" t="s">
        <x:v>42</x:v>
      </x:c>
      <x:c r="T681" t="s">
        <x:v>44</x:v>
      </x:c>
      <x:c r="U681" t="s">
        <x:v>44</x:v>
      </x:c>
      <x:c r="V681" t="s">
        <x:v>45</x:v>
      </x:c>
      <x:c r="W681" t="s">
        <x:v>60</x:v>
      </x:c>
      <x:c r="X681">
        <x:v>135.59</x:v>
      </x:c>
      <x:c r="Y681" t="s">
        <x:v>47</x:v>
      </x:c>
      <x:c r="Z681" t="s">
        <x:v>48</x:v>
      </x:c>
      <x:c r="AA681" t="s">
        <x:v>49</x:v>
      </x:c>
      <x:c r="AB681">
        <x:v>987407712</x:v>
      </x:c>
      <x:c r="AC681" t="s">
        <x:v>142</x:v>
      </x:c>
      <x:c r="AD681">
        <x:v>30</x:v>
      </x:c>
    </x:row>
    <x:row r="682">
      <x:c r="A682" s="1">
        <x:v>46286</x:v>
      </x:c>
      <x:c r="B682" t="s">
        <x:v>4056</x:v>
      </x:c>
      <x:c r="C682" t="s">
        <x:v>2908</x:v>
      </x:c>
      <x:c r="D682" t="s">
        <x:v>29</x:v>
      </x:c>
      <x:c r="E682" t="s">
        <x:v>2909</x:v>
      </x:c>
      <x:c r="F682" t="s">
        <x:v>31</x:v>
      </x:c>
      <x:c r="G682" t="s">
        <x:v>2910</x:v>
      </x:c>
      <x:c r="H682" t="s">
        <x:v>2911</x:v>
      </x:c>
      <x:c r="I682" t="s">
        <x:v>2912</x:v>
      </x:c>
      <x:c r="J682" t="s">
        <x:v>137</x:v>
      </x:c>
      <x:c r="K682" t="s">
        <x:v>138</x:v>
      </x:c>
      <x:c r="L682" t="s">
        <x:v>37</x:v>
      </x:c>
      <x:c r="M682" t="s">
        <x:v>2913</x:v>
      </x:c>
      <x:c r="N682" t="s">
        <x:v>2914</x:v>
      </x:c>
      <x:c r="O682" t="s">
        <x:v>2911</x:v>
      </x:c>
      <x:c r="P682" t="s">
        <x:v>2915</x:v>
      </x:c>
      <x:c r="Q682" t="s">
        <x:v>203</x:v>
      </x:c>
      <x:c r="R682">
        <x:v>1</x:v>
      </x:c>
      <x:c r="S682" t="s">
        <x:v>42</x:v>
      </x:c>
      <x:c r="T682" t="s">
        <x:v>44</x:v>
      </x:c>
      <x:c r="U682" t="s">
        <x:v>44</x:v>
      </x:c>
      <x:c r="V682" t="s">
        <x:v>45</x:v>
      </x:c>
      <x:c r="W682" t="s">
        <x:v>60</x:v>
      </x:c>
      <x:c r="X682">
        <x:v>152.54</x:v>
      </x:c>
      <x:c r="Y682" t="s">
        <x:v>47</x:v>
      </x:c>
      <x:c r="Z682" t="s">
        <x:v>48</x:v>
      </x:c>
      <x:c r="AA682" t="s">
        <x:v>49</x:v>
      </x:c>
      <x:c r="AB682">
        <x:v>987407712</x:v>
      </x:c>
      <x:c r="AC682" t="s">
        <x:v>142</x:v>
      </x:c>
      <x:c r="AD682">
        <x:v>30</x:v>
      </x:c>
    </x:row>
    <x:row r="683">
      <x:c r="A683" s="1">
        <x:v>46286</x:v>
      </x:c>
      <x:c r="B683" t="s">
        <x:v>4056</x:v>
      </x:c>
      <x:c r="C683" t="s">
        <x:v>2916</x:v>
      </x:c>
      <x:c r="D683" t="s">
        <x:v>269</x:v>
      </x:c>
      <x:c r="E683" t="s">
        <x:v>2917</x:v>
      </x:c>
      <x:c r="F683" t="s">
        <x:v>31</x:v>
      </x:c>
      <x:c r="G683" t="s">
        <x:v>2918</x:v>
      </x:c>
      <x:c r="H683" t="s">
        <x:v>2919</x:v>
      </x:c>
      <x:c r="I683" t="s">
        <x:v>2920</x:v>
      </x:c>
      <x:c r="J683" t="s">
        <x:v>776</x:v>
      </x:c>
      <x:c r="K683" t="s">
        <x:v>777</x:v>
      </x:c>
      <x:c r="L683" t="s">
        <x:v>37</x:v>
      </x:c>
      <x:c r="M683" t="s">
        <x:v>2921</x:v>
      </x:c>
      <x:c r="N683" t="s">
        <x:v>2922</x:v>
      </x:c>
      <x:c r="O683" t="s">
        <x:v>2923</x:v>
      </x:c>
      <x:c r="P683" t="s">
        <x:v>2924</x:v>
      </x:c>
      <x:c r="Q683" t="s">
        <x:v>159</x:v>
      </x:c>
      <x:c r="R683">
        <x:v>1</x:v>
      </x:c>
      <x:c r="S683" t="s">
        <x:v>70</x:v>
      </x:c>
      <x:c r="T683" t="s">
        <x:v>43</x:v>
      </x:c>
      <x:c r="U683" t="s">
        <x:v>44</x:v>
      </x:c>
      <x:c r="V683" t="s">
        <x:v>71</x:v>
      </x:c>
      <x:c r="W683" t="s">
        <x:v>72</x:v>
      </x:c>
      <x:c r="X683">
        <x:v>152.54</x:v>
      </x:c>
      <x:c r="Y683" t="s">
        <x:v>47</x:v>
      </x:c>
      <x:c r="Z683" t="s">
        <x:v>48</x:v>
      </x:c>
      <x:c r="AA683" t="s">
        <x:v>73</x:v>
      </x:c>
      <x:c r="AD683">
        <x:v>30</x:v>
      </x:c>
    </x:row>
    <x:row r="684">
      <x:c r="A684" s="1">
        <x:v>46286</x:v>
      </x:c>
      <x:c r="B684" t="s">
        <x:v>4056</x:v>
      </x:c>
      <x:c r="C684" t="s">
        <x:v>2916</x:v>
      </x:c>
      <x:c r="D684" t="s">
        <x:v>269</x:v>
      </x:c>
      <x:c r="E684" t="s">
        <x:v>2917</x:v>
      </x:c>
      <x:c r="F684" t="s">
        <x:v>31</x:v>
      </x:c>
      <x:c r="G684" t="s">
        <x:v>2918</x:v>
      </x:c>
      <x:c r="H684" t="s">
        <x:v>2919</x:v>
      </x:c>
      <x:c r="I684" t="s">
        <x:v>2920</x:v>
      </x:c>
      <x:c r="J684" t="s">
        <x:v>776</x:v>
      </x:c>
      <x:c r="K684" t="s">
        <x:v>777</x:v>
      </x:c>
      <x:c r="L684" t="s">
        <x:v>37</x:v>
      </x:c>
      <x:c r="M684" t="s">
        <x:v>2921</x:v>
      </x:c>
      <x:c r="N684" t="s">
        <x:v>2922</x:v>
      </x:c>
      <x:c r="O684" t="s">
        <x:v>2923</x:v>
      </x:c>
      <x:c r="P684" t="s">
        <x:v>2924</x:v>
      </x:c>
      <x:c r="Q684" t="s">
        <x:v>2925</x:v>
      </x:c>
      <x:c r="R684">
        <x:v>1</x:v>
      </x:c>
      <x:c r="S684" t="s">
        <x:v>70</x:v>
      </x:c>
      <x:c r="T684" t="s">
        <x:v>43</x:v>
      </x:c>
      <x:c r="U684" t="s">
        <x:v>44</x:v>
      </x:c>
      <x:c r="V684" t="s">
        <x:v>71</x:v>
      </x:c>
      <x:c r="W684" t="s">
        <x:v>72</x:v>
      </x:c>
      <x:c r="X684">
        <x:v>186.44</x:v>
      </x:c>
      <x:c r="Y684" t="s">
        <x:v>47</x:v>
      </x:c>
      <x:c r="Z684" t="s">
        <x:v>48</x:v>
      </x:c>
      <x:c r="AA684" t="s">
        <x:v>73</x:v>
      </x:c>
      <x:c r="AD684">
        <x:v>50</x:v>
      </x:c>
    </x:row>
    <x:row r="685">
      <x:c r="A685" s="1">
        <x:v>46286</x:v>
      </x:c>
      <x:c r="B685" t="s">
        <x:v>4056</x:v>
      </x:c>
      <x:c r="C685" t="s">
        <x:v>2916</x:v>
      </x:c>
      <x:c r="D685" t="s">
        <x:v>269</x:v>
      </x:c>
      <x:c r="E685" t="s">
        <x:v>2917</x:v>
      </x:c>
      <x:c r="F685" t="s">
        <x:v>31</x:v>
      </x:c>
      <x:c r="G685" t="s">
        <x:v>2918</x:v>
      </x:c>
      <x:c r="H685" t="s">
        <x:v>2919</x:v>
      </x:c>
      <x:c r="I685" t="s">
        <x:v>2920</x:v>
      </x:c>
      <x:c r="J685" t="s">
        <x:v>776</x:v>
      </x:c>
      <x:c r="K685" t="s">
        <x:v>777</x:v>
      </x:c>
      <x:c r="L685" t="s">
        <x:v>37</x:v>
      </x:c>
      <x:c r="M685" t="s">
        <x:v>2921</x:v>
      </x:c>
      <x:c r="N685" t="s">
        <x:v>2922</x:v>
      </x:c>
      <x:c r="O685" t="s">
        <x:v>2923</x:v>
      </x:c>
      <x:c r="P685" t="s">
        <x:v>2924</x:v>
      </x:c>
      <x:c r="Q685" t="s">
        <x:v>102</x:v>
      </x:c>
      <x:c r="R685">
        <x:v>1</x:v>
      </x:c>
      <x:c r="S685" t="s">
        <x:v>70</x:v>
      </x:c>
      <x:c r="T685" t="s">
        <x:v>43</x:v>
      </x:c>
      <x:c r="U685" t="s">
        <x:v>44</x:v>
      </x:c>
      <x:c r="V685" t="s">
        <x:v>71</x:v>
      </x:c>
      <x:c r="W685" t="s">
        <x:v>72</x:v>
      </x:c>
      <x:c r="X685">
        <x:v>186.44</x:v>
      </x:c>
      <x:c r="Y685" t="s">
        <x:v>47</x:v>
      </x:c>
      <x:c r="Z685" t="s">
        <x:v>48</x:v>
      </x:c>
      <x:c r="AA685" t="s">
        <x:v>73</x:v>
      </x:c>
      <x:c r="AD685">
        <x:v>50</x:v>
      </x:c>
    </x:row>
    <x:row r="686">
      <x:c r="A686" s="1">
        <x:v>46286</x:v>
      </x:c>
      <x:c r="B686" t="s">
        <x:v>4056</x:v>
      </x:c>
      <x:c r="C686" t="s">
        <x:v>2916</x:v>
      </x:c>
      <x:c r="D686" t="s">
        <x:v>269</x:v>
      </x:c>
      <x:c r="E686" t="s">
        <x:v>2917</x:v>
      </x:c>
      <x:c r="F686" t="s">
        <x:v>31</x:v>
      </x:c>
      <x:c r="G686" t="s">
        <x:v>2918</x:v>
      </x:c>
      <x:c r="H686" t="s">
        <x:v>2919</x:v>
      </x:c>
      <x:c r="I686" t="s">
        <x:v>2920</x:v>
      </x:c>
      <x:c r="J686" t="s">
        <x:v>776</x:v>
      </x:c>
      <x:c r="K686" t="s">
        <x:v>777</x:v>
      </x:c>
      <x:c r="L686" t="s">
        <x:v>37</x:v>
      </x:c>
      <x:c r="M686" t="s">
        <x:v>2921</x:v>
      </x:c>
      <x:c r="N686" t="s">
        <x:v>2922</x:v>
      </x:c>
      <x:c r="O686" t="s">
        <x:v>2923</x:v>
      </x:c>
      <x:c r="P686" t="s">
        <x:v>2924</x:v>
      </x:c>
      <x:c r="Q686" t="s">
        <x:v>160</x:v>
      </x:c>
      <x:c r="R686">
        <x:v>1</x:v>
      </x:c>
      <x:c r="S686" t="s">
        <x:v>70</x:v>
      </x:c>
      <x:c r="T686" t="s">
        <x:v>43</x:v>
      </x:c>
      <x:c r="U686" t="s">
        <x:v>44</x:v>
      </x:c>
      <x:c r="V686" t="s">
        <x:v>71</x:v>
      </x:c>
      <x:c r="W686" t="s">
        <x:v>72</x:v>
      </x:c>
      <x:c r="X686">
        <x:v>135.59</x:v>
      </x:c>
      <x:c r="Y686" t="s">
        <x:v>47</x:v>
      </x:c>
      <x:c r="Z686" t="s">
        <x:v>48</x:v>
      </x:c>
      <x:c r="AA686" t="s">
        <x:v>73</x:v>
      </x:c>
      <x:c r="AD686">
        <x:v>30</x:v>
      </x:c>
    </x:row>
    <x:row r="687">
      <x:c r="A687" s="1">
        <x:v>46286</x:v>
      </x:c>
      <x:c r="B687" t="s">
        <x:v>4056</x:v>
      </x:c>
      <x:c r="C687" t="s">
        <x:v>2926</x:v>
      </x:c>
      <x:c r="D687" t="s">
        <x:v>269</x:v>
      </x:c>
      <x:c r="E687" t="s">
        <x:v>2927</x:v>
      </x:c>
      <x:c r="F687" t="s">
        <x:v>31</x:v>
      </x:c>
      <x:c r="G687" t="s">
        <x:v>2928</x:v>
      </x:c>
      <x:c r="H687" t="s">
        <x:v>2929</x:v>
      </x:c>
      <x:c r="I687" t="s">
        <x:v>2930</x:v>
      </x:c>
      <x:c r="J687" t="s">
        <x:v>764</x:v>
      </x:c>
      <x:c r="K687" t="s">
        <x:v>210</x:v>
      </x:c>
      <x:c r="L687" t="s">
        <x:v>37</x:v>
      </x:c>
      <x:c r="M687" t="s">
        <x:v>2931</x:v>
      </x:c>
      <x:c r="N687" t="s">
        <x:v>2932</x:v>
      </x:c>
      <x:c r="O687" t="s">
        <x:v>767</x:v>
      </x:c>
      <x:c r="P687" t="s">
        <x:v>2933</x:v>
      </x:c>
      <x:c r="Q687" t="s">
        <x:v>59</x:v>
      </x:c>
      <x:c r="R687">
        <x:v>1</x:v>
      </x:c>
      <x:c r="S687" t="s">
        <x:v>42</x:v>
      </x:c>
      <x:c r="T687" t="s">
        <x:v>44</x:v>
      </x:c>
      <x:c r="U687" t="s">
        <x:v>44</x:v>
      </x:c>
      <x:c r="V687" t="s">
        <x:v>45</x:v>
      </x:c>
      <x:c r="W687" t="s">
        <x:v>60</x:v>
      </x:c>
      <x:c r="X687">
        <x:v>101.69</x:v>
      </x:c>
      <x:c r="Y687" t="s">
        <x:v>61</x:v>
      </x:c>
      <x:c r="Z687" t="s">
        <x:v>48</x:v>
      </x:c>
      <x:c r="AA687" t="s">
        <x:v>49</x:v>
      </x:c>
      <x:c r="AB687">
        <x:v>969791876</x:v>
      </x:c>
      <x:c r="AC687" t="s">
        <x:v>770</x:v>
      </x:c>
    </x:row>
    <x:row r="688">
      <x:c r="A688" s="1">
        <x:v>46286</x:v>
      </x:c>
      <x:c r="B688" t="s">
        <x:v>4056</x:v>
      </x:c>
      <x:c r="C688" t="s">
        <x:v>2934</x:v>
      </x:c>
      <x:c r="D688" t="s">
        <x:v>29</x:v>
      </x:c>
      <x:c r="E688" t="s">
        <x:v>2935</x:v>
      </x:c>
      <x:c r="F688" t="s">
        <x:v>31</x:v>
      </x:c>
      <x:c r="G688" t="s">
        <x:v>2936</x:v>
      </x:c>
      <x:c r="H688" t="s">
        <x:v>2937</x:v>
      </x:c>
      <x:c r="I688" t="s">
        <x:v>2938</x:v>
      </x:c>
      <x:c r="J688" t="s">
        <x:v>2784</x:v>
      </x:c>
      <x:c r="K688" t="s">
        <x:v>210</x:v>
      </x:c>
      <x:c r="L688" t="s">
        <x:v>37</x:v>
      </x:c>
      <x:c r="M688" t="s">
        <x:v>2939</x:v>
      </x:c>
      <x:c r="N688" t="s">
        <x:v>2940</x:v>
      </x:c>
      <x:c r="O688" t="s">
        <x:v>2937</x:v>
      </x:c>
      <x:c r="P688" t="s">
        <x:v>2941</x:v>
      </x:c>
      <x:c r="Q688" t="s">
        <x:v>131</x:v>
      </x:c>
      <x:c r="R688">
        <x:v>1</x:v>
      </x:c>
      <x:c r="S688" t="s">
        <x:v>70</x:v>
      </x:c>
      <x:c r="T688" t="s">
        <x:v>43</x:v>
      </x:c>
      <x:c r="U688" t="s">
        <x:v>44</x:v>
      </x:c>
      <x:c r="V688" t="s">
        <x:v>71</x:v>
      </x:c>
      <x:c r="W688" t="s">
        <x:v>72</x:v>
      </x:c>
      <x:c r="X688">
        <x:v>152.54</x:v>
      </x:c>
      <x:c r="Y688" t="s">
        <x:v>47</x:v>
      </x:c>
      <x:c r="Z688" t="s">
        <x:v>48</x:v>
      </x:c>
      <x:c r="AA688" t="s">
        <x:v>73</x:v>
      </x:c>
      <x:c r="AD688">
        <x:v>30</x:v>
      </x:c>
    </x:row>
    <x:row r="689">
      <x:c r="A689" s="1">
        <x:v>46286</x:v>
      </x:c>
      <x:c r="B689" t="s">
        <x:v>4056</x:v>
      </x:c>
      <x:c r="C689" t="s">
        <x:v>2942</x:v>
      </x:c>
      <x:c r="D689" t="s">
        <x:v>269</x:v>
      </x:c>
      <x:c r="E689" t="s">
        <x:v>2943</x:v>
      </x:c>
      <x:c r="F689" t="s">
        <x:v>31</x:v>
      </x:c>
      <x:c r="G689" t="s">
        <x:v>2944</x:v>
      </x:c>
      <x:c r="H689" t="s">
        <x:v>2945</x:v>
      </x:c>
      <x:c r="I689" t="s">
        <x:v>2946</x:v>
      </x:c>
      <x:c r="J689" t="s">
        <x:v>1110</x:v>
      </x:c>
      <x:c r="K689" t="s">
        <x:v>210</x:v>
      </x:c>
      <x:c r="L689" t="s">
        <x:v>37</x:v>
      </x:c>
      <x:c r="M689" t="s">
        <x:v>2947</x:v>
      </x:c>
      <x:c r="N689" t="s">
        <x:v>2948</x:v>
      </x:c>
      <x:c r="O689" t="s">
        <x:v>1113</x:v>
      </x:c>
      <x:c r="P689" t="s">
        <x:v>2949</x:v>
      </x:c>
      <x:c r="Q689" t="s">
        <x:v>59</x:v>
      </x:c>
      <x:c r="R689">
        <x:v>1</x:v>
      </x:c>
      <x:c r="S689" t="s">
        <x:v>42</x:v>
      </x:c>
      <x:c r="T689" t="s">
        <x:v>44</x:v>
      </x:c>
      <x:c r="U689" t="s">
        <x:v>44</x:v>
      </x:c>
      <x:c r="V689" t="s">
        <x:v>45</x:v>
      </x:c>
      <x:c r="W689" t="s">
        <x:v>60</x:v>
      </x:c>
      <x:c r="X689">
        <x:v>101.69</x:v>
      </x:c>
      <x:c r="Y689" t="s">
        <x:v>61</x:v>
      </x:c>
      <x:c r="Z689" t="s">
        <x:v>48</x:v>
      </x:c>
      <x:c r="AA689" t="s">
        <x:v>49</x:v>
      </x:c>
      <x:c r="AB689">
        <x:v>970582106</x:v>
      </x:c>
      <x:c r="AC689" t="s">
        <x:v>1115</x:v>
      </x:c>
    </x:row>
    <x:row r="690">
      <x:c r="A690" s="1">
        <x:v>46286</x:v>
      </x:c>
      <x:c r="B690" t="s">
        <x:v>4056</x:v>
      </x:c>
      <x:c r="C690" t="s">
        <x:v>2950</x:v>
      </x:c>
      <x:c r="D690" t="s">
        <x:v>29</x:v>
      </x:c>
      <x:c r="E690" t="s">
        <x:v>2951</x:v>
      </x:c>
      <x:c r="F690" t="s">
        <x:v>31</x:v>
      </x:c>
      <x:c r="G690" t="s">
        <x:v>2952</x:v>
      </x:c>
      <x:c r="H690" t="s">
        <x:v>2953</x:v>
      </x:c>
      <x:c r="I690" t="s">
        <x:v>2954</x:v>
      </x:c>
      <x:c r="J690" t="s">
        <x:v>1520</x:v>
      </x:c>
      <x:c r="K690" t="s">
        <x:v>631</x:v>
      </x:c>
      <x:c r="L690" t="s">
        <x:v>37</x:v>
      </x:c>
      <x:c r="M690" t="s">
        <x:v>2955</x:v>
      </x:c>
      <x:c r="N690" t="s">
        <x:v>2956</x:v>
      </x:c>
      <x:c r="O690" t="s">
        <x:v>2953</x:v>
      </x:c>
      <x:c r="P690" t="s">
        <x:v>2957</x:v>
      </x:c>
      <x:c r="Q690" t="s">
        <x:v>102</x:v>
      </x:c>
      <x:c r="R690">
        <x:v>1</x:v>
      </x:c>
      <x:c r="S690" t="s">
        <x:v>70</x:v>
      </x:c>
      <x:c r="T690" t="s">
        <x:v>43</x:v>
      </x:c>
      <x:c r="U690" t="s">
        <x:v>44</x:v>
      </x:c>
      <x:c r="V690" t="s">
        <x:v>71</x:v>
      </x:c>
      <x:c r="W690" t="s">
        <x:v>72</x:v>
      </x:c>
      <x:c r="X690">
        <x:v>186.44</x:v>
      </x:c>
      <x:c r="Y690" t="s">
        <x:v>47</x:v>
      </x:c>
      <x:c r="Z690" t="s">
        <x:v>48</x:v>
      </x:c>
      <x:c r="AA690" t="s">
        <x:v>73</x:v>
      </x:c>
      <x:c r="AB690">
        <x:v>947422476</x:v>
      </x:c>
      <x:c r="AD690">
        <x:v>50</x:v>
      </x:c>
    </x:row>
    <x:row r="691">
      <x:c r="A691" s="1">
        <x:v>46286</x:v>
      </x:c>
      <x:c r="B691" t="s">
        <x:v>4056</x:v>
      </x:c>
      <x:c r="C691" t="s">
        <x:v>4390</x:v>
      </x:c>
      <x:c r="D691" t="s">
        <x:v>29</x:v>
      </x:c>
      <x:c r="E691" t="s">
        <x:v>4391</x:v>
      </x:c>
      <x:c r="F691" t="s">
        <x:v>31</x:v>
      </x:c>
      <x:c r="G691" t="s">
        <x:v>4392</x:v>
      </x:c>
      <x:c r="H691" t="s">
        <x:v>4393</x:v>
      </x:c>
      <x:c r="I691" t="s">
        <x:v>4394</x:v>
      </x:c>
      <x:c r="J691" t="s">
        <x:v>2841</x:v>
      </x:c>
      <x:c r="K691" t="s">
        <x:v>210</x:v>
      </x:c>
      <x:c r="L691" t="s">
        <x:v>37</x:v>
      </x:c>
      <x:c r="M691" t="s">
        <x:v>4395</x:v>
      </x:c>
      <x:c r="N691" t="s">
        <x:v>4396</x:v>
      </x:c>
      <x:c r="O691" t="s">
        <x:v>4393</x:v>
      </x:c>
      <x:c r="P691" t="s">
        <x:v>4397</x:v>
      </x:c>
      <x:c r="Q691" t="s">
        <x:v>131</x:v>
      </x:c>
      <x:c r="R691">
        <x:v>1</x:v>
      </x:c>
      <x:c r="S691" t="s">
        <x:v>42</x:v>
      </x:c>
      <x:c r="T691" t="s">
        <x:v>44</x:v>
      </x:c>
      <x:c r="U691" t="s">
        <x:v>44</x:v>
      </x:c>
      <x:c r="V691" t="s">
        <x:v>71</x:v>
      </x:c>
      <x:c r="W691" t="s">
        <x:v>185</x:v>
      </x:c>
      <x:c r="X691">
        <x:v>152.54</x:v>
      </x:c>
      <x:c r="Y691" t="s">
        <x:v>47</x:v>
      </x:c>
      <x:c r="Z691" t="s">
        <x:v>48</x:v>
      </x:c>
      <x:c r="AA691" t="s">
        <x:v>73</x:v>
      </x:c>
      <x:c r="AB691">
        <x:v>994872106</x:v>
      </x:c>
      <x:c r="AC691" t="s">
        <x:v>1256</x:v>
      </x:c>
      <x:c r="AD691">
        <x:v>30</x:v>
      </x:c>
    </x:row>
    <x:row r="692">
      <x:c r="A692" s="1">
        <x:v>46286</x:v>
      </x:c>
      <x:c r="B692" t="s">
        <x:v>4056</x:v>
      </x:c>
      <x:c r="C692" t="s">
        <x:v>4398</x:v>
      </x:c>
      <x:c r="D692" t="s">
        <x:v>29</x:v>
      </x:c>
      <x:c r="E692" t="s">
        <x:v>4399</x:v>
      </x:c>
      <x:c r="F692" t="s">
        <x:v>31</x:v>
      </x:c>
      <x:c r="G692" t="s">
        <x:v>4400</x:v>
      </x:c>
      <x:c r="H692" t="s">
        <x:v>4401</x:v>
      </x:c>
      <x:c r="I692" t="s">
        <x:v>4402</x:v>
      </x:c>
      <x:c r="J692" t="s">
        <x:v>2324</x:v>
      </x:c>
      <x:c r="K692" t="s">
        <x:v>1546</x:v>
      </x:c>
      <x:c r="L692" t="s">
        <x:v>37</x:v>
      </x:c>
      <x:c r="M692" t="s">
        <x:v>4403</x:v>
      </x:c>
      <x:c r="N692" t="s">
        <x:v>4404</x:v>
      </x:c>
      <x:c r="O692" t="s">
        <x:v>4401</x:v>
      </x:c>
      <x:c r="P692" t="s">
        <x:v>4405</x:v>
      </x:c>
      <x:c r="Q692" t="s">
        <x:v>91</x:v>
      </x:c>
      <x:c r="R692">
        <x:v>1</x:v>
      </x:c>
      <x:c r="S692" t="s">
        <x:v>42</x:v>
      </x:c>
      <x:c r="T692" t="s">
        <x:v>44</x:v>
      </x:c>
      <x:c r="U692" t="s">
        <x:v>44</x:v>
      </x:c>
      <x:c r="V692" t="s">
        <x:v>45</x:v>
      </x:c>
      <x:c r="W692" t="s">
        <x:v>60</x:v>
      </x:c>
      <x:c r="X692">
        <x:v>135.59</x:v>
      </x:c>
      <x:c r="Y692" t="s">
        <x:v>47</x:v>
      </x:c>
      <x:c r="Z692" t="s">
        <x:v>48</x:v>
      </x:c>
      <x:c r="AA692" t="s">
        <x:v>49</x:v>
      </x:c>
      <x:c r="AB692">
        <x:v>945093839</x:v>
      </x:c>
      <x:c r="AC692" t="s">
        <x:v>2328</x:v>
      </x:c>
      <x:c r="AD692">
        <x:v>30</x:v>
      </x:c>
    </x:row>
    <x:row r="693">
      <x:c r="A693" s="1">
        <x:v>46286</x:v>
      </x:c>
      <x:c r="B693" t="s">
        <x:v>4056</x:v>
      </x:c>
      <x:c r="C693" t="s">
        <x:v>4406</x:v>
      </x:c>
      <x:c r="D693" t="s">
        <x:v>29</x:v>
      </x:c>
      <x:c r="E693" t="s">
        <x:v>4407</x:v>
      </x:c>
      <x:c r="F693" t="s">
        <x:v>31</x:v>
      </x:c>
      <x:c r="G693" t="s">
        <x:v>4408</x:v>
      </x:c>
      <x:c r="H693" t="s">
        <x:v>4409</x:v>
      </x:c>
      <x:c r="I693" t="s">
        <x:v>4410</x:v>
      </x:c>
      <x:c r="J693" t="s">
        <x:v>776</x:v>
      </x:c>
      <x:c r="K693" t="s">
        <x:v>777</x:v>
      </x:c>
      <x:c r="L693" t="s">
        <x:v>37</x:v>
      </x:c>
      <x:c r="M693" t="s">
        <x:v>4411</x:v>
      </x:c>
      <x:c r="N693" t="s">
        <x:v>4412</x:v>
      </x:c>
      <x:c r="O693" t="s">
        <x:v>4409</x:v>
      </x:c>
      <x:c r="P693" t="s">
        <x:v>4413</x:v>
      </x:c>
      <x:c r="Q693" t="s">
        <x:v>91</x:v>
      </x:c>
      <x:c r="R693">
        <x:v>1</x:v>
      </x:c>
      <x:c r="S693" t="s">
        <x:v>42</x:v>
      </x:c>
      <x:c r="T693" t="s">
        <x:v>44</x:v>
      </x:c>
      <x:c r="U693" t="s">
        <x:v>44</x:v>
      </x:c>
      <x:c r="V693" t="s">
        <x:v>45</x:v>
      </x:c>
      <x:c r="W693" t="s">
        <x:v>60</x:v>
      </x:c>
      <x:c r="X693">
        <x:v>135.59</x:v>
      </x:c>
      <x:c r="Y693" t="s">
        <x:v>47</x:v>
      </x:c>
      <x:c r="Z693" t="s">
        <x:v>48</x:v>
      </x:c>
      <x:c r="AA693" t="s">
        <x:v>49</x:v>
      </x:c>
      <x:c r="AD693">
        <x:v>30</x:v>
      </x:c>
    </x:row>
    <x:row r="694">
      <x:c r="A694" s="1">
        <x:v>46287</x:v>
      </x:c>
      <x:c r="B694" t="s">
        <x:v>4056</x:v>
      </x:c>
      <x:c r="C694" t="s">
        <x:v>2958</x:v>
      </x:c>
      <x:c r="D694" t="s">
        <x:v>29</x:v>
      </x:c>
      <x:c r="E694" t="s">
        <x:v>2959</x:v>
      </x:c>
      <x:c r="F694" t="s">
        <x:v>31</x:v>
      </x:c>
      <x:c r="G694" t="s">
        <x:v>2960</x:v>
      </x:c>
      <x:c r="H694" t="s">
        <x:v>2961</x:v>
      </x:c>
      <x:c r="I694" t="s">
        <x:v>2962</x:v>
      </x:c>
      <x:c r="J694" t="s">
        <x:v>776</x:v>
      </x:c>
      <x:c r="K694" t="s">
        <x:v>777</x:v>
      </x:c>
      <x:c r="L694" t="s">
        <x:v>37</x:v>
      </x:c>
      <x:c r="M694" t="s">
        <x:v>2963</x:v>
      </x:c>
      <x:c r="N694" t="s">
        <x:v>2964</x:v>
      </x:c>
      <x:c r="O694" t="s">
        <x:v>2961</x:v>
      </x:c>
      <x:c r="P694" t="s">
        <x:v>2965</x:v>
      </x:c>
      <x:c r="Q694" t="s">
        <x:v>830</x:v>
      </x:c>
      <x:c r="R694">
        <x:v>1</x:v>
      </x:c>
      <x:c r="S694" t="s">
        <x:v>42</x:v>
      </x:c>
      <x:c r="T694" t="s">
        <x:v>44</x:v>
      </x:c>
      <x:c r="U694" t="s">
        <x:v>44</x:v>
      </x:c>
      <x:c r="V694" t="s">
        <x:v>45</x:v>
      </x:c>
      <x:c r="W694" t="s">
        <x:v>46</x:v>
      </x:c>
      <x:c r="X694">
        <x:v>127.12</x:v>
      </x:c>
      <x:c r="Y694" t="s">
        <x:v>47</x:v>
      </x:c>
      <x:c r="Z694" t="s">
        <x:v>48</x:v>
      </x:c>
      <x:c r="AA694" t="s">
        <x:v>49</x:v>
      </x:c>
    </x:row>
    <x:row r="695">
      <x:c r="A695" s="1">
        <x:v>46287</x:v>
      </x:c>
      <x:c r="B695" t="s">
        <x:v>4056</x:v>
      </x:c>
      <x:c r="C695" t="s">
        <x:v>2966</x:v>
      </x:c>
      <x:c r="D695" t="s">
        <x:v>29</x:v>
      </x:c>
      <x:c r="E695" t="s">
        <x:v>2967</x:v>
      </x:c>
      <x:c r="F695" t="s">
        <x:v>31</x:v>
      </x:c>
      <x:c r="G695" t="s">
        <x:v>2968</x:v>
      </x:c>
      <x:c r="H695" t="s">
        <x:v>2961</x:v>
      </x:c>
      <x:c r="I695" t="s">
        <x:v>2962</x:v>
      </x:c>
      <x:c r="J695" t="s">
        <x:v>776</x:v>
      </x:c>
      <x:c r="K695" t="s">
        <x:v>777</x:v>
      </x:c>
      <x:c r="L695" t="s">
        <x:v>37</x:v>
      </x:c>
      <x:c r="M695" t="s">
        <x:v>2963</x:v>
      </x:c>
      <x:c r="N695" t="s">
        <x:v>2964</x:v>
      </x:c>
      <x:c r="O695" t="s">
        <x:v>2961</x:v>
      </x:c>
      <x:c r="P695" t="s">
        <x:v>2969</x:v>
      </x:c>
      <x:c r="Q695" t="s">
        <x:v>624</x:v>
      </x:c>
      <x:c r="R695">
        <x:v>1</x:v>
      </x:c>
      <x:c r="S695" t="s">
        <x:v>42</x:v>
      </x:c>
      <x:c r="T695" t="s">
        <x:v>44</x:v>
      </x:c>
      <x:c r="U695" t="s">
        <x:v>44</x:v>
      </x:c>
      <x:c r="V695" t="s">
        <x:v>45</x:v>
      </x:c>
      <x:c r="W695" t="s">
        <x:v>46</x:v>
      </x:c>
      <x:c r="X695">
        <x:v>12.71</x:v>
      </x:c>
      <x:c r="Y695" t="s">
        <x:v>621</x:v>
      </x:c>
      <x:c r="Z695" t="s">
        <x:v>48</x:v>
      </x:c>
      <x:c r="AA695" t="s">
        <x:v>49</x:v>
      </x:c>
    </x:row>
    <x:row r="696">
      <x:c r="A696" s="1">
        <x:v>46287</x:v>
      </x:c>
      <x:c r="B696" t="s">
        <x:v>4056</x:v>
      </x:c>
      <x:c r="C696" t="s">
        <x:v>2966</x:v>
      </x:c>
      <x:c r="D696" t="s">
        <x:v>29</x:v>
      </x:c>
      <x:c r="E696" t="s">
        <x:v>2967</x:v>
      </x:c>
      <x:c r="F696" t="s">
        <x:v>31</x:v>
      </x:c>
      <x:c r="G696" t="s">
        <x:v>2968</x:v>
      </x:c>
      <x:c r="H696" t="s">
        <x:v>2961</x:v>
      </x:c>
      <x:c r="I696" t="s">
        <x:v>2962</x:v>
      </x:c>
      <x:c r="J696" t="s">
        <x:v>776</x:v>
      </x:c>
      <x:c r="K696" t="s">
        <x:v>777</x:v>
      </x:c>
      <x:c r="L696" t="s">
        <x:v>37</x:v>
      </x:c>
      <x:c r="M696" t="s">
        <x:v>2963</x:v>
      </x:c>
      <x:c r="N696" t="s">
        <x:v>2964</x:v>
      </x:c>
      <x:c r="O696" t="s">
        <x:v>2961</x:v>
      </x:c>
      <x:c r="P696" t="s">
        <x:v>2969</x:v>
      </x:c>
      <x:c r="Q696" t="s">
        <x:v>623</x:v>
      </x:c>
      <x:c r="R696">
        <x:v>1</x:v>
      </x:c>
      <x:c r="S696" t="s">
        <x:v>42</x:v>
      </x:c>
      <x:c r="T696" t="s">
        <x:v>44</x:v>
      </x:c>
      <x:c r="U696" t="s">
        <x:v>44</x:v>
      </x:c>
      <x:c r="V696" t="s">
        <x:v>45</x:v>
      </x:c>
      <x:c r="W696" t="s">
        <x:v>46</x:v>
      </x:c>
      <x:c r="X696">
        <x:v>12.71</x:v>
      </x:c>
      <x:c r="Y696" t="s">
        <x:v>621</x:v>
      </x:c>
      <x:c r="Z696" t="s">
        <x:v>48</x:v>
      </x:c>
      <x:c r="AA696" t="s">
        <x:v>49</x:v>
      </x:c>
    </x:row>
    <x:row r="697">
      <x:c r="A697" s="1">
        <x:v>46287</x:v>
      </x:c>
      <x:c r="B697" t="s">
        <x:v>4056</x:v>
      </x:c>
      <x:c r="C697" t="s">
        <x:v>2966</x:v>
      </x:c>
      <x:c r="D697" t="s">
        <x:v>29</x:v>
      </x:c>
      <x:c r="E697" t="s">
        <x:v>2967</x:v>
      </x:c>
      <x:c r="F697" t="s">
        <x:v>31</x:v>
      </x:c>
      <x:c r="G697" t="s">
        <x:v>2968</x:v>
      </x:c>
      <x:c r="H697" t="s">
        <x:v>2961</x:v>
      </x:c>
      <x:c r="I697" t="s">
        <x:v>2962</x:v>
      </x:c>
      <x:c r="J697" t="s">
        <x:v>776</x:v>
      </x:c>
      <x:c r="K697" t="s">
        <x:v>777</x:v>
      </x:c>
      <x:c r="L697" t="s">
        <x:v>37</x:v>
      </x:c>
      <x:c r="M697" t="s">
        <x:v>2963</x:v>
      </x:c>
      <x:c r="N697" t="s">
        <x:v>2964</x:v>
      </x:c>
      <x:c r="O697" t="s">
        <x:v>2961</x:v>
      </x:c>
      <x:c r="P697" t="s">
        <x:v>2969</x:v>
      </x:c>
      <x:c r="Q697" t="s">
        <x:v>620</x:v>
      </x:c>
      <x:c r="R697">
        <x:v>1</x:v>
      </x:c>
      <x:c r="S697" t="s">
        <x:v>42</x:v>
      </x:c>
      <x:c r="T697" t="s">
        <x:v>44</x:v>
      </x:c>
      <x:c r="U697" t="s">
        <x:v>44</x:v>
      </x:c>
      <x:c r="V697" t="s">
        <x:v>45</x:v>
      </x:c>
      <x:c r="W697" t="s">
        <x:v>46</x:v>
      </x:c>
      <x:c r="X697">
        <x:v>12.71</x:v>
      </x:c>
      <x:c r="Y697" t="s">
        <x:v>621</x:v>
      </x:c>
      <x:c r="Z697" t="s">
        <x:v>48</x:v>
      </x:c>
      <x:c r="AA697" t="s">
        <x:v>49</x:v>
      </x:c>
    </x:row>
    <x:row r="698">
      <x:c r="A698" s="1">
        <x:v>46287</x:v>
      </x:c>
      <x:c r="B698" t="s">
        <x:v>4056</x:v>
      </x:c>
      <x:c r="C698" t="s">
        <x:v>2966</x:v>
      </x:c>
      <x:c r="D698" t="s">
        <x:v>29</x:v>
      </x:c>
      <x:c r="E698" t="s">
        <x:v>2967</x:v>
      </x:c>
      <x:c r="F698" t="s">
        <x:v>31</x:v>
      </x:c>
      <x:c r="G698" t="s">
        <x:v>2968</x:v>
      </x:c>
      <x:c r="H698" t="s">
        <x:v>2961</x:v>
      </x:c>
      <x:c r="I698" t="s">
        <x:v>2962</x:v>
      </x:c>
      <x:c r="J698" t="s">
        <x:v>776</x:v>
      </x:c>
      <x:c r="K698" t="s">
        <x:v>777</x:v>
      </x:c>
      <x:c r="L698" t="s">
        <x:v>37</x:v>
      </x:c>
      <x:c r="M698" t="s">
        <x:v>2963</x:v>
      </x:c>
      <x:c r="N698" t="s">
        <x:v>2964</x:v>
      </x:c>
      <x:c r="O698" t="s">
        <x:v>2961</x:v>
      </x:c>
      <x:c r="P698" t="s">
        <x:v>2969</x:v>
      </x:c>
      <x:c r="Q698" t="s">
        <x:v>835</x:v>
      </x:c>
      <x:c r="R698">
        <x:v>1</x:v>
      </x:c>
      <x:c r="S698" t="s">
        <x:v>42</x:v>
      </x:c>
      <x:c r="T698" t="s">
        <x:v>44</x:v>
      </x:c>
      <x:c r="U698" t="s">
        <x:v>44</x:v>
      </x:c>
      <x:c r="V698" t="s">
        <x:v>45</x:v>
      </x:c>
      <x:c r="W698" t="s">
        <x:v>46</x:v>
      </x:c>
      <x:c r="X698">
        <x:v>50.85</x:v>
      </x:c>
      <x:c r="Y698" t="s">
        <x:v>621</x:v>
      </x:c>
      <x:c r="Z698" t="s">
        <x:v>48</x:v>
      </x:c>
      <x:c r="AA698" t="s">
        <x:v>49</x:v>
      </x:c>
    </x:row>
    <x:row r="699">
      <x:c r="A699" s="1">
        <x:v>46287</x:v>
      </x:c>
      <x:c r="B699" t="s">
        <x:v>4056</x:v>
      </x:c>
      <x:c r="C699" t="s">
        <x:v>2966</x:v>
      </x:c>
      <x:c r="D699" t="s">
        <x:v>29</x:v>
      </x:c>
      <x:c r="E699" t="s">
        <x:v>2967</x:v>
      </x:c>
      <x:c r="F699" t="s">
        <x:v>31</x:v>
      </x:c>
      <x:c r="G699" t="s">
        <x:v>2968</x:v>
      </x:c>
      <x:c r="H699" t="s">
        <x:v>2961</x:v>
      </x:c>
      <x:c r="I699" t="s">
        <x:v>2962</x:v>
      </x:c>
      <x:c r="J699" t="s">
        <x:v>776</x:v>
      </x:c>
      <x:c r="K699" t="s">
        <x:v>777</x:v>
      </x:c>
      <x:c r="L699" t="s">
        <x:v>37</x:v>
      </x:c>
      <x:c r="M699" t="s">
        <x:v>2963</x:v>
      </x:c>
      <x:c r="N699" t="s">
        <x:v>2964</x:v>
      </x:c>
      <x:c r="O699" t="s">
        <x:v>2961</x:v>
      </x:c>
      <x:c r="P699" t="s">
        <x:v>2969</x:v>
      </x:c>
      <x:c r="Q699" t="s">
        <x:v>622</x:v>
      </x:c>
      <x:c r="R699">
        <x:v>1</x:v>
      </x:c>
      <x:c r="S699" t="s">
        <x:v>42</x:v>
      </x:c>
      <x:c r="T699" t="s">
        <x:v>44</x:v>
      </x:c>
      <x:c r="U699" t="s">
        <x:v>44</x:v>
      </x:c>
      <x:c r="V699" t="s">
        <x:v>45</x:v>
      </x:c>
      <x:c r="W699" t="s">
        <x:v>46</x:v>
      </x:c>
      <x:c r="X699">
        <x:v>21.19</x:v>
      </x:c>
      <x:c r="Y699" t="s">
        <x:v>621</x:v>
      </x:c>
      <x:c r="Z699" t="s">
        <x:v>48</x:v>
      </x:c>
      <x:c r="AA699" t="s">
        <x:v>49</x:v>
      </x:c>
    </x:row>
    <x:row r="700">
      <x:c r="A700" s="1">
        <x:v>46287</x:v>
      </x:c>
      <x:c r="B700" t="s">
        <x:v>4056</x:v>
      </x:c>
      <x:c r="C700" t="s">
        <x:v>2970</x:v>
      </x:c>
      <x:c r="D700" t="s">
        <x:v>29</x:v>
      </x:c>
      <x:c r="E700" t="s">
        <x:v>2971</x:v>
      </x:c>
      <x:c r="F700" t="s">
        <x:v>31</x:v>
      </x:c>
      <x:c r="G700" t="s">
        <x:v>2972</x:v>
      </x:c>
      <x:c r="H700" t="s">
        <x:v>2961</x:v>
      </x:c>
      <x:c r="I700" t="s">
        <x:v>2962</x:v>
      </x:c>
      <x:c r="J700" t="s">
        <x:v>776</x:v>
      </x:c>
      <x:c r="K700" t="s">
        <x:v>777</x:v>
      </x:c>
      <x:c r="L700" t="s">
        <x:v>37</x:v>
      </x:c>
      <x:c r="M700" t="s">
        <x:v>2963</x:v>
      </x:c>
      <x:c r="N700" t="s">
        <x:v>2964</x:v>
      </x:c>
      <x:c r="O700" t="s">
        <x:v>2961</x:v>
      </x:c>
      <x:c r="P700" t="s">
        <x:v>2973</x:v>
      </x:c>
      <x:c r="Q700" t="s">
        <x:v>643</x:v>
      </x:c>
      <x:c r="R700">
        <x:v>1</x:v>
      </x:c>
      <x:c r="S700" t="s">
        <x:v>42</x:v>
      </x:c>
      <x:c r="T700" t="s">
        <x:v>44</x:v>
      </x:c>
      <x:c r="U700" t="s">
        <x:v>44</x:v>
      </x:c>
      <x:c r="V700" t="s">
        <x:v>45</x:v>
      </x:c>
      <x:c r="W700" t="s">
        <x:v>46</x:v>
      </x:c>
      <x:c r="X700">
        <x:v>84.75</x:v>
      </x:c>
      <x:c r="Y700" t="s">
        <x:v>47</x:v>
      </x:c>
      <x:c r="Z700" t="s">
        <x:v>48</x:v>
      </x:c>
      <x:c r="AA700" t="s">
        <x:v>49</x:v>
      </x:c>
    </x:row>
    <x:row r="701">
      <x:c r="A701" s="1">
        <x:v>46287</x:v>
      </x:c>
      <x:c r="B701" t="s">
        <x:v>4056</x:v>
      </x:c>
      <x:c r="C701" t="s">
        <x:v>2974</x:v>
      </x:c>
      <x:c r="D701" t="s">
        <x:v>29</x:v>
      </x:c>
      <x:c r="E701" t="s">
        <x:v>2975</x:v>
      </x:c>
      <x:c r="F701" t="s">
        <x:v>31</x:v>
      </x:c>
      <x:c r="G701" t="s">
        <x:v>2976</x:v>
      </x:c>
      <x:c r="H701" t="s">
        <x:v>2977</x:v>
      </x:c>
      <x:c r="I701" t="s">
        <x:v>2978</x:v>
      </x:c>
      <x:c r="J701" t="s">
        <x:v>776</x:v>
      </x:c>
      <x:c r="K701" t="s">
        <x:v>777</x:v>
      </x:c>
      <x:c r="L701" t="s">
        <x:v>37</x:v>
      </x:c>
      <x:c r="M701" t="s">
        <x:v>2979</x:v>
      </x:c>
      <x:c r="N701" t="s">
        <x:v>2980</x:v>
      </x:c>
      <x:c r="O701" t="s">
        <x:v>2977</x:v>
      </x:c>
      <x:c r="P701" t="s">
        <x:v>2981</x:v>
      </x:c>
      <x:c r="Q701" t="s">
        <x:v>622</x:v>
      </x:c>
      <x:c r="R701">
        <x:v>1</x:v>
      </x:c>
      <x:c r="S701" t="s">
        <x:v>42</x:v>
      </x:c>
      <x:c r="T701" t="s">
        <x:v>44</x:v>
      </x:c>
      <x:c r="U701" t="s">
        <x:v>44</x:v>
      </x:c>
      <x:c r="V701" t="s">
        <x:v>45</x:v>
      </x:c>
      <x:c r="W701" t="s">
        <x:v>46</x:v>
      </x:c>
      <x:c r="X701">
        <x:v>21.19</x:v>
      </x:c>
      <x:c r="Y701" t="s">
        <x:v>621</x:v>
      </x:c>
      <x:c r="Z701" t="s">
        <x:v>48</x:v>
      </x:c>
      <x:c r="AA701" t="s">
        <x:v>49</x:v>
      </x:c>
    </x:row>
    <x:row r="702">
      <x:c r="A702" s="1">
        <x:v>46287</x:v>
      </x:c>
      <x:c r="B702" t="s">
        <x:v>4056</x:v>
      </x:c>
      <x:c r="C702" t="s">
        <x:v>2974</x:v>
      </x:c>
      <x:c r="D702" t="s">
        <x:v>29</x:v>
      </x:c>
      <x:c r="E702" t="s">
        <x:v>2975</x:v>
      </x:c>
      <x:c r="F702" t="s">
        <x:v>31</x:v>
      </x:c>
      <x:c r="G702" t="s">
        <x:v>2976</x:v>
      </x:c>
      <x:c r="H702" t="s">
        <x:v>2977</x:v>
      </x:c>
      <x:c r="I702" t="s">
        <x:v>2978</x:v>
      </x:c>
      <x:c r="J702" t="s">
        <x:v>776</x:v>
      </x:c>
      <x:c r="K702" t="s">
        <x:v>777</x:v>
      </x:c>
      <x:c r="L702" t="s">
        <x:v>37</x:v>
      </x:c>
      <x:c r="M702" t="s">
        <x:v>2979</x:v>
      </x:c>
      <x:c r="N702" t="s">
        <x:v>2980</x:v>
      </x:c>
      <x:c r="O702" t="s">
        <x:v>2977</x:v>
      </x:c>
      <x:c r="P702" t="s">
        <x:v>2981</x:v>
      </x:c>
      <x:c r="Q702" t="s">
        <x:v>835</x:v>
      </x:c>
      <x:c r="R702">
        <x:v>1</x:v>
      </x:c>
      <x:c r="S702" t="s">
        <x:v>42</x:v>
      </x:c>
      <x:c r="T702" t="s">
        <x:v>44</x:v>
      </x:c>
      <x:c r="U702" t="s">
        <x:v>44</x:v>
      </x:c>
      <x:c r="V702" t="s">
        <x:v>45</x:v>
      </x:c>
      <x:c r="W702" t="s">
        <x:v>46</x:v>
      </x:c>
      <x:c r="X702">
        <x:v>50.85</x:v>
      </x:c>
      <x:c r="Y702" t="s">
        <x:v>621</x:v>
      </x:c>
      <x:c r="Z702" t="s">
        <x:v>48</x:v>
      </x:c>
      <x:c r="AA702" t="s">
        <x:v>49</x:v>
      </x:c>
    </x:row>
    <x:row r="703">
      <x:c r="A703" s="1">
        <x:v>46287</x:v>
      </x:c>
      <x:c r="B703" t="s">
        <x:v>4056</x:v>
      </x:c>
      <x:c r="C703" t="s">
        <x:v>2974</x:v>
      </x:c>
      <x:c r="D703" t="s">
        <x:v>29</x:v>
      </x:c>
      <x:c r="E703" t="s">
        <x:v>2975</x:v>
      </x:c>
      <x:c r="F703" t="s">
        <x:v>31</x:v>
      </x:c>
      <x:c r="G703" t="s">
        <x:v>2976</x:v>
      </x:c>
      <x:c r="H703" t="s">
        <x:v>2977</x:v>
      </x:c>
      <x:c r="I703" t="s">
        <x:v>2978</x:v>
      </x:c>
      <x:c r="J703" t="s">
        <x:v>776</x:v>
      </x:c>
      <x:c r="K703" t="s">
        <x:v>777</x:v>
      </x:c>
      <x:c r="L703" t="s">
        <x:v>37</x:v>
      </x:c>
      <x:c r="M703" t="s">
        <x:v>2979</x:v>
      </x:c>
      <x:c r="N703" t="s">
        <x:v>2980</x:v>
      </x:c>
      <x:c r="O703" t="s">
        <x:v>2977</x:v>
      </x:c>
      <x:c r="P703" t="s">
        <x:v>2981</x:v>
      </x:c>
      <x:c r="Q703" t="s">
        <x:v>620</x:v>
      </x:c>
      <x:c r="R703">
        <x:v>1</x:v>
      </x:c>
      <x:c r="S703" t="s">
        <x:v>42</x:v>
      </x:c>
      <x:c r="T703" t="s">
        <x:v>44</x:v>
      </x:c>
      <x:c r="U703" t="s">
        <x:v>44</x:v>
      </x:c>
      <x:c r="V703" t="s">
        <x:v>45</x:v>
      </x:c>
      <x:c r="W703" t="s">
        <x:v>46</x:v>
      </x:c>
      <x:c r="X703">
        <x:v>12.71</x:v>
      </x:c>
      <x:c r="Y703" t="s">
        <x:v>621</x:v>
      </x:c>
      <x:c r="Z703" t="s">
        <x:v>48</x:v>
      </x:c>
      <x:c r="AA703" t="s">
        <x:v>49</x:v>
      </x:c>
    </x:row>
    <x:row r="704">
      <x:c r="A704" s="1">
        <x:v>46287</x:v>
      </x:c>
      <x:c r="B704" t="s">
        <x:v>4056</x:v>
      </x:c>
      <x:c r="C704" t="s">
        <x:v>2974</x:v>
      </x:c>
      <x:c r="D704" t="s">
        <x:v>29</x:v>
      </x:c>
      <x:c r="E704" t="s">
        <x:v>2975</x:v>
      </x:c>
      <x:c r="F704" t="s">
        <x:v>31</x:v>
      </x:c>
      <x:c r="G704" t="s">
        <x:v>2976</x:v>
      </x:c>
      <x:c r="H704" t="s">
        <x:v>2977</x:v>
      </x:c>
      <x:c r="I704" t="s">
        <x:v>2978</x:v>
      </x:c>
      <x:c r="J704" t="s">
        <x:v>776</x:v>
      </x:c>
      <x:c r="K704" t="s">
        <x:v>777</x:v>
      </x:c>
      <x:c r="L704" t="s">
        <x:v>37</x:v>
      </x:c>
      <x:c r="M704" t="s">
        <x:v>2979</x:v>
      </x:c>
      <x:c r="N704" t="s">
        <x:v>2980</x:v>
      </x:c>
      <x:c r="O704" t="s">
        <x:v>2977</x:v>
      </x:c>
      <x:c r="P704" t="s">
        <x:v>2981</x:v>
      </x:c>
      <x:c r="Q704" t="s">
        <x:v>623</x:v>
      </x:c>
      <x:c r="R704">
        <x:v>1</x:v>
      </x:c>
      <x:c r="S704" t="s">
        <x:v>42</x:v>
      </x:c>
      <x:c r="T704" t="s">
        <x:v>44</x:v>
      </x:c>
      <x:c r="U704" t="s">
        <x:v>44</x:v>
      </x:c>
      <x:c r="V704" t="s">
        <x:v>45</x:v>
      </x:c>
      <x:c r="W704" t="s">
        <x:v>46</x:v>
      </x:c>
      <x:c r="X704">
        <x:v>12.71</x:v>
      </x:c>
      <x:c r="Y704" t="s">
        <x:v>621</x:v>
      </x:c>
      <x:c r="Z704" t="s">
        <x:v>48</x:v>
      </x:c>
      <x:c r="AA704" t="s">
        <x:v>49</x:v>
      </x:c>
    </x:row>
    <x:row r="705">
      <x:c r="A705" s="1">
        <x:v>46287</x:v>
      </x:c>
      <x:c r="B705" t="s">
        <x:v>4056</x:v>
      </x:c>
      <x:c r="C705" t="s">
        <x:v>2974</x:v>
      </x:c>
      <x:c r="D705" t="s">
        <x:v>29</x:v>
      </x:c>
      <x:c r="E705" t="s">
        <x:v>2975</x:v>
      </x:c>
      <x:c r="F705" t="s">
        <x:v>31</x:v>
      </x:c>
      <x:c r="G705" t="s">
        <x:v>2976</x:v>
      </x:c>
      <x:c r="H705" t="s">
        <x:v>2977</x:v>
      </x:c>
      <x:c r="I705" t="s">
        <x:v>2978</x:v>
      </x:c>
      <x:c r="J705" t="s">
        <x:v>776</x:v>
      </x:c>
      <x:c r="K705" t="s">
        <x:v>777</x:v>
      </x:c>
      <x:c r="L705" t="s">
        <x:v>37</x:v>
      </x:c>
      <x:c r="M705" t="s">
        <x:v>2979</x:v>
      </x:c>
      <x:c r="N705" t="s">
        <x:v>2980</x:v>
      </x:c>
      <x:c r="O705" t="s">
        <x:v>2977</x:v>
      </x:c>
      <x:c r="P705" t="s">
        <x:v>2981</x:v>
      </x:c>
      <x:c r="Q705" t="s">
        <x:v>624</x:v>
      </x:c>
      <x:c r="R705">
        <x:v>1</x:v>
      </x:c>
      <x:c r="S705" t="s">
        <x:v>42</x:v>
      </x:c>
      <x:c r="T705" t="s">
        <x:v>44</x:v>
      </x:c>
      <x:c r="U705" t="s">
        <x:v>44</x:v>
      </x:c>
      <x:c r="V705" t="s">
        <x:v>45</x:v>
      </x:c>
      <x:c r="W705" t="s">
        <x:v>46</x:v>
      </x:c>
      <x:c r="X705">
        <x:v>12.71</x:v>
      </x:c>
      <x:c r="Y705" t="s">
        <x:v>621</x:v>
      </x:c>
      <x:c r="Z705" t="s">
        <x:v>48</x:v>
      </x:c>
      <x:c r="AA705" t="s">
        <x:v>49</x:v>
      </x:c>
    </x:row>
    <x:row r="706">
      <x:c r="A706" s="1">
        <x:v>46287</x:v>
      </x:c>
      <x:c r="B706" t="s">
        <x:v>4056</x:v>
      </x:c>
      <x:c r="C706" t="s">
        <x:v>2982</x:v>
      </x:c>
      <x:c r="D706" t="s">
        <x:v>29</x:v>
      </x:c>
      <x:c r="E706" t="s">
        <x:v>2983</x:v>
      </x:c>
      <x:c r="F706" t="s">
        <x:v>31</x:v>
      </x:c>
      <x:c r="G706" t="s">
        <x:v>2984</x:v>
      </x:c>
      <x:c r="H706" t="s">
        <x:v>2977</x:v>
      </x:c>
      <x:c r="I706" t="s">
        <x:v>2978</x:v>
      </x:c>
      <x:c r="J706" t="s">
        <x:v>776</x:v>
      </x:c>
      <x:c r="K706" t="s">
        <x:v>777</x:v>
      </x:c>
      <x:c r="L706" t="s">
        <x:v>37</x:v>
      </x:c>
      <x:c r="M706" t="s">
        <x:v>2979</x:v>
      </x:c>
      <x:c r="N706" t="s">
        <x:v>2980</x:v>
      </x:c>
      <x:c r="O706" t="s">
        <x:v>2977</x:v>
      </x:c>
      <x:c r="P706" t="s">
        <x:v>2985</x:v>
      </x:c>
      <x:c r="Q706" t="s">
        <x:v>830</x:v>
      </x:c>
      <x:c r="R706">
        <x:v>1</x:v>
      </x:c>
      <x:c r="S706" t="s">
        <x:v>42</x:v>
      </x:c>
      <x:c r="T706" t="s">
        <x:v>44</x:v>
      </x:c>
      <x:c r="U706" t="s">
        <x:v>44</x:v>
      </x:c>
      <x:c r="V706" t="s">
        <x:v>45</x:v>
      </x:c>
      <x:c r="W706" t="s">
        <x:v>46</x:v>
      </x:c>
      <x:c r="X706">
        <x:v>127.12</x:v>
      </x:c>
      <x:c r="Y706" t="s">
        <x:v>47</x:v>
      </x:c>
      <x:c r="Z706" t="s">
        <x:v>48</x:v>
      </x:c>
      <x:c r="AA706" t="s">
        <x:v>49</x:v>
      </x:c>
    </x:row>
    <x:row r="707">
      <x:c r="A707" s="1">
        <x:v>46287</x:v>
      </x:c>
      <x:c r="B707" t="s">
        <x:v>4056</x:v>
      </x:c>
      <x:c r="C707" t="s">
        <x:v>2986</x:v>
      </x:c>
      <x:c r="D707" t="s">
        <x:v>29</x:v>
      </x:c>
      <x:c r="E707" t="s">
        <x:v>2987</x:v>
      </x:c>
      <x:c r="F707" t="s">
        <x:v>31</x:v>
      </x:c>
      <x:c r="G707" t="s">
        <x:v>2988</x:v>
      </x:c>
      <x:c r="H707" t="s">
        <x:v>2977</x:v>
      </x:c>
      <x:c r="I707" t="s">
        <x:v>2978</x:v>
      </x:c>
      <x:c r="J707" t="s">
        <x:v>776</x:v>
      </x:c>
      <x:c r="K707" t="s">
        <x:v>777</x:v>
      </x:c>
      <x:c r="L707" t="s">
        <x:v>37</x:v>
      </x:c>
      <x:c r="M707" t="s">
        <x:v>2979</x:v>
      </x:c>
      <x:c r="N707" t="s">
        <x:v>2980</x:v>
      </x:c>
      <x:c r="O707" t="s">
        <x:v>2977</x:v>
      </x:c>
      <x:c r="P707" t="s">
        <x:v>2989</x:v>
      </x:c>
      <x:c r="Q707" t="s">
        <x:v>643</x:v>
      </x:c>
      <x:c r="R707">
        <x:v>1</x:v>
      </x:c>
      <x:c r="S707" t="s">
        <x:v>42</x:v>
      </x:c>
      <x:c r="T707" t="s">
        <x:v>44</x:v>
      </x:c>
      <x:c r="U707" t="s">
        <x:v>44</x:v>
      </x:c>
      <x:c r="V707" t="s">
        <x:v>45</x:v>
      </x:c>
      <x:c r="W707" t="s">
        <x:v>46</x:v>
      </x:c>
      <x:c r="X707">
        <x:v>84.75</x:v>
      </x:c>
      <x:c r="Y707" t="s">
        <x:v>47</x:v>
      </x:c>
      <x:c r="Z707" t="s">
        <x:v>48</x:v>
      </x:c>
      <x:c r="AA707" t="s">
        <x:v>49</x:v>
      </x:c>
    </x:row>
    <x:row r="708">
      <x:c r="A708" s="1">
        <x:v>46287</x:v>
      </x:c>
      <x:c r="B708" t="s">
        <x:v>4056</x:v>
      </x:c>
      <x:c r="C708" t="s">
        <x:v>2990</x:v>
      </x:c>
      <x:c r="D708" t="s">
        <x:v>29</x:v>
      </x:c>
      <x:c r="E708" t="s">
        <x:v>2991</x:v>
      </x:c>
      <x:c r="F708" t="s">
        <x:v>31</x:v>
      </x:c>
      <x:c r="G708" t="s">
        <x:v>2992</x:v>
      </x:c>
      <x:c r="H708" t="s">
        <x:v>2993</x:v>
      </x:c>
      <x:c r="I708" t="s">
        <x:v>2994</x:v>
      </x:c>
      <x:c r="J708" t="s">
        <x:v>717</x:v>
      </x:c>
      <x:c r="K708" t="s">
        <x:v>718</x:v>
      </x:c>
      <x:c r="L708" t="s">
        <x:v>37</x:v>
      </x:c>
      <x:c r="M708" t="s">
        <x:v>2997</x:v>
      </x:c>
      <x:c r="N708" t="s">
        <x:v>2998</x:v>
      </x:c>
      <x:c r="O708" t="s">
        <x:v>2993</x:v>
      </x:c>
      <x:c r="P708" t="s">
        <x:v>2999</x:v>
      </x:c>
      <x:c r="Q708" t="s">
        <x:v>41</x:v>
      </x:c>
      <x:c r="R708">
        <x:v>1</x:v>
      </x:c>
      <x:c r="S708" t="s">
        <x:v>42</x:v>
      </x:c>
      <x:c r="T708" t="s">
        <x:v>44</x:v>
      </x:c>
      <x:c r="U708" t="s">
        <x:v>44</x:v>
      </x:c>
      <x:c r="V708" t="s">
        <x:v>45</x:v>
      </x:c>
      <x:c r="W708" t="s">
        <x:v>60</x:v>
      </x:c>
      <x:c r="X708">
        <x:v>186.44</x:v>
      </x:c>
      <x:c r="Y708" t="s">
        <x:v>47</x:v>
      </x:c>
      <x:c r="Z708" t="s">
        <x:v>48</x:v>
      </x:c>
      <x:c r="AA708" t="s">
        <x:v>49</x:v>
      </x:c>
      <x:c r="AB708">
        <x:v>955356636</x:v>
      </x:c>
      <x:c r="AC708" t="s">
        <x:v>722</x:v>
      </x:c>
      <x:c r="AD708">
        <x:v>50</x:v>
      </x:c>
    </x:row>
    <x:row r="709">
      <x:c r="A709" s="1">
        <x:v>46287</x:v>
      </x:c>
      <x:c r="B709" t="s">
        <x:v>4056</x:v>
      </x:c>
      <x:c r="C709" t="s">
        <x:v>3001</x:v>
      </x:c>
      <x:c r="D709" t="s">
        <x:v>29</x:v>
      </x:c>
      <x:c r="E709" t="s">
        <x:v>3002</x:v>
      </x:c>
      <x:c r="F709" t="s">
        <x:v>31</x:v>
      </x:c>
      <x:c r="G709" t="s">
        <x:v>3003</x:v>
      </x:c>
      <x:c r="H709" t="s">
        <x:v>3004</x:v>
      </x:c>
      <x:c r="I709" t="s">
        <x:v>3005</x:v>
      </x:c>
      <x:c r="J709" t="s">
        <x:v>776</x:v>
      </x:c>
      <x:c r="K709" t="s">
        <x:v>777</x:v>
      </x:c>
      <x:c r="L709" t="s">
        <x:v>37</x:v>
      </x:c>
      <x:c r="M709" t="s">
        <x:v>3006</x:v>
      </x:c>
      <x:c r="N709" t="s">
        <x:v>3007</x:v>
      </x:c>
      <x:c r="O709" t="s">
        <x:v>3004</x:v>
      </x:c>
      <x:c r="P709" t="s">
        <x:v>3008</x:v>
      </x:c>
      <x:c r="Q709" t="s">
        <x:v>643</x:v>
      </x:c>
      <x:c r="R709">
        <x:v>1</x:v>
      </x:c>
      <x:c r="S709" t="s">
        <x:v>42</x:v>
      </x:c>
      <x:c r="T709" t="s">
        <x:v>44</x:v>
      </x:c>
      <x:c r="U709" t="s">
        <x:v>44</x:v>
      </x:c>
      <x:c r="V709" t="s">
        <x:v>45</x:v>
      </x:c>
      <x:c r="W709" t="s">
        <x:v>46</x:v>
      </x:c>
      <x:c r="X709">
        <x:v>84.75</x:v>
      </x:c>
      <x:c r="Y709" t="s">
        <x:v>47</x:v>
      </x:c>
      <x:c r="Z709" t="s">
        <x:v>48</x:v>
      </x:c>
      <x:c r="AA709" t="s">
        <x:v>49</x:v>
      </x:c>
    </x:row>
    <x:row r="710">
      <x:c r="A710" s="1">
        <x:v>46287</x:v>
      </x:c>
      <x:c r="B710" t="s">
        <x:v>4056</x:v>
      </x:c>
      <x:c r="C710" t="s">
        <x:v>3009</x:v>
      </x:c>
      <x:c r="D710" t="s">
        <x:v>29</x:v>
      </x:c>
      <x:c r="E710" t="s">
        <x:v>3010</x:v>
      </x:c>
      <x:c r="F710" t="s">
        <x:v>31</x:v>
      </x:c>
      <x:c r="G710" t="s">
        <x:v>3011</x:v>
      </x:c>
      <x:c r="H710" t="s">
        <x:v>3012</x:v>
      </x:c>
      <x:c r="I710" t="s">
        <x:v>3013</x:v>
      </x:c>
      <x:c r="J710" t="s">
        <x:v>776</x:v>
      </x:c>
      <x:c r="K710" t="s">
        <x:v>777</x:v>
      </x:c>
      <x:c r="L710" t="s">
        <x:v>37</x:v>
      </x:c>
      <x:c r="M710" t="s">
        <x:v>3014</x:v>
      </x:c>
      <x:c r="N710" t="s">
        <x:v>3015</x:v>
      </x:c>
      <x:c r="O710" t="s">
        <x:v>3012</x:v>
      </x:c>
      <x:c r="P710" t="s">
        <x:v>3016</x:v>
      </x:c>
      <x:c r="Q710" t="s">
        <x:v>643</x:v>
      </x:c>
      <x:c r="R710">
        <x:v>1</x:v>
      </x:c>
      <x:c r="S710" t="s">
        <x:v>42</x:v>
      </x:c>
      <x:c r="T710" t="s">
        <x:v>44</x:v>
      </x:c>
      <x:c r="U710" t="s">
        <x:v>44</x:v>
      </x:c>
      <x:c r="V710" t="s">
        <x:v>45</x:v>
      </x:c>
      <x:c r="W710" t="s">
        <x:v>46</x:v>
      </x:c>
      <x:c r="X710">
        <x:v>84.75</x:v>
      </x:c>
      <x:c r="Y710" t="s">
        <x:v>47</x:v>
      </x:c>
      <x:c r="Z710" t="s">
        <x:v>48</x:v>
      </x:c>
      <x:c r="AA710" t="s">
        <x:v>49</x:v>
      </x:c>
    </x:row>
    <x:row r="711">
      <x:c r="A711" s="1">
        <x:v>46287</x:v>
      </x:c>
      <x:c r="B711" t="s">
        <x:v>4056</x:v>
      </x:c>
      <x:c r="C711" t="s">
        <x:v>3017</x:v>
      </x:c>
      <x:c r="D711" t="s">
        <x:v>29</x:v>
      </x:c>
      <x:c r="E711" t="s">
        <x:v>3018</x:v>
      </x:c>
      <x:c r="F711" t="s">
        <x:v>31</x:v>
      </x:c>
      <x:c r="G711" t="s">
        <x:v>3019</x:v>
      </x:c>
      <x:c r="H711" t="s">
        <x:v>3020</x:v>
      </x:c>
      <x:c r="I711" t="s">
        <x:v>3021</x:v>
      </x:c>
      <x:c r="J711" t="s">
        <x:v>706</x:v>
      </x:c>
      <x:c r="K711" t="s">
        <x:v>707</x:v>
      </x:c>
      <x:c r="L711" t="s">
        <x:v>37</x:v>
      </x:c>
      <x:c r="M711" t="s">
        <x:v>3022</x:v>
      </x:c>
      <x:c r="N711" t="s">
        <x:v>3023</x:v>
      </x:c>
      <x:c r="O711" t="s">
        <x:v>3020</x:v>
      </x:c>
      <x:c r="P711" t="s">
        <x:v>3024</x:v>
      </x:c>
      <x:c r="Q711" t="s">
        <x:v>160</x:v>
      </x:c>
      <x:c r="R711">
        <x:v>1</x:v>
      </x:c>
      <x:c r="S711" t="s">
        <x:v>42</x:v>
      </x:c>
      <x:c r="T711" t="s">
        <x:v>44</x:v>
      </x:c>
      <x:c r="U711" t="s">
        <x:v>44</x:v>
      </x:c>
      <x:c r="V711" t="s">
        <x:v>45</x:v>
      </x:c>
      <x:c r="W711" t="s">
        <x:v>60</x:v>
      </x:c>
      <x:c r="X711">
        <x:v>135.59</x:v>
      </x:c>
      <x:c r="Y711" t="s">
        <x:v>47</x:v>
      </x:c>
      <x:c r="Z711" t="s">
        <x:v>48</x:v>
      </x:c>
      <x:c r="AA711" t="s">
        <x:v>49</x:v>
      </x:c>
      <x:c r="AB711">
        <x:v>998418895</x:v>
      </x:c>
      <x:c r="AC711" t="s">
        <x:v>711</x:v>
      </x:c>
      <x:c r="AD711">
        <x:v>30</x:v>
      </x:c>
    </x:row>
    <x:row r="712">
      <x:c r="A712" s="1">
        <x:v>46287</x:v>
      </x:c>
      <x:c r="B712" t="s">
        <x:v>4056</x:v>
      </x:c>
      <x:c r="C712" t="s">
        <x:v>3017</x:v>
      </x:c>
      <x:c r="D712" t="s">
        <x:v>29</x:v>
      </x:c>
      <x:c r="E712" t="s">
        <x:v>3018</x:v>
      </x:c>
      <x:c r="F712" t="s">
        <x:v>31</x:v>
      </x:c>
      <x:c r="G712" t="s">
        <x:v>3019</x:v>
      </x:c>
      <x:c r="H712" t="s">
        <x:v>3020</x:v>
      </x:c>
      <x:c r="I712" t="s">
        <x:v>3021</x:v>
      </x:c>
      <x:c r="J712" t="s">
        <x:v>706</x:v>
      </x:c>
      <x:c r="K712" t="s">
        <x:v>707</x:v>
      </x:c>
      <x:c r="L712" t="s">
        <x:v>37</x:v>
      </x:c>
      <x:c r="M712" t="s">
        <x:v>3022</x:v>
      </x:c>
      <x:c r="N712" t="s">
        <x:v>3023</x:v>
      </x:c>
      <x:c r="O712" t="s">
        <x:v>3020</x:v>
      </x:c>
      <x:c r="P712" t="s">
        <x:v>3024</x:v>
      </x:c>
      <x:c r="Q712" t="s">
        <x:v>102</x:v>
      </x:c>
      <x:c r="R712">
        <x:v>1</x:v>
      </x:c>
      <x:c r="S712" t="s">
        <x:v>42</x:v>
      </x:c>
      <x:c r="T712" t="s">
        <x:v>44</x:v>
      </x:c>
      <x:c r="U712" t="s">
        <x:v>44</x:v>
      </x:c>
      <x:c r="V712" t="s">
        <x:v>45</x:v>
      </x:c>
      <x:c r="W712" t="s">
        <x:v>60</x:v>
      </x:c>
      <x:c r="X712">
        <x:v>186.44</x:v>
      </x:c>
      <x:c r="Y712" t="s">
        <x:v>47</x:v>
      </x:c>
      <x:c r="Z712" t="s">
        <x:v>48</x:v>
      </x:c>
      <x:c r="AA712" t="s">
        <x:v>49</x:v>
      </x:c>
      <x:c r="AB712">
        <x:v>998418895</x:v>
      </x:c>
      <x:c r="AC712" t="s">
        <x:v>711</x:v>
      </x:c>
      <x:c r="AD712">
        <x:v>50</x:v>
      </x:c>
    </x:row>
    <x:row r="713">
      <x:c r="A713" s="1">
        <x:v>46287</x:v>
      </x:c>
      <x:c r="B713" t="s">
        <x:v>4056</x:v>
      </x:c>
      <x:c r="C713" t="s">
        <x:v>3025</x:v>
      </x:c>
      <x:c r="D713" t="s">
        <x:v>269</x:v>
      </x:c>
      <x:c r="E713" t="s">
        <x:v>3026</x:v>
      </x:c>
      <x:c r="F713" t="s">
        <x:v>31</x:v>
      </x:c>
      <x:c r="G713" t="s">
        <x:v>3027</x:v>
      </x:c>
      <x:c r="H713" t="s">
        <x:v>2961</x:v>
      </x:c>
      <x:c r="I713" t="s">
        <x:v>2962</x:v>
      </x:c>
      <x:c r="J713" t="s">
        <x:v>776</x:v>
      </x:c>
      <x:c r="K713" t="s">
        <x:v>777</x:v>
      </x:c>
      <x:c r="L713" t="s">
        <x:v>37</x:v>
      </x:c>
      <x:c r="M713" t="s">
        <x:v>2963</x:v>
      </x:c>
      <x:c r="N713" t="s">
        <x:v>2964</x:v>
      </x:c>
      <x:c r="O713" t="s">
        <x:v>800</x:v>
      </x:c>
      <x:c r="P713" t="s">
        <x:v>3028</x:v>
      </x:c>
      <x:c r="Q713" t="s">
        <x:v>291</x:v>
      </x:c>
      <x:c r="R713">
        <x:v>1</x:v>
      </x:c>
      <x:c r="S713" t="s">
        <x:v>42</x:v>
      </x:c>
      <x:c r="T713" t="s">
        <x:v>44</x:v>
      </x:c>
      <x:c r="U713" t="s">
        <x:v>44</x:v>
      </x:c>
      <x:c r="V713" t="s">
        <x:v>45</x:v>
      </x:c>
      <x:c r="W713" t="s">
        <x:v>46</x:v>
      </x:c>
      <x:c r="X713">
        <x:v>762.71</x:v>
      </x:c>
      <x:c r="Y713" t="s">
        <x:v>290</x:v>
      </x:c>
      <x:c r="Z713" t="s">
        <x:v>48</x:v>
      </x:c>
      <x:c r="AA713" t="s">
        <x:v>49</x:v>
      </x:c>
    </x:row>
    <x:row r="714">
      <x:c r="A714" s="1">
        <x:v>46287</x:v>
      </x:c>
      <x:c r="B714" t="s">
        <x:v>4056</x:v>
      </x:c>
      <x:c r="C714" t="s">
        <x:v>3025</x:v>
      </x:c>
      <x:c r="D714" t="s">
        <x:v>269</x:v>
      </x:c>
      <x:c r="E714" t="s">
        <x:v>3026</x:v>
      </x:c>
      <x:c r="F714" t="s">
        <x:v>31</x:v>
      </x:c>
      <x:c r="G714" t="s">
        <x:v>3027</x:v>
      </x:c>
      <x:c r="H714" t="s">
        <x:v>2961</x:v>
      </x:c>
      <x:c r="I714" t="s">
        <x:v>2962</x:v>
      </x:c>
      <x:c r="J714" t="s">
        <x:v>776</x:v>
      </x:c>
      <x:c r="K714" t="s">
        <x:v>777</x:v>
      </x:c>
      <x:c r="L714" t="s">
        <x:v>37</x:v>
      </x:c>
      <x:c r="M714" t="s">
        <x:v>2963</x:v>
      </x:c>
      <x:c r="N714" t="s">
        <x:v>2964</x:v>
      </x:c>
      <x:c r="O714" t="s">
        <x:v>800</x:v>
      </x:c>
      <x:c r="P714" t="s">
        <x:v>3028</x:v>
      </x:c>
      <x:c r="Q714" t="s">
        <x:v>289</x:v>
      </x:c>
      <x:c r="R714">
        <x:v>1</x:v>
      </x:c>
      <x:c r="S714" t="s">
        <x:v>42</x:v>
      </x:c>
      <x:c r="T714" t="s">
        <x:v>44</x:v>
      </x:c>
      <x:c r="U714" t="s">
        <x:v>44</x:v>
      </x:c>
      <x:c r="V714" t="s">
        <x:v>45</x:v>
      </x:c>
      <x:c r="W714" t="s">
        <x:v>46</x:v>
      </x:c>
      <x:c r="X714">
        <x:v>0</x:v>
      </x:c>
      <x:c r="Y714" t="s">
        <x:v>290</x:v>
      </x:c>
      <x:c r="Z714" t="s">
        <x:v>48</x:v>
      </x:c>
      <x:c r="AA714" t="s">
        <x:v>49</x:v>
      </x:c>
    </x:row>
    <x:row r="715">
      <x:c r="A715" s="1">
        <x:v>46287</x:v>
      </x:c>
      <x:c r="B715" t="s">
        <x:v>4056</x:v>
      </x:c>
      <x:c r="C715" t="s">
        <x:v>3029</x:v>
      </x:c>
      <x:c r="D715" t="s">
        <x:v>269</x:v>
      </x:c>
      <x:c r="E715" t="s">
        <x:v>3030</x:v>
      </x:c>
      <x:c r="F715" t="s">
        <x:v>31</x:v>
      </x:c>
      <x:c r="G715" t="s">
        <x:v>3031</x:v>
      </x:c>
      <x:c r="H715" t="s">
        <x:v>3004</x:v>
      </x:c>
      <x:c r="I715" t="s">
        <x:v>3005</x:v>
      </x:c>
      <x:c r="J715" t="s">
        <x:v>776</x:v>
      </x:c>
      <x:c r="K715" t="s">
        <x:v>777</x:v>
      </x:c>
      <x:c r="L715" t="s">
        <x:v>37</x:v>
      </x:c>
      <x:c r="M715" t="s">
        <x:v>3006</x:v>
      </x:c>
      <x:c r="N715" t="s">
        <x:v>3007</x:v>
      </x:c>
      <x:c r="O715" t="s">
        <x:v>800</x:v>
      </x:c>
      <x:c r="P715" t="s">
        <x:v>3032</x:v>
      </x:c>
      <x:c r="Q715" t="s">
        <x:v>289</x:v>
      </x:c>
      <x:c r="R715">
        <x:v>1</x:v>
      </x:c>
      <x:c r="S715" t="s">
        <x:v>42</x:v>
      </x:c>
      <x:c r="T715" t="s">
        <x:v>44</x:v>
      </x:c>
      <x:c r="U715" t="s">
        <x:v>44</x:v>
      </x:c>
      <x:c r="V715" t="s">
        <x:v>45</x:v>
      </x:c>
      <x:c r="W715" t="s">
        <x:v>46</x:v>
      </x:c>
      <x:c r="X715">
        <x:v>0</x:v>
      </x:c>
      <x:c r="Y715" t="s">
        <x:v>290</x:v>
      </x:c>
      <x:c r="Z715" t="s">
        <x:v>48</x:v>
      </x:c>
      <x:c r="AA715" t="s">
        <x:v>49</x:v>
      </x:c>
    </x:row>
    <x:row r="716">
      <x:c r="A716" s="1">
        <x:v>46287</x:v>
      </x:c>
      <x:c r="B716" t="s">
        <x:v>4056</x:v>
      </x:c>
      <x:c r="C716" t="s">
        <x:v>3029</x:v>
      </x:c>
      <x:c r="D716" t="s">
        <x:v>269</x:v>
      </x:c>
      <x:c r="E716" t="s">
        <x:v>3030</x:v>
      </x:c>
      <x:c r="F716" t="s">
        <x:v>31</x:v>
      </x:c>
      <x:c r="G716" t="s">
        <x:v>3031</x:v>
      </x:c>
      <x:c r="H716" t="s">
        <x:v>3004</x:v>
      </x:c>
      <x:c r="I716" t="s">
        <x:v>3005</x:v>
      </x:c>
      <x:c r="J716" t="s">
        <x:v>776</x:v>
      </x:c>
      <x:c r="K716" t="s">
        <x:v>777</x:v>
      </x:c>
      <x:c r="L716" t="s">
        <x:v>37</x:v>
      </x:c>
      <x:c r="M716" t="s">
        <x:v>3006</x:v>
      </x:c>
      <x:c r="N716" t="s">
        <x:v>3007</x:v>
      </x:c>
      <x:c r="O716" t="s">
        <x:v>800</x:v>
      </x:c>
      <x:c r="P716" t="s">
        <x:v>3032</x:v>
      </x:c>
      <x:c r="Q716" t="s">
        <x:v>291</x:v>
      </x:c>
      <x:c r="R716">
        <x:v>1</x:v>
      </x:c>
      <x:c r="S716" t="s">
        <x:v>42</x:v>
      </x:c>
      <x:c r="T716" t="s">
        <x:v>44</x:v>
      </x:c>
      <x:c r="U716" t="s">
        <x:v>44</x:v>
      </x:c>
      <x:c r="V716" t="s">
        <x:v>45</x:v>
      </x:c>
      <x:c r="W716" t="s">
        <x:v>46</x:v>
      </x:c>
      <x:c r="X716">
        <x:v>762.71</x:v>
      </x:c>
      <x:c r="Y716" t="s">
        <x:v>290</x:v>
      </x:c>
      <x:c r="Z716" t="s">
        <x:v>48</x:v>
      </x:c>
      <x:c r="AA716" t="s">
        <x:v>49</x:v>
      </x:c>
    </x:row>
    <x:row r="717">
      <x:c r="A717" s="1">
        <x:v>46287</x:v>
      </x:c>
      <x:c r="B717" t="s">
        <x:v>4056</x:v>
      </x:c>
      <x:c r="C717" t="s">
        <x:v>3033</x:v>
      </x:c>
      <x:c r="D717" t="s">
        <x:v>269</x:v>
      </x:c>
      <x:c r="E717" t="s">
        <x:v>3034</x:v>
      </x:c>
      <x:c r="F717" t="s">
        <x:v>31</x:v>
      </x:c>
      <x:c r="G717" t="s">
        <x:v>3035</x:v>
      </x:c>
      <x:c r="H717" t="s">
        <x:v>2977</x:v>
      </x:c>
      <x:c r="I717" t="s">
        <x:v>2978</x:v>
      </x:c>
      <x:c r="J717" t="s">
        <x:v>776</x:v>
      </x:c>
      <x:c r="K717" t="s">
        <x:v>777</x:v>
      </x:c>
      <x:c r="L717" t="s">
        <x:v>37</x:v>
      </x:c>
      <x:c r="M717" t="s">
        <x:v>2979</x:v>
      </x:c>
      <x:c r="N717" t="s">
        <x:v>2980</x:v>
      </x:c>
      <x:c r="O717" t="s">
        <x:v>800</x:v>
      </x:c>
      <x:c r="P717" t="s">
        <x:v>3036</x:v>
      </x:c>
      <x:c r="Q717" t="s">
        <x:v>289</x:v>
      </x:c>
      <x:c r="R717">
        <x:v>1</x:v>
      </x:c>
      <x:c r="S717" t="s">
        <x:v>42</x:v>
      </x:c>
      <x:c r="T717" t="s">
        <x:v>44</x:v>
      </x:c>
      <x:c r="U717" t="s">
        <x:v>44</x:v>
      </x:c>
      <x:c r="V717" t="s">
        <x:v>45</x:v>
      </x:c>
      <x:c r="W717" t="s">
        <x:v>60</x:v>
      </x:c>
      <x:c r="X717">
        <x:v>0</x:v>
      </x:c>
      <x:c r="Y717" t="s">
        <x:v>290</x:v>
      </x:c>
      <x:c r="Z717" t="s">
        <x:v>48</x:v>
      </x:c>
      <x:c r="AA717" t="s">
        <x:v>49</x:v>
      </x:c>
    </x:row>
    <x:row r="718">
      <x:c r="A718" s="1">
        <x:v>46287</x:v>
      </x:c>
      <x:c r="B718" t="s">
        <x:v>4056</x:v>
      </x:c>
      <x:c r="C718" t="s">
        <x:v>3033</x:v>
      </x:c>
      <x:c r="D718" t="s">
        <x:v>269</x:v>
      </x:c>
      <x:c r="E718" t="s">
        <x:v>3034</x:v>
      </x:c>
      <x:c r="F718" t="s">
        <x:v>31</x:v>
      </x:c>
      <x:c r="G718" t="s">
        <x:v>3035</x:v>
      </x:c>
      <x:c r="H718" t="s">
        <x:v>2977</x:v>
      </x:c>
      <x:c r="I718" t="s">
        <x:v>2978</x:v>
      </x:c>
      <x:c r="J718" t="s">
        <x:v>776</x:v>
      </x:c>
      <x:c r="K718" t="s">
        <x:v>777</x:v>
      </x:c>
      <x:c r="L718" t="s">
        <x:v>37</x:v>
      </x:c>
      <x:c r="M718" t="s">
        <x:v>2979</x:v>
      </x:c>
      <x:c r="N718" t="s">
        <x:v>2980</x:v>
      </x:c>
      <x:c r="O718" t="s">
        <x:v>800</x:v>
      </x:c>
      <x:c r="P718" t="s">
        <x:v>3036</x:v>
      </x:c>
      <x:c r="Q718" t="s">
        <x:v>291</x:v>
      </x:c>
      <x:c r="R718">
        <x:v>1</x:v>
      </x:c>
      <x:c r="S718" t="s">
        <x:v>42</x:v>
      </x:c>
      <x:c r="T718" t="s">
        <x:v>44</x:v>
      </x:c>
      <x:c r="U718" t="s">
        <x:v>44</x:v>
      </x:c>
      <x:c r="V718" t="s">
        <x:v>45</x:v>
      </x:c>
      <x:c r="W718" t="s">
        <x:v>60</x:v>
      </x:c>
      <x:c r="X718">
        <x:v>762.71</x:v>
      </x:c>
      <x:c r="Y718" t="s">
        <x:v>290</x:v>
      </x:c>
      <x:c r="Z718" t="s">
        <x:v>48</x:v>
      </x:c>
      <x:c r="AA718" t="s">
        <x:v>49</x:v>
      </x:c>
    </x:row>
    <x:row r="719">
      <x:c r="A719" s="1">
        <x:v>46287</x:v>
      </x:c>
      <x:c r="B719" t="s">
        <x:v>4056</x:v>
      </x:c>
      <x:c r="C719" t="s">
        <x:v>4414</x:v>
      </x:c>
      <x:c r="D719" t="s">
        <x:v>29</x:v>
      </x:c>
      <x:c r="E719" t="s">
        <x:v>4415</x:v>
      </x:c>
      <x:c r="F719" t="s">
        <x:v>31</x:v>
      </x:c>
      <x:c r="G719" t="s">
        <x:v>4416</x:v>
      </x:c>
      <x:c r="H719" t="s">
        <x:v>4417</x:v>
      </x:c>
      <x:c r="I719" t="s">
        <x:v>4418</x:v>
      </x:c>
      <x:c r="L719" t="s">
        <x:v>37</x:v>
      </x:c>
      <x:c r="M719" t="s">
        <x:v>4419</x:v>
      </x:c>
      <x:c r="N719" t="s">
        <x:v>4420</x:v>
      </x:c>
      <x:c r="O719" t="s">
        <x:v>4417</x:v>
      </x:c>
      <x:c r="P719" t="s">
        <x:v>4421</x:v>
      </x:c>
      <x:c r="Q719" t="s">
        <x:v>91</x:v>
      </x:c>
      <x:c r="R719">
        <x:v>1</x:v>
      </x:c>
      <x:c r="S719" t="s">
        <x:v>42</x:v>
      </x:c>
      <x:c r="T719" t="s">
        <x:v>44</x:v>
      </x:c>
      <x:c r="U719" t="s">
        <x:v>44</x:v>
      </x:c>
      <x:c r="V719" t="s">
        <x:v>45</x:v>
      </x:c>
      <x:c r="W719" t="s">
        <x:v>46</x:v>
      </x:c>
      <x:c r="X719">
        <x:v>135.59</x:v>
      </x:c>
      <x:c r="Y719" t="s">
        <x:v>47</x:v>
      </x:c>
      <x:c r="Z719" t="s">
        <x:v>48</x:v>
      </x:c>
      <x:c r="AA719" t="s">
        <x:v>49</x:v>
      </x:c>
      <x:c r="AD719">
        <x:v>30</x:v>
      </x:c>
    </x:row>
    <x:row r="720">
      <x:c r="A720" s="1">
        <x:v>46287</x:v>
      </x:c>
      <x:c r="B720" t="s">
        <x:v>4056</x:v>
      </x:c>
      <x:c r="C720" t="s">
        <x:v>4414</x:v>
      </x:c>
      <x:c r="D720" t="s">
        <x:v>29</x:v>
      </x:c>
      <x:c r="E720" t="s">
        <x:v>4415</x:v>
      </x:c>
      <x:c r="F720" t="s">
        <x:v>31</x:v>
      </x:c>
      <x:c r="G720" t="s">
        <x:v>4416</x:v>
      </x:c>
      <x:c r="H720" t="s">
        <x:v>4417</x:v>
      </x:c>
      <x:c r="I720" t="s">
        <x:v>4418</x:v>
      </x:c>
      <x:c r="L720" t="s">
        <x:v>37</x:v>
      </x:c>
      <x:c r="M720" t="s">
        <x:v>4419</x:v>
      </x:c>
      <x:c r="N720" t="s">
        <x:v>4420</x:v>
      </x:c>
      <x:c r="O720" t="s">
        <x:v>4417</x:v>
      </x:c>
      <x:c r="P720" t="s">
        <x:v>4421</x:v>
      </x:c>
      <x:c r="Q720" t="s">
        <x:v>202</x:v>
      </x:c>
      <x:c r="R720">
        <x:v>1</x:v>
      </x:c>
      <x:c r="S720" t="s">
        <x:v>42</x:v>
      </x:c>
      <x:c r="T720" t="s">
        <x:v>44</x:v>
      </x:c>
      <x:c r="U720" t="s">
        <x:v>44</x:v>
      </x:c>
      <x:c r="V720" t="s">
        <x:v>45</x:v>
      </x:c>
      <x:c r="W720" t="s">
        <x:v>46</x:v>
      </x:c>
      <x:c r="X720">
        <x:v>152.54</x:v>
      </x:c>
      <x:c r="Y720" t="s">
        <x:v>47</x:v>
      </x:c>
      <x:c r="Z720" t="s">
        <x:v>48</x:v>
      </x:c>
      <x:c r="AA720" t="s">
        <x:v>49</x:v>
      </x:c>
      <x:c r="AD720">
        <x:v>30</x:v>
      </x:c>
    </x:row>
    <x:row r="721">
      <x:c r="A721" s="1">
        <x:v>46287</x:v>
      </x:c>
      <x:c r="B721" t="s">
        <x:v>4056</x:v>
      </x:c>
      <x:c r="C721" t="s">
        <x:v>4414</x:v>
      </x:c>
      <x:c r="D721" t="s">
        <x:v>29</x:v>
      </x:c>
      <x:c r="E721" t="s">
        <x:v>4415</x:v>
      </x:c>
      <x:c r="F721" t="s">
        <x:v>31</x:v>
      </x:c>
      <x:c r="G721" t="s">
        <x:v>4416</x:v>
      </x:c>
      <x:c r="H721" t="s">
        <x:v>4417</x:v>
      </x:c>
      <x:c r="I721" t="s">
        <x:v>4418</x:v>
      </x:c>
      <x:c r="L721" t="s">
        <x:v>37</x:v>
      </x:c>
      <x:c r="M721" t="s">
        <x:v>4419</x:v>
      </x:c>
      <x:c r="N721" t="s">
        <x:v>4420</x:v>
      </x:c>
      <x:c r="O721" t="s">
        <x:v>4417</x:v>
      </x:c>
      <x:c r="P721" t="s">
        <x:v>4421</x:v>
      </x:c>
      <x:c r="Q721" t="s">
        <x:v>203</x:v>
      </x:c>
      <x:c r="R721">
        <x:v>1</x:v>
      </x:c>
      <x:c r="S721" t="s">
        <x:v>42</x:v>
      </x:c>
      <x:c r="T721" t="s">
        <x:v>44</x:v>
      </x:c>
      <x:c r="U721" t="s">
        <x:v>44</x:v>
      </x:c>
      <x:c r="V721" t="s">
        <x:v>45</x:v>
      </x:c>
      <x:c r="W721" t="s">
        <x:v>46</x:v>
      </x:c>
      <x:c r="X721">
        <x:v>135.59</x:v>
      </x:c>
      <x:c r="Y721" t="s">
        <x:v>47</x:v>
      </x:c>
      <x:c r="Z721" t="s">
        <x:v>48</x:v>
      </x:c>
      <x:c r="AA721" t="s">
        <x:v>49</x:v>
      </x:c>
      <x:c r="AD721">
        <x:v>30</x:v>
      </x:c>
    </x:row>
    <x:row r="722">
      <x:c r="A722" s="1">
        <x:v>46287</x:v>
      </x:c>
      <x:c r="B722" t="s">
        <x:v>4056</x:v>
      </x:c>
      <x:c r="C722" t="s">
        <x:v>4422</x:v>
      </x:c>
      <x:c r="D722" t="s">
        <x:v>29</x:v>
      </x:c>
      <x:c r="E722" t="s">
        <x:v>4423</x:v>
      </x:c>
      <x:c r="F722" t="s">
        <x:v>31</x:v>
      </x:c>
      <x:c r="G722" t="s">
        <x:v>4424</x:v>
      </x:c>
      <x:c r="H722" t="s">
        <x:v>4425</x:v>
      </x:c>
      <x:c r="I722" t="s">
        <x:v>4426</x:v>
      </x:c>
      <x:c r="J722" t="s">
        <x:v>1110</x:v>
      </x:c>
      <x:c r="K722" t="s">
        <x:v>210</x:v>
      </x:c>
      <x:c r="L722" t="s">
        <x:v>37</x:v>
      </x:c>
      <x:c r="M722" t="s">
        <x:v>4427</x:v>
      </x:c>
      <x:c r="N722" t="s">
        <x:v>4428</x:v>
      </x:c>
      <x:c r="O722" t="s">
        <x:v>4425</x:v>
      </x:c>
      <x:c r="P722" t="s">
        <x:v>4429</x:v>
      </x:c>
      <x:c r="Q722" t="s">
        <x:v>160</x:v>
      </x:c>
      <x:c r="R722">
        <x:v>1</x:v>
      </x:c>
      <x:c r="S722" t="s">
        <x:v>42</x:v>
      </x:c>
      <x:c r="T722" t="s">
        <x:v>44</x:v>
      </x:c>
      <x:c r="U722" t="s">
        <x:v>44</x:v>
      </x:c>
      <x:c r="V722" t="s">
        <x:v>45</x:v>
      </x:c>
      <x:c r="W722" t="s">
        <x:v>46</x:v>
      </x:c>
      <x:c r="X722">
        <x:v>135.59</x:v>
      </x:c>
      <x:c r="Y722" t="s">
        <x:v>47</x:v>
      </x:c>
      <x:c r="Z722" t="s">
        <x:v>48</x:v>
      </x:c>
      <x:c r="AA722" t="s">
        <x:v>49</x:v>
      </x:c>
      <x:c r="AB722">
        <x:v>970582106</x:v>
      </x:c>
      <x:c r="AC722" t="s">
        <x:v>1115</x:v>
      </x:c>
      <x:c r="AD722">
        <x:v>30</x:v>
      </x:c>
    </x:row>
    <x:row r="723">
      <x:c r="A723" s="1">
        <x:v>46287</x:v>
      </x:c>
      <x:c r="B723" t="s">
        <x:v>4056</x:v>
      </x:c>
      <x:c r="C723" t="s">
        <x:v>4430</x:v>
      </x:c>
      <x:c r="D723" t="s">
        <x:v>29</x:v>
      </x:c>
      <x:c r="E723" t="s">
        <x:v>4431</x:v>
      </x:c>
      <x:c r="F723" t="s">
        <x:v>31</x:v>
      </x:c>
      <x:c r="G723" t="s">
        <x:v>4432</x:v>
      </x:c>
      <x:c r="H723" t="s">
        <x:v>4433</x:v>
      </x:c>
      <x:c r="I723" t="s">
        <x:v>4434</x:v>
      </x:c>
      <x:c r="J723" t="s">
        <x:v>776</x:v>
      </x:c>
      <x:c r="K723" t="s">
        <x:v>777</x:v>
      </x:c>
      <x:c r="L723" t="s">
        <x:v>37</x:v>
      </x:c>
      <x:c r="M723" t="s">
        <x:v>4435</x:v>
      </x:c>
      <x:c r="N723" t="s">
        <x:v>4436</x:v>
      </x:c>
      <x:c r="O723" t="s">
        <x:v>4433</x:v>
      </x:c>
      <x:c r="P723" t="s">
        <x:v>4437</x:v>
      </x:c>
      <x:c r="Q723" t="s">
        <x:v>202</x:v>
      </x:c>
      <x:c r="R723">
        <x:v>1</x:v>
      </x:c>
      <x:c r="S723" t="s">
        <x:v>42</x:v>
      </x:c>
      <x:c r="T723" t="s">
        <x:v>44</x:v>
      </x:c>
      <x:c r="U723" t="s">
        <x:v>44</x:v>
      </x:c>
      <x:c r="V723" t="s">
        <x:v>45</x:v>
      </x:c>
      <x:c r="W723" t="s">
        <x:v>60</x:v>
      </x:c>
      <x:c r="X723">
        <x:v>152.54</x:v>
      </x:c>
      <x:c r="Y723" t="s">
        <x:v>47</x:v>
      </x:c>
      <x:c r="Z723" t="s">
        <x:v>48</x:v>
      </x:c>
      <x:c r="AA723" t="s">
        <x:v>49</x:v>
      </x:c>
      <x:c r="AD723">
        <x:v>30</x:v>
      </x:c>
    </x:row>
    <x:row r="724">
      <x:c r="A724" s="1">
        <x:v>46287</x:v>
      </x:c>
      <x:c r="B724" t="s">
        <x:v>4056</x:v>
      </x:c>
      <x:c r="C724" t="s">
        <x:v>4430</x:v>
      </x:c>
      <x:c r="D724" t="s">
        <x:v>29</x:v>
      </x:c>
      <x:c r="E724" t="s">
        <x:v>4431</x:v>
      </x:c>
      <x:c r="F724" t="s">
        <x:v>31</x:v>
      </x:c>
      <x:c r="G724" t="s">
        <x:v>4432</x:v>
      </x:c>
      <x:c r="H724" t="s">
        <x:v>4433</x:v>
      </x:c>
      <x:c r="I724" t="s">
        <x:v>4434</x:v>
      </x:c>
      <x:c r="J724" t="s">
        <x:v>776</x:v>
      </x:c>
      <x:c r="K724" t="s">
        <x:v>777</x:v>
      </x:c>
      <x:c r="L724" t="s">
        <x:v>37</x:v>
      </x:c>
      <x:c r="M724" t="s">
        <x:v>4435</x:v>
      </x:c>
      <x:c r="N724" t="s">
        <x:v>4436</x:v>
      </x:c>
      <x:c r="O724" t="s">
        <x:v>4433</x:v>
      </x:c>
      <x:c r="P724" t="s">
        <x:v>4437</x:v>
      </x:c>
      <x:c r="Q724" t="s">
        <x:v>203</x:v>
      </x:c>
      <x:c r="R724">
        <x:v>1</x:v>
      </x:c>
      <x:c r="S724" t="s">
        <x:v>42</x:v>
      </x:c>
      <x:c r="T724" t="s">
        <x:v>44</x:v>
      </x:c>
      <x:c r="U724" t="s">
        <x:v>44</x:v>
      </x:c>
      <x:c r="V724" t="s">
        <x:v>45</x:v>
      </x:c>
      <x:c r="W724" t="s">
        <x:v>60</x:v>
      </x:c>
      <x:c r="X724">
        <x:v>135.59</x:v>
      </x:c>
      <x:c r="Y724" t="s">
        <x:v>47</x:v>
      </x:c>
      <x:c r="Z724" t="s">
        <x:v>48</x:v>
      </x:c>
      <x:c r="AA724" t="s">
        <x:v>49</x:v>
      </x:c>
      <x:c r="AD724">
        <x:v>30</x:v>
      </x:c>
    </x:row>
    <x:row r="725">
      <x:c r="A725" s="1">
        <x:v>46287</x:v>
      </x:c>
      <x:c r="B725" t="s">
        <x:v>4056</x:v>
      </x:c>
      <x:c r="C725" t="s">
        <x:v>4438</x:v>
      </x:c>
      <x:c r="D725" t="s">
        <x:v>29</x:v>
      </x:c>
      <x:c r="E725" t="s">
        <x:v>4439</x:v>
      </x:c>
      <x:c r="F725" t="s">
        <x:v>31</x:v>
      </x:c>
      <x:c r="G725" t="s">
        <x:v>4440</x:v>
      </x:c>
      <x:c r="H725" t="s">
        <x:v>4441</x:v>
      </x:c>
      <x:c r="I725" t="s">
        <x:v>4442</x:v>
      </x:c>
      <x:c r="J725" t="s">
        <x:v>1110</x:v>
      </x:c>
      <x:c r="K725" t="s">
        <x:v>210</x:v>
      </x:c>
      <x:c r="L725" t="s">
        <x:v>37</x:v>
      </x:c>
      <x:c r="M725" t="s">
        <x:v>4443</x:v>
      </x:c>
      <x:c r="N725" t="s">
        <x:v>4444</x:v>
      </x:c>
      <x:c r="O725" t="s">
        <x:v>4441</x:v>
      </x:c>
      <x:c r="P725" t="s">
        <x:v>4445</x:v>
      </x:c>
      <x:c r="Q725" t="s">
        <x:v>91</x:v>
      </x:c>
      <x:c r="R725">
        <x:v>1</x:v>
      </x:c>
      <x:c r="S725" t="s">
        <x:v>42</x:v>
      </x:c>
      <x:c r="T725" t="s">
        <x:v>44</x:v>
      </x:c>
      <x:c r="U725" t="s">
        <x:v>44</x:v>
      </x:c>
      <x:c r="V725" t="s">
        <x:v>71</x:v>
      </x:c>
      <x:c r="W725" t="s">
        <x:v>72</x:v>
      </x:c>
      <x:c r="X725">
        <x:v>135.59</x:v>
      </x:c>
      <x:c r="Y725" t="s">
        <x:v>47</x:v>
      </x:c>
      <x:c r="Z725" t="s">
        <x:v>48</x:v>
      </x:c>
      <x:c r="AA725" t="s">
        <x:v>73</x:v>
      </x:c>
      <x:c r="AB725">
        <x:v>970582106</x:v>
      </x:c>
      <x:c r="AC725" t="s">
        <x:v>1115</x:v>
      </x:c>
      <x:c r="AD725">
        <x:v>30</x:v>
      </x:c>
    </x:row>
    <x:row r="726">
      <x:c r="A726" s="1">
        <x:v>46287</x:v>
      </x:c>
      <x:c r="B726" t="s">
        <x:v>4056</x:v>
      </x:c>
      <x:c r="C726" t="s">
        <x:v>4446</x:v>
      </x:c>
      <x:c r="D726" t="s">
        <x:v>29</x:v>
      </x:c>
      <x:c r="E726" t="s">
        <x:v>4447</x:v>
      </x:c>
      <x:c r="F726" t="s">
        <x:v>31</x:v>
      </x:c>
      <x:c r="G726" t="s">
        <x:v>4448</x:v>
      </x:c>
      <x:c r="H726" t="s">
        <x:v>4449</x:v>
      </x:c>
      <x:c r="I726" t="s">
        <x:v>4450</x:v>
      </x:c>
      <x:c r="J726" t="s">
        <x:v>2841</x:v>
      </x:c>
      <x:c r="K726" t="s">
        <x:v>210</x:v>
      </x:c>
      <x:c r="L726" t="s">
        <x:v>37</x:v>
      </x:c>
      <x:c r="M726" t="s">
        <x:v>4451</x:v>
      </x:c>
      <x:c r="N726" t="s">
        <x:v>4452</x:v>
      </x:c>
      <x:c r="O726" t="s">
        <x:v>4449</x:v>
      </x:c>
      <x:c r="P726" t="s">
        <x:v>4453</x:v>
      </x:c>
      <x:c r="Q726" t="s">
        <x:v>91</x:v>
      </x:c>
      <x:c r="R726">
        <x:v>1</x:v>
      </x:c>
      <x:c r="S726" t="s">
        <x:v>42</x:v>
      </x:c>
      <x:c r="T726" t="s">
        <x:v>44</x:v>
      </x:c>
      <x:c r="U726" t="s">
        <x:v>44</x:v>
      </x:c>
      <x:c r="V726" t="s">
        <x:v>45</x:v>
      </x:c>
      <x:c r="W726" t="s">
        <x:v>60</x:v>
      </x:c>
      <x:c r="X726">
        <x:v>135.59</x:v>
      </x:c>
      <x:c r="Y726" t="s">
        <x:v>47</x:v>
      </x:c>
      <x:c r="Z726" t="s">
        <x:v>48</x:v>
      </x:c>
      <x:c r="AA726" t="s">
        <x:v>49</x:v>
      </x:c>
      <x:c r="AB726">
        <x:v>994872106</x:v>
      </x:c>
      <x:c r="AC726" t="s">
        <x:v>1256</x:v>
      </x:c>
      <x:c r="AD726">
        <x:v>30</x:v>
      </x:c>
    </x:row>
    <x:row r="727">
      <x:c r="A727" s="1">
        <x:v>46288</x:v>
      </x:c>
      <x:c r="B727" t="s">
        <x:v>4056</x:v>
      </x:c>
      <x:c r="C727" t="s">
        <x:v>3037</x:v>
      </x:c>
      <x:c r="D727" t="s">
        <x:v>29</x:v>
      </x:c>
      <x:c r="E727" t="s">
        <x:v>3038</x:v>
      </x:c>
      <x:c r="F727" t="s">
        <x:v>31</x:v>
      </x:c>
      <x:c r="G727" t="s">
        <x:v>3039</x:v>
      </x:c>
      <x:c r="H727" t="s">
        <x:v>3040</x:v>
      </x:c>
      <x:c r="I727" t="s">
        <x:v>3041</x:v>
      </x:c>
      <x:c r="J727" t="s">
        <x:v>435</x:v>
      </x:c>
      <x:c r="K727" t="s">
        <x:v>436</x:v>
      </x:c>
      <x:c r="L727" t="s">
        <x:v>37</x:v>
      </x:c>
      <x:c r="M727" t="s">
        <x:v>3042</x:v>
      </x:c>
      <x:c r="N727" t="s">
        <x:v>3043</x:v>
      </x:c>
      <x:c r="O727" t="s">
        <x:v>3040</x:v>
      </x:c>
      <x:c r="P727" t="s">
        <x:v>3044</x:v>
      </x:c>
      <x:c r="Q727" t="s">
        <x:v>350</x:v>
      </x:c>
      <x:c r="R727">
        <x:v>1</x:v>
      </x:c>
      <x:c r="S727" t="s">
        <x:v>70</x:v>
      </x:c>
      <x:c r="T727" t="s">
        <x:v>43</x:v>
      </x:c>
      <x:c r="U727" t="s">
        <x:v>44</x:v>
      </x:c>
      <x:c r="V727" t="s">
        <x:v>71</x:v>
      </x:c>
      <x:c r="W727" t="s">
        <x:v>185</x:v>
      </x:c>
      <x:c r="X727">
        <x:v>169.49</x:v>
      </x:c>
      <x:c r="Y727" t="s">
        <x:v>47</x:v>
      </x:c>
      <x:c r="Z727" t="s">
        <x:v>48</x:v>
      </x:c>
      <x:c r="AA727" t="s">
        <x:v>73</x:v>
      </x:c>
      <x:c r="AB727">
        <x:v>992903716</x:v>
      </x:c>
      <x:c r="AC727" t="s">
        <x:v>440</x:v>
      </x:c>
      <x:c r="AD727">
        <x:v>50</x:v>
      </x:c>
    </x:row>
    <x:row r="728">
      <x:c r="A728" s="1">
        <x:v>46288</x:v>
      </x:c>
      <x:c r="B728" t="s">
        <x:v>4056</x:v>
      </x:c>
      <x:c r="C728" t="s">
        <x:v>3045</x:v>
      </x:c>
      <x:c r="D728" t="s">
        <x:v>29</x:v>
      </x:c>
      <x:c r="E728" t="s">
        <x:v>3046</x:v>
      </x:c>
      <x:c r="F728" t="s">
        <x:v>31</x:v>
      </x:c>
      <x:c r="G728" t="s">
        <x:v>3047</x:v>
      </x:c>
      <x:c r="H728" t="s">
        <x:v>3048</x:v>
      </x:c>
      <x:c r="I728" t="s">
        <x:v>3049</x:v>
      </x:c>
      <x:c r="J728" t="s">
        <x:v>4454</x:v>
      </x:c>
      <x:c r="K728" t="s">
        <x:v>631</x:v>
      </x:c>
      <x:c r="L728" t="s">
        <x:v>37</x:v>
      </x:c>
      <x:c r="M728" t="s">
        <x:v>3050</x:v>
      </x:c>
      <x:c r="N728" t="s">
        <x:v>3043</x:v>
      </x:c>
      <x:c r="O728" t="s">
        <x:v>3048</x:v>
      </x:c>
      <x:c r="P728" t="s">
        <x:v>3051</x:v>
      </x:c>
      <x:c r="Q728" t="s">
        <x:v>350</x:v>
      </x:c>
      <x:c r="R728">
        <x:v>1</x:v>
      </x:c>
      <x:c r="S728" t="s">
        <x:v>70</x:v>
      </x:c>
      <x:c r="T728" t="s">
        <x:v>43</x:v>
      </x:c>
      <x:c r="U728" t="s">
        <x:v>44</x:v>
      </x:c>
      <x:c r="V728" t="s">
        <x:v>71</x:v>
      </x:c>
      <x:c r="W728" t="s">
        <x:v>185</x:v>
      </x:c>
      <x:c r="X728">
        <x:v>169.49</x:v>
      </x:c>
      <x:c r="Y728" t="s">
        <x:v>47</x:v>
      </x:c>
      <x:c r="Z728" t="s">
        <x:v>48</x:v>
      </x:c>
      <x:c r="AA728" t="s">
        <x:v>73</x:v>
      </x:c>
      <x:c r="AB728">
        <x:v>942116231</x:v>
      </x:c>
      <x:c r="AD728">
        <x:v>50</x:v>
      </x:c>
    </x:row>
    <x:row r="729">
      <x:c r="A729" s="1">
        <x:v>46288</x:v>
      </x:c>
      <x:c r="B729" t="s">
        <x:v>4056</x:v>
      </x:c>
      <x:c r="C729" t="s">
        <x:v>3052</x:v>
      </x:c>
      <x:c r="D729" t="s">
        <x:v>400</x:v>
      </x:c>
      <x:c r="E729" t="s">
        <x:v>3038</x:v>
      </x:c>
      <x:c r="F729" t="s">
        <x:v>401</x:v>
      </x:c>
      <x:c r="G729" t="s">
        <x:v>3053</x:v>
      </x:c>
      <x:c r="H729" t="s">
        <x:v>3040</x:v>
      </x:c>
      <x:c r="I729" t="s">
        <x:v>3041</x:v>
      </x:c>
      <x:c r="J729" t="s">
        <x:v>435</x:v>
      </x:c>
      <x:c r="K729" t="s">
        <x:v>436</x:v>
      </x:c>
      <x:c r="L729" t="s">
        <x:v>401</x:v>
      </x:c>
      <x:c r="M729" t="s">
        <x:v>3042</x:v>
      </x:c>
      <x:c r="N729" t="s">
        <x:v>3043</x:v>
      </x:c>
      <x:c r="O729" t="s">
        <x:v>3040</x:v>
      </x:c>
      <x:c r="P729" t="s">
        <x:v>3044</x:v>
      </x:c>
      <x:c r="Q729" t="s">
        <x:v>350</x:v>
      </x:c>
      <x:c r="R729">
        <x:v>1</x:v>
      </x:c>
      <x:c r="S729" t="s">
        <x:v>70</x:v>
      </x:c>
      <x:c r="T729" t="s">
        <x:v>43</x:v>
      </x:c>
      <x:c r="U729" t="s">
        <x:v>44</x:v>
      </x:c>
      <x:c r="V729" t="s">
        <x:v>71</x:v>
      </x:c>
      <x:c r="W729" t="s">
        <x:v>185</x:v>
      </x:c>
      <x:c r="X729">
        <x:v>-169.49</x:v>
      </x:c>
      <x:c r="Y729" t="s">
        <x:v>47</x:v>
      </x:c>
      <x:c r="Z729" t="s">
        <x:v>48</x:v>
      </x:c>
      <x:c r="AA729" t="s">
        <x:v>73</x:v>
      </x:c>
      <x:c r="AB729">
        <x:v>992903716</x:v>
      </x:c>
      <x:c r="AC729" t="s">
        <x:v>440</x:v>
      </x:c>
      <x:c r="AD729">
        <x:v>50</x:v>
      </x:c>
    </x:row>
    <x:row r="730">
      <x:c r="A730" s="1">
        <x:v>46288</x:v>
      </x:c>
      <x:c r="B730" t="s">
        <x:v>4056</x:v>
      </x:c>
      <x:c r="C730" t="s">
        <x:v>4455</x:v>
      </x:c>
      <x:c r="D730" t="s">
        <x:v>29</x:v>
      </x:c>
      <x:c r="E730" t="s">
        <x:v>4456</x:v>
      </x:c>
      <x:c r="F730" t="s">
        <x:v>31</x:v>
      </x:c>
      <x:c r="G730" t="s">
        <x:v>4457</x:v>
      </x:c>
      <x:c r="H730" t="s">
        <x:v>4458</x:v>
      </x:c>
      <x:c r="I730" t="s">
        <x:v>4459</x:v>
      </x:c>
      <x:c r="J730" t="s">
        <x:v>2841</x:v>
      </x:c>
      <x:c r="K730" t="s">
        <x:v>210</x:v>
      </x:c>
      <x:c r="L730" t="s">
        <x:v>37</x:v>
      </x:c>
      <x:c r="M730" t="s">
        <x:v>4460</x:v>
      </x:c>
      <x:c r="N730" t="s">
        <x:v>4461</x:v>
      </x:c>
      <x:c r="O730" t="s">
        <x:v>4458</x:v>
      </x:c>
      <x:c r="P730" t="s">
        <x:v>4462</x:v>
      </x:c>
      <x:c r="Q730" t="s">
        <x:v>203</x:v>
      </x:c>
      <x:c r="R730">
        <x:v>1</x:v>
      </x:c>
      <x:c r="S730" t="s">
        <x:v>42</x:v>
      </x:c>
      <x:c r="T730" t="s">
        <x:v>44</x:v>
      </x:c>
      <x:c r="U730" t="s">
        <x:v>44</x:v>
      </x:c>
      <x:c r="V730" t="s">
        <x:v>45</x:v>
      </x:c>
      <x:c r="W730" t="s">
        <x:v>60</x:v>
      </x:c>
      <x:c r="X730">
        <x:v>135.59</x:v>
      </x:c>
      <x:c r="Y730" t="s">
        <x:v>47</x:v>
      </x:c>
      <x:c r="Z730" t="s">
        <x:v>48</x:v>
      </x:c>
      <x:c r="AA730" t="s">
        <x:v>49</x:v>
      </x:c>
      <x:c r="AB730">
        <x:v>994872106</x:v>
      </x:c>
      <x:c r="AC730" t="s">
        <x:v>1256</x:v>
      </x:c>
      <x:c r="AD730">
        <x:v>30</x:v>
      </x:c>
    </x:row>
    <x:row r="731">
      <x:c r="A731" s="1">
        <x:v>46288</x:v>
      </x:c>
      <x:c r="B731" t="s">
        <x:v>4056</x:v>
      </x:c>
      <x:c r="C731" t="s">
        <x:v>4455</x:v>
      </x:c>
      <x:c r="D731" t="s">
        <x:v>29</x:v>
      </x:c>
      <x:c r="E731" t="s">
        <x:v>4456</x:v>
      </x:c>
      <x:c r="F731" t="s">
        <x:v>31</x:v>
      </x:c>
      <x:c r="G731" t="s">
        <x:v>4457</x:v>
      </x:c>
      <x:c r="H731" t="s">
        <x:v>4458</x:v>
      </x:c>
      <x:c r="I731" t="s">
        <x:v>4459</x:v>
      </x:c>
      <x:c r="J731" t="s">
        <x:v>2841</x:v>
      </x:c>
      <x:c r="K731" t="s">
        <x:v>210</x:v>
      </x:c>
      <x:c r="L731" t="s">
        <x:v>37</x:v>
      </x:c>
      <x:c r="M731" t="s">
        <x:v>4460</x:v>
      </x:c>
      <x:c r="N731" t="s">
        <x:v>4461</x:v>
      </x:c>
      <x:c r="O731" t="s">
        <x:v>4458</x:v>
      </x:c>
      <x:c r="P731" t="s">
        <x:v>4462</x:v>
      </x:c>
      <x:c r="Q731" t="s">
        <x:v>202</x:v>
      </x:c>
      <x:c r="R731">
        <x:v>1</x:v>
      </x:c>
      <x:c r="S731" t="s">
        <x:v>42</x:v>
      </x:c>
      <x:c r="T731" t="s">
        <x:v>44</x:v>
      </x:c>
      <x:c r="U731" t="s">
        <x:v>44</x:v>
      </x:c>
      <x:c r="V731" t="s">
        <x:v>45</x:v>
      </x:c>
      <x:c r="W731" t="s">
        <x:v>60</x:v>
      </x:c>
      <x:c r="X731">
        <x:v>152.54</x:v>
      </x:c>
      <x:c r="Y731" t="s">
        <x:v>47</x:v>
      </x:c>
      <x:c r="Z731" t="s">
        <x:v>48</x:v>
      </x:c>
      <x:c r="AA731" t="s">
        <x:v>49</x:v>
      </x:c>
      <x:c r="AB731">
        <x:v>994872106</x:v>
      </x:c>
      <x:c r="AC731" t="s">
        <x:v>1256</x:v>
      </x:c>
      <x:c r="AD731">
        <x:v>30</x:v>
      </x:c>
    </x:row>
    <x:row r="732">
      <x:c r="A732" s="1">
        <x:v>46288</x:v>
      </x:c>
      <x:c r="B732" t="s">
        <x:v>4056</x:v>
      </x:c>
      <x:c r="C732" t="s">
        <x:v>4463</x:v>
      </x:c>
      <x:c r="D732" t="s">
        <x:v>29</x:v>
      </x:c>
      <x:c r="E732" t="s">
        <x:v>4464</x:v>
      </x:c>
      <x:c r="F732" t="s">
        <x:v>31</x:v>
      </x:c>
      <x:c r="G732" t="s">
        <x:v>4465</x:v>
      </x:c>
      <x:c r="H732" t="s">
        <x:v>4466</x:v>
      </x:c>
      <x:c r="I732" t="s">
        <x:v>4467</x:v>
      </x:c>
      <x:c r="L732" t="s">
        <x:v>37</x:v>
      </x:c>
      <x:c r="M732" t="s">
        <x:v>4468</x:v>
      </x:c>
      <x:c r="N732" t="s">
        <x:v>4469</x:v>
      </x:c>
      <x:c r="O732" t="s">
        <x:v>4466</x:v>
      </x:c>
      <x:c r="P732" t="s">
        <x:v>4470</x:v>
      </x:c>
      <x:c r="Q732" t="s">
        <x:v>91</x:v>
      </x:c>
      <x:c r="R732">
        <x:v>1</x:v>
      </x:c>
      <x:c r="S732" t="s">
        <x:v>42</x:v>
      </x:c>
      <x:c r="T732" t="s">
        <x:v>44</x:v>
      </x:c>
      <x:c r="U732" t="s">
        <x:v>44</x:v>
      </x:c>
      <x:c r="V732" t="s">
        <x:v>532</x:v>
      </x:c>
      <x:c r="W732" t="s">
        <x:v>4099</x:v>
      </x:c>
      <x:c r="X732">
        <x:v>135.59</x:v>
      </x:c>
      <x:c r="Y732" t="s">
        <x:v>47</x:v>
      </x:c>
      <x:c r="Z732" t="s">
        <x:v>48</x:v>
      </x:c>
      <x:c r="AA732" t="s">
        <x:v>535</x:v>
      </x:c>
      <x:c r="AD732">
        <x:v>30</x:v>
      </x:c>
    </x:row>
    <x:row r="733">
      <x:c r="A733" s="1">
        <x:v>46289</x:v>
      </x:c>
      <x:c r="B733" t="s">
        <x:v>4056</x:v>
      </x:c>
      <x:c r="C733" t="s">
        <x:v>4471</x:v>
      </x:c>
      <x:c r="D733" t="s">
        <x:v>269</x:v>
      </x:c>
      <x:c r="E733" t="s">
        <x:v>4472</x:v>
      </x:c>
      <x:c r="F733" t="s">
        <x:v>31</x:v>
      </x:c>
      <x:c r="G733" t="s">
        <x:v>4473</x:v>
      </x:c>
      <x:c r="H733" t="s">
        <x:v>2589</x:v>
      </x:c>
      <x:c r="I733" t="s">
        <x:v>2590</x:v>
      </x:c>
      <x:c r="J733" t="s">
        <x:v>274</x:v>
      </x:c>
      <x:c r="K733" t="s">
        <x:v>275</x:v>
      </x:c>
      <x:c r="L733" t="s">
        <x:v>37</x:v>
      </x:c>
      <x:c r="M733" t="s">
        <x:v>2591</x:v>
      </x:c>
      <x:c r="N733" t="s">
        <x:v>2592</x:v>
      </x:c>
      <x:c r="O733" t="s">
        <x:v>278</x:v>
      </x:c>
      <x:c r="P733" t="s">
        <x:v>4474</x:v>
      </x:c>
      <x:c r="Q733" t="s">
        <x:v>291</x:v>
      </x:c>
      <x:c r="R733">
        <x:v>1</x:v>
      </x:c>
      <x:c r="S733" t="s">
        <x:v>42</x:v>
      </x:c>
      <x:c r="T733" t="s">
        <x:v>44</x:v>
      </x:c>
      <x:c r="U733" t="s">
        <x:v>44</x:v>
      </x:c>
      <x:c r="V733" t="s">
        <x:v>45</x:v>
      </x:c>
      <x:c r="W733" t="s">
        <x:v>46</x:v>
      </x:c>
      <x:c r="X733">
        <x:v>1050.8499999999999</x:v>
      </x:c>
      <x:c r="Y733" t="s">
        <x:v>290</x:v>
      </x:c>
      <x:c r="Z733" t="s">
        <x:v>48</x:v>
      </x:c>
      <x:c r="AA733" t="s">
        <x:v>49</x:v>
      </x:c>
      <x:c r="AB733">
        <x:v>950133748</x:v>
      </x:c>
      <x:c r="AC733" t="s">
        <x:v>280</x:v>
      </x:c>
    </x:row>
    <x:row r="734">
      <x:c r="A734" s="1">
        <x:v>46289</x:v>
      </x:c>
      <x:c r="B734" t="s">
        <x:v>4056</x:v>
      </x:c>
      <x:c r="C734" t="s">
        <x:v>4471</x:v>
      </x:c>
      <x:c r="D734" t="s">
        <x:v>269</x:v>
      </x:c>
      <x:c r="E734" t="s">
        <x:v>4472</x:v>
      </x:c>
      <x:c r="F734" t="s">
        <x:v>31</x:v>
      </x:c>
      <x:c r="G734" t="s">
        <x:v>4473</x:v>
      </x:c>
      <x:c r="H734" t="s">
        <x:v>2589</x:v>
      </x:c>
      <x:c r="I734" t="s">
        <x:v>2590</x:v>
      </x:c>
      <x:c r="J734" t="s">
        <x:v>274</x:v>
      </x:c>
      <x:c r="K734" t="s">
        <x:v>275</x:v>
      </x:c>
      <x:c r="L734" t="s">
        <x:v>37</x:v>
      </x:c>
      <x:c r="M734" t="s">
        <x:v>2591</x:v>
      </x:c>
      <x:c r="N734" t="s">
        <x:v>2592</x:v>
      </x:c>
      <x:c r="O734" t="s">
        <x:v>278</x:v>
      </x:c>
      <x:c r="P734" t="s">
        <x:v>4474</x:v>
      </x:c>
      <x:c r="Q734" t="s">
        <x:v>289</x:v>
      </x:c>
      <x:c r="R734">
        <x:v>1</x:v>
      </x:c>
      <x:c r="S734" t="s">
        <x:v>42</x:v>
      </x:c>
      <x:c r="T734" t="s">
        <x:v>44</x:v>
      </x:c>
      <x:c r="U734" t="s">
        <x:v>44</x:v>
      </x:c>
      <x:c r="V734" t="s">
        <x:v>45</x:v>
      </x:c>
      <x:c r="W734" t="s">
        <x:v>46</x:v>
      </x:c>
      <x:c r="X734">
        <x:v>0</x:v>
      </x:c>
      <x:c r="Y734" t="s">
        <x:v>290</x:v>
      </x:c>
      <x:c r="Z734" t="s">
        <x:v>48</x:v>
      </x:c>
      <x:c r="AA734" t="s">
        <x:v>49</x:v>
      </x:c>
      <x:c r="AB734">
        <x:v>950133748</x:v>
      </x:c>
      <x:c r="AC734" t="s">
        <x:v>280</x:v>
      </x:c>
    </x:row>
    <x:row r="735">
      <x:c r="A735" s="1">
        <x:v>46289</x:v>
      </x:c>
      <x:c r="B735" t="s">
        <x:v>4056</x:v>
      </x:c>
      <x:c r="C735" t="s">
        <x:v>4475</x:v>
      </x:c>
      <x:c r="D735" t="s">
        <x:v>269</x:v>
      </x:c>
      <x:c r="E735" t="s">
        <x:v>4476</x:v>
      </x:c>
      <x:c r="F735" t="s">
        <x:v>31</x:v>
      </x:c>
      <x:c r="G735" t="s">
        <x:v>4477</x:v>
      </x:c>
      <x:c r="H735" t="s">
        <x:v>4478</x:v>
      </x:c>
      <x:c r="I735" t="s">
        <x:v>4479</x:v>
      </x:c>
      <x:c r="J735" t="s">
        <x:v>137</x:v>
      </x:c>
      <x:c r="K735" t="s">
        <x:v>138</x:v>
      </x:c>
      <x:c r="L735" t="s">
        <x:v>37</x:v>
      </x:c>
      <x:c r="M735" t="s">
        <x:v>4480</x:v>
      </x:c>
      <x:c r="N735" t="s">
        <x:v>4481</x:v>
      </x:c>
      <x:c r="O735" t="s">
        <x:v>4478</x:v>
      </x:c>
      <x:c r="P735" t="s">
        <x:v>4482</x:v>
      </x:c>
      <x:c r="Q735" t="s">
        <x:v>160</x:v>
      </x:c>
      <x:c r="R735">
        <x:v>1</x:v>
      </x:c>
      <x:c r="S735" t="s">
        <x:v>42</x:v>
      </x:c>
      <x:c r="T735" t="s">
        <x:v>44</x:v>
      </x:c>
      <x:c r="U735" t="s">
        <x:v>44</x:v>
      </x:c>
      <x:c r="V735" t="s">
        <x:v>45</x:v>
      </x:c>
      <x:c r="W735" t="s">
        <x:v>60</x:v>
      </x:c>
      <x:c r="X735">
        <x:v>135.59</x:v>
      </x:c>
      <x:c r="Y735" t="s">
        <x:v>47</x:v>
      </x:c>
      <x:c r="Z735" t="s">
        <x:v>48</x:v>
      </x:c>
      <x:c r="AA735" t="s">
        <x:v>49</x:v>
      </x:c>
      <x:c r="AB735">
        <x:v>987407712</x:v>
      </x:c>
      <x:c r="AC735" t="s">
        <x:v>142</x:v>
      </x:c>
      <x:c r="AD735">
        <x:v>30</x:v>
      </x:c>
    </x:row>
    <x:row r="736">
      <x:c r="A736" s="1">
        <x:v>46289</x:v>
      </x:c>
      <x:c r="B736" t="s">
        <x:v>4056</x:v>
      </x:c>
      <x:c r="C736" t="s">
        <x:v>4475</x:v>
      </x:c>
      <x:c r="D736" t="s">
        <x:v>269</x:v>
      </x:c>
      <x:c r="E736" t="s">
        <x:v>4476</x:v>
      </x:c>
      <x:c r="F736" t="s">
        <x:v>31</x:v>
      </x:c>
      <x:c r="G736" t="s">
        <x:v>4477</x:v>
      </x:c>
      <x:c r="H736" t="s">
        <x:v>4478</x:v>
      </x:c>
      <x:c r="I736" t="s">
        <x:v>4479</x:v>
      </x:c>
      <x:c r="J736" t="s">
        <x:v>137</x:v>
      </x:c>
      <x:c r="K736" t="s">
        <x:v>138</x:v>
      </x:c>
      <x:c r="L736" t="s">
        <x:v>37</x:v>
      </x:c>
      <x:c r="M736" t="s">
        <x:v>4480</x:v>
      </x:c>
      <x:c r="N736" t="s">
        <x:v>4481</x:v>
      </x:c>
      <x:c r="O736" t="s">
        <x:v>4478</x:v>
      </x:c>
      <x:c r="P736" t="s">
        <x:v>4482</x:v>
      </x:c>
      <x:c r="Q736" t="s">
        <x:v>102</x:v>
      </x:c>
      <x:c r="R736">
        <x:v>1</x:v>
      </x:c>
      <x:c r="S736" t="s">
        <x:v>42</x:v>
      </x:c>
      <x:c r="T736" t="s">
        <x:v>44</x:v>
      </x:c>
      <x:c r="U736" t="s">
        <x:v>44</x:v>
      </x:c>
      <x:c r="V736" t="s">
        <x:v>45</x:v>
      </x:c>
      <x:c r="W736" t="s">
        <x:v>60</x:v>
      </x:c>
      <x:c r="X736">
        <x:v>186.44</x:v>
      </x:c>
      <x:c r="Y736" t="s">
        <x:v>47</x:v>
      </x:c>
      <x:c r="Z736" t="s">
        <x:v>48</x:v>
      </x:c>
      <x:c r="AA736" t="s">
        <x:v>49</x:v>
      </x:c>
      <x:c r="AB736">
        <x:v>987407712</x:v>
      </x:c>
      <x:c r="AC736" t="s">
        <x:v>142</x:v>
      </x:c>
      <x:c r="AD736">
        <x:v>50</x:v>
      </x:c>
    </x:row>
    <x:row r="737">
      <x:c r="A737" s="1">
        <x:v>46289</x:v>
      </x:c>
      <x:c r="B737" t="s">
        <x:v>4056</x:v>
      </x:c>
      <x:c r="C737" t="s">
        <x:v>4483</x:v>
      </x:c>
      <x:c r="D737" t="s">
        <x:v>269</x:v>
      </x:c>
      <x:c r="E737" t="s">
        <x:v>2430</x:v>
      </x:c>
      <x:c r="F737" t="s">
        <x:v>31</x:v>
      </x:c>
      <x:c r="G737" t="s">
        <x:v>4484</x:v>
      </x:c>
      <x:c r="H737" t="s">
        <x:v>4485</x:v>
      </x:c>
      <x:c r="I737" t="s">
        <x:v>4486</x:v>
      </x:c>
      <x:c r="J737" t="s">
        <x:v>1545</x:v>
      </x:c>
      <x:c r="K737" t="s">
        <x:v>1546</x:v>
      </x:c>
      <x:c r="L737" t="s">
        <x:v>37</x:v>
      </x:c>
      <x:c r="M737" t="s">
        <x:v>4487</x:v>
      </x:c>
      <x:c r="N737" t="s">
        <x:v>4488</x:v>
      </x:c>
      <x:c r="O737" t="s">
        <x:v>1254</x:v>
      </x:c>
      <x:c r="P737" t="s">
        <x:v>4489</x:v>
      </x:c>
      <x:c r="Q737" t="s">
        <x:v>1139</x:v>
      </x:c>
      <x:c r="R737">
        <x:v>1</x:v>
      </x:c>
      <x:c r="S737" t="s">
        <x:v>42</x:v>
      </x:c>
      <x:c r="T737" t="s">
        <x:v>44</x:v>
      </x:c>
      <x:c r="U737" t="s">
        <x:v>44</x:v>
      </x:c>
      <x:c r="V737" t="s">
        <x:v>45</x:v>
      </x:c>
      <x:c r="W737" t="s">
        <x:v>46</x:v>
      </x:c>
      <x:c r="X737">
        <x:v>847.46</x:v>
      </x:c>
      <x:c r="Y737" t="s">
        <x:v>290</x:v>
      </x:c>
      <x:c r="Z737" t="s">
        <x:v>48</x:v>
      </x:c>
      <x:c r="AA737" t="s">
        <x:v>49</x:v>
      </x:c>
      <x:c r="AB737">
        <x:v>990080724</x:v>
      </x:c>
      <x:c r="AC737" t="s">
        <x:v>1550</x:v>
      </x:c>
    </x:row>
    <x:row r="738">
      <x:c r="A738" s="1">
        <x:v>46289</x:v>
      </x:c>
      <x:c r="B738" t="s">
        <x:v>4056</x:v>
      </x:c>
      <x:c r="C738" t="s">
        <x:v>4483</x:v>
      </x:c>
      <x:c r="D738" t="s">
        <x:v>269</x:v>
      </x:c>
      <x:c r="E738" t="s">
        <x:v>2430</x:v>
      </x:c>
      <x:c r="F738" t="s">
        <x:v>31</x:v>
      </x:c>
      <x:c r="G738" t="s">
        <x:v>4484</x:v>
      </x:c>
      <x:c r="H738" t="s">
        <x:v>4485</x:v>
      </x:c>
      <x:c r="I738" t="s">
        <x:v>4486</x:v>
      </x:c>
      <x:c r="J738" t="s">
        <x:v>1545</x:v>
      </x:c>
      <x:c r="K738" t="s">
        <x:v>1546</x:v>
      </x:c>
      <x:c r="L738" t="s">
        <x:v>37</x:v>
      </x:c>
      <x:c r="M738" t="s">
        <x:v>4487</x:v>
      </x:c>
      <x:c r="N738" t="s">
        <x:v>4488</x:v>
      </x:c>
      <x:c r="O738" t="s">
        <x:v>1254</x:v>
      </x:c>
      <x:c r="P738" t="s">
        <x:v>4489</x:v>
      </x:c>
      <x:c r="Q738" t="s">
        <x:v>289</x:v>
      </x:c>
      <x:c r="R738">
        <x:v>1</x:v>
      </x:c>
      <x:c r="S738" t="s">
        <x:v>42</x:v>
      </x:c>
      <x:c r="T738" t="s">
        <x:v>44</x:v>
      </x:c>
      <x:c r="U738" t="s">
        <x:v>44</x:v>
      </x:c>
      <x:c r="V738" t="s">
        <x:v>45</x:v>
      </x:c>
      <x:c r="W738" t="s">
        <x:v>46</x:v>
      </x:c>
      <x:c r="X738">
        <x:v>0</x:v>
      </x:c>
      <x:c r="Y738" t="s">
        <x:v>290</x:v>
      </x:c>
      <x:c r="Z738" t="s">
        <x:v>48</x:v>
      </x:c>
      <x:c r="AA738" t="s">
        <x:v>49</x:v>
      </x:c>
      <x:c r="AB738">
        <x:v>990080724</x:v>
      </x:c>
      <x:c r="AC738" t="s">
        <x:v>1550</x:v>
      </x:c>
    </x:row>
    <x:row r="739">
      <x:c r="A739" s="1">
        <x:v>46289</x:v>
      </x:c>
      <x:c r="B739" t="s">
        <x:v>4056</x:v>
      </x:c>
      <x:c r="C739" t="s">
        <x:v>4490</x:v>
      </x:c>
      <x:c r="D739" t="s">
        <x:v>29</x:v>
      </x:c>
      <x:c r="E739" t="s">
        <x:v>4491</x:v>
      </x:c>
      <x:c r="F739" t="s">
        <x:v>31</x:v>
      </x:c>
      <x:c r="G739" t="s">
        <x:v>4492</x:v>
      </x:c>
      <x:c r="H739" t="s">
        <x:v>4493</x:v>
      </x:c>
      <x:c r="I739" t="s">
        <x:v>4494</x:v>
      </x:c>
      <x:c r="J739" t="s">
        <x:v>776</x:v>
      </x:c>
      <x:c r="K739" t="s">
        <x:v>777</x:v>
      </x:c>
      <x:c r="L739" t="s">
        <x:v>37</x:v>
      </x:c>
      <x:c r="M739" t="s">
        <x:v>4495</x:v>
      </x:c>
      <x:c r="N739" t="s">
        <x:v>4496</x:v>
      </x:c>
      <x:c r="O739" t="s">
        <x:v>4493</x:v>
      </x:c>
      <x:c r="P739" t="s">
        <x:v>4497</x:v>
      </x:c>
      <x:c r="Q739" t="s">
        <x:v>41</x:v>
      </x:c>
      <x:c r="R739">
        <x:v>1</x:v>
      </x:c>
      <x:c r="S739" t="s">
        <x:v>42</x:v>
      </x:c>
      <x:c r="T739" t="s">
        <x:v>44</x:v>
      </x:c>
      <x:c r="U739" t="s">
        <x:v>44</x:v>
      </x:c>
      <x:c r="V739" t="s">
        <x:v>71</x:v>
      </x:c>
      <x:c r="W739" t="s">
        <x:v>185</x:v>
      </x:c>
      <x:c r="X739">
        <x:v>186.44</x:v>
      </x:c>
      <x:c r="Y739" t="s">
        <x:v>47</x:v>
      </x:c>
      <x:c r="Z739" t="s">
        <x:v>48</x:v>
      </x:c>
      <x:c r="AA739" t="s">
        <x:v>73</x:v>
      </x:c>
      <x:c r="AD739">
        <x:v>50</x:v>
      </x:c>
    </x:row>
    <x:row r="740">
      <x:c r="A740" s="1">
        <x:v>46289</x:v>
      </x:c>
      <x:c r="B740" t="s">
        <x:v>4056</x:v>
      </x:c>
      <x:c r="C740" t="s">
        <x:v>4498</x:v>
      </x:c>
      <x:c r="D740" t="s">
        <x:v>269</x:v>
      </x:c>
      <x:c r="E740" t="s">
        <x:v>4499</x:v>
      </x:c>
      <x:c r="F740" t="s">
        <x:v>31</x:v>
      </x:c>
      <x:c r="G740" t="s">
        <x:v>4500</x:v>
      </x:c>
      <x:c r="H740" t="s">
        <x:v>4501</x:v>
      </x:c>
      <x:c r="I740" t="s">
        <x:v>4502</x:v>
      </x:c>
      <x:c r="J740" t="s">
        <x:v>1326</x:v>
      </x:c>
      <x:c r="K740" t="s">
        <x:v>36</x:v>
      </x:c>
      <x:c r="L740" t="s">
        <x:v>37</x:v>
      </x:c>
      <x:c r="M740" t="s">
        <x:v>4503</x:v>
      </x:c>
      <x:c r="N740" t="s">
        <x:v>4504</x:v>
      </x:c>
      <x:c r="O740" t="s">
        <x:v>4505</x:v>
      </x:c>
      <x:c r="P740" t="s">
        <x:v>4506</x:v>
      </x:c>
      <x:c r="Q740" t="s">
        <x:v>91</x:v>
      </x:c>
      <x:c r="R740">
        <x:v>1</x:v>
      </x:c>
      <x:c r="S740" t="s">
        <x:v>42</x:v>
      </x:c>
      <x:c r="T740" t="s">
        <x:v>44</x:v>
      </x:c>
      <x:c r="U740" t="s">
        <x:v>44</x:v>
      </x:c>
      <x:c r="V740" t="s">
        <x:v>45</x:v>
      </x:c>
      <x:c r="W740" t="s">
        <x:v>60</x:v>
      </x:c>
      <x:c r="X740">
        <x:v>135.59</x:v>
      </x:c>
      <x:c r="Y740" t="s">
        <x:v>47</x:v>
      </x:c>
      <x:c r="Z740" t="s">
        <x:v>48</x:v>
      </x:c>
      <x:c r="AA740" t="s">
        <x:v>49</x:v>
      </x:c>
      <x:c r="AB740">
        <x:v>999111362</x:v>
      </x:c>
      <x:c r="AC740" t="s">
        <x:v>1330</x:v>
      </x:c>
      <x:c r="AD740">
        <x:v>30</x:v>
      </x:c>
    </x:row>
    <x:row r="741">
      <x:c r="A741" s="1">
        <x:v>46289</x:v>
      </x:c>
      <x:c r="B741" t="s">
        <x:v>4056</x:v>
      </x:c>
      <x:c r="C741" t="s">
        <x:v>4507</x:v>
      </x:c>
      <x:c r="D741" t="s">
        <x:v>29</x:v>
      </x:c>
      <x:c r="E741" t="s">
        <x:v>4508</x:v>
      </x:c>
      <x:c r="F741" t="s">
        <x:v>31</x:v>
      </x:c>
      <x:c r="G741" t="s">
        <x:v>4509</x:v>
      </x:c>
      <x:c r="H741" t="s">
        <x:v>4510</x:v>
      </x:c>
      <x:c r="I741" t="s">
        <x:v>4511</x:v>
      </x:c>
      <x:c r="J741" t="s">
        <x:v>1877</x:v>
      </x:c>
      <x:c r="L741" t="s">
        <x:v>37</x:v>
      </x:c>
      <x:c r="M741" t="s">
        <x:v>4512</x:v>
      </x:c>
      <x:c r="N741" t="s">
        <x:v>4513</x:v>
      </x:c>
      <x:c r="O741" t="s">
        <x:v>4510</x:v>
      </x:c>
      <x:c r="P741" t="s">
        <x:v>4514</x:v>
      </x:c>
      <x:c r="Q741" t="s">
        <x:v>160</x:v>
      </x:c>
      <x:c r="R741">
        <x:v>1</x:v>
      </x:c>
      <x:c r="S741" t="s">
        <x:v>42</x:v>
      </x:c>
      <x:c r="T741" t="s">
        <x:v>44</x:v>
      </x:c>
      <x:c r="U741" t="s">
        <x:v>44</x:v>
      </x:c>
      <x:c r="V741" t="s">
        <x:v>45</x:v>
      </x:c>
      <x:c r="W741" t="s">
        <x:v>60</x:v>
      </x:c>
      <x:c r="X741">
        <x:v>135.59</x:v>
      </x:c>
      <x:c r="Y741" t="s">
        <x:v>47</x:v>
      </x:c>
      <x:c r="Z741" t="s">
        <x:v>48</x:v>
      </x:c>
      <x:c r="AA741" t="s">
        <x:v>49</x:v>
      </x:c>
      <x:c r="AD741">
        <x:v>30</x:v>
      </x:c>
    </x:row>
    <x:row r="742">
      <x:c r="A742" s="1">
        <x:v>46289</x:v>
      </x:c>
      <x:c r="B742" t="s">
        <x:v>4056</x:v>
      </x:c>
      <x:c r="C742" t="s">
        <x:v>4515</x:v>
      </x:c>
      <x:c r="D742" t="s">
        <x:v>29</x:v>
      </x:c>
      <x:c r="E742" t="s">
        <x:v>2542</x:v>
      </x:c>
      <x:c r="F742" t="s">
        <x:v>31</x:v>
      </x:c>
      <x:c r="G742" t="s">
        <x:v>4516</x:v>
      </x:c>
      <x:c r="H742" t="s">
        <x:v>4517</x:v>
      </x:c>
      <x:c r="I742" t="s">
        <x:v>4518</x:v>
      </x:c>
      <x:c r="J742" t="s">
        <x:v>1326</x:v>
      </x:c>
      <x:c r="K742" t="s">
        <x:v>36</x:v>
      </x:c>
      <x:c r="L742" t="s">
        <x:v>37</x:v>
      </x:c>
      <x:c r="M742" t="s">
        <x:v>4519</x:v>
      </x:c>
      <x:c r="N742" t="s">
        <x:v>4520</x:v>
      </x:c>
      <x:c r="O742" t="s">
        <x:v>4517</x:v>
      </x:c>
      <x:c r="P742" t="s">
        <x:v>4521</x:v>
      </x:c>
      <x:c r="Q742" t="s">
        <x:v>160</x:v>
      </x:c>
      <x:c r="R742">
        <x:v>1</x:v>
      </x:c>
      <x:c r="S742" t="s">
        <x:v>42</x:v>
      </x:c>
      <x:c r="T742" t="s">
        <x:v>44</x:v>
      </x:c>
      <x:c r="U742" t="s">
        <x:v>44</x:v>
      </x:c>
      <x:c r="V742" t="s">
        <x:v>532</x:v>
      </x:c>
      <x:c r="W742" t="s">
        <x:v>4099</x:v>
      </x:c>
      <x:c r="X742">
        <x:v>135.59</x:v>
      </x:c>
      <x:c r="Y742" t="s">
        <x:v>47</x:v>
      </x:c>
      <x:c r="Z742" t="s">
        <x:v>48</x:v>
      </x:c>
      <x:c r="AA742" t="s">
        <x:v>535</x:v>
      </x:c>
      <x:c r="AB742">
        <x:v>999111362</x:v>
      </x:c>
      <x:c r="AC742" t="s">
        <x:v>1330</x:v>
      </x:c>
      <x:c r="AD742">
        <x:v>30</x:v>
      </x:c>
    </x:row>
    <x:row r="743">
      <x:c r="A743" s="1">
        <x:v>46290</x:v>
      </x:c>
      <x:c r="B743" t="s">
        <x:v>4056</x:v>
      </x:c>
      <x:c r="C743" t="s">
        <x:v>4522</x:v>
      </x:c>
      <x:c r="D743" t="s">
        <x:v>29</x:v>
      </x:c>
      <x:c r="E743" t="s">
        <x:v>4523</x:v>
      </x:c>
      <x:c r="F743" t="s">
        <x:v>31</x:v>
      </x:c>
      <x:c r="G743" t="s">
        <x:v>4524</x:v>
      </x:c>
      <x:c r="H743" t="s">
        <x:v>4525</x:v>
      </x:c>
      <x:c r="I743" t="s">
        <x:v>4526</x:v>
      </x:c>
      <x:c r="J743" t="s">
        <x:v>4527</x:v>
      </x:c>
      <x:c r="L743" t="s">
        <x:v>37</x:v>
      </x:c>
      <x:c r="M743" t="s">
        <x:v>4528</x:v>
      </x:c>
      <x:c r="N743" t="s">
        <x:v>4529</x:v>
      </x:c>
      <x:c r="O743" t="s">
        <x:v>4525</x:v>
      </x:c>
      <x:c r="P743" t="s">
        <x:v>4530</x:v>
      </x:c>
      <x:c r="Q743" t="s">
        <x:v>131</x:v>
      </x:c>
      <x:c r="R743">
        <x:v>1</x:v>
      </x:c>
      <x:c r="S743" t="s">
        <x:v>42</x:v>
      </x:c>
      <x:c r="T743" t="s">
        <x:v>44</x:v>
      </x:c>
      <x:c r="U743" t="s">
        <x:v>44</x:v>
      </x:c>
      <x:c r="V743" t="s">
        <x:v>71</x:v>
      </x:c>
      <x:c r="W743" t="s">
        <x:v>72</x:v>
      </x:c>
      <x:c r="X743">
        <x:v>152.54</x:v>
      </x:c>
      <x:c r="Y743" t="s">
        <x:v>47</x:v>
      </x:c>
      <x:c r="Z743" t="s">
        <x:v>48</x:v>
      </x:c>
      <x:c r="AA743" t="s">
        <x:v>73</x:v>
      </x:c>
      <x:c r="AD743">
        <x:v>30</x:v>
      </x:c>
    </x:row>
    <x:row r="744">
      <x:c r="A744" s="1">
        <x:v>46290</x:v>
      </x:c>
      <x:c r="B744" t="s">
        <x:v>4056</x:v>
      </x:c>
      <x:c r="C744" t="s">
        <x:v>4531</x:v>
      </x:c>
      <x:c r="D744" t="s">
        <x:v>29</x:v>
      </x:c>
      <x:c r="E744" t="s">
        <x:v>4532</x:v>
      </x:c>
      <x:c r="F744" t="s">
        <x:v>31</x:v>
      </x:c>
      <x:c r="G744" t="s">
        <x:v>4533</x:v>
      </x:c>
      <x:c r="H744" t="s">
        <x:v>4534</x:v>
      </x:c>
      <x:c r="I744" t="s">
        <x:v>4535</x:v>
      </x:c>
      <x:c r="J744" t="s">
        <x:v>664</x:v>
      </x:c>
      <x:c r="K744" t="s">
        <x:v>36</x:v>
      </x:c>
      <x:c r="L744" t="s">
        <x:v>37</x:v>
      </x:c>
      <x:c r="M744" t="s">
        <x:v>4536</x:v>
      </x:c>
      <x:c r="N744" t="s">
        <x:v>4537</x:v>
      </x:c>
      <x:c r="O744" t="s">
        <x:v>4534</x:v>
      </x:c>
      <x:c r="P744" t="s">
        <x:v>4538</x:v>
      </x:c>
      <x:c r="Q744" t="s">
        <x:v>202</x:v>
      </x:c>
      <x:c r="R744">
        <x:v>1</x:v>
      </x:c>
      <x:c r="S744" t="s">
        <x:v>42</x:v>
      </x:c>
      <x:c r="T744" t="s">
        <x:v>44</x:v>
      </x:c>
      <x:c r="U744" t="s">
        <x:v>44</x:v>
      </x:c>
      <x:c r="V744" t="s">
        <x:v>532</x:v>
      </x:c>
      <x:c r="W744" t="s">
        <x:v>4099</x:v>
      </x:c>
      <x:c r="X744">
        <x:v>152.54</x:v>
      </x:c>
      <x:c r="Y744" t="s">
        <x:v>47</x:v>
      </x:c>
      <x:c r="Z744" t="s">
        <x:v>48</x:v>
      </x:c>
      <x:c r="AA744" t="s">
        <x:v>535</x:v>
      </x:c>
      <x:c r="AB744">
        <x:v>997145685</x:v>
      </x:c>
      <x:c r="AC744" t="s">
        <x:v>668</x:v>
      </x:c>
      <x:c r="AD744">
        <x:v>30</x:v>
      </x:c>
    </x:row>
    <x:row r="745">
      <x:c r="A745" s="1">
        <x:v>46290</x:v>
      </x:c>
      <x:c r="B745" t="s">
        <x:v>4056</x:v>
      </x:c>
      <x:c r="C745" t="s">
        <x:v>4531</x:v>
      </x:c>
      <x:c r="D745" t="s">
        <x:v>29</x:v>
      </x:c>
      <x:c r="E745" t="s">
        <x:v>4532</x:v>
      </x:c>
      <x:c r="F745" t="s">
        <x:v>31</x:v>
      </x:c>
      <x:c r="G745" t="s">
        <x:v>4533</x:v>
      </x:c>
      <x:c r="H745" t="s">
        <x:v>4534</x:v>
      </x:c>
      <x:c r="I745" t="s">
        <x:v>4535</x:v>
      </x:c>
      <x:c r="J745" t="s">
        <x:v>664</x:v>
      </x:c>
      <x:c r="K745" t="s">
        <x:v>36</x:v>
      </x:c>
      <x:c r="L745" t="s">
        <x:v>37</x:v>
      </x:c>
      <x:c r="M745" t="s">
        <x:v>4536</x:v>
      </x:c>
      <x:c r="N745" t="s">
        <x:v>4537</x:v>
      </x:c>
      <x:c r="O745" t="s">
        <x:v>4534</x:v>
      </x:c>
      <x:c r="P745" t="s">
        <x:v>4538</x:v>
      </x:c>
      <x:c r="Q745" t="s">
        <x:v>203</x:v>
      </x:c>
      <x:c r="R745">
        <x:v>1</x:v>
      </x:c>
      <x:c r="S745" t="s">
        <x:v>42</x:v>
      </x:c>
      <x:c r="T745" t="s">
        <x:v>44</x:v>
      </x:c>
      <x:c r="U745" t="s">
        <x:v>44</x:v>
      </x:c>
      <x:c r="V745" t="s">
        <x:v>532</x:v>
      </x:c>
      <x:c r="W745" t="s">
        <x:v>4099</x:v>
      </x:c>
      <x:c r="X745">
        <x:v>135.59</x:v>
      </x:c>
      <x:c r="Y745" t="s">
        <x:v>47</x:v>
      </x:c>
      <x:c r="Z745" t="s">
        <x:v>48</x:v>
      </x:c>
      <x:c r="AA745" t="s">
        <x:v>535</x:v>
      </x:c>
      <x:c r="AB745">
        <x:v>997145685</x:v>
      </x:c>
      <x:c r="AC745" t="s">
        <x:v>668</x:v>
      </x:c>
      <x:c r="AD745">
        <x:v>30</x:v>
      </x:c>
    </x:row>
    <x:row r="746">
      <x:c r="A746" s="1">
        <x:v>46290</x:v>
      </x:c>
      <x:c r="B746" t="s">
        <x:v>4056</x:v>
      </x:c>
      <x:c r="C746" t="s">
        <x:v>4539</x:v>
      </x:c>
      <x:c r="D746" t="s">
        <x:v>29</x:v>
      </x:c>
      <x:c r="E746" t="s">
        <x:v>4540</x:v>
      </x:c>
      <x:c r="F746" t="s">
        <x:v>31</x:v>
      </x:c>
      <x:c r="G746" t="s">
        <x:v>4541</x:v>
      </x:c>
      <x:c r="H746" t="s">
        <x:v>4534</x:v>
      </x:c>
      <x:c r="I746" t="s">
        <x:v>4535</x:v>
      </x:c>
      <x:c r="J746" t="s">
        <x:v>664</x:v>
      </x:c>
      <x:c r="K746" t="s">
        <x:v>36</x:v>
      </x:c>
      <x:c r="L746" t="s">
        <x:v>37</x:v>
      </x:c>
      <x:c r="M746" t="s">
        <x:v>4536</x:v>
      </x:c>
      <x:c r="N746" t="s">
        <x:v>4537</x:v>
      </x:c>
      <x:c r="O746" t="s">
        <x:v>4534</x:v>
      </x:c>
      <x:c r="P746" t="s">
        <x:v>4542</x:v>
      </x:c>
      <x:c r="Q746" t="s">
        <x:v>203</x:v>
      </x:c>
      <x:c r="R746">
        <x:v>1</x:v>
      </x:c>
      <x:c r="S746" t="s">
        <x:v>42</x:v>
      </x:c>
      <x:c r="T746" t="s">
        <x:v>44</x:v>
      </x:c>
      <x:c r="U746" t="s">
        <x:v>44</x:v>
      </x:c>
      <x:c r="V746" t="s">
        <x:v>532</x:v>
      </x:c>
      <x:c r="W746" t="s">
        <x:v>4099</x:v>
      </x:c>
      <x:c r="X746">
        <x:v>135.59</x:v>
      </x:c>
      <x:c r="Y746" t="s">
        <x:v>47</x:v>
      </x:c>
      <x:c r="Z746" t="s">
        <x:v>48</x:v>
      </x:c>
      <x:c r="AA746" t="s">
        <x:v>535</x:v>
      </x:c>
      <x:c r="AB746">
        <x:v>997145685</x:v>
      </x:c>
      <x:c r="AC746" t="s">
        <x:v>668</x:v>
      </x:c>
      <x:c r="AD746">
        <x:v>30</x:v>
      </x:c>
    </x:row>
    <x:row r="747">
      <x:c r="A747" s="1">
        <x:v>46290</x:v>
      </x:c>
      <x:c r="B747" t="s">
        <x:v>4056</x:v>
      </x:c>
      <x:c r="C747" t="s">
        <x:v>4539</x:v>
      </x:c>
      <x:c r="D747" t="s">
        <x:v>29</x:v>
      </x:c>
      <x:c r="E747" t="s">
        <x:v>4540</x:v>
      </x:c>
      <x:c r="F747" t="s">
        <x:v>31</x:v>
      </x:c>
      <x:c r="G747" t="s">
        <x:v>4541</x:v>
      </x:c>
      <x:c r="H747" t="s">
        <x:v>4534</x:v>
      </x:c>
      <x:c r="I747" t="s">
        <x:v>4535</x:v>
      </x:c>
      <x:c r="J747" t="s">
        <x:v>664</x:v>
      </x:c>
      <x:c r="K747" t="s">
        <x:v>36</x:v>
      </x:c>
      <x:c r="L747" t="s">
        <x:v>37</x:v>
      </x:c>
      <x:c r="M747" t="s">
        <x:v>4536</x:v>
      </x:c>
      <x:c r="N747" t="s">
        <x:v>4537</x:v>
      </x:c>
      <x:c r="O747" t="s">
        <x:v>4534</x:v>
      </x:c>
      <x:c r="P747" t="s">
        <x:v>4542</x:v>
      </x:c>
      <x:c r="Q747" t="s">
        <x:v>202</x:v>
      </x:c>
      <x:c r="R747">
        <x:v>1</x:v>
      </x:c>
      <x:c r="S747" t="s">
        <x:v>42</x:v>
      </x:c>
      <x:c r="T747" t="s">
        <x:v>44</x:v>
      </x:c>
      <x:c r="U747" t="s">
        <x:v>44</x:v>
      </x:c>
      <x:c r="V747" t="s">
        <x:v>532</x:v>
      </x:c>
      <x:c r="W747" t="s">
        <x:v>4099</x:v>
      </x:c>
      <x:c r="X747">
        <x:v>152.54</x:v>
      </x:c>
      <x:c r="Y747" t="s">
        <x:v>47</x:v>
      </x:c>
      <x:c r="Z747" t="s">
        <x:v>48</x:v>
      </x:c>
      <x:c r="AA747" t="s">
        <x:v>535</x:v>
      </x:c>
      <x:c r="AB747">
        <x:v>997145685</x:v>
      </x:c>
      <x:c r="AC747" t="s">
        <x:v>668</x:v>
      </x:c>
      <x:c r="AD747">
        <x:v>30</x:v>
      </x:c>
    </x:row>
    <x:row r="748">
      <x:c r="A748" s="1">
        <x:v>46290</x:v>
      </x:c>
      <x:c r="B748" t="s">
        <x:v>4056</x:v>
      </x:c>
      <x:c r="C748" t="s">
        <x:v>4543</x:v>
      </x:c>
      <x:c r="D748" t="s">
        <x:v>29</x:v>
      </x:c>
      <x:c r="E748" t="s">
        <x:v>4544</x:v>
      </x:c>
      <x:c r="F748" t="s">
        <x:v>31</x:v>
      </x:c>
      <x:c r="G748" t="s">
        <x:v>4545</x:v>
      </x:c>
      <x:c r="H748" t="s">
        <x:v>4546</x:v>
      </x:c>
      <x:c r="I748" t="s">
        <x:v>4547</x:v>
      </x:c>
      <x:c r="J748" t="s">
        <x:v>2841</x:v>
      </x:c>
      <x:c r="K748" t="s">
        <x:v>210</x:v>
      </x:c>
      <x:c r="L748" t="s">
        <x:v>37</x:v>
      </x:c>
      <x:c r="M748" t="s">
        <x:v>4548</x:v>
      </x:c>
      <x:c r="N748" t="s">
        <x:v>4549</x:v>
      </x:c>
      <x:c r="O748" t="s">
        <x:v>4546</x:v>
      </x:c>
      <x:c r="P748" t="s">
        <x:v>4550</x:v>
      </x:c>
      <x:c r="Q748" t="s">
        <x:v>160</x:v>
      </x:c>
      <x:c r="R748">
        <x:v>1</x:v>
      </x:c>
      <x:c r="S748" t="s">
        <x:v>42</x:v>
      </x:c>
      <x:c r="T748" t="s">
        <x:v>44</x:v>
      </x:c>
      <x:c r="U748" t="s">
        <x:v>44</x:v>
      </x:c>
      <x:c r="V748" t="s">
        <x:v>71</x:v>
      </x:c>
      <x:c r="W748" t="s">
        <x:v>72</x:v>
      </x:c>
      <x:c r="X748">
        <x:v>135.59</x:v>
      </x:c>
      <x:c r="Y748" t="s">
        <x:v>47</x:v>
      </x:c>
      <x:c r="Z748" t="s">
        <x:v>48</x:v>
      </x:c>
      <x:c r="AA748" t="s">
        <x:v>73</x:v>
      </x:c>
      <x:c r="AB748">
        <x:v>994872106</x:v>
      </x:c>
      <x:c r="AC748" t="s">
        <x:v>1256</x:v>
      </x:c>
      <x:c r="AD748">
        <x:v>30</x:v>
      </x:c>
    </x:row>
    <x:row r="749">
      <x:c r="A749" s="1">
        <x:v>46291</x:v>
      </x:c>
      <x:c r="B749" t="s">
        <x:v>4056</x:v>
      </x:c>
      <x:c r="C749" t="s">
        <x:v>4551</x:v>
      </x:c>
      <x:c r="D749" t="s">
        <x:v>29</x:v>
      </x:c>
      <x:c r="E749" t="s">
        <x:v>4552</x:v>
      </x:c>
      <x:c r="F749" t="s">
        <x:v>31</x:v>
      </x:c>
      <x:c r="G749" t="s">
        <x:v>4553</x:v>
      </x:c>
      <x:c r="H749" t="s">
        <x:v>4270</x:v>
      </x:c>
      <x:c r="I749" t="s">
        <x:v>4271</x:v>
      </x:c>
      <x:c r="J749" t="s">
        <x:v>2784</x:v>
      </x:c>
      <x:c r="K749" t="s">
        <x:v>210</x:v>
      </x:c>
      <x:c r="L749" t="s">
        <x:v>37</x:v>
      </x:c>
      <x:c r="M749" t="s">
        <x:v>4272</x:v>
      </x:c>
      <x:c r="N749" t="s">
        <x:v>4554</x:v>
      </x:c>
      <x:c r="O749" t="s">
        <x:v>4270</x:v>
      </x:c>
      <x:c r="P749" t="s">
        <x:v>4555</x:v>
      </x:c>
      <x:c r="Q749" t="s">
        <x:v>289</x:v>
      </x:c>
      <x:c r="R749">
        <x:v>1</x:v>
      </x:c>
      <x:c r="S749" t="s">
        <x:v>42</x:v>
      </x:c>
      <x:c r="T749" t="s">
        <x:v>44</x:v>
      </x:c>
      <x:c r="U749" t="s">
        <x:v>44</x:v>
      </x:c>
      <x:c r="V749" t="s">
        <x:v>45</x:v>
      </x:c>
      <x:c r="W749" t="s">
        <x:v>46</x:v>
      </x:c>
      <x:c r="X749">
        <x:v>0</x:v>
      </x:c>
      <x:c r="Y749" t="s">
        <x:v>290</x:v>
      </x:c>
      <x:c r="Z749" t="s">
        <x:v>48</x:v>
      </x:c>
      <x:c r="AA749" t="s">
        <x:v>49</x:v>
      </x:c>
    </x:row>
    <x:row r="750">
      <x:c r="A750" s="1">
        <x:v>46291</x:v>
      </x:c>
      <x:c r="B750" t="s">
        <x:v>4056</x:v>
      </x:c>
      <x:c r="C750" t="s">
        <x:v>4551</x:v>
      </x:c>
      <x:c r="D750" t="s">
        <x:v>29</x:v>
      </x:c>
      <x:c r="E750" t="s">
        <x:v>4552</x:v>
      </x:c>
      <x:c r="F750" t="s">
        <x:v>31</x:v>
      </x:c>
      <x:c r="G750" t="s">
        <x:v>4553</x:v>
      </x:c>
      <x:c r="H750" t="s">
        <x:v>4270</x:v>
      </x:c>
      <x:c r="I750" t="s">
        <x:v>4271</x:v>
      </x:c>
      <x:c r="J750" t="s">
        <x:v>2784</x:v>
      </x:c>
      <x:c r="K750" t="s">
        <x:v>210</x:v>
      </x:c>
      <x:c r="L750" t="s">
        <x:v>37</x:v>
      </x:c>
      <x:c r="M750" t="s">
        <x:v>4272</x:v>
      </x:c>
      <x:c r="N750" t="s">
        <x:v>4554</x:v>
      </x:c>
      <x:c r="O750" t="s">
        <x:v>4270</x:v>
      </x:c>
      <x:c r="P750" t="s">
        <x:v>4555</x:v>
      </x:c>
      <x:c r="Q750" t="s">
        <x:v>1139</x:v>
      </x:c>
      <x:c r="R750">
        <x:v>1</x:v>
      </x:c>
      <x:c r="S750" t="s">
        <x:v>42</x:v>
      </x:c>
      <x:c r="T750" t="s">
        <x:v>44</x:v>
      </x:c>
      <x:c r="U750" t="s">
        <x:v>44</x:v>
      </x:c>
      <x:c r="V750" t="s">
        <x:v>45</x:v>
      </x:c>
      <x:c r="W750" t="s">
        <x:v>46</x:v>
      </x:c>
      <x:c r="X750">
        <x:v>957.63</x:v>
      </x:c>
      <x:c r="Y750" t="s">
        <x:v>290</x:v>
      </x:c>
      <x:c r="Z750" t="s">
        <x:v>48</x:v>
      </x:c>
      <x:c r="AA750" t="s">
        <x:v>49</x:v>
      </x:c>
    </x:row>
    <x:row r="751">
      <x:c r="A751" s="1">
        <x:v>46291</x:v>
      </x:c>
      <x:c r="B751" t="s">
        <x:v>4056</x:v>
      </x:c>
      <x:c r="C751" t="s">
        <x:v>4556</x:v>
      </x:c>
      <x:c r="D751" t="s">
        <x:v>29</x:v>
      </x:c>
      <x:c r="E751" t="s">
        <x:v>4557</x:v>
      </x:c>
      <x:c r="F751" t="s">
        <x:v>31</x:v>
      </x:c>
      <x:c r="G751" t="s">
        <x:v>4558</x:v>
      </x:c>
      <x:c r="H751" t="s">
        <x:v>4559</x:v>
      </x:c>
      <x:c r="I751" t="s">
        <x:v>4560</x:v>
      </x:c>
      <x:c r="J751" t="s">
        <x:v>717</x:v>
      </x:c>
      <x:c r="K751" t="s">
        <x:v>718</x:v>
      </x:c>
      <x:c r="L751" t="s">
        <x:v>37</x:v>
      </x:c>
      <x:c r="M751" t="s">
        <x:v>4561</x:v>
      </x:c>
      <x:c r="N751" t="s">
        <x:v>4562</x:v>
      </x:c>
      <x:c r="O751" t="s">
        <x:v>4559</x:v>
      </x:c>
      <x:c r="P751" t="s">
        <x:v>4563</x:v>
      </x:c>
      <x:c r="Q751" t="s">
        <x:v>91</x:v>
      </x:c>
      <x:c r="R751">
        <x:v>1</x:v>
      </x:c>
      <x:c r="S751" t="s">
        <x:v>42</x:v>
      </x:c>
      <x:c r="T751" t="s">
        <x:v>44</x:v>
      </x:c>
      <x:c r="U751" t="s">
        <x:v>44</x:v>
      </x:c>
      <x:c r="V751" t="s">
        <x:v>532</x:v>
      </x:c>
      <x:c r="W751" t="s">
        <x:v>4099</x:v>
      </x:c>
      <x:c r="X751">
        <x:v>135.59</x:v>
      </x:c>
      <x:c r="Y751" t="s">
        <x:v>47</x:v>
      </x:c>
      <x:c r="Z751" t="s">
        <x:v>48</x:v>
      </x:c>
      <x:c r="AA751" t="s">
        <x:v>535</x:v>
      </x:c>
      <x:c r="AB751">
        <x:v>955356636</x:v>
      </x:c>
      <x:c r="AC751" t="s">
        <x:v>722</x:v>
      </x:c>
      <x:c r="AD751">
        <x:v>30</x:v>
      </x:c>
    </x:row>
    <x:row r="752">
      <x:c r="A752" s="1">
        <x:v>46291</x:v>
      </x:c>
      <x:c r="B752" t="s">
        <x:v>4056</x:v>
      </x:c>
      <x:c r="C752" t="s">
        <x:v>4564</x:v>
      </x:c>
      <x:c r="D752" t="s">
        <x:v>29</x:v>
      </x:c>
      <x:c r="E752" t="s">
        <x:v>4565</x:v>
      </x:c>
      <x:c r="F752" t="s">
        <x:v>31</x:v>
      </x:c>
      <x:c r="G752" t="s">
        <x:v>4566</x:v>
      </x:c>
      <x:c r="H752" t="s">
        <x:v>4567</x:v>
      </x:c>
      <x:c r="I752" t="s">
        <x:v>4568</x:v>
      </x:c>
      <x:c r="J752" t="s">
        <x:v>35</x:v>
      </x:c>
      <x:c r="K752" t="s">
        <x:v>36</x:v>
      </x:c>
      <x:c r="L752" t="s">
        <x:v>37</x:v>
      </x:c>
      <x:c r="M752" t="s">
        <x:v>4569</x:v>
      </x:c>
      <x:c r="N752" t="s">
        <x:v>4570</x:v>
      </x:c>
      <x:c r="O752" t="s">
        <x:v>4567</x:v>
      </x:c>
      <x:c r="P752" t="s">
        <x:v>4571</x:v>
      </x:c>
      <x:c r="Q752" t="s">
        <x:v>91</x:v>
      </x:c>
      <x:c r="R752">
        <x:v>1</x:v>
      </x:c>
      <x:c r="S752" t="s">
        <x:v>42</x:v>
      </x:c>
      <x:c r="T752" t="s">
        <x:v>44</x:v>
      </x:c>
      <x:c r="U752" t="s">
        <x:v>44</x:v>
      </x:c>
      <x:c r="V752" t="s">
        <x:v>532</x:v>
      </x:c>
      <x:c r="W752" t="s">
        <x:v>4099</x:v>
      </x:c>
      <x:c r="X752">
        <x:v>135.59</x:v>
      </x:c>
      <x:c r="Y752" t="s">
        <x:v>47</x:v>
      </x:c>
      <x:c r="Z752" t="s">
        <x:v>48</x:v>
      </x:c>
      <x:c r="AA752" t="s">
        <x:v>535</x:v>
      </x:c>
      <x:c r="AB752">
        <x:v>999996347</x:v>
      </x:c>
      <x:c r="AC752" t="s">
        <x:v>50</x:v>
      </x:c>
      <x:c r="AD752">
        <x:v>30</x:v>
      </x:c>
    </x:row>
    <x:row r="753">
      <x:c r="A753" s="1">
        <x:v>46291</x:v>
      </x:c>
      <x:c r="B753" t="s">
        <x:v>4056</x:v>
      </x:c>
      <x:c r="C753" t="s">
        <x:v>4572</x:v>
      </x:c>
      <x:c r="D753" t="s">
        <x:v>269</x:v>
      </x:c>
      <x:c r="E753" t="s">
        <x:v>4573</x:v>
      </x:c>
      <x:c r="F753" t="s">
        <x:v>31</x:v>
      </x:c>
      <x:c r="G753" t="s">
        <x:v>4574</x:v>
      </x:c>
      <x:c r="H753" t="s">
        <x:v>4575</x:v>
      </x:c>
      <x:c r="I753" t="s">
        <x:v>4576</x:v>
      </x:c>
      <x:c r="J753" t="s">
        <x:v>776</x:v>
      </x:c>
      <x:c r="K753" t="s">
        <x:v>777</x:v>
      </x:c>
      <x:c r="L753" t="s">
        <x:v>37</x:v>
      </x:c>
      <x:c r="M753" t="s">
        <x:v>4577</x:v>
      </x:c>
      <x:c r="N753" t="s">
        <x:v>4578</x:v>
      </x:c>
      <x:c r="O753" t="s">
        <x:v>4579</x:v>
      </x:c>
      <x:c r="P753" t="s">
        <x:v>4580</x:v>
      </x:c>
      <x:c r="Q753" t="s">
        <x:v>131</x:v>
      </x:c>
      <x:c r="R753">
        <x:v>1</x:v>
      </x:c>
      <x:c r="S753" t="s">
        <x:v>42</x:v>
      </x:c>
      <x:c r="T753" t="s">
        <x:v>44</x:v>
      </x:c>
      <x:c r="U753" t="s">
        <x:v>44</x:v>
      </x:c>
      <x:c r="V753" t="s">
        <x:v>45</x:v>
      </x:c>
      <x:c r="W753" t="s">
        <x:v>60</x:v>
      </x:c>
      <x:c r="X753">
        <x:v>152.54</x:v>
      </x:c>
      <x:c r="Y753" t="s">
        <x:v>47</x:v>
      </x:c>
      <x:c r="Z753" t="s">
        <x:v>48</x:v>
      </x:c>
      <x:c r="AA753" t="s">
        <x:v>49</x:v>
      </x:c>
      <x:c r="AD753">
        <x:v>30</x:v>
      </x:c>
    </x:row>
    <x:row r="754">
      <x:c r="A754" s="1">
        <x:v>46291</x:v>
      </x:c>
      <x:c r="B754" t="s">
        <x:v>4056</x:v>
      </x:c>
      <x:c r="C754" t="s">
        <x:v>4572</x:v>
      </x:c>
      <x:c r="D754" t="s">
        <x:v>269</x:v>
      </x:c>
      <x:c r="E754" t="s">
        <x:v>4573</x:v>
      </x:c>
      <x:c r="F754" t="s">
        <x:v>31</x:v>
      </x:c>
      <x:c r="G754" t="s">
        <x:v>4574</x:v>
      </x:c>
      <x:c r="H754" t="s">
        <x:v>4575</x:v>
      </x:c>
      <x:c r="I754" t="s">
        <x:v>4576</x:v>
      </x:c>
      <x:c r="J754" t="s">
        <x:v>776</x:v>
      </x:c>
      <x:c r="K754" t="s">
        <x:v>777</x:v>
      </x:c>
      <x:c r="L754" t="s">
        <x:v>37</x:v>
      </x:c>
      <x:c r="M754" t="s">
        <x:v>4577</x:v>
      </x:c>
      <x:c r="N754" t="s">
        <x:v>4578</x:v>
      </x:c>
      <x:c r="O754" t="s">
        <x:v>4579</x:v>
      </x:c>
      <x:c r="P754" t="s">
        <x:v>4580</x:v>
      </x:c>
      <x:c r="Q754" t="s">
        <x:v>203</x:v>
      </x:c>
      <x:c r="R754">
        <x:v>1</x:v>
      </x:c>
      <x:c r="S754" t="s">
        <x:v>42</x:v>
      </x:c>
      <x:c r="T754" t="s">
        <x:v>44</x:v>
      </x:c>
      <x:c r="U754" t="s">
        <x:v>44</x:v>
      </x:c>
      <x:c r="V754" t="s">
        <x:v>45</x:v>
      </x:c>
      <x:c r="W754" t="s">
        <x:v>60</x:v>
      </x:c>
      <x:c r="X754">
        <x:v>135.59</x:v>
      </x:c>
      <x:c r="Y754" t="s">
        <x:v>47</x:v>
      </x:c>
      <x:c r="Z754" t="s">
        <x:v>48</x:v>
      </x:c>
      <x:c r="AA754" t="s">
        <x:v>49</x:v>
      </x:c>
      <x:c r="AD754">
        <x:v>30</x:v>
      </x:c>
    </x:row>
    <x:row r="755">
      <x:c r="A755" s="1">
        <x:v>46293</x:v>
      </x:c>
      <x:c r="B755" t="s">
        <x:v>4056</x:v>
      </x:c>
      <x:c r="C755" t="s">
        <x:v>4581</x:v>
      </x:c>
      <x:c r="D755" t="s">
        <x:v>29</x:v>
      </x:c>
      <x:c r="E755" t="s">
        <x:v>4582</x:v>
      </x:c>
      <x:c r="F755" t="s">
        <x:v>31</x:v>
      </x:c>
      <x:c r="G755" t="s">
        <x:v>4583</x:v>
      </x:c>
      <x:c r="H755" t="s">
        <x:v>4584</x:v>
      </x:c>
      <x:c r="I755" t="s">
        <x:v>4585</x:v>
      </x:c>
      <x:c r="J755" t="s">
        <x:v>1520</x:v>
      </x:c>
      <x:c r="K755" t="s">
        <x:v>631</x:v>
      </x:c>
      <x:c r="L755" t="s">
        <x:v>37</x:v>
      </x:c>
      <x:c r="M755" t="s">
        <x:v>4586</x:v>
      </x:c>
      <x:c r="N755" t="s">
        <x:v>4587</x:v>
      </x:c>
      <x:c r="O755" t="s">
        <x:v>4584</x:v>
      </x:c>
      <x:c r="P755" t="s">
        <x:v>4588</x:v>
      </x:c>
      <x:c r="Q755" t="s">
        <x:v>102</x:v>
      </x:c>
      <x:c r="R755">
        <x:v>1</x:v>
      </x:c>
      <x:c r="S755" t="s">
        <x:v>70</x:v>
      </x:c>
      <x:c r="T755" t="s">
        <x:v>43</x:v>
      </x:c>
      <x:c r="U755" t="s">
        <x:v>44</x:v>
      </x:c>
      <x:c r="V755" t="s">
        <x:v>71</x:v>
      </x:c>
      <x:c r="W755" t="s">
        <x:v>185</x:v>
      </x:c>
      <x:c r="X755">
        <x:v>186.44</x:v>
      </x:c>
      <x:c r="Y755" t="s">
        <x:v>47</x:v>
      </x:c>
      <x:c r="Z755" t="s">
        <x:v>48</x:v>
      </x:c>
      <x:c r="AA755" t="s">
        <x:v>73</x:v>
      </x:c>
      <x:c r="AB755">
        <x:v>947422476</x:v>
      </x:c>
      <x:c r="AD755">
        <x:v>50</x:v>
      </x:c>
    </x:row>
    <x:row r="756">
      <x:c r="A756" s="1">
        <x:v>46293</x:v>
      </x:c>
      <x:c r="B756" t="s">
        <x:v>4056</x:v>
      </x:c>
      <x:c r="C756" t="s">
        <x:v>4589</x:v>
      </x:c>
      <x:c r="D756" t="s">
        <x:v>29</x:v>
      </x:c>
      <x:c r="E756" t="s">
        <x:v>4590</x:v>
      </x:c>
      <x:c r="F756" t="s">
        <x:v>31</x:v>
      </x:c>
      <x:c r="G756" t="s">
        <x:v>4591</x:v>
      </x:c>
      <x:c r="H756" t="s">
        <x:v>4592</x:v>
      </x:c>
      <x:c r="I756" t="s">
        <x:v>4593</x:v>
      </x:c>
      <x:c r="J756" t="s">
        <x:v>717</x:v>
      </x:c>
      <x:c r="K756" t="s">
        <x:v>718</x:v>
      </x:c>
      <x:c r="L756" t="s">
        <x:v>37</x:v>
      </x:c>
      <x:c r="M756" t="s">
        <x:v>4594</x:v>
      </x:c>
      <x:c r="N756" t="s">
        <x:v>4595</x:v>
      </x:c>
      <x:c r="O756" t="s">
        <x:v>4592</x:v>
      </x:c>
      <x:c r="P756" t="s">
        <x:v>4596</x:v>
      </x:c>
      <x:c r="Q756" t="s">
        <x:v>102</x:v>
      </x:c>
      <x:c r="R756">
        <x:v>1</x:v>
      </x:c>
      <x:c r="S756" t="s">
        <x:v>70</x:v>
      </x:c>
      <x:c r="T756" t="s">
        <x:v>43</x:v>
      </x:c>
      <x:c r="U756" t="s">
        <x:v>44</x:v>
      </x:c>
      <x:c r="V756" t="s">
        <x:v>71</x:v>
      </x:c>
      <x:c r="W756" t="s">
        <x:v>185</x:v>
      </x:c>
      <x:c r="X756">
        <x:v>186.44</x:v>
      </x:c>
      <x:c r="Y756" t="s">
        <x:v>47</x:v>
      </x:c>
      <x:c r="Z756" t="s">
        <x:v>48</x:v>
      </x:c>
      <x:c r="AA756" t="s">
        <x:v>73</x:v>
      </x:c>
      <x:c r="AB756">
        <x:v>955356636</x:v>
      </x:c>
      <x:c r="AC756" t="s">
        <x:v>722</x:v>
      </x:c>
      <x:c r="AD756">
        <x:v>50</x:v>
      </x:c>
    </x:row>
    <x:row r="757">
      <x:c r="A757" s="1">
        <x:v>46293</x:v>
      </x:c>
      <x:c r="B757" t="s">
        <x:v>4056</x:v>
      </x:c>
      <x:c r="C757" t="s">
        <x:v>4597</x:v>
      </x:c>
      <x:c r="D757" t="s">
        <x:v>29</x:v>
      </x:c>
      <x:c r="E757" t="s">
        <x:v>4598</x:v>
      </x:c>
      <x:c r="F757" t="s">
        <x:v>31</x:v>
      </x:c>
      <x:c r="G757" t="s">
        <x:v>4599</x:v>
      </x:c>
      <x:c r="H757" t="s">
        <x:v>4600</x:v>
      </x:c>
      <x:c r="I757" t="s">
        <x:v>4601</x:v>
      </x:c>
      <x:c r="J757" t="s">
        <x:v>1110</x:v>
      </x:c>
      <x:c r="K757" t="s">
        <x:v>210</x:v>
      </x:c>
      <x:c r="L757" t="s">
        <x:v>37</x:v>
      </x:c>
      <x:c r="M757" t="s">
        <x:v>4602</x:v>
      </x:c>
      <x:c r="N757" t="s">
        <x:v>4603</x:v>
      </x:c>
      <x:c r="O757" t="s">
        <x:v>4600</x:v>
      </x:c>
      <x:c r="P757" t="s">
        <x:v>4604</x:v>
      </x:c>
      <x:c r="Q757" t="s">
        <x:v>102</x:v>
      </x:c>
      <x:c r="R757">
        <x:v>1</x:v>
      </x:c>
      <x:c r="S757" t="s">
        <x:v>70</x:v>
      </x:c>
      <x:c r="T757" t="s">
        <x:v>43</x:v>
      </x:c>
      <x:c r="U757" t="s">
        <x:v>44</x:v>
      </x:c>
      <x:c r="V757" t="s">
        <x:v>71</x:v>
      </x:c>
      <x:c r="W757" t="s">
        <x:v>72</x:v>
      </x:c>
      <x:c r="X757">
        <x:v>186.44</x:v>
      </x:c>
      <x:c r="Y757" t="s">
        <x:v>47</x:v>
      </x:c>
      <x:c r="Z757" t="s">
        <x:v>48</x:v>
      </x:c>
      <x:c r="AA757" t="s">
        <x:v>73</x:v>
      </x:c>
      <x:c r="AB757">
        <x:v>970582106</x:v>
      </x:c>
      <x:c r="AC757" t="s">
        <x:v>1115</x:v>
      </x:c>
      <x:c r="AD757">
        <x:v>50</x:v>
      </x:c>
    </x:row>
    <x:row r="758">
      <x:c r="A758" s="1">
        <x:v>46293</x:v>
      </x:c>
      <x:c r="B758" t="s">
        <x:v>4056</x:v>
      </x:c>
      <x:c r="C758" t="s">
        <x:v>4605</x:v>
      </x:c>
      <x:c r="D758" t="s">
        <x:v>29</x:v>
      </x:c>
      <x:c r="E758" t="s">
        <x:v>4606</x:v>
      </x:c>
      <x:c r="F758" t="s">
        <x:v>31</x:v>
      </x:c>
      <x:c r="G758" t="s">
        <x:v>4607</x:v>
      </x:c>
      <x:c r="H758" t="s">
        <x:v>4608</x:v>
      </x:c>
      <x:c r="I758" t="s">
        <x:v>4609</x:v>
      </x:c>
      <x:c r="J758" t="s">
        <x:v>117</x:v>
      </x:c>
      <x:c r="K758" t="s">
        <x:v>118</x:v>
      </x:c>
      <x:c r="L758" t="s">
        <x:v>37</x:v>
      </x:c>
      <x:c r="M758" t="s">
        <x:v>4610</x:v>
      </x:c>
      <x:c r="N758" t="s">
        <x:v>4611</x:v>
      </x:c>
      <x:c r="O758" t="s">
        <x:v>4608</x:v>
      </x:c>
      <x:c r="P758" t="s">
        <x:v>4612</x:v>
      </x:c>
      <x:c r="Q758" t="s">
        <x:v>159</x:v>
      </x:c>
      <x:c r="R758">
        <x:v>1</x:v>
      </x:c>
      <x:c r="S758" t="s">
        <x:v>42</x:v>
      </x:c>
      <x:c r="T758" t="s">
        <x:v>44</x:v>
      </x:c>
      <x:c r="U758" t="s">
        <x:v>44</x:v>
      </x:c>
      <x:c r="V758" t="s">
        <x:v>45</x:v>
      </x:c>
      <x:c r="W758" t="s">
        <x:v>60</x:v>
      </x:c>
      <x:c r="X758">
        <x:v>152.54</x:v>
      </x:c>
      <x:c r="Y758" t="s">
        <x:v>47</x:v>
      </x:c>
      <x:c r="Z758" t="s">
        <x:v>48</x:v>
      </x:c>
      <x:c r="AA758" t="s">
        <x:v>49</x:v>
      </x:c>
      <x:c r="AB758">
        <x:v>945319366</x:v>
      </x:c>
      <x:c r="AC758" t="s">
        <x:v>122</x:v>
      </x:c>
      <x:c r="AD758">
        <x:v>30</x:v>
      </x:c>
    </x:row>
    <x:row r="759">
      <x:c r="A759" s="1">
        <x:v>46293</x:v>
      </x:c>
      <x:c r="B759" t="s">
        <x:v>4056</x:v>
      </x:c>
      <x:c r="C759" t="s">
        <x:v>4605</x:v>
      </x:c>
      <x:c r="D759" t="s">
        <x:v>29</x:v>
      </x:c>
      <x:c r="E759" t="s">
        <x:v>4606</x:v>
      </x:c>
      <x:c r="F759" t="s">
        <x:v>31</x:v>
      </x:c>
      <x:c r="G759" t="s">
        <x:v>4607</x:v>
      </x:c>
      <x:c r="H759" t="s">
        <x:v>4608</x:v>
      </x:c>
      <x:c r="I759" t="s">
        <x:v>4609</x:v>
      </x:c>
      <x:c r="J759" t="s">
        <x:v>117</x:v>
      </x:c>
      <x:c r="K759" t="s">
        <x:v>118</x:v>
      </x:c>
      <x:c r="L759" t="s">
        <x:v>37</x:v>
      </x:c>
      <x:c r="M759" t="s">
        <x:v>4610</x:v>
      </x:c>
      <x:c r="N759" t="s">
        <x:v>4611</x:v>
      </x:c>
      <x:c r="O759" t="s">
        <x:v>4608</x:v>
      </x:c>
      <x:c r="P759" t="s">
        <x:v>4612</x:v>
      </x:c>
      <x:c r="Q759" t="s">
        <x:v>102</x:v>
      </x:c>
      <x:c r="R759">
        <x:v>1</x:v>
      </x:c>
      <x:c r="S759" t="s">
        <x:v>42</x:v>
      </x:c>
      <x:c r="T759" t="s">
        <x:v>44</x:v>
      </x:c>
      <x:c r="U759" t="s">
        <x:v>44</x:v>
      </x:c>
      <x:c r="V759" t="s">
        <x:v>45</x:v>
      </x:c>
      <x:c r="W759" t="s">
        <x:v>60</x:v>
      </x:c>
      <x:c r="X759">
        <x:v>186.44</x:v>
      </x:c>
      <x:c r="Y759" t="s">
        <x:v>47</x:v>
      </x:c>
      <x:c r="Z759" t="s">
        <x:v>48</x:v>
      </x:c>
      <x:c r="AA759" t="s">
        <x:v>49</x:v>
      </x:c>
      <x:c r="AB759">
        <x:v>945319366</x:v>
      </x:c>
      <x:c r="AC759" t="s">
        <x:v>122</x:v>
      </x:c>
      <x:c r="AD759">
        <x:v>50</x:v>
      </x:c>
    </x:row>
    <x:row r="760">
      <x:c r="A760" s="1">
        <x:v>46293</x:v>
      </x:c>
      <x:c r="B760" t="s">
        <x:v>4056</x:v>
      </x:c>
      <x:c r="C760" t="s">
        <x:v>4613</x:v>
      </x:c>
      <x:c r="D760" t="s">
        <x:v>29</x:v>
      </x:c>
      <x:c r="E760" t="s">
        <x:v>4614</x:v>
      </x:c>
      <x:c r="F760" t="s">
        <x:v>31</x:v>
      </x:c>
      <x:c r="G760" t="s">
        <x:v>4615</x:v>
      </x:c>
      <x:c r="H760" t="s">
        <x:v>4616</x:v>
      </x:c>
      <x:c r="I760" t="s">
        <x:v>4617</x:v>
      </x:c>
      <x:c r="J760" t="s">
        <x:v>137</x:v>
      </x:c>
      <x:c r="K760" t="s">
        <x:v>138</x:v>
      </x:c>
      <x:c r="L760" t="s">
        <x:v>37</x:v>
      </x:c>
      <x:c r="M760" t="s">
        <x:v>4618</x:v>
      </x:c>
      <x:c r="N760" t="s">
        <x:v>4619</x:v>
      </x:c>
      <x:c r="O760" t="s">
        <x:v>4616</x:v>
      </x:c>
      <x:c r="P760" t="s">
        <x:v>4620</x:v>
      </x:c>
      <x:c r="Q760" t="s">
        <x:v>41</x:v>
      </x:c>
      <x:c r="R760">
        <x:v>1</x:v>
      </x:c>
      <x:c r="S760" t="s">
        <x:v>70</x:v>
      </x:c>
      <x:c r="T760" t="s">
        <x:v>43</x:v>
      </x:c>
      <x:c r="U760" t="s">
        <x:v>44</x:v>
      </x:c>
      <x:c r="V760" t="s">
        <x:v>71</x:v>
      </x:c>
      <x:c r="W760" t="s">
        <x:v>72</x:v>
      </x:c>
      <x:c r="X760">
        <x:v>186.44</x:v>
      </x:c>
      <x:c r="Y760" t="s">
        <x:v>47</x:v>
      </x:c>
      <x:c r="Z760" t="s">
        <x:v>48</x:v>
      </x:c>
      <x:c r="AA760" t="s">
        <x:v>73</x:v>
      </x:c>
      <x:c r="AB760">
        <x:v>987407712</x:v>
      </x:c>
      <x:c r="AC760" t="s">
        <x:v>142</x:v>
      </x:c>
      <x:c r="AD760">
        <x:v>50</x:v>
      </x:c>
    </x:row>
    <x:row r="761">
      <x:c r="A761" s="1">
        <x:v>46293</x:v>
      </x:c>
      <x:c r="B761" t="s">
        <x:v>4056</x:v>
      </x:c>
      <x:c r="C761" t="s">
        <x:v>4621</x:v>
      </x:c>
      <x:c r="D761" t="s">
        <x:v>29</x:v>
      </x:c>
      <x:c r="E761" t="s">
        <x:v>4622</x:v>
      </x:c>
      <x:c r="F761" t="s">
        <x:v>31</x:v>
      </x:c>
      <x:c r="G761" t="s">
        <x:v>4623</x:v>
      </x:c>
      <x:c r="H761" t="s">
        <x:v>4624</x:v>
      </x:c>
      <x:c r="I761" t="s">
        <x:v>4625</x:v>
      </x:c>
      <x:c r="J761" t="s">
        <x:v>1326</x:v>
      </x:c>
      <x:c r="K761" t="s">
        <x:v>36</x:v>
      </x:c>
      <x:c r="L761" t="s">
        <x:v>37</x:v>
      </x:c>
      <x:c r="M761" t="s">
        <x:v>4626</x:v>
      </x:c>
      <x:c r="N761" t="s">
        <x:v>4627</x:v>
      </x:c>
      <x:c r="O761" t="s">
        <x:v>4624</x:v>
      </x:c>
      <x:c r="P761" t="s">
        <x:v>4628</x:v>
      </x:c>
      <x:c r="Q761" t="s">
        <x:v>131</x:v>
      </x:c>
      <x:c r="R761">
        <x:v>1</x:v>
      </x:c>
      <x:c r="S761" t="s">
        <x:v>42</x:v>
      </x:c>
      <x:c r="T761" t="s">
        <x:v>44</x:v>
      </x:c>
      <x:c r="U761" t="s">
        <x:v>44</x:v>
      </x:c>
      <x:c r="V761" t="s">
        <x:v>532</x:v>
      </x:c>
      <x:c r="W761" t="s">
        <x:v>1980</x:v>
      </x:c>
      <x:c r="X761">
        <x:v>152.54</x:v>
      </x:c>
      <x:c r="Y761" t="s">
        <x:v>47</x:v>
      </x:c>
      <x:c r="Z761" t="s">
        <x:v>48</x:v>
      </x:c>
      <x:c r="AA761" t="s">
        <x:v>535</x:v>
      </x:c>
      <x:c r="AB761">
        <x:v>999111362</x:v>
      </x:c>
      <x:c r="AC761" t="s">
        <x:v>1330</x:v>
      </x:c>
      <x:c r="AD761">
        <x:v>30</x:v>
      </x:c>
    </x:row>
    <x:row r="762">
      <x:c r="A762" s="1">
        <x:v>46293</x:v>
      </x:c>
      <x:c r="B762" t="s">
        <x:v>4056</x:v>
      </x:c>
      <x:c r="C762" t="s">
        <x:v>4621</x:v>
      </x:c>
      <x:c r="D762" t="s">
        <x:v>29</x:v>
      </x:c>
      <x:c r="E762" t="s">
        <x:v>4622</x:v>
      </x:c>
      <x:c r="F762" t="s">
        <x:v>31</x:v>
      </x:c>
      <x:c r="G762" t="s">
        <x:v>4623</x:v>
      </x:c>
      <x:c r="H762" t="s">
        <x:v>4624</x:v>
      </x:c>
      <x:c r="I762" t="s">
        <x:v>4625</x:v>
      </x:c>
      <x:c r="J762" t="s">
        <x:v>1326</x:v>
      </x:c>
      <x:c r="K762" t="s">
        <x:v>36</x:v>
      </x:c>
      <x:c r="L762" t="s">
        <x:v>37</x:v>
      </x:c>
      <x:c r="M762" t="s">
        <x:v>4626</x:v>
      </x:c>
      <x:c r="N762" t="s">
        <x:v>4627</x:v>
      </x:c>
      <x:c r="O762" t="s">
        <x:v>4624</x:v>
      </x:c>
      <x:c r="P762" t="s">
        <x:v>4628</x:v>
      </x:c>
      <x:c r="Q762" t="s">
        <x:v>3591</x:v>
      </x:c>
      <x:c r="R762">
        <x:v>1</x:v>
      </x:c>
      <x:c r="S762" t="s">
        <x:v>42</x:v>
      </x:c>
      <x:c r="T762" t="s">
        <x:v>44</x:v>
      </x:c>
      <x:c r="U762" t="s">
        <x:v>44</x:v>
      </x:c>
      <x:c r="V762" t="s">
        <x:v>532</x:v>
      </x:c>
      <x:c r="W762" t="s">
        <x:v>1980</x:v>
      </x:c>
      <x:c r="X762">
        <x:v>211.86</x:v>
      </x:c>
      <x:c r="Y762" t="s">
        <x:v>47</x:v>
      </x:c>
      <x:c r="Z762" t="s">
        <x:v>48</x:v>
      </x:c>
      <x:c r="AA762" t="s">
        <x:v>535</x:v>
      </x:c>
      <x:c r="AB762">
        <x:v>999111362</x:v>
      </x:c>
      <x:c r="AC762" t="s">
        <x:v>1330</x:v>
      </x:c>
      <x:c r="AD762">
        <x:v>50</x:v>
      </x:c>
    </x:row>
    <x:row r="763">
      <x:c r="A763" s="1">
        <x:v>46293</x:v>
      </x:c>
      <x:c r="B763" t="s">
        <x:v>4056</x:v>
      </x:c>
      <x:c r="C763" t="s">
        <x:v>4629</x:v>
      </x:c>
      <x:c r="D763" t="s">
        <x:v>29</x:v>
      </x:c>
      <x:c r="E763" t="s">
        <x:v>4630</x:v>
      </x:c>
      <x:c r="F763" t="s">
        <x:v>31</x:v>
      </x:c>
      <x:c r="G763" t="s">
        <x:v>4631</x:v>
      </x:c>
      <x:c r="H763" t="s">
        <x:v>4632</x:v>
      </x:c>
      <x:c r="I763" t="s">
        <x:v>4633</x:v>
      </x:c>
      <x:c r="J763" t="s">
        <x:v>3122</x:v>
      </x:c>
      <x:c r="K763" t="s">
        <x:v>3087</x:v>
      </x:c>
      <x:c r="L763" t="s">
        <x:v>37</x:v>
      </x:c>
      <x:c r="M763" t="s">
        <x:v>4634</x:v>
      </x:c>
      <x:c r="N763" t="s">
        <x:v>4635</x:v>
      </x:c>
      <x:c r="O763" t="s">
        <x:v>4632</x:v>
      </x:c>
      <x:c r="P763" t="s">
        <x:v>4636</x:v>
      </x:c>
      <x:c r="Q763" t="s">
        <x:v>91</x:v>
      </x:c>
      <x:c r="R763">
        <x:v>1</x:v>
      </x:c>
      <x:c r="S763" t="s">
        <x:v>42</x:v>
      </x:c>
      <x:c r="T763" t="s">
        <x:v>44</x:v>
      </x:c>
      <x:c r="U763" t="s">
        <x:v>44</x:v>
      </x:c>
      <x:c r="V763" t="s">
        <x:v>71</x:v>
      </x:c>
      <x:c r="W763" t="s">
        <x:v>2078</x:v>
      </x:c>
      <x:c r="X763">
        <x:v>135.59</x:v>
      </x:c>
      <x:c r="Y763" t="s">
        <x:v>47</x:v>
      </x:c>
      <x:c r="Z763" t="s">
        <x:v>48</x:v>
      </x:c>
      <x:c r="AA763" t="s">
        <x:v>73</x:v>
      </x:c>
      <x:c r="AB763">
        <x:v>985558886</x:v>
      </x:c>
      <x:c r="AC763" t="s">
        <x:v>3123</x:v>
      </x:c>
      <x:c r="AD763">
        <x:v>30</x:v>
      </x:c>
    </x:row>
    <x:row r="764">
      <x:c r="A764" s="1">
        <x:v>46293</x:v>
      </x:c>
      <x:c r="B764" t="s">
        <x:v>4056</x:v>
      </x:c>
      <x:c r="C764" t="s">
        <x:v>4637</x:v>
      </x:c>
      <x:c r="D764" t="s">
        <x:v>29</x:v>
      </x:c>
      <x:c r="E764" t="s">
        <x:v>4638</x:v>
      </x:c>
      <x:c r="F764" t="s">
        <x:v>31</x:v>
      </x:c>
      <x:c r="G764" t="s">
        <x:v>4639</x:v>
      </x:c>
      <x:c r="H764" t="s">
        <x:v>4640</x:v>
      </x:c>
      <x:c r="I764" t="s">
        <x:v>4641</x:v>
      </x:c>
      <x:c r="J764" t="s">
        <x:v>776</x:v>
      </x:c>
      <x:c r="K764" t="s">
        <x:v>777</x:v>
      </x:c>
      <x:c r="L764" t="s">
        <x:v>37</x:v>
      </x:c>
      <x:c r="M764" t="s">
        <x:v>4642</x:v>
      </x:c>
      <x:c r="N764" t="s">
        <x:v>4643</x:v>
      </x:c>
      <x:c r="O764" t="s">
        <x:v>4640</x:v>
      </x:c>
      <x:c r="P764" t="s">
        <x:v>4644</x:v>
      </x:c>
      <x:c r="Q764" t="s">
        <x:v>1159</x:v>
      </x:c>
      <x:c r="R764">
        <x:v>1</x:v>
      </x:c>
      <x:c r="S764" t="s">
        <x:v>42</x:v>
      </x:c>
      <x:c r="T764" t="s">
        <x:v>44</x:v>
      </x:c>
      <x:c r="U764" t="s">
        <x:v>44</x:v>
      </x:c>
      <x:c r="V764" t="s">
        <x:v>45</x:v>
      </x:c>
      <x:c r="W764" t="s">
        <x:v>60</x:v>
      </x:c>
      <x:c r="X764">
        <x:v>338.98</x:v>
      </x:c>
      <x:c r="Y764" t="s">
        <x:v>47</x:v>
      </x:c>
      <x:c r="Z764" t="s">
        <x:v>48</x:v>
      </x:c>
      <x:c r="AA764" t="s">
        <x:v>49</x:v>
      </x:c>
      <x:c r="AD764">
        <x:v>100</x:v>
      </x:c>
    </x:row>
    <x:row r="765">
      <x:c r="A765" s="1">
        <x:v>46293</x:v>
      </x:c>
      <x:c r="B765" t="s">
        <x:v>4056</x:v>
      </x:c>
      <x:c r="C765" t="s">
        <x:v>4621</x:v>
      </x:c>
      <x:c r="D765" t="s">
        <x:v>29</x:v>
      </x:c>
      <x:c r="E765" t="s">
        <x:v>4622</x:v>
      </x:c>
      <x:c r="F765" t="s">
        <x:v>31</x:v>
      </x:c>
      <x:c r="G765" t="s">
        <x:v>4623</x:v>
      </x:c>
      <x:c r="H765" t="s">
        <x:v>4624</x:v>
      </x:c>
      <x:c r="I765" t="s">
        <x:v>4625</x:v>
      </x:c>
      <x:c r="J765" t="s">
        <x:v>1326</x:v>
      </x:c>
      <x:c r="K765" t="s">
        <x:v>36</x:v>
      </x:c>
      <x:c r="L765" t="s">
        <x:v>37</x:v>
      </x:c>
      <x:c r="M765" t="s">
        <x:v>4626</x:v>
      </x:c>
      <x:c r="N765" t="s">
        <x:v>4627</x:v>
      </x:c>
      <x:c r="O765" t="s">
        <x:v>4624</x:v>
      </x:c>
      <x:c r="P765" t="s">
        <x:v>4628</x:v>
      </x:c>
      <x:c r="Q765" t="s">
        <x:v>131</x:v>
      </x:c>
      <x:c r="R765">
        <x:v>1</x:v>
      </x:c>
      <x:c r="S765" t="s">
        <x:v>42</x:v>
      </x:c>
      <x:c r="T765" t="s">
        <x:v>44</x:v>
      </x:c>
      <x:c r="U765" t="s">
        <x:v>44</x:v>
      </x:c>
      <x:c r="V765" t="s">
        <x:v>532</x:v>
      </x:c>
      <x:c r="W765" t="s">
        <x:v>1980</x:v>
      </x:c>
      <x:c r="X765">
        <x:v>152.54</x:v>
      </x:c>
      <x:c r="Y765" t="s">
        <x:v>47</x:v>
      </x:c>
      <x:c r="Z765" t="s">
        <x:v>48</x:v>
      </x:c>
      <x:c r="AA765" t="s">
        <x:v>535</x:v>
      </x:c>
      <x:c r="AB765">
        <x:v>999111362</x:v>
      </x:c>
      <x:c r="AC765" t="s">
        <x:v>1330</x:v>
      </x:c>
      <x:c r="AD765">
        <x:v>30</x:v>
      </x:c>
    </x:row>
    <x:row r="766">
      <x:c r="A766" s="1">
        <x:v>46294</x:v>
      </x:c>
      <x:c r="B766" t="s">
        <x:v>4056</x:v>
      </x:c>
      <x:c r="C766" t="s">
        <x:v>4645</x:v>
      </x:c>
      <x:c r="D766" t="s">
        <x:v>29</x:v>
      </x:c>
      <x:c r="E766" t="s">
        <x:v>4646</x:v>
      </x:c>
      <x:c r="F766" t="s">
        <x:v>31</x:v>
      </x:c>
      <x:c r="G766" t="s">
        <x:v>4647</x:v>
      </x:c>
      <x:c r="H766" t="s">
        <x:v>4648</x:v>
      </x:c>
      <x:c r="I766" t="s">
        <x:v>4649</x:v>
      </x:c>
      <x:c r="J766" t="s">
        <x:v>776</x:v>
      </x:c>
      <x:c r="K766" t="s">
        <x:v>777</x:v>
      </x:c>
      <x:c r="L766" t="s">
        <x:v>37</x:v>
      </x:c>
      <x:c r="M766" t="s">
        <x:v>4650</x:v>
      </x:c>
      <x:c r="N766" t="s">
        <x:v>4651</x:v>
      </x:c>
      <x:c r="O766" t="s">
        <x:v>4648</x:v>
      </x:c>
      <x:c r="P766" t="s">
        <x:v>4652</x:v>
      </x:c>
      <x:c r="Q766" t="s">
        <x:v>643</x:v>
      </x:c>
      <x:c r="R766">
        <x:v>1</x:v>
      </x:c>
      <x:c r="S766" t="s">
        <x:v>42</x:v>
      </x:c>
      <x:c r="T766" t="s">
        <x:v>44</x:v>
      </x:c>
      <x:c r="U766" t="s">
        <x:v>44</x:v>
      </x:c>
      <x:c r="V766" t="s">
        <x:v>45</x:v>
      </x:c>
      <x:c r="W766" t="s">
        <x:v>46</x:v>
      </x:c>
      <x:c r="X766">
        <x:v>84.75</x:v>
      </x:c>
      <x:c r="Y766" t="s">
        <x:v>47</x:v>
      </x:c>
      <x:c r="Z766" t="s">
        <x:v>48</x:v>
      </x:c>
      <x:c r="AA766" t="s">
        <x:v>49</x:v>
      </x:c>
    </x:row>
    <x:row r="767">
      <x:c r="A767" s="1">
        <x:v>46294</x:v>
      </x:c>
      <x:c r="B767" t="s">
        <x:v>4056</x:v>
      </x:c>
      <x:c r="C767" t="s">
        <x:v>4653</x:v>
      </x:c>
      <x:c r="D767" t="s">
        <x:v>29</x:v>
      </x:c>
      <x:c r="E767" t="s">
        <x:v>4654</x:v>
      </x:c>
      <x:c r="F767" t="s">
        <x:v>31</x:v>
      </x:c>
      <x:c r="G767" t="s">
        <x:v>4655</x:v>
      </x:c>
      <x:c r="H767" t="s">
        <x:v>4656</x:v>
      </x:c>
      <x:c r="I767" t="s">
        <x:v>4657</x:v>
      </x:c>
      <x:c r="J767" t="s">
        <x:v>776</x:v>
      </x:c>
      <x:c r="K767" t="s">
        <x:v>777</x:v>
      </x:c>
      <x:c r="L767" t="s">
        <x:v>37</x:v>
      </x:c>
      <x:c r="M767" t="s">
        <x:v>4658</x:v>
      </x:c>
      <x:c r="N767" t="s">
        <x:v>4659</x:v>
      </x:c>
      <x:c r="O767" t="s">
        <x:v>4656</x:v>
      </x:c>
      <x:c r="P767" t="s">
        <x:v>4660</x:v>
      </x:c>
      <x:c r="Q767" t="s">
        <x:v>203</x:v>
      </x:c>
      <x:c r="R767">
        <x:v>1</x:v>
      </x:c>
      <x:c r="S767" t="s">
        <x:v>42</x:v>
      </x:c>
      <x:c r="T767" t="s">
        <x:v>44</x:v>
      </x:c>
      <x:c r="U767" t="s">
        <x:v>44</x:v>
      </x:c>
      <x:c r="V767" t="s">
        <x:v>45</x:v>
      </x:c>
      <x:c r="W767" t="s">
        <x:v>60</x:v>
      </x:c>
      <x:c r="X767">
        <x:v>42.37</x:v>
      </x:c>
      <x:c r="Y767" t="s">
        <x:v>47</x:v>
      </x:c>
      <x:c r="Z767" t="s">
        <x:v>48</x:v>
      </x:c>
      <x:c r="AA767" t="s">
        <x:v>49</x:v>
      </x:c>
      <x:c r="AD767">
        <x:v>30</x:v>
      </x:c>
    </x:row>
    <x:row r="768">
      <x:c r="A768" s="1">
        <x:v>46294</x:v>
      </x:c>
      <x:c r="B768" t="s">
        <x:v>4056</x:v>
      </x:c>
      <x:c r="C768" t="s">
        <x:v>4653</x:v>
      </x:c>
      <x:c r="D768" t="s">
        <x:v>29</x:v>
      </x:c>
      <x:c r="E768" t="s">
        <x:v>4654</x:v>
      </x:c>
      <x:c r="F768" t="s">
        <x:v>31</x:v>
      </x:c>
      <x:c r="G768" t="s">
        <x:v>4655</x:v>
      </x:c>
      <x:c r="H768" t="s">
        <x:v>4656</x:v>
      </x:c>
      <x:c r="I768" t="s">
        <x:v>4657</x:v>
      </x:c>
      <x:c r="J768" t="s">
        <x:v>776</x:v>
      </x:c>
      <x:c r="K768" t="s">
        <x:v>777</x:v>
      </x:c>
      <x:c r="L768" t="s">
        <x:v>37</x:v>
      </x:c>
      <x:c r="M768" t="s">
        <x:v>4658</x:v>
      </x:c>
      <x:c r="N768" t="s">
        <x:v>4659</x:v>
      </x:c>
      <x:c r="O768" t="s">
        <x:v>4656</x:v>
      </x:c>
      <x:c r="P768" t="s">
        <x:v>4660</x:v>
      </x:c>
      <x:c r="Q768" t="s">
        <x:v>202</x:v>
      </x:c>
      <x:c r="R768">
        <x:v>1</x:v>
      </x:c>
      <x:c r="S768" t="s">
        <x:v>42</x:v>
      </x:c>
      <x:c r="T768" t="s">
        <x:v>44</x:v>
      </x:c>
      <x:c r="U768" t="s">
        <x:v>44</x:v>
      </x:c>
      <x:c r="V768" t="s">
        <x:v>45</x:v>
      </x:c>
      <x:c r="W768" t="s">
        <x:v>60</x:v>
      </x:c>
      <x:c r="X768">
        <x:v>42.37</x:v>
      </x:c>
      <x:c r="Y768" t="s">
        <x:v>47</x:v>
      </x:c>
      <x:c r="Z768" t="s">
        <x:v>48</x:v>
      </x:c>
      <x:c r="AA768" t="s">
        <x:v>49</x:v>
      </x:c>
      <x:c r="AD768">
        <x:v>30</x:v>
      </x:c>
    </x:row>
    <x:row r="769">
      <x:c r="A769" s="1">
        <x:v>46294</x:v>
      </x:c>
      <x:c r="B769" t="s">
        <x:v>4056</x:v>
      </x:c>
      <x:c r="C769" t="s">
        <x:v>4661</x:v>
      </x:c>
      <x:c r="D769" t="s">
        <x:v>29</x:v>
      </x:c>
      <x:c r="E769" t="s">
        <x:v>4662</x:v>
      </x:c>
      <x:c r="F769" t="s">
        <x:v>31</x:v>
      </x:c>
      <x:c r="G769" t="s">
        <x:v>4663</x:v>
      </x:c>
      <x:c r="H769" t="s">
        <x:v>4664</x:v>
      </x:c>
      <x:c r="I769" t="s">
        <x:v>4665</x:v>
      </x:c>
      <x:c r="J769" t="s">
        <x:v>1326</x:v>
      </x:c>
      <x:c r="K769" t="s">
        <x:v>36</x:v>
      </x:c>
      <x:c r="L769" t="s">
        <x:v>37</x:v>
      </x:c>
      <x:c r="M769" t="s">
        <x:v>4666</x:v>
      </x:c>
      <x:c r="N769" t="s">
        <x:v>4667</x:v>
      </x:c>
      <x:c r="O769" t="s">
        <x:v>4664</x:v>
      </x:c>
      <x:c r="P769" t="s">
        <x:v>4668</x:v>
      </x:c>
      <x:c r="Q769" t="s">
        <x:v>102</x:v>
      </x:c>
      <x:c r="R769">
        <x:v>1</x:v>
      </x:c>
      <x:c r="S769" t="s">
        <x:v>42</x:v>
      </x:c>
      <x:c r="T769" t="s">
        <x:v>44</x:v>
      </x:c>
      <x:c r="U769" t="s">
        <x:v>44</x:v>
      </x:c>
      <x:c r="V769" t="s">
        <x:v>45</x:v>
      </x:c>
      <x:c r="W769" t="s">
        <x:v>60</x:v>
      </x:c>
      <x:c r="X769">
        <x:v>186.44</x:v>
      </x:c>
      <x:c r="Y769" t="s">
        <x:v>47</x:v>
      </x:c>
      <x:c r="Z769" t="s">
        <x:v>48</x:v>
      </x:c>
      <x:c r="AA769" t="s">
        <x:v>49</x:v>
      </x:c>
      <x:c r="AB769">
        <x:v>999111362</x:v>
      </x:c>
      <x:c r="AC769" t="s">
        <x:v>1330</x:v>
      </x:c>
      <x:c r="AD769">
        <x:v>50</x:v>
      </x:c>
    </x:row>
    <x:row r="770">
      <x:c r="A770" s="1">
        <x:v>46294</x:v>
      </x:c>
      <x:c r="B770" t="s">
        <x:v>4056</x:v>
      </x:c>
      <x:c r="C770" t="s">
        <x:v>4661</x:v>
      </x:c>
      <x:c r="D770" t="s">
        <x:v>29</x:v>
      </x:c>
      <x:c r="E770" t="s">
        <x:v>4662</x:v>
      </x:c>
      <x:c r="F770" t="s">
        <x:v>31</x:v>
      </x:c>
      <x:c r="G770" t="s">
        <x:v>4663</x:v>
      </x:c>
      <x:c r="H770" t="s">
        <x:v>4664</x:v>
      </x:c>
      <x:c r="I770" t="s">
        <x:v>4665</x:v>
      </x:c>
      <x:c r="J770" t="s">
        <x:v>1326</x:v>
      </x:c>
      <x:c r="K770" t="s">
        <x:v>36</x:v>
      </x:c>
      <x:c r="L770" t="s">
        <x:v>37</x:v>
      </x:c>
      <x:c r="M770" t="s">
        <x:v>4666</x:v>
      </x:c>
      <x:c r="N770" t="s">
        <x:v>4667</x:v>
      </x:c>
      <x:c r="O770" t="s">
        <x:v>4664</x:v>
      </x:c>
      <x:c r="P770" t="s">
        <x:v>4668</x:v>
      </x:c>
      <x:c r="Q770" t="s">
        <x:v>41</x:v>
      </x:c>
      <x:c r="R770">
        <x:v>1</x:v>
      </x:c>
      <x:c r="S770" t="s">
        <x:v>42</x:v>
      </x:c>
      <x:c r="T770" t="s">
        <x:v>44</x:v>
      </x:c>
      <x:c r="U770" t="s">
        <x:v>44</x:v>
      </x:c>
      <x:c r="V770" t="s">
        <x:v>45</x:v>
      </x:c>
      <x:c r="W770" t="s">
        <x:v>60</x:v>
      </x:c>
      <x:c r="X770">
        <x:v>186.44</x:v>
      </x:c>
      <x:c r="Y770" t="s">
        <x:v>47</x:v>
      </x:c>
      <x:c r="Z770" t="s">
        <x:v>48</x:v>
      </x:c>
      <x:c r="AA770" t="s">
        <x:v>49</x:v>
      </x:c>
      <x:c r="AB770">
        <x:v>999111362</x:v>
      </x:c>
      <x:c r="AC770" t="s">
        <x:v>1330</x:v>
      </x:c>
      <x:c r="AD770">
        <x:v>50</x:v>
      </x:c>
    </x:row>
    <x:row r="771">
      <x:c r="A771" s="1">
        <x:v>46294</x:v>
      </x:c>
      <x:c r="B771" t="s">
        <x:v>4056</x:v>
      </x:c>
      <x:c r="C771" t="s">
        <x:v>4661</x:v>
      </x:c>
      <x:c r="D771" t="s">
        <x:v>29</x:v>
      </x:c>
      <x:c r="E771" t="s">
        <x:v>4662</x:v>
      </x:c>
      <x:c r="F771" t="s">
        <x:v>31</x:v>
      </x:c>
      <x:c r="G771" t="s">
        <x:v>4663</x:v>
      </x:c>
      <x:c r="H771" t="s">
        <x:v>4664</x:v>
      </x:c>
      <x:c r="I771" t="s">
        <x:v>4665</x:v>
      </x:c>
      <x:c r="J771" t="s">
        <x:v>1326</x:v>
      </x:c>
      <x:c r="K771" t="s">
        <x:v>36</x:v>
      </x:c>
      <x:c r="L771" t="s">
        <x:v>37</x:v>
      </x:c>
      <x:c r="M771" t="s">
        <x:v>4666</x:v>
      </x:c>
      <x:c r="N771" t="s">
        <x:v>4667</x:v>
      </x:c>
      <x:c r="O771" t="s">
        <x:v>4664</x:v>
      </x:c>
      <x:c r="P771" t="s">
        <x:v>4668</x:v>
      </x:c>
      <x:c r="Q771" t="s">
        <x:v>160</x:v>
      </x:c>
      <x:c r="R771">
        <x:v>1</x:v>
      </x:c>
      <x:c r="S771" t="s">
        <x:v>42</x:v>
      </x:c>
      <x:c r="T771" t="s">
        <x:v>44</x:v>
      </x:c>
      <x:c r="U771" t="s">
        <x:v>44</x:v>
      </x:c>
      <x:c r="V771" t="s">
        <x:v>45</x:v>
      </x:c>
      <x:c r="W771" t="s">
        <x:v>60</x:v>
      </x:c>
      <x:c r="X771">
        <x:v>135.59</x:v>
      </x:c>
      <x:c r="Y771" t="s">
        <x:v>47</x:v>
      </x:c>
      <x:c r="Z771" t="s">
        <x:v>48</x:v>
      </x:c>
      <x:c r="AA771" t="s">
        <x:v>49</x:v>
      </x:c>
      <x:c r="AB771">
        <x:v>999111362</x:v>
      </x:c>
      <x:c r="AC771" t="s">
        <x:v>1330</x:v>
      </x:c>
      <x:c r="AD771">
        <x:v>30</x:v>
      </x:c>
    </x:row>
    <x:row r="772">
      <x:c r="A772" s="1">
        <x:v>46294</x:v>
      </x:c>
      <x:c r="B772" t="s">
        <x:v>4056</x:v>
      </x:c>
      <x:c r="C772" t="s">
        <x:v>4669</x:v>
      </x:c>
      <x:c r="D772" t="s">
        <x:v>269</x:v>
      </x:c>
      <x:c r="E772" t="s">
        <x:v>4670</x:v>
      </x:c>
      <x:c r="F772" t="s">
        <x:v>31</x:v>
      </x:c>
      <x:c r="G772" t="s">
        <x:v>4671</x:v>
      </x:c>
      <x:c r="H772" t="s">
        <x:v>4672</x:v>
      </x:c>
      <x:c r="I772" t="s">
        <x:v>4673</x:v>
      </x:c>
      <x:c r="J772" t="s">
        <x:v>274</x:v>
      </x:c>
      <x:c r="K772" t="s">
        <x:v>275</x:v>
      </x:c>
      <x:c r="L772" t="s">
        <x:v>37</x:v>
      </x:c>
      <x:c r="M772" t="s">
        <x:v>4674</x:v>
      </x:c>
      <x:c r="N772" t="s">
        <x:v>610</x:v>
      </x:c>
      <x:c r="O772" t="s">
        <x:v>278</x:v>
      </x:c>
      <x:c r="P772" t="s">
        <x:v>4675</x:v>
      </x:c>
      <x:c r="Q772" t="s">
        <x:v>289</x:v>
      </x:c>
      <x:c r="R772">
        <x:v>1</x:v>
      </x:c>
      <x:c r="S772" t="s">
        <x:v>42</x:v>
      </x:c>
      <x:c r="T772" t="s">
        <x:v>44</x:v>
      </x:c>
      <x:c r="U772" t="s">
        <x:v>44</x:v>
      </x:c>
      <x:c r="V772" t="s">
        <x:v>45</x:v>
      </x:c>
      <x:c r="W772" t="s">
        <x:v>46</x:v>
      </x:c>
      <x:c r="X772">
        <x:v>0</x:v>
      </x:c>
      <x:c r="Y772" t="s">
        <x:v>290</x:v>
      </x:c>
      <x:c r="Z772" t="s">
        <x:v>48</x:v>
      </x:c>
      <x:c r="AA772" t="s">
        <x:v>49</x:v>
      </x:c>
      <x:c r="AB772">
        <x:v>950133748</x:v>
      </x:c>
      <x:c r="AC772" t="s">
        <x:v>280</x:v>
      </x:c>
    </x:row>
    <x:row r="773">
      <x:c r="A773" s="1">
        <x:v>46294</x:v>
      </x:c>
      <x:c r="B773" t="s">
        <x:v>4056</x:v>
      </x:c>
      <x:c r="C773" t="s">
        <x:v>4669</x:v>
      </x:c>
      <x:c r="D773" t="s">
        <x:v>269</x:v>
      </x:c>
      <x:c r="E773" t="s">
        <x:v>4670</x:v>
      </x:c>
      <x:c r="F773" t="s">
        <x:v>31</x:v>
      </x:c>
      <x:c r="G773" t="s">
        <x:v>4671</x:v>
      </x:c>
      <x:c r="H773" t="s">
        <x:v>4672</x:v>
      </x:c>
      <x:c r="I773" t="s">
        <x:v>4673</x:v>
      </x:c>
      <x:c r="J773" t="s">
        <x:v>274</x:v>
      </x:c>
      <x:c r="K773" t="s">
        <x:v>275</x:v>
      </x:c>
      <x:c r="L773" t="s">
        <x:v>37</x:v>
      </x:c>
      <x:c r="M773" t="s">
        <x:v>4674</x:v>
      </x:c>
      <x:c r="N773" t="s">
        <x:v>610</x:v>
      </x:c>
      <x:c r="O773" t="s">
        <x:v>278</x:v>
      </x:c>
      <x:c r="P773" t="s">
        <x:v>4675</x:v>
      </x:c>
      <x:c r="Q773" t="s">
        <x:v>291</x:v>
      </x:c>
      <x:c r="R773">
        <x:v>1</x:v>
      </x:c>
      <x:c r="S773" t="s">
        <x:v>42</x:v>
      </x:c>
      <x:c r="T773" t="s">
        <x:v>44</x:v>
      </x:c>
      <x:c r="U773" t="s">
        <x:v>44</x:v>
      </x:c>
      <x:c r="V773" t="s">
        <x:v>45</x:v>
      </x:c>
      <x:c r="W773" t="s">
        <x:v>46</x:v>
      </x:c>
      <x:c r="X773">
        <x:v>1050.8499999999999</x:v>
      </x:c>
      <x:c r="Y773" t="s">
        <x:v>290</x:v>
      </x:c>
      <x:c r="Z773" t="s">
        <x:v>48</x:v>
      </x:c>
      <x:c r="AA773" t="s">
        <x:v>49</x:v>
      </x:c>
      <x:c r="AB773">
        <x:v>950133748</x:v>
      </x:c>
      <x:c r="AC773" t="s">
        <x:v>280</x:v>
      </x:c>
    </x:row>
    <x:row r="774">
      <x:c r="A774" s="1">
        <x:v>46294</x:v>
      </x:c>
      <x:c r="B774" t="s">
        <x:v>4056</x:v>
      </x:c>
      <x:c r="C774" t="s">
        <x:v>4676</x:v>
      </x:c>
      <x:c r="D774" t="s">
        <x:v>269</x:v>
      </x:c>
      <x:c r="E774" t="s">
        <x:v>4677</x:v>
      </x:c>
      <x:c r="F774" t="s">
        <x:v>31</x:v>
      </x:c>
      <x:c r="G774" t="s">
        <x:v>4678</x:v>
      </x:c>
      <x:c r="H774" t="s">
        <x:v>4656</x:v>
      </x:c>
      <x:c r="I774" t="s">
        <x:v>4657</x:v>
      </x:c>
      <x:c r="J774" t="s">
        <x:v>776</x:v>
      </x:c>
      <x:c r="K774" t="s">
        <x:v>777</x:v>
      </x:c>
      <x:c r="L774" t="s">
        <x:v>37</x:v>
      </x:c>
      <x:c r="M774" t="s">
        <x:v>4658</x:v>
      </x:c>
      <x:c r="N774" t="s">
        <x:v>4659</x:v>
      </x:c>
      <x:c r="O774" t="s">
        <x:v>800</x:v>
      </x:c>
      <x:c r="P774" t="s">
        <x:v>4679</x:v>
      </x:c>
      <x:c r="Q774" t="s">
        <x:v>291</x:v>
      </x:c>
      <x:c r="R774">
        <x:v>1</x:v>
      </x:c>
      <x:c r="S774" t="s">
        <x:v>42</x:v>
      </x:c>
      <x:c r="T774" t="s">
        <x:v>44</x:v>
      </x:c>
      <x:c r="U774" t="s">
        <x:v>44</x:v>
      </x:c>
      <x:c r="V774" t="s">
        <x:v>45</x:v>
      </x:c>
      <x:c r="W774" t="s">
        <x:v>46</x:v>
      </x:c>
      <x:c r="X774">
        <x:v>762.71</x:v>
      </x:c>
      <x:c r="Y774" t="s">
        <x:v>290</x:v>
      </x:c>
      <x:c r="Z774" t="s">
        <x:v>48</x:v>
      </x:c>
      <x:c r="AA774" t="s">
        <x:v>49</x:v>
      </x:c>
    </x:row>
    <x:row r="775">
      <x:c r="A775" s="1">
        <x:v>46294</x:v>
      </x:c>
      <x:c r="B775" t="s">
        <x:v>4056</x:v>
      </x:c>
      <x:c r="C775" t="s">
        <x:v>4676</x:v>
      </x:c>
      <x:c r="D775" t="s">
        <x:v>269</x:v>
      </x:c>
      <x:c r="E775" t="s">
        <x:v>4677</x:v>
      </x:c>
      <x:c r="F775" t="s">
        <x:v>31</x:v>
      </x:c>
      <x:c r="G775" t="s">
        <x:v>4678</x:v>
      </x:c>
      <x:c r="H775" t="s">
        <x:v>4656</x:v>
      </x:c>
      <x:c r="I775" t="s">
        <x:v>4657</x:v>
      </x:c>
      <x:c r="J775" t="s">
        <x:v>776</x:v>
      </x:c>
      <x:c r="K775" t="s">
        <x:v>777</x:v>
      </x:c>
      <x:c r="L775" t="s">
        <x:v>37</x:v>
      </x:c>
      <x:c r="M775" t="s">
        <x:v>4658</x:v>
      </x:c>
      <x:c r="N775" t="s">
        <x:v>4659</x:v>
      </x:c>
      <x:c r="O775" t="s">
        <x:v>800</x:v>
      </x:c>
      <x:c r="P775" t="s">
        <x:v>4679</x:v>
      </x:c>
      <x:c r="Q775" t="s">
        <x:v>289</x:v>
      </x:c>
      <x:c r="R775">
        <x:v>1</x:v>
      </x:c>
      <x:c r="S775" t="s">
        <x:v>42</x:v>
      </x:c>
      <x:c r="T775" t="s">
        <x:v>44</x:v>
      </x:c>
      <x:c r="U775" t="s">
        <x:v>44</x:v>
      </x:c>
      <x:c r="V775" t="s">
        <x:v>45</x:v>
      </x:c>
      <x:c r="W775" t="s">
        <x:v>46</x:v>
      </x:c>
      <x:c r="X775">
        <x:v>0</x:v>
      </x:c>
      <x:c r="Y775" t="s">
        <x:v>290</x:v>
      </x:c>
      <x:c r="Z775" t="s">
        <x:v>48</x:v>
      </x:c>
      <x:c r="AA775" t="s">
        <x:v>49</x:v>
      </x:c>
    </x:row>
    <x:row r="776">
      <x:c r="A776" s="1">
        <x:v>46294</x:v>
      </x:c>
      <x:c r="B776" t="s">
        <x:v>4056</x:v>
      </x:c>
      <x:c r="C776" t="s">
        <x:v>4680</x:v>
      </x:c>
      <x:c r="D776" t="s">
        <x:v>269</x:v>
      </x:c>
      <x:c r="E776" t="s">
        <x:v>4681</x:v>
      </x:c>
      <x:c r="F776" t="s">
        <x:v>31</x:v>
      </x:c>
      <x:c r="G776" t="s">
        <x:v>4682</x:v>
      </x:c>
      <x:c r="H776" t="s">
        <x:v>4683</x:v>
      </x:c>
      <x:c r="I776" t="s">
        <x:v>4684</x:v>
      </x:c>
      <x:c r="J776" t="s">
        <x:v>1145</x:v>
      </x:c>
      <x:c r="K776" t="s">
        <x:v>366</x:v>
      </x:c>
      <x:c r="L776" t="s">
        <x:v>37</x:v>
      </x:c>
      <x:c r="M776" t="s">
        <x:v>4685</x:v>
      </x:c>
      <x:c r="N776" t="s">
        <x:v>4686</x:v>
      </x:c>
      <x:c r="O776" t="s">
        <x:v>4687</x:v>
      </x:c>
      <x:c r="P776" t="s">
        <x:v>4688</x:v>
      </x:c>
      <x:c r="Q776" t="s">
        <x:v>91</x:v>
      </x:c>
      <x:c r="R776">
        <x:v>1</x:v>
      </x:c>
      <x:c r="S776" t="s">
        <x:v>42</x:v>
      </x:c>
      <x:c r="T776" t="s">
        <x:v>44</x:v>
      </x:c>
      <x:c r="U776" t="s">
        <x:v>44</x:v>
      </x:c>
      <x:c r="V776" t="s">
        <x:v>45</x:v>
      </x:c>
      <x:c r="W776" t="s">
        <x:v>46</x:v>
      </x:c>
      <x:c r="X776">
        <x:v>135.59</x:v>
      </x:c>
      <x:c r="Y776" t="s">
        <x:v>47</x:v>
      </x:c>
      <x:c r="Z776" t="s">
        <x:v>48</x:v>
      </x:c>
      <x:c r="AA776" t="s">
        <x:v>49</x:v>
      </x:c>
      <x:c r="AB776">
        <x:v>995833213</x:v>
      </x:c>
      <x:c r="AC776" t="s">
        <x:v>1149</x:v>
      </x:c>
      <x:c r="AD776">
        <x:v>30</x:v>
      </x:c>
    </x:row>
    <x:row r="777">
      <x:c r="A777" s="1">
        <x:v>46294</x:v>
      </x:c>
      <x:c r="B777" t="s">
        <x:v>4056</x:v>
      </x:c>
      <x:c r="C777" t="s">
        <x:v>4689</x:v>
      </x:c>
      <x:c r="D777" t="s">
        <x:v>400</x:v>
      </x:c>
      <x:c r="E777" t="s">
        <x:v>4681</x:v>
      </x:c>
      <x:c r="F777" t="s">
        <x:v>401</x:v>
      </x:c>
      <x:c r="G777" t="s">
        <x:v>4690</x:v>
      </x:c>
      <x:c r="H777" t="s">
        <x:v>4683</x:v>
      </x:c>
      <x:c r="I777" t="s">
        <x:v>4684</x:v>
      </x:c>
      <x:c r="J777" t="s">
        <x:v>1145</x:v>
      </x:c>
      <x:c r="K777" t="s">
        <x:v>366</x:v>
      </x:c>
      <x:c r="L777" t="s">
        <x:v>401</x:v>
      </x:c>
      <x:c r="M777" t="s">
        <x:v>4685</x:v>
      </x:c>
      <x:c r="N777" t="s">
        <x:v>4686</x:v>
      </x:c>
      <x:c r="O777" t="s">
        <x:v>4687</x:v>
      </x:c>
      <x:c r="P777" t="s">
        <x:v>4688</x:v>
      </x:c>
      <x:c r="Q777" t="s">
        <x:v>91</x:v>
      </x:c>
      <x:c r="R777">
        <x:v>1</x:v>
      </x:c>
      <x:c r="S777" t="s">
        <x:v>42</x:v>
      </x:c>
      <x:c r="T777" t="s">
        <x:v>44</x:v>
      </x:c>
      <x:c r="U777" t="s">
        <x:v>44</x:v>
      </x:c>
      <x:c r="V777" t="s">
        <x:v>45</x:v>
      </x:c>
      <x:c r="W777" t="s">
        <x:v>46</x:v>
      </x:c>
      <x:c r="X777">
        <x:v>-135.59</x:v>
      </x:c>
      <x:c r="Y777" t="s">
        <x:v>47</x:v>
      </x:c>
      <x:c r="Z777" t="s">
        <x:v>48</x:v>
      </x:c>
      <x:c r="AA777" t="s">
        <x:v>49</x:v>
      </x:c>
      <x:c r="AB777">
        <x:v>995833213</x:v>
      </x:c>
      <x:c r="AC777" t="s">
        <x:v>1149</x:v>
      </x:c>
      <x:c r="AD777">
        <x:v>30</x:v>
      </x:c>
    </x:row>
    <x:row r="778">
      <x:c r="A778" s="1">
        <x:v>46294</x:v>
      </x:c>
      <x:c r="B778" t="s">
        <x:v>4056</x:v>
      </x:c>
      <x:c r="C778" t="s">
        <x:v>4691</x:v>
      </x:c>
      <x:c r="D778" t="s">
        <x:v>29</x:v>
      </x:c>
      <x:c r="E778" t="s">
        <x:v>4692</x:v>
      </x:c>
      <x:c r="F778" t="s">
        <x:v>31</x:v>
      </x:c>
      <x:c r="G778" t="s">
        <x:v>4693</x:v>
      </x:c>
      <x:c r="H778" t="s">
        <x:v>4694</x:v>
      </x:c>
      <x:c r="I778" t="s">
        <x:v>4695</x:v>
      </x:c>
      <x:c r="J778" t="s">
        <x:v>1877</x:v>
      </x:c>
      <x:c r="L778" t="s">
        <x:v>37</x:v>
      </x:c>
      <x:c r="M778" t="s">
        <x:v>4696</x:v>
      </x:c>
      <x:c r="N778" t="s">
        <x:v>4697</x:v>
      </x:c>
      <x:c r="O778" t="s">
        <x:v>4694</x:v>
      </x:c>
      <x:c r="P778" t="s">
        <x:v>4698</x:v>
      </x:c>
      <x:c r="Q778" t="s">
        <x:v>131</x:v>
      </x:c>
      <x:c r="R778">
        <x:v>1</x:v>
      </x:c>
      <x:c r="S778" t="s">
        <x:v>42</x:v>
      </x:c>
      <x:c r="T778" t="s">
        <x:v>44</x:v>
      </x:c>
      <x:c r="U778" t="s">
        <x:v>44</x:v>
      </x:c>
      <x:c r="V778" t="s">
        <x:v>45</x:v>
      </x:c>
      <x:c r="W778" t="s">
        <x:v>46</x:v>
      </x:c>
      <x:c r="X778">
        <x:v>152.54</x:v>
      </x:c>
      <x:c r="Y778" t="s">
        <x:v>47</x:v>
      </x:c>
      <x:c r="Z778" t="s">
        <x:v>48</x:v>
      </x:c>
      <x:c r="AA778" t="s">
        <x:v>49</x:v>
      </x:c>
      <x:c r="AD778">
        <x:v>30</x:v>
      </x:c>
    </x:row>
    <x:row r="779">
      <x:c r="A779" s="1">
        <x:v>46295</x:v>
      </x:c>
      <x:c r="B779" t="s">
        <x:v>4056</x:v>
      </x:c>
      <x:c r="C779" t="s">
        <x:v>4699</x:v>
      </x:c>
      <x:c r="D779" t="s">
        <x:v>269</x:v>
      </x:c>
      <x:c r="E779" t="s">
        <x:v>4700</x:v>
      </x:c>
      <x:c r="F779" t="s">
        <x:v>31</x:v>
      </x:c>
      <x:c r="G779" t="s">
        <x:v>4701</x:v>
      </x:c>
      <x:c r="H779" t="s">
        <x:v>4702</x:v>
      </x:c>
      <x:c r="I779" t="s">
        <x:v>4703</x:v>
      </x:c>
      <x:c r="J779" t="s">
        <x:v>3166</x:v>
      </x:c>
      <x:c r="K779" t="s">
        <x:v>2600</x:v>
      </x:c>
      <x:c r="L779" t="s">
        <x:v>37</x:v>
      </x:c>
      <x:c r="M779" t="s">
        <x:v>4704</x:v>
      </x:c>
      <x:c r="N779" t="s">
        <x:v>4705</x:v>
      </x:c>
      <x:c r="O779" t="s">
        <x:v>4706</x:v>
      </x:c>
      <x:c r="P779" t="s">
        <x:v>4707</x:v>
      </x:c>
      <x:c r="Q779" t="s">
        <x:v>102</x:v>
      </x:c>
      <x:c r="R779">
        <x:v>1</x:v>
      </x:c>
      <x:c r="S779" t="s">
        <x:v>42</x:v>
      </x:c>
      <x:c r="T779" t="s">
        <x:v>44</x:v>
      </x:c>
      <x:c r="U779" t="s">
        <x:v>44</x:v>
      </x:c>
      <x:c r="V779" t="s">
        <x:v>45</x:v>
      </x:c>
      <x:c r="W779" t="s">
        <x:v>46</x:v>
      </x:c>
      <x:c r="X779">
        <x:v>186.44</x:v>
      </x:c>
      <x:c r="Y779" t="s">
        <x:v>47</x:v>
      </x:c>
      <x:c r="Z779" t="s">
        <x:v>48</x:v>
      </x:c>
      <x:c r="AA779" t="s">
        <x:v>49</x:v>
      </x:c>
      <x:c r="AB779">
        <x:v>973914900</x:v>
      </x:c>
      <x:c r="AC779" t="s">
        <x:v>3167</x:v>
      </x:c>
      <x:c r="AD779">
        <x:v>50</x:v>
      </x:c>
    </x:row>
    <x:row r="780">
      <x:c r="A780" s="1">
        <x:v>46295</x:v>
      </x:c>
      <x:c r="B780" t="s">
        <x:v>4056</x:v>
      </x:c>
      <x:c r="C780" t="s">
        <x:v>4708</x:v>
      </x:c>
      <x:c r="D780" t="s">
        <x:v>29</x:v>
      </x:c>
      <x:c r="E780" t="s">
        <x:v>4709</x:v>
      </x:c>
      <x:c r="F780" t="s">
        <x:v>31</x:v>
      </x:c>
      <x:c r="G780" t="s">
        <x:v>4710</x:v>
      </x:c>
      <x:c r="H780" t="s">
        <x:v>4711</x:v>
      </x:c>
      <x:c r="I780" t="s">
        <x:v>4712</x:v>
      </x:c>
      <x:c r="J780" t="s">
        <x:v>1326</x:v>
      </x:c>
      <x:c r="K780" t="s">
        <x:v>36</x:v>
      </x:c>
      <x:c r="L780" t="s">
        <x:v>37</x:v>
      </x:c>
      <x:c r="M780" t="s">
        <x:v>4713</x:v>
      </x:c>
      <x:c r="N780" t="s">
        <x:v>4714</x:v>
      </x:c>
      <x:c r="O780" t="s">
        <x:v>4711</x:v>
      </x:c>
      <x:c r="P780" t="s">
        <x:v>4715</x:v>
      </x:c>
      <x:c r="Q780" t="s">
        <x:v>160</x:v>
      </x:c>
      <x:c r="R780">
        <x:v>1</x:v>
      </x:c>
      <x:c r="S780" t="s">
        <x:v>42</x:v>
      </x:c>
      <x:c r="T780" t="s">
        <x:v>44</x:v>
      </x:c>
      <x:c r="U780" t="s">
        <x:v>44</x:v>
      </x:c>
      <x:c r="V780" t="s">
        <x:v>71</x:v>
      </x:c>
      <x:c r="W780" t="s">
        <x:v>185</x:v>
      </x:c>
      <x:c r="X780">
        <x:v>135.59</x:v>
      </x:c>
      <x:c r="Y780" t="s">
        <x:v>47</x:v>
      </x:c>
      <x:c r="Z780" t="s">
        <x:v>48</x:v>
      </x:c>
      <x:c r="AA780" t="s">
        <x:v>73</x:v>
      </x:c>
      <x:c r="AB780">
        <x:v>999111362</x:v>
      </x:c>
      <x:c r="AC780" t="s">
        <x:v>1330</x:v>
      </x:c>
      <x:c r="AD780">
        <x:v>30</x:v>
      </x:c>
    </x:row>
    <x:row r="781">
      <x:c r="A781" s="1">
        <x:v>46296</x:v>
      </x:c>
      <x:c r="B781" t="s">
        <x:v>4716</x:v>
      </x:c>
      <x:c r="C781" t="s">
        <x:v>4717</x:v>
      </x:c>
      <x:c r="D781" t="s">
        <x:v>29</x:v>
      </x:c>
      <x:c r="E781" t="s">
        <x:v>4718</x:v>
      </x:c>
      <x:c r="F781" t="s">
        <x:v>31</x:v>
      </x:c>
      <x:c r="G781" t="s">
        <x:v>4719</x:v>
      </x:c>
      <x:c r="H781" t="s">
        <x:v>4720</x:v>
      </x:c>
      <x:c r="I781" t="s">
        <x:v>4721</x:v>
      </x:c>
      <x:c r="L781" t="s">
        <x:v>37</x:v>
      </x:c>
      <x:c r="M781" t="s">
        <x:v>4722</x:v>
      </x:c>
      <x:c r="N781" t="s">
        <x:v>4723</x:v>
      </x:c>
      <x:c r="O781" t="s">
        <x:v>4720</x:v>
      </x:c>
      <x:c r="P781" t="s">
        <x:v>4724</x:v>
      </x:c>
      <x:c r="Q781" t="s">
        <x:v>91</x:v>
      </x:c>
      <x:c r="R781">
        <x:v>1</x:v>
      </x:c>
      <x:c r="S781" t="s">
        <x:v>70</x:v>
      </x:c>
      <x:c r="T781" t="s">
        <x:v>43</x:v>
      </x:c>
      <x:c r="U781" t="s">
        <x:v>44</x:v>
      </x:c>
      <x:c r="V781" t="s">
        <x:v>71</x:v>
      </x:c>
      <x:c r="W781" t="s">
        <x:v>185</x:v>
      </x:c>
      <x:c r="X781">
        <x:v>135.59</x:v>
      </x:c>
      <x:c r="Y781" t="s">
        <x:v>47</x:v>
      </x:c>
      <x:c r="Z781" t="s">
        <x:v>48</x:v>
      </x:c>
      <x:c r="AA781" t="s">
        <x:v>73</x:v>
      </x:c>
      <x:c r="AD781">
        <x:v>30</x:v>
      </x:c>
    </x:row>
    <x:row r="782">
      <x:c r="A782" s="1">
        <x:v>46296</x:v>
      </x:c>
      <x:c r="B782" t="s">
        <x:v>4716</x:v>
      </x:c>
      <x:c r="C782" t="s">
        <x:v>4725</x:v>
      </x:c>
      <x:c r="D782" t="s">
        <x:v>29</x:v>
      </x:c>
      <x:c r="E782" t="s">
        <x:v>4726</x:v>
      </x:c>
      <x:c r="F782" t="s">
        <x:v>31</x:v>
      </x:c>
      <x:c r="G782" t="s">
        <x:v>4727</x:v>
      </x:c>
      <x:c r="H782" t="s">
        <x:v>4728</x:v>
      </x:c>
      <x:c r="I782" t="s">
        <x:v>4729</x:v>
      </x:c>
      <x:c r="J782" t="s">
        <x:v>4730</x:v>
      </x:c>
      <x:c r="K782" t="s">
        <x:v>1878</x:v>
      </x:c>
      <x:c r="L782" t="s">
        <x:v>37</x:v>
      </x:c>
      <x:c r="M782" t="s">
        <x:v>4731</x:v>
      </x:c>
      <x:c r="N782" t="s">
        <x:v>4732</x:v>
      </x:c>
      <x:c r="O782" t="s">
        <x:v>4728</x:v>
      </x:c>
      <x:c r="P782" t="s">
        <x:v>4733</x:v>
      </x:c>
      <x:c r="Q782" t="s">
        <x:v>214</x:v>
      </x:c>
      <x:c r="R782">
        <x:v>1</x:v>
      </x:c>
      <x:c r="S782" t="s">
        <x:v>42</x:v>
      </x:c>
      <x:c r="T782" t="s">
        <x:v>44</x:v>
      </x:c>
      <x:c r="U782" t="s">
        <x:v>44</x:v>
      </x:c>
      <x:c r="V782" t="s">
        <x:v>45</x:v>
      </x:c>
      <x:c r="W782" t="s">
        <x:v>46</x:v>
      </x:c>
      <x:c r="X782">
        <x:v>254.24</x:v>
      </x:c>
      <x:c r="Y782" t="s">
        <x:v>61</x:v>
      </x:c>
      <x:c r="Z782" t="s">
        <x:v>48</x:v>
      </x:c>
      <x:c r="AA782" t="s">
        <x:v>49</x:v>
      </x:c>
      <x:c r="AB782">
        <x:v>901918745</x:v>
      </x:c>
    </x:row>
    <x:row r="783">
      <x:c r="A783" s="1">
        <x:v>46297</x:v>
      </x:c>
      <x:c r="B783" t="s">
        <x:v>4716</x:v>
      </x:c>
      <x:c r="C783" t="s">
        <x:v>4734</x:v>
      </x:c>
      <x:c r="D783" t="s">
        <x:v>29</x:v>
      </x:c>
      <x:c r="E783" t="s">
        <x:v>4735</x:v>
      </x:c>
      <x:c r="F783" t="s">
        <x:v>31</x:v>
      </x:c>
      <x:c r="G783" t="s">
        <x:v>4736</x:v>
      </x:c>
      <x:c r="H783" t="s">
        <x:v>4737</x:v>
      </x:c>
      <x:c r="I783" t="s">
        <x:v>4738</x:v>
      </x:c>
      <x:c r="J783" t="s">
        <x:v>4739</x:v>
      </x:c>
      <x:c r="K783" t="s">
        <x:v>4740</x:v>
      </x:c>
      <x:c r="L783" t="s">
        <x:v>37</x:v>
      </x:c>
      <x:c r="M783" t="s">
        <x:v>4741</x:v>
      </x:c>
      <x:c r="N783" t="s">
        <x:v>4742</x:v>
      </x:c>
      <x:c r="O783" t="s">
        <x:v>4737</x:v>
      </x:c>
      <x:c r="P783" t="s">
        <x:v>4743</x:v>
      </x:c>
      <x:c r="Q783" t="s">
        <x:v>203</x:v>
      </x:c>
      <x:c r="R783">
        <x:v>1</x:v>
      </x:c>
      <x:c r="S783" t="s">
        <x:v>42</x:v>
      </x:c>
      <x:c r="T783" t="s">
        <x:v>44</x:v>
      </x:c>
      <x:c r="U783" t="s">
        <x:v>44</x:v>
      </x:c>
      <x:c r="V783" t="s">
        <x:v>45</x:v>
      </x:c>
      <x:c r="W783" t="s">
        <x:v>46</x:v>
      </x:c>
      <x:c r="X783">
        <x:v>135.59</x:v>
      </x:c>
      <x:c r="Y783" t="s">
        <x:v>47</x:v>
      </x:c>
      <x:c r="Z783" t="s">
        <x:v>48</x:v>
      </x:c>
      <x:c r="AA783" t="s">
        <x:v>49</x:v>
      </x:c>
      <x:c r="AD783">
        <x:v>30</x:v>
      </x:c>
    </x:row>
    <x:row r="784">
      <x:c r="A784" s="1">
        <x:v>46297</x:v>
      </x:c>
      <x:c r="B784" t="s">
        <x:v>4716</x:v>
      </x:c>
      <x:c r="C784" t="s">
        <x:v>4744</x:v>
      </x:c>
      <x:c r="D784" t="s">
        <x:v>269</x:v>
      </x:c>
      <x:c r="E784" t="s">
        <x:v>4745</x:v>
      </x:c>
      <x:c r="F784" t="s">
        <x:v>31</x:v>
      </x:c>
      <x:c r="G784" t="s">
        <x:v>4746</x:v>
      </x:c>
      <x:c r="H784" t="s">
        <x:v>2798</x:v>
      </x:c>
      <x:c r="I784" t="s">
        <x:v>2799</x:v>
      </x:c>
      <x:c r="J784" t="s">
        <x:v>274</x:v>
      </x:c>
      <x:c r="K784" t="s">
        <x:v>275</x:v>
      </x:c>
      <x:c r="L784" t="s">
        <x:v>37</x:v>
      </x:c>
      <x:c r="M784" t="s">
        <x:v>2800</x:v>
      </x:c>
      <x:c r="N784" t="s">
        <x:v>2801</x:v>
      </x:c>
      <x:c r="O784" t="s">
        <x:v>278</x:v>
      </x:c>
      <x:c r="P784" t="s">
        <x:v>4747</x:v>
      </x:c>
      <x:c r="Q784" t="s">
        <x:v>289</x:v>
      </x:c>
      <x:c r="R784">
        <x:v>1</x:v>
      </x:c>
      <x:c r="S784" t="s">
        <x:v>42</x:v>
      </x:c>
      <x:c r="T784" t="s">
        <x:v>44</x:v>
      </x:c>
      <x:c r="U784" t="s">
        <x:v>44</x:v>
      </x:c>
      <x:c r="V784" t="s">
        <x:v>45</x:v>
      </x:c>
      <x:c r="W784" t="s">
        <x:v>46</x:v>
      </x:c>
      <x:c r="X784">
        <x:v>0</x:v>
      </x:c>
      <x:c r="Y784" t="s">
        <x:v>290</x:v>
      </x:c>
      <x:c r="Z784" t="s">
        <x:v>48</x:v>
      </x:c>
      <x:c r="AA784" t="s">
        <x:v>49</x:v>
      </x:c>
      <x:c r="AB784">
        <x:v>950133748</x:v>
      </x:c>
      <x:c r="AC784" t="s">
        <x:v>280</x:v>
      </x:c>
    </x:row>
    <x:row r="785">
      <x:c r="A785" s="1">
        <x:v>46297</x:v>
      </x:c>
      <x:c r="B785" t="s">
        <x:v>4716</x:v>
      </x:c>
      <x:c r="C785" t="s">
        <x:v>4744</x:v>
      </x:c>
      <x:c r="D785" t="s">
        <x:v>269</x:v>
      </x:c>
      <x:c r="E785" t="s">
        <x:v>4745</x:v>
      </x:c>
      <x:c r="F785" t="s">
        <x:v>31</x:v>
      </x:c>
      <x:c r="G785" t="s">
        <x:v>4746</x:v>
      </x:c>
      <x:c r="H785" t="s">
        <x:v>2798</x:v>
      </x:c>
      <x:c r="I785" t="s">
        <x:v>2799</x:v>
      </x:c>
      <x:c r="J785" t="s">
        <x:v>274</x:v>
      </x:c>
      <x:c r="K785" t="s">
        <x:v>275</x:v>
      </x:c>
      <x:c r="L785" t="s">
        <x:v>37</x:v>
      </x:c>
      <x:c r="M785" t="s">
        <x:v>2800</x:v>
      </x:c>
      <x:c r="N785" t="s">
        <x:v>2801</x:v>
      </x:c>
      <x:c r="O785" t="s">
        <x:v>278</x:v>
      </x:c>
      <x:c r="P785" t="s">
        <x:v>4747</x:v>
      </x:c>
      <x:c r="Q785" t="s">
        <x:v>1624</x:v>
      </x:c>
      <x:c r="R785">
        <x:v>1</x:v>
      </x:c>
      <x:c r="S785" t="s">
        <x:v>42</x:v>
      </x:c>
      <x:c r="T785" t="s">
        <x:v>44</x:v>
      </x:c>
      <x:c r="U785" t="s">
        <x:v>44</x:v>
      </x:c>
      <x:c r="V785" t="s">
        <x:v>45</x:v>
      </x:c>
      <x:c r="W785" t="s">
        <x:v>46</x:v>
      </x:c>
      <x:c r="X785">
        <x:v>254.24</x:v>
      </x:c>
      <x:c r="Y785" t="s">
        <x:v>290</x:v>
      </x:c>
      <x:c r="Z785" t="s">
        <x:v>48</x:v>
      </x:c>
      <x:c r="AA785" t="s">
        <x:v>49</x:v>
      </x:c>
      <x:c r="AB785">
        <x:v>950133748</x:v>
      </x:c>
      <x:c r="AC785" t="s">
        <x:v>280</x:v>
      </x:c>
    </x:row>
    <x:row r="786">
      <x:c r="A786" s="1">
        <x:v>46297</x:v>
      </x:c>
      <x:c r="B786" t="s">
        <x:v>4716</x:v>
      </x:c>
      <x:c r="C786" t="s">
        <x:v>4748</x:v>
      </x:c>
      <x:c r="D786" t="s">
        <x:v>269</x:v>
      </x:c>
      <x:c r="E786" t="s">
        <x:v>4749</x:v>
      </x:c>
      <x:c r="F786" t="s">
        <x:v>31</x:v>
      </x:c>
      <x:c r="G786" t="s">
        <x:v>4750</x:v>
      </x:c>
      <x:c r="H786" t="s">
        <x:v>4751</x:v>
      </x:c>
      <x:c r="I786" t="s">
        <x:v>4752</x:v>
      </x:c>
      <x:c r="L786" t="s">
        <x:v>37</x:v>
      </x:c>
      <x:c r="M786" t="s">
        <x:v>4753</x:v>
      </x:c>
      <x:c r="N786" t="s">
        <x:v>4754</x:v>
      </x:c>
      <x:c r="O786" t="s">
        <x:v>487</x:v>
      </x:c>
      <x:c r="P786" t="s">
        <x:v>4755</x:v>
      </x:c>
      <x:c r="Q786" t="s">
        <x:v>482</x:v>
      </x:c>
      <x:c r="R786">
        <x:v>2</x:v>
      </x:c>
      <x:c r="S786" t="s">
        <x:v>42</x:v>
      </x:c>
      <x:c r="T786" t="s">
        <x:v>44</x:v>
      </x:c>
      <x:c r="U786" t="s">
        <x:v>44</x:v>
      </x:c>
      <x:c r="V786" t="s">
        <x:v>45</x:v>
      </x:c>
      <x:c r="W786" t="s">
        <x:v>46</x:v>
      </x:c>
      <x:c r="X786">
        <x:v>203.39</x:v>
      </x:c>
      <x:c r="Y786" t="s">
        <x:v>61</x:v>
      </x:c>
      <x:c r="Z786" t="s">
        <x:v>48</x:v>
      </x:c>
      <x:c r="AA786" t="s">
        <x:v>49</x:v>
      </x:c>
    </x:row>
    <x:row r="787">
      <x:c r="A787" s="1">
        <x:v>46297</x:v>
      </x:c>
      <x:c r="B787" t="s">
        <x:v>4716</x:v>
      </x:c>
      <x:c r="C787" t="s">
        <x:v>4756</x:v>
      </x:c>
      <x:c r="D787" t="s">
        <x:v>269</x:v>
      </x:c>
      <x:c r="E787" t="s">
        <x:v>4757</x:v>
      </x:c>
      <x:c r="F787" t="s">
        <x:v>31</x:v>
      </x:c>
      <x:c r="G787" t="s">
        <x:v>4758</x:v>
      </x:c>
      <x:c r="H787" t="s">
        <x:v>4759</x:v>
      </x:c>
      <x:c r="I787" t="s">
        <x:v>4760</x:v>
      </x:c>
      <x:c r="L787" t="s">
        <x:v>37</x:v>
      </x:c>
      <x:c r="M787" t="s">
        <x:v>4761</x:v>
      </x:c>
      <x:c r="N787" t="s">
        <x:v>4762</x:v>
      </x:c>
      <x:c r="O787" t="s">
        <x:v>487</x:v>
      </x:c>
      <x:c r="P787" t="s">
        <x:v>4763</x:v>
      </x:c>
      <x:c r="Q787" t="s">
        <x:v>482</x:v>
      </x:c>
      <x:c r="R787">
        <x:v>1</x:v>
      </x:c>
      <x:c r="S787" t="s">
        <x:v>42</x:v>
      </x:c>
      <x:c r="T787" t="s">
        <x:v>44</x:v>
      </x:c>
      <x:c r="U787" t="s">
        <x:v>44</x:v>
      </x:c>
      <x:c r="V787" t="s">
        <x:v>45</x:v>
      </x:c>
      <x:c r="W787" t="s">
        <x:v>46</x:v>
      </x:c>
      <x:c r="X787">
        <x:v>101.69</x:v>
      </x:c>
      <x:c r="Y787" t="s">
        <x:v>61</x:v>
      </x:c>
      <x:c r="Z787" t="s">
        <x:v>48</x:v>
      </x:c>
      <x:c r="AA787" t="s">
        <x:v>49</x:v>
      </x:c>
    </x:row>
    <x:row r="788">
      <x:c r="A788" s="1">
        <x:v>46298</x:v>
      </x:c>
      <x:c r="B788" t="s">
        <x:v>4716</x:v>
      </x:c>
      <x:c r="C788" t="s">
        <x:v>4764</x:v>
      </x:c>
      <x:c r="D788" t="s">
        <x:v>29</x:v>
      </x:c>
      <x:c r="E788" t="s">
        <x:v>4765</x:v>
      </x:c>
      <x:c r="F788" t="s">
        <x:v>31</x:v>
      </x:c>
      <x:c r="G788" t="s">
        <x:v>4766</x:v>
      </x:c>
      <x:c r="H788" t="s">
        <x:v>4767</x:v>
      </x:c>
      <x:c r="I788" t="s">
        <x:v>4768</x:v>
      </x:c>
      <x:c r="L788" t="s">
        <x:v>37</x:v>
      </x:c>
      <x:c r="M788" t="s">
        <x:v>4769</x:v>
      </x:c>
      <x:c r="N788" t="s">
        <x:v>4770</x:v>
      </x:c>
      <x:c r="O788" t="s">
        <x:v>4767</x:v>
      </x:c>
      <x:c r="P788" t="s">
        <x:v>4771</x:v>
      </x:c>
      <x:c r="Q788" t="s">
        <x:v>131</x:v>
      </x:c>
      <x:c r="R788">
        <x:v>1</x:v>
      </x:c>
      <x:c r="S788" t="s">
        <x:v>70</x:v>
      </x:c>
      <x:c r="T788" t="s">
        <x:v>43</x:v>
      </x:c>
      <x:c r="U788" t="s">
        <x:v>44</x:v>
      </x:c>
      <x:c r="V788" t="s">
        <x:v>71</x:v>
      </x:c>
      <x:c r="W788" t="s">
        <x:v>72</x:v>
      </x:c>
      <x:c r="X788">
        <x:v>152.54</x:v>
      </x:c>
      <x:c r="Y788" t="s">
        <x:v>47</x:v>
      </x:c>
      <x:c r="Z788" t="s">
        <x:v>48</x:v>
      </x:c>
      <x:c r="AA788" t="s">
        <x:v>73</x:v>
      </x:c>
      <x:c r="AD788">
        <x:v>30</x:v>
      </x:c>
    </x:row>
    <x:row r="789">
      <x:c r="A789" s="1">
        <x:v>46298</x:v>
      </x:c>
      <x:c r="B789" t="s">
        <x:v>4716</x:v>
      </x:c>
      <x:c r="C789" t="s">
        <x:v>4772</x:v>
      </x:c>
      <x:c r="D789" t="s">
        <x:v>29</x:v>
      </x:c>
      <x:c r="E789" t="s">
        <x:v>4773</x:v>
      </x:c>
      <x:c r="F789" t="s">
        <x:v>31</x:v>
      </x:c>
      <x:c r="G789" t="s">
        <x:v>4774</x:v>
      </x:c>
      <x:c r="H789" t="s">
        <x:v>4775</x:v>
      </x:c>
      <x:c r="I789" t="s">
        <x:v>4776</x:v>
      </x:c>
      <x:c r="L789" t="s">
        <x:v>37</x:v>
      </x:c>
      <x:c r="M789" t="s">
        <x:v>4777</x:v>
      </x:c>
      <x:c r="N789" t="s">
        <x:v>4778</x:v>
      </x:c>
      <x:c r="O789" t="s">
        <x:v>4775</x:v>
      </x:c>
      <x:c r="P789" t="s">
        <x:v>4779</x:v>
      </x:c>
      <x:c r="Q789" t="s">
        <x:v>102</x:v>
      </x:c>
      <x:c r="R789">
        <x:v>1</x:v>
      </x:c>
      <x:c r="S789" t="s">
        <x:v>70</x:v>
      </x:c>
      <x:c r="T789" t="s">
        <x:v>43</x:v>
      </x:c>
      <x:c r="U789" t="s">
        <x:v>44</x:v>
      </x:c>
      <x:c r="V789" t="s">
        <x:v>71</x:v>
      </x:c>
      <x:c r="W789" t="s">
        <x:v>185</x:v>
      </x:c>
      <x:c r="X789">
        <x:v>186.44</x:v>
      </x:c>
      <x:c r="Y789" t="s">
        <x:v>47</x:v>
      </x:c>
      <x:c r="Z789" t="s">
        <x:v>48</x:v>
      </x:c>
      <x:c r="AA789" t="s">
        <x:v>73</x:v>
      </x:c>
      <x:c r="AD789">
        <x:v>50</x:v>
      </x:c>
    </x:row>
    <x:row r="790">
      <x:c r="A790" s="1">
        <x:v>46298</x:v>
      </x:c>
      <x:c r="B790" t="s">
        <x:v>4716</x:v>
      </x:c>
      <x:c r="C790" t="s">
        <x:v>4780</x:v>
      </x:c>
      <x:c r="D790" t="s">
        <x:v>29</x:v>
      </x:c>
      <x:c r="E790" t="s">
        <x:v>4781</x:v>
      </x:c>
      <x:c r="F790" t="s">
        <x:v>31</x:v>
      </x:c>
      <x:c r="G790" t="s">
        <x:v>4782</x:v>
      </x:c>
      <x:c r="H790" t="s">
        <x:v>4783</x:v>
      </x:c>
      <x:c r="I790" t="s">
        <x:v>4784</x:v>
      </x:c>
      <x:c r="J790" t="s">
        <x:v>2324</x:v>
      </x:c>
      <x:c r="K790" t="s">
        <x:v>1546</x:v>
      </x:c>
      <x:c r="L790" t="s">
        <x:v>37</x:v>
      </x:c>
      <x:c r="M790" t="s">
        <x:v>4785</x:v>
      </x:c>
      <x:c r="N790" t="s">
        <x:v>4786</x:v>
      </x:c>
      <x:c r="O790" t="s">
        <x:v>4783</x:v>
      </x:c>
      <x:c r="P790" t="s">
        <x:v>4787</x:v>
      </x:c>
      <x:c r="Q790" t="s">
        <x:v>203</x:v>
      </x:c>
      <x:c r="R790">
        <x:v>1</x:v>
      </x:c>
      <x:c r="S790" t="s">
        <x:v>42</x:v>
      </x:c>
      <x:c r="T790" t="s">
        <x:v>44</x:v>
      </x:c>
      <x:c r="U790" t="s">
        <x:v>44</x:v>
      </x:c>
      <x:c r="V790" t="s">
        <x:v>45</x:v>
      </x:c>
      <x:c r="W790" t="s">
        <x:v>46</x:v>
      </x:c>
      <x:c r="X790">
        <x:v>135.59</x:v>
      </x:c>
      <x:c r="Y790" t="s">
        <x:v>47</x:v>
      </x:c>
      <x:c r="Z790" t="s">
        <x:v>48</x:v>
      </x:c>
      <x:c r="AA790" t="s">
        <x:v>49</x:v>
      </x:c>
      <x:c r="AB790">
        <x:v>945093839</x:v>
      </x:c>
      <x:c r="AC790" t="s">
        <x:v>2328</x:v>
      </x:c>
      <x:c r="AD790">
        <x:v>30</x:v>
      </x:c>
    </x:row>
    <x:row r="791">
      <x:c r="A791" s="1">
        <x:v>46298</x:v>
      </x:c>
      <x:c r="B791" t="s">
        <x:v>4716</x:v>
      </x:c>
      <x:c r="C791" t="s">
        <x:v>4780</x:v>
      </x:c>
      <x:c r="D791" t="s">
        <x:v>29</x:v>
      </x:c>
      <x:c r="E791" t="s">
        <x:v>4781</x:v>
      </x:c>
      <x:c r="F791" t="s">
        <x:v>31</x:v>
      </x:c>
      <x:c r="G791" t="s">
        <x:v>4782</x:v>
      </x:c>
      <x:c r="H791" t="s">
        <x:v>4783</x:v>
      </x:c>
      <x:c r="I791" t="s">
        <x:v>4784</x:v>
      </x:c>
      <x:c r="J791" t="s">
        <x:v>2324</x:v>
      </x:c>
      <x:c r="K791" t="s">
        <x:v>1546</x:v>
      </x:c>
      <x:c r="L791" t="s">
        <x:v>37</x:v>
      </x:c>
      <x:c r="M791" t="s">
        <x:v>4785</x:v>
      </x:c>
      <x:c r="N791" t="s">
        <x:v>4786</x:v>
      </x:c>
      <x:c r="O791" t="s">
        <x:v>4783</x:v>
      </x:c>
      <x:c r="P791" t="s">
        <x:v>4787</x:v>
      </x:c>
      <x:c r="Q791" t="s">
        <x:v>202</x:v>
      </x:c>
      <x:c r="R791">
        <x:v>1</x:v>
      </x:c>
      <x:c r="S791" t="s">
        <x:v>42</x:v>
      </x:c>
      <x:c r="T791" t="s">
        <x:v>44</x:v>
      </x:c>
      <x:c r="U791" t="s">
        <x:v>44</x:v>
      </x:c>
      <x:c r="V791" t="s">
        <x:v>45</x:v>
      </x:c>
      <x:c r="W791" t="s">
        <x:v>46</x:v>
      </x:c>
      <x:c r="X791">
        <x:v>152.54</x:v>
      </x:c>
      <x:c r="Y791" t="s">
        <x:v>47</x:v>
      </x:c>
      <x:c r="Z791" t="s">
        <x:v>48</x:v>
      </x:c>
      <x:c r="AA791" t="s">
        <x:v>49</x:v>
      </x:c>
      <x:c r="AB791">
        <x:v>945093839</x:v>
      </x:c>
      <x:c r="AC791" t="s">
        <x:v>2328</x:v>
      </x:c>
      <x:c r="AD791">
        <x:v>30</x:v>
      </x:c>
    </x:row>
    <x:row r="792">
      <x:c r="A792" s="1">
        <x:v>46298</x:v>
      </x:c>
      <x:c r="B792" t="s">
        <x:v>4716</x:v>
      </x:c>
      <x:c r="C792" t="s">
        <x:v>4788</x:v>
      </x:c>
      <x:c r="D792" t="s">
        <x:v>29</x:v>
      </x:c>
      <x:c r="E792" t="s">
        <x:v>4789</x:v>
      </x:c>
      <x:c r="F792" t="s">
        <x:v>31</x:v>
      </x:c>
      <x:c r="G792" t="s">
        <x:v>4790</x:v>
      </x:c>
      <x:c r="H792" t="s">
        <x:v>4791</x:v>
      </x:c>
      <x:c r="I792" t="s">
        <x:v>4792</x:v>
      </x:c>
      <x:c r="L792" t="s">
        <x:v>37</x:v>
      </x:c>
      <x:c r="M792" t="s">
        <x:v>4793</x:v>
      </x:c>
      <x:c r="N792" t="s">
        <x:v>4794</x:v>
      </x:c>
      <x:c r="O792" t="s">
        <x:v>4791</x:v>
      </x:c>
      <x:c r="P792" t="s">
        <x:v>4795</x:v>
      </x:c>
      <x:c r="Q792" t="s">
        <x:v>203</x:v>
      </x:c>
      <x:c r="R792">
        <x:v>1</x:v>
      </x:c>
      <x:c r="S792" t="s">
        <x:v>42</x:v>
      </x:c>
      <x:c r="T792" t="s">
        <x:v>44</x:v>
      </x:c>
      <x:c r="U792" t="s">
        <x:v>44</x:v>
      </x:c>
      <x:c r="V792" t="s">
        <x:v>45</x:v>
      </x:c>
      <x:c r="W792" t="s">
        <x:v>46</x:v>
      </x:c>
      <x:c r="X792">
        <x:v>135.59</x:v>
      </x:c>
      <x:c r="Y792" t="s">
        <x:v>47</x:v>
      </x:c>
      <x:c r="Z792" t="s">
        <x:v>48</x:v>
      </x:c>
      <x:c r="AA792" t="s">
        <x:v>49</x:v>
      </x:c>
      <x:c r="AD792">
        <x:v>30</x:v>
      </x:c>
    </x:row>
    <x:row r="793">
      <x:c r="A793" s="1">
        <x:v>46298</x:v>
      </x:c>
      <x:c r="B793" t="s">
        <x:v>4716</x:v>
      </x:c>
      <x:c r="C793" t="s">
        <x:v>4796</x:v>
      </x:c>
      <x:c r="D793" t="s">
        <x:v>29</x:v>
      </x:c>
      <x:c r="E793" t="s">
        <x:v>4797</x:v>
      </x:c>
      <x:c r="F793" t="s">
        <x:v>31</x:v>
      </x:c>
      <x:c r="G793" t="s">
        <x:v>4798</x:v>
      </x:c>
      <x:c r="H793" t="s">
        <x:v>4799</x:v>
      </x:c>
      <x:c r="I793" t="s">
        <x:v>4800</x:v>
      </x:c>
      <x:c r="J793" t="s">
        <x:v>478</x:v>
      </x:c>
      <x:c r="K793" t="s">
        <x:v>210</x:v>
      </x:c>
      <x:c r="L793" t="s">
        <x:v>37</x:v>
      </x:c>
      <x:c r="M793" t="s">
        <x:v>4801</x:v>
      </x:c>
      <x:c r="N793" t="s">
        <x:v>4802</x:v>
      </x:c>
      <x:c r="O793" t="s">
        <x:v>4799</x:v>
      </x:c>
      <x:c r="P793" t="s">
        <x:v>4803</x:v>
      </x:c>
      <x:c r="Q793" t="s">
        <x:v>41</x:v>
      </x:c>
      <x:c r="R793">
        <x:v>1</x:v>
      </x:c>
      <x:c r="S793" t="s">
        <x:v>42</x:v>
      </x:c>
      <x:c r="T793" t="s">
        <x:v>44</x:v>
      </x:c>
      <x:c r="U793" t="s">
        <x:v>44</x:v>
      </x:c>
      <x:c r="V793" t="s">
        <x:v>45</x:v>
      </x:c>
      <x:c r="W793" t="s">
        <x:v>46</x:v>
      </x:c>
      <x:c r="X793">
        <x:v>186.44</x:v>
      </x:c>
      <x:c r="Y793" t="s">
        <x:v>47</x:v>
      </x:c>
      <x:c r="Z793" t="s">
        <x:v>48</x:v>
      </x:c>
      <x:c r="AA793" t="s">
        <x:v>49</x:v>
      </x:c>
      <x:c r="AB793">
        <x:v>982536223</x:v>
      </x:c>
      <x:c r="AC793" t="s">
        <x:v>483</x:v>
      </x:c>
      <x:c r="AD793">
        <x:v>50</x:v>
      </x:c>
    </x:row>
    <x:row r="794">
      <x:c r="A794" s="1">
        <x:v>46298</x:v>
      </x:c>
      <x:c r="B794" t="s">
        <x:v>4716</x:v>
      </x:c>
      <x:c r="C794" t="s">
        <x:v>4804</x:v>
      </x:c>
      <x:c r="D794" t="s">
        <x:v>29</x:v>
      </x:c>
      <x:c r="E794" t="s">
        <x:v>4805</x:v>
      </x:c>
      <x:c r="F794" t="s">
        <x:v>31</x:v>
      </x:c>
      <x:c r="G794" t="s">
        <x:v>4806</x:v>
      </x:c>
      <x:c r="H794" t="s">
        <x:v>4807</x:v>
      </x:c>
      <x:c r="I794" t="s">
        <x:v>4808</x:v>
      </x:c>
      <x:c r="L794" t="s">
        <x:v>37</x:v>
      </x:c>
      <x:c r="M794" t="s">
        <x:v>4809</x:v>
      </x:c>
      <x:c r="N794" t="s">
        <x:v>4810</x:v>
      </x:c>
      <x:c r="O794" t="s">
        <x:v>4807</x:v>
      </x:c>
      <x:c r="P794" t="s">
        <x:v>4811</x:v>
      </x:c>
      <x:c r="Q794" t="s">
        <x:v>2041</x:v>
      </x:c>
      <x:c r="R794">
        <x:v>1</x:v>
      </x:c>
      <x:c r="S794" t="s">
        <x:v>42</x:v>
      </x:c>
      <x:c r="T794" t="s">
        <x:v>44</x:v>
      </x:c>
      <x:c r="U794" t="s">
        <x:v>44</x:v>
      </x:c>
      <x:c r="V794" t="s">
        <x:v>532</x:v>
      </x:c>
      <x:c r="W794" t="s">
        <x:v>4099</x:v>
      </x:c>
      <x:c r="X794">
        <x:v>135.59</x:v>
      </x:c>
      <x:c r="Y794" t="s">
        <x:v>2042</x:v>
      </x:c>
      <x:c r="Z794" t="s">
        <x:v>48</x:v>
      </x:c>
      <x:c r="AA794" t="s">
        <x:v>535</x:v>
      </x:c>
    </x:row>
    <x:row r="795">
      <x:c r="A795" s="1">
        <x:v>46298</x:v>
      </x:c>
      <x:c r="B795" t="s">
        <x:v>4716</x:v>
      </x:c>
      <x:c r="C795" t="s">
        <x:v>4812</x:v>
      </x:c>
      <x:c r="D795" t="s">
        <x:v>29</x:v>
      </x:c>
      <x:c r="E795" t="s">
        <x:v>4813</x:v>
      </x:c>
      <x:c r="F795" t="s">
        <x:v>31</x:v>
      </x:c>
      <x:c r="G795" t="s">
        <x:v>4814</x:v>
      </x:c>
      <x:c r="H795" t="s">
        <x:v>4815</x:v>
      </x:c>
      <x:c r="I795" t="s">
        <x:v>4816</x:v>
      </x:c>
      <x:c r="L795" t="s">
        <x:v>37</x:v>
      </x:c>
      <x:c r="M795" t="s">
        <x:v>4817</x:v>
      </x:c>
      <x:c r="N795" t="s">
        <x:v>4818</x:v>
      </x:c>
      <x:c r="O795" t="s">
        <x:v>4815</x:v>
      </x:c>
      <x:c r="P795" t="s">
        <x:v>4819</x:v>
      </x:c>
      <x:c r="Q795" t="s">
        <x:v>91</x:v>
      </x:c>
      <x:c r="R795">
        <x:v>1</x:v>
      </x:c>
      <x:c r="S795" t="s">
        <x:v>70</x:v>
      </x:c>
      <x:c r="T795" t="s">
        <x:v>43</x:v>
      </x:c>
      <x:c r="U795" t="s">
        <x:v>44</x:v>
      </x:c>
      <x:c r="V795" t="s">
        <x:v>71</x:v>
      </x:c>
      <x:c r="W795" t="s">
        <x:v>72</x:v>
      </x:c>
      <x:c r="X795">
        <x:v>135.59</x:v>
      </x:c>
      <x:c r="Y795" t="s">
        <x:v>47</x:v>
      </x:c>
      <x:c r="Z795" t="s">
        <x:v>48</x:v>
      </x:c>
      <x:c r="AA795" t="s">
        <x:v>73</x:v>
      </x:c>
      <x:c r="AD795">
        <x:v>30</x:v>
      </x:c>
    </x:row>
    <x:row r="796">
      <x:c r="A796" s="1">
        <x:v>46298</x:v>
      </x:c>
      <x:c r="B796" t="s">
        <x:v>4716</x:v>
      </x:c>
      <x:c r="C796" t="s">
        <x:v>4820</x:v>
      </x:c>
      <x:c r="D796" t="s">
        <x:v>29</x:v>
      </x:c>
      <x:c r="E796" t="s">
        <x:v>4821</x:v>
      </x:c>
      <x:c r="F796" t="s">
        <x:v>31</x:v>
      </x:c>
      <x:c r="G796" t="s">
        <x:v>4822</x:v>
      </x:c>
      <x:c r="H796" t="s">
        <x:v>4823</x:v>
      </x:c>
      <x:c r="I796" t="s">
        <x:v>4824</x:v>
      </x:c>
      <x:c r="J796" t="s">
        <x:v>1877</x:v>
      </x:c>
      <x:c r="L796" t="s">
        <x:v>37</x:v>
      </x:c>
      <x:c r="M796" t="s">
        <x:v>4825</x:v>
      </x:c>
      <x:c r="N796" t="s">
        <x:v>4826</x:v>
      </x:c>
      <x:c r="O796" t="s">
        <x:v>4823</x:v>
      </x:c>
      <x:c r="P796" t="s">
        <x:v>4827</x:v>
      </x:c>
      <x:c r="Q796" t="s">
        <x:v>59</x:v>
      </x:c>
      <x:c r="R796">
        <x:v>1</x:v>
      </x:c>
      <x:c r="S796" t="s">
        <x:v>42</x:v>
      </x:c>
      <x:c r="T796" t="s">
        <x:v>44</x:v>
      </x:c>
      <x:c r="U796" t="s">
        <x:v>44</x:v>
      </x:c>
      <x:c r="V796" t="s">
        <x:v>45</x:v>
      </x:c>
      <x:c r="W796" t="s">
        <x:v>46</x:v>
      </x:c>
      <x:c r="X796">
        <x:v>101.69</x:v>
      </x:c>
      <x:c r="Y796" t="s">
        <x:v>61</x:v>
      </x:c>
      <x:c r="Z796" t="s">
        <x:v>48</x:v>
      </x:c>
      <x:c r="AA796" t="s">
        <x:v>49</x:v>
      </x:c>
    </x:row>
    <x:row r="797">
      <x:c r="A797" s="1">
        <x:v>46300</x:v>
      </x:c>
      <x:c r="B797" t="s">
        <x:v>4716</x:v>
      </x:c>
      <x:c r="C797" t="s">
        <x:v>4828</x:v>
      </x:c>
      <x:c r="D797" t="s">
        <x:v>29</x:v>
      </x:c>
      <x:c r="E797" t="s">
        <x:v>4829</x:v>
      </x:c>
      <x:c r="F797" t="s">
        <x:v>31</x:v>
      </x:c>
      <x:c r="G797" t="s">
        <x:v>4830</x:v>
      </x:c>
      <x:c r="H797" t="s">
        <x:v>4831</x:v>
      </x:c>
      <x:c r="I797" t="s">
        <x:v>4832</x:v>
      </x:c>
      <x:c r="J797" t="s">
        <x:v>664</x:v>
      </x:c>
      <x:c r="K797" t="s">
        <x:v>36</x:v>
      </x:c>
      <x:c r="L797" t="s">
        <x:v>37</x:v>
      </x:c>
      <x:c r="M797" t="s">
        <x:v>4833</x:v>
      </x:c>
      <x:c r="N797" t="s">
        <x:v>4834</x:v>
      </x:c>
      <x:c r="O797" t="s">
        <x:v>4831</x:v>
      </x:c>
      <x:c r="P797" t="s">
        <x:v>4835</x:v>
      </x:c>
      <x:c r="Q797" t="s">
        <x:v>160</x:v>
      </x:c>
      <x:c r="R797">
        <x:v>1</x:v>
      </x:c>
      <x:c r="S797" t="s">
        <x:v>42</x:v>
      </x:c>
      <x:c r="T797" t="s">
        <x:v>44</x:v>
      </x:c>
      <x:c r="U797" t="s">
        <x:v>44</x:v>
      </x:c>
      <x:c r="V797" t="s">
        <x:v>45</x:v>
      </x:c>
      <x:c r="W797" t="s">
        <x:v>46</x:v>
      </x:c>
      <x:c r="X797">
        <x:v>135.59</x:v>
      </x:c>
      <x:c r="Y797" t="s">
        <x:v>47</x:v>
      </x:c>
      <x:c r="Z797" t="s">
        <x:v>48</x:v>
      </x:c>
      <x:c r="AA797" t="s">
        <x:v>49</x:v>
      </x:c>
      <x:c r="AB797">
        <x:v>997145685</x:v>
      </x:c>
      <x:c r="AC797" t="s">
        <x:v>668</x:v>
      </x:c>
      <x:c r="AD797">
        <x:v>30</x:v>
      </x:c>
    </x:row>
    <x:row r="798">
      <x:c r="A798" s="1">
        <x:v>46300</x:v>
      </x:c>
      <x:c r="B798" t="s">
        <x:v>4716</x:v>
      </x:c>
      <x:c r="C798" t="s">
        <x:v>4836</x:v>
      </x:c>
      <x:c r="D798" t="s">
        <x:v>29</x:v>
      </x:c>
      <x:c r="E798" t="s">
        <x:v>4837</x:v>
      </x:c>
      <x:c r="F798" t="s">
        <x:v>31</x:v>
      </x:c>
      <x:c r="G798" t="s">
        <x:v>4838</x:v>
      </x:c>
      <x:c r="H798" t="s">
        <x:v>4839</x:v>
      </x:c>
      <x:c r="I798" t="s">
        <x:v>4840</x:v>
      </x:c>
      <x:c r="J798" t="s">
        <x:v>3215</x:v>
      </x:c>
      <x:c r="K798" t="s">
        <x:v>2600</x:v>
      </x:c>
      <x:c r="L798" t="s">
        <x:v>37</x:v>
      </x:c>
      <x:c r="M798" t="s">
        <x:v>4841</x:v>
      </x:c>
      <x:c r="N798" t="s">
        <x:v>4842</x:v>
      </x:c>
      <x:c r="O798" t="s">
        <x:v>4839</x:v>
      </x:c>
      <x:c r="P798" t="s">
        <x:v>4843</x:v>
      </x:c>
      <x:c r="Q798" t="s">
        <x:v>202</x:v>
      </x:c>
      <x:c r="R798">
        <x:v>1</x:v>
      </x:c>
      <x:c r="S798" t="s">
        <x:v>42</x:v>
      </x:c>
      <x:c r="T798" t="s">
        <x:v>44</x:v>
      </x:c>
      <x:c r="U798" t="s">
        <x:v>44</x:v>
      </x:c>
      <x:c r="V798" t="s">
        <x:v>45</x:v>
      </x:c>
      <x:c r="W798" t="s">
        <x:v>46</x:v>
      </x:c>
      <x:c r="X798">
        <x:v>152.54</x:v>
      </x:c>
      <x:c r="Y798" t="s">
        <x:v>47</x:v>
      </x:c>
      <x:c r="Z798" t="s">
        <x:v>48</x:v>
      </x:c>
      <x:c r="AA798" t="s">
        <x:v>49</x:v>
      </x:c>
      <x:c r="AB798">
        <x:v>941411075</x:v>
      </x:c>
      <x:c r="AC798" t="s">
        <x:v>3216</x:v>
      </x:c>
      <x:c r="AD798">
        <x:v>30</x:v>
      </x:c>
    </x:row>
    <x:row r="799">
      <x:c r="A799" s="1">
        <x:v>46300</x:v>
      </x:c>
      <x:c r="B799" t="s">
        <x:v>4716</x:v>
      </x:c>
      <x:c r="C799" t="s">
        <x:v>4844</x:v>
      </x:c>
      <x:c r="D799" t="s">
        <x:v>29</x:v>
      </x:c>
      <x:c r="E799" t="s">
        <x:v>4845</x:v>
      </x:c>
      <x:c r="F799" t="s">
        <x:v>31</x:v>
      </x:c>
      <x:c r="G799" t="s">
        <x:v>4846</x:v>
      </x:c>
      <x:c r="H799" t="s">
        <x:v>4847</x:v>
      </x:c>
      <x:c r="I799" t="s">
        <x:v>4848</x:v>
      </x:c>
      <x:c r="J799" t="s">
        <x:v>664</x:v>
      </x:c>
      <x:c r="K799" t="s">
        <x:v>36</x:v>
      </x:c>
      <x:c r="L799" t="s">
        <x:v>37</x:v>
      </x:c>
      <x:c r="M799" t="s">
        <x:v>4849</x:v>
      </x:c>
      <x:c r="N799" t="s">
        <x:v>4850</x:v>
      </x:c>
      <x:c r="O799" t="s">
        <x:v>4847</x:v>
      </x:c>
      <x:c r="P799" t="s">
        <x:v>4851</x:v>
      </x:c>
      <x:c r="Q799" t="s">
        <x:v>160</x:v>
      </x:c>
      <x:c r="R799">
        <x:v>1</x:v>
      </x:c>
      <x:c r="S799" t="s">
        <x:v>42</x:v>
      </x:c>
      <x:c r="T799" t="s">
        <x:v>44</x:v>
      </x:c>
      <x:c r="U799" t="s">
        <x:v>44</x:v>
      </x:c>
      <x:c r="V799" t="s">
        <x:v>45</x:v>
      </x:c>
      <x:c r="W799" t="s">
        <x:v>46</x:v>
      </x:c>
      <x:c r="X799">
        <x:v>135.59</x:v>
      </x:c>
      <x:c r="Y799" t="s">
        <x:v>47</x:v>
      </x:c>
      <x:c r="Z799" t="s">
        <x:v>48</x:v>
      </x:c>
      <x:c r="AA799" t="s">
        <x:v>49</x:v>
      </x:c>
      <x:c r="AB799">
        <x:v>997145685</x:v>
      </x:c>
      <x:c r="AC799" t="s">
        <x:v>668</x:v>
      </x:c>
      <x:c r="AD799">
        <x:v>30</x:v>
      </x:c>
    </x:row>
    <x:row r="800">
      <x:c r="A800" s="1">
        <x:v>46300</x:v>
      </x:c>
      <x:c r="B800" t="s">
        <x:v>4716</x:v>
      </x:c>
      <x:c r="C800" t="s">
        <x:v>4852</x:v>
      </x:c>
      <x:c r="D800" t="s">
        <x:v>29</x:v>
      </x:c>
      <x:c r="E800" t="s">
        <x:v>4853</x:v>
      </x:c>
      <x:c r="F800" t="s">
        <x:v>31</x:v>
      </x:c>
      <x:c r="G800" t="s">
        <x:v>4854</x:v>
      </x:c>
      <x:c r="H800" t="s">
        <x:v>4855</x:v>
      </x:c>
      <x:c r="I800" t="s">
        <x:v>4856</x:v>
      </x:c>
      <x:c r="J800" t="s">
        <x:v>3372</x:v>
      </x:c>
      <x:c r="K800" t="s">
        <x:v>210</x:v>
      </x:c>
      <x:c r="L800" t="s">
        <x:v>37</x:v>
      </x:c>
      <x:c r="M800" t="s">
        <x:v>4857</x:v>
      </x:c>
      <x:c r="N800" t="s">
        <x:v>4858</x:v>
      </x:c>
      <x:c r="O800" t="s">
        <x:v>4855</x:v>
      </x:c>
      <x:c r="P800" t="s">
        <x:v>4859</x:v>
      </x:c>
      <x:c r="Q800" t="s">
        <x:v>203</x:v>
      </x:c>
      <x:c r="R800">
        <x:v>1</x:v>
      </x:c>
      <x:c r="S800" t="s">
        <x:v>42</x:v>
      </x:c>
      <x:c r="T800" t="s">
        <x:v>44</x:v>
      </x:c>
      <x:c r="U800" t="s">
        <x:v>44</x:v>
      </x:c>
      <x:c r="V800" t="s">
        <x:v>45</x:v>
      </x:c>
      <x:c r="W800" t="s">
        <x:v>46</x:v>
      </x:c>
      <x:c r="X800">
        <x:v>135.59</x:v>
      </x:c>
      <x:c r="Y800" t="s">
        <x:v>47</x:v>
      </x:c>
      <x:c r="Z800" t="s">
        <x:v>48</x:v>
      </x:c>
      <x:c r="AA800" t="s">
        <x:v>49</x:v>
      </x:c>
      <x:c r="AB800">
        <x:v>995560200</x:v>
      </x:c>
      <x:c r="AC800" t="s">
        <x:v>3373</x:v>
      </x:c>
      <x:c r="AD800">
        <x:v>30</x:v>
      </x:c>
    </x:row>
    <x:row r="801">
      <x:c r="A801" s="1">
        <x:v>46300</x:v>
      </x:c>
      <x:c r="B801" t="s">
        <x:v>4716</x:v>
      </x:c>
      <x:c r="C801" t="s">
        <x:v>4860</x:v>
      </x:c>
      <x:c r="D801" t="s">
        <x:v>29</x:v>
      </x:c>
      <x:c r="E801" t="s">
        <x:v>4861</x:v>
      </x:c>
      <x:c r="F801" t="s">
        <x:v>31</x:v>
      </x:c>
      <x:c r="G801" t="s">
        <x:v>4862</x:v>
      </x:c>
      <x:c r="H801" t="s">
        <x:v>4863</x:v>
      </x:c>
      <x:c r="I801" t="s">
        <x:v>4864</x:v>
      </x:c>
      <x:c r="L801" t="s">
        <x:v>37</x:v>
      </x:c>
      <x:c r="M801" t="s">
        <x:v>4865</x:v>
      </x:c>
      <x:c r="N801" t="s">
        <x:v>4866</x:v>
      </x:c>
      <x:c r="O801" t="s">
        <x:v>4863</x:v>
      </x:c>
      <x:c r="P801" t="s">
        <x:v>4867</x:v>
      </x:c>
      <x:c r="Q801" t="s">
        <x:v>41</x:v>
      </x:c>
      <x:c r="R801">
        <x:v>1</x:v>
      </x:c>
      <x:c r="S801" t="s">
        <x:v>70</x:v>
      </x:c>
      <x:c r="T801" t="s">
        <x:v>43</x:v>
      </x:c>
      <x:c r="U801" t="s">
        <x:v>44</x:v>
      </x:c>
      <x:c r="V801" t="s">
        <x:v>71</x:v>
      </x:c>
      <x:c r="W801" t="s">
        <x:v>72</x:v>
      </x:c>
      <x:c r="X801">
        <x:v>186.44</x:v>
      </x:c>
      <x:c r="Y801" t="s">
        <x:v>47</x:v>
      </x:c>
      <x:c r="Z801" t="s">
        <x:v>48</x:v>
      </x:c>
      <x:c r="AA801" t="s">
        <x:v>73</x:v>
      </x:c>
      <x:c r="AD801">
        <x:v>50</x:v>
      </x:c>
    </x:row>
    <x:row r="802">
      <x:c r="A802" s="1">
        <x:v>46300</x:v>
      </x:c>
      <x:c r="B802" t="s">
        <x:v>4716</x:v>
      </x:c>
      <x:c r="C802" t="s">
        <x:v>4868</x:v>
      </x:c>
      <x:c r="D802" t="s">
        <x:v>400</x:v>
      </x:c>
      <x:c r="E802" t="s">
        <x:v>4861</x:v>
      </x:c>
      <x:c r="F802" t="s">
        <x:v>401</x:v>
      </x:c>
      <x:c r="G802" t="s">
        <x:v>4869</x:v>
      </x:c>
      <x:c r="H802" t="s">
        <x:v>4863</x:v>
      </x:c>
      <x:c r="I802" t="s">
        <x:v>4864</x:v>
      </x:c>
      <x:c r="L802" t="s">
        <x:v>401</x:v>
      </x:c>
      <x:c r="M802" t="s">
        <x:v>4865</x:v>
      </x:c>
      <x:c r="N802" t="s">
        <x:v>4866</x:v>
      </x:c>
      <x:c r="O802" t="s">
        <x:v>4863</x:v>
      </x:c>
      <x:c r="P802" t="s">
        <x:v>4867</x:v>
      </x:c>
      <x:c r="Q802" t="s">
        <x:v>41</x:v>
      </x:c>
      <x:c r="R802">
        <x:v>1</x:v>
      </x:c>
      <x:c r="S802" t="s">
        <x:v>70</x:v>
      </x:c>
      <x:c r="T802" t="s">
        <x:v>43</x:v>
      </x:c>
      <x:c r="U802" t="s">
        <x:v>44</x:v>
      </x:c>
      <x:c r="V802" t="s">
        <x:v>71</x:v>
      </x:c>
      <x:c r="W802" t="s">
        <x:v>72</x:v>
      </x:c>
      <x:c r="X802">
        <x:v>-186.44</x:v>
      </x:c>
      <x:c r="Y802" t="s">
        <x:v>47</x:v>
      </x:c>
      <x:c r="Z802" t="s">
        <x:v>48</x:v>
      </x:c>
      <x:c r="AA802" t="s">
        <x:v>73</x:v>
      </x:c>
      <x:c r="AD802">
        <x:v>50</x:v>
      </x:c>
    </x:row>
    <x:row r="803">
      <x:c r="A803" s="1">
        <x:v>46302</x:v>
      </x:c>
      <x:c r="B803" t="s">
        <x:v>4716</x:v>
      </x:c>
      <x:c r="C803" t="s">
        <x:v>4870</x:v>
      </x:c>
      <x:c r="D803" t="s">
        <x:v>29</x:v>
      </x:c>
      <x:c r="E803" t="s">
        <x:v>4871</x:v>
      </x:c>
      <x:c r="F803" t="s">
        <x:v>31</x:v>
      </x:c>
      <x:c r="G803" t="s">
        <x:v>4872</x:v>
      </x:c>
      <x:c r="H803" t="s">
        <x:v>4873</x:v>
      </x:c>
      <x:c r="I803" t="s">
        <x:v>4874</x:v>
      </x:c>
      <x:c r="J803" t="s">
        <x:v>2502</x:v>
      </x:c>
      <x:c r="K803" t="s">
        <x:v>1122</x:v>
      </x:c>
      <x:c r="L803" t="s">
        <x:v>37</x:v>
      </x:c>
      <x:c r="M803" t="s">
        <x:v>4875</x:v>
      </x:c>
      <x:c r="N803" t="s">
        <x:v>4876</x:v>
      </x:c>
      <x:c r="O803" t="s">
        <x:v>4873</x:v>
      </x:c>
      <x:c r="P803" t="s">
        <x:v>4877</x:v>
      </x:c>
      <x:c r="Q803" t="s">
        <x:v>159</x:v>
      </x:c>
      <x:c r="R803">
        <x:v>1</x:v>
      </x:c>
      <x:c r="S803" t="s">
        <x:v>42</x:v>
      </x:c>
      <x:c r="T803" t="s">
        <x:v>44</x:v>
      </x:c>
      <x:c r="U803" t="s">
        <x:v>44</x:v>
      </x:c>
      <x:c r="V803" t="s">
        <x:v>45</x:v>
      </x:c>
      <x:c r="W803" t="s">
        <x:v>60</x:v>
      </x:c>
      <x:c r="X803">
        <x:v>152.54</x:v>
      </x:c>
      <x:c r="Y803" t="s">
        <x:v>47</x:v>
      </x:c>
      <x:c r="Z803" t="s">
        <x:v>48</x:v>
      </x:c>
      <x:c r="AA803" t="s">
        <x:v>49</x:v>
      </x:c>
      <x:c r="AB803">
        <x:v>992789956</x:v>
      </x:c>
      <x:c r="AC803" t="s">
        <x:v>2506</x:v>
      </x:c>
      <x:c r="AD803">
        <x:v>30</x:v>
      </x:c>
    </x:row>
    <x:row r="804">
      <x:c r="A804" s="1">
        <x:v>46302</x:v>
      </x:c>
      <x:c r="B804" t="s">
        <x:v>4716</x:v>
      </x:c>
      <x:c r="C804" t="s">
        <x:v>4870</x:v>
      </x:c>
      <x:c r="D804" t="s">
        <x:v>29</x:v>
      </x:c>
      <x:c r="E804" t="s">
        <x:v>4871</x:v>
      </x:c>
      <x:c r="F804" t="s">
        <x:v>31</x:v>
      </x:c>
      <x:c r="G804" t="s">
        <x:v>4872</x:v>
      </x:c>
      <x:c r="H804" t="s">
        <x:v>4873</x:v>
      </x:c>
      <x:c r="I804" t="s">
        <x:v>4874</x:v>
      </x:c>
      <x:c r="J804" t="s">
        <x:v>2502</x:v>
      </x:c>
      <x:c r="K804" t="s">
        <x:v>1122</x:v>
      </x:c>
      <x:c r="L804" t="s">
        <x:v>37</x:v>
      </x:c>
      <x:c r="M804" t="s">
        <x:v>4875</x:v>
      </x:c>
      <x:c r="N804" t="s">
        <x:v>4876</x:v>
      </x:c>
      <x:c r="O804" t="s">
        <x:v>4873</x:v>
      </x:c>
      <x:c r="P804" t="s">
        <x:v>4877</x:v>
      </x:c>
      <x:c r="Q804" t="s">
        <x:v>102</x:v>
      </x:c>
      <x:c r="R804">
        <x:v>1</x:v>
      </x:c>
      <x:c r="S804" t="s">
        <x:v>42</x:v>
      </x:c>
      <x:c r="T804" t="s">
        <x:v>44</x:v>
      </x:c>
      <x:c r="U804" t="s">
        <x:v>44</x:v>
      </x:c>
      <x:c r="V804" t="s">
        <x:v>45</x:v>
      </x:c>
      <x:c r="W804" t="s">
        <x:v>60</x:v>
      </x:c>
      <x:c r="X804">
        <x:v>186.44</x:v>
      </x:c>
      <x:c r="Y804" t="s">
        <x:v>47</x:v>
      </x:c>
      <x:c r="Z804" t="s">
        <x:v>48</x:v>
      </x:c>
      <x:c r="AA804" t="s">
        <x:v>49</x:v>
      </x:c>
      <x:c r="AB804">
        <x:v>992789956</x:v>
      </x:c>
      <x:c r="AC804" t="s">
        <x:v>2506</x:v>
      </x:c>
      <x:c r="AD804">
        <x:v>50</x:v>
      </x:c>
    </x:row>
    <x:row r="805">
      <x:c r="A805" s="1">
        <x:v>46302</x:v>
      </x:c>
      <x:c r="B805" t="s">
        <x:v>4716</x:v>
      </x:c>
      <x:c r="C805" t="s">
        <x:v>4878</x:v>
      </x:c>
      <x:c r="D805" t="s">
        <x:v>29</x:v>
      </x:c>
      <x:c r="E805" t="s">
        <x:v>4879</x:v>
      </x:c>
      <x:c r="F805" t="s">
        <x:v>31</x:v>
      </x:c>
      <x:c r="G805" t="s">
        <x:v>4880</x:v>
      </x:c>
      <x:c r="H805" t="s">
        <x:v>4847</x:v>
      </x:c>
      <x:c r="I805" t="s">
        <x:v>4848</x:v>
      </x:c>
      <x:c r="J805" t="s">
        <x:v>664</x:v>
      </x:c>
      <x:c r="K805" t="s">
        <x:v>36</x:v>
      </x:c>
      <x:c r="L805" t="s">
        <x:v>37</x:v>
      </x:c>
      <x:c r="M805" t="s">
        <x:v>4849</x:v>
      </x:c>
      <x:c r="N805" t="s">
        <x:v>4850</x:v>
      </x:c>
      <x:c r="O805" t="s">
        <x:v>4847</x:v>
      </x:c>
      <x:c r="P805" t="s">
        <x:v>4881</x:v>
      </x:c>
      <x:c r="Q805" t="s">
        <x:v>289</x:v>
      </x:c>
      <x:c r="R805">
        <x:v>1</x:v>
      </x:c>
      <x:c r="S805" t="s">
        <x:v>42</x:v>
      </x:c>
      <x:c r="T805" t="s">
        <x:v>44</x:v>
      </x:c>
      <x:c r="U805" t="s">
        <x:v>44</x:v>
      </x:c>
      <x:c r="V805" t="s">
        <x:v>45</x:v>
      </x:c>
      <x:c r="W805" t="s">
        <x:v>46</x:v>
      </x:c>
      <x:c r="X805">
        <x:v>0</x:v>
      </x:c>
      <x:c r="Y805" t="s">
        <x:v>290</x:v>
      </x:c>
      <x:c r="Z805" t="s">
        <x:v>48</x:v>
      </x:c>
      <x:c r="AA805" t="s">
        <x:v>49</x:v>
      </x:c>
      <x:c r="AB805">
        <x:v>997145685</x:v>
      </x:c>
      <x:c r="AC805" t="s">
        <x:v>668</x:v>
      </x:c>
    </x:row>
    <x:row r="806">
      <x:c r="A806" s="1">
        <x:v>46302</x:v>
      </x:c>
      <x:c r="B806" t="s">
        <x:v>4716</x:v>
      </x:c>
      <x:c r="C806" t="s">
        <x:v>4878</x:v>
      </x:c>
      <x:c r="D806" t="s">
        <x:v>29</x:v>
      </x:c>
      <x:c r="E806" t="s">
        <x:v>4879</x:v>
      </x:c>
      <x:c r="F806" t="s">
        <x:v>31</x:v>
      </x:c>
      <x:c r="G806" t="s">
        <x:v>4880</x:v>
      </x:c>
      <x:c r="H806" t="s">
        <x:v>4847</x:v>
      </x:c>
      <x:c r="I806" t="s">
        <x:v>4848</x:v>
      </x:c>
      <x:c r="J806" t="s">
        <x:v>664</x:v>
      </x:c>
      <x:c r="K806" t="s">
        <x:v>36</x:v>
      </x:c>
      <x:c r="L806" t="s">
        <x:v>37</x:v>
      </x:c>
      <x:c r="M806" t="s">
        <x:v>4849</x:v>
      </x:c>
      <x:c r="N806" t="s">
        <x:v>4850</x:v>
      </x:c>
      <x:c r="O806" t="s">
        <x:v>4847</x:v>
      </x:c>
      <x:c r="P806" t="s">
        <x:v>4881</x:v>
      </x:c>
      <x:c r="Q806" t="s">
        <x:v>4882</x:v>
      </x:c>
      <x:c r="R806">
        <x:v>1</x:v>
      </x:c>
      <x:c r="S806" t="s">
        <x:v>42</x:v>
      </x:c>
      <x:c r="T806" t="s">
        <x:v>44</x:v>
      </x:c>
      <x:c r="U806" t="s">
        <x:v>44</x:v>
      </x:c>
      <x:c r="V806" t="s">
        <x:v>45</x:v>
      </x:c>
      <x:c r="W806" t="s">
        <x:v>46</x:v>
      </x:c>
      <x:c r="X806">
        <x:v>800.85</x:v>
      </x:c>
      <x:c r="Y806" t="s">
        <x:v>290</x:v>
      </x:c>
      <x:c r="Z806" t="s">
        <x:v>48</x:v>
      </x:c>
      <x:c r="AA806" t="s">
        <x:v>49</x:v>
      </x:c>
      <x:c r="AB806">
        <x:v>997145685</x:v>
      </x:c>
      <x:c r="AC806" t="s">
        <x:v>668</x:v>
      </x:c>
    </x:row>
    <x:row r="807">
      <x:c r="A807" s="1">
        <x:v>46302</x:v>
      </x:c>
      <x:c r="B807" t="s">
        <x:v>4716</x:v>
      </x:c>
      <x:c r="C807" t="s">
        <x:v>4883</x:v>
      </x:c>
      <x:c r="D807" t="s">
        <x:v>269</x:v>
      </x:c>
      <x:c r="E807" t="s">
        <x:v>4884</x:v>
      </x:c>
      <x:c r="F807" t="s">
        <x:v>31</x:v>
      </x:c>
      <x:c r="G807" t="s">
        <x:v>4885</x:v>
      </x:c>
      <x:c r="H807" t="s">
        <x:v>2634</x:v>
      </x:c>
      <x:c r="I807" t="s">
        <x:v>2635</x:v>
      </x:c>
      <x:c r="J807" t="s">
        <x:v>1110</x:v>
      </x:c>
      <x:c r="K807" t="s">
        <x:v>210</x:v>
      </x:c>
      <x:c r="L807" t="s">
        <x:v>37</x:v>
      </x:c>
      <x:c r="M807" t="s">
        <x:v>2636</x:v>
      </x:c>
      <x:c r="N807" t="s">
        <x:v>2637</x:v>
      </x:c>
      <x:c r="O807" t="s">
        <x:v>1113</x:v>
      </x:c>
      <x:c r="P807" t="s">
        <x:v>4886</x:v>
      </x:c>
      <x:c r="Q807" t="s">
        <x:v>214</x:v>
      </x:c>
      <x:c r="R807">
        <x:v>1</x:v>
      </x:c>
      <x:c r="S807" t="s">
        <x:v>42</x:v>
      </x:c>
      <x:c r="T807" t="s">
        <x:v>44</x:v>
      </x:c>
      <x:c r="U807" t="s">
        <x:v>44</x:v>
      </x:c>
      <x:c r="V807" t="s">
        <x:v>45</x:v>
      </x:c>
      <x:c r="W807" t="s">
        <x:v>46</x:v>
      </x:c>
      <x:c r="X807">
        <x:v>254.24</x:v>
      </x:c>
      <x:c r="Y807" t="s">
        <x:v>61</x:v>
      </x:c>
      <x:c r="Z807" t="s">
        <x:v>48</x:v>
      </x:c>
      <x:c r="AA807" t="s">
        <x:v>49</x:v>
      </x:c>
      <x:c r="AB807">
        <x:v>970582106</x:v>
      </x:c>
      <x:c r="AC807" t="s">
        <x:v>1115</x:v>
      </x:c>
    </x:row>
    <x:row r="808">
      <x:c r="A808" s="1">
        <x:v>46302</x:v>
      </x:c>
      <x:c r="B808" t="s">
        <x:v>4716</x:v>
      </x:c>
      <x:c r="C808" t="s">
        <x:v>4887</x:v>
      </x:c>
      <x:c r="D808" t="s">
        <x:v>29</x:v>
      </x:c>
      <x:c r="E808" t="s">
        <x:v>4888</x:v>
      </x:c>
      <x:c r="F808" t="s">
        <x:v>31</x:v>
      </x:c>
      <x:c r="G808" t="s">
        <x:v>4889</x:v>
      </x:c>
      <x:c r="H808" t="s">
        <x:v>4890</x:v>
      </x:c>
      <x:c r="I808" t="s">
        <x:v>4891</x:v>
      </x:c>
      <x:c r="J808" t="s">
        <x:v>3080</x:v>
      </x:c>
      <x:c r="K808" t="s">
        <x:v>777</x:v>
      </x:c>
      <x:c r="L808" t="s">
        <x:v>37</x:v>
      </x:c>
      <x:c r="M808" t="s">
        <x:v>4892</x:v>
      </x:c>
      <x:c r="N808" t="s">
        <x:v>4893</x:v>
      </x:c>
      <x:c r="O808" t="s">
        <x:v>4890</x:v>
      </x:c>
      <x:c r="P808" t="s">
        <x:v>4894</x:v>
      </x:c>
      <x:c r="Q808" t="s">
        <x:v>160</x:v>
      </x:c>
      <x:c r="R808">
        <x:v>1</x:v>
      </x:c>
      <x:c r="S808" t="s">
        <x:v>42</x:v>
      </x:c>
      <x:c r="T808" t="s">
        <x:v>44</x:v>
      </x:c>
      <x:c r="U808" t="s">
        <x:v>44</x:v>
      </x:c>
      <x:c r="V808" t="s">
        <x:v>45</x:v>
      </x:c>
      <x:c r="W808" t="s">
        <x:v>60</x:v>
      </x:c>
      <x:c r="X808">
        <x:v>135.59</x:v>
      </x:c>
      <x:c r="Y808" t="s">
        <x:v>47</x:v>
      </x:c>
      <x:c r="Z808" t="s">
        <x:v>48</x:v>
      </x:c>
      <x:c r="AA808" t="s">
        <x:v>49</x:v>
      </x:c>
      <x:c r="AB808">
        <x:v>937242809</x:v>
      </x:c>
      <x:c r="AC808" t="s">
        <x:v>3081</x:v>
      </x:c>
      <x:c r="AD808">
        <x:v>30</x:v>
      </x:c>
    </x:row>
    <x:row r="809">
      <x:c r="A809" s="1">
        <x:v>46302</x:v>
      </x:c>
      <x:c r="B809" t="s">
        <x:v>4716</x:v>
      </x:c>
      <x:c r="C809" t="s">
        <x:v>4887</x:v>
      </x:c>
      <x:c r="D809" t="s">
        <x:v>29</x:v>
      </x:c>
      <x:c r="E809" t="s">
        <x:v>4888</x:v>
      </x:c>
      <x:c r="F809" t="s">
        <x:v>31</x:v>
      </x:c>
      <x:c r="G809" t="s">
        <x:v>4889</x:v>
      </x:c>
      <x:c r="H809" t="s">
        <x:v>4890</x:v>
      </x:c>
      <x:c r="I809" t="s">
        <x:v>4891</x:v>
      </x:c>
      <x:c r="J809" t="s">
        <x:v>3080</x:v>
      </x:c>
      <x:c r="K809" t="s">
        <x:v>777</x:v>
      </x:c>
      <x:c r="L809" t="s">
        <x:v>37</x:v>
      </x:c>
      <x:c r="M809" t="s">
        <x:v>4892</x:v>
      </x:c>
      <x:c r="N809" t="s">
        <x:v>4893</x:v>
      </x:c>
      <x:c r="O809" t="s">
        <x:v>4890</x:v>
      </x:c>
      <x:c r="P809" t="s">
        <x:v>4894</x:v>
      </x:c>
      <x:c r="Q809" t="s">
        <x:v>102</x:v>
      </x:c>
      <x:c r="R809">
        <x:v>1</x:v>
      </x:c>
      <x:c r="S809" t="s">
        <x:v>42</x:v>
      </x:c>
      <x:c r="T809" t="s">
        <x:v>44</x:v>
      </x:c>
      <x:c r="U809" t="s">
        <x:v>44</x:v>
      </x:c>
      <x:c r="V809" t="s">
        <x:v>45</x:v>
      </x:c>
      <x:c r="W809" t="s">
        <x:v>60</x:v>
      </x:c>
      <x:c r="X809">
        <x:v>186.44</x:v>
      </x:c>
      <x:c r="Y809" t="s">
        <x:v>47</x:v>
      </x:c>
      <x:c r="Z809" t="s">
        <x:v>48</x:v>
      </x:c>
      <x:c r="AA809" t="s">
        <x:v>49</x:v>
      </x:c>
      <x:c r="AB809">
        <x:v>937242809</x:v>
      </x:c>
      <x:c r="AC809" t="s">
        <x:v>3081</x:v>
      </x:c>
      <x:c r="AD809">
        <x:v>50</x:v>
      </x:c>
    </x:row>
    <x:row r="810">
      <x:c r="A810" s="1">
        <x:v>46302</x:v>
      </x:c>
      <x:c r="B810" t="s">
        <x:v>4716</x:v>
      </x:c>
      <x:c r="C810" t="s">
        <x:v>4895</x:v>
      </x:c>
      <x:c r="D810" t="s">
        <x:v>29</x:v>
      </x:c>
      <x:c r="E810" t="s">
        <x:v>4896</x:v>
      </x:c>
      <x:c r="F810" t="s">
        <x:v>31</x:v>
      </x:c>
      <x:c r="G810" t="s">
        <x:v>4897</x:v>
      </x:c>
      <x:c r="H810" t="s">
        <x:v>4898</x:v>
      </x:c>
      <x:c r="I810" t="s">
        <x:v>4899</x:v>
      </x:c>
      <x:c r="J810" t="s">
        <x:v>1110</x:v>
      </x:c>
      <x:c r="K810" t="s">
        <x:v>210</x:v>
      </x:c>
      <x:c r="L810" t="s">
        <x:v>37</x:v>
      </x:c>
      <x:c r="M810" t="s">
        <x:v>4900</x:v>
      </x:c>
      <x:c r="N810" t="s">
        <x:v>4901</x:v>
      </x:c>
      <x:c r="O810" t="s">
        <x:v>1113</x:v>
      </x:c>
      <x:c r="P810" t="s">
        <x:v>4902</x:v>
      </x:c>
      <x:c r="Q810" t="s">
        <x:v>482</x:v>
      </x:c>
      <x:c r="R810">
        <x:v>1</x:v>
      </x:c>
      <x:c r="S810" t="s">
        <x:v>42</x:v>
      </x:c>
      <x:c r="T810" t="s">
        <x:v>44</x:v>
      </x:c>
      <x:c r="U810" t="s">
        <x:v>44</x:v>
      </x:c>
      <x:c r="V810" t="s">
        <x:v>45</x:v>
      </x:c>
      <x:c r="W810" t="s">
        <x:v>46</x:v>
      </x:c>
      <x:c r="X810">
        <x:v>101.69</x:v>
      </x:c>
      <x:c r="Y810" t="s">
        <x:v>61</x:v>
      </x:c>
      <x:c r="Z810" t="s">
        <x:v>48</x:v>
      </x:c>
      <x:c r="AA810" t="s">
        <x:v>49</x:v>
      </x:c>
      <x:c r="AB810">
        <x:v>970582106</x:v>
      </x:c>
      <x:c r="AC810" t="s">
        <x:v>1115</x:v>
      </x:c>
    </x:row>
    <x:row r="811">
      <x:c r="A811" s="1">
        <x:v>46302</x:v>
      </x:c>
      <x:c r="B811" t="s">
        <x:v>4716</x:v>
      </x:c>
      <x:c r="C811" t="s">
        <x:v>4903</x:v>
      </x:c>
      <x:c r="D811" t="s">
        <x:v>29</x:v>
      </x:c>
      <x:c r="E811" t="s">
        <x:v>4904</x:v>
      </x:c>
      <x:c r="F811" t="s">
        <x:v>31</x:v>
      </x:c>
      <x:c r="G811" t="s">
        <x:v>4905</x:v>
      </x:c>
      <x:c r="H811" t="s">
        <x:v>4906</x:v>
      </x:c>
      <x:c r="I811" t="s">
        <x:v>4907</x:v>
      </x:c>
      <x:c r="J811" t="s">
        <x:v>4908</x:v>
      </x:c>
      <x:c r="L811" t="s">
        <x:v>37</x:v>
      </x:c>
      <x:c r="M811" t="s">
        <x:v>4909</x:v>
      </x:c>
      <x:c r="N811" t="s">
        <x:v>4910</x:v>
      </x:c>
      <x:c r="O811" t="s">
        <x:v>4906</x:v>
      </x:c>
      <x:c r="P811" t="s">
        <x:v>4911</x:v>
      </x:c>
      <x:c r="Q811" t="s">
        <x:v>41</x:v>
      </x:c>
      <x:c r="R811">
        <x:v>1</x:v>
      </x:c>
      <x:c r="S811" t="s">
        <x:v>42</x:v>
      </x:c>
      <x:c r="T811" t="s">
        <x:v>44</x:v>
      </x:c>
      <x:c r="U811" t="s">
        <x:v>44</x:v>
      </x:c>
      <x:c r="V811" t="s">
        <x:v>45</x:v>
      </x:c>
      <x:c r="W811" t="s">
        <x:v>60</x:v>
      </x:c>
      <x:c r="X811">
        <x:v>186.44</x:v>
      </x:c>
      <x:c r="Y811" t="s">
        <x:v>47</x:v>
      </x:c>
      <x:c r="Z811" t="s">
        <x:v>48</x:v>
      </x:c>
      <x:c r="AA811" t="s">
        <x:v>49</x:v>
      </x:c>
      <x:c r="AD811">
        <x:v>50</x:v>
      </x:c>
    </x:row>
    <x:row r="812">
      <x:c r="A812" s="1">
        <x:v>46302</x:v>
      </x:c>
      <x:c r="B812" t="s">
        <x:v>4716</x:v>
      </x:c>
      <x:c r="C812" t="s">
        <x:v>4903</x:v>
      </x:c>
      <x:c r="D812" t="s">
        <x:v>29</x:v>
      </x:c>
      <x:c r="E812" t="s">
        <x:v>4904</x:v>
      </x:c>
      <x:c r="F812" t="s">
        <x:v>31</x:v>
      </x:c>
      <x:c r="G812" t="s">
        <x:v>4905</x:v>
      </x:c>
      <x:c r="H812" t="s">
        <x:v>4906</x:v>
      </x:c>
      <x:c r="I812" t="s">
        <x:v>4907</x:v>
      </x:c>
      <x:c r="J812" t="s">
        <x:v>4908</x:v>
      </x:c>
      <x:c r="L812" t="s">
        <x:v>37</x:v>
      </x:c>
      <x:c r="M812" t="s">
        <x:v>4909</x:v>
      </x:c>
      <x:c r="N812" t="s">
        <x:v>4910</x:v>
      </x:c>
      <x:c r="O812" t="s">
        <x:v>4906</x:v>
      </x:c>
      <x:c r="P812" t="s">
        <x:v>4911</x:v>
      </x:c>
      <x:c r="Q812" t="s">
        <x:v>102</x:v>
      </x:c>
      <x:c r="R812">
        <x:v>1</x:v>
      </x:c>
      <x:c r="S812" t="s">
        <x:v>42</x:v>
      </x:c>
      <x:c r="T812" t="s">
        <x:v>44</x:v>
      </x:c>
      <x:c r="U812" t="s">
        <x:v>44</x:v>
      </x:c>
      <x:c r="V812" t="s">
        <x:v>45</x:v>
      </x:c>
      <x:c r="W812" t="s">
        <x:v>60</x:v>
      </x:c>
      <x:c r="X812">
        <x:v>186.44</x:v>
      </x:c>
      <x:c r="Y812" t="s">
        <x:v>47</x:v>
      </x:c>
      <x:c r="Z812" t="s">
        <x:v>48</x:v>
      </x:c>
      <x:c r="AA812" t="s">
        <x:v>49</x:v>
      </x:c>
      <x:c r="AD812">
        <x:v>50</x:v>
      </x:c>
    </x:row>
    <x:row r="813">
      <x:c r="A813" s="1">
        <x:v>46302</x:v>
      </x:c>
      <x:c r="B813" t="s">
        <x:v>4716</x:v>
      </x:c>
      <x:c r="C813" t="s">
        <x:v>4912</x:v>
      </x:c>
      <x:c r="D813" t="s">
        <x:v>269</x:v>
      </x:c>
      <x:c r="E813" t="s">
        <x:v>4913</x:v>
      </x:c>
      <x:c r="F813" t="s">
        <x:v>31</x:v>
      </x:c>
      <x:c r="G813" t="s">
        <x:v>4914</x:v>
      </x:c>
      <x:c r="H813" t="s">
        <x:v>2690</x:v>
      </x:c>
      <x:c r="I813" t="s">
        <x:v>2691</x:v>
      </x:c>
      <x:c r="J813" t="s">
        <x:v>2841</x:v>
      </x:c>
      <x:c r="K813" t="s">
        <x:v>210</x:v>
      </x:c>
      <x:c r="L813" t="s">
        <x:v>37</x:v>
      </x:c>
      <x:c r="M813" t="s">
        <x:v>2692</x:v>
      </x:c>
      <x:c r="N813" t="s">
        <x:v>610</x:v>
      </x:c>
      <x:c r="O813" t="s">
        <x:v>1254</x:v>
      </x:c>
      <x:c r="P813" t="s">
        <x:v>4915</x:v>
      </x:c>
      <x:c r="Q813" t="s">
        <x:v>289</x:v>
      </x:c>
      <x:c r="R813">
        <x:v>1</x:v>
      </x:c>
      <x:c r="S813" t="s">
        <x:v>42</x:v>
      </x:c>
      <x:c r="T813" t="s">
        <x:v>44</x:v>
      </x:c>
      <x:c r="U813" t="s">
        <x:v>44</x:v>
      </x:c>
      <x:c r="V813" t="s">
        <x:v>45</x:v>
      </x:c>
      <x:c r="W813" t="s">
        <x:v>46</x:v>
      </x:c>
      <x:c r="X813">
        <x:v>0</x:v>
      </x:c>
      <x:c r="Y813" t="s">
        <x:v>290</x:v>
      </x:c>
      <x:c r="Z813" t="s">
        <x:v>48</x:v>
      </x:c>
      <x:c r="AA813" t="s">
        <x:v>49</x:v>
      </x:c>
      <x:c r="AB813">
        <x:v>994872106</x:v>
      </x:c>
      <x:c r="AC813" t="s">
        <x:v>1256</x:v>
      </x:c>
    </x:row>
    <x:row r="814">
      <x:c r="A814" s="1">
        <x:v>46302</x:v>
      </x:c>
      <x:c r="B814" t="s">
        <x:v>4716</x:v>
      </x:c>
      <x:c r="C814" t="s">
        <x:v>4912</x:v>
      </x:c>
      <x:c r="D814" t="s">
        <x:v>269</x:v>
      </x:c>
      <x:c r="E814" t="s">
        <x:v>4913</x:v>
      </x:c>
      <x:c r="F814" t="s">
        <x:v>31</x:v>
      </x:c>
      <x:c r="G814" t="s">
        <x:v>4914</x:v>
      </x:c>
      <x:c r="H814" t="s">
        <x:v>2690</x:v>
      </x:c>
      <x:c r="I814" t="s">
        <x:v>2691</x:v>
      </x:c>
      <x:c r="J814" t="s">
        <x:v>2841</x:v>
      </x:c>
      <x:c r="K814" t="s">
        <x:v>210</x:v>
      </x:c>
      <x:c r="L814" t="s">
        <x:v>37</x:v>
      </x:c>
      <x:c r="M814" t="s">
        <x:v>2692</x:v>
      </x:c>
      <x:c r="N814" t="s">
        <x:v>610</x:v>
      </x:c>
      <x:c r="O814" t="s">
        <x:v>1254</x:v>
      </x:c>
      <x:c r="P814" t="s">
        <x:v>4915</x:v>
      </x:c>
      <x:c r="Q814" t="s">
        <x:v>291</x:v>
      </x:c>
      <x:c r="R814">
        <x:v>1</x:v>
      </x:c>
      <x:c r="S814" t="s">
        <x:v>42</x:v>
      </x:c>
      <x:c r="T814" t="s">
        <x:v>44</x:v>
      </x:c>
      <x:c r="U814" t="s">
        <x:v>44</x:v>
      </x:c>
      <x:c r="V814" t="s">
        <x:v>45</x:v>
      </x:c>
      <x:c r="W814" t="s">
        <x:v>46</x:v>
      </x:c>
      <x:c r="X814">
        <x:v>762.71</x:v>
      </x:c>
      <x:c r="Y814" t="s">
        <x:v>290</x:v>
      </x:c>
      <x:c r="Z814" t="s">
        <x:v>48</x:v>
      </x:c>
      <x:c r="AA814" t="s">
        <x:v>49</x:v>
      </x:c>
      <x:c r="AB814">
        <x:v>994872106</x:v>
      </x:c>
      <x:c r="AC814" t="s">
        <x:v>1256</x:v>
      </x:c>
    </x:row>
    <x:row r="815">
      <x:c r="A815" s="1">
        <x:v>46302</x:v>
      </x:c>
      <x:c r="B815" t="s">
        <x:v>4716</x:v>
      </x:c>
      <x:c r="C815" t="s">
        <x:v>4916</x:v>
      </x:c>
      <x:c r="D815" t="s">
        <x:v>269</x:v>
      </x:c>
      <x:c r="E815" t="s">
        <x:v>4917</x:v>
      </x:c>
      <x:c r="F815" t="s">
        <x:v>31</x:v>
      </x:c>
      <x:c r="G815" t="s">
        <x:v>4918</x:v>
      </x:c>
      <x:c r="H815" t="s">
        <x:v>4919</x:v>
      </x:c>
      <x:c r="I815" t="s">
        <x:v>4920</x:v>
      </x:c>
      <x:c r="J815" t="s">
        <x:v>2841</x:v>
      </x:c>
      <x:c r="K815" t="s">
        <x:v>210</x:v>
      </x:c>
      <x:c r="L815" t="s">
        <x:v>37</x:v>
      </x:c>
      <x:c r="M815" t="s">
        <x:v>4921</x:v>
      </x:c>
      <x:c r="N815" t="s">
        <x:v>4052</x:v>
      </x:c>
      <x:c r="O815" t="s">
        <x:v>1254</x:v>
      </x:c>
      <x:c r="P815" t="s">
        <x:v>4922</x:v>
      </x:c>
      <x:c r="Q815" t="s">
        <x:v>289</x:v>
      </x:c>
      <x:c r="R815">
        <x:v>1</x:v>
      </x:c>
      <x:c r="S815" t="s">
        <x:v>42</x:v>
      </x:c>
      <x:c r="T815" t="s">
        <x:v>44</x:v>
      </x:c>
      <x:c r="U815" t="s">
        <x:v>44</x:v>
      </x:c>
      <x:c r="V815" t="s">
        <x:v>45</x:v>
      </x:c>
      <x:c r="W815" t="s">
        <x:v>46</x:v>
      </x:c>
      <x:c r="X815">
        <x:v>0</x:v>
      </x:c>
      <x:c r="Y815" t="s">
        <x:v>290</x:v>
      </x:c>
      <x:c r="Z815" t="s">
        <x:v>48</x:v>
      </x:c>
      <x:c r="AA815" t="s">
        <x:v>49</x:v>
      </x:c>
      <x:c r="AB815">
        <x:v>994872106</x:v>
      </x:c>
      <x:c r="AC815" t="s">
        <x:v>1256</x:v>
      </x:c>
    </x:row>
    <x:row r="816">
      <x:c r="A816" s="1">
        <x:v>46302</x:v>
      </x:c>
      <x:c r="B816" t="s">
        <x:v>4716</x:v>
      </x:c>
      <x:c r="C816" t="s">
        <x:v>4916</x:v>
      </x:c>
      <x:c r="D816" t="s">
        <x:v>269</x:v>
      </x:c>
      <x:c r="E816" t="s">
        <x:v>4917</x:v>
      </x:c>
      <x:c r="F816" t="s">
        <x:v>31</x:v>
      </x:c>
      <x:c r="G816" t="s">
        <x:v>4918</x:v>
      </x:c>
      <x:c r="H816" t="s">
        <x:v>4919</x:v>
      </x:c>
      <x:c r="I816" t="s">
        <x:v>4920</x:v>
      </x:c>
      <x:c r="J816" t="s">
        <x:v>2841</x:v>
      </x:c>
      <x:c r="K816" t="s">
        <x:v>210</x:v>
      </x:c>
      <x:c r="L816" t="s">
        <x:v>37</x:v>
      </x:c>
      <x:c r="M816" t="s">
        <x:v>4921</x:v>
      </x:c>
      <x:c r="N816" t="s">
        <x:v>4052</x:v>
      </x:c>
      <x:c r="O816" t="s">
        <x:v>1254</x:v>
      </x:c>
      <x:c r="P816" t="s">
        <x:v>4922</x:v>
      </x:c>
      <x:c r="Q816" t="s">
        <x:v>291</x:v>
      </x:c>
      <x:c r="R816">
        <x:v>1</x:v>
      </x:c>
      <x:c r="S816" t="s">
        <x:v>42</x:v>
      </x:c>
      <x:c r="T816" t="s">
        <x:v>44</x:v>
      </x:c>
      <x:c r="U816" t="s">
        <x:v>44</x:v>
      </x:c>
      <x:c r="V816" t="s">
        <x:v>45</x:v>
      </x:c>
      <x:c r="W816" t="s">
        <x:v>46</x:v>
      </x:c>
      <x:c r="X816">
        <x:v>762.71</x:v>
      </x:c>
      <x:c r="Y816" t="s">
        <x:v>290</x:v>
      </x:c>
      <x:c r="Z816" t="s">
        <x:v>48</x:v>
      </x:c>
      <x:c r="AA816" t="s">
        <x:v>49</x:v>
      </x:c>
      <x:c r="AB816">
        <x:v>994872106</x:v>
      </x:c>
      <x:c r="AC816" t="s">
        <x:v>1256</x:v>
      </x:c>
    </x:row>
    <x:row r="817">
      <x:c r="A817" s="1">
        <x:v>46302</x:v>
      </x:c>
      <x:c r="B817" t="s">
        <x:v>4716</x:v>
      </x:c>
      <x:c r="C817" t="s">
        <x:v>4923</x:v>
      </x:c>
      <x:c r="D817" t="s">
        <x:v>269</x:v>
      </x:c>
      <x:c r="E817" t="s">
        <x:v>4924</x:v>
      </x:c>
      <x:c r="F817" t="s">
        <x:v>31</x:v>
      </x:c>
      <x:c r="G817" t="s">
        <x:v>4925</x:v>
      </x:c>
      <x:c r="H817" t="s">
        <x:v>4926</x:v>
      </x:c>
      <x:c r="I817" t="s">
        <x:v>4927</x:v>
      </x:c>
      <x:c r="J817" t="s">
        <x:v>2841</x:v>
      </x:c>
      <x:c r="K817" t="s">
        <x:v>210</x:v>
      </x:c>
      <x:c r="L817" t="s">
        <x:v>37</x:v>
      </x:c>
      <x:c r="M817" t="s">
        <x:v>4928</x:v>
      </x:c>
      <x:c r="N817" t="s">
        <x:v>610</x:v>
      </x:c>
      <x:c r="O817" t="s">
        <x:v>1254</x:v>
      </x:c>
      <x:c r="P817" t="s">
        <x:v>4929</x:v>
      </x:c>
      <x:c r="Q817" t="s">
        <x:v>289</x:v>
      </x:c>
      <x:c r="R817">
        <x:v>1</x:v>
      </x:c>
      <x:c r="S817" t="s">
        <x:v>42</x:v>
      </x:c>
      <x:c r="T817" t="s">
        <x:v>44</x:v>
      </x:c>
      <x:c r="U817" t="s">
        <x:v>44</x:v>
      </x:c>
      <x:c r="V817" t="s">
        <x:v>45</x:v>
      </x:c>
      <x:c r="W817" t="s">
        <x:v>46</x:v>
      </x:c>
      <x:c r="X817">
        <x:v>0</x:v>
      </x:c>
      <x:c r="Y817" t="s">
        <x:v>290</x:v>
      </x:c>
      <x:c r="Z817" t="s">
        <x:v>48</x:v>
      </x:c>
      <x:c r="AA817" t="s">
        <x:v>49</x:v>
      </x:c>
      <x:c r="AB817">
        <x:v>994872106</x:v>
      </x:c>
      <x:c r="AC817" t="s">
        <x:v>1256</x:v>
      </x:c>
    </x:row>
    <x:row r="818">
      <x:c r="A818" s="1">
        <x:v>46302</x:v>
      </x:c>
      <x:c r="B818" t="s">
        <x:v>4716</x:v>
      </x:c>
      <x:c r="C818" t="s">
        <x:v>4923</x:v>
      </x:c>
      <x:c r="D818" t="s">
        <x:v>269</x:v>
      </x:c>
      <x:c r="E818" t="s">
        <x:v>4924</x:v>
      </x:c>
      <x:c r="F818" t="s">
        <x:v>31</x:v>
      </x:c>
      <x:c r="G818" t="s">
        <x:v>4925</x:v>
      </x:c>
      <x:c r="H818" t="s">
        <x:v>4926</x:v>
      </x:c>
      <x:c r="I818" t="s">
        <x:v>4927</x:v>
      </x:c>
      <x:c r="J818" t="s">
        <x:v>2841</x:v>
      </x:c>
      <x:c r="K818" t="s">
        <x:v>210</x:v>
      </x:c>
      <x:c r="L818" t="s">
        <x:v>37</x:v>
      </x:c>
      <x:c r="M818" t="s">
        <x:v>4928</x:v>
      </x:c>
      <x:c r="N818" t="s">
        <x:v>610</x:v>
      </x:c>
      <x:c r="O818" t="s">
        <x:v>1254</x:v>
      </x:c>
      <x:c r="P818" t="s">
        <x:v>4929</x:v>
      </x:c>
      <x:c r="Q818" t="s">
        <x:v>1624</x:v>
      </x:c>
      <x:c r="R818">
        <x:v>1</x:v>
      </x:c>
      <x:c r="S818" t="s">
        <x:v>42</x:v>
      </x:c>
      <x:c r="T818" t="s">
        <x:v>44</x:v>
      </x:c>
      <x:c r="U818" t="s">
        <x:v>44</x:v>
      </x:c>
      <x:c r="V818" t="s">
        <x:v>45</x:v>
      </x:c>
      <x:c r="W818" t="s">
        <x:v>46</x:v>
      </x:c>
      <x:c r="X818">
        <x:v>139.83000000000001</x:v>
      </x:c>
      <x:c r="Y818" t="s">
        <x:v>290</x:v>
      </x:c>
      <x:c r="Z818" t="s">
        <x:v>48</x:v>
      </x:c>
      <x:c r="AA818" t="s">
        <x:v>49</x:v>
      </x:c>
      <x:c r="AB818">
        <x:v>994872106</x:v>
      </x:c>
      <x:c r="AC818" t="s">
        <x:v>1256</x:v>
      </x:c>
    </x:row>
    <x:row r="819">
      <x:c r="A819" s="1">
        <x:v>46302</x:v>
      </x:c>
      <x:c r="B819" t="s">
        <x:v>4716</x:v>
      </x:c>
      <x:c r="C819" t="s">
        <x:v>4930</x:v>
      </x:c>
      <x:c r="D819" t="s">
        <x:v>269</x:v>
      </x:c>
      <x:c r="E819" t="s">
        <x:v>4931</x:v>
      </x:c>
      <x:c r="F819" t="s">
        <x:v>31</x:v>
      </x:c>
      <x:c r="G819" t="s">
        <x:v>4932</x:v>
      </x:c>
      <x:c r="H819" t="s">
        <x:v>4919</x:v>
      </x:c>
      <x:c r="I819" t="s">
        <x:v>4920</x:v>
      </x:c>
      <x:c r="J819" t="s">
        <x:v>2841</x:v>
      </x:c>
      <x:c r="K819" t="s">
        <x:v>210</x:v>
      </x:c>
      <x:c r="L819" t="s">
        <x:v>37</x:v>
      </x:c>
      <x:c r="M819" t="s">
        <x:v>4921</x:v>
      </x:c>
      <x:c r="N819" t="s">
        <x:v>4052</x:v>
      </x:c>
      <x:c r="O819" t="s">
        <x:v>1254</x:v>
      </x:c>
      <x:c r="P819" t="s">
        <x:v>4933</x:v>
      </x:c>
      <x:c r="Q819" t="s">
        <x:v>643</x:v>
      </x:c>
      <x:c r="R819">
        <x:v>1</x:v>
      </x:c>
      <x:c r="S819" t="s">
        <x:v>42</x:v>
      </x:c>
      <x:c r="T819" t="s">
        <x:v>44</x:v>
      </x:c>
      <x:c r="U819" t="s">
        <x:v>44</x:v>
      </x:c>
      <x:c r="V819" t="s">
        <x:v>45</x:v>
      </x:c>
      <x:c r="W819" t="s">
        <x:v>46</x:v>
      </x:c>
      <x:c r="X819">
        <x:v>84.75</x:v>
      </x:c>
      <x:c r="Y819" t="s">
        <x:v>47</x:v>
      </x:c>
      <x:c r="Z819" t="s">
        <x:v>48</x:v>
      </x:c>
      <x:c r="AA819" t="s">
        <x:v>49</x:v>
      </x:c>
      <x:c r="AB819">
        <x:v>994872106</x:v>
      </x:c>
      <x:c r="AC819" t="s">
        <x:v>1256</x:v>
      </x:c>
    </x:row>
    <x:row r="820">
      <x:c r="A820" s="1">
        <x:v>46302</x:v>
      </x:c>
      <x:c r="B820" t="s">
        <x:v>4716</x:v>
      </x:c>
      <x:c r="C820" t="s">
        <x:v>4934</x:v>
      </x:c>
      <x:c r="D820" t="s">
        <x:v>269</x:v>
      </x:c>
      <x:c r="E820" t="s">
        <x:v>4935</x:v>
      </x:c>
      <x:c r="F820" t="s">
        <x:v>31</x:v>
      </x:c>
      <x:c r="G820" t="s">
        <x:v>4936</x:v>
      </x:c>
      <x:c r="H820" t="s">
        <x:v>4937</x:v>
      </x:c>
      <x:c r="I820" t="s">
        <x:v>4938</x:v>
      </x:c>
      <x:c r="J820" t="s">
        <x:v>478</x:v>
      </x:c>
      <x:c r="K820" t="s">
        <x:v>210</x:v>
      </x:c>
      <x:c r="L820" t="s">
        <x:v>37</x:v>
      </x:c>
      <x:c r="M820" t="s">
        <x:v>4939</x:v>
      </x:c>
      <x:c r="N820" t="s">
        <x:v>610</x:v>
      </x:c>
      <x:c r="O820" t="s">
        <x:v>487</x:v>
      </x:c>
      <x:c r="P820" t="s">
        <x:v>4940</x:v>
      </x:c>
      <x:c r="Q820" t="s">
        <x:v>289</x:v>
      </x:c>
      <x:c r="R820">
        <x:v>1</x:v>
      </x:c>
      <x:c r="S820" t="s">
        <x:v>42</x:v>
      </x:c>
      <x:c r="T820" t="s">
        <x:v>44</x:v>
      </x:c>
      <x:c r="U820" t="s">
        <x:v>44</x:v>
      </x:c>
      <x:c r="V820" t="s">
        <x:v>45</x:v>
      </x:c>
      <x:c r="W820" t="s">
        <x:v>60</x:v>
      </x:c>
      <x:c r="X820">
        <x:v>0</x:v>
      </x:c>
      <x:c r="Y820" t="s">
        <x:v>290</x:v>
      </x:c>
      <x:c r="Z820" t="s">
        <x:v>48</x:v>
      </x:c>
      <x:c r="AA820" t="s">
        <x:v>49</x:v>
      </x:c>
      <x:c r="AB820">
        <x:v>982536223</x:v>
      </x:c>
      <x:c r="AC820" t="s">
        <x:v>483</x:v>
      </x:c>
    </x:row>
    <x:row r="821">
      <x:c r="A821" s="1">
        <x:v>46302</x:v>
      </x:c>
      <x:c r="B821" t="s">
        <x:v>4716</x:v>
      </x:c>
      <x:c r="C821" t="s">
        <x:v>4934</x:v>
      </x:c>
      <x:c r="D821" t="s">
        <x:v>269</x:v>
      </x:c>
      <x:c r="E821" t="s">
        <x:v>4935</x:v>
      </x:c>
      <x:c r="F821" t="s">
        <x:v>31</x:v>
      </x:c>
      <x:c r="G821" t="s">
        <x:v>4936</x:v>
      </x:c>
      <x:c r="H821" t="s">
        <x:v>4937</x:v>
      </x:c>
      <x:c r="I821" t="s">
        <x:v>4938</x:v>
      </x:c>
      <x:c r="J821" t="s">
        <x:v>478</x:v>
      </x:c>
      <x:c r="K821" t="s">
        <x:v>210</x:v>
      </x:c>
      <x:c r="L821" t="s">
        <x:v>37</x:v>
      </x:c>
      <x:c r="M821" t="s">
        <x:v>4939</x:v>
      </x:c>
      <x:c r="N821" t="s">
        <x:v>610</x:v>
      </x:c>
      <x:c r="O821" t="s">
        <x:v>487</x:v>
      </x:c>
      <x:c r="P821" t="s">
        <x:v>4940</x:v>
      </x:c>
      <x:c r="Q821" t="s">
        <x:v>1217</x:v>
      </x:c>
      <x:c r="R821">
        <x:v>1</x:v>
      </x:c>
      <x:c r="S821" t="s">
        <x:v>42</x:v>
      </x:c>
      <x:c r="T821" t="s">
        <x:v>44</x:v>
      </x:c>
      <x:c r="U821" t="s">
        <x:v>44</x:v>
      </x:c>
      <x:c r="V821" t="s">
        <x:v>45</x:v>
      </x:c>
      <x:c r="W821" t="s">
        <x:v>60</x:v>
      </x:c>
      <x:c r="X821">
        <x:v>139.83000000000001</x:v>
      </x:c>
      <x:c r="Y821" t="s">
        <x:v>290</x:v>
      </x:c>
      <x:c r="Z821" t="s">
        <x:v>48</x:v>
      </x:c>
      <x:c r="AA821" t="s">
        <x:v>49</x:v>
      </x:c>
      <x:c r="AB821">
        <x:v>982536223</x:v>
      </x:c>
      <x:c r="AC821" t="s">
        <x:v>483</x:v>
      </x:c>
    </x:row>
    <x:row r="822">
      <x:c r="A822" s="1">
        <x:v>46304</x:v>
      </x:c>
      <x:c r="B822" t="s">
        <x:v>4716</x:v>
      </x:c>
      <x:c r="C822" t="s">
        <x:v>4941</x:v>
      </x:c>
      <x:c r="D822" t="s">
        <x:v>269</x:v>
      </x:c>
      <x:c r="E822" t="s">
        <x:v>4942</x:v>
      </x:c>
      <x:c r="F822" t="s">
        <x:v>31</x:v>
      </x:c>
      <x:c r="G822" t="s">
        <x:v>4943</x:v>
      </x:c>
      <x:c r="H822" t="s">
        <x:v>4898</x:v>
      </x:c>
      <x:c r="I822" t="s">
        <x:v>4899</x:v>
      </x:c>
      <x:c r="J822" t="s">
        <x:v>1110</x:v>
      </x:c>
      <x:c r="K822" t="s">
        <x:v>210</x:v>
      </x:c>
      <x:c r="L822" t="s">
        <x:v>37</x:v>
      </x:c>
      <x:c r="M822" t="s">
        <x:v>4900</x:v>
      </x:c>
      <x:c r="N822" t="s">
        <x:v>4901</x:v>
      </x:c>
      <x:c r="O822" t="s">
        <x:v>1113</x:v>
      </x:c>
      <x:c r="P822" t="s">
        <x:v>4944</x:v>
      </x:c>
      <x:c r="Q822" t="s">
        <x:v>482</x:v>
      </x:c>
      <x:c r="R822">
        <x:v>1</x:v>
      </x:c>
      <x:c r="S822" t="s">
        <x:v>42</x:v>
      </x:c>
      <x:c r="T822" t="s">
        <x:v>44</x:v>
      </x:c>
      <x:c r="U822" t="s">
        <x:v>44</x:v>
      </x:c>
      <x:c r="V822" t="s">
        <x:v>45</x:v>
      </x:c>
      <x:c r="W822" t="s">
        <x:v>46</x:v>
      </x:c>
      <x:c r="X822">
        <x:v>101.69</x:v>
      </x:c>
      <x:c r="Y822" t="s">
        <x:v>61</x:v>
      </x:c>
      <x:c r="Z822" t="s">
        <x:v>48</x:v>
      </x:c>
      <x:c r="AA822" t="s">
        <x:v>49</x:v>
      </x:c>
      <x:c r="AB822">
        <x:v>970582106</x:v>
      </x:c>
      <x:c r="AC822" t="s">
        <x:v>1115</x:v>
      </x:c>
    </x:row>
    <x:row r="823">
      <x:c r="A823" s="1">
        <x:v>46304</x:v>
      </x:c>
      <x:c r="B823" t="s">
        <x:v>4716</x:v>
      </x:c>
      <x:c r="C823" t="s">
        <x:v>4945</x:v>
      </x:c>
      <x:c r="D823" t="s">
        <x:v>269</x:v>
      </x:c>
      <x:c r="E823" t="s">
        <x:v>4946</x:v>
      </x:c>
      <x:c r="F823" t="s">
        <x:v>31</x:v>
      </x:c>
      <x:c r="G823" t="s">
        <x:v>4947</x:v>
      </x:c>
      <x:c r="H823" t="s">
        <x:v>4672</x:v>
      </x:c>
      <x:c r="I823" t="s">
        <x:v>4673</x:v>
      </x:c>
      <x:c r="J823" t="s">
        <x:v>274</x:v>
      </x:c>
      <x:c r="K823" t="s">
        <x:v>275</x:v>
      </x:c>
      <x:c r="L823" t="s">
        <x:v>37</x:v>
      </x:c>
      <x:c r="M823" t="s">
        <x:v>4674</x:v>
      </x:c>
      <x:c r="N823" t="s">
        <x:v>610</x:v>
      </x:c>
      <x:c r="O823" t="s">
        <x:v>278</x:v>
      </x:c>
      <x:c r="P823" t="s">
        <x:v>4948</x:v>
      </x:c>
      <x:c r="Q823" t="s">
        <x:v>289</x:v>
      </x:c>
      <x:c r="R823">
        <x:v>1</x:v>
      </x:c>
      <x:c r="S823" t="s">
        <x:v>42</x:v>
      </x:c>
      <x:c r="T823" t="s">
        <x:v>44</x:v>
      </x:c>
      <x:c r="U823" t="s">
        <x:v>44</x:v>
      </x:c>
      <x:c r="V823" t="s">
        <x:v>45</x:v>
      </x:c>
      <x:c r="W823" t="s">
        <x:v>46</x:v>
      </x:c>
      <x:c r="X823">
        <x:v>0</x:v>
      </x:c>
      <x:c r="Y823" t="s">
        <x:v>290</x:v>
      </x:c>
      <x:c r="Z823" t="s">
        <x:v>48</x:v>
      </x:c>
      <x:c r="AA823" t="s">
        <x:v>49</x:v>
      </x:c>
      <x:c r="AB823">
        <x:v>950133748</x:v>
      </x:c>
      <x:c r="AC823" t="s">
        <x:v>280</x:v>
      </x:c>
    </x:row>
    <x:row r="824">
      <x:c r="A824" s="1">
        <x:v>46304</x:v>
      </x:c>
      <x:c r="B824" t="s">
        <x:v>4716</x:v>
      </x:c>
      <x:c r="C824" t="s">
        <x:v>4945</x:v>
      </x:c>
      <x:c r="D824" t="s">
        <x:v>269</x:v>
      </x:c>
      <x:c r="E824" t="s">
        <x:v>4946</x:v>
      </x:c>
      <x:c r="F824" t="s">
        <x:v>31</x:v>
      </x:c>
      <x:c r="G824" t="s">
        <x:v>4947</x:v>
      </x:c>
      <x:c r="H824" t="s">
        <x:v>4672</x:v>
      </x:c>
      <x:c r="I824" t="s">
        <x:v>4673</x:v>
      </x:c>
      <x:c r="J824" t="s">
        <x:v>274</x:v>
      </x:c>
      <x:c r="K824" t="s">
        <x:v>275</x:v>
      </x:c>
      <x:c r="L824" t="s">
        <x:v>37</x:v>
      </x:c>
      <x:c r="M824" t="s">
        <x:v>4674</x:v>
      </x:c>
      <x:c r="N824" t="s">
        <x:v>610</x:v>
      </x:c>
      <x:c r="O824" t="s">
        <x:v>278</x:v>
      </x:c>
      <x:c r="P824" t="s">
        <x:v>4948</x:v>
      </x:c>
      <x:c r="Q824" t="s">
        <x:v>1624</x:v>
      </x:c>
      <x:c r="R824">
        <x:v>1</x:v>
      </x:c>
      <x:c r="S824" t="s">
        <x:v>42</x:v>
      </x:c>
      <x:c r="T824" t="s">
        <x:v>44</x:v>
      </x:c>
      <x:c r="U824" t="s">
        <x:v>44</x:v>
      </x:c>
      <x:c r="V824" t="s">
        <x:v>45</x:v>
      </x:c>
      <x:c r="W824" t="s">
        <x:v>46</x:v>
      </x:c>
      <x:c r="X824">
        <x:v>1050.8499999999999</x:v>
      </x:c>
      <x:c r="Y824" t="s">
        <x:v>290</x:v>
      </x:c>
      <x:c r="Z824" t="s">
        <x:v>48</x:v>
      </x:c>
      <x:c r="AA824" t="s">
        <x:v>49</x:v>
      </x:c>
      <x:c r="AB824">
        <x:v>950133748</x:v>
      </x:c>
      <x:c r="AC824" t="s">
        <x:v>280</x:v>
      </x:c>
    </x:row>
    <x:row r="825">
      <x:c r="A825" s="1">
        <x:v>46304</x:v>
      </x:c>
      <x:c r="B825" t="s">
        <x:v>4716</x:v>
      </x:c>
      <x:c r="C825" t="s">
        <x:v>4949</x:v>
      </x:c>
      <x:c r="D825" t="s">
        <x:v>29</x:v>
      </x:c>
      <x:c r="E825" t="s">
        <x:v>4950</x:v>
      </x:c>
      <x:c r="F825" t="s">
        <x:v>31</x:v>
      </x:c>
      <x:c r="G825" t="s">
        <x:v>4951</x:v>
      </x:c>
      <x:c r="H825" t="s">
        <x:v>4952</x:v>
      </x:c>
      <x:c r="I825" t="s">
        <x:v>4953</x:v>
      </x:c>
      <x:c r="J825" t="s">
        <x:v>3274</x:v>
      </x:c>
      <x:c r="K825" t="s">
        <x:v>2600</x:v>
      </x:c>
      <x:c r="L825" t="s">
        <x:v>37</x:v>
      </x:c>
      <x:c r="M825" t="s">
        <x:v>4954</x:v>
      </x:c>
      <x:c r="N825" t="s">
        <x:v>4955</x:v>
      </x:c>
      <x:c r="O825" t="s">
        <x:v>4952</x:v>
      </x:c>
      <x:c r="P825" t="s">
        <x:v>4956</x:v>
      </x:c>
      <x:c r="Q825" t="s">
        <x:v>102</x:v>
      </x:c>
      <x:c r="R825">
        <x:v>1</x:v>
      </x:c>
      <x:c r="S825" t="s">
        <x:v>42</x:v>
      </x:c>
      <x:c r="T825" t="s">
        <x:v>44</x:v>
      </x:c>
      <x:c r="U825" t="s">
        <x:v>44</x:v>
      </x:c>
      <x:c r="V825" t="s">
        <x:v>45</x:v>
      </x:c>
      <x:c r="W825" t="s">
        <x:v>46</x:v>
      </x:c>
      <x:c r="X825">
        <x:v>186.44</x:v>
      </x:c>
      <x:c r="Y825" t="s">
        <x:v>47</x:v>
      </x:c>
      <x:c r="Z825" t="s">
        <x:v>48</x:v>
      </x:c>
      <x:c r="AA825" t="s">
        <x:v>49</x:v>
      </x:c>
      <x:c r="AB825">
        <x:v>997581972</x:v>
      </x:c>
      <x:c r="AC825" t="s">
        <x:v>3275</x:v>
      </x:c>
      <x:c r="AD825">
        <x:v>50</x:v>
      </x:c>
    </x:row>
    <x:row r="826">
      <x:c r="A826" s="1">
        <x:v>46305</x:v>
      </x:c>
      <x:c r="B826" t="s">
        <x:v>4716</x:v>
      </x:c>
      <x:c r="C826" t="s">
        <x:v>4957</x:v>
      </x:c>
      <x:c r="D826" t="s">
        <x:v>29</x:v>
      </x:c>
      <x:c r="E826" t="s">
        <x:v>4958</x:v>
      </x:c>
      <x:c r="F826" t="s">
        <x:v>31</x:v>
      </x:c>
      <x:c r="G826" t="s">
        <x:v>4959</x:v>
      </x:c>
      <x:c r="H826" t="s">
        <x:v>4960</x:v>
      </x:c>
      <x:c r="I826" t="s">
        <x:v>4961</x:v>
      </x:c>
      <x:c r="L826" t="s">
        <x:v>37</x:v>
      </x:c>
      <x:c r="M826" t="s">
        <x:v>4962</x:v>
      </x:c>
      <x:c r="N826" t="s">
        <x:v>4963</x:v>
      </x:c>
      <x:c r="O826" t="s">
        <x:v>4960</x:v>
      </x:c>
      <x:c r="P826" t="s">
        <x:v>4964</x:v>
      </x:c>
      <x:c r="Q826" t="s">
        <x:v>41</x:v>
      </x:c>
      <x:c r="R826">
        <x:v>1</x:v>
      </x:c>
      <x:c r="S826" t="s">
        <x:v>70</x:v>
      </x:c>
      <x:c r="T826" t="s">
        <x:v>43</x:v>
      </x:c>
      <x:c r="U826" t="s">
        <x:v>44</x:v>
      </x:c>
      <x:c r="V826" t="s">
        <x:v>71</x:v>
      </x:c>
      <x:c r="W826" t="s">
        <x:v>72</x:v>
      </x:c>
      <x:c r="X826">
        <x:v>186.44</x:v>
      </x:c>
      <x:c r="Y826" t="s">
        <x:v>47</x:v>
      </x:c>
      <x:c r="Z826" t="s">
        <x:v>48</x:v>
      </x:c>
      <x:c r="AA826" t="s">
        <x:v>73</x:v>
      </x:c>
      <x:c r="AD826">
        <x:v>50</x:v>
      </x:c>
    </x:row>
    <x:row r="827">
      <x:c r="A827" s="1">
        <x:v>46305</x:v>
      </x:c>
      <x:c r="B827" t="s">
        <x:v>4716</x:v>
      </x:c>
      <x:c r="C827" t="s">
        <x:v>4965</x:v>
      </x:c>
      <x:c r="D827" t="s">
        <x:v>29</x:v>
      </x:c>
      <x:c r="E827" t="s">
        <x:v>4966</x:v>
      </x:c>
      <x:c r="F827" t="s">
        <x:v>31</x:v>
      </x:c>
      <x:c r="G827" t="s">
        <x:v>4967</x:v>
      </x:c>
      <x:c r="H827" t="s">
        <x:v>4968</x:v>
      </x:c>
      <x:c r="I827" t="s">
        <x:v>4969</x:v>
      </x:c>
      <x:c r="J827" t="s">
        <x:v>664</x:v>
      </x:c>
      <x:c r="K827" t="s">
        <x:v>36</x:v>
      </x:c>
      <x:c r="L827" t="s">
        <x:v>37</x:v>
      </x:c>
      <x:c r="M827" t="s">
        <x:v>4970</x:v>
      </x:c>
      <x:c r="N827" t="s">
        <x:v>4971</x:v>
      </x:c>
      <x:c r="O827" t="s">
        <x:v>4968</x:v>
      </x:c>
      <x:c r="P827" t="s">
        <x:v>4972</x:v>
      </x:c>
      <x:c r="Q827" t="s">
        <x:v>102</x:v>
      </x:c>
      <x:c r="R827">
        <x:v>1</x:v>
      </x:c>
      <x:c r="S827" t="s">
        <x:v>42</x:v>
      </x:c>
      <x:c r="T827" t="s">
        <x:v>44</x:v>
      </x:c>
      <x:c r="U827" t="s">
        <x:v>44</x:v>
      </x:c>
      <x:c r="V827" t="s">
        <x:v>45</x:v>
      </x:c>
      <x:c r="W827" t="s">
        <x:v>60</x:v>
      </x:c>
      <x:c r="X827">
        <x:v>186.44</x:v>
      </x:c>
      <x:c r="Y827" t="s">
        <x:v>47</x:v>
      </x:c>
      <x:c r="Z827" t="s">
        <x:v>48</x:v>
      </x:c>
      <x:c r="AA827" t="s">
        <x:v>49</x:v>
      </x:c>
      <x:c r="AB827">
        <x:v>997145685</x:v>
      </x:c>
      <x:c r="AC827" t="s">
        <x:v>668</x:v>
      </x:c>
      <x:c r="AD827">
        <x:v>50</x:v>
      </x:c>
    </x:row>
    <x:row r="828">
      <x:c r="A828" s="1">
        <x:v>46307</x:v>
      </x:c>
      <x:c r="B828" t="s">
        <x:v>4716</x:v>
      </x:c>
      <x:c r="C828" t="s">
        <x:v>4973</x:v>
      </x:c>
      <x:c r="D828" t="s">
        <x:v>29</x:v>
      </x:c>
      <x:c r="E828" t="s">
        <x:v>4974</x:v>
      </x:c>
      <x:c r="F828" t="s">
        <x:v>31</x:v>
      </x:c>
      <x:c r="G828" t="s">
        <x:v>4975</x:v>
      </x:c>
      <x:c r="H828" t="s">
        <x:v>4976</x:v>
      </x:c>
      <x:c r="I828" t="s">
        <x:v>4977</x:v>
      </x:c>
      <x:c r="L828" t="s">
        <x:v>37</x:v>
      </x:c>
      <x:c r="M828" t="s">
        <x:v>4978</x:v>
      </x:c>
      <x:c r="N828" t="s">
        <x:v>4979</x:v>
      </x:c>
      <x:c r="O828" t="s">
        <x:v>4976</x:v>
      </x:c>
      <x:c r="P828" t="s">
        <x:v>4980</x:v>
      </x:c>
      <x:c r="Q828" t="s">
        <x:v>102</x:v>
      </x:c>
      <x:c r="R828">
        <x:v>1</x:v>
      </x:c>
      <x:c r="S828" t="s">
        <x:v>70</x:v>
      </x:c>
      <x:c r="T828" t="s">
        <x:v>43</x:v>
      </x:c>
      <x:c r="U828" t="s">
        <x:v>44</x:v>
      </x:c>
      <x:c r="V828" t="s">
        <x:v>71</x:v>
      </x:c>
      <x:c r="W828" t="s">
        <x:v>72</x:v>
      </x:c>
      <x:c r="X828">
        <x:v>186.44</x:v>
      </x:c>
      <x:c r="Y828" t="s">
        <x:v>47</x:v>
      </x:c>
      <x:c r="Z828" t="s">
        <x:v>48</x:v>
      </x:c>
      <x:c r="AA828" t="s">
        <x:v>73</x:v>
      </x:c>
      <x:c r="AD828">
        <x:v>50</x:v>
      </x:c>
    </x:row>
    <x:row r="829">
      <x:c r="A829" s="1">
        <x:v>46307</x:v>
      </x:c>
      <x:c r="B829" t="s">
        <x:v>4716</x:v>
      </x:c>
      <x:c r="C829" t="s">
        <x:v>4981</x:v>
      </x:c>
      <x:c r="D829" t="s">
        <x:v>269</x:v>
      </x:c>
      <x:c r="E829" t="s">
        <x:v>4982</x:v>
      </x:c>
      <x:c r="F829" t="s">
        <x:v>31</x:v>
      </x:c>
      <x:c r="G829" t="s">
        <x:v>4983</x:v>
      </x:c>
      <x:c r="H829" t="s">
        <x:v>4984</x:v>
      </x:c>
      <x:c r="I829" t="s">
        <x:v>4985</x:v>
      </x:c>
      <x:c r="J829" t="s">
        <x:v>4986</x:v>
      </x:c>
      <x:c r="K829" t="s">
        <x:v>3093</x:v>
      </x:c>
      <x:c r="L829" t="s">
        <x:v>37</x:v>
      </x:c>
      <x:c r="M829" t="s">
        <x:v>4987</x:v>
      </x:c>
      <x:c r="N829" t="s">
        <x:v>4988</x:v>
      </x:c>
      <x:c r="O829" t="s">
        <x:v>4989</x:v>
      </x:c>
      <x:c r="P829" t="s">
        <x:v>4990</x:v>
      </x:c>
      <x:c r="Q829" t="s">
        <x:v>289</x:v>
      </x:c>
      <x:c r="R829">
        <x:v>1</x:v>
      </x:c>
      <x:c r="S829" t="s">
        <x:v>42</x:v>
      </x:c>
      <x:c r="T829" t="s">
        <x:v>44</x:v>
      </x:c>
      <x:c r="U829" t="s">
        <x:v>44</x:v>
      </x:c>
      <x:c r="V829" t="s">
        <x:v>45</x:v>
      </x:c>
      <x:c r="W829" t="s">
        <x:v>60</x:v>
      </x:c>
      <x:c r="X829">
        <x:v>0</x:v>
      </x:c>
      <x:c r="Y829" t="s">
        <x:v>290</x:v>
      </x:c>
      <x:c r="Z829" t="s">
        <x:v>48</x:v>
      </x:c>
      <x:c r="AA829" t="s">
        <x:v>49</x:v>
      </x:c>
    </x:row>
    <x:row r="830">
      <x:c r="A830" s="1">
        <x:v>46307</x:v>
      </x:c>
      <x:c r="B830" t="s">
        <x:v>4716</x:v>
      </x:c>
      <x:c r="C830" t="s">
        <x:v>4981</x:v>
      </x:c>
      <x:c r="D830" t="s">
        <x:v>269</x:v>
      </x:c>
      <x:c r="E830" t="s">
        <x:v>4982</x:v>
      </x:c>
      <x:c r="F830" t="s">
        <x:v>31</x:v>
      </x:c>
      <x:c r="G830" t="s">
        <x:v>4983</x:v>
      </x:c>
      <x:c r="H830" t="s">
        <x:v>4984</x:v>
      </x:c>
      <x:c r="I830" t="s">
        <x:v>4985</x:v>
      </x:c>
      <x:c r="J830" t="s">
        <x:v>4986</x:v>
      </x:c>
      <x:c r="K830" t="s">
        <x:v>3093</x:v>
      </x:c>
      <x:c r="L830" t="s">
        <x:v>37</x:v>
      </x:c>
      <x:c r="M830" t="s">
        <x:v>4987</x:v>
      </x:c>
      <x:c r="N830" t="s">
        <x:v>4988</x:v>
      </x:c>
      <x:c r="O830" t="s">
        <x:v>4989</x:v>
      </x:c>
      <x:c r="P830" t="s">
        <x:v>4990</x:v>
      </x:c>
      <x:c r="Q830" t="s">
        <x:v>390</x:v>
      </x:c>
      <x:c r="R830">
        <x:v>1</x:v>
      </x:c>
      <x:c r="S830" t="s">
        <x:v>42</x:v>
      </x:c>
      <x:c r="T830" t="s">
        <x:v>44</x:v>
      </x:c>
      <x:c r="U830" t="s">
        <x:v>44</x:v>
      </x:c>
      <x:c r="V830" t="s">
        <x:v>45</x:v>
      </x:c>
      <x:c r="W830" t="s">
        <x:v>60</x:v>
      </x:c>
      <x:c r="X830">
        <x:v>805.08</x:v>
      </x:c>
      <x:c r="Y830" t="s">
        <x:v>290</x:v>
      </x:c>
      <x:c r="Z830" t="s">
        <x:v>48</x:v>
      </x:c>
      <x:c r="AA830" t="s">
        <x:v>49</x:v>
      </x:c>
    </x:row>
  </x:sheetData>
  <x:pageMargins left="0.7" right="0.7" top="0.75" bottom="0.75" header="0.3" footer="0.3"/>
  <x:tableParts count="1">
    <x:tablePart xmlns:r="http://schemas.openxmlformats.org/officeDocument/2006/relationships" r:id="Rd72b4d6da6744a2e"/>
  </x:tableParts>
</x:worksheet>
</file>

<file path=xl/worksheets/sheet5.xml><?xml version="1.0" encoding="utf-8"?>
<x:worksheet xmlns:x="http://schemas.openxmlformats.org/spreadsheetml/2006/main">
  <x:sheetPr>
    <x:tabColor rgb="FFFFFF00"/>
  </x:sheetPr>
  <x:sheetFormatPr baseColWidth="10" defaultRowHeight="14.399999618530273"/>
  <x:cols>
    <x:col min="1" max="1" width="40.88671875" customWidth="1"/>
    <x:col min="2" max="2" width="15.33203125" customWidth="1"/>
    <x:col min="3" max="3" width="13.5546875" customWidth="1"/>
    <x:col min="4" max="4" width="12.5546875" customWidth="1"/>
    <x:col min="5" max="5" width="33.88671875" customWidth="1"/>
    <x:col min="6" max="6" width="15.33203125" customWidth="1"/>
    <x:col min="7" max="7" width="13.5546875" customWidth="1"/>
  </x:cols>
  <x:sheetData>
    <x:row r="1" ht="21">
      <x:c r="A1" s="60" t="s">
        <x:v>4991</x:v>
      </x:c>
      <x:c r="B1" s="60"/>
      <x:c r="C1" s="60"/>
      <x:c r="D1" s="60"/>
      <x:c r="E1" s="60"/>
      <x:c r="F1" s="60"/>
      <x:c r="G1" s="60"/>
    </x:row>
    <x:row r="3">
      <x:c r="A3" s="59" t="s">
        <x:v>4992</x:v>
      </x:c>
      <x:c r="B3" s="59"/>
      <x:c r="C3" s="3" t="s">
        <x:v>4993</x:v>
      </x:c>
      <x:c r="E3" s="59" t="s">
        <x:v>4992</x:v>
      </x:c>
      <x:c r="F3" s="59"/>
      <x:c r="G3" s="3" t="s">
        <x:v>4993</x:v>
      </x:c>
    </x:row>
    <x:row r="4">
      <x:c r="A4" s="4" t="s">
        <x:v>4994</x:v>
      </x:c>
      <x:c r="B4" s="4" t="s">
        <x:v>4995</x:v>
      </x:c>
      <x:c r="C4" s="5" t="n">
        <x:f>+SUM(Tabla5[FACTURACIÓN])</x:f>
        <x:v>151249.14999999994</x:v>
      </x:c>
      <x:c r="E4" s="4" t="s">
        <x:v>4994</x:v>
      </x:c>
      <x:c r="F4" s="4" t="s">
        <x:v>4995</x:v>
      </x:c>
      <x:c r="G4" s="5" t="n">
        <x:f>+SUM(Tabla9[FACTURACIÓN])</x:f>
        <x:v>148634.8099999999</x:v>
      </x:c>
    </x:row>
    <x:row r="6">
      <x:c r="A6" s="59" t="s">
        <x:v>4996</x:v>
      </x:c>
      <x:c r="B6" s="59"/>
      <x:c r="C6" s="59"/>
      <x:c r="E6" s="59" t="s">
        <x:v>4997</x:v>
      </x:c>
      <x:c r="F6" s="59"/>
      <x:c r="G6" s="59"/>
    </x:row>
    <x:row r="7">
      <x:c r="A7" t="s">
        <x:v>8</x:v>
      </x:c>
      <x:c r="B7" t="s">
        <x:v>4998</x:v>
      </x:c>
      <x:c r="C7" t="s">
        <x:v>4999</x:v>
      </x:c>
      <x:c r="E7" t="s">
        <x:v>9</x:v>
      </x:c>
      <x:c r="F7" t="s">
        <x:v>4998</x:v>
      </x:c>
      <x:c r="G7" t="s">
        <x:v>4999</x:v>
      </x:c>
    </x:row>
    <x:row r="8">
      <x:c r="A8" s="44" t="s">
        <x:v>35</x:v>
      </x:c>
      <x:c r="B8" s="2" t="n">
        <x:f>+IF($B$4="TODOS",SUMIFS(Base_Precisa!X:X,Base_Precisa!J:J,Cálculo_Categorías!A8),SUMIFS(Base_Precisa!X:X,Base_Precisa!J:J,Cálculo_Categorías!A8,Base_Precisa!B:B,Cálculo_Categorías!$B$4))</x:f>
        <x:v>898.2900000000001</x:v>
      </x:c>
      <x:c r="C8" t="str" cm="1">
        <x:f t="array" ref="C8">+_xlfn.IFS(Tabla5[[#This Row],[FACTURACIÓN]]&lt;500,"A",Tabla5[[#This Row],[FACTURACIÓN]]&lt;1000,"AA",Tabla5[[#This Row],[FACTURACIÓN]]&gt;=1000,"AAA")</x:f>
        <x:v>AA</x:v>
      </x:c>
      <x:c r="E8" s="44" t="s">
        <x:v>36</x:v>
      </x:c>
      <x:c r="F8" s="2" t="n">
        <x:f>+IF($F$4="TODOS",SUMIFS(Base_Precisa!X:X,Base_Precisa!K:K,Cálculo_Categorías!E8),SUMIFS(Base_Precisa!X:X,Base_Precisa!K:K,Cálculo_Categorías!E8,Base_Precisa!B:B,Cálculo_Categorías!$F$4))</x:f>
        <x:v>10622.750000000004</x:v>
      </x:c>
      <x:c r="G8" t="str" cm="1">
        <x:f t="array" ref="G8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9">
      <x:c r="A9" s="44" t="s">
        <x:v>97</x:v>
      </x:c>
      <x:c r="B9" s="2" t="n">
        <x:f>+IF($B$4="TODOS",SUMIFS(Base_Precisa!X:X,Base_Precisa!J:J,Cálculo_Categorías!A9),SUMIFS(Base_Precisa!X:X,Base_Precisa!J:J,Cálculo_Categorías!A9,Base_Precisa!B:B,Cálculo_Categorías!$B$4))</x:f>
        <x:v>372.88</x:v>
      </x:c>
      <x:c r="C9" t="str" cm="1">
        <x:f t="array" ref="C9">+_xlfn.IFS(Tabla5[[#This Row],[FACTURACIÓN]]&lt;500,"A",Tabla5[[#This Row],[FACTURACIÓN]]&lt;1000,"AA",Tabla5[[#This Row],[FACTURACIÓN]]&gt;=1000,"AAA")</x:f>
        <x:v>A</x:v>
      </x:c>
      <x:c r="E9" s="44" t="s">
        <x:v>98</x:v>
      </x:c>
      <x:c r="F9" s="2" t="n">
        <x:f>+IF($F$4="TODOS",SUMIFS(Base_Precisa!X:X,Base_Precisa!K:K,Cálculo_Categorías!E9),SUMIFS(Base_Precisa!X:X,Base_Precisa!K:K,Cálculo_Categorías!E9,Base_Precisa!B:B,Cálculo_Categorías!$F$4))</x:f>
        <x:v>1593.1999999999998</x:v>
      </x:c>
      <x:c r="G9" t="str" cm="1">
        <x:f t="array" ref="G9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10">
      <x:c r="A10" s="44" t="s">
        <x:v>3435</x:v>
      </x:c>
      <x:c r="B10" s="2" t="n">
        <x:f>+IF($B$4="TODOS",SUMIFS(Base_Precisa!X:X,Base_Precisa!J:J,Cálculo_Categorías!A10),SUMIFS(Base_Precisa!X:X,Base_Precisa!J:J,Cálculo_Categorías!A10,Base_Precisa!B:B,Cálculo_Categorías!$B$4))</x:f>
        <x:v>271.18</x:v>
      </x:c>
      <x:c r="C10" t="str" cm="1">
        <x:f t="array" ref="C10">+_xlfn.IFS(Tabla5[[#This Row],[FACTURACIÓN]]&lt;500,"A",Tabla5[[#This Row],[FACTURACIÓN]]&lt;1000,"AA",Tabla5[[#This Row],[FACTURACIÓN]]&gt;=1000,"AAA")</x:f>
        <x:v>A</x:v>
      </x:c>
      <x:c r="E10" s="44" t="s">
        <x:v>1906</x:v>
      </x:c>
      <x:c r="F10" s="2" t="n">
        <x:f>+IF($F$4="TODOS",SUMIFS(Base_Precisa!X:X,Base_Precisa!K:K,Cálculo_Categorías!E10),SUMIFS(Base_Precisa!X:X,Base_Precisa!K:K,Cálculo_Categorías!E10,Base_Precisa!B:B,Cálculo_Categorías!$F$4))</x:f>
        <x:v>271.18</x:v>
      </x:c>
      <x:c r="G10" t="str" cm="1">
        <x:f t="array" ref="G10">+_xlfn.IFS(Tabla9[[#This Row],[FACTURACIÓN]]&lt;200,"Sin Categoría",Tabla9[[#This Row],[FACTURACIÓN]]&lt;500,"A",Tabla9[[#This Row],[FACTURACIÓN]]&lt;1000,"AA",Tabla9[[#This Row],[FACTURACIÓN]]&gt;=1000,"AAA")</x:f>
        <x:v>A</x:v>
      </x:c>
    </x:row>
    <x:row r="11">
      <x:c r="A11" s="44" t="s">
        <x:v>117</x:v>
      </x:c>
      <x:c r="B11" s="2" t="n">
        <x:f>+IF($B$4="TODOS",SUMIFS(Base_Precisa!X:X,Base_Precisa!J:J,Cálculo_Categorías!A11),SUMIFS(Base_Precisa!X:X,Base_Precisa!J:J,Cálculo_Categorías!A11,Base_Precisa!B:B,Cálculo_Categorías!$B$4))</x:f>
        <x:v>898.29</x:v>
      </x:c>
      <x:c r="C11" t="str" cm="1">
        <x:f t="array" ref="C11">+_xlfn.IFS(Tabla5[[#This Row],[FACTURACIÓN]]&lt;500,"A",Tabla5[[#This Row],[FACTURACIÓN]]&lt;1000,"AA",Tabla5[[#This Row],[FACTURACIÓN]]&gt;=1000,"AAA")</x:f>
        <x:v>AA</x:v>
      </x:c>
      <x:c r="E11" s="44" t="s">
        <x:v>118</x:v>
      </x:c>
      <x:c r="F11" s="2" t="n">
        <x:f>+IF($F$4="TODOS",SUMIFS(Base_Precisa!X:X,Base_Precisa!K:K,Cálculo_Categorías!E11),SUMIFS(Base_Precisa!X:X,Base_Precisa!K:K,Cálculo_Categorías!E11,Base_Precisa!B:B,Cálculo_Categorías!$F$4))</x:f>
        <x:v>898.29</x:v>
      </x:c>
      <x:c r="G11" t="str" cm="1">
        <x:f t="array" ref="G11">+_xlfn.IFS(Tabla9[[#This Row],[FACTURACIÓN]]&lt;200,"Sin Categoría",Tabla9[[#This Row],[FACTURACIÓN]]&lt;500,"A",Tabla9[[#This Row],[FACTURACIÓN]]&lt;1000,"AA",Tabla9[[#This Row],[FACTURACIÓN]]&gt;=1000,"AAA")</x:f>
        <x:v>AA</x:v>
      </x:c>
    </x:row>
    <x:row r="12">
      <x:c r="A12" s="44" t="s">
        <x:v>137</x:v>
      </x:c>
      <x:c r="B12" s="2" t="n">
        <x:f>+IF($B$4="TODOS",SUMIFS(Base_Precisa!X:X,Base_Precisa!J:J,Cálculo_Categorías!A12),SUMIFS(Base_Precisa!X:X,Base_Precisa!J:J,Cálculo_Categorías!A12,Base_Precisa!B:B,Cálculo_Categorías!$B$4))</x:f>
        <x:v>4338.93</x:v>
      </x:c>
      <x:c r="C12" t="str" cm="1">
        <x:f t="array" ref="C12">+_xlfn.IFS(Tabla5[[#This Row],[FACTURACIÓN]]&lt;500,"A",Tabla5[[#This Row],[FACTURACIÓN]]&lt;1000,"AA",Tabla5[[#This Row],[FACTURACIÓN]]&gt;=1000,"AAA")</x:f>
        <x:v>AAA</x:v>
      </x:c>
      <x:c r="E12" s="44" t="s">
        <x:v>138</x:v>
      </x:c>
      <x:c r="F12" s="2" t="n">
        <x:f>+IF($F$4="TODOS",SUMIFS(Base_Precisa!X:X,Base_Precisa!K:K,Cálculo_Categorías!E12),SUMIFS(Base_Precisa!X:X,Base_Precisa!K:K,Cálculo_Categorías!E12,Base_Precisa!B:B,Cálculo_Categorías!$F$4))</x:f>
        <x:v>4338.93</x:v>
      </x:c>
      <x:c r="G12" t="str" cm="1">
        <x:f t="array" ref="G12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13">
      <x:c r="A13" s="44" t="s">
        <x:v>209</x:v>
      </x:c>
      <x:c r="B13" s="2" t="n">
        <x:f>+IF($B$4="TODOS",SUMIFS(Base_Precisa!X:X,Base_Precisa!J:J,Cálculo_Categorías!A13),SUMIFS(Base_Precisa!X:X,Base_Precisa!J:J,Cálculo_Categorías!A13,Base_Precisa!B:B,Cálculo_Categorías!$B$4))</x:f>
        <x:v>355.93</x:v>
      </x:c>
      <x:c r="C13" t="str" cm="1">
        <x:f t="array" ref="C13">+_xlfn.IFS(Tabla5[[#This Row],[FACTURACIÓN]]&lt;500,"A",Tabla5[[#This Row],[FACTURACIÓN]]&lt;1000,"AA",Tabla5[[#This Row],[FACTURACIÓN]]&gt;=1000,"AAA")</x:f>
        <x:v>A</x:v>
      </x:c>
      <x:c r="E13" s="44" t="s">
        <x:v>210</x:v>
      </x:c>
      <x:c r="F13" s="2" t="n">
        <x:f>+IF($F$4="TODOS",SUMIFS(Base_Precisa!X:X,Base_Precisa!K:K,Cálculo_Categorías!E13),SUMIFS(Base_Precisa!X:X,Base_Precisa!K:K,Cálculo_Categorías!E13,Base_Precisa!B:B,Cálculo_Categorías!$F$4))</x:f>
        <x:v>19465.920000000002</x:v>
      </x:c>
      <x:c r="G13" t="str" cm="1">
        <x:f t="array" ref="G13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14">
      <x:c r="A14" s="44" t="s">
        <x:v>228</x:v>
      </x:c>
      <x:c r="B14" s="2" t="n">
        <x:f>+IF($B$4="TODOS",SUMIFS(Base_Precisa!X:X,Base_Precisa!J:J,Cálculo_Categorías!A14),SUMIFS(Base_Precisa!X:X,Base_Precisa!J:J,Cálculo_Categorías!A14,Base_Precisa!B:B,Cálculo_Categorías!$B$4))</x:f>
        <x:v>0</x:v>
      </x:c>
      <x:c r="C14" t="str" cm="1">
        <x:f t="array" ref="C14">+_xlfn.IFS(Tabla5[[#This Row],[FACTURACIÓN]]&lt;500,"A",Tabla5[[#This Row],[FACTURACIÓN]]&lt;1000,"AA",Tabla5[[#This Row],[FACTURACIÓN]]&gt;=1000,"AAA")</x:f>
        <x:v>A</x:v>
      </x:c>
      <x:c r="E14" s="44" t="s">
        <x:v>413</x:v>
      </x:c>
      <x:c r="F14" s="2" t="n">
        <x:f>+IF($F$4="TODOS",SUMIFS(Base_Precisa!X:X,Base_Precisa!K:K,Cálculo_Categorías!E14),SUMIFS(Base_Precisa!X:X,Base_Precisa!K:K,Cálculo_Categorías!E14,Base_Precisa!B:B,Cálculo_Categorías!$F$4))</x:f>
        <x:v>3673.7000000000007</x:v>
      </x:c>
      <x:c r="G14" t="str" cm="1">
        <x:f t="array" ref="G14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15">
      <x:c r="A15" s="44" t="s">
        <x:v>412</x:v>
      </x:c>
      <x:c r="B15" s="2" t="n">
        <x:f>+IF($B$4="TODOS",SUMIFS(Base_Precisa!X:X,Base_Precisa!J:J,Cálculo_Categorías!A15),SUMIFS(Base_Precisa!X:X,Base_Precisa!J:J,Cálculo_Categorías!A15,Base_Precisa!B:B,Cálculo_Categorías!$B$4))</x:f>
        <x:v>3673.7000000000007</x:v>
      </x:c>
      <x:c r="C15" t="str" cm="1">
        <x:f t="array" ref="C15">+_xlfn.IFS(Tabla5[[#This Row],[FACTURACIÓN]]&lt;500,"A",Tabla5[[#This Row],[FACTURACIÓN]]&lt;1000,"AA",Tabla5[[#This Row],[FACTURACIÓN]]&gt;=1000,"AAA")</x:f>
        <x:v>AAA</x:v>
      </x:c>
      <x:c r="E15" s="44" t="s">
        <x:v>263</x:v>
      </x:c>
      <x:c r="F15" s="2" t="n">
        <x:f>+IF($F$4="TODOS",SUMIFS(Base_Precisa!X:X,Base_Precisa!K:K,Cálculo_Categorías!E15),SUMIFS(Base_Precisa!X:X,Base_Precisa!K:K,Cálculo_Categorías!E15,Base_Precisa!B:B,Cálculo_Categorías!$F$4))</x:f>
        <x:v>1084.7400000000002</x:v>
      </x:c>
      <x:c r="G15" t="str" cm="1">
        <x:f t="array" ref="G15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16">
      <x:c r="A16" s="44" t="s">
        <x:v>262</x:v>
      </x:c>
      <x:c r="B16" s="2" t="n">
        <x:f>+IF($B$4="TODOS",SUMIFS(Base_Precisa!X:X,Base_Precisa!J:J,Cálculo_Categorías!A16),SUMIFS(Base_Precisa!X:X,Base_Precisa!J:J,Cálculo_Categorías!A16,Base_Precisa!B:B,Cálculo_Categorías!$B$4))</x:f>
        <x:v>338.98</x:v>
      </x:c>
      <x:c r="C16" t="str" cm="1">
        <x:f t="array" ref="C16">+_xlfn.IFS(Tabla5[[#This Row],[FACTURACIÓN]]&lt;500,"A",Tabla5[[#This Row],[FACTURACIÓN]]&lt;1000,"AA",Tabla5[[#This Row],[FACTURACIÓN]]&gt;=1000,"AAA")</x:f>
        <x:v>A</x:v>
      </x:c>
      <x:c r="E16" s="44" t="s">
        <x:v>346</x:v>
      </x:c>
      <x:c r="F16" s="2" t="n">
        <x:f>+IF($F$4="TODOS",SUMIFS(Base_Precisa!X:X,Base_Precisa!K:K,Cálculo_Categorías!E16),SUMIFS(Base_Precisa!X:X,Base_Precisa!K:K,Cálculo_Categorías!E16,Base_Precisa!B:B,Cálculo_Categorías!$F$4))</x:f>
        <x:v>1033.8899999999999</x:v>
      </x:c>
      <x:c r="G16" t="str" cm="1">
        <x:f t="array" ref="G16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17">
      <x:c r="A17" s="44" t="s">
        <x:v>345</x:v>
      </x:c>
      <x:c r="B17" s="2" t="n">
        <x:f>+IF($B$4="TODOS",SUMIFS(Base_Precisa!X:X,Base_Precisa!J:J,Cálculo_Categorías!A17),SUMIFS(Base_Precisa!X:X,Base_Precisa!J:J,Cálculo_Categorías!A17,Base_Precisa!B:B,Cálculo_Categorías!$B$4))</x:f>
        <x:v>728.81</x:v>
      </x:c>
      <x:c r="C17" t="str" cm="1">
        <x:f t="array" ref="C17">+_xlfn.IFS(Tabla5[[#This Row],[FACTURACIÓN]]&lt;500,"A",Tabla5[[#This Row],[FACTURACIÓN]]&lt;1000,"AA",Tabla5[[#This Row],[FACTURACIÓN]]&gt;=1000,"AAA")</x:f>
        <x:v>AA</x:v>
      </x:c>
      <x:c r="E17" s="44" t="s">
        <x:v>275</x:v>
      </x:c>
      <x:c r="F17" s="2" t="n">
        <x:f>+IF($F$4="TODOS",SUMIFS(Base_Precisa!X:X,Base_Precisa!K:K,Cálculo_Categorías!E17),SUMIFS(Base_Precisa!X:X,Base_Precisa!K:K,Cálculo_Categorías!E17,Base_Precisa!B:B,Cálculo_Categorías!$F$4))</x:f>
        <x:v>28898.269999999997</x:v>
      </x:c>
      <x:c r="G17" t="str" cm="1">
        <x:f t="array" ref="G17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18">
      <x:c r="A18" s="44" t="s">
        <x:v>274</x:v>
      </x:c>
      <x:c r="B18" s="2" t="n">
        <x:f>+IF($B$4="TODOS",SUMIFS(Base_Precisa!X:X,Base_Precisa!J:J,Cálculo_Categorías!A18),SUMIFS(Base_Precisa!X:X,Base_Precisa!J:J,Cálculo_Categorías!A18,Base_Precisa!B:B,Cálculo_Categorías!$B$4))</x:f>
        <x:v>28898.269999999997</x:v>
      </x:c>
      <x:c r="C18" t="str" cm="1">
        <x:f t="array" ref="C18">+_xlfn.IFS(Tabla5[[#This Row],[FACTURACIÓN]]&lt;500,"A",Tabla5[[#This Row],[FACTURACIÓN]]&lt;1000,"AA",Tabla5[[#This Row],[FACTURACIÓN]]&gt;=1000,"AAA")</x:f>
        <x:v>AAA</x:v>
      </x:c>
      <x:c r="E18" s="44" t="s">
        <x:v>436</x:v>
      </x:c>
      <x:c r="F18" s="2" t="n">
        <x:f>+IF($F$4="TODOS",SUMIFS(Base_Precisa!X:X,Base_Precisa!K:K,Cálculo_Categorías!E18),SUMIFS(Base_Precisa!X:X,Base_Precisa!K:K,Cálculo_Categorías!E18,Base_Precisa!B:B,Cálculo_Categorías!$F$4))</x:f>
        <x:v>3203.3500000000004</x:v>
      </x:c>
      <x:c r="G18" t="str" cm="1">
        <x:f t="array" ref="G18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19">
      <x:c r="A19" s="44" t="s">
        <x:v>435</x:v>
      </x:c>
      <x:c r="B19" s="2" t="n">
        <x:f>+IF($B$4="TODOS",SUMIFS(Base_Precisa!X:X,Base_Precisa!J:J,Cálculo_Categorías!A19),SUMIFS(Base_Precisa!X:X,Base_Precisa!J:J,Cálculo_Categorías!A19,Base_Precisa!B:B,Cálculo_Categorías!$B$4))</x:f>
        <x:v>3203.3500000000004</x:v>
      </x:c>
      <x:c r="C19" t="str" cm="1">
        <x:f t="array" ref="C19">+_xlfn.IFS(Tabla5[[#This Row],[FACTURACIÓN]]&lt;500,"A",Tabla5[[#This Row],[FACTURACIÓN]]&lt;1000,"AA",Tabla5[[#This Row],[FACTURACIÓN]]&gt;=1000,"AAA")</x:f>
        <x:v>AAA</x:v>
      </x:c>
      <x:c r="E19" s="44" t="s">
        <x:v>2049</x:v>
      </x:c>
      <x:c r="F19" s="2" t="n">
        <x:f>+IF($F$4="TODOS",SUMIFS(Base_Precisa!X:X,Base_Precisa!K:K,Cálculo_Categorías!E19),SUMIFS(Base_Precisa!X:X,Base_Precisa!K:K,Cálculo_Categorías!E19,Base_Precisa!B:B,Cálculo_Categorías!$F$4))</x:f>
        <x:v>559.3199999999999</x:v>
      </x:c>
      <x:c r="G19" t="str" cm="1">
        <x:f t="array" ref="G19">+_xlfn.IFS(Tabla9[[#This Row],[FACTURACIÓN]]&lt;200,"Sin Categoría",Tabla9[[#This Row],[FACTURACIÓN]]&lt;500,"A",Tabla9[[#This Row],[FACTURACIÓN]]&lt;1000,"AA",Tabla9[[#This Row],[FACTURACIÓN]]&gt;=1000,"AAA")</x:f>
        <x:v>AA</x:v>
      </x:c>
    </x:row>
    <x:row r="20">
      <x:c r="A20" s="44" t="s">
        <x:v>2048</x:v>
      </x:c>
      <x:c r="B20" s="2" t="n">
        <x:f>+IF($B$4="TODOS",SUMIFS(Base_Precisa!X:X,Base_Precisa!J:J,Cálculo_Categorías!A20),SUMIFS(Base_Precisa!X:X,Base_Precisa!J:J,Cálculo_Categorías!A20,Base_Precisa!B:B,Cálculo_Categorías!$B$4))</x:f>
        <x:v>559.3199999999999</x:v>
      </x:c>
      <x:c r="C20" t="str" cm="1">
        <x:f t="array" ref="C20">+_xlfn.IFS(Tabla5[[#This Row],[FACTURACIÓN]]&lt;500,"A",Tabla5[[#This Row],[FACTURACIÓN]]&lt;1000,"AA",Tabla5[[#This Row],[FACTURACIÓN]]&gt;=1000,"AAA")</x:f>
        <x:v>AA</x:v>
      </x:c>
      <x:c r="E20" s="44" t="s">
        <x:v>631</x:v>
      </x:c>
      <x:c r="F20" s="2" t="n">
        <x:f>+IF($F$4="TODOS",SUMIFS(Base_Precisa!X:X,Base_Precisa!K:K,Cálculo_Categorías!E20),SUMIFS(Base_Precisa!X:X,Base_Precisa!K:K,Cálculo_Categorías!E20,Base_Precisa!B:B,Cálculo_Categorías!$F$4))</x:f>
        <x:v>4275.42</x:v>
      </x:c>
      <x:c r="G20" t="str" cm="1">
        <x:f t="array" ref="G20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21">
      <x:c r="A21" s="44" t="s">
        <x:v>478</x:v>
      </x:c>
      <x:c r="B21" s="2" t="n">
        <x:f>+IF($B$4="TODOS",SUMIFS(Base_Precisa!X:X,Base_Precisa!J:J,Cálculo_Categorías!A21),SUMIFS(Base_Precisa!X:X,Base_Precisa!J:J,Cálculo_Categorías!A21,Base_Precisa!B:B,Cálculo_Categorías!$B$4))</x:f>
        <x:v>2038.11</x:v>
      </x:c>
      <x:c r="C21" t="str" cm="1">
        <x:f t="array" ref="C21">+_xlfn.IFS(Tabla5[[#This Row],[FACTURACIÓN]]&lt;500,"A",Tabla5[[#This Row],[FACTURACIÓN]]&lt;1000,"AA",Tabla5[[#This Row],[FACTURACIÓN]]&gt;=1000,"AAA")</x:f>
        <x:v>AAA</x:v>
      </x:c>
      <x:c r="E21" s="44" t="s">
        <x:v>654</x:v>
      </x:c>
      <x:c r="F21" s="2" t="n">
        <x:f>+IF($F$4="TODOS",SUMIFS(Base_Precisa!X:X,Base_Precisa!K:K,Cálculo_Categorías!E21),SUMIFS(Base_Precisa!X:X,Base_Precisa!K:K,Cálculo_Categorías!E21,Base_Precisa!B:B,Cálculo_Categorías!$F$4))</x:f>
        <x:v>474.57</x:v>
      </x:c>
      <x:c r="G21" t="str" cm="1">
        <x:f t="array" ref="G21">+_xlfn.IFS(Tabla9[[#This Row],[FACTURACIÓN]]&lt;200,"Sin Categoría",Tabla9[[#This Row],[FACTURACIÓN]]&lt;500,"A",Tabla9[[#This Row],[FACTURACIÓN]]&lt;1000,"AA",Tabla9[[#This Row],[FACTURACIÓN]]&gt;=1000,"AAA")</x:f>
        <x:v>A</x:v>
      </x:c>
    </x:row>
    <x:row r="22">
      <x:c r="A22" s="44" t="s">
        <x:v>630</x:v>
      </x:c>
      <x:c r="B22" s="2" t="n">
        <x:f>+IF($B$4="TODOS",SUMIFS(Base_Precisa!X:X,Base_Precisa!J:J,Cálculo_Categorías!A22),SUMIFS(Base_Precisa!X:X,Base_Precisa!J:J,Cálculo_Categorías!A22,Base_Precisa!B:B,Cálculo_Categorías!$B$4))</x:f>
        <x:v>2750.0099999999998</x:v>
      </x:c>
      <x:c r="C22" t="str" cm="1">
        <x:f t="array" ref="C22">+_xlfn.IFS(Tabla5[[#This Row],[FACTURACIÓN]]&lt;500,"A",Tabla5[[#This Row],[FACTURACIÓN]]&lt;1000,"AA",Tabla5[[#This Row],[FACTURACIÓN]]&gt;=1000,"AAA")</x:f>
        <x:v>AAA</x:v>
      </x:c>
      <x:c r="E22" s="44" t="s">
        <x:v>718</x:v>
      </x:c>
      <x:c r="F22" s="2" t="n">
        <x:f>+IF($F$4="TODOS",SUMIFS(Base_Precisa!X:X,Base_Precisa!K:K,Cálculo_Categorías!E22),SUMIFS(Base_Precisa!X:X,Base_Precisa!K:K,Cálculo_Categorías!E22,Base_Precisa!B:B,Cálculo_Categorías!$F$4))</x:f>
        <x:v>3745.720000000001</x:v>
      </x:c>
      <x:c r="G22" t="str" cm="1">
        <x:f t="array" ref="G22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23">
      <x:c r="A23" s="44" t="s">
        <x:v>653</x:v>
      </x:c>
      <x:c r="B23" s="2" t="n">
        <x:f>+IF($B$4="TODOS",SUMIFS(Base_Precisa!X:X,Base_Precisa!J:J,Cálculo_Categorías!A23),SUMIFS(Base_Precisa!X:X,Base_Precisa!J:J,Cálculo_Categorías!A23,Base_Precisa!B:B,Cálculo_Categorías!$B$4))</x:f>
        <x:v>474.57</x:v>
      </x:c>
      <x:c r="C23" t="str" cm="1">
        <x:f t="array" ref="C23">+_xlfn.IFS(Tabla5[[#This Row],[FACTURACIÓN]]&lt;500,"A",Tabla5[[#This Row],[FACTURACIÓN]]&lt;1000,"AA",Tabla5[[#This Row],[FACTURACIÓN]]&gt;=1000,"AAA")</x:f>
        <x:v>A</x:v>
      </x:c>
      <x:c r="E23" s="44" t="s">
        <x:v>777</x:v>
      </x:c>
      <x:c r="F23" s="2" t="n">
        <x:f>+IF($F$4="TODOS",SUMIFS(Base_Precisa!X:X,Base_Precisa!K:K,Cálculo_Categorías!E23),SUMIFS(Base_Precisa!X:X,Base_Precisa!K:K,Cálculo_Categorías!E23,Base_Precisa!B:B,Cálculo_Categorías!$F$4))</x:f>
        <x:v>45639.78999999995</x:v>
      </x:c>
      <x:c r="G23" t="str" cm="1">
        <x:f t="array" ref="G23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24">
      <x:c r="A24" s="44" t="s">
        <x:v>717</x:v>
      </x:c>
      <x:c r="B24" s="2" t="n">
        <x:f>+IF($B$4="TODOS",SUMIFS(Base_Precisa!X:X,Base_Precisa!J:J,Cálculo_Categorías!A24),SUMIFS(Base_Precisa!X:X,Base_Precisa!J:J,Cálculo_Categorías!A24,Base_Precisa!B:B,Cálculo_Categorías!$B$4))</x:f>
        <x:v>3745.720000000001</x:v>
      </x:c>
      <x:c r="C24" t="str" cm="1">
        <x:f t="array" ref="C24">+_xlfn.IFS(Tabla5[[#This Row],[FACTURACIÓN]]&lt;500,"A",Tabla5[[#This Row],[FACTURACIÓN]]&lt;1000,"AA",Tabla5[[#This Row],[FACTURACIÓN]]&gt;=1000,"AAA")</x:f>
        <x:v>AAA</x:v>
      </x:c>
      <x:c r="E24" s="44" t="s">
        <x:v>1100</x:v>
      </x:c>
      <x:c r="F24" s="2" t="n">
        <x:f>+IF($F$4="TODOS",SUMIFS(Base_Precisa!X:X,Base_Precisa!K:K,Cálculo_Categorías!E24),SUMIFS(Base_Precisa!X:X,Base_Precisa!K:K,Cálculo_Categorías!E24,Base_Precisa!B:B,Cálculo_Categorías!$F$4))</x:f>
        <x:v>1067.78</x:v>
      </x:c>
      <x:c r="G24" t="str" cm="1">
        <x:f t="array" ref="G24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25">
      <x:c r="A25" s="44" t="s">
        <x:v>764</x:v>
      </x:c>
      <x:c r="B25" s="2" t="n">
        <x:f>+IF($B$4="TODOS",SUMIFS(Base_Precisa!X:X,Base_Precisa!J:J,Cálculo_Categorías!A25),SUMIFS(Base_Precisa!X:X,Base_Precisa!J:J,Cálculo_Categorías!A25,Base_Precisa!B:B,Cálculo_Categorías!$B$4))</x:f>
        <x:v>1355.91</x:v>
      </x:c>
      <x:c r="C25" t="str" cm="1">
        <x:f t="array" ref="C25">+_xlfn.IFS(Tabla5[[#This Row],[FACTURACIÓN]]&lt;500,"A",Tabla5[[#This Row],[FACTURACIÓN]]&lt;1000,"AA",Tabla5[[#This Row],[FACTURACIÓN]]&gt;=1000,"AAA")</x:f>
        <x:v>AAA</x:v>
      </x:c>
      <x:c r="E25" s="44" t="s">
        <x:v>1167</x:v>
      </x:c>
      <x:c r="F25" s="2" t="n">
        <x:f>+IF($F$4="TODOS",SUMIFS(Base_Precisa!X:X,Base_Precisa!K:K,Cálculo_Categorías!E25),SUMIFS(Base_Precisa!X:X,Base_Precisa!K:K,Cálculo_Categorías!E25,Base_Precisa!B:B,Cálculo_Categorías!$F$4))</x:f>
        <x:v>1203.38</x:v>
      </x:c>
      <x:c r="G25" t="str" cm="1">
        <x:f t="array" ref="G25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26">
      <x:c r="A26" s="44" t="s">
        <x:v>776</x:v>
      </x:c>
      <x:c r="B26" s="2" t="n">
        <x:f>+IF($B$4="TODOS",SUMIFS(Base_Precisa!X:X,Base_Precisa!J:J,Cálculo_Categorías!A26),SUMIFS(Base_Precisa!X:X,Base_Precisa!J:J,Cálculo_Categorías!A26,Base_Precisa!B:B,Cálculo_Categorías!$B$4))</x:f>
        <x:v>44622.84999999994</x:v>
      </x:c>
      <x:c r="C26" t="str" cm="1">
        <x:f t="array" ref="C26">+_xlfn.IFS(Tabla5[[#This Row],[FACTURACIÓN]]&lt;500,"A",Tabla5[[#This Row],[FACTURACIÓN]]&lt;1000,"AA",Tabla5[[#This Row],[FACTURACIÓN]]&gt;=1000,"AAA")</x:f>
        <x:v>AAA</x:v>
      </x:c>
      <x:c r="E26" s="44" t="s">
        <x:v>1224</x:v>
      </x:c>
      <x:c r="F26" s="2" t="n">
        <x:f>+IF($F$4="TODOS",SUMIFS(Base_Precisa!X:X,Base_Precisa!K:K,Cálculo_Categorías!E26),SUMIFS(Base_Precisa!X:X,Base_Precisa!K:K,Cálculo_Categorías!E26,Base_Precisa!B:B,Cálculo_Categorías!$F$4))</x:f>
        <x:v>135.59</x:v>
      </x:c>
      <x:c r="G26" t="str" cm="1">
        <x:f t="array" ref="G26">+_xlfn.IFS(Tabla9[[#This Row],[FACTURACIÓN]]&lt;200,"Sin Categoría",Tabla9[[#This Row],[FACTURACIÓN]]&lt;500,"A",Tabla9[[#This Row],[FACTURACIÓN]]&lt;1000,"AA",Tabla9[[#This Row],[FACTURACIÓN]]&gt;=1000,"AAA")</x:f>
        <x:v>Sin Categoría</x:v>
      </x:c>
    </x:row>
    <x:row r="27">
      <x:c r="A27" s="44" t="s">
        <x:v>1066</x:v>
      </x:c>
      <x:c r="B27" s="2" t="n">
        <x:f>+IF($B$4="TODOS",SUMIFS(Base_Precisa!X:X,Base_Precisa!J:J,Cálculo_Categorías!A27),SUMIFS(Base_Precisa!X:X,Base_Precisa!J:J,Cálculo_Categorías!A27,Base_Precisa!B:B,Cálculo_Categorías!$B$4))</x:f>
        <x:v>135.59</x:v>
      </x:c>
      <x:c r="C27" t="str" cm="1">
        <x:f t="array" ref="C27">+_xlfn.IFS(Tabla5[[#This Row],[FACTURACIÓN]]&lt;500,"A",Tabla5[[#This Row],[FACTURACIÓN]]&lt;1000,"AA",Tabla5[[#This Row],[FACTURACIÓN]]&gt;=1000,"AAA")</x:f>
        <x:v>A</x:v>
      </x:c>
      <x:c r="E27" s="44" t="s">
        <x:v>366</x:v>
      </x:c>
      <x:c r="F27" s="2" t="n">
        <x:f>+IF($F$4="TODOS",SUMIFS(Base_Precisa!X:X,Base_Precisa!K:K,Cálculo_Categorías!E27),SUMIFS(Base_Precisa!X:X,Base_Precisa!K:K,Cálculo_Categorías!E27,Base_Precisa!B:B,Cálculo_Categorías!$F$4))</x:f>
        <x:v>1949.1499999999999</x:v>
      </x:c>
      <x:c r="G27" t="str" cm="1">
        <x:f t="array" ref="G27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28">
      <x:c r="A28" s="44" t="s">
        <x:v>664</x:v>
      </x:c>
      <x:c r="B28" s="2" t="n">
        <x:f>+IF($B$4="TODOS",SUMIFS(Base_Precisa!X:X,Base_Precisa!J:J,Cálculo_Categorías!A28),SUMIFS(Base_Precisa!X:X,Base_Precisa!J:J,Cálculo_Categorías!A28,Base_Precisa!B:B,Cálculo_Categorías!$B$4))</x:f>
        <x:v>4885.54</x:v>
      </x:c>
      <x:c r="C28" t="str" cm="1">
        <x:f t="array" ref="C28">+_xlfn.IFS(Tabla5[[#This Row],[FACTURACIÓN]]&lt;500,"A",Tabla5[[#This Row],[FACTURACIÓN]]&lt;1000,"AA",Tabla5[[#This Row],[FACTURACIÓN]]&gt;=1000,"AAA")</x:f>
        <x:v>AAA</x:v>
      </x:c>
      <x:c r="E28" s="44" t="s">
        <x:v>1122</x:v>
      </x:c>
      <x:c r="F28" s="2" t="n">
        <x:f>+IF($F$4="TODOS",SUMIFS(Base_Precisa!X:X,Base_Precisa!K:K,Cálculo_Categorías!E28),SUMIFS(Base_Precisa!X:X,Base_Precisa!K:K,Cálculo_Categorías!E28,Base_Precisa!B:B,Cálculo_Categorías!$F$4))</x:f>
        <x:v>1398.3</x:v>
      </x:c>
      <x:c r="G28" t="str" cm="1">
        <x:f t="array" ref="G28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29">
      <x:c r="A29" s="44" t="s">
        <x:v>1056</x:v>
      </x:c>
      <x:c r="B29" s="2" t="n">
        <x:f>+IF($B$4="TODOS",SUMIFS(Base_Precisa!X:X,Base_Precisa!J:J,Cálculo_Categorías!A29),SUMIFS(Base_Precisa!X:X,Base_Precisa!J:J,Cálculo_Categorías!A29,Base_Precisa!B:B,Cálculo_Categorías!$B$4))</x:f>
        <x:v>186.44</x:v>
      </x:c>
      <x:c r="C29" t="str" cm="1">
        <x:f t="array" ref="C29">+_xlfn.IFS(Tabla5[[#This Row],[FACTURACIÓN]]&lt;500,"A",Tabla5[[#This Row],[FACTURACIÓN]]&lt;1000,"AA",Tabla5[[#This Row],[FACTURACIÓN]]&gt;=1000,"AAA")</x:f>
        <x:v>A</x:v>
      </x:c>
      <x:c r="E29" s="44" t="s">
        <x:v>1156</x:v>
      </x:c>
      <x:c r="F29" s="2" t="n">
        <x:f>+IF($F$4="TODOS",SUMIFS(Base_Precisa!X:X,Base_Precisa!K:K,Cálculo_Categorías!E29),SUMIFS(Base_Precisa!X:X,Base_Precisa!K:K,Cálculo_Categorías!E29,Base_Precisa!B:B,Cálculo_Categorías!$F$4))</x:f>
        <x:v>661.0100000000001</x:v>
      </x:c>
      <x:c r="G29" t="str" cm="1">
        <x:f t="array" ref="G29">+_xlfn.IFS(Tabla9[[#This Row],[FACTURACIÓN]]&lt;200,"Sin Categoría",Tabla9[[#This Row],[FACTURACIÓN]]&lt;500,"A",Tabla9[[#This Row],[FACTURACIÓN]]&lt;1000,"AA",Tabla9[[#This Row],[FACTURACIÓN]]&gt;=1000,"AAA")</x:f>
        <x:v>AA</x:v>
      </x:c>
    </x:row>
    <x:row r="30">
      <x:c r="A30" s="44" t="s">
        <x:v>1075</x:v>
      </x:c>
      <x:c r="B30" s="2" t="n">
        <x:f>+IF($B$4="TODOS",SUMIFS(Base_Precisa!X:X,Base_Precisa!J:J,Cálculo_Categorías!A30),SUMIFS(Base_Precisa!X:X,Base_Precisa!J:J,Cálculo_Categorías!A30,Base_Precisa!B:B,Cálculo_Categorías!$B$4))</x:f>
        <x:v>1220.32</x:v>
      </x:c>
      <x:c r="C30" t="str" cm="1">
        <x:f t="array" ref="C30">+_xlfn.IFS(Tabla5[[#This Row],[FACTURACIÓN]]&lt;500,"A",Tabla5[[#This Row],[FACTURACIÓN]]&lt;1000,"AA",Tabla5[[#This Row],[FACTURACIÓN]]&gt;=1000,"AAA")</x:f>
        <x:v>AAA</x:v>
      </x:c>
      <x:c r="E30" s="44" t="s">
        <x:v>707</x:v>
      </x:c>
      <x:c r="F30" s="2" t="n">
        <x:f>+IF($F$4="TODOS",SUMIFS(Base_Precisa!X:X,Base_Precisa!K:K,Cálculo_Categorías!E30),SUMIFS(Base_Precisa!X:X,Base_Precisa!K:K,Cálculo_Categorías!E30,Base_Precisa!B:B,Cálculo_Categorías!$F$4))</x:f>
        <x:v>3864.3700000000003</x:v>
      </x:c>
      <x:c r="G30" t="str" cm="1">
        <x:f t="array" ref="G30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31">
      <x:c r="A31" s="44" t="s">
        <x:v>1099</x:v>
      </x:c>
      <x:c r="B31" s="2" t="n">
        <x:f>+IF($B$4="TODOS",SUMIFS(Base_Precisa!X:X,Base_Precisa!J:J,Cálculo_Categorías!A31),SUMIFS(Base_Precisa!X:X,Base_Precisa!J:J,Cálculo_Categorías!A31,Base_Precisa!B:B,Cálculo_Categorías!$B$4))</x:f>
        <x:v>135.59</x:v>
      </x:c>
      <x:c r="C31" t="str" cm="1">
        <x:f t="array" ref="C31">+_xlfn.IFS(Tabla5[[#This Row],[FACTURACIÓN]]&lt;500,"A",Tabla5[[#This Row],[FACTURACIÓN]]&lt;1000,"AA",Tabla5[[#This Row],[FACTURACIÓN]]&gt;=1000,"AAA")</x:f>
        <x:v>A</x:v>
      </x:c>
      <x:c r="E31" s="44" t="s">
        <x:v>1427</x:v>
      </x:c>
      <x:c r="F31" s="2" t="n">
        <x:f>+IF($F$4="TODOS",SUMIFS(Base_Precisa!X:X,Base_Precisa!K:K,Cálculo_Categorías!E31),SUMIFS(Base_Precisa!X:X,Base_Precisa!K:K,Cálculo_Categorías!E31,Base_Precisa!B:B,Cálculo_Categorías!$F$4))</x:f>
        <x:v>932.19</x:v>
      </x:c>
      <x:c r="G31" t="str" cm="1">
        <x:f t="array" ref="G31">+_xlfn.IFS(Tabla9[[#This Row],[FACTURACIÓN]]&lt;200,"Sin Categoría",Tabla9[[#This Row],[FACTURACIÓN]]&lt;500,"A",Tabla9[[#This Row],[FACTURACIÓN]]&lt;1000,"AA",Tabla9[[#This Row],[FACTURACIÓN]]&gt;=1000,"AAA")</x:f>
        <x:v>AA</x:v>
      </x:c>
    </x:row>
    <x:row r="32">
      <x:c r="A32" s="44" t="s">
        <x:v>1110</x:v>
      </x:c>
      <x:c r="B32" s="2" t="n">
        <x:f>+IF($B$4="TODOS",SUMIFS(Base_Precisa!X:X,Base_Precisa!J:J,Cálculo_Categorías!A32),SUMIFS(Base_Precisa!X:X,Base_Precisa!J:J,Cálculo_Categorías!A32,Base_Precisa!B:B,Cálculo_Categorías!$B$4))</x:f>
        <x:v>2631.33</x:v>
      </x:c>
      <x:c r="C32" t="str" cm="1">
        <x:f t="array" ref="C32">+_xlfn.IFS(Tabla5[[#This Row],[FACTURACIÓN]]&lt;500,"A",Tabla5[[#This Row],[FACTURACIÓN]]&lt;1000,"AA",Tabla5[[#This Row],[FACTURACIÓN]]&gt;=1000,"AAA")</x:f>
        <x:v>AAA</x:v>
      </x:c>
      <x:c r="E32" s="44" t="s">
        <x:v>3087</x:v>
      </x:c>
      <x:c r="F32" s="2" t="n">
        <x:f>+IF($F$4="TODOS",SUMIFS(Base_Precisa!X:X,Base_Precisa!K:K,Cálculo_Categorías!E32),SUMIFS(Base_Precisa!X:X,Base_Precisa!K:K,Cálculo_Categorías!E32,Base_Precisa!B:B,Cálculo_Categorías!$F$4))</x:f>
        <x:v>423.72</x:v>
      </x:c>
      <x:c r="G32" t="str" cm="1">
        <x:f t="array" ref="G32">+_xlfn.IFS(Tabla9[[#This Row],[FACTURACIÓN]]&lt;200,"Sin Categoría",Tabla9[[#This Row],[FACTURACIÓN]]&lt;500,"A",Tabla9[[#This Row],[FACTURACIÓN]]&lt;1000,"AA",Tabla9[[#This Row],[FACTURACIÓN]]&gt;=1000,"AAA")</x:f>
        <x:v>A</x:v>
      </x:c>
    </x:row>
    <x:row r="33">
      <x:c r="A33" s="44" t="s">
        <x:v>1166</x:v>
      </x:c>
      <x:c r="B33" s="2" t="n">
        <x:f>+IF($B$4="TODOS",SUMIFS(Base_Precisa!X:X,Base_Precisa!J:J,Cálculo_Categorías!A33),SUMIFS(Base_Precisa!X:X,Base_Precisa!J:J,Cálculo_Categorías!A33,Base_Precisa!B:B,Cálculo_Categorías!$B$4))</x:f>
        <x:v>525.4200000000001</x:v>
      </x:c>
      <x:c r="C33" t="str" cm="1">
        <x:f t="array" ref="C33">+_xlfn.IFS(Tabla5[[#This Row],[FACTURACIÓN]]&lt;500,"A",Tabla5[[#This Row],[FACTURACIÓN]]&lt;1000,"AA",Tabla5[[#This Row],[FACTURACIÓN]]&gt;=1000,"AAA")</x:f>
        <x:v>AA</x:v>
      </x:c>
      <x:c r="E33" s="44" t="s">
        <x:v>2600</x:v>
      </x:c>
      <x:c r="F33" s="2" t="n">
        <x:f>+IF($F$4="TODOS",SUMIFS(Base_Precisa!X:X,Base_Precisa!K:K,Cálculo_Categorías!E33),SUMIFS(Base_Precisa!X:X,Base_Precisa!K:K,Cálculo_Categorías!E33,Base_Precisa!B:B,Cálculo_Categorías!$F$4))</x:f>
        <x:v>1915.24</x:v>
      </x:c>
      <x:c r="G33" t="str" cm="1">
        <x:f t="array" ref="G33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34">
      <x:c r="A34" s="44" t="s">
        <x:v>1186</x:v>
      </x:c>
      <x:c r="B34" s="2" t="n">
        <x:f>+IF($B$4="TODOS",SUMIFS(Base_Precisa!X:X,Base_Precisa!J:J,Cálculo_Categorías!A34),SUMIFS(Base_Precisa!X:X,Base_Precisa!J:J,Cálculo_Categorías!A34,Base_Precisa!B:B,Cálculo_Categorías!$B$4))</x:f>
        <x:v>322.03</x:v>
      </x:c>
      <x:c r="C34" t="str" cm="1">
        <x:f t="array" ref="C34">+_xlfn.IFS(Tabla5[[#This Row],[FACTURACIÓN]]&lt;500,"A",Tabla5[[#This Row],[FACTURACIÓN]]&lt;1000,"AA",Tabla5[[#This Row],[FACTURACIÓN]]&gt;=1000,"AAA")</x:f>
        <x:v>A</x:v>
      </x:c>
      <x:c r="E34" s="44" t="s">
        <x:v>1485</x:v>
      </x:c>
      <x:c r="F34" s="2" t="n">
        <x:f>+IF($F$4="TODOS",SUMIFS(Base_Precisa!X:X,Base_Precisa!K:K,Cálculo_Categorías!E34),SUMIFS(Base_Precisa!X:X,Base_Precisa!K:K,Cálculo_Categorías!E34,Base_Precisa!B:B,Cálculo_Categorías!$F$4))</x:f>
        <x:v>563.56</x:v>
      </x:c>
      <x:c r="G34" t="str" cm="1">
        <x:f t="array" ref="G34">+_xlfn.IFS(Tabla9[[#This Row],[FACTURACIÓN]]&lt;200,"Sin Categoría",Tabla9[[#This Row],[FACTURACIÓN]]&lt;500,"A",Tabla9[[#This Row],[FACTURACIÓN]]&lt;1000,"AA",Tabla9[[#This Row],[FACTURACIÓN]]&gt;=1000,"AAA")</x:f>
        <x:v>AA</x:v>
      </x:c>
    </x:row>
    <x:row r="35">
      <x:c r="A35" s="44" t="s">
        <x:v>1204</x:v>
      </x:c>
      <x:c r="B35" s="2" t="n">
        <x:f>+IF($B$4="TODOS",SUMIFS(Base_Precisa!X:X,Base_Precisa!J:J,Cálculo_Categorías!A35),SUMIFS(Base_Precisa!X:X,Base_Precisa!J:J,Cálculo_Categorías!A35,Base_Precisa!B:B,Cálculo_Categorías!$B$4))</x:f>
        <x:v>135.59</x:v>
      </x:c>
      <x:c r="C35" t="str" cm="1">
        <x:f t="array" ref="C35">+_xlfn.IFS(Tabla5[[#This Row],[FACTURACIÓN]]&lt;500,"A",Tabla5[[#This Row],[FACTURACIÓN]]&lt;1000,"AA",Tabla5[[#This Row],[FACTURACIÓN]]&gt;=1000,"AAA")</x:f>
        <x:v>A</x:v>
      </x:c>
      <x:c r="E35" s="44" t="s">
        <x:v>1546</x:v>
      </x:c>
      <x:c r="F35" s="2" t="n">
        <x:f>+IF($F$4="TODOS",SUMIFS(Base_Precisa!X:X,Base_Precisa!K:K,Cálculo_Categorías!E35),SUMIFS(Base_Precisa!X:X,Base_Precisa!K:K,Cálculo_Categorías!E35,Base_Precisa!B:B,Cálculo_Categorías!$F$4))</x:f>
        <x:v>2254.2200000000003</x:v>
      </x:c>
      <x:c r="G35" t="str" cm="1">
        <x:f t="array" ref="G35">+_xlfn.IFS(Tabla9[[#This Row],[FACTURACIÓN]]&lt;200,"Sin Categoría",Tabla9[[#This Row],[FACTURACIÓN]]&lt;500,"A",Tabla9[[#This Row],[FACTURACIÓN]]&lt;1000,"AA",Tabla9[[#This Row],[FACTURACIÓN]]&gt;=1000,"AAA")</x:f>
        <x:v>AAA</x:v>
      </x:c>
    </x:row>
    <x:row r="36">
      <x:c r="A36" s="44" t="s">
        <x:v>1213</x:v>
      </x:c>
      <x:c r="B36" s="2" t="n">
        <x:f>+IF($B$4="TODOS",SUMIFS(Base_Precisa!X:X,Base_Precisa!J:J,Cálculo_Categorías!A36),SUMIFS(Base_Precisa!X:X,Base_Precisa!J:J,Cálculo_Categorías!A36,Base_Precisa!B:B,Cálculo_Categorías!$B$4))</x:f>
        <x:v>139.83</x:v>
      </x:c>
      <x:c r="C36" t="str" cm="1">
        <x:f t="array" ref="C36">+_xlfn.IFS(Tabla5[[#This Row],[FACTURACIÓN]]&lt;500,"A",Tabla5[[#This Row],[FACTURACIÓN]]&lt;1000,"AA",Tabla5[[#This Row],[FACTURACIÓN]]&gt;=1000,"AAA")</x:f>
        <x:v>A</x:v>
      </x:c>
      <x:c r="E36" s="44" t="s">
        <x:v>1600</x:v>
      </x:c>
      <x:c r="F36" s="2" t="n">
        <x:f>+IF($F$4="TODOS",SUMIFS(Base_Precisa!X:X,Base_Precisa!K:K,Cálculo_Categorías!E36),SUMIFS(Base_Precisa!X:X,Base_Precisa!K:K,Cálculo_Categorías!E36,Base_Precisa!B:B,Cálculo_Categorías!$F$4))</x:f>
        <x:v>627.1099999999999</x:v>
      </x:c>
      <x:c r="G36" t="str" cm="1">
        <x:f t="array" ref="G36">+_xlfn.IFS(Tabla9[[#This Row],[FACTURACIÓN]]&lt;200,"Sin Categoría",Tabla9[[#This Row],[FACTURACIÓN]]&lt;500,"A",Tabla9[[#This Row],[FACTURACIÓN]]&lt;1000,"AA",Tabla9[[#This Row],[FACTURACIÓN]]&gt;=1000,"AAA")</x:f>
        <x:v>AA</x:v>
      </x:c>
    </x:row>
    <x:row r="37">
      <x:c r="A37" s="44" t="s">
        <x:v>1223</x:v>
      </x:c>
      <x:c r="B37" s="2" t="n">
        <x:f>+IF($B$4="TODOS",SUMIFS(Base_Precisa!X:X,Base_Precisa!J:J,Cálculo_Categorías!A37),SUMIFS(Base_Precisa!X:X,Base_Precisa!J:J,Cálculo_Categorías!A37,Base_Precisa!B:B,Cálculo_Categorías!$B$4))</x:f>
        <x:v>135.59</x:v>
      </x:c>
      <x:c r="C37" t="str" cm="1">
        <x:f t="array" ref="C37">+_xlfn.IFS(Tabla5[[#This Row],[FACTURACIÓN]]&lt;500,"A",Tabla5[[#This Row],[FACTURACIÓN]]&lt;1000,"AA",Tabla5[[#This Row],[FACTURACIÓN]]&gt;=1000,"AAA")</x:f>
        <x:v>A</x:v>
      </x:c>
      <x:c r="E37" s="44" t="s">
        <x:v>1620</x:v>
      </x:c>
      <x:c r="F37" s="2" t="n">
        <x:f>+IF($F$4="TODOS",SUMIFS(Base_Precisa!X:X,Base_Precisa!K:K,Cálculo_Categorías!E37),SUMIFS(Base_Precisa!X:X,Base_Precisa!K:K,Cálculo_Categorías!E37,Base_Precisa!B:B,Cálculo_Categorías!$F$4))</x:f>
        <x:v>555.08</x:v>
      </x:c>
      <x:c r="G37" t="str" cm="1">
        <x:f t="array" ref="G37">+_xlfn.IFS(Tabla9[[#This Row],[FACTURACIÓN]]&lt;200,"Sin Categoría",Tabla9[[#This Row],[FACTURACIÓN]]&lt;500,"A",Tabla9[[#This Row],[FACTURACIÓN]]&lt;1000,"AA",Tabla9[[#This Row],[FACTURACIÓN]]&gt;=1000,"AAA")</x:f>
        <x:v>AA</x:v>
      </x:c>
    </x:row>
    <x:row r="38">
      <x:c r="A38" s="44" t="s">
        <x:v>1444</x:v>
      </x:c>
      <x:c r="B38" s="2" t="n">
        <x:f>+IF($B$4="TODOS",SUMIFS(Base_Precisa!X:X,Base_Precisa!J:J,Cálculo_Categorías!A38),SUMIFS(Base_Precisa!X:X,Base_Precisa!J:J,Cálculo_Categorías!A38,Base_Precisa!B:B,Cálculo_Categorías!$B$4))</x:f>
        <x:v>796.5999999999999</x:v>
      </x:c>
      <x:c r="C38" t="str" cm="1">
        <x:f t="array" ref="C38">+_xlfn.IFS(Tabla5[[#This Row],[FACTURACIÓN]]&lt;500,"A",Tabla5[[#This Row],[FACTURACIÓN]]&lt;1000,"AA",Tabla5[[#This Row],[FACTURACIÓN]]&gt;=1000,"AAA")</x:f>
        <x:v>AA</x:v>
      </x:c>
      <x:c r="E38" s="44" t="s">
        <x:v>1689</x:v>
      </x:c>
      <x:c r="F38" s="2" t="n">
        <x:f>+IF($F$4="TODOS",SUMIFS(Base_Precisa!X:X,Base_Precisa!K:K,Cálculo_Categorías!E38),SUMIFS(Base_Precisa!X:X,Base_Precisa!K:K,Cálculo_Categorías!E38,Base_Precisa!B:B,Cálculo_Categorías!$F$4))</x:f>
        <x:v>186.44</x:v>
      </x:c>
      <x:c r="G38" t="str" cm="1">
        <x:f t="array" ref="G38">+_xlfn.IFS(Tabla9[[#This Row],[FACTURACIÓN]]&lt;200,"Sin Categoría",Tabla9[[#This Row],[FACTURACIÓN]]&lt;500,"A",Tabla9[[#This Row],[FACTURACIÓN]]&lt;1000,"AA",Tabla9[[#This Row],[FACTURACIÓN]]&gt;=1000,"AAA")</x:f>
        <x:v>Sin Categoría</x:v>
      </x:c>
    </x:row>
    <x:row r="39">
      <x:c r="A39" s="44" t="s">
        <x:v>1344</x:v>
      </x:c>
      <x:c r="B39" s="2" t="n">
        <x:f>+IF($B$4="TODOS",SUMIFS(Base_Precisa!X:X,Base_Precisa!J:J,Cálculo_Categorías!A39),SUMIFS(Base_Precisa!X:X,Base_Precisa!J:J,Cálculo_Categorías!A39,Base_Precisa!B:B,Cálculo_Categorías!$B$4))</x:f>
        <x:v>135.59</x:v>
      </x:c>
      <x:c r="C39" t="str" cm="1">
        <x:f t="array" ref="C39">+_xlfn.IFS(Tabla5[[#This Row],[FACTURACIÓN]]&lt;500,"A",Tabla5[[#This Row],[FACTURACIÓN]]&lt;1000,"AA",Tabla5[[#This Row],[FACTURACIÓN]]&gt;=1000,"AAA")</x:f>
        <x:v>A</x:v>
      </x:c>
      <x:c r="E39" s="44" t="s">
        <x:v>1878</x:v>
      </x:c>
      <x:c r="F39" s="2" t="n">
        <x:f>+IF($F$4="TODOS",SUMIFS(Base_Precisa!X:X,Base_Precisa!K:K,Cálculo_Categorías!E39),SUMIFS(Base_Precisa!X:X,Base_Precisa!K:K,Cálculo_Categorías!E39,Base_Precisa!B:B,Cálculo_Categorías!$F$4))</x:f>
        <x:v>254.24</x:v>
      </x:c>
      <x:c r="G39" t="str" cm="1">
        <x:f t="array" ref="G39">+_xlfn.IFS(Tabla9[[#This Row],[FACTURACIÓN]]&lt;200,"Sin Categoría",Tabla9[[#This Row],[FACTURACIÓN]]&lt;500,"A",Tabla9[[#This Row],[FACTURACIÓN]]&lt;1000,"AA",Tabla9[[#This Row],[FACTURACIÓN]]&gt;=1000,"AAA")</x:f>
        <x:v>A</x:v>
      </x:c>
    </x:row>
    <x:row r="40">
      <x:c r="A40" s="44" t="s">
        <x:v>365</x:v>
      </x:c>
      <x:c r="B40" s="2" t="n">
        <x:f>+IF($B$4="TODOS",SUMIFS(Base_Precisa!X:X,Base_Precisa!J:J,Cálculo_Categorías!A40),SUMIFS(Base_Precisa!X:X,Base_Precisa!J:J,Cálculo_Categorías!A40,Base_Precisa!B:B,Cálculo_Categorías!$B$4))</x:f>
        <x:v>1474.58</x:v>
      </x:c>
      <x:c r="C40" t="str" cm="1">
        <x:f t="array" ref="C40">+_xlfn.IFS(Tabla5[[#This Row],[FACTURACIÓN]]&lt;500,"A",Tabla5[[#This Row],[FACTURACIÓN]]&lt;1000,"AA",Tabla5[[#This Row],[FACTURACIÓN]]&gt;=1000,"AAA")</x:f>
        <x:v>AAA</x:v>
      </x:c>
      <x:c r="E40" s="44" t="s">
        <x:v>2170</x:v>
      </x:c>
      <x:c r="F40" s="2" t="n">
        <x:f>+IF($F$4="TODOS",SUMIFS(Base_Precisa!X:X,Base_Precisa!K:K,Cálculo_Categorías!E40),SUMIFS(Base_Precisa!X:X,Base_Precisa!K:K,Cálculo_Categorías!E40,Base_Precisa!B:B,Cálculo_Categorías!$F$4))</x:f>
        <x:v>135.59</x:v>
      </x:c>
      <x:c r="G40" t="str" cm="1">
        <x:f t="array" ref="G40">+_xlfn.IFS(Tabla9[[#This Row],[FACTURACIÓN]]&lt;200,"Sin Categoría",Tabla9[[#This Row],[FACTURACIÓN]]&lt;500,"A",Tabla9[[#This Row],[FACTURACIÓN]]&lt;1000,"AA",Tabla9[[#This Row],[FACTURACIÓN]]&gt;=1000,"AAA")</x:f>
        <x:v>Sin Categoría</x:v>
      </x:c>
    </x:row>
    <x:row r="41">
      <x:c r="A41" s="44" t="s">
        <x:v>1121</x:v>
      </x:c>
      <x:c r="B41" s="2" t="n">
        <x:f>+IF($B$4="TODOS",SUMIFS(Base_Precisa!X:X,Base_Precisa!J:J,Cálculo_Categorías!A41),SUMIFS(Base_Precisa!X:X,Base_Precisa!J:J,Cálculo_Categorías!A41,Base_Precisa!B:B,Cálculo_Categorías!$B$4))</x:f>
        <x:v>872.88</x:v>
      </x:c>
      <x:c r="C41" t="str" cm="1">
        <x:f t="array" ref="C41">+_xlfn.IFS(Tabla5[[#This Row],[FACTURACIÓN]]&lt;500,"A",Tabla5[[#This Row],[FACTURACIÓN]]&lt;1000,"AA",Tabla5[[#This Row],[FACTURACIÓN]]&gt;=1000,"AAA")</x:f>
        <x:v>AA</x:v>
      </x:c>
      <x:c r="E41" s="44" t="s">
        <x:v>2344</x:v>
      </x:c>
      <x:c r="F41" s="2" t="n">
        <x:f>+IF($F$4="TODOS",SUMIFS(Base_Precisa!X:X,Base_Precisa!K:K,Cálculo_Categorías!E41),SUMIFS(Base_Precisa!X:X,Base_Precisa!K:K,Cálculo_Categorías!E41,Base_Precisa!B:B,Cálculo_Categorías!$F$4))</x:f>
        <x:v>135.59</x:v>
      </x:c>
      <x:c r="G41" t="str" cm="1">
        <x:f t="array" ref="G41">+_xlfn.IFS(Tabla9[[#This Row],[FACTURACIÓN]]&lt;200,"Sin Categoría",Tabla9[[#This Row],[FACTURACIÓN]]&lt;500,"A",Tabla9[[#This Row],[FACTURACIÓN]]&lt;1000,"AA",Tabla9[[#This Row],[FACTURACIÓN]]&gt;=1000,"AAA")</x:f>
        <x:v>Sin Categoría</x:v>
      </x:c>
    </x:row>
    <x:row r="42">
      <x:c r="A42" s="44" t="s">
        <x:v>1363</x:v>
      </x:c>
      <x:c r="B42" s="2" t="n">
        <x:f>+IF($B$4="TODOS",SUMIFS(Base_Precisa!X:X,Base_Precisa!J:J,Cálculo_Categorías!A42),SUMIFS(Base_Precisa!X:X,Base_Precisa!J:J,Cálculo_Categorías!A42,Base_Precisa!B:B,Cálculo_Categorías!$B$4))</x:f>
        <x:v>338.98</x:v>
      </x:c>
      <x:c r="C42" t="str" cm="1">
        <x:f t="array" ref="C42">+_xlfn.IFS(Tabla5[[#This Row],[FACTURACIÓN]]&lt;500,"A",Tabla5[[#This Row],[FACTURACIÓN]]&lt;1000,"AA",Tabla5[[#This Row],[FACTURACIÓN]]&gt;=1000,"AAA")</x:f>
        <x:v>A</x:v>
      </x:c>
      <x:c r="E42" s="44" t="s">
        <x:v>2461</x:v>
      </x:c>
      <x:c r="F42" s="2" t="n">
        <x:f>+IF($F$4="TODOS",SUMIFS(Base_Precisa!X:X,Base_Precisa!K:K,Cálculo_Categorías!E42),SUMIFS(Base_Precisa!X:X,Base_Precisa!K:K,Cálculo_Categorías!E42,Base_Precisa!B:B,Cálculo_Categorías!$F$4))</x:f>
        <x:v>101.69</x:v>
      </x:c>
      <x:c r="G42" t="str" cm="1">
        <x:f t="array" ref="G42">+_xlfn.IFS(Tabla9[[#This Row],[FACTURACIÓN]]&lt;200,"Sin Categoría",Tabla9[[#This Row],[FACTURACIÓN]]&lt;500,"A",Tabla9[[#This Row],[FACTURACIÓN]]&lt;1000,"AA",Tabla9[[#This Row],[FACTURACIÓN]]&gt;=1000,"AAA")</x:f>
        <x:v>Sin Categoría</x:v>
      </x:c>
    </x:row>
    <x:row r="43">
      <x:c r="A43" s="44" t="s">
        <x:v>2841</x:v>
      </x:c>
      <x:c r="B43" s="2" t="n">
        <x:f>+IF($B$4="TODOS",SUMIFS(Base_Precisa!X:X,Base_Precisa!J:J,Cálculo_Categorías!A43),SUMIFS(Base_Precisa!X:X,Base_Precisa!J:J,Cálculo_Categorías!A43,Base_Precisa!B:B,Cálculo_Categorías!$B$4))</x:f>
        <x:v>6364.38</x:v>
      </x:c>
      <x:c r="C43" t="str" cm="1">
        <x:f t="array" ref="C43">+_xlfn.IFS(Tabla5[[#This Row],[FACTURACIÓN]]&lt;500,"A",Tabla5[[#This Row],[FACTURACIÓN]]&lt;1000,"AA",Tabla5[[#This Row],[FACTURACIÓN]]&gt;=1000,"AAA")</x:f>
        <x:v>AAA</x:v>
      </x:c>
      <x:c r="E43" s="44" t="s">
        <x:v>4058</x:v>
      </x:c>
      <x:c r="F43" s="2" t="n">
        <x:f>+IF($F$4="TODOS",SUMIFS(Base_Precisa!X:X,Base_Precisa!K:K,Cálculo_Categorías!E43),SUMIFS(Base_Precisa!X:X,Base_Precisa!K:K,Cálculo_Categorías!E43,Base_Precisa!B:B,Cálculo_Categorías!$F$4))</x:f>
        <x:v>338.98</x:v>
      </x:c>
      <x:c r="G43" t="str" cm="1">
        <x:f t="array" ref="G43">+_xlfn.IFS(Tabla9[[#This Row],[FACTURACIÓN]]&lt;200,"Sin Categoría",Tabla9[[#This Row],[FACTURACIÓN]]&lt;500,"A",Tabla9[[#This Row],[FACTURACIÓN]]&lt;1000,"AA",Tabla9[[#This Row],[FACTURACIÓN]]&gt;=1000,"AAA")</x:f>
        <x:v>A</x:v>
      </x:c>
    </x:row>
    <x:row r="44">
      <x:c r="A44" s="44" t="s">
        <x:v>1145</x:v>
      </x:c>
      <x:c r="B44" s="2" t="n">
        <x:f>+IF($B$4="TODOS",SUMIFS(Base_Precisa!X:X,Base_Precisa!J:J,Cálculo_Categorías!A44),SUMIFS(Base_Precisa!X:X,Base_Precisa!J:J,Cálculo_Categorías!A44,Base_Precisa!B:B,Cálculo_Categorías!$B$4))</x:f>
        <x:v>186.43999999999997</x:v>
      </x:c>
      <x:c r="C44" t="str" cm="1">
        <x:f t="array" ref="C44">+_xlfn.IFS(Tabla5[[#This Row],[FACTURACIÓN]]&lt;500,"A",Tabla5[[#This Row],[FACTURACIÓN]]&lt;1000,"AA",Tabla5[[#This Row],[FACTURACIÓN]]&gt;=1000,"AAA")</x:f>
        <x:v>A</x:v>
      </x:c>
      <x:c r="E44" s="44" t="s">
        <x:v>3208</x:v>
      </x:c>
      <x:c r="F44" s="2" t="n">
        <x:f>+IF($F$4="TODOS",SUMIFS(Base_Precisa!X:X,Base_Precisa!K:K,Cálculo_Categorías!E44),SUMIFS(Base_Precisa!X:X,Base_Precisa!K:K,Cálculo_Categorías!E44,Base_Precisa!B:B,Cálculo_Categorías!$F$4))</x:f>
        <x:v>152.54</x:v>
      </x:c>
      <x:c r="G44" t="str" cm="1">
        <x:f t="array" ref="G44">+_xlfn.IFS(Tabla9[[#This Row],[FACTURACIÓN]]&lt;200,"Sin Categoría",Tabla9[[#This Row],[FACTURACIÓN]]&lt;500,"A",Tabla9[[#This Row],[FACTURACIÓN]]&lt;1000,"AA",Tabla9[[#This Row],[FACTURACIÓN]]&gt;=1000,"AAA")</x:f>
        <x:v>Sin Categoría</x:v>
      </x:c>
    </x:row>
    <x:row r="45">
      <x:c r="A45" s="44" t="s">
        <x:v>1155</x:v>
      </x:c>
      <x:c r="B45" s="2" t="n">
        <x:f>+IF($B$4="TODOS",SUMIFS(Base_Precisa!X:X,Base_Precisa!J:J,Cálculo_Categorías!A45),SUMIFS(Base_Precisa!X:X,Base_Precisa!J:J,Cálculo_Categorías!A45,Base_Precisa!B:B,Cálculo_Categorías!$B$4))</x:f>
        <x:v>661.0100000000001</x:v>
      </x:c>
      <x:c r="C45" t="str" cm="1">
        <x:f t="array" ref="C45">+_xlfn.IFS(Tabla5[[#This Row],[FACTURACIÓN]]&lt;500,"A",Tabla5[[#This Row],[FACTURACIÓN]]&lt;1000,"AA",Tabla5[[#This Row],[FACTURACIÓN]]&gt;=1000,"AAA")</x:f>
        <x:v>AA</x:v>
      </x:c>
      <x:c r="E45" s="44" t="s">
        <x:v>3083</x:v>
      </x:c>
      <x:c r="F45" s="2" t="n">
        <x:f>+IF($F$4="TODOS",SUMIFS(Base_Precisa!X:X,Base_Precisa!K:K,Cálculo_Categorías!E45),SUMIFS(Base_Precisa!X:X,Base_Precisa!K:K,Cálculo_Categorías!E45,Base_Precisa!B:B,Cálculo_Categorías!$F$4))</x:f>
        <x:v>0</x:v>
      </x:c>
      <x:c r="G45" t="str" cm="1">
        <x:f t="array" ref="G45">+_xlfn.IFS(Tabla9[[#This Row],[FACTURACIÓN]]&lt;200,"Sin Categoría",Tabla9[[#This Row],[FACTURACIÓN]]&lt;500,"A",Tabla9[[#This Row],[FACTURACIÓN]]&lt;1000,"AA",Tabla9[[#This Row],[FACTURACIÓN]]&gt;=1000,"AAA")</x:f>
        <x:v>Sin Categoría</x:v>
      </x:c>
    </x:row>
    <x:row r="46">
      <x:c r="A46" s="44" t="s">
        <x:v>3323</x:v>
      </x:c>
      <x:c r="B46" s="2" t="n">
        <x:f>+IF($B$4="TODOS",SUMIFS(Base_Precisa!X:X,Base_Precisa!J:J,Cálculo_Categorías!A46),SUMIFS(Base_Precisa!X:X,Base_Precisa!J:J,Cálculo_Categorías!A46,Base_Precisa!B:B,Cálculo_Categorías!$B$4))</x:f>
        <x:v>0</x:v>
      </x:c>
      <x:c r="C46" t="str" cm="1">
        <x:f t="array" ref="C46">+_xlfn.IFS(Tabla5[[#This Row],[FACTURACIÓN]]&lt;500,"A",Tabla5[[#This Row],[FACTURACIÓN]]&lt;1000,"AA",Tabla5[[#This Row],[FACTURACIÓN]]&gt;=1000,"AAA")</x:f>
        <x:v>A</x:v>
      </x:c>
    </x:row>
    <x:row r="47">
      <x:c r="A47" s="44" t="s">
        <x:v>1326</x:v>
      </x:c>
      <x:c r="B47" s="2" t="n">
        <x:f>+IF($B$4="TODOS",SUMIFS(Base_Precisa!X:X,Base_Precisa!J:J,Cálculo_Categorías!A47),SUMIFS(Base_Precisa!X:X,Base_Precisa!J:J,Cálculo_Categorías!A47,Base_Precisa!B:B,Cálculo_Categorías!$B$4))</x:f>
        <x:v>4177.910000000001</x:v>
      </x:c>
      <x:c r="C47" t="str" cm="1">
        <x:f t="array" ref="C47">+_xlfn.IFS(Tabla5[[#This Row],[FACTURACIÓN]]&lt;500,"A",Tabla5[[#This Row],[FACTURACIÓN]]&lt;1000,"AA",Tabla5[[#This Row],[FACTURACIÓN]]&gt;=1000,"AAA")</x:f>
        <x:v>AAA</x:v>
      </x:c>
    </x:row>
    <x:row r="48">
      <x:c r="A48" s="44" t="s">
        <x:v>1381</x:v>
      </x:c>
      <x:c r="B48" s="2" t="n">
        <x:f>+IF($B$4="TODOS",SUMIFS(Base_Precisa!X:X,Base_Precisa!J:J,Cálculo_Categorías!A48),SUMIFS(Base_Precisa!X:X,Base_Precisa!J:J,Cálculo_Categorías!A48,Base_Precisa!B:B,Cálculo_Categorías!$B$4))</x:f>
        <x:v>0</x:v>
      </x:c>
      <x:c r="C48" t="str" cm="1">
        <x:f t="array" ref="C48">+_xlfn.IFS(Tabla5[[#This Row],[FACTURACIÓN]]&lt;500,"A",Tabla5[[#This Row],[FACTURACIÓN]]&lt;1000,"AA",Tabla5[[#This Row],[FACTURACIÓN]]&gt;=1000,"AAA")</x:f>
        <x:v>A</x:v>
      </x:c>
    </x:row>
    <x:row r="49">
      <x:c r="A49" s="44" t="s">
        <x:v>1417</x:v>
      </x:c>
      <x:c r="B49" s="2" t="n">
        <x:f>+IF($B$4="TODOS",SUMIFS(Base_Precisa!X:X,Base_Precisa!J:J,Cálculo_Categorías!A49),SUMIFS(Base_Precisa!X:X,Base_Precisa!J:J,Cálculo_Categorías!A49,Base_Precisa!B:B,Cálculo_Categorías!$B$4))</x:f>
        <x:v>0</x:v>
      </x:c>
      <x:c r="C49" t="str" cm="1">
        <x:f t="array" ref="C49">+_xlfn.IFS(Tabla5[[#This Row],[FACTURACIÓN]]&lt;500,"A",Tabla5[[#This Row],[FACTURACIÓN]]&lt;1000,"AA",Tabla5[[#This Row],[FACTURACIÓN]]&gt;=1000,"AAA")</x:f>
        <x:v>A</x:v>
      </x:c>
    </x:row>
    <x:row r="50">
      <x:c r="A50" s="44" t="s">
        <x:v>706</x:v>
      </x:c>
      <x:c r="B50" s="2" t="n">
        <x:f>+IF($B$4="TODOS",SUMIFS(Base_Precisa!X:X,Base_Precisa!J:J,Cálculo_Categorías!A50),SUMIFS(Base_Precisa!X:X,Base_Precisa!J:J,Cálculo_Categorías!A50,Base_Precisa!B:B,Cálculo_Categorías!$B$4))</x:f>
        <x:v>2559.2900000000004</x:v>
      </x:c>
      <x:c r="C50" t="str" cm="1">
        <x:f t="array" ref="C50">+_xlfn.IFS(Tabla5[[#This Row],[FACTURACIÓN]]&lt;500,"A",Tabla5[[#This Row],[FACTURACIÓN]]&lt;1000,"AA",Tabla5[[#This Row],[FACTURACIÓN]]&gt;=1000,"AAA")</x:f>
        <x:v>AAA</x:v>
      </x:c>
    </x:row>
    <x:row r="51">
      <x:c r="A51" s="44" t="s">
        <x:v>1437</x:v>
      </x:c>
      <x:c r="B51" s="2" t="n">
        <x:f>+IF($B$4="TODOS",SUMIFS(Base_Precisa!X:X,Base_Precisa!J:J,Cálculo_Categorías!A51),SUMIFS(Base_Precisa!X:X,Base_Precisa!J:J,Cálculo_Categorías!A51,Base_Precisa!B:B,Cálculo_Categorías!$B$4))</x:f>
        <x:v>0</x:v>
      </x:c>
      <x:c r="C51" t="str" cm="1">
        <x:f t="array" ref="C51">+_xlfn.IFS(Tabla5[[#This Row],[FACTURACIÓN]]&lt;500,"A",Tabla5[[#This Row],[FACTURACIÓN]]&lt;1000,"AA",Tabla5[[#This Row],[FACTURACIÓN]]&gt;=1000,"AAA")</x:f>
        <x:v>A</x:v>
      </x:c>
    </x:row>
    <x:row r="52">
      <x:c r="A52" s="44" t="s">
        <x:v>1315</x:v>
      </x:c>
      <x:c r="B52" s="2" t="n">
        <x:f>+IF($B$4="TODOS",SUMIFS(Base_Precisa!X:X,Base_Precisa!J:J,Cálculo_Categorías!A52),SUMIFS(Base_Precisa!X:X,Base_Precisa!J:J,Cálculo_Categorías!A52,Base_Precisa!B:B,Cálculo_Categorías!$B$4))</x:f>
        <x:v>254.23</x:v>
      </x:c>
      <x:c r="C52" t="str" cm="1">
        <x:f t="array" ref="C52">+_xlfn.IFS(Tabla5[[#This Row],[FACTURACIÓN]]&lt;500,"A",Tabla5[[#This Row],[FACTURACIÓN]]&lt;1000,"AA",Tabla5[[#This Row],[FACTURACIÓN]]&gt;=1000,"AAA")</x:f>
        <x:v>A</x:v>
      </x:c>
    </x:row>
    <x:row r="53">
      <x:c r="A53" s="44" t="s">
        <x:v>1426</x:v>
      </x:c>
      <x:c r="B53" s="2" t="n">
        <x:f>+IF($B$4="TODOS",SUMIFS(Base_Precisa!X:X,Base_Precisa!J:J,Cálculo_Categorías!A53),SUMIFS(Base_Precisa!X:X,Base_Precisa!J:J,Cálculo_Categorías!A53,Base_Precisa!B:B,Cálculo_Categorías!$B$4))</x:f>
        <x:v>796.6</x:v>
      </x:c>
      <x:c r="C53" t="str" cm="1">
        <x:f t="array" ref="C53">+_xlfn.IFS(Tabla5[[#This Row],[FACTURACIÓN]]&lt;500,"A",Tabla5[[#This Row],[FACTURACIÓN]]&lt;1000,"AA",Tabla5[[#This Row],[FACTURACIÓN]]&gt;=1000,"AAA")</x:f>
        <x:v>AA</x:v>
      </x:c>
    </x:row>
    <x:row r="54">
      <x:c r="A54" s="44" t="s">
        <x:v>1452</x:v>
      </x:c>
      <x:c r="B54" s="2" t="n">
        <x:f>+IF($B$4="TODOS",SUMIFS(Base_Precisa!X:X,Base_Precisa!J:J,Cálculo_Categorías!A54),SUMIFS(Base_Precisa!X:X,Base_Precisa!J:J,Cálculo_Categorías!A54,Base_Precisa!B:B,Cálculo_Categorías!$B$4))</x:f>
        <x:v>338.98</x:v>
      </x:c>
      <x:c r="C54" t="str" cm="1">
        <x:f t="array" ref="C54">+_xlfn.IFS(Tabla5[[#This Row],[FACTURACIÓN]]&lt;500,"A",Tabla5[[#This Row],[FACTURACIÓN]]&lt;1000,"AA",Tabla5[[#This Row],[FACTURACIÓN]]&gt;=1000,"AAA")</x:f>
        <x:v>A</x:v>
      </x:c>
    </x:row>
    <x:row r="55">
      <x:c r="A55" s="44" t="s">
        <x:v>1714</x:v>
      </x:c>
      <x:c r="B55" s="2" t="n">
        <x:f>+IF($B$4="TODOS",SUMIFS(Base_Precisa!X:X,Base_Precisa!J:J,Cálculo_Categorías!A55),SUMIFS(Base_Precisa!X:X,Base_Precisa!J:J,Cálculo_Categorías!A55,Base_Precisa!B:B,Cálculo_Categorías!$B$4))</x:f>
        <x:v>677.96</x:v>
      </x:c>
      <x:c r="C55" t="str" cm="1">
        <x:f t="array" ref="C55">+_xlfn.IFS(Tabla5[[#This Row],[FACTURACIÓN]]&lt;500,"A",Tabla5[[#This Row],[FACTURACIÓN]]&lt;1000,"AA",Tabla5[[#This Row],[FACTURACIÓN]]&gt;=1000,"AAA")</x:f>
        <x:v>AA</x:v>
      </x:c>
    </x:row>
    <x:row r="56">
      <x:c r="A56" s="44" t="s">
        <x:v>2255</x:v>
      </x:c>
      <x:c r="B56" s="2" t="n">
        <x:f>+IF($B$4="TODOS",SUMIFS(Base_Precisa!X:X,Base_Precisa!J:J,Cálculo_Categorías!A56),SUMIFS(Base_Precisa!X:X,Base_Precisa!J:J,Cálculo_Categorías!A56,Base_Precisa!B:B,Cálculo_Categorías!$B$4))</x:f>
        <x:v>0</x:v>
      </x:c>
      <x:c r="C56" t="str" cm="1">
        <x:f t="array" ref="C56">+_xlfn.IFS(Tabla5[[#This Row],[FACTURACIÓN]]&lt;500,"A",Tabla5[[#This Row],[FACTURACIÓN]]&lt;1000,"AA",Tabla5[[#This Row],[FACTURACIÓN]]&gt;=1000,"AAA")</x:f>
        <x:v>A</x:v>
      </x:c>
    </x:row>
    <x:row r="57">
      <x:c r="A57" s="44" t="s">
        <x:v>3084</x:v>
      </x:c>
      <x:c r="B57" s="2" t="n">
        <x:f>+IF($B$4="TODOS",SUMIFS(Base_Precisa!X:X,Base_Precisa!J:J,Cálculo_Categorías!A57),SUMIFS(Base_Precisa!X:X,Base_Precisa!J:J,Cálculo_Categorías!A57,Base_Precisa!B:B,Cálculo_Categorías!$B$4))</x:f>
        <x:v>288.13</x:v>
      </x:c>
      <x:c r="C57" t="str" cm="1">
        <x:f t="array" ref="C57">+_xlfn.IFS(Tabla5[[#This Row],[FACTURACIÓN]]&lt;500,"A",Tabla5[[#This Row],[FACTURACIÓN]]&lt;1000,"AA",Tabla5[[#This Row],[FACTURACIÓN]]&gt;=1000,"AAA")</x:f>
        <x:v>A</x:v>
      </x:c>
    </x:row>
    <x:row r="58">
      <x:c r="A58" s="44" t="s">
        <x:v>3579</x:v>
      </x:c>
      <x:c r="B58" s="2" t="n">
        <x:f>+IF($B$4="TODOS",SUMIFS(Base_Precisa!X:X,Base_Precisa!J:J,Cálculo_Categorías!A58),SUMIFS(Base_Precisa!X:X,Base_Precisa!J:J,Cálculo_Categorías!A58,Base_Precisa!B:B,Cálculo_Categorías!$B$4))</x:f>
        <x:v>288.13</x:v>
      </x:c>
      <x:c r="C58" t="str" cm="1">
        <x:f t="array" ref="C58">+_xlfn.IFS(Tabla5[[#This Row],[FACTURACIÓN]]&lt;500,"A",Tabla5[[#This Row],[FACTURACIÓN]]&lt;1000,"AA",Tabla5[[#This Row],[FACTURACIÓN]]&gt;=1000,"AAA")</x:f>
        <x:v>A</x:v>
      </x:c>
    </x:row>
    <x:row r="59">
      <x:c r="A59" s="44" t="s">
        <x:v>3580</x:v>
      </x:c>
      <x:c r="B59" s="2" t="n">
        <x:f>+IF($B$4="TODOS",SUMIFS(Base_Precisa!X:X,Base_Precisa!J:J,Cálculo_Categorías!A59),SUMIFS(Base_Precisa!X:X,Base_Precisa!J:J,Cálculo_Categorías!A59,Base_Precisa!B:B,Cálculo_Categorías!$B$4))</x:f>
        <x:v>186.44</x:v>
      </x:c>
      <x:c r="C59" t="str" cm="1">
        <x:f t="array" ref="C59">+_xlfn.IFS(Tabla5[[#This Row],[FACTURACIÓN]]&lt;500,"A",Tabla5[[#This Row],[FACTURACIÓN]]&lt;1000,"AA",Tabla5[[#This Row],[FACTURACIÓN]]&gt;=1000,"AAA")</x:f>
        <x:v>A</x:v>
      </x:c>
    </x:row>
    <x:row r="60">
      <x:c r="A60" s="44" t="s">
        <x:v>3881</x:v>
      </x:c>
      <x:c r="B60" s="2" t="n">
        <x:f>+IF($B$4="TODOS",SUMIFS(Base_Precisa!X:X,Base_Precisa!J:J,Cálculo_Categorías!A60),SUMIFS(Base_Precisa!X:X,Base_Precisa!J:J,Cálculo_Categorías!A60,Base_Precisa!B:B,Cálculo_Categorías!$B$4))</x:f>
        <x:v>186.44</x:v>
      </x:c>
      <x:c r="C60" t="str" cm="1">
        <x:f t="array" ref="C60">+_xlfn.IFS(Tabla5[[#This Row],[FACTURACIÓN]]&lt;500,"A",Tabla5[[#This Row],[FACTURACIÓN]]&lt;1000,"AA",Tabla5[[#This Row],[FACTURACIÓN]]&gt;=1000,"AAA")</x:f>
        <x:v>A</x:v>
      </x:c>
    </x:row>
    <x:row r="61">
      <x:c r="A61" s="44" t="s">
        <x:v>3166</x:v>
      </x:c>
      <x:c r="B61" s="2" t="n">
        <x:f>+IF($B$4="TODOS",SUMIFS(Base_Precisa!X:X,Base_Precisa!J:J,Cálculo_Categorías!A61),SUMIFS(Base_Precisa!X:X,Base_Precisa!J:J,Cálculo_Categorías!A61,Base_Precisa!B:B,Cálculo_Categorías!$B$4))</x:f>
        <x:v>1237.28</x:v>
      </x:c>
      <x:c r="C61" t="str" cm="1">
        <x:f t="array" ref="C61">+_xlfn.IFS(Tabla5[[#This Row],[FACTURACIÓN]]&lt;500,"A",Tabla5[[#This Row],[FACTURACIÓN]]&lt;1000,"AA",Tabla5[[#This Row],[FACTURACIÓN]]&gt;=1000,"AAA")</x:f>
        <x:v>AAA</x:v>
      </x:c>
    </x:row>
    <x:row r="62">
      <x:c r="A62" s="44" t="s">
        <x:v>1471</x:v>
      </x:c>
      <x:c r="B62" s="2" t="n">
        <x:f>+IF($B$4="TODOS",SUMIFS(Base_Precisa!X:X,Base_Precisa!J:J,Cálculo_Categorías!A62),SUMIFS(Base_Precisa!X:X,Base_Precisa!J:J,Cálculo_Categorías!A62,Base_Precisa!B:B,Cálculo_Categorías!$B$4))</x:f>
        <x:v>322.03</x:v>
      </x:c>
      <x:c r="C62" t="str" cm="1">
        <x:f t="array" ref="C62">+_xlfn.IFS(Tabla5[[#This Row],[FACTURACIÓN]]&lt;500,"A",Tabla5[[#This Row],[FACTURACIÓN]]&lt;1000,"AA",Tabla5[[#This Row],[FACTURACIÓN]]&gt;=1000,"AAA")</x:f>
        <x:v>A</x:v>
      </x:c>
    </x:row>
    <x:row r="63">
      <x:c r="A63" s="44" t="s">
        <x:v>1390</x:v>
      </x:c>
      <x:c r="B63" s="2" t="n">
        <x:f>+IF($B$4="TODOS",SUMIFS(Base_Precisa!X:X,Base_Precisa!J:J,Cálculo_Categorías!A63),SUMIFS(Base_Precisa!X:X,Base_Precisa!J:J,Cálculo_Categorías!A63,Base_Precisa!B:B,Cálculo_Categorías!$B$4))</x:f>
        <x:v>949.1300000000001</x:v>
      </x:c>
      <x:c r="C63" t="str" cm="1">
        <x:f t="array" ref="C63">+_xlfn.IFS(Tabla5[[#This Row],[FACTURACIÓN]]&lt;500,"A",Tabla5[[#This Row],[FACTURACIÓN]]&lt;1000,"AA",Tabla5[[#This Row],[FACTURACIÓN]]&gt;=1000,"AAA")</x:f>
        <x:v>AA</x:v>
      </x:c>
    </x:row>
    <x:row r="64">
      <x:c r="A64" s="44" t="s">
        <x:v>1494</x:v>
      </x:c>
      <x:c r="B64" s="2" t="n">
        <x:f>+IF($B$4="TODOS",SUMIFS(Base_Precisa!X:X,Base_Precisa!J:J,Cálculo_Categorías!A64),SUMIFS(Base_Precisa!X:X,Base_Precisa!J:J,Cálculo_Categorías!A64,Base_Precisa!B:B,Cálculo_Categorías!$B$4))</x:f>
        <x:v>305.08</x:v>
      </x:c>
      <x:c r="C64" t="str" cm="1">
        <x:f t="array" ref="C64">+_xlfn.IFS(Tabla5[[#This Row],[FACTURACIÓN]]&lt;500,"A",Tabla5[[#This Row],[FACTURACIÓN]]&lt;1000,"AA",Tabla5[[#This Row],[FACTURACIÓN]]&gt;=1000,"AAA")</x:f>
        <x:v>A</x:v>
      </x:c>
    </x:row>
    <x:row r="65">
      <x:c r="A65" s="44" t="s">
        <x:v>1234</x:v>
      </x:c>
      <x:c r="B65" s="2" t="n">
        <x:f>+IF($B$4="TODOS",SUMIFS(Base_Precisa!X:X,Base_Precisa!J:J,Cálculo_Categorías!A65),SUMIFS(Base_Precisa!X:X,Base_Precisa!J:J,Cálculo_Categorías!A65,Base_Precisa!B:B,Cálculo_Categorías!$B$4))</x:f>
        <x:v>813.54</x:v>
      </x:c>
      <x:c r="C65" t="str" cm="1">
        <x:f t="array" ref="C65">+_xlfn.IFS(Tabla5[[#This Row],[FACTURACIÓN]]&lt;500,"A",Tabla5[[#This Row],[FACTURACIÓN]]&lt;1000,"AA",Tabla5[[#This Row],[FACTURACIÓN]]&gt;=1000,"AAA")</x:f>
        <x:v>AA</x:v>
      </x:c>
    </x:row>
    <x:row r="66">
      <x:c r="A66" s="44" t="s">
        <x:v>1484</x:v>
      </x:c>
      <x:c r="B66" s="2" t="n">
        <x:f>+IF($B$4="TODOS",SUMIFS(Base_Precisa!X:X,Base_Precisa!J:J,Cálculo_Categorías!A66),SUMIFS(Base_Precisa!X:X,Base_Precisa!J:J,Cálculo_Categorías!A66,Base_Precisa!B:B,Cálculo_Categorías!$B$4))</x:f>
        <x:v>563.56</x:v>
      </x:c>
      <x:c r="C66" t="str" cm="1">
        <x:f t="array" ref="C66">+_xlfn.IFS(Tabla5[[#This Row],[FACTURACIÓN]]&lt;500,"A",Tabla5[[#This Row],[FACTURACIÓN]]&lt;1000,"AA",Tabla5[[#This Row],[FACTURACIÓN]]&gt;=1000,"AAA")</x:f>
        <x:v>AA</x:v>
      </x:c>
    </x:row>
    <x:row r="67">
      <x:c r="A67" s="44" t="s">
        <x:v>1511</x:v>
      </x:c>
      <x:c r="B67" s="2" t="n">
        <x:f>+IF($B$4="TODOS",SUMIFS(Base_Precisa!X:X,Base_Precisa!J:J,Cálculo_Categorías!A67),SUMIFS(Base_Precisa!X:X,Base_Precisa!J:J,Cálculo_Categorías!A67,Base_Precisa!B:B,Cálculo_Categorías!$B$4))</x:f>
        <x:v>0</x:v>
      </x:c>
      <x:c r="C67" t="str" cm="1">
        <x:f t="array" ref="C67">+_xlfn.IFS(Tabla5[[#This Row],[FACTURACIÓN]]&lt;500,"A",Tabla5[[#This Row],[FACTURACIÓN]]&lt;1000,"AA",Tabla5[[#This Row],[FACTURACIÓN]]&gt;=1000,"AAA")</x:f>
        <x:v>A</x:v>
      </x:c>
    </x:row>
    <x:row r="68">
      <x:c r="A68" s="44" t="s">
        <x:v>1353</x:v>
      </x:c>
      <x:c r="B68" s="2" t="n">
        <x:f>+IF($B$4="TODOS",SUMIFS(Base_Precisa!X:X,Base_Precisa!J:J,Cálculo_Categorías!A68),SUMIFS(Base_Precisa!X:X,Base_Precisa!J:J,Cálculo_Categorías!A68,Base_Precisa!B:B,Cálculo_Categorías!$B$4))</x:f>
        <x:v>152.54</x:v>
      </x:c>
      <x:c r="C68" t="str" cm="1">
        <x:f t="array" ref="C68">+_xlfn.IFS(Tabla5[[#This Row],[FACTURACIÓN]]&lt;500,"A",Tabla5[[#This Row],[FACTURACIÓN]]&lt;1000,"AA",Tabla5[[#This Row],[FACTURACIÓN]]&gt;=1000,"AAA")</x:f>
        <x:v>A</x:v>
      </x:c>
    </x:row>
    <x:row r="69">
      <x:c r="A69" s="44" t="s">
        <x:v>1520</x:v>
      </x:c>
      <x:c r="B69" s="2" t="n">
        <x:f>+IF($B$4="TODOS",SUMIFS(Base_Precisa!X:X,Base_Precisa!J:J,Cálculo_Categorías!A69),SUMIFS(Base_Precisa!X:X,Base_Precisa!J:J,Cálculo_Categorías!A69,Base_Precisa!B:B,Cálculo_Categorías!$B$4))</x:f>
        <x:v>576.27</x:v>
      </x:c>
      <x:c r="C69" t="str" cm="1">
        <x:f t="array" ref="C69">+_xlfn.IFS(Tabla5[[#This Row],[FACTURACIÓN]]&lt;500,"A",Tabla5[[#This Row],[FACTURACIÓN]]&lt;1000,"AA",Tabla5[[#This Row],[FACTURACIÓN]]&gt;=1000,"AAA")</x:f>
        <x:v>AA</x:v>
      </x:c>
    </x:row>
    <x:row r="70">
      <x:c r="A70" s="44" t="s">
        <x:v>1372</x:v>
      </x:c>
      <x:c r="B70" s="2" t="n">
        <x:f>+IF($B$4="TODOS",SUMIFS(Base_Precisa!X:X,Base_Precisa!J:J,Cálculo_Categorías!A70),SUMIFS(Base_Precisa!X:X,Base_Precisa!J:J,Cálculo_Categorías!A70,Base_Precisa!B:B,Cálculo_Categorías!$B$4))</x:f>
        <x:v>135.59</x:v>
      </x:c>
      <x:c r="C70" t="str" cm="1">
        <x:f t="array" ref="C70">+_xlfn.IFS(Tabla5[[#This Row],[FACTURACIÓN]]&lt;500,"A",Tabla5[[#This Row],[FACTURACIÓN]]&lt;1000,"AA",Tabla5[[#This Row],[FACTURACIÓN]]&gt;=1000,"AAA")</x:f>
        <x:v>A</x:v>
      </x:c>
    </x:row>
    <x:row r="71">
      <x:c r="A71" s="44" t="s">
        <x:v>1304</x:v>
      </x:c>
      <x:c r="B71" s="2" t="n">
        <x:f>+IF($B$4="TODOS",SUMIFS(Base_Precisa!X:X,Base_Precisa!J:J,Cálculo_Categorías!A71),SUMIFS(Base_Precisa!X:X,Base_Precisa!J:J,Cálculo_Categorías!A71,Base_Precisa!B:B,Cálculo_Categorías!$B$4))</x:f>
        <x:v>288.13</x:v>
      </x:c>
      <x:c r="C71" t="str" cm="1">
        <x:f t="array" ref="C71">+_xlfn.IFS(Tabla5[[#This Row],[FACTURACIÓN]]&lt;500,"A",Tabla5[[#This Row],[FACTURACIÓN]]&lt;1000,"AA",Tabla5[[#This Row],[FACTURACIÓN]]&gt;=1000,"AAA")</x:f>
        <x:v>A</x:v>
      </x:c>
    </x:row>
    <x:row r="72">
      <x:c r="A72" s="44" t="s">
        <x:v>1284</x:v>
      </x:c>
      <x:c r="B72" s="2" t="n">
        <x:f>+IF($B$4="TODOS",SUMIFS(Base_Precisa!X:X,Base_Precisa!J:J,Cálculo_Categorías!A72),SUMIFS(Base_Precisa!X:X,Base_Precisa!J:J,Cálculo_Categorías!A72,Base_Precisa!B:B,Cálculo_Categorías!$B$4))</x:f>
        <x:v>135.59</x:v>
      </x:c>
      <x:c r="C72" t="str" cm="1">
        <x:f t="array" ref="C72">+_xlfn.IFS(Tabla5[[#This Row],[FACTURACIÓN]]&lt;500,"A",Tabla5[[#This Row],[FACTURACIÓN]]&lt;1000,"AA",Tabla5[[#This Row],[FACTURACIÓN]]&gt;=1000,"AAA")</x:f>
        <x:v>A</x:v>
      </x:c>
    </x:row>
    <x:row r="73">
      <x:c r="A73" s="44" t="s">
        <x:v>1545</x:v>
      </x:c>
      <x:c r="B73" s="2" t="n">
        <x:f>+IF($B$4="TODOS",SUMIFS(Base_Precisa!X:X,Base_Precisa!J:J,Cálculo_Categorías!A73),SUMIFS(Base_Precisa!X:X,Base_Precisa!J:J,Cálculo_Categorías!A73,Base_Precisa!B:B,Cálculo_Categorías!$B$4))</x:f>
        <x:v>1135.5900000000001</x:v>
      </x:c>
      <x:c r="C73" t="str" cm="1">
        <x:f t="array" ref="C73">+_xlfn.IFS(Tabla5[[#This Row],[FACTURACIÓN]]&lt;500,"A",Tabla5[[#This Row],[FACTURACIÓN]]&lt;1000,"AA",Tabla5[[#This Row],[FACTURACIÓN]]&gt;=1000,"AAA")</x:f>
        <x:v>AAA</x:v>
      </x:c>
    </x:row>
    <x:row r="74">
      <x:c r="A74" s="44" t="s">
        <x:v>1564</x:v>
      </x:c>
      <x:c r="B74" s="2" t="n">
        <x:f>+IF($B$4="TODOS",SUMIFS(Base_Precisa!X:X,Base_Precisa!J:J,Cálculo_Categorías!A74),SUMIFS(Base_Precisa!X:X,Base_Precisa!J:J,Cálculo_Categorías!A74,Base_Precisa!B:B,Cálculo_Categorías!$B$4))</x:f>
        <x:v>457.62</x:v>
      </x:c>
      <x:c r="C74" t="str" cm="1">
        <x:f t="array" ref="C74">+_xlfn.IFS(Tabla5[[#This Row],[FACTURACIÓN]]&lt;500,"A",Tabla5[[#This Row],[FACTURACIÓN]]&lt;1000,"AA",Tabla5[[#This Row],[FACTURACIÓN]]&gt;=1000,"AAA")</x:f>
        <x:v>A</x:v>
      </x:c>
    </x:row>
    <x:row r="75">
      <x:c r="A75" s="44" t="s">
        <x:v>1599</x:v>
      </x:c>
      <x:c r="B75" s="2" t="n">
        <x:f>+IF($B$4="TODOS",SUMIFS(Base_Precisa!X:X,Base_Precisa!J:J,Cálculo_Categorías!A75),SUMIFS(Base_Precisa!X:X,Base_Precisa!J:J,Cálculo_Categorías!A75,Base_Precisa!B:B,Cálculo_Categorías!$B$4))</x:f>
        <x:v>627.1099999999999</x:v>
      </x:c>
      <x:c r="C75" t="str" cm="1">
        <x:f t="array" ref="C75">+_xlfn.IFS(Tabla5[[#This Row],[FACTURACIÓN]]&lt;500,"A",Tabla5[[#This Row],[FACTURACIÓN]]&lt;1000,"AA",Tabla5[[#This Row],[FACTURACIÓN]]&gt;=1000,"AAA")</x:f>
        <x:v>AA</x:v>
      </x:c>
    </x:row>
    <x:row r="76">
      <x:c r="A76" s="44" t="s">
        <x:v>1610</x:v>
      </x:c>
      <x:c r="B76" s="2" t="n">
        <x:f>+IF($B$4="TODOS",SUMIFS(Base_Precisa!X:X,Base_Precisa!J:J,Cálculo_Categorías!A76),SUMIFS(Base_Precisa!X:X,Base_Precisa!J:J,Cálculo_Categorías!A76,Base_Precisa!B:B,Cálculo_Categorías!$B$4))</x:f>
        <x:v>135.59</x:v>
      </x:c>
      <x:c r="C76" t="str" cm="1">
        <x:f t="array" ref="C76">+_xlfn.IFS(Tabla5[[#This Row],[FACTURACIÓN]]&lt;500,"A",Tabla5[[#This Row],[FACTURACIÓN]]&lt;1000,"AA",Tabla5[[#This Row],[FACTURACIÓN]]&gt;=1000,"AAA")</x:f>
        <x:v>A</x:v>
      </x:c>
    </x:row>
    <x:row r="77">
      <x:c r="A77" s="44" t="s">
        <x:v>1619</x:v>
      </x:c>
      <x:c r="B77" s="2" t="n">
        <x:f>+IF($B$4="TODOS",SUMIFS(Base_Precisa!X:X,Base_Precisa!J:J,Cálculo_Categorías!A77),SUMIFS(Base_Precisa!X:X,Base_Precisa!J:J,Cálculo_Categorías!A77,Base_Precisa!B:B,Cálculo_Categorías!$B$4))</x:f>
        <x:v>555.08</x:v>
      </x:c>
      <x:c r="C77" t="str" cm="1">
        <x:f t="array" ref="C77">+_xlfn.IFS(Tabla5[[#This Row],[FACTURACIÓN]]&lt;500,"A",Tabla5[[#This Row],[FACTURACIÓN]]&lt;1000,"AA",Tabla5[[#This Row],[FACTURACIÓN]]&gt;=1000,"AAA")</x:f>
        <x:v>AA</x:v>
      </x:c>
    </x:row>
    <x:row r="78">
      <x:c r="A78" s="44" t="s">
        <x:v>1688</x:v>
      </x:c>
      <x:c r="B78" s="2" t="n">
        <x:f>+IF($B$4="TODOS",SUMIFS(Base_Precisa!X:X,Base_Precisa!J:J,Cálculo_Categorías!A78),SUMIFS(Base_Precisa!X:X,Base_Precisa!J:J,Cálculo_Categorías!A78,Base_Precisa!B:B,Cálculo_Categorías!$B$4))</x:f>
        <x:v>186.44</x:v>
      </x:c>
      <x:c r="C78" t="str" cm="1">
        <x:f t="array" ref="C78">+_xlfn.IFS(Tabla5[[#This Row],[FACTURACIÓN]]&lt;500,"A",Tabla5[[#This Row],[FACTURACIÓN]]&lt;1000,"AA",Tabla5[[#This Row],[FACTURACIÓN]]&gt;=1000,"AAA")</x:f>
        <x:v>A</x:v>
      </x:c>
    </x:row>
    <x:row r="79">
      <x:c r="A79" s="44" t="s">
        <x:v>1843</x:v>
      </x:c>
      <x:c r="B79" s="2" t="n">
        <x:f>+IF($B$4="TODOS",SUMIFS(Base_Precisa!X:X,Base_Precisa!J:J,Cálculo_Categorías!A79),SUMIFS(Base_Precisa!X:X,Base_Precisa!J:J,Cálculo_Categorías!A79,Base_Precisa!B:B,Cálculo_Categorías!$B$4))</x:f>
        <x:v>372.88</x:v>
      </x:c>
      <x:c r="C79" t="str" cm="1">
        <x:f t="array" ref="C79">+_xlfn.IFS(Tabla5[[#This Row],[FACTURACIÓN]]&lt;500,"A",Tabla5[[#This Row],[FACTURACIÓN]]&lt;1000,"AA",Tabla5[[#This Row],[FACTURACIÓN]]&gt;=1000,"AAA")</x:f>
        <x:v>A</x:v>
      </x:c>
    </x:row>
    <x:row r="80">
      <x:c r="A80" s="44" t="s">
        <x:v>1877</x:v>
      </x:c>
      <x:c r="B80" s="2" t="n">
        <x:f>+IF($B$4="TODOS",SUMIFS(Base_Precisa!X:X,Base_Precisa!J:J,Cálculo_Categorías!A80),SUMIFS(Base_Precisa!X:X,Base_Precisa!J:J,Cálculo_Categorías!A80,Base_Precisa!B:B,Cálculo_Categorías!$B$4))</x:f>
        <x:v>525.4100000000001</x:v>
      </x:c>
      <x:c r="C80" t="str" cm="1">
        <x:f t="array" ref="C80">+_xlfn.IFS(Tabla5[[#This Row],[FACTURACIÓN]]&lt;500,"A",Tabla5[[#This Row],[FACTURACIÓN]]&lt;1000,"AA",Tabla5[[#This Row],[FACTURACIÓN]]&gt;=1000,"AAA")</x:f>
        <x:v>AA</x:v>
      </x:c>
    </x:row>
    <x:row r="81">
      <x:c r="A81" s="44" t="s">
        <x:v>1887</x:v>
      </x:c>
      <x:c r="B81" s="2" t="n">
        <x:f>+IF($B$4="TODOS",SUMIFS(Base_Precisa!X:X,Base_Precisa!J:J,Cálculo_Categorías!A81),SUMIFS(Base_Precisa!X:X,Base_Precisa!J:J,Cálculo_Categorías!A81,Base_Precisa!B:B,Cálculo_Categorías!$B$4))</x:f>
        <x:v>542.36</x:v>
      </x:c>
      <x:c r="C81" t="str" cm="1">
        <x:f t="array" ref="C81">+_xlfn.IFS(Tabla5[[#This Row],[FACTURACIÓN]]&lt;500,"A",Tabla5[[#This Row],[FACTURACIÓN]]&lt;1000,"AA",Tabla5[[#This Row],[FACTURACIÓN]]&gt;=1000,"AAA")</x:f>
        <x:v>AA</x:v>
      </x:c>
    </x:row>
    <x:row r="82">
      <x:c r="A82" s="44" t="s">
        <x:v>1976</x:v>
      </x:c>
      <x:c r="B82" s="2" t="n">
        <x:f>+IF($B$4="TODOS",SUMIFS(Base_Precisa!X:X,Base_Precisa!J:J,Cálculo_Categorías!A82),SUMIFS(Base_Precisa!X:X,Base_Precisa!J:J,Cálculo_Categorías!A82,Base_Precisa!B:B,Cálculo_Categorías!$B$4))</x:f>
        <x:v>135.59</x:v>
      </x:c>
      <x:c r="C82" t="str" cm="1">
        <x:f t="array" ref="C82">+_xlfn.IFS(Tabla5[[#This Row],[FACTURACIÓN]]&lt;500,"A",Tabla5[[#This Row],[FACTURACIÓN]]&lt;1000,"AA",Tabla5[[#This Row],[FACTURACIÓN]]&gt;=1000,"AAA")</x:f>
        <x:v>A</x:v>
      </x:c>
    </x:row>
    <x:row r="83">
      <x:c r="A83" s="44" t="s">
        <x:v>2152</x:v>
      </x:c>
      <x:c r="B83" s="2" t="n">
        <x:f>+IF($B$4="TODOS",SUMIFS(Base_Precisa!X:X,Base_Precisa!J:J,Cálculo_Categorías!A83),SUMIFS(Base_Precisa!X:X,Base_Precisa!J:J,Cálculo_Categorías!A83,Base_Precisa!B:B,Cálculo_Categorías!$B$4))</x:f>
        <x:v>186.44</x:v>
      </x:c>
      <x:c r="C83" t="str" cm="1">
        <x:f t="array" ref="C83">+_xlfn.IFS(Tabla5[[#This Row],[FACTURACIÓN]]&lt;500,"A",Tabla5[[#This Row],[FACTURACIÓN]]&lt;1000,"AA",Tabla5[[#This Row],[FACTURACIÓN]]&gt;=1000,"AAA")</x:f>
        <x:v>A</x:v>
      </x:c>
    </x:row>
    <x:row r="84">
      <x:c r="A84" s="44" t="s">
        <x:v>2169</x:v>
      </x:c>
      <x:c r="B84" s="2" t="n">
        <x:f>+IF($B$4="TODOS",SUMIFS(Base_Precisa!X:X,Base_Precisa!J:J,Cálculo_Categorías!A84),SUMIFS(Base_Precisa!X:X,Base_Precisa!J:J,Cálculo_Categorías!A84,Base_Precisa!B:B,Cálculo_Categorías!$B$4))</x:f>
        <x:v>135.59</x:v>
      </x:c>
      <x:c r="C84" t="str" cm="1">
        <x:f t="array" ref="C84">+_xlfn.IFS(Tabla5[[#This Row],[FACTURACIÓN]]&lt;500,"A",Tabla5[[#This Row],[FACTURACIÓN]]&lt;1000,"AA",Tabla5[[#This Row],[FACTURACIÓN]]&gt;=1000,"AAA")</x:f>
        <x:v>A</x:v>
      </x:c>
    </x:row>
    <x:row r="85">
      <x:c r="A85" s="44" t="s">
        <x:v>2201</x:v>
      </x:c>
      <x:c r="B85" s="2" t="n">
        <x:f>+IF($B$4="TODOS",SUMIFS(Base_Precisa!X:X,Base_Precisa!J:J,Cálculo_Categorías!A85),SUMIFS(Base_Precisa!X:X,Base_Precisa!J:J,Cálculo_Categorías!A85,Base_Precisa!B:B,Cálculo_Categorías!$B$4))</x:f>
        <x:v>271.18</x:v>
      </x:c>
      <x:c r="C85" t="str" cm="1">
        <x:f t="array" ref="C85">+_xlfn.IFS(Tabla5[[#This Row],[FACTURACIÓN]]&lt;500,"A",Tabla5[[#This Row],[FACTURACIÓN]]&lt;1000,"AA",Tabla5[[#This Row],[FACTURACIÓN]]&gt;=1000,"AAA")</x:f>
        <x:v>A</x:v>
      </x:c>
    </x:row>
    <x:row r="86">
      <x:c r="A86" s="44" t="s">
        <x:v>2274</x:v>
      </x:c>
      <x:c r="B86" s="2" t="n">
        <x:f>+IF($B$4="TODOS",SUMIFS(Base_Precisa!X:X,Base_Precisa!J:J,Cálculo_Categorías!A86),SUMIFS(Base_Precisa!X:X,Base_Precisa!J:J,Cálculo_Categorías!A86,Base_Precisa!B:B,Cálculo_Categorías!$B$4))</x:f>
        <x:v>135.59</x:v>
      </x:c>
      <x:c r="C86" t="str" cm="1">
        <x:f t="array" ref="C86">+_xlfn.IFS(Tabla5[[#This Row],[FACTURACIÓN]]&lt;500,"A",Tabla5[[#This Row],[FACTURACIÓN]]&lt;1000,"AA",Tabla5[[#This Row],[FACTURACIÓN]]&gt;=1000,"AAA")</x:f>
        <x:v>A</x:v>
      </x:c>
    </x:row>
    <x:row r="87">
      <x:c r="A87" s="44" t="s">
        <x:v>2324</x:v>
      </x:c>
      <x:c r="B87" s="2" t="n">
        <x:f>+IF($B$4="TODOS",SUMIFS(Base_Precisa!X:X,Base_Precisa!J:J,Cálculo_Categorías!A87),SUMIFS(Base_Precisa!X:X,Base_Precisa!J:J,Cálculo_Categorías!A87,Base_Precisa!B:B,Cálculo_Categorías!$B$4))</x:f>
        <x:v>796.6</x:v>
      </x:c>
      <x:c r="C87" t="str" cm="1">
        <x:f t="array" ref="C87">+_xlfn.IFS(Tabla5[[#This Row],[FACTURACIÓN]]&lt;500,"A",Tabla5[[#This Row],[FACTURACIÓN]]&lt;1000,"AA",Tabla5[[#This Row],[FACTURACIÓN]]&gt;=1000,"AAA")</x:f>
        <x:v>AA</x:v>
      </x:c>
    </x:row>
    <x:row r="88">
      <x:c r="A88" s="44" t="s">
        <x:v>2343</x:v>
      </x:c>
      <x:c r="B88" s="2" t="n">
        <x:f>+IF($B$4="TODOS",SUMIFS(Base_Precisa!X:X,Base_Precisa!J:J,Cálculo_Categorías!A88),SUMIFS(Base_Precisa!X:X,Base_Precisa!J:J,Cálculo_Categorías!A88,Base_Precisa!B:B,Cálculo_Categorías!$B$4))</x:f>
        <x:v>135.59</x:v>
      </x:c>
      <x:c r="C88" t="str" cm="1">
        <x:f t="array" ref="C88">+_xlfn.IFS(Tabla5[[#This Row],[FACTURACIÓN]]&lt;500,"A",Tabla5[[#This Row],[FACTURACIÓN]]&lt;1000,"AA",Tabla5[[#This Row],[FACTURACIÓN]]&gt;=1000,"AAA")</x:f>
        <x:v>A</x:v>
      </x:c>
    </x:row>
    <x:row r="89">
      <x:c r="A89" s="44" t="s">
        <x:v>2363</x:v>
      </x:c>
      <x:c r="B89" s="2" t="n">
        <x:f>+IF($B$4="TODOS",SUMIFS(Base_Precisa!X:X,Base_Precisa!J:J,Cálculo_Categorías!A89),SUMIFS(Base_Precisa!X:X,Base_Precisa!J:J,Cálculo_Categorías!A89,Base_Precisa!B:B,Cálculo_Categorías!$B$4))</x:f>
        <x:v>847.46</x:v>
      </x:c>
      <x:c r="C89" t="str" cm="1">
        <x:f t="array" ref="C89">+_xlfn.IFS(Tabla5[[#This Row],[FACTURACIÓN]]&lt;500,"A",Tabla5[[#This Row],[FACTURACIÓN]]&lt;1000,"AA",Tabla5[[#This Row],[FACTURACIÓN]]&gt;=1000,"AAA")</x:f>
        <x:v>AA</x:v>
      </x:c>
    </x:row>
    <x:row r="90">
      <x:c r="A90" s="44" t="s">
        <x:v>2404</x:v>
      </x:c>
      <x:c r="B90" s="2" t="n">
        <x:f>+IF($B$4="TODOS",SUMIFS(Base_Precisa!X:X,Base_Precisa!J:J,Cálculo_Categorías!A90),SUMIFS(Base_Precisa!X:X,Base_Precisa!J:J,Cálculo_Categorías!A90,Base_Precisa!B:B,Cálculo_Categorías!$B$4))</x:f>
        <x:v>135.59</x:v>
      </x:c>
      <x:c r="C90" t="str" cm="1">
        <x:f t="array" ref="C90">+_xlfn.IFS(Tabla5[[#This Row],[FACTURACIÓN]]&lt;500,"A",Tabla5[[#This Row],[FACTURACIÓN]]&lt;1000,"AA",Tabla5[[#This Row],[FACTURACIÓN]]&gt;=1000,"AAA")</x:f>
        <x:v>A</x:v>
      </x:c>
    </x:row>
    <x:row r="91">
      <x:c r="A91" s="44" t="s">
        <x:v>2442</x:v>
      </x:c>
      <x:c r="B91" s="2" t="n">
        <x:f>+IF($B$4="TODOS",SUMIFS(Base_Precisa!X:X,Base_Precisa!J:J,Cálculo_Categorías!A91),SUMIFS(Base_Precisa!X:X,Base_Precisa!J:J,Cálculo_Categorías!A91,Base_Precisa!B:B,Cálculo_Categorías!$B$4))</x:f>
        <x:v>186.44</x:v>
      </x:c>
      <x:c r="C91" t="str" cm="1">
        <x:f t="array" ref="C91">+_xlfn.IFS(Tabla5[[#This Row],[FACTURACIÓN]]&lt;500,"A",Tabla5[[#This Row],[FACTURACIÓN]]&lt;1000,"AA",Tabla5[[#This Row],[FACTURACIÓN]]&gt;=1000,"AAA")</x:f>
        <x:v>A</x:v>
      </x:c>
    </x:row>
    <x:row r="92">
      <x:c r="A92" s="44" t="s">
        <x:v>2460</x:v>
      </x:c>
      <x:c r="B92" s="2" t="n">
        <x:f>+IF($B$4="TODOS",SUMIFS(Base_Precisa!X:X,Base_Precisa!J:J,Cálculo_Categorías!A92),SUMIFS(Base_Precisa!X:X,Base_Precisa!J:J,Cálculo_Categorías!A92,Base_Precisa!B:B,Cálculo_Categorías!$B$4))</x:f>
        <x:v>101.69</x:v>
      </x:c>
      <x:c r="C92" t="str" cm="1">
        <x:f t="array" ref="C92">+_xlfn.IFS(Tabla5[[#This Row],[FACTURACIÓN]]&lt;500,"A",Tabla5[[#This Row],[FACTURACIÓN]]&lt;1000,"AA",Tabla5[[#This Row],[FACTURACIÓN]]&gt;=1000,"AAA")</x:f>
        <x:v>A</x:v>
      </x:c>
    </x:row>
    <x:row r="93">
      <x:c r="A93" s="44" t="s">
        <x:v>4057</x:v>
      </x:c>
      <x:c r="B93" s="2" t="n">
        <x:f>+IF($B$4="TODOS",SUMIFS(Base_Precisa!X:X,Base_Precisa!J:J,Cálculo_Categorías!A93),SUMIFS(Base_Precisa!X:X,Base_Precisa!J:J,Cálculo_Categorías!A93,Base_Precisa!B:B,Cálculo_Categorías!$B$4))</x:f>
        <x:v>338.98</x:v>
      </x:c>
      <x:c r="C93" t="str" cm="1">
        <x:f t="array" ref="C93">+_xlfn.IFS(Tabla5[[#This Row],[FACTURACIÓN]]&lt;500,"A",Tabla5[[#This Row],[FACTURACIÓN]]&lt;1000,"AA",Tabla5[[#This Row],[FACTURACIÓN]]&gt;=1000,"AAA")</x:f>
        <x:v>A</x:v>
      </x:c>
    </x:row>
    <x:row r="94">
      <x:c r="A94" s="44" t="s">
        <x:v>2502</x:v>
      </x:c>
      <x:c r="B94" s="2" t="n">
        <x:f>+IF($B$4="TODOS",SUMIFS(Base_Precisa!X:X,Base_Precisa!J:J,Cálculo_Categorías!A94),SUMIFS(Base_Precisa!X:X,Base_Precisa!J:J,Cálculo_Categorías!A94,Base_Precisa!B:B,Cálculo_Categorías!$B$4))</x:f>
        <x:v>525.4200000000001</x:v>
      </x:c>
      <x:c r="C94" t="str" cm="1">
        <x:f t="array" ref="C94">+_xlfn.IFS(Tabla5[[#This Row],[FACTURACIÓN]]&lt;500,"A",Tabla5[[#This Row],[FACTURACIÓN]]&lt;1000,"AA",Tabla5[[#This Row],[FACTURACIÓN]]&gt;=1000,"AAA")</x:f>
        <x:v>AA</x:v>
      </x:c>
    </x:row>
    <x:row r="95">
      <x:c r="A95" s="44" t="s">
        <x:v>2599</x:v>
      </x:c>
      <x:c r="B95" s="2" t="n">
        <x:f>+IF($B$4="TODOS",SUMIFS(Base_Precisa!X:X,Base_Precisa!J:J,Cálculo_Categorías!A95),SUMIFS(Base_Precisa!X:X,Base_Precisa!J:J,Cálculo_Categorías!A95,Base_Precisa!B:B,Cálculo_Categorías!$B$4))</x:f>
        <x:v>338.98</x:v>
      </x:c>
      <x:c r="C95" t="str" cm="1">
        <x:f t="array" ref="C95">+_xlfn.IFS(Tabla5[[#This Row],[FACTURACIÓN]]&lt;500,"A",Tabla5[[#This Row],[FACTURACIÓN]]&lt;1000,"AA",Tabla5[[#This Row],[FACTURACIÓN]]&gt;=1000,"AAA")</x:f>
        <x:v>A</x:v>
      </x:c>
    </x:row>
    <x:row r="96">
      <x:c r="A96" s="44" t="s">
        <x:v>2634</x:v>
      </x:c>
      <x:c r="B96" s="2" t="n">
        <x:f>+IF($B$4="TODOS",SUMIFS(Base_Precisa!X:X,Base_Precisa!J:J,Cálculo_Categorías!A96),SUMIFS(Base_Precisa!X:X,Base_Precisa!J:J,Cálculo_Categorías!A96,Base_Precisa!B:B,Cálculo_Categorías!$B$4))</x:f>
        <x:v>254.24</x:v>
      </x:c>
      <x:c r="C96" t="str" cm="1">
        <x:f t="array" ref="C96">+_xlfn.IFS(Tabla5[[#This Row],[FACTURACIÓN]]&lt;500,"A",Tabla5[[#This Row],[FACTURACIÓN]]&lt;1000,"AA",Tabla5[[#This Row],[FACTURACIÓN]]&gt;=1000,"AAA")</x:f>
        <x:v>A</x:v>
      </x:c>
    </x:row>
    <x:row r="97">
      <x:c r="A97" s="44" t="s">
        <x:v>3204</x:v>
      </x:c>
      <x:c r="B97" s="2" t="n">
        <x:f>+IF($B$4="TODOS",SUMIFS(Base_Precisa!X:X,Base_Precisa!J:J,Cálculo_Categorías!A97),SUMIFS(Base_Precisa!X:X,Base_Precisa!J:J,Cálculo_Categorías!A97,Base_Precisa!B:B,Cálculo_Categorías!$B$4))</x:f>
        <x:v>152.54</x:v>
      </x:c>
      <x:c r="C97" t="str" cm="1">
        <x:f t="array" ref="C97">+_xlfn.IFS(Tabla5[[#This Row],[FACTURACIÓN]]&lt;500,"A",Tabla5[[#This Row],[FACTURACIÓN]]&lt;1000,"AA",Tabla5[[#This Row],[FACTURACIÓN]]&gt;=1000,"AAA")</x:f>
        <x:v>A</x:v>
      </x:c>
    </x:row>
    <x:row r="98">
      <x:c r="A98" s="44" t="s">
        <x:v>3269</x:v>
      </x:c>
      <x:c r="B98" s="2" t="n">
        <x:f>+IF($B$4="TODOS",SUMIFS(Base_Precisa!X:X,Base_Precisa!J:J,Cálculo_Categorías!A98),SUMIFS(Base_Precisa!X:X,Base_Precisa!J:J,Cálculo_Categorías!A98,Base_Precisa!B:B,Cálculo_Categorías!$B$4))</x:f>
        <x:v>135.59</x:v>
      </x:c>
      <x:c r="C98" t="str" cm="1">
        <x:f t="array" ref="C98">+_xlfn.IFS(Tabla5[[#This Row],[FACTURACIÓN]]&lt;500,"A",Tabla5[[#This Row],[FACTURACIÓN]]&lt;1000,"AA",Tabla5[[#This Row],[FACTURACIÓN]]&gt;=1000,"AAA")</x:f>
        <x:v>A</x:v>
      </x:c>
    </x:row>
    <x:row r="99">
      <x:c r="A99" s="44" t="s">
        <x:v>3587</x:v>
      </x:c>
      <x:c r="B99" s="2" t="n">
        <x:f>+IF($B$4="TODOS",SUMIFS(Base_Precisa!X:X,Base_Precisa!J:J,Cálculo_Categorías!A99),SUMIFS(Base_Precisa!X:X,Base_Precisa!J:J,Cálculo_Categorías!A99,Base_Precisa!B:B,Cálculo_Categorías!$B$4))</x:f>
        <x:v>1144.06</x:v>
      </x:c>
      <x:c r="C99" t="str" cm="1">
        <x:f t="array" ref="C99">+_xlfn.IFS(Tabla5[[#This Row],[FACTURACIÓN]]&lt;500,"A",Tabla5[[#This Row],[FACTURACIÓN]]&lt;1000,"AA",Tabla5[[#This Row],[FACTURACIÓN]]&gt;=1000,"AAA")</x:f>
        <x:v>AAA</x:v>
      </x:c>
    </x:row>
    <x:row r="100">
      <x:c r="A100" s="44" t="s">
        <x:v>3080</x:v>
      </x:c>
      <x:c r="B100" s="2" t="n">
        <x:f>+IF($B$4="TODOS",SUMIFS(Base_Precisa!X:X,Base_Precisa!J:J,Cálculo_Categorías!A100),SUMIFS(Base_Precisa!X:X,Base_Precisa!J:J,Cálculo_Categorías!A100,Base_Precisa!B:B,Cálculo_Categorías!$B$4))</x:f>
        <x:v>881.3499999999999</x:v>
      </x:c>
      <x:c r="C100" t="str" cm="1">
        <x:f t="array" ref="C100">+_xlfn.IFS(Tabla5[[#This Row],[FACTURACIÓN]]&lt;500,"A",Tabla5[[#This Row],[FACTURACIÓN]]&lt;1000,"AA",Tabla5[[#This Row],[FACTURACIÓN]]&gt;=1000,"AAA")</x:f>
        <x:v>AA</x:v>
      </x:c>
    </x:row>
    <x:row r="101">
      <x:c r="A101" s="44" t="s">
        <x:v>2784</x:v>
      </x:c>
      <x:c r="B101" s="2" t="n">
        <x:f>+IF($B$4="TODOS",SUMIFS(Base_Precisa!X:X,Base_Precisa!J:J,Cálculo_Categorías!A101),SUMIFS(Base_Precisa!X:X,Base_Precisa!J:J,Cálculo_Categorías!A101,Base_Precisa!B:B,Cálculo_Categorías!$B$4))</x:f>
        <x:v>2949.13</x:v>
      </x:c>
      <x:c r="C101" t="str" cm="1">
        <x:f t="array" ref="C101">+_xlfn.IFS(Tabla5[[#This Row],[FACTURACIÓN]]&lt;500,"A",Tabla5[[#This Row],[FACTURACIÓN]]&lt;1000,"AA",Tabla5[[#This Row],[FACTURACIÓN]]&gt;=1000,"AAA")</x:f>
        <x:v>AAA</x:v>
      </x:c>
    </x:row>
    <x:row r="102">
      <x:c r="A102" s="44" t="s">
        <x:v>3372</x:v>
      </x:c>
      <x:c r="B102" s="2" t="n">
        <x:f>+IF($B$4="TODOS",SUMIFS(Base_Precisa!X:X,Base_Precisa!J:J,Cálculo_Categorías!A102),SUMIFS(Base_Precisa!X:X,Base_Precisa!J:J,Cálculo_Categorías!A102,Base_Precisa!B:B,Cálculo_Categorías!$B$4))</x:f>
        <x:v>271.18</x:v>
      </x:c>
      <x:c r="C102" t="str" cm="1">
        <x:f t="array" ref="C102">+_xlfn.IFS(Tabla5[[#This Row],[FACTURACIÓN]]&lt;500,"A",Tabla5[[#This Row],[FACTURACIÓN]]&lt;1000,"AA",Tabla5[[#This Row],[FACTURACIÓN]]&gt;=1000,"AAA")</x:f>
        <x:v>A</x:v>
      </x:c>
    </x:row>
    <x:row r="103">
      <x:c r="A103" s="44" t="s">
        <x:v>4332</x:v>
      </x:c>
      <x:c r="B103" s="2" t="n">
        <x:f>+IF($B$4="TODOS",SUMIFS(Base_Precisa!X:X,Base_Precisa!J:J,Cálculo_Categorías!A103),SUMIFS(Base_Precisa!X:X,Base_Precisa!J:J,Cálculo_Categorías!A103,Base_Precisa!B:B,Cálculo_Categorías!$B$4))</x:f>
        <x:v>152.54</x:v>
      </x:c>
      <x:c r="C103" t="str" cm="1">
        <x:f t="array" ref="C103">+_xlfn.IFS(Tabla5[[#This Row],[FACTURACIÓN]]&lt;500,"A",Tabla5[[#This Row],[FACTURACIÓN]]&lt;1000,"AA",Tabla5[[#This Row],[FACTURACIÓN]]&gt;=1000,"AAA")</x:f>
        <x:v>A</x:v>
      </x:c>
    </x:row>
    <x:row r="104">
      <x:c r="A104" s="44" t="s">
        <x:v>4454</x:v>
      </x:c>
      <x:c r="B104" s="2" t="n">
        <x:f>+IF($B$4="TODOS",SUMIFS(Base_Precisa!X:X,Base_Precisa!J:J,Cálculo_Categorías!A104),SUMIFS(Base_Precisa!X:X,Base_Precisa!J:J,Cálculo_Categorías!A104,Base_Precisa!B:B,Cálculo_Categorías!$B$4))</x:f>
        <x:v>169.49</x:v>
      </x:c>
      <x:c r="C104" t="str" cm="1">
        <x:f t="array" ref="C104">+_xlfn.IFS(Tabla5[[#This Row],[FACTURACIÓN]]&lt;500,"A",Tabla5[[#This Row],[FACTURACIÓN]]&lt;1000,"AA",Tabla5[[#This Row],[FACTURACIÓN]]&gt;=1000,"AAA")</x:f>
        <x:v>A</x:v>
      </x:c>
    </x:row>
    <x:row r="105">
      <x:c r="A105" s="44" t="s">
        <x:v>4527</x:v>
      </x:c>
      <x:c r="B105" s="2" t="n">
        <x:f>+IF($B$4="TODOS",SUMIFS(Base_Precisa!X:X,Base_Precisa!J:J,Cálculo_Categorías!A105),SUMIFS(Base_Precisa!X:X,Base_Precisa!J:J,Cálculo_Categorías!A105,Base_Precisa!B:B,Cálculo_Categorías!$B$4))</x:f>
        <x:v>152.54</x:v>
      </x:c>
      <x:c r="C105" t="str" cm="1">
        <x:f t="array" ref="C105">+_xlfn.IFS(Tabla5[[#This Row],[FACTURACIÓN]]&lt;500,"A",Tabla5[[#This Row],[FACTURACIÓN]]&lt;1000,"AA",Tabla5[[#This Row],[FACTURACIÓN]]&gt;=1000,"AAA")</x:f>
        <x:v>A</x:v>
      </x:c>
    </x:row>
    <x:row r="106">
      <x:c r="A106" s="44" t="s">
        <x:v>3122</x:v>
      </x:c>
      <x:c r="B106" s="2" t="n">
        <x:f>+IF($B$4="TODOS",SUMIFS(Base_Precisa!X:X,Base_Precisa!J:J,Cálculo_Categorías!A106),SUMIFS(Base_Precisa!X:X,Base_Precisa!J:J,Cálculo_Categorías!A106,Base_Precisa!B:B,Cálculo_Categorías!$B$4))</x:f>
        <x:v>135.59</x:v>
      </x:c>
      <x:c r="C106" t="str" cm="1">
        <x:f t="array" ref="C106">+_xlfn.IFS(Tabla5[[#This Row],[FACTURACIÓN]]&lt;500,"A",Tabla5[[#This Row],[FACTURACIÓN]]&lt;1000,"AA",Tabla5[[#This Row],[FACTURACIÓN]]&gt;=1000,"AAA")</x:f>
        <x:v>A</x:v>
      </x:c>
    </x:row>
  </x:sheetData>
  <x:mergeCells>
    <x:mergeCell ref="A6:C6"/>
    <x:mergeCell ref="E6:G6"/>
    <x:mergeCell ref="A3:B3"/>
    <x:mergeCell ref="E3:F3"/>
    <x:mergeCell ref="A1:G1"/>
  </x:mergeCells>
  <x:dataValidations count="1">
    <x:dataValidation type="list" allowBlank="1" showInputMessage="1" showErrorMessage="1" sqref="F4 B4">
      <x:formula1>"TODOS,Junio,Julio,Agosto,Setiembre,Octubre"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ada5823291334969"/>
    <x:tablePart xmlns:r="http://schemas.openxmlformats.org/officeDocument/2006/relationships" r:id="R1b4a7e33c3d54ddf"/>
  </x:tableParts>
</x:worksheet>
</file>

<file path=xl/worksheets/sheet6.xml><?xml version="1.0" encoding="utf-8"?>
<x:worksheet xmlns:x="http://schemas.openxmlformats.org/spreadsheetml/2006/main">
  <x:sheetFormatPr baseColWidth="10" defaultRowHeight="14.399999618530273"/>
  <x:cols>
    <x:col min="1" max="1" width="33.77734375" customWidth="1"/>
    <x:col min="2" max="2" width="12.44140625" customWidth="1"/>
    <x:col min="4" max="4" width="7" customWidth="1"/>
    <x:col min="5" max="5" width="2.33203125" customWidth="1"/>
    <x:col min="6" max="6" width="37.33203125" customWidth="1"/>
    <x:col min="7" max="7" width="17.5546875" customWidth="1"/>
    <x:col min="8" max="8" width="15.109375" customWidth="1"/>
    <x:col min="9" max="9" width="7" customWidth="1"/>
    <x:col min="10" max="10" width="2.33203125" customWidth="1"/>
    <x:col min="11" max="11" width="40.88671875" customWidth="1"/>
    <x:col min="12" max="12" width="17.5546875" customWidth="1"/>
    <x:col min="13" max="13" width="15.109375" customWidth="1"/>
    <x:col min="14" max="14" width="7" customWidth="1"/>
    <x:col min="15" max="15" width="5.44140625" customWidth="1"/>
    <x:col min="16" max="16" width="37.33203125" customWidth="1"/>
    <x:col min="17" max="17" width="17.5546875" customWidth="1"/>
    <x:col min="18" max="18" width="15.109375" customWidth="1"/>
    <x:col min="19" max="19" width="7" customWidth="1"/>
  </x:cols>
  <x:sheetData>
    <x:row r="1" ht="18">
      <x:c r="A1" s="61" t="s">
        <x:v>5000</x:v>
      </x:c>
      <x:c r="B1" s="62"/>
      <x:c r="C1" s="62"/>
      <x:c r="D1" s="62"/>
      <x:c r="F1" s="61" t="s">
        <x:v>5001</x:v>
      </x:c>
      <x:c r="G1" s="62"/>
      <x:c r="H1" s="62"/>
      <x:c r="I1" s="62"/>
      <x:c r="K1" s="61" t="s">
        <x:v>5002</x:v>
      </x:c>
      <x:c r="L1" s="62"/>
      <x:c r="M1" s="62"/>
      <x:c r="N1" s="62"/>
      <x:c r="P1" s="61" t="s">
        <x:v>5003</x:v>
      </x:c>
      <x:c r="Q1" s="62"/>
      <x:c r="R1" s="62"/>
      <x:c r="S1" s="62"/>
    </x:row>
    <x:row r="2" ht="15">
      <x:c r="A2" s="31" t="s">
        <x:v>5004</x:v>
      </x:c>
      <x:c r="B2" s="32" t="s">
        <x:v>4993</x:v>
      </x:c>
      <x:c r="C2" s="33" t="s">
        <x:v>5005</x:v>
      </x:c>
      <x:c r="D2" s="32" t="s">
        <x:v>5006</x:v>
      </x:c>
      <x:c r="F2" s="31" t="s">
        <x:v>5004</x:v>
      </x:c>
      <x:c r="G2" s="32" t="s">
        <x:v>4993</x:v>
      </x:c>
      <x:c r="H2" s="33" t="s">
        <x:v>5005</x:v>
      </x:c>
      <x:c r="I2" s="32" t="s">
        <x:v>5006</x:v>
      </x:c>
      <x:c r="K2" s="23" t="s">
        <x:v>5004</x:v>
      </x:c>
      <x:c r="L2" s="24" t="s">
        <x:v>4993</x:v>
      </x:c>
      <x:c r="M2" s="25" t="s">
        <x:v>5005</x:v>
      </x:c>
      <x:c r="N2" s="32" t="s">
        <x:v>5006</x:v>
      </x:c>
      <x:c r="P2" s="23" t="s">
        <x:v>5004</x:v>
      </x:c>
      <x:c r="Q2" s="24" t="s">
        <x:v>4993</x:v>
      </x:c>
      <x:c r="R2" s="25" t="s">
        <x:v>5005</x:v>
      </x:c>
      <x:c r="S2" s="24" t="s">
        <x:v>5006</x:v>
      </x:c>
    </x:row>
    <x:row r="3">
      <x:c r="A3" s="35" t="s">
        <x:v>5007</x:v>
      </x:c>
      <x:c r="B3" s="36" t="n">
        <x:f>+SUMIF(Tabla421[CATEGORÍA],"AAA",Tabla421[FACTURACIÓN])</x:f>
        <x:v>4313.5599999999995</x:v>
      </x:c>
      <x:c r="C3" s="37" t="n">
        <x:f>+COUNTIF(Tabla4[CATEGORÍA],"AAA")</x:f>
        <x:v>10</x:v>
      </x:c>
      <x:c r="D3" s="38" t="n">
        <x:f>C3/$H$6</x:f>
        <x:v>0.24390243902439024</x:v>
      </x:c>
      <x:c r="F3" s="35" t="s">
        <x:v>5007</x:v>
      </x:c>
      <x:c r="G3" s="36" t="n">
        <x:f>+SUMIF(Tabla4[CATEGORÍA],"AAA",Tabla4[FACTURACIÓN])</x:f>
        <x:v>34864.21000000001</x:v>
      </x:c>
      <x:c r="H3" s="37" t="n">
        <x:f>+COUNTIF(Tabla4[CATEGORÍA],"AAA")</x:f>
        <x:v>10</x:v>
      </x:c>
      <x:c r="I3" s="38" t="n">
        <x:f>H3/$H$6</x:f>
        <x:v>0.24390243902439024</x:v>
      </x:c>
      <x:c r="K3" s="11" t="s">
        <x:v>5007</x:v>
      </x:c>
      <x:c r="L3" s="22" t="n">
        <x:f>+SUMIF(Tabla6[CATEGORÍA],"AAA",Tabla6[FACTURACIÓN])</x:f>
        <x:v>18588.94</x:v>
      </x:c>
      <x:c r="M3" s="13" t="n">
        <x:f>+COUNTIF(Tabla6[CATEGORÍA],"AAA")</x:f>
        <x:v>5</x:v>
      </x:c>
      <x:c r="N3" s="38" t="n">
        <x:f>M3/$M$6</x:f>
        <x:v>0.08620689655172414</x:v>
      </x:c>
      <x:c r="P3" s="11" t="s">
        <x:v>5007</x:v>
      </x:c>
      <x:c r="Q3" s="22" t="n">
        <x:f>+SUMIF(Tabla8[CATEGORÍA],"AAA",Tabla8[FACTURACIÓN])</x:f>
        <x:v>18406.769999999997</x:v>
      </x:c>
      <x:c r="R3" s="13" t="n">
        <x:f>+COUNTIF(Tabla8[CATEGORÍA],"AAA")</x:f>
        <x:v>4</x:v>
      </x:c>
      <x:c r="S3" s="52" t="n">
        <x:f t="shared" ref="S3:S7" si="0">R3/$R$7</x:f>
        <x:v>0.12121212121212122</x:v>
      </x:c>
    </x:row>
    <x:row r="4">
      <x:c r="A4" s="27" t="s">
        <x:v>5008</x:v>
      </x:c>
      <x:c r="B4" s="26" t="n">
        <x:f>+SUMIF(Tabla4[CATEGORÍA],"AA",Tabla4[FACTURACIÓN])</x:f>
        <x:v>3830.4700000000003</x:v>
      </x:c>
      <x:c r="C4" s="34" t="n">
        <x:f>+COUNTIF(Tabla4[CATEGORÍA],"AA")</x:f>
        <x:v>5</x:v>
      </x:c>
      <x:c r="D4" s="39" t="n">
        <x:f>C4/$H$6</x:f>
        <x:v>0.12195121951219512</x:v>
      </x:c>
      <x:c r="F4" s="27" t="s">
        <x:v>5008</x:v>
      </x:c>
      <x:c r="G4" s="26" t="n">
        <x:f>+SUMIF(Tabla4[CATEGORÍA],"AA",Tabla4[FACTURACIÓN])</x:f>
        <x:v>3830.4700000000003</x:v>
      </x:c>
      <x:c r="H4" s="34" t="n">
        <x:f>+COUNTIF(Tabla4[CATEGORÍA],"AA")</x:f>
        <x:v>5</x:v>
      </x:c>
      <x:c r="I4" s="39" t="n">
        <x:f>H4/$H$6</x:f>
        <x:v>0.12195121951219512</x:v>
      </x:c>
      <x:c r="K4" s="11" t="s">
        <x:v>5008</x:v>
      </x:c>
      <x:c r="L4" s="22" t="n">
        <x:f>+SUMIF(Tabla6[CATEGORÍA],"AA",Tabla6[FACTURACIÓN])</x:f>
        <x:v>8491.44</x:v>
      </x:c>
      <x:c r="M4" s="13" t="n">
        <x:f>+COUNTIF(Tabla6[CATEGORÍA],"AA")</x:f>
        <x:v>11</x:v>
      </x:c>
      <x:c r="N4" s="39" t="n">
        <x:f>M4/$M$6</x:f>
        <x:v>0.1896551724137931</x:v>
      </x:c>
      <x:c r="P4" s="11" t="s">
        <x:v>5008</x:v>
      </x:c>
      <x:c r="Q4" s="22" t="n">
        <x:f>+SUMIF(Tabla8[CATEGORÍA],"AA",Tabla8[FACTURACIÓN])</x:f>
        <x:v>7512.650000000001</x:v>
      </x:c>
      <x:c r="R4" s="13" t="n">
        <x:f>+COUNTIF(Tabla8[CATEGORÍA],"AA")</x:f>
        <x:v>10</x:v>
      </x:c>
      <x:c r="S4" s="39">
        <x:f t="shared" si="0"/>
        <x:v>0.30303030303030304</x:v>
      </x:c>
    </x:row>
    <x:row r="5" ht="18">
      <x:c r="A5" s="27" t="s">
        <x:v>5009</x:v>
      </x:c>
      <x:c r="B5" s="26" t="n">
        <x:f>+SUMIF(Tabla421[CATEGORÍA],"A",Tabla421[FACTURACIÓN])</x:f>
        <x:v>1970.31</x:v>
      </x:c>
      <x:c r="C5" s="34" t="n">
        <x:f>+COUNTIF(Tabla4[CATEGORÍA],"A")</x:f>
        <x:v>26</x:v>
      </x:c>
      <x:c r="D5" s="39" t="n">
        <x:f>C5/$H$6</x:f>
        <x:v>0.6341463414634146</x:v>
      </x:c>
      <x:c r="F5" s="27" t="s">
        <x:v>5009</x:v>
      </x:c>
      <x:c r="G5" s="26" t="n">
        <x:f>+SUMIF(Tabla4[CATEGORÍA],"A",Tabla4[FACTURACIÓN])</x:f>
        <x:v>6262.63</x:v>
      </x:c>
      <x:c r="H5" s="34" t="n">
        <x:f>+COUNTIF(Tabla4[CATEGORÍA],"A")</x:f>
        <x:v>26</x:v>
      </x:c>
      <x:c r="I5" s="39" t="n">
        <x:f>H5/$H$6</x:f>
        <x:v>0.6341463414634146</x:v>
      </x:c>
      <x:c r="J5" s="9"/>
      <x:c r="K5" s="11" t="s">
        <x:v>5009</x:v>
      </x:c>
      <x:c r="L5" s="22" t="n">
        <x:f>+SUMIF(Tabla6[CATEGORÍA],"A",Tabla6[FACTURACIÓN])</x:f>
        <x:v>9296.470000000003</x:v>
      </x:c>
      <x:c r="M5" s="13" t="n">
        <x:f>+COUNTIF(Tabla6[CATEGORÍA],"A")</x:f>
        <x:v>42</x:v>
      </x:c>
      <x:c r="N5" s="39" t="n">
        <x:f>M5/$M$6</x:f>
        <x:v>0.7241379310344828</x:v>
      </x:c>
      <x:c r="O5" s="9"/>
      <x:c r="P5" s="11" t="s">
        <x:v>5009</x:v>
      </x:c>
      <x:c r="Q5" s="22" t="n">
        <x:f>+SUMIF(Tabla8[CATEGORÍA],"A",Tabla8[FACTURACIÓN])</x:f>
        <x:v>3728.7700000000004</x:v>
      </x:c>
      <x:c r="R5" s="13" t="n">
        <x:f>+COUNTIF(Tabla8[CATEGORÍA],"A")</x:f>
        <x:v>11</x:v>
      </x:c>
      <x:c r="S5" s="39">
        <x:f t="shared" si="0"/>
        <x:v>0.33333333333333331</x:v>
      </x:c>
    </x:row>
    <x:row r="6" ht="18.600000381469727">
      <x:c r="A6" s="40" t="s">
        <x:v>5010</x:v>
      </x:c>
      <x:c r="B6" s="41" t="n">
        <x:f>+SUM(Tabla421[FACTURACIÓN])</x:f>
        <x:v>6283.87</x:v>
      </x:c>
      <x:c r="C6" s="42" t="n">
        <x:f>+COUNT(Tabla421[FACTURACIÓN])</x:f>
        <x:v>10</x:v>
      </x:c>
      <x:c r="D6" s="43" t="n">
        <x:f>C6/$H$6</x:f>
        <x:v>0.24390243902439024</x:v>
      </x:c>
      <x:c r="F6" s="40" t="s">
        <x:v>5010</x:v>
      </x:c>
      <x:c r="G6" s="41" t="n">
        <x:f>+SUM(Tabla4[FACTURACIÓN])</x:f>
        <x:v>44957.31</x:v>
      </x:c>
      <x:c r="H6" s="42" t="n">
        <x:f>+COUNT(Tabla4[FACTURACIÓN])</x:f>
        <x:v>41</x:v>
      </x:c>
      <x:c r="I6" s="43" t="n">
        <x:f>H6/$H$6</x:f>
        <x:v>1</x:v>
      </x:c>
      <x:c r="J6" s="9"/>
      <x:c r="K6" s="28" t="s">
        <x:v>5010</x:v>
      </x:c>
      <x:c r="L6" s="29" t="n">
        <x:f>+SUM(Tabla6[FACTURACIÓN])</x:f>
        <x:v>36376.84999999999</x:v>
      </x:c>
      <x:c r="M6" s="30" t="n">
        <x:f>+COUNT(Tabla6[FACTURACIÓN])</x:f>
        <x:v>58</x:v>
      </x:c>
      <x:c r="N6" s="43" t="n">
        <x:f>M6/$M$6</x:f>
        <x:v>1</x:v>
      </x:c>
      <x:c r="O6" s="9"/>
      <x:c r="P6" s="11" t="s">
        <x:v>5011</x:v>
      </x:c>
      <x:c r="Q6" s="22" t="n">
        <x:f>+SUMIF(Tabla8[CATEGORÍA],"Sin Categoría",Tabla8[FACTURACIÓN])</x:f>
        <x:v>1237.27</x:v>
      </x:c>
      <x:c r="R6" s="13" t="n">
        <x:f>+COUNTIF(Tabla8[CATEGORÍA],"Sin Categoría")</x:f>
        <x:v>8</x:v>
      </x:c>
      <x:c r="S6" s="39">
        <x:f t="shared" si="0"/>
        <x:v>0.24242424242424243</x:v>
      </x:c>
    </x:row>
    <x:row r="7" ht="18.600000381469727">
      <x:c r="A7" s="14" t="s">
        <x:v>8</x:v>
      </x:c>
      <x:c r="B7" s="46" t="s">
        <x:v>4998</x:v>
      </x:c>
      <x:c r="C7" s="47" t="s">
        <x:v>4999</x:v>
      </x:c>
      <x:c r="F7" s="14" t="s">
        <x:v>8</x:v>
      </x:c>
      <x:c r="G7" s="15" t="s">
        <x:v>4998</x:v>
      </x:c>
      <x:c r="H7" s="16" t="s">
        <x:v>4999</x:v>
      </x:c>
      <x:c r="I7" s="6"/>
      <x:c r="J7" s="9"/>
      <x:c r="K7" s="14" t="s">
        <x:v>8</x:v>
      </x:c>
      <x:c r="L7" s="15" t="s">
        <x:v>4998</x:v>
      </x:c>
      <x:c r="M7" s="16" t="s">
        <x:v>4999</x:v>
      </x:c>
      <x:c r="N7" s="6"/>
      <x:c r="O7" s="9"/>
      <x:c r="P7" s="28" t="s">
        <x:v>5010</x:v>
      </x:c>
      <x:c r="Q7" s="29" t="n">
        <x:f>+SUM(Tabla8[FACTURACIÓN])</x:f>
        <x:v>30885.459999999995</x:v>
      </x:c>
      <x:c r="R7" s="30" t="n">
        <x:f>+COUNT(Tabla8[FACTURACIÓN])</x:f>
        <x:v>33</x:v>
      </x:c>
      <x:c r="S7" s="43">
        <x:f t="shared" si="0"/>
        <x:v>1</x:v>
      </x:c>
    </x:row>
    <x:row r="8" s="6" customFormat="1" ht="15">
      <x:c r="A8" s="44" t="s">
        <x:v>274</x:v>
      </x:c>
      <x:c r="B8" s="54">
        <x:v>1305.0899999999999</x:v>
      </x:c>
      <x:c r="C8" t="s">
        <x:v>5007</x:v>
      </x:c>
      <x:c r="F8" s="44" t="s">
        <x:v>35</x:v>
      </x:c>
      <x:c r="G8" s="2">
        <x:v>135.59</x:v>
      </x:c>
      <x:c r="H8" t="s">
        <x:v>5009</x:v>
      </x:c>
      <x:c r="I8"/>
      <x:c r="K8" s="10" t="s">
        <x:v>35</x:v>
      </x:c>
      <x:c r="L8" s="19">
        <x:v>186.44</x:v>
      </x:c>
      <x:c r="M8" s="12" t="s">
        <x:v>5009</x:v>
      </x:c>
      <x:c r="N8"/>
      <x:c r="P8" s="45" t="s">
        <x:v>8</x:v>
      </x:c>
      <x:c r="Q8" s="46" t="s">
        <x:v>4998</x:v>
      </x:c>
      <x:c r="R8" s="47" t="s">
        <x:v>4999</x:v>
      </x:c>
    </x:row>
    <x:row r="9">
      <x:c r="A9" s="53" t="s">
        <x:v>478</x:v>
      </x:c>
      <x:c r="B9" s="54">
        <x:v>326.27</x:v>
      </x:c>
      <x:c r="C9" t="s">
        <x:v>5009</x:v>
      </x:c>
      <x:c r="F9" s="44" t="s">
        <x:v>117</x:v>
      </x:c>
      <x:c r="G9" s="2">
        <x:v>474.57</x:v>
      </x:c>
      <x:c r="H9" t="s">
        <x:v>5009</x:v>
      </x:c>
      <x:c r="K9" s="11" t="s">
        <x:v>3435</x:v>
      </x:c>
      <x:c r="L9" s="20">
        <x:v>135.59</x:v>
      </x:c>
      <x:c r="M9" s="13" t="s">
        <x:v>5009</x:v>
      </x:c>
      <x:c r="P9" s="35" t="s">
        <x:v>776</x:v>
      </x:c>
      <x:c r="Q9" s="48">
        <x:v>10927.98</x:v>
      </x:c>
      <x:c r="R9" s="49" t="s">
        <x:v>5007</x:v>
      </x:c>
    </x:row>
    <x:row r="10">
      <x:c r="A10" s="53" t="s">
        <x:v>664</x:v>
      </x:c>
      <x:c r="B10" s="54">
        <x:v>1258.47</x:v>
      </x:c>
      <x:c r="C10" t="s">
        <x:v>5007</x:v>
      </x:c>
      <x:c r="F10" s="44" t="s">
        <x:v>137</x:v>
      </x:c>
      <x:c r="G10" s="2">
        <x:v>1660.99</x:v>
      </x:c>
      <x:c r="H10" t="s">
        <x:v>5007</x:v>
      </x:c>
      <x:c r="K10" s="11" t="s">
        <x:v>117</x:v>
      </x:c>
      <x:c r="L10" s="20">
        <x:v>135.59</x:v>
      </x:c>
      <x:c r="M10" s="13" t="s">
        <x:v>5009</x:v>
      </x:c>
      <x:c r="P10" s="27" t="s">
        <x:v>274</x:v>
      </x:c>
      <x:c r="Q10" s="20">
        <x:v>5067.78</x:v>
      </x:c>
      <x:c r="R10" s="7" t="s">
        <x:v>5007</x:v>
      </x:c>
    </x:row>
    <x:row r="11">
      <x:c r="A11" s="53" t="s">
        <x:v>1110</x:v>
      </x:c>
      <x:c r="B11" s="54">
        <x:v>457.62</x:v>
      </x:c>
      <x:c r="C11" t="s">
        <x:v>5009</x:v>
      </x:c>
      <x:c r="F11" s="44" t="s">
        <x:v>412</x:v>
      </x:c>
      <x:c r="G11" s="2">
        <x:v>135.59</x:v>
      </x:c>
      <x:c r="H11" t="s">
        <x:v>5009</x:v>
      </x:c>
      <x:c r="K11" s="11" t="s">
        <x:v>137</x:v>
      </x:c>
      <x:c r="L11" s="20">
        <x:v>898.3</x:v>
      </x:c>
      <x:c r="M11" s="13" t="s">
        <x:v>5008</x:v>
      </x:c>
      <x:c r="P11" s="27" t="s">
        <x:v>630</x:v>
      </x:c>
      <x:c r="Q11" s="20">
        <x:v>1275.4299999999998</x:v>
      </x:c>
      <x:c r="R11" s="7" t="s">
        <x:v>5007</x:v>
      </x:c>
    </x:row>
    <x:row r="12">
      <x:c r="A12" s="53" t="s">
        <x:v>3323</x:v>
      </x:c>
      <x:c r="B12" s="54">
        <x:v>1750</x:v>
      </x:c>
      <x:c r="C12" t="s">
        <x:v>5007</x:v>
      </x:c>
      <x:c r="F12" s="44" t="s">
        <x:v>274</x:v>
      </x:c>
      <x:c r="G12" s="2">
        <x:v>8864.4000000000015</x:v>
      </x:c>
      <x:c r="H12" t="s">
        <x:v>5007</x:v>
      </x:c>
      <x:c r="K12" s="11" t="s">
        <x:v>412</x:v>
      </x:c>
      <x:c r="L12" s="20">
        <x:v>2283.88</x:v>
      </x:c>
      <x:c r="M12" s="13" t="s">
        <x:v>5007</x:v>
      </x:c>
      <x:c r="P12" s="27" t="s">
        <x:v>435</x:v>
      </x:c>
      <x:c r="Q12" s="20">
        <x:v>1135.58</x:v>
      </x:c>
      <x:c r="R12" s="7" t="s">
        <x:v>5007</x:v>
      </x:c>
    </x:row>
    <x:row r="13">
      <x:c r="A13" s="53" t="s">
        <x:v>1877</x:v>
      </x:c>
      <x:c r="B13" s="54">
        <x:v>101.69</x:v>
      </x:c>
      <x:c r="C13" t="s">
        <x:v>5009</x:v>
      </x:c>
      <x:c r="F13" s="44" t="s">
        <x:v>435</x:v>
      </x:c>
      <x:c r="G13" s="2">
        <x:v>728.8</x:v>
      </x:c>
      <x:c r="H13" t="s">
        <x:v>5008</x:v>
      </x:c>
      <x:c r="K13" s="11" t="s">
        <x:v>274</x:v>
      </x:c>
      <x:c r="L13" s="20">
        <x:v>5872.87</x:v>
      </x:c>
      <x:c r="M13" s="13" t="s">
        <x:v>5007</x:v>
      </x:c>
      <x:c r="P13" s="27" t="s">
        <x:v>664</x:v>
      </x:c>
      <x:c r="Q13" s="20">
        <x:v>983.04</x:v>
      </x:c>
      <x:c r="R13" s="7" t="s">
        <x:v>5008</x:v>
      </x:c>
    </x:row>
    <x:row r="14">
      <x:c r="A14" s="53" t="s">
        <x:v>2324</x:v>
      </x:c>
      <x:c r="B14" s="54">
        <x:v>288.13</x:v>
      </x:c>
      <x:c r="C14" t="s">
        <x:v>5009</x:v>
      </x:c>
      <x:c r="F14" s="44" t="s">
        <x:v>478</x:v>
      </x:c>
      <x:c r="G14" s="2">
        <x:v>322.02999999999997</x:v>
      </x:c>
      <x:c r="H14" t="s">
        <x:v>5009</x:v>
      </x:c>
      <x:c r="K14" s="11" t="s">
        <x:v>435</x:v>
      </x:c>
      <x:c r="L14" s="20">
        <x:v>593.21</x:v>
      </x:c>
      <x:c r="M14" s="13" t="s">
        <x:v>5008</x:v>
      </x:c>
      <x:c r="P14" s="27" t="s">
        <x:v>3323</x:v>
      </x:c>
      <x:c r="Q14" s="20">
        <x:v>978.81000000000006</x:v>
      </x:c>
      <x:c r="R14" s="7" t="s">
        <x:v>5008</x:v>
      </x:c>
    </x:row>
    <x:row r="15">
      <x:c r="A15" s="53" t="s">
        <x:v>2502</x:v>
      </x:c>
      <x:c r="B15" s="54">
        <x:v>338.98</x:v>
      </x:c>
      <x:c r="C15" t="s">
        <x:v>5009</x:v>
      </x:c>
      <x:c r="F15" s="44" t="s">
        <x:v>717</x:v>
      </x:c>
      <x:c r="G15" s="2">
        <x:v>1762.69</x:v>
      </x:c>
      <x:c r="H15" t="s">
        <x:v>5007</x:v>
      </x:c>
      <x:c r="K15" s="11" t="s">
        <x:v>2048</x:v>
      </x:c>
      <x:c r="L15" s="20">
        <x:v>186.44</x:v>
      </x:c>
      <x:c r="M15" s="13" t="s">
        <x:v>5009</x:v>
      </x:c>
      <x:c r="P15" s="27" t="s">
        <x:v>706</x:v>
      </x:c>
      <x:c r="Q15" s="20">
        <x:v>949.13999999999987</x:v>
      </x:c>
      <x:c r="R15" s="7" t="s">
        <x:v>5008</x:v>
      </x:c>
    </x:row>
    <x:row r="16">
      <x:c r="A16" s="53" t="s">
        <x:v>3080</x:v>
      </x:c>
      <x:c r="B16" s="54">
        <x:v>322.02999999999997</x:v>
      </x:c>
      <x:c r="C16" t="s">
        <x:v>5009</x:v>
      </x:c>
      <x:c r="F16" s="44" t="s">
        <x:v>764</x:v>
      </x:c>
      <x:c r="G16" s="2">
        <x:v>745.75</x:v>
      </x:c>
      <x:c r="H16" t="s">
        <x:v>5008</x:v>
      </x:c>
      <x:c r="K16" s="11" t="s">
        <x:v>478</x:v>
      </x:c>
      <x:c r="L16" s="20">
        <x:v>101.69</x:v>
      </x:c>
      <x:c r="M16" s="13" t="s">
        <x:v>5009</x:v>
      </x:c>
      <x:c r="P16" s="27" t="s">
        <x:v>1426</x:v>
      </x:c>
      <x:c r="Q16" s="20">
        <x:v>796.6</x:v>
      </x:c>
      <x:c r="R16" s="7" t="s">
        <x:v>5008</x:v>
      </x:c>
    </x:row>
    <x:row r="17">
      <x:c r="A17" s="53" t="s">
        <x:v>3372</x:v>
      </x:c>
      <x:c r="B17" s="54">
        <x:v>135.59</x:v>
      </x:c>
      <x:c r="C17" t="s">
        <x:v>5009</x:v>
      </x:c>
      <x:c r="F17" s="44" t="s">
        <x:v>776</x:v>
      </x:c>
      <x:c r="G17" s="2">
        <x:v>11254.210000000003</x:v>
      </x:c>
      <x:c r="H17" t="s">
        <x:v>5007</x:v>
      </x:c>
      <x:c r="K17" s="11" t="s">
        <x:v>630</x:v>
      </x:c>
      <x:c r="L17" s="20">
        <x:v>1322.04</x:v>
      </x:c>
      <x:c r="M17" s="13" t="s">
        <x:v>5007</x:v>
      </x:c>
      <x:c r="P17" s="27" t="s">
        <x:v>1400</x:v>
      </x:c>
      <x:c r="Q17" s="20">
        <x:v>779.64999999999986</x:v>
      </x:c>
      <x:c r="R17" s="7" t="s">
        <x:v>5008</x:v>
      </x:c>
    </x:row>
    <x:row r="18">
      <x:c r="F18" s="44" t="s">
        <x:v>664</x:v>
      </x:c>
      <x:c r="G18" s="2">
        <x:v>1322.0099999999998</x:v>
      </x:c>
      <x:c r="H18" t="s">
        <x:v>5007</x:v>
      </x:c>
      <x:c r="K18" s="11" t="s">
        <x:v>717</x:v>
      </x:c>
      <x:c r="L18" s="20">
        <x:v>457.62</x:v>
      </x:c>
      <x:c r="M18" s="13" t="s">
        <x:v>5009</x:v>
      </x:c>
      <x:c r="P18" s="27" t="s">
        <x:v>3166</x:v>
      </x:c>
      <x:c r="Q18" s="20">
        <x:v>762.71</x:v>
      </x:c>
      <x:c r="R18" s="7" t="s">
        <x:v>5008</x:v>
      </x:c>
    </x:row>
    <x:row r="19">
      <x:c r="F19" s="44" t="s">
        <x:v>1075</x:v>
      </x:c>
      <x:c r="G19" s="2">
        <x:v>135.59</x:v>
      </x:c>
      <x:c r="H19" t="s">
        <x:v>5009</x:v>
      </x:c>
      <x:c r="K19" s="11" t="s">
        <x:v>764</x:v>
      </x:c>
      <x:c r="L19" s="20">
        <x:v>440.67</x:v>
      </x:c>
      <x:c r="M19" s="13" t="s">
        <x:v>5009</x:v>
      </x:c>
      <x:c r="P19" s="27" t="s">
        <x:v>717</x:v>
      </x:c>
      <x:c r="Q19" s="20">
        <x:v>694.91</x:v>
      </x:c>
      <x:c r="R19" s="7" t="s">
        <x:v>5008</x:v>
      </x:c>
    </x:row>
    <x:row r="20">
      <x:c r="F20" s="44" t="s">
        <x:v>1110</x:v>
      </x:c>
      <x:c r="G20" s="2">
        <x:v>1135.5700000000002</x:v>
      </x:c>
      <x:c r="H20" t="s">
        <x:v>5007</x:v>
      </x:c>
      <x:c r="K20" s="11" t="s">
        <x:v>776</x:v>
      </x:c>
      <x:c r="L20" s="20">
        <x:v>7805.079999999999</x:v>
      </x:c>
      <x:c r="M20" s="13" t="s">
        <x:v>5007</x:v>
      </x:c>
      <x:c r="P20" s="27" t="s">
        <x:v>1121</x:v>
      </x:c>
      <x:c r="Q20" s="20">
        <x:v>550.85</x:v>
      </x:c>
      <x:c r="R20" s="7" t="s">
        <x:v>5008</x:v>
      </x:c>
    </x:row>
    <x:row r="21">
      <x:c r="F21" s="44" t="s">
        <x:v>1444</x:v>
      </x:c>
      <x:c r="G21" s="2">
        <x:v>152.54</x:v>
      </x:c>
      <x:c r="H21" t="s">
        <x:v>5009</x:v>
      </x:c>
      <x:c r="K21" s="11" t="s">
        <x:v>664</x:v>
      </x:c>
      <x:c r="L21" s="20">
        <x:v>966.08999999999992</x:v>
      </x:c>
      <x:c r="M21" s="13" t="s">
        <x:v>5008</x:v>
      </x:c>
      <x:c r="P21" s="27" t="s">
        <x:v>237</x:v>
      </x:c>
      <x:c r="Q21" s="20">
        <x:v>508.47</x:v>
      </x:c>
      <x:c r="R21" s="7" t="s">
        <x:v>5008</x:v>
      </x:c>
    </x:row>
    <x:row r="22">
      <x:c r="F22" s="44" t="s">
        <x:v>2841</x:v>
      </x:c>
      <x:c r="G22" s="2">
        <x:v>2949.1400000000003</x:v>
      </x:c>
      <x:c r="H22" t="s">
        <x:v>5007</x:v>
      </x:c>
      <x:c r="K22" s="11" t="s">
        <x:v>1075</x:v>
      </x:c>
      <x:c r="L22" s="20">
        <x:v>474.57</x:v>
      </x:c>
      <x:c r="M22" s="13" t="s">
        <x:v>5009</x:v>
      </x:c>
      <x:c r="P22" s="27" t="s">
        <x:v>1437</x:v>
      </x:c>
      <x:c r="Q22" s="20">
        <x:v>508.47</x:v>
      </x:c>
      <x:c r="R22" s="7" t="s">
        <x:v>5008</x:v>
      </x:c>
    </x:row>
    <x:row r="23">
      <x:c r="F23" s="44" t="s">
        <x:v>1155</x:v>
      </x:c>
      <x:c r="G23" s="2">
        <x:v>135.59</x:v>
      </x:c>
      <x:c r="H23" t="s">
        <x:v>5009</x:v>
      </x:c>
      <x:c r="K23" s="11" t="s">
        <x:v>1110</x:v>
      </x:c>
      <x:c r="L23" s="20">
        <x:v>783.90000000000009</x:v>
      </x:c>
      <x:c r="M23" s="13" t="s">
        <x:v>5008</x:v>
      </x:c>
      <x:c r="P23" s="27" t="s">
        <x:v>137</x:v>
      </x:c>
      <x:c r="Q23" s="20">
        <x:v>474.57000000000005</x:v>
      </x:c>
      <x:c r="R23" s="7" t="s">
        <x:v>5009</x:v>
      </x:c>
    </x:row>
    <x:row r="24">
      <x:c r="F24" s="44" t="s">
        <x:v>3323</x:v>
      </x:c>
      <x:c r="G24" s="2">
        <x:v>271.18</x:v>
      </x:c>
      <x:c r="H24" t="s">
        <x:v>5009</x:v>
      </x:c>
      <x:c r="K24" s="11" t="s">
        <x:v>1166</x:v>
      </x:c>
      <x:c r="L24" s="20">
        <x:v>186.44</x:v>
      </x:c>
      <x:c r="M24" s="13" t="s">
        <x:v>5009</x:v>
      </x:c>
      <x:c r="P24" s="27" t="s">
        <x:v>1075</x:v>
      </x:c>
      <x:c r="Q24" s="20">
        <x:v>423.72</x:v>
      </x:c>
      <x:c r="R24" s="7" t="s">
        <x:v>5009</x:v>
      </x:c>
    </x:row>
    <x:row r="25">
      <x:c r="F25" s="44" t="s">
        <x:v>1326</x:v>
      </x:c>
      <x:c r="G25" s="2">
        <x:v>2499.9600000000005</x:v>
      </x:c>
      <x:c r="H25" t="s">
        <x:v>5007</x:v>
      </x:c>
      <x:c r="K25" s="11" t="s">
        <x:v>1186</x:v>
      </x:c>
      <x:c r="L25" s="20">
        <x:v>135.59</x:v>
      </x:c>
      <x:c r="M25" s="13" t="s">
        <x:v>5009</x:v>
      </x:c>
      <x:c r="P25" s="27" t="s">
        <x:v>1326</x:v>
      </x:c>
      <x:c r="Q25" s="20">
        <x:v>372.88</x:v>
      </x:c>
      <x:c r="R25" s="7" t="s">
        <x:v>5009</x:v>
      </x:c>
    </x:row>
    <x:row r="26">
      <x:c r="F26" s="44" t="s">
        <x:v>706</x:v>
      </x:c>
      <x:c r="G26" s="2">
        <x:v>949.1400000000001</x:v>
      </x:c>
      <x:c r="H26" t="s">
        <x:v>5008</x:v>
      </x:c>
      <x:c r="K26" s="11" t="s">
        <x:v>1444</x:v>
      </x:c>
      <x:c r="L26" s="20">
        <x:v>135.59</x:v>
      </x:c>
      <x:c r="M26" s="13" t="s">
        <x:v>5009</x:v>
      </x:c>
      <x:c r="P26" s="27" t="s">
        <x:v>1444</x:v>
      </x:c>
      <x:c r="Q26" s="20">
        <x:v>372.88</x:v>
      </x:c>
      <x:c r="R26" s="7" t="s">
        <x:v>5009</x:v>
      </x:c>
    </x:row>
    <x:row r="27">
      <x:c r="F27" s="44" t="s">
        <x:v>3166</x:v>
      </x:c>
      <x:c r="G27" s="2">
        <x:v>474.57</x:v>
      </x:c>
      <x:c r="H27" t="s">
        <x:v>5009</x:v>
      </x:c>
      <x:c r="K27" s="11" t="s">
        <x:v>365</x:v>
      </x:c>
      <x:c r="L27" s="20">
        <x:v>737.29</x:v>
      </x:c>
      <x:c r="M27" s="13" t="s">
        <x:v>5008</x:v>
      </x:c>
      <x:c r="P27" s="27" t="s">
        <x:v>1155</x:v>
      </x:c>
      <x:c r="Q27" s="20">
        <x:v>338.98</x:v>
      </x:c>
      <x:c r="R27" s="7" t="s">
        <x:v>5009</x:v>
      </x:c>
    </x:row>
    <x:row r="28">
      <x:c r="F28" s="11" t="s">
        <x:v>1520</x:v>
      </x:c>
      <x:c r="G28" s="20">
        <x:v>372.88</x:v>
      </x:c>
      <x:c r="H28" s="13" t="s">
        <x:v>5009</x:v>
      </x:c>
      <x:c r="K28" s="11" t="s">
        <x:v>2841</x:v>
      </x:c>
      <x:c r="L28" s="20">
        <x:v>275.42</x:v>
      </x:c>
      <x:c r="M28" s="13" t="s">
        <x:v>5009</x:v>
      </x:c>
      <x:c r="P28" s="27" t="s">
        <x:v>1452</x:v>
      </x:c>
      <x:c r="Q28" s="20">
        <x:v>338.98</x:v>
      </x:c>
      <x:c r="R28" s="7" t="s">
        <x:v>5009</x:v>
      </x:c>
    </x:row>
    <x:row r="29">
      <x:c r="F29" s="11" t="s">
        <x:v>1545</x:v>
      </x:c>
      <x:c r="G29" s="20">
        <x:v>847.46</x:v>
      </x:c>
      <x:c r="H29" s="13" t="s">
        <x:v>5008</x:v>
      </x:c>
      <x:c r="K29" s="11" t="s">
        <x:v>1155</x:v>
      </x:c>
      <x:c r="L29" s="20">
        <x:v>186.44</x:v>
      </x:c>
      <x:c r="M29" s="13" t="s">
        <x:v>5009</x:v>
      </x:c>
      <x:c r="P29" s="27" t="s">
        <x:v>1461</x:v>
      </x:c>
      <x:c r="Q29" s="20">
        <x:v>338.98</x:v>
      </x:c>
      <x:c r="R29" s="7" t="s">
        <x:v>5009</x:v>
      </x:c>
    </x:row>
    <x:row r="30">
      <x:c r="F30" s="11" t="s">
        <x:v>1599</x:v>
      </x:c>
      <x:c r="G30" s="20">
        <x:v>338.98</x:v>
      </x:c>
      <x:c r="H30" s="13" t="s">
        <x:v>5009</x:v>
      </x:c>
      <x:c r="K30" s="11" t="s">
        <x:v>1326</x:v>
      </x:c>
      <x:c r="L30" s="20">
        <x:v>1305.07</x:v>
      </x:c>
      <x:c r="M30" s="13" t="s">
        <x:v>5007</x:v>
      </x:c>
      <x:c r="P30" s="27" t="s">
        <x:v>35</x:v>
      </x:c>
      <x:c r="Q30" s="20">
        <x:v>288.13</x:v>
      </x:c>
      <x:c r="R30" s="7" t="s">
        <x:v>5009</x:v>
      </x:c>
    </x:row>
    <x:row r="31">
      <x:c r="F31" s="11" t="s">
        <x:v>1619</x:v>
      </x:c>
      <x:c r="G31" s="20">
        <x:v>279.66000000000003</x:v>
      </x:c>
      <x:c r="H31" s="13" t="s">
        <x:v>5009</x:v>
      </x:c>
      <x:c r="K31" s="11" t="s">
        <x:v>706</x:v>
      </x:c>
      <x:c r="L31" s="20">
        <x:v>661.01</x:v>
      </x:c>
      <x:c r="M31" s="13" t="s">
        <x:v>5008</x:v>
      </x:c>
      <x:c r="P31" s="27" t="s">
        <x:v>3084</x:v>
      </x:c>
      <x:c r="Q31" s="20">
        <x:v>288.13</x:v>
      </x:c>
      <x:c r="R31" s="7" t="s">
        <x:v>5009</x:v>
      </x:c>
    </x:row>
    <x:row r="32">
      <x:c r="F32" s="11" t="s">
        <x:v>1877</x:v>
      </x:c>
      <x:c r="G32" s="20">
        <x:v>288.13</x:v>
      </x:c>
      <x:c r="H32" s="13" t="s">
        <x:v>5009</x:v>
      </x:c>
      <x:c r="K32" s="11" t="s">
        <x:v>1315</x:v>
      </x:c>
      <x:c r="L32" s="20">
        <x:v>152.54</x:v>
      </x:c>
      <x:c r="M32" s="13" t="s">
        <x:v>5009</x:v>
      </x:c>
      <x:c r="P32" s="27" t="s">
        <x:v>3579</x:v>
      </x:c>
      <x:c r="Q32" s="20">
        <x:v>288.13</x:v>
      </x:c>
      <x:c r="R32" s="7" t="s">
        <x:v>5009</x:v>
      </x:c>
    </x:row>
    <x:row r="33">
      <x:c r="F33" s="11" t="s">
        <x:v>1887</x:v>
      </x:c>
      <x:c r="G33" s="20">
        <x:v>271.18</x:v>
      </x:c>
      <x:c r="H33" s="13" t="s">
        <x:v>5009</x:v>
      </x:c>
      <x:c r="K33" s="11" t="s">
        <x:v>1714</x:v>
      </x:c>
      <x:c r="L33" s="20">
        <x:v>338.98</x:v>
      </x:c>
      <x:c r="M33" s="13" t="s">
        <x:v>5009</x:v>
      </x:c>
      <x:c r="P33" s="27" t="s">
        <x:v>2255</x:v>
      </x:c>
      <x:c r="Q33" s="20">
        <x:v>203.39</x:v>
      </x:c>
      <x:c r="R33" s="7" t="s">
        <x:v>5009</x:v>
      </x:c>
    </x:row>
    <x:row r="34">
      <x:c r="F34" s="17" t="s">
        <x:v>2324</x:v>
      </x:c>
      <x:c r="G34" s="21">
        <x:v>322.02999999999997</x:v>
      </x:c>
      <x:c r="H34" s="18" t="s">
        <x:v>5009</x:v>
      </x:c>
      <x:c r="K34" s="11" t="s">
        <x:v>2255</x:v>
      </x:c>
      <x:c r="L34" s="20">
        <x:v>203.39</x:v>
      </x:c>
      <x:c r="M34" s="13" t="s">
        <x:v>5009</x:v>
      </x:c>
      <x:c r="P34" s="27" t="s">
        <x:v>503</x:v>
      </x:c>
      <x:c r="Q34" s="20">
        <x:v>186.44</x:v>
      </x:c>
      <x:c r="R34" s="7" t="s">
        <x:v>5011</x:v>
      </x:c>
    </x:row>
    <x:row r="35">
      <x:c r="F35" s="11" t="s">
        <x:v>4057</x:v>
      </x:c>
      <x:c r="G35" s="20">
        <x:v>338.98</x:v>
      </x:c>
      <x:c r="H35" s="13" t="s">
        <x:v>5009</x:v>
      </x:c>
      <x:c r="K35" s="11" t="s">
        <x:v>1471</x:v>
      </x:c>
      <x:c r="L35" s="20">
        <x:v>322.02999999999997</x:v>
      </x:c>
      <x:c r="M35" s="13" t="s">
        <x:v>5009</x:v>
      </x:c>
      <x:c r="P35" s="27" t="s">
        <x:v>1381</x:v>
      </x:c>
      <x:c r="Q35" s="20">
        <x:v>186.44</x:v>
      </x:c>
      <x:c r="R35" s="7" t="s">
        <x:v>5011</x:v>
      </x:c>
    </x:row>
    <x:row r="36">
      <x:c r="F36" s="11" t="s">
        <x:v>2502</x:v>
      </x:c>
      <x:c r="G36" s="20">
        <x:v>186.44</x:v>
      </x:c>
      <x:c r="H36" s="13" t="s">
        <x:v>5009</x:v>
      </x:c>
      <x:c r="K36" s="11" t="s">
        <x:v>1390</x:v>
      </x:c>
      <x:c r="L36" s="20">
        <x:v>949.13000000000011</x:v>
      </x:c>
      <x:c r="M36" s="13" t="s">
        <x:v>5008</x:v>
      </x:c>
      <x:c r="P36" s="27" t="s">
        <x:v>3580</x:v>
      </x:c>
      <x:c r="Q36" s="20">
        <x:v>186.44</x:v>
      </x:c>
      <x:c r="R36" s="7" t="s">
        <x:v>5011</x:v>
      </x:c>
    </x:row>
    <x:row r="37">
      <x:c r="F37" s="11" t="s">
        <x:v>2599</x:v>
      </x:c>
      <x:c r="G37" s="20">
        <x:v>338.98</x:v>
      </x:c>
      <x:c r="H37" s="13" t="s">
        <x:v>5009</x:v>
      </x:c>
      <x:c r="K37" s="11" t="s">
        <x:v>1494</x:v>
      </x:c>
      <x:c r="L37" s="20">
        <x:v>305.08</x:v>
      </x:c>
      <x:c r="M37" s="13" t="s">
        <x:v>5009</x:v>
      </x:c>
      <x:c r="P37" s="27" t="s">
        <x:v>3881</x:v>
      </x:c>
      <x:c r="Q37" s="20">
        <x:v>186.44</x:v>
      </x:c>
      <x:c r="R37" s="7" t="s">
        <x:v>5011</x:v>
      </x:c>
    </x:row>
    <x:row r="38">
      <x:c r="F38" s="11" t="s">
        <x:v>2634</x:v>
      </x:c>
      <x:c r="G38" s="20">
        <x:v>254.24</x:v>
      </x:c>
      <x:c r="H38" s="13" t="s">
        <x:v>5009</x:v>
      </x:c>
      <x:c r="K38" s="11" t="s">
        <x:v>1234</x:v>
      </x:c>
      <x:c r="L38" s="20">
        <x:v>813.54</x:v>
      </x:c>
      <x:c r="M38" s="13" t="s">
        <x:v>5008</x:v>
      </x:c>
      <x:c r="P38" s="27" t="s">
        <x:v>117</x:v>
      </x:c>
      <x:c r="Q38" s="20">
        <x:v>152.54</x:v>
      </x:c>
      <x:c r="R38" s="7" t="s">
        <x:v>5011</x:v>
      </x:c>
    </x:row>
    <x:row r="39">
      <x:c r="F39" s="11" t="s">
        <x:v>3204</x:v>
      </x:c>
      <x:c r="G39" s="20">
        <x:v>152.54</x:v>
      </x:c>
      <x:c r="H39" s="13" t="s">
        <x:v>5009</x:v>
      </x:c>
      <x:c r="K39" s="11" t="s">
        <x:v>1484</x:v>
      </x:c>
      <x:c r="L39" s="20">
        <x:v>563.55999999999995</x:v>
      </x:c>
      <x:c r="M39" s="13" t="s">
        <x:v>5008</x:v>
      </x:c>
      <x:c r="P39" s="27" t="s">
        <x:v>1417</x:v>
      </x:c>
      <x:c r="Q39" s="20">
        <x:v>135.59</x:v>
      </x:c>
      <x:c r="R39" s="7" t="s">
        <x:v>5011</x:v>
      </x:c>
    </x:row>
    <x:row r="40">
      <x:c r="F40" s="11" t="s">
        <x:v>3269</x:v>
      </x:c>
      <x:c r="G40" s="20">
        <x:v>135.59</x:v>
      </x:c>
      <x:c r="H40" s="13" t="s">
        <x:v>5009</x:v>
      </x:c>
      <x:c r="K40" s="11" t="s">
        <x:v>1511</x:v>
      </x:c>
      <x:c r="L40" s="20">
        <x:v>677.95</x:v>
      </x:c>
      <x:c r="M40" s="13" t="s">
        <x:v>5008</x:v>
      </x:c>
      <x:c r="P40" s="27" t="s">
        <x:v>478</x:v>
      </x:c>
      <x:c r="Q40" s="20">
        <x:v>101.69</x:v>
      </x:c>
      <x:c r="R40" s="7" t="s">
        <x:v>5011</x:v>
      </x:c>
    </x:row>
    <x:row r="41" ht="15">
      <x:c r="F41" s="11" t="s">
        <x:v>3587</x:v>
      </x:c>
      <x:c r="G41" s="20">
        <x:v>1144.06</x:v>
      </x:c>
      <x:c r="H41" s="13" t="s">
        <x:v>5007</x:v>
      </x:c>
      <x:c r="K41" s="11" t="s">
        <x:v>1353</x:v>
      </x:c>
      <x:c r="L41" s="20">
        <x:v>152.54</x:v>
      </x:c>
      <x:c r="M41" s="13" t="s">
        <x:v>5009</x:v>
      </x:c>
      <x:c r="P41" s="50" t="s">
        <x:v>1315</x:v>
      </x:c>
      <x:c r="Q41" s="51">
        <x:v>101.69</x:v>
      </x:c>
      <x:c r="R41" s="8" t="s">
        <x:v>5011</x:v>
      </x:c>
    </x:row>
    <x:row r="42">
      <x:c r="F42" s="11" t="s">
        <x:v>3080</x:v>
      </x:c>
      <x:c r="G42" s="20">
        <x:v>559.31999999999994</x:v>
      </x:c>
      <x:c r="H42" s="13" t="s">
        <x:v>5008</x:v>
      </x:c>
      <x:c r="K42" s="11" t="s">
        <x:v>1520</x:v>
      </x:c>
      <x:c r="L42" s="20">
        <x:v>203.39</x:v>
      </x:c>
      <x:c r="M42" s="13" t="s">
        <x:v>5009</x:v>
      </x:c>
    </x:row>
    <x:row r="43">
      <x:c r="F43" s="11" t="s">
        <x:v>2784</x:v>
      </x:c>
      <x:c r="G43" s="20">
        <x:v>2271.1800000000003</x:v>
      </x:c>
      <x:c r="H43" s="13" t="s">
        <x:v>5007</x:v>
      </x:c>
      <x:c r="K43" s="11" t="s">
        <x:v>1372</x:v>
      </x:c>
      <x:c r="L43" s="20">
        <x:v>135.59</x:v>
      </x:c>
      <x:c r="M43" s="13" t="s">
        <x:v>5009</x:v>
      </x:c>
    </x:row>
    <x:row r="44">
      <x:c r="F44" s="11" t="s">
        <x:v>3372</x:v>
      </x:c>
      <x:c r="G44" s="20">
        <x:v>135.59</x:v>
      </x:c>
      <x:c r="H44" s="13" t="s">
        <x:v>5009</x:v>
      </x:c>
      <x:c r="K44" s="11" t="s">
        <x:v>1304</x:v>
      </x:c>
      <x:c r="L44" s="20">
        <x:v>288.13</x:v>
      </x:c>
      <x:c r="M44" s="13" t="s">
        <x:v>5009</x:v>
      </x:c>
    </x:row>
    <x:row r="45">
      <x:c r="F45" s="11" t="s">
        <x:v>4332</x:v>
      </x:c>
      <x:c r="G45" s="20">
        <x:v>152.54</x:v>
      </x:c>
      <x:c r="H45" s="13" t="s">
        <x:v>5009</x:v>
      </x:c>
      <x:c r="K45" s="11" t="s">
        <x:v>1284</x:v>
      </x:c>
      <x:c r="L45" s="20">
        <x:v>135.59</x:v>
      </x:c>
      <x:c r="M45" s="13" t="s">
        <x:v>5009</x:v>
      </x:c>
    </x:row>
    <x:row r="46">
      <x:c r="F46" s="11" t="s">
        <x:v>4454</x:v>
      </x:c>
      <x:c r="G46" s="20">
        <x:v>169.49</x:v>
      </x:c>
      <x:c r="H46" s="13" t="s">
        <x:v>5009</x:v>
      </x:c>
      <x:c r="K46" s="11" t="s">
        <x:v>1545</x:v>
      </x:c>
      <x:c r="L46" s="20">
        <x:v>288.13</x:v>
      </x:c>
      <x:c r="M46" s="13" t="s">
        <x:v>5009</x:v>
      </x:c>
    </x:row>
    <x:row r="47">
      <x:c r="F47" s="11" t="s">
        <x:v>4527</x:v>
      </x:c>
      <x:c r="G47" s="20">
        <x:v>152.54</x:v>
      </x:c>
      <x:c r="H47" s="13" t="s">
        <x:v>5009</x:v>
      </x:c>
      <x:c r="K47" s="11" t="s">
        <x:v>1564</x:v>
      </x:c>
      <x:c r="L47" s="20">
        <x:v>457.62</x:v>
      </x:c>
      <x:c r="M47" s="13" t="s">
        <x:v>5009</x:v>
      </x:c>
    </x:row>
    <x:row r="48">
      <x:c r="F48" s="11" t="s">
        <x:v>3122</x:v>
      </x:c>
      <x:c r="G48" s="20">
        <x:v>135.59</x:v>
      </x:c>
      <x:c r="H48" s="13" t="s">
        <x:v>5009</x:v>
      </x:c>
      <x:c r="K48" s="11" t="s">
        <x:v>1599</x:v>
      </x:c>
      <x:c r="L48" s="20">
        <x:v>288.13</x:v>
      </x:c>
      <x:c r="M48" s="13" t="s">
        <x:v>5009</x:v>
      </x:c>
    </x:row>
    <x:row r="49">
      <x:c r="F49" s="11"/>
      <x:c r="G49" s="20"/>
      <x:c r="H49" s="13"/>
      <x:c r="K49" s="11" t="s">
        <x:v>1610</x:v>
      </x:c>
      <x:c r="L49" s="20">
        <x:v>135.59</x:v>
      </x:c>
      <x:c r="M49" s="13" t="s">
        <x:v>5009</x:v>
      </x:c>
    </x:row>
    <x:row r="50">
      <x:c r="F50" s="11"/>
      <x:c r="G50" s="20"/>
      <x:c r="H50" s="13"/>
      <x:c r="K50" s="11" t="s">
        <x:v>1619</x:v>
      </x:c>
      <x:c r="L50" s="20">
        <x:v>275.42</x:v>
      </x:c>
      <x:c r="M50" s="13" t="s">
        <x:v>5009</x:v>
      </x:c>
    </x:row>
    <x:row r="51">
      <x:c r="F51" s="11"/>
      <x:c r="G51" s="20"/>
      <x:c r="H51" s="13"/>
      <x:c r="K51" s="11" t="s">
        <x:v>1688</x:v>
      </x:c>
      <x:c r="L51" s="20">
        <x:v>186.44</x:v>
      </x:c>
      <x:c r="M51" s="13" t="s">
        <x:v>5009</x:v>
      </x:c>
    </x:row>
    <x:row r="52">
      <x:c r="F52" s="11"/>
      <x:c r="G52" s="20"/>
      <x:c r="H52" s="13"/>
      <x:c r="K52" s="11" t="s">
        <x:v>1843</x:v>
      </x:c>
      <x:c r="L52" s="20">
        <x:v>372.88</x:v>
      </x:c>
      <x:c r="M52" s="13" t="s">
        <x:v>5009</x:v>
      </x:c>
    </x:row>
    <x:row r="53">
      <x:c r="F53" s="11"/>
      <x:c r="G53" s="20"/>
      <x:c r="H53" s="13"/>
      <x:c r="K53" s="11" t="s">
        <x:v>1877</x:v>
      </x:c>
      <x:c r="L53" s="20">
        <x:v>135.59</x:v>
      </x:c>
      <x:c r="M53" s="13" t="s">
        <x:v>5009</x:v>
      </x:c>
    </x:row>
    <x:row r="54">
      <x:c r="F54" s="11"/>
      <x:c r="G54" s="20"/>
      <x:c r="H54" s="13"/>
      <x:c r="K54" s="11" t="s">
        <x:v>1887</x:v>
      </x:c>
      <x:c r="L54" s="20">
        <x:v>271.18</x:v>
      </x:c>
      <x:c r="M54" s="13" t="s">
        <x:v>5009</x:v>
      </x:c>
    </x:row>
    <x:row r="55">
      <x:c r="F55" s="11"/>
      <x:c r="G55" s="20"/>
      <x:c r="H55" s="13"/>
      <x:c r="K55" s="11" t="s">
        <x:v>1976</x:v>
      </x:c>
      <x:c r="L55" s="20">
        <x:v>135.59</x:v>
      </x:c>
      <x:c r="M55" s="13" t="s">
        <x:v>5009</x:v>
      </x:c>
    </x:row>
    <x:row r="56">
      <x:c r="F56" s="11"/>
      <x:c r="G56" s="20"/>
      <x:c r="H56" s="13"/>
      <x:c r="K56" s="11" t="s">
        <x:v>2152</x:v>
      </x:c>
      <x:c r="L56" s="20">
        <x:v>186.44</x:v>
      </x:c>
      <x:c r="M56" s="13" t="s">
        <x:v>5009</x:v>
      </x:c>
    </x:row>
    <x:row r="57">
      <x:c r="F57" s="11"/>
      <x:c r="G57" s="20"/>
      <x:c r="H57" s="13"/>
      <x:c r="K57" s="11" t="s">
        <x:v>2169</x:v>
      </x:c>
      <x:c r="L57" s="20">
        <x:v>135.59</x:v>
      </x:c>
      <x:c r="M57" s="13" t="s">
        <x:v>5009</x:v>
      </x:c>
    </x:row>
    <x:row r="58">
      <x:c r="F58" s="11"/>
      <x:c r="G58" s="20"/>
      <x:c r="H58" s="13"/>
      <x:c r="K58" s="11" t="s">
        <x:v>2201</x:v>
      </x:c>
      <x:c r="L58" s="20">
        <x:v>271.18</x:v>
      </x:c>
      <x:c r="M58" s="13" t="s">
        <x:v>5009</x:v>
      </x:c>
    </x:row>
    <x:row r="59">
      <x:c r="F59" s="11"/>
      <x:c r="G59" s="20"/>
      <x:c r="H59" s="13"/>
      <x:c r="K59" s="11" t="s">
        <x:v>2274</x:v>
      </x:c>
      <x:c r="L59" s="20">
        <x:v>135.59</x:v>
      </x:c>
      <x:c r="M59" s="13" t="s">
        <x:v>5009</x:v>
      </x:c>
    </x:row>
    <x:row r="60">
      <x:c r="F60" s="11"/>
      <x:c r="G60" s="20"/>
      <x:c r="H60" s="13"/>
      <x:c r="K60" s="11" t="s">
        <x:v>2324</x:v>
      </x:c>
      <x:c r="L60" s="20">
        <x:v>186.44</x:v>
      </x:c>
      <x:c r="M60" s="13" t="s">
        <x:v>5009</x:v>
      </x:c>
    </x:row>
    <x:row r="61">
      <x:c r="F61" s="11"/>
      <x:c r="G61" s="20"/>
      <x:c r="H61" s="13"/>
      <x:c r="K61" s="11" t="s">
        <x:v>2343</x:v>
      </x:c>
      <x:c r="L61" s="20">
        <x:v>135.59</x:v>
      </x:c>
      <x:c r="M61" s="13" t="s">
        <x:v>5009</x:v>
      </x:c>
    </x:row>
    <x:row r="62">
      <x:c r="F62" s="11"/>
      <x:c r="G62" s="20"/>
      <x:c r="H62" s="13"/>
      <x:c r="K62" s="11" t="s">
        <x:v>2363</x:v>
      </x:c>
      <x:c r="L62" s="20">
        <x:v>847.46</x:v>
      </x:c>
      <x:c r="M62" s="13" t="s">
        <x:v>5008</x:v>
      </x:c>
    </x:row>
    <x:row r="63">
      <x:c r="F63" s="11"/>
      <x:c r="G63" s="20"/>
      <x:c r="H63" s="13"/>
      <x:c r="K63" s="11" t="s">
        <x:v>2404</x:v>
      </x:c>
      <x:c r="L63" s="20">
        <x:v>135.59</x:v>
      </x:c>
      <x:c r="M63" s="13" t="s">
        <x:v>5009</x:v>
      </x:c>
    </x:row>
    <x:row r="64">
      <x:c r="F64" s="11"/>
      <x:c r="G64" s="20"/>
      <x:c r="H64" s="13"/>
      <x:c r="K64" s="11" t="s">
        <x:v>2442</x:v>
      </x:c>
      <x:c r="L64" s="20">
        <x:v>186.44</x:v>
      </x:c>
      <x:c r="M64" s="13" t="s">
        <x:v>5009</x:v>
      </x:c>
    </x:row>
    <x:row r="65">
      <x:c r="F65" s="11"/>
      <x:c r="G65" s="20"/>
      <x:c r="H65" s="13"/>
      <x:c r="K65" s="11" t="s">
        <x:v>2460</x:v>
      </x:c>
      <x:c r="L65" s="20">
        <x:v>101.69</x:v>
      </x:c>
      <x:c r="M65" s="13" t="s">
        <x:v>5009</x:v>
      </x:c>
    </x:row>
    <x:row r="66">
      <x:c r="F66" s="11"/>
      <x:c r="G66" s="20"/>
      <x:c r="H66" s="13"/>
      <x:c r="K66" s="11"/>
      <x:c r="L66" s="20"/>
      <x:c r="M66" s="13"/>
    </x:row>
    <x:row r="67">
      <x:c r="F67" s="11"/>
      <x:c r="G67" s="20"/>
      <x:c r="H67" s="13"/>
      <x:c r="K67" s="11"/>
      <x:c r="L67" s="20"/>
      <x:c r="M67" s="13"/>
    </x:row>
    <x:row r="68">
      <x:c r="F68" s="11"/>
      <x:c r="G68" s="20"/>
      <x:c r="H68" s="13"/>
      <x:c r="K68" s="17"/>
      <x:c r="L68" s="21"/>
      <x:c r="M68" s="18"/>
    </x:row>
    <x:row r="69">
      <x:c r="F69" s="11"/>
      <x:c r="G69" s="20"/>
      <x:c r="H69" s="13"/>
    </x:row>
    <x:row r="70">
      <x:c r="F70" s="11"/>
      <x:c r="G70" s="20"/>
      <x:c r="H70" s="13"/>
    </x:row>
    <x:row r="71">
      <x:c r="F71" s="11"/>
      <x:c r="G71" s="20"/>
      <x:c r="H71" s="13"/>
    </x:row>
    <x:row r="72">
      <x:c r="F72" s="11"/>
      <x:c r="G72" s="20"/>
      <x:c r="H72" s="13"/>
    </x:row>
    <x:row r="73">
      <x:c r="F73" s="11"/>
      <x:c r="G73" s="20"/>
      <x:c r="H73" s="13"/>
    </x:row>
    <x:row r="74">
      <x:c r="F74" s="11"/>
      <x:c r="G74" s="20"/>
      <x:c r="H74" s="13"/>
    </x:row>
    <x:row r="75">
      <x:c r="F75" s="11"/>
      <x:c r="G75" s="20"/>
      <x:c r="H75" s="13"/>
    </x:row>
    <x:row r="76">
      <x:c r="F76" s="17"/>
      <x:c r="G76" s="21"/>
      <x:c r="H76" s="18"/>
    </x:row>
    <x:row r="77">
      <x:c r="F77" s="11"/>
      <x:c r="G77" s="20"/>
      <x:c r="H77" s="13"/>
    </x:row>
    <x:row r="78">
      <x:c r="F78" s="17"/>
      <x:c r="G78" s="21"/>
      <x:c r="H78" s="18"/>
    </x:row>
  </x:sheetData>
  <x:mergeCells>
    <x:mergeCell ref="F1:I1"/>
    <x:mergeCell ref="K1:N1"/>
    <x:mergeCell ref="P1:S1"/>
    <x:mergeCell ref="A1:D1"/>
  </x:mergeCells>
  <x:pageMargins left="0.7" right="0.7" top="0.75" bottom="0.75" header="0.3" footer="0.3"/>
  <x:tableParts count="8">
    <x:tablePart xmlns:r="http://schemas.openxmlformats.org/officeDocument/2006/relationships" r:id="Ra93a5aa0702246b6"/>
    <x:tablePart xmlns:r="http://schemas.openxmlformats.org/officeDocument/2006/relationships" r:id="R031d8807f5414236"/>
    <x:tablePart xmlns:r="http://schemas.openxmlformats.org/officeDocument/2006/relationships" r:id="Re0afad2132e04e3e"/>
    <x:tablePart xmlns:r="http://schemas.openxmlformats.org/officeDocument/2006/relationships" r:id="Rbc806fa93fe94660"/>
    <x:tablePart xmlns:r="http://schemas.openxmlformats.org/officeDocument/2006/relationships" r:id="R4441e00411f5486f"/>
    <x:tablePart xmlns:r="http://schemas.openxmlformats.org/officeDocument/2006/relationships" r:id="R8e958541ab6d4857"/>
    <x:tablePart xmlns:r="http://schemas.openxmlformats.org/officeDocument/2006/relationships" r:id="R8017a6e7494d43cd"/>
    <x:tablePart xmlns:r="http://schemas.openxmlformats.org/officeDocument/2006/relationships" r:id="R375059034ce046c8"/>
  </x:tableParts>
</x:worksheet>
</file>

<file path=xl/worksheets/sheet7.xml><?xml version="1.0" encoding="utf-8"?>
<x:worksheet xmlns:x="http://schemas.openxmlformats.org/spreadsheetml/2006/main">
  <x:sheetFormatPr baseColWidth="10" defaultRowHeight="14.399999618530273"/>
  <x:cols>
    <x:col min="1" max="1" width="28.6640625" customWidth="1"/>
    <x:col min="2" max="2" width="17.5546875" customWidth="1"/>
    <x:col min="3" max="3" width="15.109375" customWidth="1"/>
    <x:col min="4" max="4" width="7" customWidth="1"/>
    <x:col min="5" max="5" width="3.88671875" customWidth="1"/>
    <x:col min="6" max="6" width="33.88671875" customWidth="1"/>
    <x:col min="7" max="7" width="17.5546875" customWidth="1"/>
    <x:col min="8" max="8" width="15.109375" customWidth="1"/>
    <x:col min="9" max="9" width="7" customWidth="1"/>
    <x:col min="10" max="10" width="3.88671875" customWidth="1"/>
    <x:col min="11" max="11" width="28.6640625" customWidth="1"/>
    <x:col min="12" max="12" width="17.5546875" customWidth="1"/>
    <x:col min="13" max="13" width="15.109375" customWidth="1"/>
    <x:col min="14" max="14" width="7" customWidth="1"/>
  </x:cols>
  <x:sheetData>
    <x:row r="1" ht="18">
      <x:c r="A1" s="61" t="s">
        <x:v>5001</x:v>
      </x:c>
      <x:c r="B1" s="62"/>
      <x:c r="C1" s="62"/>
      <x:c r="D1" s="62"/>
      <x:c r="F1" s="61" t="s">
        <x:v>5002</x:v>
      </x:c>
      <x:c r="G1" s="62"/>
      <x:c r="H1" s="62"/>
      <x:c r="I1" s="62"/>
      <x:c r="K1" s="61" t="s">
        <x:v>5003</x:v>
      </x:c>
      <x:c r="L1" s="62"/>
      <x:c r="M1" s="62"/>
      <x:c r="N1" s="62"/>
    </x:row>
    <x:row r="2" ht="15">
      <x:c r="A2" s="31" t="s">
        <x:v>5004</x:v>
      </x:c>
      <x:c r="B2" s="32" t="s">
        <x:v>4993</x:v>
      </x:c>
      <x:c r="C2" s="33" t="s">
        <x:v>5005</x:v>
      </x:c>
      <x:c r="D2" s="32" t="s">
        <x:v>5006</x:v>
      </x:c>
      <x:c r="F2" s="31" t="s">
        <x:v>5004</x:v>
      </x:c>
      <x:c r="G2" s="32" t="s">
        <x:v>4993</x:v>
      </x:c>
      <x:c r="H2" s="33" t="s">
        <x:v>5005</x:v>
      </x:c>
      <x:c r="I2" s="32" t="s">
        <x:v>5006</x:v>
      </x:c>
      <x:c r="K2" s="31" t="s">
        <x:v>5004</x:v>
      </x:c>
      <x:c r="L2" s="32" t="s">
        <x:v>4993</x:v>
      </x:c>
      <x:c r="M2" s="33" t="s">
        <x:v>5005</x:v>
      </x:c>
      <x:c r="N2" s="32" t="s">
        <x:v>5006</x:v>
      </x:c>
    </x:row>
    <x:row r="3">
      <x:c r="A3" s="35" t="s">
        <x:v>5007</x:v>
      </x:c>
      <x:c r="B3" s="36" t="n">
        <x:f>+SUMIF(Tabla414[CATEGORÍA],"AAA",Tabla414[FACTURACIÓN])</x:f>
        <x:v>13220.34</x:v>
      </x:c>
      <x:c r="C3" s="37" t="n">
        <x:f>+COUNTIF(Tabla414[CATEGORÍA],"AAA")</x:f>
        <x:v>2</x:v>
      </x:c>
      <x:c r="D3" s="38" t="n">
        <x:f t="shared" ref="D3:D7" si="0">C3/$C$7</x:f>
        <x:v>0.16666666666666666</x:v>
      </x:c>
      <x:c r="F3" s="35" t="s">
        <x:v>5007</x:v>
      </x:c>
      <x:c r="G3" s="36" t="n">
        <x:f>+SUMIF(Tabla41416[CATEGORÍA],"AAA",Tabla41416[FACTURACIÓN])</x:f>
        <x:v>24821.939999999995</x:v>
      </x:c>
      <x:c r="H3" s="37" t="n">
        <x:f>+COUNTIF(Tabla41416[CATEGORÍA],"AAA")</x:f>
        <x:v>8</x:v>
      </x:c>
      <x:c r="I3" s="38" t="n">
        <x:f t="shared" ref="I3:I7" si="1">H3/$H$7</x:f>
        <x:v>0.27586206896551724</x:v>
      </x:c>
      <x:c r="K3" s="35" t="s">
        <x:v>5007</x:v>
      </x:c>
      <x:c r="L3" s="36" t="n">
        <x:f>+SUMIF(Tabla41418[CATEGORÍA],"AAA",Tabla41418[FACTURACIÓN])</x:f>
        <x:v>21707.58</x:v>
      </x:c>
      <x:c r="M3" s="37" t="n">
        <x:f>+COUNTIF(Tabla41418[CATEGORÍA],"AAA")</x:f>
        <x:v>6</x:v>
      </x:c>
      <x:c r="N3" s="38" t="n">
        <x:f t="shared" ref="N3:N7" si="2">M3/$M$7</x:f>
        <x:v>0.35294117647058826</x:v>
      </x:c>
    </x:row>
    <x:row r="4">
      <x:c r="A4" s="27" t="s">
        <x:v>5008</x:v>
      </x:c>
      <x:c r="B4" s="26" t="n">
        <x:f>+SUMIF(Tabla414[CATEGORÍA],"AA",Tabla414[FACTURACIÓN])</x:f>
        <x:v>1440.67</x:v>
      </x:c>
      <x:c r="C4" s="34" t="n">
        <x:f>+COUNTIF(Tabla414[CATEGORÍA],"AA")</x:f>
        <x:v>2</x:v>
      </x:c>
      <x:c r="D4" s="39">
        <x:f t="shared" si="0"/>
        <x:v>0.16666666666666666</x:v>
      </x:c>
      <x:c r="F4" s="27" t="s">
        <x:v>5008</x:v>
      </x:c>
      <x:c r="G4" s="26" t="n">
        <x:f>+SUMIF(Tabla41416[CATEGORÍA],"AA",Tabla41416[FACTURACIÓN])</x:f>
        <x:v>2716.08</x:v>
      </x:c>
      <x:c r="H4" s="34" t="n">
        <x:f>+COUNTIF(Tabla41416[CATEGORÍA],"AA")</x:f>
        <x:v>4</x:v>
      </x:c>
      <x:c r="I4" s="39">
        <x:f t="shared" si="1"/>
        <x:v>0.13793103448275862</x:v>
      </x:c>
      <x:c r="K4" s="27" t="s">
        <x:v>5008</x:v>
      </x:c>
      <x:c r="L4" s="26" t="n">
        <x:f>+SUMIF(Tabla41418[CATEGORÍA],"AA",Tabla41418[FACTURACIÓN])</x:f>
        <x:v>3754.2099999999996</x:v>
      </x:c>
      <x:c r="M4" s="34" t="n">
        <x:f>+COUNTIF(Tabla41418[CATEGORÍA],"AA")</x:f>
        <x:v>5</x:v>
      </x:c>
      <x:c r="N4" s="39">
        <x:f t="shared" si="2"/>
        <x:v>0.29411764705882354</x:v>
      </x:c>
    </x:row>
    <x:row r="5">
      <x:c r="A5" s="27" t="s">
        <x:v>5009</x:v>
      </x:c>
      <x:c r="B5" s="26" t="n">
        <x:f>+SUMIF(Tabla414[CATEGORÍA],"A",Tabla414[FACTURACIÓN])</x:f>
        <x:v>813.5500000000001</x:v>
      </x:c>
      <x:c r="C5" s="34" t="n">
        <x:f>+COUNTIF(Tabla414[CATEGORÍA],"A")</x:f>
        <x:v>2</x:v>
      </x:c>
      <x:c r="D5" s="39">
        <x:f t="shared" si="0"/>
        <x:v>0.16666666666666666</x:v>
      </x:c>
      <x:c r="F5" s="27" t="s">
        <x:v>5009</x:v>
      </x:c>
      <x:c r="G5" s="26" t="n">
        <x:f>+SUMIF(Tabla41416[CATEGORÍA],"A",Tabla41416[FACTURACIÓN])</x:f>
        <x:v>2444.88</x:v>
      </x:c>
      <x:c r="H5" s="34" t="n">
        <x:f>+COUNTIF(Tabla41416[CATEGORÍA],"A")</x:f>
        <x:v>7</x:v>
      </x:c>
      <x:c r="I5" s="39">
        <x:f t="shared" si="1"/>
        <x:v>0.2413793103448276</x:v>
      </x:c>
      <x:c r="K5" s="27" t="s">
        <x:v>5009</x:v>
      </x:c>
      <x:c r="L5" s="26" t="n">
        <x:f>+SUMIF(Tabla41418[CATEGORÍA],"A",Tabla41418[FACTURACIÓN])</x:f>
        <x:v>1898.2800000000002</x:v>
      </x:c>
      <x:c r="M5" s="34" t="n">
        <x:f>+COUNTIF(Tabla41418[CATEGORÍA],"A")</x:f>
        <x:v>5</x:v>
      </x:c>
      <x:c r="N5" s="39">
        <x:f t="shared" si="2"/>
        <x:v>0.29411764705882354</x:v>
      </x:c>
    </x:row>
    <x:row r="6">
      <x:c r="A6" s="27" t="s">
        <x:v>5011</x:v>
      </x:c>
      <x:c r="B6" s="26" t="n">
        <x:f>+SUMIF(Tabla414[CATEGORÍA],"Sin Categoría",Tabla414[FACTURACIÓN])</x:f>
        <x:v>936.4300000000001</x:v>
      </x:c>
      <x:c r="C6" s="34" t="n">
        <x:f>+COUNTIF(Tabla414[CATEGORÍA],"Sin Categoría")</x:f>
        <x:v>6</x:v>
      </x:c>
      <x:c r="D6" s="39">
        <x:f t="shared" si="0"/>
        <x:v>0.5</x:v>
      </x:c>
      <x:c r="F6" s="27" t="s">
        <x:v>5011</x:v>
      </x:c>
      <x:c r="G6" s="26" t="n">
        <x:f>+SUMIF(Tabla41416[CATEGORÍA],"Sin Categoría",Tabla41416[FACTURACIÓN])</x:f>
        <x:v>1525.3999999999999</x:v>
      </x:c>
      <x:c r="H6" s="34" t="n">
        <x:f>+COUNTIF(Tabla41416[CATEGORÍA],"Sin Categoría")</x:f>
        <x:v>10</x:v>
      </x:c>
      <x:c r="I6" s="39">
        <x:f t="shared" si="1"/>
        <x:v>0.34482758620689657</x:v>
      </x:c>
      <x:c r="K6" s="27" t="s">
        <x:v>5011</x:v>
      </x:c>
      <x:c r="L6" s="26" t="n">
        <x:f>+SUMIF(Tabla41418[CATEGORÍA],"Sin Categoría",Tabla41418[FACTURACIÓN])</x:f>
        <x:v>152.54</x:v>
      </x:c>
      <x:c r="M6" s="34" t="n">
        <x:f>+COUNTIF(Tabla41418[CATEGORÍA],"Sin Categoría")</x:f>
        <x:v>1</x:v>
      </x:c>
      <x:c r="N6" s="39">
        <x:f t="shared" si="2"/>
        <x:v>5.8823529411764705E-2</x:v>
      </x:c>
    </x:row>
    <x:row r="7" ht="15">
      <x:c r="A7" s="40" t="s">
        <x:v>5010</x:v>
      </x:c>
      <x:c r="B7" s="41" t="n">
        <x:f>+SUM(Tabla414[FACTURACIÓN])</x:f>
        <x:v>16410.99</x:v>
      </x:c>
      <x:c r="C7" s="42" t="n">
        <x:f>+COUNT(Tabla414[FACTURACIÓN])</x:f>
        <x:v>12</x:v>
      </x:c>
      <x:c r="D7" s="43">
        <x:f t="shared" si="0"/>
        <x:v>1</x:v>
      </x:c>
      <x:c r="F7" s="40" t="s">
        <x:v>5010</x:v>
      </x:c>
      <x:c r="G7" s="41" t="n">
        <x:f>+SUM(Tabla41416[FACTURACIÓN])</x:f>
        <x:v>31508.29999999999</x:v>
      </x:c>
      <x:c r="H7" s="42" t="n">
        <x:f>+COUNT(Tabla41416[FACTURACIÓN])</x:f>
        <x:v>29</x:v>
      </x:c>
      <x:c r="I7" s="43">
        <x:f t="shared" si="1"/>
        <x:v>1</x:v>
      </x:c>
      <x:c r="K7" s="40" t="s">
        <x:v>5010</x:v>
      </x:c>
      <x:c r="L7" s="41" t="n">
        <x:f>+SUM(Tabla41418[FACTURACIÓN])</x:f>
        <x:v>27512.61</x:v>
      </x:c>
      <x:c r="M7" s="42" t="n">
        <x:f>+COUNT(Tabla41418[FACTURACIÓN])</x:f>
        <x:v>17</x:v>
      </x:c>
      <x:c r="N7" s="43">
        <x:f t="shared" si="2"/>
        <x:v>1</x:v>
      </x:c>
    </x:row>
    <x:row r="8" ht="15">
      <x:c r="A8" s="14" t="s">
        <x:v>8</x:v>
      </x:c>
      <x:c r="B8" s="15" t="s">
        <x:v>4998</x:v>
      </x:c>
      <x:c r="C8" s="16" t="s">
        <x:v>4999</x:v>
      </x:c>
      <x:c r="D8" s="6"/>
      <x:c r="F8" s="14" t="s">
        <x:v>8</x:v>
      </x:c>
      <x:c r="G8" s="15" t="s">
        <x:v>4998</x:v>
      </x:c>
      <x:c r="H8" s="16" t="s">
        <x:v>4999</x:v>
      </x:c>
      <x:c r="I8" s="6"/>
      <x:c r="K8" s="14" t="s">
        <x:v>8</x:v>
      </x:c>
      <x:c r="L8" s="15" t="s">
        <x:v>4998</x:v>
      </x:c>
      <x:c r="M8" s="16" t="s">
        <x:v>4999</x:v>
      </x:c>
      <x:c r="N8" s="6"/>
    </x:row>
    <x:row r="9">
      <x:c r="A9" s="44" t="s">
        <x:v>275</x:v>
      </x:c>
      <x:c r="B9" s="2">
        <x:v>6728.8</x:v>
      </x:c>
      <x:c r="C9" t="s">
        <x:v>5007</x:v>
      </x:c>
      <x:c r="F9" s="44" t="s">
        <x:v>777</x:v>
      </x:c>
      <x:c r="G9" s="2">
        <x:v>7805.079999999999</x:v>
      </x:c>
      <x:c r="H9" t="s">
        <x:v>5007</x:v>
      </x:c>
      <x:c r="K9" s="44" t="s">
        <x:v>777</x:v>
      </x:c>
      <x:c r="L9" s="2">
        <x:v>10927.98</x:v>
      </x:c>
      <x:c r="M9" t="s">
        <x:v>5007</x:v>
      </x:c>
    </x:row>
    <x:row r="10">
      <x:c r="A10" s="44" t="s">
        <x:v>777</x:v>
      </x:c>
      <x:c r="B10" s="2">
        <x:v>6491.54</x:v>
      </x:c>
      <x:c r="C10" t="s">
        <x:v>5007</x:v>
      </x:c>
      <x:c r="F10" s="44" t="s">
        <x:v>275</x:v>
      </x:c>
      <x:c r="G10" s="2">
        <x:v>5872.87</x:v>
      </x:c>
      <x:c r="H10" t="s">
        <x:v>5007</x:v>
      </x:c>
      <x:c r="K10" s="44" t="s">
        <x:v>275</x:v>
      </x:c>
      <x:c r="L10" s="2">
        <x:v>5067.78</x:v>
      </x:c>
      <x:c r="M10" t="s">
        <x:v>5007</x:v>
      </x:c>
    </x:row>
    <x:row r="11">
      <x:c r="A11" s="44" t="s">
        <x:v>210</x:v>
      </x:c>
      <x:c r="B11" s="2">
        <x:v>728.81</x:v>
      </x:c>
      <x:c r="C11" t="s">
        <x:v>5008</x:v>
      </x:c>
      <x:c r="F11" s="44" t="s">
        <x:v>36</x:v>
      </x:c>
      <x:c r="G11" s="2">
        <x:v>2610.14</x:v>
      </x:c>
      <x:c r="H11" t="s">
        <x:v>5007</x:v>
      </x:c>
      <x:c r="K11" s="44" t="s">
        <x:v>36</x:v>
      </x:c>
      <x:c r="L11" s="2">
        <x:v>1745.7399999999998</x:v>
      </x:c>
      <x:c r="M11" t="s">
        <x:v>5007</x:v>
      </x:c>
    </x:row>
    <x:row r="12">
      <x:c r="A12" s="44" t="s">
        <x:v>36</x:v>
      </x:c>
      <x:c r="B12" s="2">
        <x:v>711.86000000000013</x:v>
      </x:c>
      <x:c r="C12" t="s">
        <x:v>5008</x:v>
      </x:c>
      <x:c r="F12" s="44" t="s">
        <x:v>413</x:v>
      </x:c>
      <x:c r="G12" s="2">
        <x:v>2283.88</x:v>
      </x:c>
      <x:c r="H12" t="s">
        <x:v>5007</x:v>
      </x:c>
      <x:c r="K12" s="44" t="s">
        <x:v>631</x:v>
      </x:c>
      <x:c r="L12" s="2">
        <x:v>1461.87</x:v>
      </x:c>
      <x:c r="M12" t="s">
        <x:v>5007</x:v>
      </x:c>
    </x:row>
    <x:row r="13">
      <x:c r="A13" s="44" t="s">
        <x:v>138</x:v>
      </x:c>
      <x:c r="B13" s="2">
        <x:v>474.57000000000005</x:v>
      </x:c>
      <x:c r="C13" t="s">
        <x:v>5009</x:v>
      </x:c>
      <x:c r="F13" s="44" t="s">
        <x:v>210</x:v>
      </x:c>
      <x:c r="G13" s="2">
        <x:v>2072.0100000000002</x:v>
      </x:c>
      <x:c r="H13" t="s">
        <x:v>5007</x:v>
      </x:c>
      <x:c r="K13" s="44" t="s">
        <x:v>210</x:v>
      </x:c>
      <x:c r="L13" s="2">
        <x:v>1368.63</x:v>
      </x:c>
      <x:c r="M13" t="s">
        <x:v>5007</x:v>
      </x:c>
    </x:row>
    <x:row r="14">
      <x:c r="A14" s="44" t="s">
        <x:v>2600</x:v>
      </x:c>
      <x:c r="B14" s="2">
        <x:v>338.98</x:v>
      </x:c>
      <x:c r="C14" t="s">
        <x:v>5009</x:v>
      </x:c>
      <x:c r="F14" s="44" t="s">
        <x:v>631</x:v>
      </x:c>
      <x:c r="G14" s="2">
        <x:v>1644.07</x:v>
      </x:c>
      <x:c r="H14" t="s">
        <x:v>5007</x:v>
      </x:c>
      <x:c r="K14" s="44" t="s">
        <x:v>436</x:v>
      </x:c>
      <x:c r="L14" s="2">
        <x:v>1135.58</x:v>
      </x:c>
      <x:c r="M14" t="s">
        <x:v>5007</x:v>
      </x:c>
    </x:row>
    <x:row r="15">
      <x:c r="A15" s="44" t="s">
        <x:v>1122</x:v>
      </x:c>
      <x:c r="B15" s="2">
        <x:v>186.44</x:v>
      </x:c>
      <x:c r="C15" t="s">
        <x:v>5011</x:v>
      </x:c>
      <x:c r="F15" s="44" t="s">
        <x:v>707</x:v>
      </x:c>
      <x:c r="G15" s="2">
        <x:v>1508.47</x:v>
      </x:c>
      <x:c r="H15" t="s">
        <x:v>5007</x:v>
      </x:c>
      <x:c r="K15" s="44" t="s">
        <x:v>707</x:v>
      </x:c>
      <x:c r="L15" s="2">
        <x:v>949.13999999999987</x:v>
      </x:c>
      <x:c r="M15" t="s">
        <x:v>5008</x:v>
      </x:c>
    </x:row>
    <x:row r="16">
      <x:c r="A16" s="44" t="s">
        <x:v>2996</x:v>
      </x:c>
      <x:c r="B16" s="2">
        <x:v>186.44</x:v>
      </x:c>
      <x:c r="C16" t="s">
        <x:v>5011</x:v>
      </x:c>
      <x:c r="F16" s="44" t="s">
        <x:v>366</x:v>
      </x:c>
      <x:c r="G16" s="2">
        <x:v>1025.42</x:v>
      </x:c>
      <x:c r="H16" t="s">
        <x:v>5007</x:v>
      </x:c>
      <x:c r="K16" s="44" t="s">
        <x:v>1427</x:v>
      </x:c>
      <x:c r="L16" s="2">
        <x:v>796.6</x:v>
      </x:c>
      <x:c r="M16" t="s">
        <x:v>5008</x:v>
      </x:c>
    </x:row>
    <x:row r="17">
      <x:c r="A17" s="44" t="s">
        <x:v>2734</x:v>
      </x:c>
      <x:c r="B17" s="2">
        <x:v>152.54</x:v>
      </x:c>
      <x:c r="C17" t="s">
        <x:v>5011</x:v>
      </x:c>
      <x:c r="F17" s="44" t="s">
        <x:v>138</x:v>
      </x:c>
      <x:c r="G17" s="2">
        <x:v>898.3</x:v>
      </x:c>
      <x:c r="H17" t="s">
        <x:v>5008</x:v>
      </x:c>
      <x:c r="K17" s="44" t="s">
        <x:v>2600</x:v>
      </x:c>
      <x:c r="L17" s="2">
        <x:v>762.71</x:v>
      </x:c>
      <x:c r="M17" t="s">
        <x:v>5008</x:v>
      </x:c>
    </x:row>
    <x:row r="18">
      <x:c r="A18" s="44" t="s">
        <x:v>631</x:v>
      </x:c>
      <x:c r="B18" s="2">
        <x:v>139.83000000000001</x:v>
      </x:c>
      <x:c r="C18" t="s">
        <x:v>5011</x:v>
      </x:c>
      <x:c r="F18" s="44" t="s">
        <x:v>1546</x:v>
      </x:c>
      <x:c r="G18" s="2">
        <x:v>661.01</x:v>
      </x:c>
      <x:c r="H18" t="s">
        <x:v>5008</x:v>
      </x:c>
      <x:c r="K18" s="44" t="s">
        <x:v>718</x:v>
      </x:c>
      <x:c r="L18" s="2">
        <x:v>694.91</x:v>
      </x:c>
      <x:c r="M18" t="s">
        <x:v>5008</x:v>
      </x:c>
    </x:row>
    <x:row r="19">
      <x:c r="A19" s="44" t="s">
        <x:v>118</x:v>
      </x:c>
      <x:c r="B19" s="2">
        <x:v>135.59</x:v>
      </x:c>
      <x:c r="C19" t="s">
        <x:v>5011</x:v>
      </x:c>
      <x:c r="F19" s="44" t="s">
        <x:v>436</x:v>
      </x:c>
      <x:c r="G19" s="2">
        <x:v>593.21</x:v>
      </x:c>
      <x:c r="H19" t="s">
        <x:v>5008</x:v>
      </x:c>
      <x:c r="K19" s="44" t="s">
        <x:v>1122</x:v>
      </x:c>
      <x:c r="L19" s="2">
        <x:v>550.85</x:v>
      </x:c>
      <x:c r="M19" t="s">
        <x:v>5008</x:v>
      </x:c>
    </x:row>
    <x:row r="20">
      <x:c r="A20" s="53" t="s">
        <x:v>413</x:v>
      </x:c>
      <x:c r="B20" s="2">
        <x:v>135.59</x:v>
      </x:c>
      <x:c r="C20" t="s">
        <x:v>5011</x:v>
      </x:c>
      <x:c r="F20" s="44" t="s">
        <x:v>1485</x:v>
      </x:c>
      <x:c r="G20" s="2">
        <x:v>563.55999999999995</x:v>
      </x:c>
      <x:c r="H20" t="s">
        <x:v>5008</x:v>
      </x:c>
      <x:c r="K20" s="44" t="s">
        <x:v>138</x:v>
      </x:c>
      <x:c r="L20" s="2">
        <x:v>474.57000000000005</x:v>
      </x:c>
      <x:c r="M20" t="s">
        <x:v>5009</x:v>
      </x:c>
    </x:row>
    <x:row r="21">
      <x:c r="B21" s="54"/>
      <x:c r="F21" s="44" t="s">
        <x:v>98</x:v>
      </x:c>
      <x:c r="G21" s="2">
        <x:v>474.57</x:v>
      </x:c>
      <x:c r="H21" t="s">
        <x:v>5009</x:v>
      </x:c>
      <x:c r="K21" s="44" t="s">
        <x:v>98</x:v>
      </x:c>
      <x:c r="L21" s="2">
        <x:v>423.72</x:v>
      </x:c>
      <x:c r="M21" t="s">
        <x:v>5009</x:v>
      </x:c>
    </x:row>
    <x:row r="22">
      <x:c r="B22" s="54"/>
      <x:c r="F22" s="44" t="s">
        <x:v>718</x:v>
      </x:c>
      <x:c r="G22" s="2">
        <x:v>457.62</x:v>
      </x:c>
      <x:c r="H22" t="s">
        <x:v>5009</x:v>
      </x:c>
      <x:c r="K22" s="44" t="s">
        <x:v>1100</x:v>
      </x:c>
      <x:c r="L22" s="2">
        <x:v>372.88</x:v>
      </x:c>
      <x:c r="M22" t="s">
        <x:v>5009</x:v>
      </x:c>
    </x:row>
    <x:row r="23">
      <x:c r="B23" s="54"/>
      <x:c r="F23" s="44" t="s">
        <x:v>263</x:v>
      </x:c>
      <x:c r="G23" s="2">
        <x:v>372.88</x:v>
      </x:c>
      <x:c r="H23" t="s">
        <x:v>5009</x:v>
      </x:c>
      <x:c r="K23" s="44" t="s">
        <x:v>1156</x:v>
      </x:c>
      <x:c r="L23" s="2">
        <x:v>338.98</x:v>
      </x:c>
      <x:c r="M23" t="s">
        <x:v>5009</x:v>
      </x:c>
    </x:row>
    <x:row r="24">
      <x:c r="B24" s="54"/>
      <x:c r="F24" s="44" t="s">
        <x:v>346</x:v>
      </x:c>
      <x:c r="G24" s="2">
        <x:v>305.08</x:v>
      </x:c>
      <x:c r="H24" t="s">
        <x:v>5009</x:v>
      </x:c>
      <x:c r="K24" s="44" t="s">
        <x:v>3087</x:v>
      </x:c>
      <x:c r="L24" s="2">
        <x:v>288.13</x:v>
      </x:c>
      <x:c r="M24" t="s">
        <x:v>5009</x:v>
      </x:c>
    </x:row>
    <x:row r="25">
      <x:c r="B25" s="54"/>
      <x:c r="F25" s="44" t="s">
        <x:v>1600</x:v>
      </x:c>
      <x:c r="G25" s="2">
        <x:v>288.13</x:v>
      </x:c>
      <x:c r="H25" t="s">
        <x:v>5009</x:v>
      </x:c>
      <x:c r="K25" s="53" t="s">
        <x:v>118</x:v>
      </x:c>
      <x:c r="L25" s="2">
        <x:v>152.54</x:v>
      </x:c>
      <x:c r="M25" t="s">
        <x:v>5011</x:v>
      </x:c>
    </x:row>
    <x:row r="26">
      <x:c r="B26" s="54"/>
      <x:c r="F26" s="44" t="s">
        <x:v>1620</x:v>
      </x:c>
      <x:c r="G26" s="2">
        <x:v>275.42</x:v>
      </x:c>
      <x:c r="H26" t="s">
        <x:v>5009</x:v>
      </x:c>
      <x:c r="L26" s="54"/>
    </x:row>
    <x:row r="27">
      <x:c r="B27" s="54"/>
      <x:c r="F27" s="44" t="s">
        <x:v>1100</x:v>
      </x:c>
      <x:c r="G27" s="2">
        <x:v>271.18</x:v>
      </x:c>
      <x:c r="H27" t="s">
        <x:v>5009</x:v>
      </x:c>
      <x:c r="L27" s="54"/>
    </x:row>
    <x:row r="28">
      <x:c r="B28" s="54"/>
      <x:c r="F28" s="44" t="s">
        <x:v>1167</x:v>
      </x:c>
      <x:c r="G28" s="2">
        <x:v>186.44</x:v>
      </x:c>
      <x:c r="H28" t="s">
        <x:v>5011</x:v>
      </x:c>
      <x:c r="L28" s="54"/>
    </x:row>
    <x:row r="29">
      <x:c r="B29" s="54"/>
      <x:c r="F29" s="44" t="s">
        <x:v>1156</x:v>
      </x:c>
      <x:c r="G29" s="2">
        <x:v>186.44</x:v>
      </x:c>
      <x:c r="H29" t="s">
        <x:v>5011</x:v>
      </x:c>
      <x:c r="L29" s="54"/>
    </x:row>
    <x:row r="30">
      <x:c r="B30" s="54"/>
      <x:c r="F30" s="44" t="s">
        <x:v>1689</x:v>
      </x:c>
      <x:c r="G30" s="2">
        <x:v>186.44</x:v>
      </x:c>
      <x:c r="H30" t="s">
        <x:v>5011</x:v>
      </x:c>
      <x:c r="L30" s="54"/>
    </x:row>
    <x:row r="31">
      <x:c r="B31" s="54"/>
      <x:c r="F31" s="44" t="s">
        <x:v>2049</x:v>
      </x:c>
      <x:c r="G31" s="2">
        <x:v>186.44</x:v>
      </x:c>
      <x:c r="H31" t="s">
        <x:v>5011</x:v>
      </x:c>
      <x:c r="L31" s="54"/>
    </x:row>
    <x:row r="32">
      <x:c r="B32" s="54"/>
      <x:c r="F32" s="44" t="s">
        <x:v>1427</x:v>
      </x:c>
      <x:c r="G32" s="2">
        <x:v>135.59</x:v>
      </x:c>
      <x:c r="H32" t="s">
        <x:v>5011</x:v>
      </x:c>
      <x:c r="L32" s="54"/>
    </x:row>
    <x:row r="33">
      <x:c r="B33" s="54"/>
      <x:c r="F33" s="44" t="s">
        <x:v>1878</x:v>
      </x:c>
      <x:c r="G33" s="2">
        <x:v>135.59</x:v>
      </x:c>
      <x:c r="H33" t="s">
        <x:v>5011</x:v>
      </x:c>
      <x:c r="L33" s="54"/>
    </x:row>
    <x:row r="34">
      <x:c r="B34" s="54"/>
      <x:c r="F34" s="44" t="s">
        <x:v>1906</x:v>
      </x:c>
      <x:c r="G34" s="2">
        <x:v>135.59</x:v>
      </x:c>
      <x:c r="H34" t="s">
        <x:v>5011</x:v>
      </x:c>
      <x:c r="L34" s="54"/>
    </x:row>
    <x:row r="35">
      <x:c r="B35" s="54"/>
      <x:c r="F35" s="44" t="s">
        <x:v>2170</x:v>
      </x:c>
      <x:c r="G35" s="2">
        <x:v>135.59</x:v>
      </x:c>
      <x:c r="H35" t="s">
        <x:v>5011</x:v>
      </x:c>
      <x:c r="L35" s="54"/>
    </x:row>
    <x:row r="36">
      <x:c r="F36" s="44" t="s">
        <x:v>2344</x:v>
      </x:c>
      <x:c r="G36" s="2">
        <x:v>135.59</x:v>
      </x:c>
      <x:c r="H36" t="s">
        <x:v>5011</x:v>
      </x:c>
    </x:row>
    <x:row r="37">
      <x:c r="F37" s="44" t="s">
        <x:v>2461</x:v>
      </x:c>
      <x:c r="G37" s="2">
        <x:v>101.69</x:v>
      </x:c>
      <x:c r="H37" t="s">
        <x:v>5011</x:v>
      </x:c>
    </x:row>
  </x:sheetData>
  <x:mergeCells>
    <x:mergeCell ref="A1:D1"/>
    <x:mergeCell ref="F1:I1"/>
    <x:mergeCell ref="K1:N1"/>
  </x:mergeCells>
  <x:pageMargins left="0.7" right="0.7" top="0.75" bottom="0.75" header="0.3" footer="0.3"/>
  <x:tableParts count="6">
    <x:tablePart xmlns:r="http://schemas.openxmlformats.org/officeDocument/2006/relationships" r:id="R2875db259bff49a7"/>
    <x:tablePart xmlns:r="http://schemas.openxmlformats.org/officeDocument/2006/relationships" r:id="Rf770ef98176d458c"/>
    <x:tablePart xmlns:r="http://schemas.openxmlformats.org/officeDocument/2006/relationships" r:id="R17f8257089864e4a"/>
    <x:tablePart xmlns:r="http://schemas.openxmlformats.org/officeDocument/2006/relationships" r:id="R1f809472cc384796"/>
    <x:tablePart xmlns:r="http://schemas.openxmlformats.org/officeDocument/2006/relationships" r:id="R6b2d53c4bfc54842"/>
    <x:tablePart xmlns:r="http://schemas.openxmlformats.org/officeDocument/2006/relationships" r:id="Rdd7ced784734449b"/>
  </x:tableParts>
</x:worksheet>
</file>

<file path=xl/worksheets/sheet8.xml><?xml version="1.0" encoding="utf-8"?>
<x:worksheet xmlns:x="http://schemas.openxmlformats.org/spreadsheetml/2006/main">
  <x:sheetFormatPr baseColWidth="10" defaultRowHeight="14.399999618530273"/>
  <x:cols>
    <x:col min="1" max="1" width="41.33203125" customWidth="1"/>
    <x:col min="2" max="2" width="12.5546875" customWidth="1"/>
    <x:col min="3" max="3" width="6.77734375" customWidth="1"/>
  </x:cols>
  <x:sheetData>
    <x:row r="1">
      <x:c r="A1" s="55" t="s">
        <x:v>3595</x:v>
      </x:c>
      <x:c r="B1" t="s">
        <x:v>4056</x:v>
      </x:c>
    </x:row>
    <x:row r="3">
      <x:c r="A3" s="55" t="s">
        <x:v>5012</x:v>
      </x:c>
      <x:c r="B3" s="57" t="s">
        <x:v>5013</x:v>
      </x:c>
      <x:c r="C3" s="57" t="s">
        <x:v>5014</x:v>
      </x:c>
    </x:row>
    <x:row r="4">
      <x:c r="A4" s="56" t="s">
        <x:v>291</x:v>
      </x:c>
      <x:c r="B4" s="58">
        <x:v>15889.82</x:v>
      </x:c>
      <x:c r="C4">
        <x:v>15</x:v>
      </x:c>
    </x:row>
    <x:row r="5">
      <x:c r="A5" s="56" t="s">
        <x:v>91</x:v>
      </x:c>
      <x:c r="B5" s="58">
        <x:v>4203.2900000000018</x:v>
      </x:c>
      <x:c r="C5">
        <x:v>33</x:v>
      </x:c>
    </x:row>
    <x:row r="6">
      <x:c r="A6" s="56" t="s">
        <x:v>102</x:v>
      </x:c>
      <x:c r="B6" s="58">
        <x:v>3711.8500000000004</x:v>
      </x:c>
      <x:c r="C6">
        <x:v>20</x:v>
      </x:c>
    </x:row>
    <x:row r="7">
      <x:c r="A7" s="56" t="s">
        <x:v>160</x:v>
      </x:c>
      <x:c r="B7" s="58">
        <x:v>3254.1600000000008</x:v>
      </x:c>
      <x:c r="C7">
        <x:v>24</x:v>
      </x:c>
    </x:row>
    <x:row r="8">
      <x:c r="A8" s="56" t="s">
        <x:v>131</x:v>
      </x:c>
      <x:c r="B8" s="58">
        <x:v>2898.2599999999998</x:v>
      </x:c>
      <x:c r="C8">
        <x:v>21</x:v>
      </x:c>
    </x:row>
    <x:row r="9">
      <x:c r="A9" s="56" t="s">
        <x:v>41</x:v>
      </x:c>
      <x:c r="B9" s="58">
        <x:v>2033.8900000000003</x:v>
      </x:c>
      <x:c r="C9">
        <x:v>11</x:v>
      </x:c>
    </x:row>
    <x:row r="10">
      <x:c r="A10" s="56" t="s">
        <x:v>202</x:v>
      </x:c>
      <x:c r="B10" s="58">
        <x:v>2025.3899999999996</x:v>
      </x:c>
      <x:c r="C10">
        <x:v>14</x:v>
      </x:c>
    </x:row>
    <x:row r="11">
      <x:c r="A11" s="56" t="s">
        <x:v>203</x:v>
      </x:c>
      <x:c r="B11" s="58">
        <x:v>1957.5799999999995</x:v>
      </x:c>
      <x:c r="C11">
        <x:v>15</x:v>
      </x:c>
    </x:row>
    <x:row r="12">
      <x:c r="A12" s="56" t="s">
        <x:v>1139</x:v>
      </x:c>
      <x:c r="B12" s="58">
        <x:v>1805.0900000000001</x:v>
      </x:c>
      <x:c r="C12">
        <x:v>2</x:v>
      </x:c>
    </x:row>
    <x:row r="13">
      <x:c r="A13" s="56" t="s">
        <x:v>372</x:v>
      </x:c>
      <x:c r="B13" s="58">
        <x:v>1440.67</x:v>
      </x:c>
      <x:c r="C13">
        <x:v>2</x:v>
      </x:c>
    </x:row>
    <x:row r="14">
      <x:c r="A14" s="56" t="s">
        <x:v>1159</x:v>
      </x:c>
      <x:c r="B14" s="58">
        <x:v>1355.92</x:v>
      </x:c>
      <x:c r="C14">
        <x:v>4</x:v>
      </x:c>
    </x:row>
    <x:row r="15">
      <x:c r="A15" s="56" t="s">
        <x:v>2412</x:v>
      </x:c>
      <x:c r="B15" s="58">
        <x:v>1169.49</x:v>
      </x:c>
      <x:c r="C15">
        <x:v>1</x:v>
      </x:c>
    </x:row>
    <x:row r="16">
      <x:c r="A16" s="56" t="s">
        <x:v>975</x:v>
      </x:c>
      <x:c r="B16" s="58">
        <x:v>805.08</x:v>
      </x:c>
      <x:c r="C16">
        <x:v>1</x:v>
      </x:c>
    </x:row>
    <x:row r="17">
      <x:c r="A17" s="56" t="s">
        <x:v>643</x:v>
      </x:c>
      <x:c r="B17" s="58">
        <x:v>678</x:v>
      </x:c>
      <x:c r="C17">
        <x:v>8</x:v>
      </x:c>
    </x:row>
    <x:row r="18">
      <x:c r="A18" s="56" t="s">
        <x:v>59</x:v>
      </x:c>
      <x:c r="B18" s="58">
        <x:v>546.6</x:v>
      </x:c>
      <x:c r="C18">
        <x:v>4</x:v>
      </x:c>
    </x:row>
    <x:row r="19">
      <x:c r="A19" s="56" t="s">
        <x:v>214</x:v>
      </x:c>
      <x:c r="B19" s="58">
        <x:v>508.48</x:v>
      </x:c>
      <x:c r="C19">
        <x:v>2</x:v>
      </x:c>
    </x:row>
    <x:row r="20">
      <x:c r="A20" s="56" t="s">
        <x:v>159</x:v>
      </x:c>
      <x:c r="B20" s="58">
        <x:v>457.62</x:v>
      </x:c>
      <x:c r="C20">
        <x:v>3</x:v>
      </x:c>
    </x:row>
    <x:row r="21">
      <x:c r="A21" s="56" t="s">
        <x:v>1217</x:v>
      </x:c>
      <x:c r="B21" s="58">
        <x:v>279.66000000000003</x:v>
      </x:c>
      <x:c r="C21">
        <x:v>2</x:v>
      </x:c>
    </x:row>
    <x:row r="22">
      <x:c r="A22" s="56" t="s">
        <x:v>830</x:v>
      </x:c>
      <x:c r="B22" s="58">
        <x:v>254.24</x:v>
      </x:c>
      <x:c r="C22">
        <x:v>2</x:v>
      </x:c>
    </x:row>
    <x:row r="23">
      <x:c r="A23" s="56" t="s">
        <x:v>3591</x:v>
      </x:c>
      <x:c r="B23" s="58">
        <x:v>211.86</x:v>
      </x:c>
      <x:c r="C23">
        <x:v>1</x:v>
      </x:c>
    </x:row>
    <x:row r="24">
      <x:c r="A24" s="56" t="s">
        <x:v>2925</x:v>
      </x:c>
      <x:c r="B24" s="58">
        <x:v>186.44</x:v>
      </x:c>
      <x:c r="C24">
        <x:v>1</x:v>
      </x:c>
    </x:row>
    <x:row r="25">
      <x:c r="A25" s="56" t="s">
        <x:v>350</x:v>
      </x:c>
      <x:c r="B25" s="58">
        <x:v>169.49</x:v>
      </x:c>
      <x:c r="C25">
        <x:v>3</x:v>
      </x:c>
    </x:row>
    <x:row r="26">
      <x:c r="A26" s="56" t="s">
        <x:v>1569</x:v>
      </x:c>
      <x:c r="B26" s="58">
        <x:v>152.54</x:v>
      </x:c>
      <x:c r="C26">
        <x:v>1</x:v>
      </x:c>
    </x:row>
    <x:row r="27">
      <x:c r="A27" s="56" t="s">
        <x:v>835</x:v>
      </x:c>
      <x:c r="B27" s="58">
        <x:v>101.7</x:v>
      </x:c>
      <x:c r="C27">
        <x:v>2</x:v>
      </x:c>
    </x:row>
    <x:row r="28">
      <x:c r="A28" s="56" t="s">
        <x:v>622</x:v>
      </x:c>
      <x:c r="B28" s="58">
        <x:v>42.38</x:v>
      </x:c>
      <x:c r="C28">
        <x:v>2</x:v>
      </x:c>
    </x:row>
    <x:row r="29">
      <x:c r="A29" s="56" t="s">
        <x:v>623</x:v>
      </x:c>
      <x:c r="B29" s="58">
        <x:v>25.42</x:v>
      </x:c>
      <x:c r="C29">
        <x:v>2</x:v>
      </x:c>
    </x:row>
    <x:row r="30">
      <x:c r="A30" s="56" t="s">
        <x:v>620</x:v>
      </x:c>
      <x:c r="B30" s="58">
        <x:v>25.42</x:v>
      </x:c>
      <x:c r="C30">
        <x:v>2</x:v>
      </x:c>
    </x:row>
    <x:row r="31">
      <x:c r="A31" s="56" t="s">
        <x:v>624</x:v>
      </x:c>
      <x:c r="B31" s="58">
        <x:v>25.42</x:v>
      </x:c>
      <x:c r="C31">
        <x:v>2</x:v>
      </x:c>
    </x:row>
    <x:row r="32">
      <x:c r="A32" s="56" t="s">
        <x:v>289</x:v>
      </x:c>
      <x:c r="B32" s="58">
        <x:v>0</x:v>
      </x:c>
      <x:c r="C32">
        <x:v>24</x:v>
      </x:c>
    </x:row>
    <x:row r="33">
      <x:c r="A33" s="56" t="s">
        <x:v>5015</x:v>
      </x:c>
      <x:c r="B33" s="58">
        <x:v>46215.760000000075</x:v>
      </x:c>
      <x:c r="C33">
        <x:v>224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28" hidden="0" customWidth="1"/>
    <x:col min="2" max="2" width="96" hidden="0" customWidth="1"/>
  </x:cols>
  <x:sheetData>
    <x:row r="1" ht="34" customHeight="1">
      <x:c r="A1" s="126" t="str">
        <x:v>PRECISA | GUÍA PARA ACTUALIZACIÓN MENSUAL</x:v>
      </x:c>
      <x:c r="B1" s="126" t="str"/>
    </x:row>
    <x:row r="2">
      <x:c r="A2" s="127" t="str">
        <x:v>OBJETIVO</x:v>
      </x:c>
      <x:c r="B2" s="127" t="str">
        <x:v>Conservar las bases y cinco hojas principales para consultar en el dashboard.</x:v>
      </x:c>
    </x:row>
    <x:row r="3">
      <x:c r="A3" s="128" t="str">
        <x:v>HOJA</x:v>
      </x:c>
      <x:c r="B3" s="128" t="str">
        <x:v>QUÉ HACER CADA MES</x:v>
      </x:c>
    </x:row>
    <x:row r="4">
      <x:c r="A4" s="127" t="str">
        <x:v>Base_Precisa</x:v>
      </x:c>
      <x:c r="B4" s="127" t="str">
        <x:v>Pegar nuevas filas al final, sin borrar meses anteriores. Completar la columna MES.</x:v>
      </x:c>
    </x:row>
    <x:row r="5">
      <x:c r="A5" s="127" t="str">
        <x:v>Cálculo_Categorías</x:v>
      </x:c>
      <x:c r="B5" s="127" t="str">
        <x:v>Vista de cálculos; no pegar encima de las fórmulas. Revisar mes seleccionado.</x:v>
      </x:c>
    </x:row>
    <x:row r="6">
      <x:c r="A6" s="127" t="str">
        <x:v>Categoría_Médicos</x:v>
      </x:c>
      <x:c r="B6" s="127" t="str">
        <x:v>Vista de indicadores por mes; revisar el nuevo corte y sus referencias.</x:v>
      </x:c>
    </x:row>
    <x:row r="7">
      <x:c r="A7" s="127" t="str">
        <x:v>Categoría_Institución</x:v>
      </x:c>
      <x:c r="B7" s="127" t="str">
        <x:v>Vista de indicadores por mes; revisar el nuevo corte y sus referencias.</x:v>
      </x:c>
    </x:row>
    <x:row r="8">
      <x:c r="A8" s="127" t="str">
        <x:v>Detalle</x:v>
      </x:c>
      <x:c r="B8" s="127" t="str">
        <x:v>Vista por servicio; actualizar o regenerar el detalle del mes.</x:v>
      </x:c>
    </x:row>
    <x:row r="9">
      <x:c r="A9" s="128" t="str">
        <x:v>HOJAS DE APOYO</x:v>
      </x:c>
      <x:c r="B9" s="128" t="str"/>
    </x:row>
    <x:row r="10">
      <x:c r="A10" s="127" t="str">
        <x:v>Médicos</x:v>
      </x:c>
      <x:c r="B10" s="127" t="str">
        <x:v>Registro operativo: confirmar si alimenta Base_Precisa para no duplicar registros.</x:v>
      </x:c>
    </x:row>
    <x:row r="11">
      <x:c r="A11" s="127" t="str">
        <x:v>Cuentas</x:v>
      </x:c>
      <x:c r="B11" s="127" t="str">
        <x:v>Actualizar solo si cambian datos bancarios. Mantener permisos restringidos.</x:v>
      </x:c>
    </x:row>
    <x:row r="12">
      <x:c r="A12" s="127" t="str">
        <x:v>Bonos2</x:v>
      </x:c>
      <x:c r="B12" s="127" t="str">
        <x:v>Actualizar solo cuando cambien tarifas/bonos.</x:v>
      </x:c>
    </x:row>
    <x:row r="13">
      <x:c r="A13" s="128" t="str">
        <x:v>PROCEDIMIENTO</x:v>
      </x:c>
      <x:c r="B13" s="128" t="str"/>
    </x:row>
    <x:row r="14">
      <x:c r="A14" s="127" t="str">
        <x:v>1</x:v>
      </x:c>
      <x:c r="B14" s="127" t="str">
        <x:v>Realiza una copia de seguridad del archivo antes del cierre mensual.</x:v>
      </x:c>
    </x:row>
    <x:row r="15">
      <x:c r="A15" s="127" t="str">
        <x:v>2</x:v>
      </x:c>
      <x:c r="B15" s="127" t="str">
        <x:v>Agrega los nuevos registros en la base correspondiente sin modificar encabezados.</x:v>
      </x:c>
    </x:row>
    <x:row r="16">
      <x:c r="A16" s="127" t="str">
        <x:v>3</x:v>
      </x:c>
      <x:c r="B16" s="127" t="str">
        <x:v>Verifica fechas, MES, importes, nombres e identificadores para evitar duplicados.</x:v>
      </x:c>
    </x:row>
    <x:row r="17">
      <x:c r="A17" s="127" t="str">
        <x:v>4</x:v>
      </x:c>
      <x:c r="B17" s="127" t="str">
        <x:v>Revisa fórmulas y totales de las vistas de cálculo; no sobreescribas fórmulas.</x:v>
      </x:c>
    </x:row>
    <x:row r="18">
      <x:c r="A18" s="127" t="str">
        <x:v>5</x:v>
      </x:c>
      <x:c r="B18" s="127" t="str">
        <x:v>Usa las hojas de reporte como origen para visualizar resultados en el dashboard.</x:v>
      </x:c>
    </x:row>
    <x:row r="19">
      <x:c r="A19" s="127" t="str">
        <x:v>IMPORTANTE</x:v>
      </x:c>
      <x:c r="B19" s="127" t="str">
        <x:v>Subir este Excel a Drive no conecta automáticamente el dashboard HTML. Requiere una conexión/importación de datos independiente.</x:v>
      </x:c>
    </x:row>
  </x:sheetData>
  <x:pageMargins left="0.7" right="0.7" top="0.75" bottom="0.75" header="0.3" footer="0.3"/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781cb862a7d94388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781cb862a7d94388" refreshedBy="Usuario" refreshedDate="46301.48027743056" createdVersion="8" refreshedVersion="8" minRefreshableVersion="3" recordCount="779">
  <x:cacheSource type="worksheet">
    <x:worksheetSource name="Ventas_Precisa"/>
  </x:cacheSource>
  <x:cacheFields count="30">
    <x:cacheField name="FECHA" numFmtId="14">
      <x:sharedItems containsSemiMixedTypes="0" containsNonDate="0" containsDate="1" containsString="0" minDate="2026-06-01T00:00:00Z" maxDate="2026-10-01T00:00:00Z"/>
    </x:cacheField>
    <x:cacheField name="MES" numFmtId="0">
      <x:sharedItems count="4">
        <x:s v="Junio"/>
        <x:s v="Julio"/>
        <x:s v="Agosto"/>
        <x:s v="Setiembre"/>
      </x:sharedItems>
    </x:cacheField>
    <x:cacheField name="INVNUM" numFmtId="0">
      <x:sharedItems/>
    </x:cacheField>
    <x:cacheField name="COMPROBANTE" numFmtId="0">
      <x:sharedItems/>
    </x:cacheField>
    <x:cacheField name="FACTURA" numFmtId="0">
      <x:sharedItems/>
    </x:cacheField>
    <x:cacheField name="TIPO PAGO" numFmtId="0">
      <x:sharedItems/>
    </x:cacheField>
    <x:cacheField name="# DOC" numFmtId="0">
      <x:sharedItems/>
    </x:cacheField>
    <x:cacheField name="PACIENTE" numFmtId="0">
      <x:sharedItems/>
    </x:cacheField>
    <x:cacheField name="DNI" numFmtId="0">
      <x:sharedItems/>
    </x:cacheField>
    <x:cacheField name="MEDICO" numFmtId="0">
      <x:sharedItems containsBlank="1"/>
    </x:cacheField>
    <x:cacheField name="INSTITUCIÓN" numFmtId="0">
      <x:sharedItems containsBlank="1"/>
    </x:cacheField>
    <x:cacheField name="CARTERA" numFmtId="0">
      <x:sharedItems/>
    </x:cacheField>
    <x:cacheField name="HISTORIA" numFmtId="0">
      <x:sharedItems/>
    </x:cacheField>
    <x:cacheField name="TELEFONO" numFmtId="0">
      <x:sharedItems/>
    </x:cacheField>
    <x:cacheField name="RAZON SOCIAL" numFmtId="0">
      <x:sharedItems/>
    </x:cacheField>
    <x:cacheField name="PREFACTURA" numFmtId="0">
      <x:sharedItems/>
    </x:cacheField>
    <x:cacheField name="DESCRIPCION" numFmtId="0">
      <x:sharedItems count="44">
        <x:s v="OCT DE MACULA"/>
        <x:s v="ECOGRAFIA OCULAR GENERAL SCAN A,B"/>
        <x:s v="OCT DE NERVIO OPTICO  Y CELULAS GANGLION"/>
        <x:s v="USO DE EQUIPOS E INSUMO AVASTIN"/>
        <x:s v="CAMPIMETRIA (CAMPO VISUAL)"/>
        <x:s v="PAQUIMETRIA"/>
        <x:s v="FOTOCLINICA EN MOSAICO"/>
        <x:s v="BIOMETRIA IOL MASTER 700"/>
        <x:s v="MICROSCOPIA ESPECULAR"/>
        <x:s v="CIRUGIA DE DIA"/>
        <x:s v="FACOEMULSIFICACION PRIMIUM"/>
        <x:s v="USO DE EQUIPOS E INSUMO IRIDOTOMIA"/>
        <x:s v="TOPOGRAFIA CORNEAL"/>
        <x:s v="USO DE EQUIPOS E INSUMO BLEFAROPLASTIA"/>
        <x:s v="PQ BIOMETRIA MICROSCOPIA"/>
        <x:s v="ELECTROCARDIOGRAMA-EKG"/>
        <x:s v="HEMOGRAMA COMPLETO"/>
        <x:s v="ORINA COMPLETO"/>
        <x:s v="GLUCOSA"/>
        <x:s v="TIEMPO DE COAGULACION Y SANGRIA"/>
        <x:s v="HIV 1,2 (TEST RAPIDO)"/>
        <x:s v="ANGIOGRAFIA CON FLUORESCEINA"/>
        <x:s v="USO DE EQUIPOS E INSUMO CAPSULOTOMIA"/>
        <x:s v="CIRUGIA REFRACTIVA TRANS PRK "/>
        <x:s v="CONJUNTIVOPLASTIA "/>
        <x:s v="CIPROFLOXACINO 500 MG TAB"/>
        <x:s v="PREDNISONA 20MG TABLETAS"/>
        <x:s v="PARACETAMOL 500MG TABLETA"/>
        <x:s v="EXAMENES AUXILIARES"/>
        <x:s v="CONJUNTIVOPLASTIA C/PEGAMENTO TISULAR "/>
        <x:s v="INTERVENCIONES QUIRURGICAS"/>
        <x:s v="MS.BASP.HO.AT.AR6224"/>
        <x:s v="PROTECTOR OCULAR ESTERIL"/>
        <x:s v="USO DE EQUIPOS E INSUMO FOTOCOAGULACION"/>
        <x:s v="CIRUGIA REFRACTIVA LASIK  "/>
        <x:s v="OCT ANGIOGRAFIA MACULA"/>
        <x:s v="CROSSLINKING CORNEAL "/>
        <x:s v="CONSULTA DE OFTALMOLOGIA"/>
        <x:s v="OFTALMOSCOPÍA INDIRECTA (FONDO DE OJO)"/>
        <x:s v="MININUC "/>
        <x:s v="CHALAZIUM, BLEFAROTOMIA ABSCESO "/>
        <x:s v="FACOEMULSIFICACION COMPLICADA "/>
        <x:s v="OCT DE SEGMENTO ANTERIOR (ANGULOS)"/>
        <x:s v="OCT SEGMENTO ANTERIOR (CORNEA)"/>
      </x:sharedItems>
    </x:cacheField>
    <x:cacheField name="CANTIDAD" numFmtId="0">
      <x:sharedItems containsSemiMixedTypes="0" containsString="0" containsNumber="1" containsInteger="1" minValue="1" maxValue="2"/>
    </x:cacheField>
    <x:cacheField name="DESCRIP PLAN" numFmtId="0">
      <x:sharedItems/>
    </x:cacheField>
    <x:cacheField name="CONTRATANTE" numFmtId="0">
      <x:sharedItems/>
    </x:cacheField>
    <x:cacheField name="ASEGURADORA" numFmtId="0">
      <x:sharedItems/>
    </x:cacheField>
    <x:cacheField name="SEDEXX" numFmtId="0">
      <x:sharedItems/>
    </x:cacheField>
    <x:cacheField name="FACTURADOR" numFmtId="0">
      <x:sharedItems/>
    </x:cacheField>
    <x:cacheField name="FAC TOTAL" numFmtId="0">
      <x:sharedItems containsSemiMixedTypes="0" containsString="0" containsNumber="1" minValue="-203.39" maxValue="3508.47"/>
    </x:cacheField>
    <x:cacheField name="CENTRO_COSTO" numFmtId="0">
      <x:sharedItems/>
    </x:cacheField>
    <x:cacheField name="CONVENIO" numFmtId="0">
      <x:sharedItems/>
    </x:cacheField>
    <x:cacheField name="SEDE" numFmtId="0">
      <x:sharedItems/>
    </x:cacheField>
    <x:cacheField name="CELULAR" numFmtId="0">
      <x:sharedItems containsString="0" containsBlank="1" containsNumber="1" containsInteger="1" minValue="901918745" maxValue="999996347"/>
    </x:cacheField>
    <x:cacheField name="CUENTA BANCARIA" numFmtId="0">
      <x:sharedItems containsBlank="1"/>
    </x:cacheField>
    <x:cacheField name="Bono" numFmtId="0">
      <x:sharedItems containsString="0" containsBlank="1" containsNumber="1" containsInteger="1" minValue="30" maxValue="100"/>
    </x:cacheField>
  </x:cacheFields>
  <x:extLst xmlns:x="http://schemas.openxmlformats.org/spreadsheetml/2006/main">
    <x:ext xmlns:x14="http://schemas.microsoft.com/office/spreadsheetml/2009/9/main" uri="{725AE2AE-9491-48be-B2B4-4EB974FC3084}">
      <x14:pivotCacheDefinition/>
    </x:ext>
  </x:extLst>
</x:pivotCacheDefinition>
</file>

<file path=pivotCache/pivotCacheRecords1.xml><?xml version="1.0" encoding="utf-8"?>
<x:pivotCacheRecords xmlns:x="http://schemas.openxmlformats.org/spreadsheetml/2006/main" count="779">
  <x:r>
    <x:d v="2026-06-01T00:00:00Z"/>
    <x:x v="0"/>
    <x:s v="97734"/>
    <x:s v="BO"/>
    <x:s v="5483"/>
    <x:s v="CO"/>
    <x:s v="BO-5483"/>
    <x:s v="MARIN DIAZ JORGE MARCIAL"/>
    <x:s v="06105706"/>
    <x:s v="ORNA ACOSTA JORGE AQUILES"/>
    <x:s v="HOSPITAL LOAYZA"/>
    <x:s v="CRISTINA"/>
    <x:s v="0069701"/>
    <x:s v="990056060"/>
    <x:s v="MARIN DIAZ JORGE MARCIAL"/>
    <x:s v="85829"/>
    <x:x v="0"/>
    <x:n v="1"/>
    <x:s v="PRECISA"/>
    <x:s v="POR ASIGNAR"/>
    <x:s v="INSTITUTO MEDICO QUIRURGICO AREQUIPA S.A"/>
    <x:s v="L.CENTRO"/>
    <x:s v="ACABRERA"/>
    <x:n v="186.44"/>
    <x:s v="LN. EXAMENES"/>
    <x:s v="CIAS. DE SEGURO"/>
    <x:s v="CENTRO"/>
    <x:n v="999996347"/>
    <x:s v="052-7510523"/>
    <x:n v="50"/>
  </x:r>
  <x:r>
    <x:d v="2026-06-01T00:00:00Z"/>
    <x:x v="0"/>
    <x:s v="97768"/>
    <x:s v="BO"/>
    <x:s v="11380"/>
    <x:s v="CO"/>
    <x:s v="BO-11380"/>
    <x:s v="DAVILA URIBE JOSELUIS FRANKLIN"/>
    <x:s v="63710675"/>
    <x:s v="PEÑA CAMARGO CRISTOPHER OMAR"/>
    <x:s v="HOSPITAL SERGIO BERNALES"/>
    <x:s v="CRISTINA"/>
    <x:s v="0069713"/>
    <x:s v="916691513"/>
    <x:s v="DAVILA URIBE JOSELUIS FRANKLIN"/>
    <x:s v="85858"/>
    <x:x v="0"/>
    <x:n v="1"/>
    <x:s v="PRECISA"/>
    <x:s v="POR ASIGNAR"/>
    <x:s v="INSTITUTO MEDICO QUIRURGICO AREQUIPA S.A"/>
    <x:s v="L.CENTRO"/>
    <x:s v="LMAGAN"/>
    <x:n v="186.44"/>
    <x:s v="LN. EXAMENES"/>
    <x:s v="CIAS. DE SEGURO"/>
    <x:s v="CENTRO"/>
    <x:n v="964328569"/>
    <x:s v="191-70241223029"/>
    <x:n v="50"/>
  </x:r>
  <x:r>
    <x:d v="2026-06-01T00:00:00Z"/>
    <x:x v="0"/>
    <x:s v="97737"/>
    <x:s v="BO"/>
    <x:s v="5485"/>
    <x:s v="CO"/>
    <x:s v="BO-5485"/>
    <x:s v="JIMENEZ BORCKARDT MARIA ELENA"/>
    <x:s v="09175695"/>
    <x:s v="TORRES LEAL ADOLFO LEON"/>
    <x:s v="CLÍNICA SAN FELIPE LA MOLINA"/>
    <x:s v="CRISTINA"/>
    <x:s v="0069704"/>
    <x:s v="962711137"/>
    <x:s v="JIMENEZ BORCKARDT MARIA ELENA"/>
    <x:s v="85831"/>
    <x:x v="1"/>
    <x:n v="1"/>
    <x:s v="PRECISA"/>
    <x:s v="POR ASIGNAR"/>
    <x:s v="INSTITUTO MEDICO QUIRURGICO AREQUIPA S.A"/>
    <x:s v="L.CENTRO"/>
    <x:s v="ACABRERA"/>
    <x:n v="135.59"/>
    <x:s v="LN. EXAMENES"/>
    <x:s v="CIAS. DE SEGURO"/>
    <x:s v="CENTRO"/>
    <x:m/>
    <x:m/>
    <x:n v="30"/>
  </x:r>
  <x:r>
    <x:d v="2026-06-01T00:00:00Z"/>
    <x:x v="0"/>
    <x:s v="97761"/>
    <x:s v="BO"/>
    <x:s v="11378"/>
    <x:s v="CO"/>
    <x:s v="BO-11378"/>
    <x:s v="SANDOVAL SANTAMARIA ANTERO"/>
    <x:s v="17562410"/>
    <x:s v="HUARANGA RUIZ CORNEJO JORGE ERNESTO"/>
    <x:s v="HOSPITAL MONGRUT"/>
    <x:s v="CRISTINA"/>
    <x:s v="0069712"/>
    <x:s v="956259223"/>
    <x:s v="SANDOVAL SANTAMARIA ANTERO"/>
    <x:s v="85854"/>
    <x:x v="1"/>
    <x:n v="1"/>
    <x:s v="PRECISA"/>
    <x:s v="POR ASIGNAR"/>
    <x:s v="INSTITUTO MEDICO QUIRURGICO AREQUIPA S.A"/>
    <x:s v="L.CENTRO"/>
    <x:s v="LMAGAN"/>
    <x:n v="135.59"/>
    <x:s v="LN. EXAMENES"/>
    <x:s v="CIAS. DE SEGURO"/>
    <x:s v="CENTRO"/>
    <x:n v="945319366"/>
    <x:s v="194-94066798065"/>
    <x:n v="30"/>
  </x:r>
  <x:r>
    <x:d v="2026-06-01T00:00:00Z"/>
    <x:x v="0"/>
    <x:s v="97762"/>
    <x:s v="BO"/>
    <x:s v="3764"/>
    <x:s v="CO"/>
    <x:s v="BO-3764"/>
    <x:s v="DIAZ DIAZ MARIA JUANA"/>
    <x:s v="48820433"/>
    <x:s v="AGRAMONTE ZEA EDILBERTO"/>
    <x:s v="HOSPITAL DE LA SOLIDARIDAD SJL"/>
    <x:s v="CRISTINA"/>
    <x:s v="0068509"/>
    <x:s v="980843789"/>
    <x:s v="DIAZ DIAZ MARIA JUANA"/>
    <x:s v="85855"/>
    <x:x v="1"/>
    <x:n v="1"/>
    <x:s v="PRECISA LN"/>
    <x:s v="POR ASIGNAR"/>
    <x:s v="INSTITUTO MEDICO QUIRURGICO AREQUIPA S.A"/>
    <x:s v="L.NORTE"/>
    <x:s v="BGALLOSA"/>
    <x:n v="135.59"/>
    <x:s v="LN. EXAMENES"/>
    <x:s v="CIAS. DE SEGURO"/>
    <x:s v="NORTE"/>
    <x:n v="987407712"/>
    <x:s v="0011-0190-0200333106"/>
    <x:n v="30"/>
  </x:r>
  <x:r>
    <x:d v="2026-06-01T00:00:00Z"/>
    <x:x v="0"/>
    <x:s v="97751"/>
    <x:s v="BO"/>
    <x:s v="11374"/>
    <x:s v="CO"/>
    <x:s v="BO-11374"/>
    <x:s v="HERRERA GRANDA VANNIA LUZ"/>
    <x:s v="77928579"/>
    <x:s v="PEÑA CAMARGO CRISTOPHER OMAR"/>
    <x:s v="HOSPITAL SERGIO BERNALES"/>
    <x:s v="CRISTINA"/>
    <x:s v="0067338"/>
    <x:s v="953421025"/>
    <x:s v="HERRERA GRANDA VANNIA LUZ"/>
    <x:s v="85844"/>
    <x:x v="2"/>
    <x:n v="1"/>
    <x:s v="PRECISA"/>
    <x:s v="POR ASIGNAR"/>
    <x:s v="INSTITUTO MEDICO QUIRURGICO AREQUIPA S.A"/>
    <x:s v="L.CENTRO"/>
    <x:s v="LMAGAN"/>
    <x:n v="186.44"/>
    <x:s v="LN. EXAMENES"/>
    <x:s v="CIAS. DE SEGURO"/>
    <x:s v="CENTRO"/>
    <x:n v="964328569"/>
    <x:s v="191-70241223029"/>
    <x:n v="50"/>
  </x:r>
  <x:r>
    <x:d v="2026-06-02T00:00:00Z"/>
    <x:x v="0"/>
    <x:s v="97877"/>
    <x:s v="BO"/>
    <x:s v="5505"/>
    <x:s v="CO"/>
    <x:s v="BO-5505"/>
    <x:s v="REATEGUI VALLES REITER"/>
    <x:s v="01092510"/>
    <x:s v="MANSILLA JUAN JOSÉ"/>
    <x:s v="CONSULTORIO PARTICULAR"/>
    <x:s v="CRISTINA"/>
    <x:s v="0069757"/>
    <x:s v="931872630"/>
    <x:s v="REATEGUI VALLES REITER"/>
    <x:s v="85945"/>
    <x:x v="3"/>
    <x:n v="1"/>
    <x:s v="PRECISA"/>
    <x:s v="POR ASIGNAR"/>
    <x:s v="INSTITUTO MEDICO QUIRURGICO AREQUIPA S.A"/>
    <x:s v="L.CENTRO"/>
    <x:s v="ACABRERA"/>
    <x:n v="254.24"/>
    <x:s v="LN. PROCEDIMIENTO"/>
    <x:s v="CIAS. DE SEGURO"/>
    <x:s v="CENTRO"/>
    <x:m/>
    <x:m/>
    <x:m/>
  </x:r>
  <x:r>
    <x:d v="2026-06-03T00:00:00Z"/>
    <x:x v="0"/>
    <x:s v="97907"/>
    <x:s v="BO"/>
    <x:s v="5506"/>
    <x:s v="CO"/>
    <x:s v="BO-5506"/>
    <x:s v="MOTTA MARTINEZ JUSTINA OTILIA"/>
    <x:s v="08795262"/>
    <x:s v="CELIA RODRIGUEZ"/>
    <x:m/>
    <x:s v="CRISTINA"/>
    <x:s v="0054360"/>
    <x:s v="901653281"/>
    <x:s v="MOTTA MARTINEZ JUSTINA OTILIA"/>
    <x:s v="85960"/>
    <x:x v="4"/>
    <x:n v="1"/>
    <x:s v="PRECISA"/>
    <x:s v="POR ASIGNAR"/>
    <x:s v="INSTITUTO MEDICO QUIRURGICO AREQUIPA S.A"/>
    <x:s v="L.CENTRO"/>
    <x:s v="ACABRERA"/>
    <x:n v="135.59"/>
    <x:s v="LN. EXAMENES"/>
    <x:s v="CIAS. DE SEGURO"/>
    <x:s v="CENTRO"/>
    <x:m/>
    <x:m/>
    <x:n v="30"/>
  </x:r>
  <x:r>
    <x:d v="2026-06-03T00:00:00Z"/>
    <x:x v="0"/>
    <x:s v="97912"/>
    <x:s v="BO"/>
    <x:s v="11395"/>
    <x:s v="CO"/>
    <x:s v="BO-11395"/>
    <x:s v="MEDINA SILVESTRE GERONIMO"/>
    <x:s v="06279020"/>
    <x:s v="GUTARRA PAUCAR JULIA KARINA"/>
    <x:s v="CLÍNICA SAN CAMILO"/>
    <x:s v="CRISTINA"/>
    <x:s v="0069754"/>
    <x:s v="997332688"/>
    <x:s v="MEDINA SILVESTRE GERONIMO"/>
    <x:s v="85967"/>
    <x:x v="0"/>
    <x:n v="1"/>
    <x:s v="PRECISA"/>
    <x:s v="POR ASIGNAR"/>
    <x:s v="INSTITUTO MEDICO QUIRURGICO AREQUIPA S.A"/>
    <x:s v="L.CENTRO"/>
    <x:s v="LMAGAN"/>
    <x:n v="186.44"/>
    <x:s v="LN. EXAMENES"/>
    <x:s v="CIAS. DE SEGURO"/>
    <x:s v="CENTRO"/>
    <x:n v="982673362"/>
    <x:s v="0011-0353-0200308107"/>
    <x:n v="50"/>
  </x:r>
  <x:r>
    <x:d v="2026-06-03T00:00:00Z"/>
    <x:x v="0"/>
    <x:s v="97912"/>
    <x:s v="BO"/>
    <x:s v="11395"/>
    <x:s v="CO"/>
    <x:s v="BO-11395"/>
    <x:s v="MEDINA SILVESTRE GERONIMO"/>
    <x:s v="06279020"/>
    <x:s v="GUTARRA PAUCAR JULIA KARINA"/>
    <x:s v="CLÍNICA SAN CAMILO"/>
    <x:s v="CRISTINA"/>
    <x:s v="0069754"/>
    <x:s v="997332688"/>
    <x:s v="MEDINA SILVESTRE GERONIMO"/>
    <x:s v="85967"/>
    <x:x v="2"/>
    <x:n v="1"/>
    <x:s v="PRECISA"/>
    <x:s v="POR ASIGNAR"/>
    <x:s v="INSTITUTO MEDICO QUIRURGICO AREQUIPA S.A"/>
    <x:s v="L.CENTRO"/>
    <x:s v="LMAGAN"/>
    <x:n v="186.44"/>
    <x:s v="LN. EXAMENES"/>
    <x:s v="CIAS. DE SEGURO"/>
    <x:s v="CENTRO"/>
    <x:n v="982673362"/>
    <x:s v="0011-0353-0200308107"/>
    <x:n v="50"/>
  </x:r>
  <x:r>
    <x:d v="2026-06-03T00:00:00Z"/>
    <x:x v="0"/>
    <x:s v="97956"/>
    <x:s v="BO"/>
    <x:s v="11402"/>
    <x:s v="CO"/>
    <x:s v="BO-11402"/>
    <x:s v="GARCIA DE SANCHEZ MATILDE"/>
    <x:s v="27062832"/>
    <x:s v="GUTARRA PAUCAR JULIA KARINA"/>
    <x:s v="CLÍNICA SAN CAMILO"/>
    <x:s v="CRISTINA"/>
    <x:s v="0069790"/>
    <x:s v="917095913"/>
    <x:s v="GARCIA DE SANCHEZ MATILDE"/>
    <x:s v="86014"/>
    <x:x v="0"/>
    <x:n v="1"/>
    <x:s v="PRECISA"/>
    <x:s v="POR ASIGNAR"/>
    <x:s v="INSTITUTO MEDICO QUIRURGICO AREQUIPA S.A"/>
    <x:s v="L.CENTRO"/>
    <x:s v="LMAGAN"/>
    <x:n v="186.44"/>
    <x:s v="LN. EXAMENES"/>
    <x:s v="CIAS. DE SEGURO"/>
    <x:s v="CENTRO"/>
    <x:n v="982673362"/>
    <x:s v="0011-0353-0200308107"/>
    <x:n v="50"/>
  </x:r>
  <x:r>
    <x:d v="2026-06-03T00:00:00Z"/>
    <x:x v="0"/>
    <x:s v="97956"/>
    <x:s v="BO"/>
    <x:s v="11402"/>
    <x:s v="CO"/>
    <x:s v="BO-11402"/>
    <x:s v="GARCIA DE SANCHEZ MATILDE"/>
    <x:s v="27062832"/>
    <x:s v="GUTARRA PAUCAR JULIA KARINA"/>
    <x:s v="CLÍNICA SAN CAMILO"/>
    <x:s v="CRISTINA"/>
    <x:s v="0069790"/>
    <x:s v="917095913"/>
    <x:s v="GARCIA DE SANCHEZ MATILDE"/>
    <x:s v="86014"/>
    <x:x v="2"/>
    <x:n v="1"/>
    <x:s v="PRECISA"/>
    <x:s v="POR ASIGNAR"/>
    <x:s v="INSTITUTO MEDICO QUIRURGICO AREQUIPA S.A"/>
    <x:s v="L.CENTRO"/>
    <x:s v="LMAGAN"/>
    <x:n v="186.44"/>
    <x:s v="LN. EXAMENES"/>
    <x:s v="CIAS. DE SEGURO"/>
    <x:s v="CENTRO"/>
    <x:n v="982673362"/>
    <x:s v="0011-0353-0200308107"/>
    <x:n v="50"/>
  </x:r>
  <x:r>
    <x:d v="2026-06-03T00:00:00Z"/>
    <x:x v="0"/>
    <x:s v="97979"/>
    <x:s v="BO"/>
    <x:s v="11406"/>
    <x:s v="CO"/>
    <x:s v="BO-11406"/>
    <x:s v="PEREZ SANCHEZ GIOVANNA MARIELA"/>
    <x:s v="25792949"/>
    <x:s v="BOBBIO PEREZ MILKO"/>
    <x:s v="CONSULTORIO"/>
    <x:s v="CRISTINA"/>
    <x:s v="0069797"/>
    <x:s v="946068386"/>
    <x:s v="PEREZ SANCHEZ GIOVANNA MARIELA"/>
    <x:s v="86027"/>
    <x:x v="0"/>
    <x:n v="1"/>
    <x:s v="PRECISA"/>
    <x:s v="POR ASIGNAR"/>
    <x:s v="INSTITUTO MEDICO QUIRURGICO AREQUIPA S.A"/>
    <x:s v="L.CENTRO"/>
    <x:s v="LMAGAN"/>
    <x:n v="186.44"/>
    <x:s v="LN. EXAMENES"/>
    <x:s v="CIAS. DE SEGURO"/>
    <x:s v="CENTRO"/>
    <x:n v="981214114"/>
    <x:s v="191-98432106068"/>
    <x:n v="50"/>
  </x:r>
  <x:r>
    <x:d v="2026-06-03T00:00:00Z"/>
    <x:x v="0"/>
    <x:s v="97979"/>
    <x:s v="BO"/>
    <x:s v="11406"/>
    <x:s v="CO"/>
    <x:s v="BO-11406"/>
    <x:s v="PEREZ SANCHEZ GIOVANNA MARIELA"/>
    <x:s v="25792949"/>
    <x:s v="BOBBIO PEREZ MILKO"/>
    <x:s v="CONSULTORIO"/>
    <x:s v="CRISTINA"/>
    <x:s v="0069797"/>
    <x:s v="946068386"/>
    <x:s v="PEREZ SANCHEZ GIOVANNA MARIELA"/>
    <x:s v="86027"/>
    <x:x v="5"/>
    <x:n v="1"/>
    <x:s v="PRECISA"/>
    <x:s v="POR ASIGNAR"/>
    <x:s v="INSTITUTO MEDICO QUIRURGICO AREQUIPA S.A"/>
    <x:s v="L.CENTRO"/>
    <x:s v="LMAGAN"/>
    <x:n v="152.54"/>
    <x:s v="LN. EXAMENES"/>
    <x:s v="CIAS. DE SEGURO"/>
    <x:s v="CENTRO"/>
    <x:n v="981214114"/>
    <x:s v="191-98432106068"/>
    <x:n v="30"/>
  </x:r>
  <x:r>
    <x:d v="2026-06-04T00:00:00Z"/>
    <x:x v="0"/>
    <x:s v="98036"/>
    <x:s v="BO"/>
    <x:s v="5516"/>
    <x:s v="CO"/>
    <x:s v="BO-5516"/>
    <x:s v="PICO DE CRUZADO LUZ EMILIA"/>
    <x:s v="16550311"/>
    <x:s v="AGRAMONTE ZEA EDILBERTO"/>
    <x:s v="HOSPITAL DE LA SOLIDARIDAD SJL"/>
    <x:s v="CRISTINA"/>
    <x:s v="0069819"/>
    <x:s v="985411444"/>
    <x:s v="PICO DE CRUZADO LUZ EMILIA"/>
    <x:s v="86087"/>
    <x:x v="0"/>
    <x:n v="1"/>
    <x:s v="PRECISA"/>
    <x:s v="POR ASIGNAR"/>
    <x:s v="INSTITUTO MEDICO QUIRURGICO AREQUIPA S.A"/>
    <x:s v="L.CENTRO"/>
    <x:s v="ACABRERA"/>
    <x:n v="186.44"/>
    <x:s v="LN. EXAMENES"/>
    <x:s v="CIAS. DE SEGURO"/>
    <x:s v="CENTRO"/>
    <x:n v="987407712"/>
    <x:s v="0011-0190-0200333106"/>
    <x:n v="50"/>
  </x:r>
  <x:r>
    <x:d v="2026-06-04T00:00:00Z"/>
    <x:x v="0"/>
    <x:s v="98044"/>
    <x:s v="BO"/>
    <x:s v="11419"/>
    <x:s v="CO"/>
    <x:s v="BO-11419"/>
    <x:s v="SACHA NAVARRO GERARDO JUNIOR"/>
    <x:s v="47180662"/>
    <x:s v="CACERES PINTO ALVARO DANIEL"/>
    <x:s v="HOSPITAL INO"/>
    <x:s v="CRISTINA"/>
    <x:s v="0069825"/>
    <x:s v="958365826"/>
    <x:s v="SACHA NAVARRO GERARDO JUNIOR"/>
    <x:s v="86096"/>
    <x:x v="6"/>
    <x:n v="1"/>
    <x:s v="PRECISA"/>
    <x:s v="POR ASIGNAR"/>
    <x:s v="INSTITUTO MEDICO QUIRURGICO AREQUIPA S.A"/>
    <x:s v="L.CENTRO"/>
    <x:s v="LMAGAN"/>
    <x:n v="169.49"/>
    <x:s v="LN. EXAMENES"/>
    <x:s v="CIAS. DE SEGURO"/>
    <x:s v="CENTRO"/>
    <x:n v="966697811"/>
    <x:s v="0011-0184-0200649518"/>
    <x:n v="50"/>
  </x:r>
  <x:r>
    <x:d v="2026-06-04T00:00:00Z"/>
    <x:x v="0"/>
    <x:s v="98044"/>
    <x:s v="BO"/>
    <x:s v="11419"/>
    <x:s v="CO"/>
    <x:s v="BO-11419"/>
    <x:s v="SACHA NAVARRO GERARDO JUNIOR"/>
    <x:s v="47180662"/>
    <x:s v="CACERES PINTO ALVARO DANIEL"/>
    <x:s v="HOSPITAL INO"/>
    <x:s v="CRISTINA"/>
    <x:s v="0069825"/>
    <x:s v="958365826"/>
    <x:s v="SACHA NAVARRO GERARDO JUNIOR"/>
    <x:s v="86096"/>
    <x:x v="0"/>
    <x:n v="1"/>
    <x:s v="PRECISA"/>
    <x:s v="POR ASIGNAR"/>
    <x:s v="INSTITUTO MEDICO QUIRURGICO AREQUIPA S.A"/>
    <x:s v="L.CENTRO"/>
    <x:s v="LMAGAN"/>
    <x:n v="186.44"/>
    <x:s v="LN. EXAMENES"/>
    <x:s v="CIAS. DE SEGURO"/>
    <x:s v="CENTRO"/>
    <x:n v="966697811"/>
    <x:s v="0011-0184-0200649518"/>
    <x:n v="50"/>
  </x:r>
  <x:r>
    <x:d v="2026-06-04T00:00:00Z"/>
    <x:x v="0"/>
    <x:s v="98044"/>
    <x:s v="BO"/>
    <x:s v="11419"/>
    <x:s v="CO"/>
    <x:s v="BO-11419"/>
    <x:s v="SACHA NAVARRO GERARDO JUNIOR"/>
    <x:s v="47180662"/>
    <x:s v="CACERES PINTO ALVARO DANIEL"/>
    <x:s v="HOSPITAL INO"/>
    <x:s v="CRISTINA"/>
    <x:s v="0069825"/>
    <x:s v="958365826"/>
    <x:s v="SACHA NAVARRO GERARDO JUNIOR"/>
    <x:s v="86096"/>
    <x:x v="2"/>
    <x:n v="1"/>
    <x:s v="PRECISA"/>
    <x:s v="POR ASIGNAR"/>
    <x:s v="INSTITUTO MEDICO QUIRURGICO AREQUIPA S.A"/>
    <x:s v="L.CENTRO"/>
    <x:s v="LMAGAN"/>
    <x:n v="186.44"/>
    <x:s v="LN. EXAMENES"/>
    <x:s v="CIAS. DE SEGURO"/>
    <x:s v="CENTRO"/>
    <x:n v="966697811"/>
    <x:s v="0011-0184-0200649518"/>
    <x:n v="50"/>
  </x:r>
  <x:r>
    <x:d v="2026-06-04T00:00:00Z"/>
    <x:x v="0"/>
    <x:s v="98041"/>
    <x:s v="FA"/>
    <x:s v="1025"/>
    <x:s v="CO"/>
    <x:s v="FA-1025"/>
    <x:s v="NUÑEZ ALTIS ANTONIO SALOMON"/>
    <x:s v="09498424"/>
    <x:s v="VILLAR CURAHUA MARCELA ALEJANDRA"/>
    <x:s v="GAMARRA SALUD"/>
    <x:s v="CRISTINA"/>
    <x:s v="0069549"/>
    <x:s v="928076253"/>
    <x:s v="GAMARRA HEALTHCARE CENTER S.A.C."/>
    <x:s v="86093"/>
    <x:x v="7"/>
    <x:n v="1"/>
    <x:s v="PRECISA"/>
    <x:s v="POR ASIGNAR"/>
    <x:s v="INSTITUTO MEDICO QUIRURGICO AREQUIPA S.A"/>
    <x:s v="L.CENTRO"/>
    <x:s v="LMAGAN"/>
    <x:n v="152.54"/>
    <x:s v="LN. EXAMENES"/>
    <x:s v="CIAS. DE SEGURO"/>
    <x:s v="CENTRO"/>
    <x:n v="950133748"/>
    <x:s v="191-9953047026"/>
    <x:n v="30"/>
  </x:r>
  <x:r>
    <x:d v="2026-06-04T00:00:00Z"/>
    <x:x v="0"/>
    <x:s v="98041"/>
    <x:s v="FA"/>
    <x:s v="1025"/>
    <x:s v="CO"/>
    <x:s v="FA-1025"/>
    <x:s v="NUÑEZ ALTIS ANTONIO SALOMON"/>
    <x:s v="09498424"/>
    <x:s v="VILLAR CURAHUA MARCELA ALEJANDRA"/>
    <x:s v="GAMARRA SALUD"/>
    <x:s v="CRISTINA"/>
    <x:s v="0069549"/>
    <x:s v="928076253"/>
    <x:s v="GAMARRA HEALTHCARE CENTER S.A.C."/>
    <x:s v="86093"/>
    <x:x v="8"/>
    <x:n v="1"/>
    <x:s v="PRECISA"/>
    <x:s v="POR ASIGNAR"/>
    <x:s v="INSTITUTO MEDICO QUIRURGICO AREQUIPA S.A"/>
    <x:s v="L.CENTRO"/>
    <x:s v="LMAGAN"/>
    <x:n v="135.59"/>
    <x:s v="LN. EXAMENES"/>
    <x:s v="CIAS. DE SEGURO"/>
    <x:s v="CENTRO"/>
    <x:n v="950133748"/>
    <x:s v="191-9953047026"/>
    <x:n v="30"/>
  </x:r>
  <x:r>
    <x:d v="2026-06-04T00:00:00Z"/>
    <x:x v="0"/>
    <x:s v="98051"/>
    <x:s v="FA"/>
    <x:s v="524"/>
    <x:s v="CO"/>
    <x:s v="FA-524"/>
    <x:s v="GARCIA RICO ELVA JOSEFINA"/>
    <x:s v="16408791"/>
    <x:s v="VILLAR CURAHUA MARCELA ALEJANDRA"/>
    <x:s v="GAMARRA SALUD"/>
    <x:s v="CRISTINA"/>
    <x:s v="0067849"/>
    <x:s v="902449032"/>
    <x:s v="GAMARRA HEALTHCARE CENTER S.A.C."/>
    <x:s v="85864"/>
    <x:x v="9"/>
    <x:n v="1"/>
    <x:s v="PRECISA"/>
    <x:s v="POR ASIGNAR"/>
    <x:s v="INSTITUTO MEDICO QUIRURGICO AREQUIPA S.A"/>
    <x:s v="L.CENTRO"/>
    <x:s v="ACABRERA"/>
    <x:n v="0"/>
    <x:s v="LN. CIRUGIA"/>
    <x:s v="CIAS. DE SEGURO"/>
    <x:s v="CENTRO"/>
    <x:n v="950133748"/>
    <x:s v="191-9953047026"/>
    <x:m/>
  </x:r>
  <x:r>
    <x:d v="2026-06-04T00:00:00Z"/>
    <x:x v="0"/>
    <x:s v="98051"/>
    <x:s v="FA"/>
    <x:s v="524"/>
    <x:s v="CO"/>
    <x:s v="FA-524"/>
    <x:s v="GARCIA RICO ELVA JOSEFINA"/>
    <x:s v="16408791"/>
    <x:s v="VILLAR CURAHUA MARCELA ALEJANDRA"/>
    <x:s v="GAMARRA SALUD"/>
    <x:s v="CRISTINA"/>
    <x:s v="0067849"/>
    <x:s v="902449032"/>
    <x:s v="GAMARRA HEALTHCARE CENTER S.A.C."/>
    <x:s v="85864"/>
    <x:x v="10"/>
    <x:n v="1"/>
    <x:s v="PRECISA"/>
    <x:s v="POR ASIGNAR"/>
    <x:s v="INSTITUTO MEDICO QUIRURGICO AREQUIPA S.A"/>
    <x:s v="L.CENTRO"/>
    <x:s v="ACABRERA"/>
    <x:n v="1050.85"/>
    <x:s v="LN. CIRUGIA"/>
    <x:s v="CIAS. DE SEGURO"/>
    <x:s v="CENTRO"/>
    <x:n v="950133748"/>
    <x:s v="191-9953047026"/>
    <x:m/>
  </x:r>
  <x:r>
    <x:d v="2026-06-04T00:00:00Z"/>
    <x:x v="0"/>
    <x:s v="98052"/>
    <x:s v="FA"/>
    <x:s v="525"/>
    <x:s v="CO"/>
    <x:s v="FA-525"/>
    <x:s v="NUÑEZ ALTIS ANTONIO SALOMON"/>
    <x:s v="09498424"/>
    <x:s v="VILLAR CURAHUA MARCELA ALEJANDRA"/>
    <x:s v="GAMARRA SALUD"/>
    <x:s v="CRISTINA"/>
    <x:s v="0069549"/>
    <x:s v="928076253"/>
    <x:s v="GAMARRA HEALTHCARE CENTER S.A.C."/>
    <x:s v="85863"/>
    <x:x v="9"/>
    <x:n v="1"/>
    <x:s v="PRECISA"/>
    <x:s v="POR ASIGNAR"/>
    <x:s v="INSTITUTO MEDICO QUIRURGICO AREQUIPA S.A"/>
    <x:s v="L.CENTRO"/>
    <x:s v="ACABRERA"/>
    <x:n v="0"/>
    <x:s v="LN. CIRUGIA"/>
    <x:s v="CIAS. DE SEGURO"/>
    <x:s v="CENTRO"/>
    <x:n v="950133748"/>
    <x:s v="191-9953047026"/>
    <x:m/>
  </x:r>
  <x:r>
    <x:d v="2026-06-04T00:00:00Z"/>
    <x:x v="0"/>
    <x:s v="98052"/>
    <x:s v="FA"/>
    <x:s v="525"/>
    <x:s v="CO"/>
    <x:s v="FA-525"/>
    <x:s v="NUÑEZ ALTIS ANTONIO SALOMON"/>
    <x:s v="09498424"/>
    <x:s v="VILLAR CURAHUA MARCELA ALEJANDRA"/>
    <x:s v="GAMARRA SALUD"/>
    <x:s v="CRISTINA"/>
    <x:s v="0069549"/>
    <x:s v="928076253"/>
    <x:s v="GAMARRA HEALTHCARE CENTER S.A.C."/>
    <x:s v="85863"/>
    <x:x v="10"/>
    <x:n v="1"/>
    <x:s v="PRECISA"/>
    <x:s v="POR ASIGNAR"/>
    <x:s v="INSTITUTO MEDICO QUIRURGICO AREQUIPA S.A"/>
    <x:s v="L.CENTRO"/>
    <x:s v="ACABRERA"/>
    <x:n v="1050.85"/>
    <x:s v="LN. CIRUGIA"/>
    <x:s v="CIAS. DE SEGURO"/>
    <x:s v="CENTRO"/>
    <x:n v="950133748"/>
    <x:s v="191-9953047026"/>
    <x:m/>
  </x:r>
  <x:r>
    <x:d v="2026-06-04T00:00:00Z"/>
    <x:x v="0"/>
    <x:s v="98035"/>
    <x:s v="BO"/>
    <x:s v="4221"/>
    <x:s v="CO"/>
    <x:s v="BO-4221"/>
    <x:s v="PEÑA GARCIA BENIGNO OSCAR"/>
    <x:s v="48945300"/>
    <x:s v="RUIZ ROJAS PAUBLO ENRIQUE"/>
    <x:s v="CONSULTORIO CUBANO COMAS"/>
    <x:s v="CRISTINA"/>
    <x:s v="0069818"/>
    <x:s v="922009271"/>
    <x:s v="PEÑA GARCIA BENIGNO OSCAR"/>
    <x:s v="86086"/>
    <x:x v="0"/>
    <x:n v="1"/>
    <x:s v="PRECISA LN"/>
    <x:s v="POR ASIGNAR"/>
    <x:s v="INSTITUTO MEDICO QUIRURGICO AREQUIPA S.A"/>
    <x:s v="L.NORTE"/>
    <x:s v="AALARCON"/>
    <x:n v="186.44"/>
    <x:s v="LN. EXAMENES"/>
    <x:s v="CIAS. DE SEGURO"/>
    <x:s v="NORTE"/>
    <x:n v="992903716"/>
    <x:s v="191-91415089071"/>
    <x:n v="50"/>
  </x:r>
  <x:r>
    <x:d v="2026-06-04T00:00:00Z"/>
    <x:x v="0"/>
    <x:s v="98035"/>
    <x:s v="BO"/>
    <x:s v="4221"/>
    <x:s v="CO"/>
    <x:s v="BO-4221"/>
    <x:s v="PEÑA GARCIA BENIGNO OSCAR"/>
    <x:s v="48945300"/>
    <x:s v="RUIZ ROJAS PAUBLO ENRIQUE"/>
    <x:s v="CONSULTORIO CUBANO COMAS"/>
    <x:s v="CRISTINA"/>
    <x:s v="0069818"/>
    <x:s v="922009271"/>
    <x:s v="PEÑA GARCIA BENIGNO OSCAR"/>
    <x:s v="86086"/>
    <x:x v="2"/>
    <x:n v="1"/>
    <x:s v="PRECISA LN"/>
    <x:s v="POR ASIGNAR"/>
    <x:s v="INSTITUTO MEDICO QUIRURGICO AREQUIPA S.A"/>
    <x:s v="L.NORTE"/>
    <x:s v="AALARCON"/>
    <x:n v="186.44"/>
    <x:s v="LN. EXAMENES"/>
    <x:s v="CIAS. DE SEGURO"/>
    <x:s v="NORTE"/>
    <x:n v="992903716"/>
    <x:s v="191-91415089071"/>
    <x:n v="50"/>
  </x:r>
  <x:r>
    <x:d v="2026-06-05T00:00:00Z"/>
    <x:x v="0"/>
    <x:s v="98106"/>
    <x:s v="BO"/>
    <x:s v="5526"/>
    <x:s v="CO"/>
    <x:s v="BO-5526"/>
    <x:s v="VALERA BAZAN LAURA PIERI"/>
    <x:s v="08013693"/>
    <x:s v="CASTRO TAMANAJA VANIA VIVIAN"/>
    <x:s v="HOSPITAL 2 DE MAYO"/>
    <x:s v="CRISTINA"/>
    <x:s v="0056253"/>
    <x:s v="4715484"/>
    <x:s v="VALERA BAZAN LAURA PIERI"/>
    <x:s v="86151"/>
    <x:x v="2"/>
    <x:n v="1"/>
    <x:s v="PRECISA"/>
    <x:s v="POR ASIGNAR"/>
    <x:s v="INSTITUTO MEDICO QUIRURGICO AREQUIPA S.A"/>
    <x:s v="L.CENTRO"/>
    <x:s v="ACABRERA"/>
    <x:n v="186.44"/>
    <x:s v="LN. EXAMENES"/>
    <x:s v="CIAS. DE SEGURO"/>
    <x:s v="CENTRO"/>
    <x:n v="986661693"/>
    <x:s v="0011-0354-0200096288"/>
    <x:n v="50"/>
  </x:r>
  <x:r>
    <x:d v="2026-06-05T00:00:00Z"/>
    <x:x v="0"/>
    <x:s v="2353"/>
    <x:s v="NC"/>
    <x:s v="5527"/>
    <x:s v="CR"/>
    <x:s v="NC-5527"/>
    <x:s v="BRAVO QUISPE VDA DE ANDIA ANGELICA RITA"/>
    <x:s v="07412423"/>
    <x:s v="FERNANDEZ GUTIERREZ OLGA PATRICIA"/>
    <x:s v="CONSULTORIO PARTICULAR"/>
    <x:s v="CR"/>
    <x:s v="0069850"/>
    <x:s v="979750580"/>
    <x:s v="BRAVO QUISPE VDA DE ANDIA ANGELICA RITA"/>
    <x:s v="86154"/>
    <x:x v="11"/>
    <x:n v="2"/>
    <x:s v="PRECISA"/>
    <x:s v="POR ASIGNAR"/>
    <x:s v="INSTITUTO MEDICO QUIRURGICO AREQUIPA S.A"/>
    <x:s v="L.CENTRO"/>
    <x:s v="ACABRERA"/>
    <x:n v="-203.39"/>
    <x:s v="LN. PROCEDIMIENTO"/>
    <x:s v="CIAS. DE SEGURO"/>
    <x:s v="CENTRO"/>
    <x:n v="982536223"/>
    <x:s v="107-3174605363"/>
    <x:m/>
  </x:r>
  <x:r>
    <x:d v="2026-06-05T00:00:00Z"/>
    <x:x v="0"/>
    <x:s v="98110"/>
    <x:s v="FA"/>
    <x:s v="527"/>
    <x:s v="CO"/>
    <x:s v="FA-527"/>
    <x:s v="BRAVO QUISPE VDA DE ANDIA ANGELICA RITA"/>
    <x:s v="07412423"/>
    <x:s v="FERNANDEZ GUTIERREZ OLGA PATRICIA"/>
    <x:s v="CONSULTORIO PARTICULAR"/>
    <x:s v="CRISTINA"/>
    <x:s v="0069850"/>
    <x:s v="979750580"/>
    <x:s v="VEFER OFTALMOLOGOS S.A.C."/>
    <x:s v="86155"/>
    <x:x v="11"/>
    <x:n v="2"/>
    <x:s v="PRECISA"/>
    <x:s v="POR ASIGNAR"/>
    <x:s v="INSTITUTO MEDICO QUIRURGICO AREQUIPA S.A"/>
    <x:s v="L.CENTRO"/>
    <x:s v="ACABRERA"/>
    <x:n v="203.39"/>
    <x:s v="LN. PROCEDIMIENTO"/>
    <x:s v="CIAS. DE SEGURO"/>
    <x:s v="CENTRO"/>
    <x:n v="982536223"/>
    <x:s v="107-3174605363"/>
    <x:m/>
  </x:r>
  <x:r>
    <x:d v="2026-06-05T00:00:00Z"/>
    <x:x v="0"/>
    <x:s v="2353"/>
    <x:s v="BO"/>
    <x:s v="5527"/>
    <x:s v="CR"/>
    <x:s v="BO-5527"/>
    <x:s v="BRAVO QUISPE VDA DE ANDIA ANGELICA RITA"/>
    <x:s v="07412423"/>
    <x:s v="FERNANDEZ GUTIERREZ OLGA PATRICIA"/>
    <x:s v="CONSULTORIO PARTICULAR"/>
    <x:s v="CR"/>
    <x:s v="0069850"/>
    <x:s v="979750580"/>
    <x:s v="BRAVO QUISPE VDA DE ANDIA ANGELICA RITA"/>
    <x:s v="86154"/>
    <x:x v="11"/>
    <x:n v="2"/>
    <x:s v="PRECISA"/>
    <x:s v="POR ASIGNAR"/>
    <x:s v="INSTITUTO MEDICO QUIRURGICO AREQUIPA S.A"/>
    <x:s v="L.CENTRO"/>
    <x:s v="ACABRERA"/>
    <x:n v="203.39"/>
    <x:s v="LN. PROCEDIMIENTO"/>
    <x:s v="CIAS. DE SEGURO"/>
    <x:s v="CENTRO"/>
    <x:n v="982536223"/>
    <x:s v="107-3174605363"/>
    <x:m/>
  </x:r>
  <x:r>
    <x:d v="2026-06-05T00:00:00Z"/>
    <x:x v="0"/>
    <x:s v="98108"/>
    <x:s v="FA"/>
    <x:s v="526"/>
    <x:s v="CO"/>
    <x:s v="FA-526"/>
    <x:s v="ABAD OVALLE ARLINE MERCEDES"/>
    <x:s v="25532349"/>
    <x:m/>
    <x:m/>
    <x:s v="CRISTINA"/>
    <x:s v="0069694"/>
    <x:s v="999999452"/>
    <x:s v="VEFER OFTALMOLOGOS S.A.C."/>
    <x:s v="86152"/>
    <x:x v="11"/>
    <x:n v="2"/>
    <x:s v="PRECISA"/>
    <x:s v="POR ASIGNAR"/>
    <x:s v="INSTITUTO MEDICO QUIRURGICO AREQUIPA S.A"/>
    <x:s v="L.CENTRO"/>
    <x:s v="ACABRERA"/>
    <x:n v="203.39"/>
    <x:s v="LN. PROCEDIMIENTO"/>
    <x:s v="CIAS. DE SEGURO"/>
    <x:s v="CENTRO"/>
    <x:m/>
    <x:m/>
    <x:m/>
  </x:r>
  <x:r>
    <x:d v="2026-06-06T00:00:00Z"/>
    <x:x v="0"/>
    <x:s v="98152"/>
    <x:s v="BO"/>
    <x:s v="4244"/>
    <x:s v="CO"/>
    <x:s v="BO-4244"/>
    <x:s v="OLIVO CASTRO JULIA GLADYS"/>
    <x:s v="15292242"/>
    <x:s v="RUIZ ROJAS PAUBLO ENRIQUE"/>
    <x:s v="CONSULTORIO CUBANO COMAS"/>
    <x:s v="CRISTINA"/>
    <x:s v="0069884"/>
    <x:s v="952190646"/>
    <x:s v="OLIVO CASTRO JULIA GLADYS"/>
    <x:s v="86190"/>
    <x:x v="0"/>
    <x:n v="1"/>
    <x:s v="PRECISA LN"/>
    <x:s v="POR ASIGNAR"/>
    <x:s v="INSTITUTO MEDICO QUIRURGICO AREQUIPA S.A"/>
    <x:s v="L.NORTE"/>
    <x:s v="AALARCON"/>
    <x:n v="186.44"/>
    <x:s v="LN. EXAMENES"/>
    <x:s v="CIAS. DE SEGURO"/>
    <x:s v="NORTE"/>
    <x:n v="992903716"/>
    <x:s v="191-91415089071"/>
    <x:n v="50"/>
  </x:r>
  <x:r>
    <x:d v="2026-06-06T00:00:00Z"/>
    <x:x v="0"/>
    <x:s v="98151"/>
    <x:s v="BO"/>
    <x:s v="11423"/>
    <x:s v="CO"/>
    <x:s v="BO-11423"/>
    <x:s v="PACACHA FLORES BLANCA VALESKA"/>
    <x:s v="91733805"/>
    <x:s v="CRISPIN MORALES NANCY JENNY"/>
    <x:s v="HOSPITAL ALMENARA"/>
    <x:s v="CRISTINA"/>
    <x:s v="0069883"/>
    <x:s v="970593962"/>
    <x:s v="PACACHA FLORES BLANCA VALESKA"/>
    <x:s v="86188"/>
    <x:x v="12"/>
    <x:n v="1"/>
    <x:s v="PRECISA"/>
    <x:s v="POR ASIGNAR"/>
    <x:s v="INSTITUTO MEDICO QUIRURGICO AREQUIPA S.A"/>
    <x:s v="L.CENTRO"/>
    <x:s v="LMAGAN"/>
    <x:n v="152.54"/>
    <x:s v="LN. EXAMENES"/>
    <x:s v="CIAS. DE SEGURO"/>
    <x:s v="CENTRO"/>
    <x:n v="978789268"/>
    <x:s v="193-90416675072"/>
    <x:n v="30"/>
  </x:r>
  <x:r>
    <x:d v="2026-06-06T00:00:00Z"/>
    <x:x v="0"/>
    <x:s v="98176"/>
    <x:s v="BO"/>
    <x:s v="11428"/>
    <x:s v="CO"/>
    <x:s v="BO-11428"/>
    <x:s v="REYES SANCHEZ OLGA EULALIA"/>
    <x:s v="09330262"/>
    <x:s v="LLERENA MORALES OSCAR ADOLFO"/>
    <x:s v="SANNA SAN MIGUEL"/>
    <x:s v="CRISTINA"/>
    <x:s v="0069894"/>
    <x:s v="947513770"/>
    <x:s v="REYES SANCHEZ OLGA EULALIA"/>
    <x:s v="86218"/>
    <x:x v="4"/>
    <x:n v="1"/>
    <x:s v="PRECISA"/>
    <x:s v="POR ASIGNAR"/>
    <x:s v="INSTITUTO MEDICO QUIRURGICO AREQUIPA S.A"/>
    <x:s v="L.CENTRO"/>
    <x:s v="LMAGAN"/>
    <x:n v="135.59"/>
    <x:s v="LN. EXAMENES"/>
    <x:s v="CIAS. DE SEGURO"/>
    <x:s v="CENTRO"/>
    <x:n v="987552890"/>
    <x:s v="098-7304409"/>
    <x:n v="30"/>
  </x:r>
  <x:r>
    <x:d v="2026-06-06T00:00:00Z"/>
    <x:x v="0"/>
    <x:s v="98176"/>
    <x:s v="BO"/>
    <x:s v="11428"/>
    <x:s v="CO"/>
    <x:s v="BO-11428"/>
    <x:s v="REYES SANCHEZ OLGA EULALIA"/>
    <x:s v="09330262"/>
    <x:s v="LLERENA MORALES OSCAR ADOLFO"/>
    <x:s v="SANNA SAN MIGUEL"/>
    <x:s v="CRISTINA"/>
    <x:s v="0069894"/>
    <x:s v="947513770"/>
    <x:s v="REYES SANCHEZ OLGA EULALIA"/>
    <x:s v="86218"/>
    <x:x v="5"/>
    <x:n v="1"/>
    <x:s v="PRECISA"/>
    <x:s v="POR ASIGNAR"/>
    <x:s v="INSTITUTO MEDICO QUIRURGICO AREQUIPA S.A"/>
    <x:s v="L.CENTRO"/>
    <x:s v="LMAGAN"/>
    <x:n v="152.54"/>
    <x:s v="LN. EXAMENES"/>
    <x:s v="CIAS. DE SEGURO"/>
    <x:s v="CENTRO"/>
    <x:n v="987552890"/>
    <x:s v="098-7304409"/>
    <x:n v="30"/>
  </x:r>
  <x:r>
    <x:d v="2026-06-06T00:00:00Z"/>
    <x:x v="0"/>
    <x:s v="98176"/>
    <x:s v="BO"/>
    <x:s v="11428"/>
    <x:s v="CO"/>
    <x:s v="BO-11428"/>
    <x:s v="REYES SANCHEZ OLGA EULALIA"/>
    <x:s v="09330262"/>
    <x:s v="LLERENA MORALES OSCAR ADOLFO"/>
    <x:s v="SANNA SAN MIGUEL"/>
    <x:s v="CRISTINA"/>
    <x:s v="0069894"/>
    <x:s v="947513770"/>
    <x:s v="REYES SANCHEZ OLGA EULALIA"/>
    <x:s v="86218"/>
    <x:x v="2"/>
    <x:n v="1"/>
    <x:s v="PRECISA"/>
    <x:s v="POR ASIGNAR"/>
    <x:s v="INSTITUTO MEDICO QUIRURGICO AREQUIPA S.A"/>
    <x:s v="L.CENTRO"/>
    <x:s v="LMAGAN"/>
    <x:n v="186.44"/>
    <x:s v="LN. EXAMENES"/>
    <x:s v="CIAS. DE SEGURO"/>
    <x:s v="CENTRO"/>
    <x:n v="987552890"/>
    <x:s v="098-7304409"/>
    <x:n v="50"/>
  </x:r>
  <x:r>
    <x:d v="2026-06-06T00:00:00Z"/>
    <x:x v="0"/>
    <x:s v="98167"/>
    <x:s v="BO"/>
    <x:s v="4250"/>
    <x:s v="CO"/>
    <x:s v="BO-4250"/>
    <x:s v="RONCAL ROMERO FANNYNG EDITH"/>
    <x:s v="44905743"/>
    <x:s v="ROJAS AQUINO EVELING KARINA"/>
    <x:s v="POLICLÍNICO ESPÍRITU SANTO"/>
    <x:s v="CRISTINA"/>
    <x:s v="0069844"/>
    <x:s v="984441413"/>
    <x:s v="RONCAL ROMERO FANNYNG EDITH"/>
    <x:s v="86210"/>
    <x:x v="2"/>
    <x:n v="1"/>
    <x:s v="PRECISA LN"/>
    <x:s v="POR ASIGNAR"/>
    <x:s v="INSTITUTO MEDICO QUIRURGICO AREQUIPA S.A"/>
    <x:s v="L.NORTE"/>
    <x:s v="AALARCON"/>
    <x:n v="186.44"/>
    <x:s v="LN. EXAMENES"/>
    <x:s v="CIAS. DE SEGURO"/>
    <x:s v="NORTE"/>
    <x:n v="955356636"/>
    <x:s v="009-3226956615"/>
    <x:n v="50"/>
  </x:r>
  <x:r>
    <x:d v="2026-06-09T00:00:00Z"/>
    <x:x v="0"/>
    <x:s v="98452"/>
    <x:s v="FA"/>
    <x:s v="532"/>
    <x:s v="CO"/>
    <x:s v="FA-532"/>
    <x:s v="BENITES RAMOS ANTENOR HERMAN"/>
    <x:s v="07187063"/>
    <x:s v="VILLAR CURAHUA MARCELA ALEJANDRA"/>
    <x:s v="GAMARRA SALUD"/>
    <x:s v="CRISTINA"/>
    <x:s v="0069415"/>
    <x:s v="943410784"/>
    <x:s v="GAMARRA HEALTHCARE CENTER S.A.C."/>
    <x:s v="86345"/>
    <x:x v="9"/>
    <x:n v="1"/>
    <x:s v="PRECISA"/>
    <x:s v="POR ASIGNAR"/>
    <x:s v="INSTITUTO MEDICO QUIRURGICO AREQUIPA S.A"/>
    <x:s v="L.CENTRO"/>
    <x:s v="ACABRERA"/>
    <x:n v="0"/>
    <x:s v="LN. CIRUGIA"/>
    <x:s v="CIAS. DE SEGURO"/>
    <x:s v="CENTRO"/>
    <x:n v="950133748"/>
    <x:s v="191-9953047026"/>
    <x:m/>
  </x:r>
  <x:r>
    <x:d v="2026-06-09T00:00:00Z"/>
    <x:x v="0"/>
    <x:s v="98452"/>
    <x:s v="FA"/>
    <x:s v="532"/>
    <x:s v="CO"/>
    <x:s v="FA-532"/>
    <x:s v="BENITES RAMOS ANTENOR HERMAN"/>
    <x:s v="07187063"/>
    <x:s v="VILLAR CURAHUA MARCELA ALEJANDRA"/>
    <x:s v="GAMARRA SALUD"/>
    <x:s v="CRISTINA"/>
    <x:s v="0069415"/>
    <x:s v="943410784"/>
    <x:s v="GAMARRA HEALTHCARE CENTER S.A.C."/>
    <x:s v="86345"/>
    <x:x v="10"/>
    <x:n v="1"/>
    <x:s v="PRECISA"/>
    <x:s v="POR ASIGNAR"/>
    <x:s v="INSTITUTO MEDICO QUIRURGICO AREQUIPA S.A"/>
    <x:s v="L.CENTRO"/>
    <x:s v="ACABRERA"/>
    <x:n v="1050.85"/>
    <x:s v="LN. CIRUGIA"/>
    <x:s v="CIAS. DE SEGURO"/>
    <x:s v="CENTRO"/>
    <x:n v="950133748"/>
    <x:s v="191-9953047026"/>
    <x:m/>
  </x:r>
  <x:r>
    <x:d v="2026-06-09T00:00:00Z"/>
    <x:x v="0"/>
    <x:s v="98463"/>
    <x:s v="FA"/>
    <x:s v="533"/>
    <x:s v="CO"/>
    <x:s v="FA-533"/>
    <x:s v="MAMANI SONCCO JUAN GREGORIO"/>
    <x:s v="07314057"/>
    <x:s v="VILLAR CURAHUA MARCELA ALEJANDRA"/>
    <x:s v="GAMARRA SALUD"/>
    <x:s v="CRISTINA"/>
    <x:s v="0069158"/>
    <x:s v="987411587"/>
    <x:s v="GAMARRA HEALTHCARE CENTER S.A.C."/>
    <x:s v="86342"/>
    <x:x v="9"/>
    <x:n v="1"/>
    <x:s v="PRECISA"/>
    <x:s v="POR ASIGNAR"/>
    <x:s v="INSTITUTO MEDICO QUIRURGICO AREQUIPA S.A"/>
    <x:s v="L.CENTRO"/>
    <x:s v="ACABRERA"/>
    <x:n v="0"/>
    <x:s v="LN. CIRUGIA"/>
    <x:s v="CIAS. DE SEGURO"/>
    <x:s v="CENTRO"/>
    <x:n v="950133748"/>
    <x:s v="191-9953047026"/>
    <x:m/>
  </x:r>
  <x:r>
    <x:d v="2026-06-09T00:00:00Z"/>
    <x:x v="0"/>
    <x:s v="98463"/>
    <x:s v="FA"/>
    <x:s v="533"/>
    <x:s v="CO"/>
    <x:s v="FA-533"/>
    <x:s v="MAMANI SONCCO JUAN GREGORIO"/>
    <x:s v="07314057"/>
    <x:s v="VILLAR CURAHUA MARCELA ALEJANDRA"/>
    <x:s v="GAMARRA SALUD"/>
    <x:s v="CRISTINA"/>
    <x:s v="0069158"/>
    <x:s v="987411587"/>
    <x:s v="GAMARRA HEALTHCARE CENTER S.A.C."/>
    <x:s v="86342"/>
    <x:x v="10"/>
    <x:n v="1"/>
    <x:s v="PRECISA"/>
    <x:s v="POR ASIGNAR"/>
    <x:s v="INSTITUTO MEDICO QUIRURGICO AREQUIPA S.A"/>
    <x:s v="L.CENTRO"/>
    <x:s v="ACABRERA"/>
    <x:n v="1050.85"/>
    <x:s v="LN. CIRUGIA"/>
    <x:s v="CIAS. DE SEGURO"/>
    <x:s v="CENTRO"/>
    <x:n v="950133748"/>
    <x:s v="191-9953047026"/>
    <x:m/>
  </x:r>
  <x:r>
    <x:d v="2026-06-09T00:00:00Z"/>
    <x:x v="0"/>
    <x:s v="98440"/>
    <x:s v="FA"/>
    <x:s v="1028"/>
    <x:s v="CO"/>
    <x:s v="FA-1028"/>
    <x:s v="MATEO EYZAGUIRRE MARCO IVART"/>
    <x:s v="74312316"/>
    <x:s v="ACOSTA VIERA ALVARO"/>
    <x:s v="CONSULTORIO PARTICULAR"/>
    <x:s v="CRISTINA"/>
    <x:s v="0069588"/>
    <x:s v="921508096"/>
    <x:s v="CENTRO CONTRA LA CEGUERA E.I.R.L."/>
    <x:s v="86415"/>
    <x:x v="13"/>
    <x:n v="1"/>
    <x:s v="PRECISA"/>
    <x:s v="POR ASIGNAR"/>
    <x:s v="INSTITUTO MEDICO QUIRURGICO AREQUIPA S.A"/>
    <x:s v="L.CENTRO"/>
    <x:s v="LMAGAN"/>
    <x:n v="169.49"/>
    <x:s v="LN. PROCEDIMIENTO"/>
    <x:s v="CIAS. DE SEGURO"/>
    <x:s v="CENTRO"/>
    <x:n v="969791876"/>
    <x:s v="0011-0814-0256063048"/>
    <x:m/>
  </x:r>
  <x:r>
    <x:d v="2026-06-09T00:00:00Z"/>
    <x:x v="0"/>
    <x:s v="98393"/>
    <x:s v="BO"/>
    <x:s v="5552"/>
    <x:s v="CO"/>
    <x:s v="BO-5552"/>
    <x:s v="LAZARO CACHA JUAN CRISOSTOMO"/>
    <x:s v="31633639"/>
    <x:s v="FIERRO LEANDRO"/>
    <x:s v="POLICLÍNICO DIVINO NIÑO JESÚS"/>
    <x:s v="CRISTINA"/>
    <x:s v="0069870"/>
    <x:s v="928408508"/>
    <x:s v="LAZARO CACHA JUAN CRISOSTOMO"/>
    <x:s v="86371"/>
    <x:x v="14"/>
    <x:n v="1"/>
    <x:s v="PRECISA"/>
    <x:s v="POR ASIGNAR"/>
    <x:s v="INSTITUTO MEDICO QUIRURGICO AREQUIPA S.A"/>
    <x:s v="L.CENTRO"/>
    <x:s v="ACABRERA"/>
    <x:n v="84.75"/>
    <x:s v="LN. EXAMENES"/>
    <x:s v="CIAS. DE SEGURO"/>
    <x:s v="CENTRO"/>
    <x:m/>
    <x:m/>
    <x:m/>
  </x:r>
  <x:r>
    <x:d v="2026-06-09T00:00:00Z"/>
    <x:x v="0"/>
    <x:s v="98395"/>
    <x:s v="BO"/>
    <x:s v="11467"/>
    <x:s v="CO"/>
    <x:s v="BO-11467"/>
    <x:s v="MENDOZA REYES BRIGIDA"/>
    <x:s v="08831402"/>
    <x:s v="FIERRO LEANDRO"/>
    <x:s v="POLICLÍNICO DIVINO NIÑO JESÚS"/>
    <x:s v="CRISTINA"/>
    <x:s v="0069872"/>
    <x:s v="941194643"/>
    <x:s v="MENDOZA REYES BRIGIDA"/>
    <x:s v="86373"/>
    <x:x v="14"/>
    <x:n v="1"/>
    <x:s v="PRECISA"/>
    <x:s v="POR ASIGNAR"/>
    <x:s v="INSTITUTO MEDICO QUIRURGICO AREQUIPA S.A"/>
    <x:s v="L.CENTRO"/>
    <x:s v="LMAGAN"/>
    <x:n v="84.75"/>
    <x:s v="LN. EXAMENES"/>
    <x:s v="CIAS. DE SEGURO"/>
    <x:s v="CENTRO"/>
    <x:m/>
    <x:m/>
    <x:m/>
  </x:r>
  <x:r>
    <x:d v="2026-06-09T00:00:00Z"/>
    <x:x v="0"/>
    <x:s v="98399"/>
    <x:s v="BO"/>
    <x:s v="5555"/>
    <x:s v="CO"/>
    <x:s v="BO-5555"/>
    <x:s v="TINOCO OBREGON LUIS ALBERTO"/>
    <x:s v="15859654"/>
    <x:s v="FIERRO LEANDRO"/>
    <x:s v="POLICLÍNICO DIVINO NIÑO JESÚS"/>
    <x:s v="CRISTINA"/>
    <x:s v="0069871"/>
    <x:s v="997639449"/>
    <x:s v="TINOCO OBREGON LUIS ALBERTO"/>
    <x:s v="86378"/>
    <x:x v="14"/>
    <x:n v="1"/>
    <x:s v="PRECISA"/>
    <x:s v="POR ASIGNAR"/>
    <x:s v="INSTITUTO MEDICO QUIRURGICO AREQUIPA S.A"/>
    <x:s v="L.CENTRO"/>
    <x:s v="ACABRERA"/>
    <x:n v="84.75"/>
    <x:s v="LN. EXAMENES"/>
    <x:s v="CIAS. DE SEGURO"/>
    <x:s v="CENTRO"/>
    <x:m/>
    <x:m/>
    <x:m/>
  </x:r>
  <x:r>
    <x:d v="2026-06-09T00:00:00Z"/>
    <x:x v="0"/>
    <x:s v="98449"/>
    <x:s v="FA"/>
    <x:s v="530"/>
    <x:s v="CO"/>
    <x:s v="FA-530"/>
    <x:s v="LAZARO CACHA JUAN CRISOSTOMO"/>
    <x:s v="31633639"/>
    <x:s v="FIERRO LEANDRO"/>
    <x:s v="POLICLÍNICO DIVINO NIÑO JESÚS"/>
    <x:s v="CRISTINA"/>
    <x:s v="0069870"/>
    <x:s v="928408508"/>
    <x:s v="GRUPO MEDICO INTEGRAL SOCIEDAD ANONIMA CERRADA"/>
    <x:s v="86384"/>
    <x:x v="9"/>
    <x:n v="1"/>
    <x:s v="PRECISA"/>
    <x:s v="POR ASIGNAR"/>
    <x:s v="INSTITUTO MEDICO QUIRURGICO AREQUIPA S.A"/>
    <x:s v="L.CENTRO"/>
    <x:s v="ACABRERA"/>
    <x:n v="0"/>
    <x:s v="LN. CIRUGIA"/>
    <x:s v="CIAS. DE SEGURO"/>
    <x:s v="CENTRO"/>
    <x:m/>
    <x:m/>
    <x:m/>
  </x:r>
  <x:r>
    <x:d v="2026-06-09T00:00:00Z"/>
    <x:x v="0"/>
    <x:s v="98449"/>
    <x:s v="FA"/>
    <x:s v="530"/>
    <x:s v="CO"/>
    <x:s v="FA-530"/>
    <x:s v="LAZARO CACHA JUAN CRISOSTOMO"/>
    <x:s v="31633639"/>
    <x:s v="FIERRO LEANDRO"/>
    <x:s v="POLICLÍNICO DIVINO NIÑO JESÚS"/>
    <x:s v="CRISTINA"/>
    <x:s v="0069870"/>
    <x:s v="928408508"/>
    <x:s v="GRUPO MEDICO INTEGRAL SOCIEDAD ANONIMA CERRADA"/>
    <x:s v="86384"/>
    <x:x v="10"/>
    <x:n v="1"/>
    <x:s v="PRECISA"/>
    <x:s v="POR ASIGNAR"/>
    <x:s v="INSTITUTO MEDICO QUIRURGICO AREQUIPA S.A"/>
    <x:s v="L.CENTRO"/>
    <x:s v="ACABRERA"/>
    <x:n v="1525.42"/>
    <x:s v="LN. CIRUGIA"/>
    <x:s v="CIAS. DE SEGURO"/>
    <x:s v="CENTRO"/>
    <x:m/>
    <x:m/>
    <x:m/>
  </x:r>
  <x:r>
    <x:d v="2026-06-09T00:00:00Z"/>
    <x:x v="0"/>
    <x:s v="98450"/>
    <x:s v="FA"/>
    <x:s v="531"/>
    <x:s v="CO"/>
    <x:s v="FA-531"/>
    <x:s v="TINOCO OBREGON LUIS ALBERTO"/>
    <x:s v="15859654"/>
    <x:s v="FIERRO LEANDRO"/>
    <x:s v="POLICLÍNICO DIVINO NIÑO JESÚS"/>
    <x:s v="CRISTINA"/>
    <x:s v="0069871"/>
    <x:s v="997639449"/>
    <x:s v="GRUPO MEDICO INTEGRAL SOCIEDAD ANONIMA CERRADA"/>
    <x:s v="86385"/>
    <x:x v="9"/>
    <x:n v="1"/>
    <x:s v="PRECISA"/>
    <x:s v="POR ASIGNAR"/>
    <x:s v="INSTITUTO MEDICO QUIRURGICO AREQUIPA S.A"/>
    <x:s v="L.CENTRO"/>
    <x:s v="ACABRERA"/>
    <x:n v="0"/>
    <x:s v="LN. CIRUGIA"/>
    <x:s v="CIAS. DE SEGURO"/>
    <x:s v="CENTRO"/>
    <x:m/>
    <x:m/>
    <x:m/>
  </x:r>
  <x:r>
    <x:d v="2026-06-09T00:00:00Z"/>
    <x:x v="0"/>
    <x:s v="98450"/>
    <x:s v="FA"/>
    <x:s v="531"/>
    <x:s v="CO"/>
    <x:s v="FA-531"/>
    <x:s v="TINOCO OBREGON LUIS ALBERTO"/>
    <x:s v="15859654"/>
    <x:s v="FIERRO LEANDRO"/>
    <x:s v="POLICLÍNICO DIVINO NIÑO JESÚS"/>
    <x:s v="CRISTINA"/>
    <x:s v="0069871"/>
    <x:s v="997639449"/>
    <x:s v="GRUPO MEDICO INTEGRAL SOCIEDAD ANONIMA CERRADA"/>
    <x:s v="86385"/>
    <x:x v="10"/>
    <x:n v="1"/>
    <x:s v="PRECISA"/>
    <x:s v="POR ASIGNAR"/>
    <x:s v="INSTITUTO MEDICO QUIRURGICO AREQUIPA S.A"/>
    <x:s v="L.CENTRO"/>
    <x:s v="ACABRERA"/>
    <x:n v="1525.42"/>
    <x:s v="LN. CIRUGIA"/>
    <x:s v="CIAS. DE SEGURO"/>
    <x:s v="CENTRO"/>
    <x:m/>
    <x:m/>
    <x:m/>
  </x:r>
  <x:r>
    <x:d v="2026-06-09T00:00:00Z"/>
    <x:x v="0"/>
    <x:s v="98476"/>
    <x:s v="FA"/>
    <x:s v="1029"/>
    <x:s v="CO"/>
    <x:s v="FA-1029"/>
    <x:s v="MENDOZA REYES BRIGIDA"/>
    <x:s v="08831402"/>
    <x:s v="FIERRO LEANDRO"/>
    <x:s v="POLICLÍNICO DIVINO NIÑO JESÚS"/>
    <x:s v="CRISTINA"/>
    <x:s v="0069872"/>
    <x:s v="941194643"/>
    <x:s v="GRUPO MEDICO INTEGRAL SOCIEDAD ANONIMA CERRADA"/>
    <x:s v="86375"/>
    <x:x v="9"/>
    <x:n v="1"/>
    <x:s v="PRECISA"/>
    <x:s v="POR ASIGNAR"/>
    <x:s v="INSTITUTO MEDICO QUIRURGICO AREQUIPA S.A"/>
    <x:s v="L.CENTRO"/>
    <x:s v="LMAGAN"/>
    <x:n v="0"/>
    <x:s v="LN. CIRUGIA"/>
    <x:s v="CIAS. DE SEGURO"/>
    <x:s v="CENTRO"/>
    <x:m/>
    <x:m/>
    <x:m/>
  </x:r>
  <x:r>
    <x:d v="2026-06-09T00:00:00Z"/>
    <x:x v="0"/>
    <x:s v="98476"/>
    <x:s v="FA"/>
    <x:s v="1029"/>
    <x:s v="CO"/>
    <x:s v="FA-1029"/>
    <x:s v="MENDOZA REYES BRIGIDA"/>
    <x:s v="08831402"/>
    <x:s v="FIERRO LEANDRO"/>
    <x:s v="POLICLÍNICO DIVINO NIÑO JESÚS"/>
    <x:s v="CRISTINA"/>
    <x:s v="0069872"/>
    <x:s v="941194643"/>
    <x:s v="GRUPO MEDICO INTEGRAL SOCIEDAD ANONIMA CERRADA"/>
    <x:s v="86375"/>
    <x:x v="10"/>
    <x:n v="1"/>
    <x:s v="PRECISA"/>
    <x:s v="POR ASIGNAR"/>
    <x:s v="INSTITUTO MEDICO QUIRURGICO AREQUIPA S.A"/>
    <x:s v="L.CENTRO"/>
    <x:s v="LMAGAN"/>
    <x:n v="762.71"/>
    <x:s v="LN. CIRUGIA"/>
    <x:s v="CIAS. DE SEGURO"/>
    <x:s v="CENTRO"/>
    <x:m/>
    <x:m/>
    <x:m/>
  </x:r>
  <x:r>
    <x:d v="2026-06-10T00:00:00Z"/>
    <x:x v="0"/>
    <x:s v="98511"/>
    <x:s v="BO"/>
    <x:s v="3829"/>
    <x:s v="CO"/>
    <x:s v="BO-3829"/>
    <x:s v="VILLA GALVEZ MARIA ESPERANZA"/>
    <x:s v="08462757"/>
    <x:s v="ROJAS AQUINO EVELING KARINA"/>
    <x:s v="POLICLÍNICO ESPÍRITU SANTO"/>
    <x:s v="CRISTINA"/>
    <x:s v="0070015"/>
    <x:s v="955008730"/>
    <x:s v="VILLA GALVEZ MARIA ESPERANZA"/>
    <x:s v="86473"/>
    <x:x v="1"/>
    <x:n v="1"/>
    <x:s v="PRECISA LN"/>
    <x:s v="POR ASIGNAR"/>
    <x:s v="INSTITUTO MEDICO QUIRURGICO AREQUIPA S.A"/>
    <x:s v="L.NORTE"/>
    <x:s v="BGALLOSA"/>
    <x:n v="135.59"/>
    <x:s v="LN. EXAMENES"/>
    <x:s v="CIAS. DE SEGURO"/>
    <x:s v="NORTE"/>
    <x:n v="955356636"/>
    <x:s v="009-3226956615"/>
    <x:n v="30"/>
  </x:r>
  <x:r>
    <x:d v="2026-06-11T00:00:00Z"/>
    <x:x v="0"/>
    <x:s v="98570"/>
    <x:s v="BO"/>
    <x:s v="5573"/>
    <x:s v="CO"/>
    <x:s v="BO-5573"/>
    <x:s v="GAMARRA CHAVARRIA JUAN PASCUAL"/>
    <x:s v="15447914"/>
    <x:s v="FIERRO LEANDRO"/>
    <x:s v="POLICLÍNICO DIVINO NIÑO JESÚS"/>
    <x:s v="CRISTINA"/>
    <x:s v="0070007"/>
    <x:s v="986955058"/>
    <x:s v="GAMARRA CHAVARRIA JUAN PASCUAL"/>
    <x:s v="86517"/>
    <x:x v="14"/>
    <x:n v="1"/>
    <x:s v="PRECISA"/>
    <x:s v="POR ASIGNAR"/>
    <x:s v="INSTITUTO MEDICO QUIRURGICO AREQUIPA S.A"/>
    <x:s v="L.CENTRO"/>
    <x:s v="ACABRERA"/>
    <x:n v="84.75"/>
    <x:s v="LN. EXAMENES"/>
    <x:s v="CIAS. DE SEGURO"/>
    <x:s v="CENTRO"/>
    <x:m/>
    <x:m/>
    <x:m/>
  </x:r>
  <x:r>
    <x:d v="2026-06-11T00:00:00Z"/>
    <x:x v="0"/>
    <x:s v="98571"/>
    <x:s v="BO"/>
    <x:s v="11481"/>
    <x:s v="CO"/>
    <x:s v="BO-11481"/>
    <x:s v="PASCO RAMOS DE HERRERA GLORIA ELISA"/>
    <x:s v="07017191"/>
    <x:s v="FIERRO LEANDRO"/>
    <x:s v="POLICLÍNICO DIVINO NIÑO JESÚS"/>
    <x:s v="CRISTINA"/>
    <x:s v="0070001"/>
    <x:s v="997369213"/>
    <x:s v="PASCO RAMOS DE HERRERA GLORIA ELISA"/>
    <x:s v="86520"/>
    <x:x v="14"/>
    <x:n v="1"/>
    <x:s v="PRECISA"/>
    <x:s v="POR ASIGNAR"/>
    <x:s v="INSTITUTO MEDICO QUIRURGICO AREQUIPA S.A"/>
    <x:s v="L.CENTRO"/>
    <x:s v="LMAGAN"/>
    <x:n v="84.75"/>
    <x:s v="LN. EXAMENES"/>
    <x:s v="CIAS. DE SEGURO"/>
    <x:s v="CENTRO"/>
    <x:m/>
    <x:m/>
    <x:m/>
  </x:r>
  <x:r>
    <x:d v="2026-06-11T00:00:00Z"/>
    <x:x v="0"/>
    <x:s v="98572"/>
    <x:s v="BO"/>
    <x:s v="11482"/>
    <x:s v="CO"/>
    <x:s v="BO-11482"/>
    <x:s v="PASCO RAMOS DE HERRERA GLORIA ELISA"/>
    <x:s v="07017191"/>
    <x:s v="FIERRO LEANDRO"/>
    <x:s v="POLICLÍNICO DIVINO NIÑO JESÚS"/>
    <x:s v="CRISTINA"/>
    <x:s v="0070001"/>
    <x:s v="997369213"/>
    <x:s v="PASCO RAMOS DE HERRERA GLORIA ELISA"/>
    <x:s v="86519"/>
    <x:x v="15"/>
    <x:n v="1"/>
    <x:s v="PRECISA"/>
    <x:s v="POR ASIGNAR"/>
    <x:s v="INSTITUTO MEDICO QUIRURGICO AREQUIPA S.A"/>
    <x:s v="L.CENTRO"/>
    <x:s v="LMAGAN"/>
    <x:n v="127.12"/>
    <x:s v="LN. EXAMENES"/>
    <x:s v="CIAS. DE SEGURO"/>
    <x:s v="CENTRO"/>
    <x:m/>
    <x:m/>
    <x:m/>
  </x:r>
  <x:r>
    <x:d v="2026-06-11T00:00:00Z"/>
    <x:x v="0"/>
    <x:s v="98573"/>
    <x:s v="BO"/>
    <x:s v="11483"/>
    <x:s v="CO"/>
    <x:s v="BO-11483"/>
    <x:s v="PASCO RAMOS DE HERRERA GLORIA ELISA"/>
    <x:s v="07017191"/>
    <x:s v="FIERRO LEANDRO"/>
    <x:s v="POLICLÍNICO DIVINO NIÑO JESÚS"/>
    <x:s v="CRISTINA"/>
    <x:s v="0070001"/>
    <x:s v="997369213"/>
    <x:s v="PASCO RAMOS DE HERRERA GLORIA ELISA"/>
    <x:s v="86518"/>
    <x:x v="16"/>
    <x:n v="1"/>
    <x:s v="PRECISA"/>
    <x:s v="POR ASIGNAR"/>
    <x:s v="INSTITUTO MEDICO QUIRURGICO AREQUIPA S.A"/>
    <x:s v="L.CENTRO"/>
    <x:s v="LMAGAN"/>
    <x:n v="12.71"/>
    <x:s v="LN. LABORATORIO"/>
    <x:s v="CIAS. DE SEGURO"/>
    <x:s v="CENTRO"/>
    <x:m/>
    <x:m/>
    <x:m/>
  </x:r>
  <x:r>
    <x:d v="2026-06-11T00:00:00Z"/>
    <x:x v="0"/>
    <x:s v="98573"/>
    <x:s v="BO"/>
    <x:s v="11483"/>
    <x:s v="CO"/>
    <x:s v="BO-11483"/>
    <x:s v="PASCO RAMOS DE HERRERA GLORIA ELISA"/>
    <x:s v="07017191"/>
    <x:s v="FIERRO LEANDRO"/>
    <x:s v="POLICLÍNICO DIVINO NIÑO JESÚS"/>
    <x:s v="CRISTINA"/>
    <x:s v="0070001"/>
    <x:s v="997369213"/>
    <x:s v="PASCO RAMOS DE HERRERA GLORIA ELISA"/>
    <x:s v="86518"/>
    <x:x v="17"/>
    <x:n v="1"/>
    <x:s v="PRECISA"/>
    <x:s v="POR ASIGNAR"/>
    <x:s v="INSTITUTO MEDICO QUIRURGICO AREQUIPA S.A"/>
    <x:s v="L.CENTRO"/>
    <x:s v="LMAGAN"/>
    <x:n v="21.19"/>
    <x:s v="LN. LABORATORIO"/>
    <x:s v="CIAS. DE SEGURO"/>
    <x:s v="CENTRO"/>
    <x:m/>
    <x:m/>
    <x:m/>
  </x:r>
  <x:r>
    <x:d v="2026-06-11T00:00:00Z"/>
    <x:x v="0"/>
    <x:s v="98573"/>
    <x:s v="BO"/>
    <x:s v="11483"/>
    <x:s v="CO"/>
    <x:s v="BO-11483"/>
    <x:s v="PASCO RAMOS DE HERRERA GLORIA ELISA"/>
    <x:s v="07017191"/>
    <x:s v="FIERRO LEANDRO"/>
    <x:s v="POLICLÍNICO DIVINO NIÑO JESÚS"/>
    <x:s v="CRISTINA"/>
    <x:s v="0070001"/>
    <x:s v="997369213"/>
    <x:s v="PASCO RAMOS DE HERRERA GLORIA ELISA"/>
    <x:s v="86518"/>
    <x:x v="18"/>
    <x:n v="1"/>
    <x:s v="PRECISA"/>
    <x:s v="POR ASIGNAR"/>
    <x:s v="INSTITUTO MEDICO QUIRURGICO AREQUIPA S.A"/>
    <x:s v="L.CENTRO"/>
    <x:s v="LMAGAN"/>
    <x:n v="12.71"/>
    <x:s v="LN. LABORATORIO"/>
    <x:s v="CIAS. DE SEGURO"/>
    <x:s v="CENTRO"/>
    <x:m/>
    <x:m/>
    <x:m/>
  </x:r>
  <x:r>
    <x:d v="2026-06-11T00:00:00Z"/>
    <x:x v="0"/>
    <x:s v="98573"/>
    <x:s v="BO"/>
    <x:s v="11483"/>
    <x:s v="CO"/>
    <x:s v="BO-11483"/>
    <x:s v="PASCO RAMOS DE HERRERA GLORIA ELISA"/>
    <x:s v="07017191"/>
    <x:s v="FIERRO LEANDRO"/>
    <x:s v="POLICLÍNICO DIVINO NIÑO JESÚS"/>
    <x:s v="CRISTINA"/>
    <x:s v="0070001"/>
    <x:s v="997369213"/>
    <x:s v="PASCO RAMOS DE HERRERA GLORIA ELISA"/>
    <x:s v="86518"/>
    <x:x v="19"/>
    <x:n v="1"/>
    <x:s v="PRECISA"/>
    <x:s v="POR ASIGNAR"/>
    <x:s v="INSTITUTO MEDICO QUIRURGICO AREQUIPA S.A"/>
    <x:s v="L.CENTRO"/>
    <x:s v="LMAGAN"/>
    <x:n v="12.71"/>
    <x:s v="LN. LABORATORIO"/>
    <x:s v="CIAS. DE SEGURO"/>
    <x:s v="CENTRO"/>
    <x:m/>
    <x:m/>
    <x:m/>
  </x:r>
  <x:r>
    <x:d v="2026-06-11T00:00:00Z"/>
    <x:x v="0"/>
    <x:s v="98573"/>
    <x:s v="BO"/>
    <x:s v="11483"/>
    <x:s v="CO"/>
    <x:s v="BO-11483"/>
    <x:s v="PASCO RAMOS DE HERRERA GLORIA ELISA"/>
    <x:s v="07017191"/>
    <x:s v="FIERRO LEANDRO"/>
    <x:s v="POLICLÍNICO DIVINO NIÑO JESÚS"/>
    <x:s v="CRISTINA"/>
    <x:s v="0070001"/>
    <x:s v="997369213"/>
    <x:s v="PASCO RAMOS DE HERRERA GLORIA ELISA"/>
    <x:s v="86518"/>
    <x:x v="20"/>
    <x:n v="1"/>
    <x:s v="PRECISA"/>
    <x:s v="POR ASIGNAR"/>
    <x:s v="INSTITUTO MEDICO QUIRURGICO AREQUIPA S.A"/>
    <x:s v="L.CENTRO"/>
    <x:s v="LMAGAN"/>
    <x:n v="50.85"/>
    <x:s v="LN. LABORATORIO"/>
    <x:s v="CIAS. DE SEGURO"/>
    <x:s v="CENTRO"/>
    <x:m/>
    <x:m/>
    <x:m/>
  </x:r>
  <x:r>
    <x:d v="2026-06-11T00:00:00Z"/>
    <x:x v="0"/>
    <x:s v="98577"/>
    <x:s v="BO"/>
    <x:s v="11486"/>
    <x:s v="CO"/>
    <x:s v="BO-11486"/>
    <x:s v="SAUÑE AGUILAR MERCEDES"/>
    <x:s v="31032400"/>
    <x:s v="FIERRO LEANDRO"/>
    <x:s v="POLICLÍNICO DIVINO NIÑO JESÚS"/>
    <x:s v="CRISTINA"/>
    <x:s v="0069675"/>
    <x:s v="940106575"/>
    <x:s v="SAUÑE AGUILAR MERCEDES"/>
    <x:s v="86525"/>
    <x:x v="16"/>
    <x:n v="1"/>
    <x:s v="PRECISA"/>
    <x:s v="POR ASIGNAR"/>
    <x:s v="INSTITUTO MEDICO QUIRURGICO AREQUIPA S.A"/>
    <x:s v="L.CENTRO"/>
    <x:s v="LMAGAN"/>
    <x:n v="12.71"/>
    <x:s v="LN. LABORATORIO"/>
    <x:s v="CIAS. DE SEGURO"/>
    <x:s v="CENTRO"/>
    <x:m/>
    <x:m/>
    <x:m/>
  </x:r>
  <x:r>
    <x:d v="2026-06-11T00:00:00Z"/>
    <x:x v="0"/>
    <x:s v="98577"/>
    <x:s v="BO"/>
    <x:s v="11486"/>
    <x:s v="CO"/>
    <x:s v="BO-11486"/>
    <x:s v="SAUÑE AGUILAR MERCEDES"/>
    <x:s v="31032400"/>
    <x:s v="FIERRO LEANDRO"/>
    <x:s v="POLICLÍNICO DIVINO NIÑO JESÚS"/>
    <x:s v="CRISTINA"/>
    <x:s v="0069675"/>
    <x:s v="940106575"/>
    <x:s v="SAUÑE AGUILAR MERCEDES"/>
    <x:s v="86525"/>
    <x:x v="17"/>
    <x:n v="1"/>
    <x:s v="PRECISA"/>
    <x:s v="POR ASIGNAR"/>
    <x:s v="INSTITUTO MEDICO QUIRURGICO AREQUIPA S.A"/>
    <x:s v="L.CENTRO"/>
    <x:s v="LMAGAN"/>
    <x:n v="21.19"/>
    <x:s v="LN. LABORATORIO"/>
    <x:s v="CIAS. DE SEGURO"/>
    <x:s v="CENTRO"/>
    <x:m/>
    <x:m/>
    <x:m/>
  </x:r>
  <x:r>
    <x:d v="2026-06-11T00:00:00Z"/>
    <x:x v="0"/>
    <x:s v="98577"/>
    <x:s v="BO"/>
    <x:s v="11486"/>
    <x:s v="CO"/>
    <x:s v="BO-11486"/>
    <x:s v="SAUÑE AGUILAR MERCEDES"/>
    <x:s v="31032400"/>
    <x:s v="FIERRO LEANDRO"/>
    <x:s v="POLICLÍNICO DIVINO NIÑO JESÚS"/>
    <x:s v="CRISTINA"/>
    <x:s v="0069675"/>
    <x:s v="940106575"/>
    <x:s v="SAUÑE AGUILAR MERCEDES"/>
    <x:s v="86525"/>
    <x:x v="18"/>
    <x:n v="1"/>
    <x:s v="PRECISA"/>
    <x:s v="POR ASIGNAR"/>
    <x:s v="INSTITUTO MEDICO QUIRURGICO AREQUIPA S.A"/>
    <x:s v="L.CENTRO"/>
    <x:s v="LMAGAN"/>
    <x:n v="12.71"/>
    <x:s v="LN. LABORATORIO"/>
    <x:s v="CIAS. DE SEGURO"/>
    <x:s v="CENTRO"/>
    <x:m/>
    <x:m/>
    <x:m/>
  </x:r>
  <x:r>
    <x:d v="2026-06-11T00:00:00Z"/>
    <x:x v="0"/>
    <x:s v="98577"/>
    <x:s v="BO"/>
    <x:s v="11486"/>
    <x:s v="CO"/>
    <x:s v="BO-11486"/>
    <x:s v="SAUÑE AGUILAR MERCEDES"/>
    <x:s v="31032400"/>
    <x:s v="FIERRO LEANDRO"/>
    <x:s v="POLICLÍNICO DIVINO NIÑO JESÚS"/>
    <x:s v="CRISTINA"/>
    <x:s v="0069675"/>
    <x:s v="940106575"/>
    <x:s v="SAUÑE AGUILAR MERCEDES"/>
    <x:s v="86525"/>
    <x:x v="19"/>
    <x:n v="1"/>
    <x:s v="PRECISA"/>
    <x:s v="POR ASIGNAR"/>
    <x:s v="INSTITUTO MEDICO QUIRURGICO AREQUIPA S.A"/>
    <x:s v="L.CENTRO"/>
    <x:s v="LMAGAN"/>
    <x:n v="12.71"/>
    <x:s v="LN. LABORATORIO"/>
    <x:s v="CIAS. DE SEGURO"/>
    <x:s v="CENTRO"/>
    <x:m/>
    <x:m/>
    <x:m/>
  </x:r>
  <x:r>
    <x:d v="2026-06-11T00:00:00Z"/>
    <x:x v="0"/>
    <x:s v="98577"/>
    <x:s v="BO"/>
    <x:s v="11486"/>
    <x:s v="CO"/>
    <x:s v="BO-11486"/>
    <x:s v="SAUÑE AGUILAR MERCEDES"/>
    <x:s v="31032400"/>
    <x:s v="FIERRO LEANDRO"/>
    <x:s v="POLICLÍNICO DIVINO NIÑO JESÚS"/>
    <x:s v="CRISTINA"/>
    <x:s v="0069675"/>
    <x:s v="940106575"/>
    <x:s v="SAUÑE AGUILAR MERCEDES"/>
    <x:s v="86525"/>
    <x:x v="20"/>
    <x:n v="1"/>
    <x:s v="PRECISA"/>
    <x:s v="POR ASIGNAR"/>
    <x:s v="INSTITUTO MEDICO QUIRURGICO AREQUIPA S.A"/>
    <x:s v="L.CENTRO"/>
    <x:s v="LMAGAN"/>
    <x:n v="50.85"/>
    <x:s v="LN. LABORATORIO"/>
    <x:s v="CIAS. DE SEGURO"/>
    <x:s v="CENTRO"/>
    <x:m/>
    <x:m/>
    <x:m/>
  </x:r>
  <x:r>
    <x:d v="2026-06-11T00:00:00Z"/>
    <x:x v="0"/>
    <x:s v="98578"/>
    <x:s v="BO"/>
    <x:s v="11487"/>
    <x:s v="CO"/>
    <x:s v="BO-11487"/>
    <x:s v="SAUÑE AGUILAR MERCEDES"/>
    <x:s v="31032400"/>
    <x:s v="FIERRO LEANDRO"/>
    <x:s v="POLICLÍNICO DIVINO NIÑO JESÚS"/>
    <x:s v="CRISTINA"/>
    <x:s v="0069675"/>
    <x:s v="940106575"/>
    <x:s v="SAUÑE AGUILAR MERCEDES"/>
    <x:s v="86523"/>
    <x:x v="15"/>
    <x:n v="1"/>
    <x:s v="PRECISA"/>
    <x:s v="POR ASIGNAR"/>
    <x:s v="INSTITUTO MEDICO QUIRURGICO AREQUIPA S.A"/>
    <x:s v="L.CENTRO"/>
    <x:s v="LMAGAN"/>
    <x:n v="127.12"/>
    <x:s v="LN. EXAMENES"/>
    <x:s v="CIAS. DE SEGURO"/>
    <x:s v="CENTRO"/>
    <x:m/>
    <x:m/>
    <x:m/>
  </x:r>
  <x:r>
    <x:d v="2026-06-11T00:00:00Z"/>
    <x:x v="0"/>
    <x:s v="98587"/>
    <x:s v="BO"/>
    <x:s v="5574"/>
    <x:s v="CO"/>
    <x:s v="BO-5574"/>
    <x:s v="BARAHONA VERASTEGUI MEDARDO"/>
    <x:s v="08834924"/>
    <x:s v="FIERRO LEANDRO"/>
    <x:s v="POLICLÍNICO DIVINO NIÑO JESÚS"/>
    <x:s v="CRISTINA"/>
    <x:s v="0070031"/>
    <x:s v="981607915"/>
    <x:s v="BARAHONA VERASTEGUI MEDARDO"/>
    <x:s v="86534"/>
    <x:x v="14"/>
    <x:n v="1"/>
    <x:s v="PRECISA"/>
    <x:s v="POR ASIGNAR"/>
    <x:s v="INSTITUTO MEDICO QUIRURGICO AREQUIPA S.A"/>
    <x:s v="L.CENTRO"/>
    <x:s v="ACABRERA"/>
    <x:n v="84.75"/>
    <x:s v="LN. EXAMENES"/>
    <x:s v="CIAS. DE SEGURO"/>
    <x:s v="CENTRO"/>
    <x:m/>
    <x:m/>
    <x:m/>
  </x:r>
  <x:r>
    <x:d v="2026-06-11T00:00:00Z"/>
    <x:x v="0"/>
    <x:s v="98589"/>
    <x:s v="BO"/>
    <x:s v="11488"/>
    <x:s v="CO"/>
    <x:s v="BO-11488"/>
    <x:s v="SAUÑE AGUILAR MERCEDES"/>
    <x:s v="31032400"/>
    <x:s v="FIERRO LEANDRO"/>
    <x:s v="POLICLÍNICO DIVINO NIÑO JESÚS"/>
    <x:s v="CRISTINA"/>
    <x:s v="0069675"/>
    <x:s v="940106575"/>
    <x:s v="SAUÑE AGUILAR MERCEDES"/>
    <x:s v="86536"/>
    <x:x v="14"/>
    <x:n v="1"/>
    <x:s v="PRECISA"/>
    <x:s v="POR ASIGNAR"/>
    <x:s v="INSTITUTO MEDICO QUIRURGICO AREQUIPA S.A"/>
    <x:s v="L.CENTRO"/>
    <x:s v="LMAGAN"/>
    <x:n v="84.75"/>
    <x:s v="LN. EXAMENES"/>
    <x:s v="CIAS. DE SEGURO"/>
    <x:s v="CENTRO"/>
    <x:m/>
    <x:m/>
    <x:m/>
  </x:r>
  <x:r>
    <x:d v="2026-06-11T00:00:00Z"/>
    <x:x v="0"/>
    <x:s v="98616"/>
    <x:s v="BO"/>
    <x:s v="11491"/>
    <x:s v="CO"/>
    <x:s v="BO-11491"/>
    <x:s v="MUÑOZ OCAÑO ARMANDO"/>
    <x:s v="20976782"/>
    <x:s v="SILVA"/>
    <x:m/>
    <x:s v="CRISTINA"/>
    <x:s v="0070068"/>
    <x:s v="928786641"/>
    <x:s v="MUÑOZ OCAÑO ARMANDO"/>
    <x:s v="86562"/>
    <x:x v="1"/>
    <x:n v="1"/>
    <x:s v="PRECISA"/>
    <x:s v="POR ASIGNAR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6-12T00:00:00Z"/>
    <x:x v="0"/>
    <x:s v="98684"/>
    <x:s v="BO"/>
    <x:s v="11497"/>
    <x:s v="CO"/>
    <x:s v="BO-11497"/>
    <x:s v="GUERRA VALLE LUZ MARGARITA"/>
    <x:s v="06106322"/>
    <x:s v="SAPAICO VICUÑA AUGUSTO RODRIGO"/>
    <x:s v="HOSPITAL LOAYZA"/>
    <x:s v="CRISTINA"/>
    <x:s v="0070101"/>
    <x:s v="940296008"/>
    <x:s v="GUERRA VALLE LUZ MARGARITA"/>
    <x:s v="86622"/>
    <x:x v="11"/>
    <x:n v="2"/>
    <x:s v="PRECISA"/>
    <x:s v="POR ASIGNAR"/>
    <x:s v="INSTITUTO MEDICO QUIRURGICO AREQUIPA S.A"/>
    <x:s v="L.CENTRO"/>
    <x:s v="LMAGAN"/>
    <x:n v="203.39"/>
    <x:s v="LN. PROCEDIMIENTO"/>
    <x:s v="CIAS. DE SEGURO"/>
    <x:s v="CENTRO"/>
    <x:n v="997145685"/>
    <x:s v="0011-0189-0200496417"/>
    <x:m/>
  </x:r>
  <x:r>
    <x:d v="2026-06-12T00:00:00Z"/>
    <x:x v="0"/>
    <x:s v="98697"/>
    <x:s v="FA"/>
    <x:s v="1032"/>
    <x:s v="CO"/>
    <x:s v="FA-1032"/>
    <x:s v="SAUÑE AGUILAR MERCEDES"/>
    <x:s v="31032400"/>
    <x:s v="FIERRO LEANDRO"/>
    <x:s v="POLICLÍNICO DIVINO NIÑO JESÚS"/>
    <x:s v="CRISTINA"/>
    <x:s v="0069675"/>
    <x:s v="940106575"/>
    <x:s v="GRUPO MEDICO INTEGRAL SOCIEDAD ANONIMA CERRADA"/>
    <x:s v="86543"/>
    <x:x v="9"/>
    <x:n v="1"/>
    <x:s v="PRECISA"/>
    <x:s v="POR ASIGNAR"/>
    <x:s v="INSTITUTO MEDICO QUIRURGICO AREQUIPA S.A"/>
    <x:s v="L.CENTRO"/>
    <x:s v="LMAGAN"/>
    <x:n v="0"/>
    <x:s v="LN. CIRUGIA"/>
    <x:s v="CIAS. DE SEGURO"/>
    <x:s v="CENTRO"/>
    <x:m/>
    <x:m/>
    <x:m/>
  </x:r>
  <x:r>
    <x:d v="2026-06-12T00:00:00Z"/>
    <x:x v="0"/>
    <x:s v="98697"/>
    <x:s v="FA"/>
    <x:s v="1032"/>
    <x:s v="CO"/>
    <x:s v="FA-1032"/>
    <x:s v="SAUÑE AGUILAR MERCEDES"/>
    <x:s v="31032400"/>
    <x:s v="FIERRO LEANDRO"/>
    <x:s v="POLICLÍNICO DIVINO NIÑO JESÚS"/>
    <x:s v="CRISTINA"/>
    <x:s v="0069675"/>
    <x:s v="940106575"/>
    <x:s v="GRUPO MEDICO INTEGRAL SOCIEDAD ANONIMA CERRADA"/>
    <x:s v="86543"/>
    <x:x v="10"/>
    <x:n v="1"/>
    <x:s v="PRECISA"/>
    <x:s v="POR ASIGNAR"/>
    <x:s v="INSTITUTO MEDICO QUIRURGICO AREQUIPA S.A"/>
    <x:s v="L.CENTRO"/>
    <x:s v="LMAGAN"/>
    <x:n v="762.71"/>
    <x:s v="LN. CIRUGIA"/>
    <x:s v="CIAS. DE SEGURO"/>
    <x:s v="CENTRO"/>
    <x:m/>
    <x:m/>
    <x:m/>
  </x:r>
  <x:r>
    <x:d v="2026-06-12T00:00:00Z"/>
    <x:x v="0"/>
    <x:s v="98698"/>
    <x:s v="FA"/>
    <x:s v="1033"/>
    <x:s v="CO"/>
    <x:s v="FA-1033"/>
    <x:s v="PASCO RAMOS DE HERRERA GLORIA ELISA"/>
    <x:s v="07017191"/>
    <x:s v="FIERRO LEANDRO"/>
    <x:s v="POLICLÍNICO DIVINO NIÑO JESÚS"/>
    <x:s v="CRISTINA"/>
    <x:s v="0070001"/>
    <x:s v="997369213"/>
    <x:s v="GRUPO MEDICO INTEGRAL SOCIEDAD ANONIMA CERRADA"/>
    <x:s v="86542"/>
    <x:x v="9"/>
    <x:n v="1"/>
    <x:s v="PRECISA"/>
    <x:s v="POR ASIGNAR"/>
    <x:s v="INSTITUTO MEDICO QUIRURGICO AREQUIPA S.A"/>
    <x:s v="L.CENTRO"/>
    <x:s v="LMAGAN"/>
    <x:n v="0"/>
    <x:s v="LN. CIRUGIA"/>
    <x:s v="CIAS. DE SEGURO"/>
    <x:s v="CENTRO"/>
    <x:m/>
    <x:m/>
    <x:m/>
  </x:r>
  <x:r>
    <x:d v="2026-06-12T00:00:00Z"/>
    <x:x v="0"/>
    <x:s v="98698"/>
    <x:s v="FA"/>
    <x:s v="1033"/>
    <x:s v="CO"/>
    <x:s v="FA-1033"/>
    <x:s v="PASCO RAMOS DE HERRERA GLORIA ELISA"/>
    <x:s v="07017191"/>
    <x:s v="FIERRO LEANDRO"/>
    <x:s v="POLICLÍNICO DIVINO NIÑO JESÚS"/>
    <x:s v="CRISTINA"/>
    <x:s v="0070001"/>
    <x:s v="997369213"/>
    <x:s v="GRUPO MEDICO INTEGRAL SOCIEDAD ANONIMA CERRADA"/>
    <x:s v="86542"/>
    <x:x v="10"/>
    <x:n v="1"/>
    <x:s v="PRECISA"/>
    <x:s v="POR ASIGNAR"/>
    <x:s v="INSTITUTO MEDICO QUIRURGICO AREQUIPA S.A"/>
    <x:s v="L.CENTRO"/>
    <x:s v="LMAGAN"/>
    <x:n v="1525.42"/>
    <x:s v="LN. CIRUGIA"/>
    <x:s v="CIAS. DE SEGURO"/>
    <x:s v="CENTRO"/>
    <x:m/>
    <x:m/>
    <x:m/>
  </x:r>
  <x:r>
    <x:d v="2026-06-12T00:00:00Z"/>
    <x:x v="0"/>
    <x:s v="98661"/>
    <x:s v="BO"/>
    <x:s v="11495"/>
    <x:s v="CO"/>
    <x:s v="BO-11495"/>
    <x:s v="GALLEGOS BENAVIDES CRISTINA ANA"/>
    <x:s v="07136272"/>
    <x:s v="CARDENAS ORTEGA MARISA"/>
    <x:s v="CONSULTORIO"/>
    <x:s v="CRISTINA"/>
    <x:s v="0070089"/>
    <x:s v="979097585"/>
    <x:s v="GALLEGOS BENAVIDES CRISTINA ANA"/>
    <x:s v="86601"/>
    <x:x v="0"/>
    <x:n v="1"/>
    <x:s v="PRECISA"/>
    <x:s v="POR ASIGNAR"/>
    <x:s v="INSTITUTO MEDICO QUIRURGICO AREQUIPA S.A"/>
    <x:s v="L.CENTRO"/>
    <x:s v="LMAGAN"/>
    <x:n v="186.44"/>
    <x:s v="LN. EXAMENES"/>
    <x:s v="CIAS. DE SEGURO"/>
    <x:s v="CENTRO"/>
    <x:n v="947054605"/>
    <x:s v="193-34139202041"/>
    <x:n v="50"/>
  </x:r>
  <x:r>
    <x:d v="2026-06-12T00:00:00Z"/>
    <x:x v="0"/>
    <x:s v="2358"/>
    <x:s v="NC"/>
    <x:s v="11496"/>
    <x:s v="CR"/>
    <x:s v="NC-11496"/>
    <x:s v="MONTALVO SUAREZ ESTHER ESPERANZA"/>
    <x:s v="08507757"/>
    <x:s v="HUAMAN RIOS LUIS ENRIQUE"/>
    <x:s v="HOSPITAL SERGIO BERNALES"/>
    <x:s v="CR"/>
    <x:s v="0070099"/>
    <x:s v="990523847"/>
    <x:s v="MONTALVO SUAREZ ESTHER ESPERANZA"/>
    <x:s v="86611"/>
    <x:x v="2"/>
    <x:n v="1"/>
    <x:s v="PRECISA"/>
    <x:s v="POR ASIGNAR"/>
    <x:s v="INSTITUTO MEDICO QUIRURGICO AREQUIPA S.A"/>
    <x:s v="L.CENTRO"/>
    <x:s v="LMAGAN"/>
    <x:n v="-186.44"/>
    <x:s v="LN. EXAMENES"/>
    <x:s v="CIAS. DE SEGURO"/>
    <x:s v="CENTRO"/>
    <x:n v="999986041"/>
    <x:s v="191-30583545068"/>
    <x:n v="50"/>
  </x:r>
  <x:r>
    <x:d v="2026-06-12T00:00:00Z"/>
    <x:x v="0"/>
    <x:s v="98676"/>
    <x:s v="FA"/>
    <x:s v="1030"/>
    <x:s v="CO"/>
    <x:s v="FA-1030"/>
    <x:s v="MONTALVO SUAREZ ESTHER ESPERANZA"/>
    <x:s v="08507757"/>
    <x:s v="HUAMAN RIOS LUIS ENRIQUE"/>
    <x:s v="HOSPITAL SERGIO BERNALES"/>
    <x:s v="CRISTINA"/>
    <x:s v="0070099"/>
    <x:s v="990523847"/>
    <x:s v="VDAXIOM S.A.C."/>
    <x:s v="86613"/>
    <x:x v="2"/>
    <x:n v="1"/>
    <x:s v="PRECISA"/>
    <x:s v="POR ASIGNAR"/>
    <x:s v="INSTITUTO MEDICO QUIRURGICO AREQUIPA S.A"/>
    <x:s v="L.CENTRO"/>
    <x:s v="LMAGAN"/>
    <x:n v="186.44"/>
    <x:s v="LN. EXAMENES"/>
    <x:s v="CIAS. DE SEGURO"/>
    <x:s v="CENTRO"/>
    <x:n v="999986041"/>
    <x:s v="191-30583545068"/>
    <x:n v="50"/>
  </x:r>
  <x:r>
    <x:d v="2026-06-12T00:00:00Z"/>
    <x:x v="0"/>
    <x:s v="2358"/>
    <x:s v="BO"/>
    <x:s v="11496"/>
    <x:s v="CR"/>
    <x:s v="BO-11496"/>
    <x:s v="MONTALVO SUAREZ ESTHER ESPERANZA"/>
    <x:s v="08507757"/>
    <x:s v="HUAMAN RIOS LUIS ENRIQUE"/>
    <x:s v="HOSPITAL SERGIO BERNALES"/>
    <x:s v="CR"/>
    <x:s v="0070099"/>
    <x:s v="990523847"/>
    <x:s v="MONTALVO SUAREZ ESTHER ESPERANZA"/>
    <x:s v="86611"/>
    <x:x v="2"/>
    <x:n v="1"/>
    <x:s v="PRECISA"/>
    <x:s v="POR ASIGNAR"/>
    <x:s v="INSTITUTO MEDICO QUIRURGICO AREQUIPA S.A"/>
    <x:s v="L.CENTRO"/>
    <x:s v="LMAGAN"/>
    <x:n v="186.44"/>
    <x:s v="LN. EXAMENES"/>
    <x:s v="CIAS. DE SEGURO"/>
    <x:s v="CENTRO"/>
    <x:n v="999986041"/>
    <x:s v="191-30583545068"/>
    <x:n v="50"/>
  </x:r>
  <x:r>
    <x:d v="2026-06-12T00:00:00Z"/>
    <x:x v="0"/>
    <x:s v="98645"/>
    <x:s v="BO"/>
    <x:s v="5580"/>
    <x:s v="CO"/>
    <x:s v="BO-5580"/>
    <x:s v="CUBA HIDALGO VDA DE TOSCA JULIA JESUS"/>
    <x:s v="08052088"/>
    <x:s v="DIANA DAVALOS SORIA"/>
    <x:s v="HOSPITAL CAYETANO HEREDIA"/>
    <x:s v="CRISTINA"/>
    <x:s v="0070081"/>
    <x:s v="955702271"/>
    <x:s v="CUBA HIDALGO VDA DE TOSCA JULIA JESUS"/>
    <x:s v="86587"/>
    <x:x v="4"/>
    <x:n v="1"/>
    <x:s v="PRECISA"/>
    <x:s v="POR ASIGNAR"/>
    <x:s v="INSTITUTO MEDICO QUIRURGICO AREQUIPA S.A"/>
    <x:s v="L.CENTRO"/>
    <x:s v="ACABRERA"/>
    <x:n v="135.59"/>
    <x:s v="LN. EXAMENES"/>
    <x:s v="CIAS. DE SEGURO"/>
    <x:s v="CENTRO"/>
    <x:m/>
    <x:s v="191-00494902000"/>
    <x:n v="30"/>
  </x:r>
  <x:r>
    <x:d v="2026-06-12T00:00:00Z"/>
    <x:x v="0"/>
    <x:s v="98694"/>
    <x:s v="FA"/>
    <x:s v="1031"/>
    <x:s v="CO"/>
    <x:s v="FA-1031"/>
    <x:s v="CARAZAS CERRILLO DE APAZA GREGORIA"/>
    <x:s v="08985710"/>
    <x:s v="MANCHEGO LOMBARDI MICHAEL"/>
    <x:s v="CONSULTORIO PARTICULAR"/>
    <x:s v="CRISTINA"/>
    <x:s v="0070006"/>
    <x:s v="NO TIENE"/>
    <x:s v="CENTRO OFTALMOLOGICO OFTALMOCARE S.R.L."/>
    <x:s v="86633"/>
    <x:x v="3"/>
    <x:n v="1"/>
    <x:s v="PRECISA"/>
    <x:s v="POR ASIGNAR"/>
    <x:s v="INSTITUTO MEDICO QUIRURGICO AREQUIPA S.A"/>
    <x:s v="L.CENTRO"/>
    <x:s v="LMAGAN"/>
    <x:n v="254.24"/>
    <x:s v="LN. PROCEDIMIENTO"/>
    <x:s v="CIAS. DE SEGURO"/>
    <x:s v="CENTRO"/>
    <x:n v="970582106"/>
    <x:s v="639-3004120188"/>
    <x:m/>
  </x:r>
  <x:r>
    <x:d v="2026-06-15T00:00:00Z"/>
    <x:x v="0"/>
    <x:s v="98853"/>
    <x:s v="BO"/>
    <x:s v="5605"/>
    <x:s v="CO"/>
    <x:s v="BO-5605"/>
    <x:s v="TORRELIO GUERRERO LIDIA ZOTICA"/>
    <x:s v="06689006"/>
    <x:s v="SAPAICO VICUÑA AUGUSTO RODRIGO"/>
    <x:s v="HOSPITAL LOAYZA"/>
    <x:s v="CRISTINA"/>
    <x:s v="0070124"/>
    <x:s v="999488621"/>
    <x:s v="TORRELIO GUERRERO LIDIA ZOTICA"/>
    <x:s v="86768"/>
    <x:x v="7"/>
    <x:n v="1"/>
    <x:s v="PRECISA"/>
    <x:s v="POR ASIGNAR"/>
    <x:s v="INSTITUTO MEDICO QUIRURGICO AREQUIPA S.A"/>
    <x:s v="L.CENTRO"/>
    <x:s v="ACABRERA"/>
    <x:n v="152.54"/>
    <x:s v="LN. EXAMENES"/>
    <x:s v="CIAS. DE SEGURO"/>
    <x:s v="CENTRO"/>
    <x:n v="997145685"/>
    <x:s v="0011-0189-0200496417"/>
    <x:n v="30"/>
  </x:r>
  <x:r>
    <x:d v="2026-06-15T00:00:00Z"/>
    <x:x v="0"/>
    <x:s v="98811"/>
    <x:s v="BO"/>
    <x:s v="11521"/>
    <x:s v="CO"/>
    <x:s v="BO-11521"/>
    <x:s v="OCAS ROSALES RONALD JEANCARLOS"/>
    <x:s v="45170637"/>
    <x:s v="ALEMAÑY ERNESTO"/>
    <x:s v="CLINICA LA LUZ"/>
    <x:s v="CRISTINA"/>
    <x:s v="0070158"/>
    <x:s v="999322893"/>
    <x:s v="OCAS ROSALES RONALD JEANCARLOS"/>
    <x:s v="86729"/>
    <x:x v="21"/>
    <x:n v="1"/>
    <x:s v="PRECISA"/>
    <x:s v="POR ASIGNAR"/>
    <x:s v="INSTITUTO MEDICO QUIRURGICO AREQUIPA S.A"/>
    <x:s v="L.CENTRO"/>
    <x:s v="LMAGAN"/>
    <x:n v="338.98"/>
    <x:s v="LN. EXAMENES"/>
    <x:s v="CIAS. DE SEGURO"/>
    <x:s v="CENTRO"/>
    <x:n v="978548687"/>
    <x:s v="0011-0732-0200152751"/>
    <x:n v="100"/>
  </x:r>
  <x:r>
    <x:d v="2026-06-16T00:00:00Z"/>
    <x:x v="0"/>
    <x:s v="98957"/>
    <x:s v="BO"/>
    <x:s v="11554"/>
    <x:s v="CO"/>
    <x:s v="BO-11554"/>
    <x:s v="CANCHAYA CAYO JULIO LEONCIO"/>
    <x:s v="44212852"/>
    <x:s v="AGRAMONTE ZEA EDILBERTO"/>
    <x:s v="HOSPITAL DE LA SOLIDARIDAD SJL"/>
    <x:s v="CRISTINA"/>
    <x:s v="0070227"/>
    <x:s v="964246765"/>
    <x:s v="CANCHAYA CAYO JULIO LEONCIO"/>
    <x:s v="86868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87407712"/>
    <x:s v="0011-0190-0200333106"/>
    <x:n v="30"/>
  </x:r>
  <x:r>
    <x:d v="2026-06-16T00:00:00Z"/>
    <x:x v="0"/>
    <x:s v="98957"/>
    <x:s v="BO"/>
    <x:s v="11554"/>
    <x:s v="CO"/>
    <x:s v="BO-11554"/>
    <x:s v="CANCHAYA CAYO JULIO LEONCIO"/>
    <x:s v="44212852"/>
    <x:s v="AGRAMONTE ZEA EDILBERTO"/>
    <x:s v="HOSPITAL DE LA SOLIDARIDAD SJL"/>
    <x:s v="CRISTINA"/>
    <x:s v="0070227"/>
    <x:s v="964246765"/>
    <x:s v="CANCHAYA CAYO JULIO LEONCIO"/>
    <x:s v="86868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87407712"/>
    <x:s v="0011-0190-0200333106"/>
    <x:n v="50"/>
  </x:r>
  <x:r>
    <x:d v="2026-06-16T00:00:00Z"/>
    <x:x v="0"/>
    <x:s v="98957"/>
    <x:s v="BO"/>
    <x:s v="11554"/>
    <x:s v="CO"/>
    <x:s v="BO-11554"/>
    <x:s v="CANCHAYA CAYO JULIO LEONCIO"/>
    <x:s v="44212852"/>
    <x:s v="AGRAMONTE ZEA EDILBERTO"/>
    <x:s v="HOSPITAL DE LA SOLIDARIDAD SJL"/>
    <x:s v="CRISTINA"/>
    <x:s v="0070227"/>
    <x:s v="964246765"/>
    <x:s v="CANCHAYA CAYO JULIO LEONCIO"/>
    <x:s v="86868"/>
    <x:x v="5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87407712"/>
    <x:s v="0011-0190-0200333106"/>
    <x:n v="30"/>
  </x:r>
  <x:r>
    <x:d v="2026-06-16T00:00:00Z"/>
    <x:x v="0"/>
    <x:s v="98947"/>
    <x:s v="BO"/>
    <x:s v="11552"/>
    <x:s v="CO"/>
    <x:s v="BO-11552"/>
    <x:s v="QUIPUSCO BERNAL MIGUEL WENCESLAO"/>
    <x:s v="06057576"/>
    <x:s v="CACERES PINTO ALVARO DANIEL"/>
    <x:s v="HOSPITAL INO"/>
    <x:s v="CRISTINA"/>
    <x:s v="0054107"/>
    <x:s v="998759676"/>
    <x:s v="QUIPUSCO BERNAL MIGUEL WENCESLAO"/>
    <x:s v="86860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66697811"/>
    <x:s v="0011-0184-0200649518"/>
    <x:n v="50"/>
  </x:r>
  <x:r>
    <x:d v="2026-06-16T00:00:00Z"/>
    <x:x v="0"/>
    <x:s v="98965"/>
    <x:s v="BO"/>
    <x:s v="11556"/>
    <x:s v="CO"/>
    <x:s v="BO-11556"/>
    <x:s v="RODRIGUEZ VELA KATHERINE FIORELLA"/>
    <x:s v="76232484"/>
    <x:s v="FIERRO LEANDRO"/>
    <x:s v="POLICLÍNICO DIVINO NIÑO JESÚS"/>
    <x:s v="CRISTINA"/>
    <x:s v="0070028"/>
    <x:s v="906 777 340"/>
    <x:s v="RODRIGUEZ VELA KATHERINE FIORELLA"/>
    <x:s v="86877"/>
    <x:x v="7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m/>
    <x:n v="30"/>
  </x:r>
  <x:r>
    <x:d v="2026-06-16T00:00:00Z"/>
    <x:x v="0"/>
    <x:s v="98965"/>
    <x:s v="BO"/>
    <x:s v="11556"/>
    <x:s v="CO"/>
    <x:s v="BO-11556"/>
    <x:s v="RODRIGUEZ VELA KATHERINE FIORELLA"/>
    <x:s v="76232484"/>
    <x:s v="FIERRO LEANDRO"/>
    <x:s v="POLICLÍNICO DIVINO NIÑO JESÚS"/>
    <x:s v="CRISTINA"/>
    <x:s v="0070028"/>
    <x:s v="906 777 340"/>
    <x:s v="RODRIGUEZ VELA KATHERINE FIORELLA"/>
    <x:s v="86877"/>
    <x:x v="8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m/>
    <x:n v="30"/>
  </x:r>
  <x:r>
    <x:d v="2026-06-16T00:00:00Z"/>
    <x:x v="0"/>
    <x:s v="98915"/>
    <x:s v="BO"/>
    <x:s v="11546"/>
    <x:s v="CO"/>
    <x:s v="BO-11546"/>
    <x:s v="MANCO CESPEDES EMMA IMELDA"/>
    <x:s v="08826096"/>
    <x:s v="ESPEJO ALVA JULIO EDWIN"/>
    <x:s v="CONSULTORIO PARTICULAR"/>
    <x:s v="CRISTINA"/>
    <x:s v="0070206"/>
    <x:s v="964035237"/>
    <x:s v="MANCO CESPEDES EMMA IMELDA"/>
    <x:s v="86820"/>
    <x:x v="0"/>
    <x:n v="1"/>
    <x:s v="PRECISA"/>
    <x:s v="POR ASIGNAR"/>
    <x:s v="INSTITUTO MEDICO QUIRURGICO AREQUIPA S.A"/>
    <x:s v="L.CENTRO"/>
    <x:s v="LMAGAN"/>
    <x:n v="186.44"/>
    <x:s v="LN. EXAMENES"/>
    <x:s v="CIAS. DE SEGURO"/>
    <x:s v="CENTRO"/>
    <x:n v="981227454"/>
    <x:s v="087-3150119440"/>
    <x:n v="50"/>
  </x:r>
  <x:r>
    <x:d v="2026-06-16T00:00:00Z"/>
    <x:x v="0"/>
    <x:s v="98930"/>
    <x:s v="BO"/>
    <x:s v="5621"/>
    <x:s v="CO"/>
    <x:s v="BO-5621"/>
    <x:s v="ESPINOZA BEDRIÑANA SUSANA"/>
    <x:s v="08578137"/>
    <x:s v="HUAMAN CUICAPUSA KELLY"/>
    <x:m/>
    <x:s v="CRISTINA"/>
    <x:s v="0070218"/>
    <x:s v="991432739"/>
    <x:s v="ESPINOZA BEDRIÑANA SUSANA"/>
    <x:s v="86839"/>
    <x:x v="4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m/>
    <x:n v="30"/>
  </x:r>
  <x:r>
    <x:d v="2026-06-17T00:00:00Z"/>
    <x:x v="0"/>
    <x:s v="99046"/>
    <x:s v="BO"/>
    <x:s v="11571"/>
    <x:s v="CO"/>
    <x:s v="BO-11571"/>
    <x:s v="AURIS ZENTENO DE TELLO ZENAIDA MARINA"/>
    <x:s v="09212243"/>
    <x:s v="ORNA ACOSTA JORGE AQUILES"/>
    <x:s v="HOSPITAL LOAYZA"/>
    <x:s v="CRISTINA"/>
    <x:s v="0070254"/>
    <x:s v="965361980"/>
    <x:s v="AURIS ZENTENO DE TELLO ZENAIDA MARINA"/>
    <x:s v="86936"/>
    <x:x v="22"/>
    <x:n v="1"/>
    <x:s v="PRECISA"/>
    <x:s v="INSTITUTO MEDICO QUIRURGICO AREQUIPA S.A"/>
    <x:s v="INSTITUTO MEDICO QUIRURGICO AREQUIPA S.A"/>
    <x:s v="L.CENTRO"/>
    <x:s v="LMAGAN"/>
    <x:n v="101.69"/>
    <x:s v="LN. PROCEDIMIENTO"/>
    <x:s v="CIAS. DE SEGURO"/>
    <x:s v="CENTRO"/>
    <x:n v="999996347"/>
    <x:s v="052-7510523"/>
    <x:m/>
  </x:r>
  <x:r>
    <x:d v="2026-06-17T00:00:00Z"/>
    <x:x v="0"/>
    <x:s v="99113"/>
    <x:s v="BO"/>
    <x:s v="11578"/>
    <x:s v="CO"/>
    <x:s v="BO-11578"/>
    <x:s v="SACA TICONA NELSON"/>
    <x:s v="42449449"/>
    <x:s v="AGRAMONTE ZEA EDILBERTO"/>
    <x:s v="HOSPITAL DE LA SOLIDARIDAD SJL"/>
    <x:s v="CRISTINA"/>
    <x:s v="0070273"/>
    <x:s v="945692301"/>
    <x:s v="SACA TICONA NELSON"/>
    <x:s v="86964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87407712"/>
    <x:s v="0011-0190-0200333106"/>
    <x:n v="50"/>
  </x:r>
  <x:r>
    <x:d v="2026-06-17T00:00:00Z"/>
    <x:x v="0"/>
    <x:s v="98996"/>
    <x:s v="FA"/>
    <x:s v="1037"/>
    <x:s v="CO"/>
    <x:s v="FA-1037"/>
    <x:s v="BARAHONA VERASTEGUI MEDARDO"/>
    <x:s v="08834924"/>
    <x:s v="FIERRO LEANDRO"/>
    <x:s v="POLICLÍNICO DIVINO NIÑO JESÚS"/>
    <x:s v="CRISTINA"/>
    <x:s v="0070031"/>
    <x:s v="981607915"/>
    <x:s v="GRUPO MEDICO INTEGRAL SOCIEDAD ANONIMA CERRADA"/>
    <x:s v="86546"/>
    <x:x v="9"/>
    <x:n v="1"/>
    <x:s v="PRECISA"/>
    <x:s v="POR ASIGNAR"/>
    <x:s v="INSTITUTO MEDICO QUIRURGICO AREQUIPA S.A"/>
    <x:s v="L.CENTRO"/>
    <x:s v="LMAGAN"/>
    <x:n v="0"/>
    <x:s v="LN. CIRUGIA"/>
    <x:s v="CIAS. DE SEGURO"/>
    <x:s v="CENTRO"/>
    <x:m/>
    <x:m/>
    <x:m/>
  </x:r>
  <x:r>
    <x:d v="2026-06-17T00:00:00Z"/>
    <x:x v="0"/>
    <x:s v="98996"/>
    <x:s v="FA"/>
    <x:s v="1037"/>
    <x:s v="CO"/>
    <x:s v="FA-1037"/>
    <x:s v="BARAHONA VERASTEGUI MEDARDO"/>
    <x:s v="08834924"/>
    <x:s v="FIERRO LEANDRO"/>
    <x:s v="POLICLÍNICO DIVINO NIÑO JESÚS"/>
    <x:s v="CRISTINA"/>
    <x:s v="0070031"/>
    <x:s v="981607915"/>
    <x:s v="GRUPO MEDICO INTEGRAL SOCIEDAD ANONIMA CERRADA"/>
    <x:s v="86546"/>
    <x:x v="10"/>
    <x:n v="1"/>
    <x:s v="PRECISA"/>
    <x:s v="POR ASIGNAR"/>
    <x:s v="INSTITUTO MEDICO QUIRURGICO AREQUIPA S.A"/>
    <x:s v="L.CENTRO"/>
    <x:s v="LMAGAN"/>
    <x:n v="762.71"/>
    <x:s v="LN. CIRUGIA"/>
    <x:s v="CIAS. DE SEGURO"/>
    <x:s v="CENTRO"/>
    <x:m/>
    <x:m/>
    <x:m/>
  </x:r>
  <x:r>
    <x:d v="2026-06-17T00:00:00Z"/>
    <x:x v="0"/>
    <x:s v="99003"/>
    <x:s v="FA"/>
    <x:s v="1040"/>
    <x:s v="CO"/>
    <x:s v="FA-1040"/>
    <x:s v="RODRIGUEZ VELA KATHERINE FIORELLA"/>
    <x:s v="76232484"/>
    <x:s v="FIERRO LEANDRO"/>
    <x:s v="POLICLÍNICO DIVINO NIÑO JESÚS"/>
    <x:s v="CRISTINA"/>
    <x:s v="0070028"/>
    <x:s v="906 777 340"/>
    <x:s v="GRUPO MEDICO INTEGRAL SOCIEDAD ANONIMA CERRADA"/>
    <x:s v="86827"/>
    <x:x v="9"/>
    <x:n v="1"/>
    <x:s v="PRECISA"/>
    <x:s v="POR ASIGNAR"/>
    <x:s v="INSTITUTO MEDICO QUIRURGICO AREQUIPA S.A"/>
    <x:s v="L.CENTRO"/>
    <x:s v="LMAGAN"/>
    <x:n v="0"/>
    <x:s v="LN. CIRUGIA"/>
    <x:s v="CIAS. DE SEGURO"/>
    <x:s v="CENTRO"/>
    <x:m/>
    <x:m/>
    <x:m/>
  </x:r>
  <x:r>
    <x:d v="2026-06-17T00:00:00Z"/>
    <x:x v="0"/>
    <x:s v="99003"/>
    <x:s v="FA"/>
    <x:s v="1040"/>
    <x:s v="CO"/>
    <x:s v="FA-1040"/>
    <x:s v="RODRIGUEZ VELA KATHERINE FIORELLA"/>
    <x:s v="76232484"/>
    <x:s v="FIERRO LEANDRO"/>
    <x:s v="POLICLÍNICO DIVINO NIÑO JESÚS"/>
    <x:s v="CRISTINA"/>
    <x:s v="0070028"/>
    <x:s v="906 777 340"/>
    <x:s v="GRUPO MEDICO INTEGRAL SOCIEDAD ANONIMA CERRADA"/>
    <x:s v="86827"/>
    <x:x v="23"/>
    <x:n v="1"/>
    <x:s v="PRECISA"/>
    <x:s v="POR ASIGNAR"/>
    <x:s v="INSTITUTO MEDICO QUIRURGICO AREQUIPA S.A"/>
    <x:s v="L.CENTRO"/>
    <x:s v="LMAGAN"/>
    <x:n v="550.85"/>
    <x:s v="LN. CIRUGIA"/>
    <x:s v="CIAS. DE SEGURO"/>
    <x:s v="CENTRO"/>
    <x:m/>
    <x:m/>
    <x:m/>
  </x:r>
  <x:r>
    <x:d v="2026-06-17T00:00:00Z"/>
    <x:x v="0"/>
    <x:s v="99095"/>
    <x:s v="BO"/>
    <x:s v="11575"/>
    <x:s v="CO"/>
    <x:s v="BO-11575"/>
    <x:s v="BAUTISTA LOPEZ HERMINIA"/>
    <x:s v="21840481"/>
    <x:s v="SUAREZ ALVARADO SUSANA"/>
    <x:m/>
    <x:s v="CRISTINA"/>
    <x:s v="0044128"/>
    <x:s v="999166413"/>
    <x:s v="BAUTISTA LOPEZ HERMINIA"/>
    <x:s v="86938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6-17T00:00:00Z"/>
    <x:x v="0"/>
    <x:s v="99095"/>
    <x:s v="BO"/>
    <x:s v="11575"/>
    <x:s v="CO"/>
    <x:s v="BO-11575"/>
    <x:s v="BAUTISTA LOPEZ HERMINIA"/>
    <x:s v="21840481"/>
    <x:s v="SUAREZ ALVARADO SUSANA"/>
    <x:m/>
    <x:s v="CRISTINA"/>
    <x:s v="0044128"/>
    <x:s v="999166413"/>
    <x:s v="BAUTISTA LOPEZ HERMINIA"/>
    <x:s v="86938"/>
    <x:x v="24"/>
    <x:n v="1"/>
    <x:s v="PRECISA"/>
    <x:s v="INSTITUTO MEDICO QUIRURGICO AREQUIPA S.A"/>
    <x:s v="INSTITUTO MEDICO QUIRURGICO AREQUIPA S.A"/>
    <x:s v="L.CENTRO"/>
    <x:s v="LMAGAN"/>
    <x:n v="139.83"/>
    <x:s v="LN. CIRUGIA"/>
    <x:s v="CIAS. DE SEGURO"/>
    <x:s v="CENTRO"/>
    <x:m/>
    <x:m/>
    <x:m/>
  </x:r>
  <x:r>
    <x:d v="2026-06-18T00:00:00Z"/>
    <x:x v="0"/>
    <x:s v="99135"/>
    <x:s v="BO"/>
    <x:s v="5638"/>
    <x:s v="CO"/>
    <x:s v="BO-5638"/>
    <x:s v="DIAZ ESCOBAL AUGUSTO"/>
    <x:s v="08560804"/>
    <x:s v="VILLAR CURAHUA MARCELA ALEJANDRA"/>
    <x:s v="GAMARRA SALUD"/>
    <x:s v="CRISTINA"/>
    <x:s v="0070232"/>
    <x:s v="923538499"/>
    <x:s v="DIAZ ESCOBAL AUGUSTO"/>
    <x:s v="86977"/>
    <x:x v="7"/>
    <x:n v="1"/>
    <x:s v="PRECISA"/>
    <x:s v="INSTITUTO MEDICO QUIRURGICO AREQUIPA S.A"/>
    <x:s v="INSTITUTO MEDICO QUIRURGICO AREQUIPA S.A"/>
    <x:s v="L.CENTRO"/>
    <x:s v="ACABRERA"/>
    <x:n v="42.37"/>
    <x:s v="LN. EXAMENES"/>
    <x:s v="CIAS. DE SEGURO"/>
    <x:s v="CENTRO"/>
    <x:n v="950133748"/>
    <x:s v="191-9953047026"/>
    <x:n v="30"/>
  </x:r>
  <x:r>
    <x:d v="2026-06-18T00:00:00Z"/>
    <x:x v="0"/>
    <x:s v="99135"/>
    <x:s v="BO"/>
    <x:s v="5638"/>
    <x:s v="CO"/>
    <x:s v="BO-5638"/>
    <x:s v="DIAZ ESCOBAL AUGUSTO"/>
    <x:s v="08560804"/>
    <x:s v="VILLAR CURAHUA MARCELA ALEJANDRA"/>
    <x:s v="GAMARRA SALUD"/>
    <x:s v="CRISTINA"/>
    <x:s v="0070232"/>
    <x:s v="923538499"/>
    <x:s v="DIAZ ESCOBAL AUGUSTO"/>
    <x:s v="86977"/>
    <x:x v="8"/>
    <x:n v="1"/>
    <x:s v="PRECISA"/>
    <x:s v="INSTITUTO MEDICO QUIRURGICO AREQUIPA S.A"/>
    <x:s v="INSTITUTO MEDICO QUIRURGICO AREQUIPA S.A"/>
    <x:s v="L.CENTRO"/>
    <x:s v="ACABRERA"/>
    <x:n v="42.37"/>
    <x:s v="LN. EXAMENES"/>
    <x:s v="CIAS. DE SEGURO"/>
    <x:s v="CENTRO"/>
    <x:n v="950133748"/>
    <x:s v="191-9953047026"/>
    <x:n v="30"/>
  </x:r>
  <x:r>
    <x:d v="2026-06-18T00:00:00Z"/>
    <x:x v="0"/>
    <x:s v="99177"/>
    <x:s v="BO"/>
    <x:s v="3911"/>
    <x:s v="CO"/>
    <x:s v="BO-3911"/>
    <x:s v="ALANIA SUAREZ DE GIL DIONICIA"/>
    <x:s v="07738357"/>
    <x:s v="RUIZ ROJAS PAUBLO ENRIQUE"/>
    <x:s v="CONSULTORIO CUBANO COMAS"/>
    <x:s v="CRISTINA"/>
    <x:s v="0070290"/>
    <x:s v="991819463"/>
    <x:s v="ALANIA SUAREZ DE GIL DIONICIA"/>
    <x:s v="87014"/>
    <x:x v="0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n v="992903716"/>
    <x:s v="191-91415089071"/>
    <x:n v="50"/>
  </x:r>
  <x:r>
    <x:d v="2026-06-18T00:00:00Z"/>
    <x:x v="0"/>
    <x:s v="99136"/>
    <x:s v="BO"/>
    <x:s v="5639"/>
    <x:s v="CO"/>
    <x:s v="BO-5639"/>
    <x:s v="DIAZ ESCOBAL AUGUSTO"/>
    <x:s v="08560804"/>
    <x:s v="FIERRO LEANDRO"/>
    <x:s v="POLICLÍNICO DIVINO NIÑO JESÚS"/>
    <x:s v="CRISTINA"/>
    <x:s v="0070232"/>
    <x:s v="923538499"/>
    <x:s v="DIAZ ESCOBAL AUGUSTO"/>
    <x:s v="86978"/>
    <x:x v="16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6-18T00:00:00Z"/>
    <x:x v="0"/>
    <x:s v="99136"/>
    <x:s v="BO"/>
    <x:s v="5639"/>
    <x:s v="CO"/>
    <x:s v="BO-5639"/>
    <x:s v="DIAZ ESCOBAL AUGUSTO"/>
    <x:s v="08560804"/>
    <x:s v="FIERRO LEANDRO"/>
    <x:s v="POLICLÍNICO DIVINO NIÑO JESÚS"/>
    <x:s v="CRISTINA"/>
    <x:s v="0070232"/>
    <x:s v="923538499"/>
    <x:s v="DIAZ ESCOBAL AUGUSTO"/>
    <x:s v="86978"/>
    <x:x v="17"/>
    <x:n v="1"/>
    <x:s v="PRECISA"/>
    <x:s v="INSTITUTO MEDICO QUIRURGICO AREQUIPA S.A"/>
    <x:s v="INSTITUTO MEDICO QUIRURGICO AREQUIPA S.A"/>
    <x:s v="L.CENTRO"/>
    <x:s v="ACABRERA"/>
    <x:n v="21.19"/>
    <x:s v="LN. LABORATORIO"/>
    <x:s v="CIAS. DE SEGURO"/>
    <x:s v="CENTRO"/>
    <x:m/>
    <x:m/>
    <x:m/>
  </x:r>
  <x:r>
    <x:d v="2026-06-18T00:00:00Z"/>
    <x:x v="0"/>
    <x:s v="99136"/>
    <x:s v="BO"/>
    <x:s v="5639"/>
    <x:s v="CO"/>
    <x:s v="BO-5639"/>
    <x:s v="DIAZ ESCOBAL AUGUSTO"/>
    <x:s v="08560804"/>
    <x:s v="FIERRO LEANDRO"/>
    <x:s v="POLICLÍNICO DIVINO NIÑO JESÚS"/>
    <x:s v="CRISTINA"/>
    <x:s v="0070232"/>
    <x:s v="923538499"/>
    <x:s v="DIAZ ESCOBAL AUGUSTO"/>
    <x:s v="86978"/>
    <x:x v="18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6-18T00:00:00Z"/>
    <x:x v="0"/>
    <x:s v="99136"/>
    <x:s v="BO"/>
    <x:s v="5639"/>
    <x:s v="CO"/>
    <x:s v="BO-5639"/>
    <x:s v="DIAZ ESCOBAL AUGUSTO"/>
    <x:s v="08560804"/>
    <x:s v="FIERRO LEANDRO"/>
    <x:s v="POLICLÍNICO DIVINO NIÑO JESÚS"/>
    <x:s v="CRISTINA"/>
    <x:s v="0070232"/>
    <x:s v="923538499"/>
    <x:s v="DIAZ ESCOBAL AUGUSTO"/>
    <x:s v="86978"/>
    <x:x v="19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6-18T00:00:00Z"/>
    <x:x v="0"/>
    <x:s v="99136"/>
    <x:s v="BO"/>
    <x:s v="5639"/>
    <x:s v="CO"/>
    <x:s v="BO-5639"/>
    <x:s v="DIAZ ESCOBAL AUGUSTO"/>
    <x:s v="08560804"/>
    <x:s v="FIERRO LEANDRO"/>
    <x:s v="POLICLÍNICO DIVINO NIÑO JESÚS"/>
    <x:s v="CRISTINA"/>
    <x:s v="0070232"/>
    <x:s v="923538499"/>
    <x:s v="DIAZ ESCOBAL AUGUSTO"/>
    <x:s v="86978"/>
    <x:x v="20"/>
    <x:n v="1"/>
    <x:s v="PRECISA"/>
    <x:s v="INSTITUTO MEDICO QUIRURGICO AREQUIPA S.A"/>
    <x:s v="INSTITUTO MEDICO QUIRURGICO AREQUIPA S.A"/>
    <x:s v="L.CENTRO"/>
    <x:s v="ACABRERA"/>
    <x:n v="50.85"/>
    <x:s v="LN. LABORATORIO"/>
    <x:s v="CIAS. DE SEGURO"/>
    <x:s v="CENTRO"/>
    <x:m/>
    <x:m/>
    <x:m/>
  </x:r>
  <x:r>
    <x:d v="2026-06-18T00:00:00Z"/>
    <x:x v="0"/>
    <x:s v="99138"/>
    <x:s v="BO"/>
    <x:s v="5640"/>
    <x:s v="CO"/>
    <x:s v="BO-5640"/>
    <x:s v="DIAZ ESCOBAL AUGUSTO"/>
    <x:s v="08560804"/>
    <x:s v="FIERRO LEANDRO"/>
    <x:s v="POLICLÍNICO DIVINO NIÑO JESÚS"/>
    <x:s v="CRISTINA"/>
    <x:s v="0070232"/>
    <x:s v="923538499"/>
    <x:s v="DIAZ ESCOBAL AUGUSTO"/>
    <x:s v="86979"/>
    <x:x v="15"/>
    <x:n v="1"/>
    <x:s v="PRECISA"/>
    <x:s v="INSTITUTO MEDICO QUIRURGICO AREQUIPA S.A"/>
    <x:s v="INSTITUTO MEDICO QUIRURGICO AREQUIPA S.A"/>
    <x:s v="L.CENTRO"/>
    <x:s v="ACABRERA"/>
    <x:n v="127.12"/>
    <x:s v="LN. EXAMENES"/>
    <x:s v="CIAS. DE SEGURO"/>
    <x:s v="CENTRO"/>
    <x:m/>
    <x:m/>
    <x:m/>
  </x:r>
  <x:r>
    <x:d v="2026-06-18T00:00:00Z"/>
    <x:x v="0"/>
    <x:s v="99219"/>
    <x:s v="FA"/>
    <x:s v="541"/>
    <x:s v="CO"/>
    <x:s v="FA-541"/>
    <x:s v="DIAZ ESCOBAL AUGUSTO"/>
    <x:s v="08560804"/>
    <x:s v="FIERRO LEANDRO"/>
    <x:s v="POLICLÍNICO DIVINO NIÑO JESÚS"/>
    <x:s v="CRISTINA"/>
    <x:s v="0070232"/>
    <x:s v="923538499"/>
    <x:s v="GRUPO MEDICO INTEGRAL SOCIEDAD ANONIMA CERRADA"/>
    <x:s v="87029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6-18T00:00:00Z"/>
    <x:x v="0"/>
    <x:s v="99219"/>
    <x:s v="FA"/>
    <x:s v="541"/>
    <x:s v="CO"/>
    <x:s v="FA-541"/>
    <x:s v="DIAZ ESCOBAL AUGUSTO"/>
    <x:s v="08560804"/>
    <x:s v="FIERRO LEANDRO"/>
    <x:s v="POLICLÍNICO DIVINO NIÑO JESÚS"/>
    <x:s v="CRISTINA"/>
    <x:s v="0070232"/>
    <x:s v="923538499"/>
    <x:s v="GRUPO MEDICO INTEGRAL SOCIEDAD ANONIMA CERRADA"/>
    <x:s v="87029"/>
    <x:x v="10"/>
    <x:n v="1"/>
    <x:s v="PRECISA"/>
    <x:s v="INSTITUTO MEDICO QUIRURGICO AREQUIPA S.A"/>
    <x:s v="INSTITUTO MEDICO QUIRURGICO AREQUIPA S.A"/>
    <x:s v="L.CENTRO"/>
    <x:s v="ACABRERA"/>
    <x:n v="762.71"/>
    <x:s v="LN. CIRUGIA"/>
    <x:s v="CIAS. DE SEGURO"/>
    <x:s v="CENTRO"/>
    <x:m/>
    <x:m/>
    <x:m/>
  </x:r>
  <x:r>
    <x:d v="2026-06-18T00:00:00Z"/>
    <x:x v="0"/>
    <x:s v="99133"/>
    <x:s v="BO"/>
    <x:s v="5637"/>
    <x:s v="CO"/>
    <x:s v="BO-5637"/>
    <x:s v="SALAS CABREJO NASARIO"/>
    <x:s v="70358831"/>
    <x:s v="SOTO IDROGO CLAUDIA"/>
    <x:s v="CLÍNICA JESÚS DEL NORTE (JM)"/>
    <x:s v="CRISTINA"/>
    <x:s v="0070279"/>
    <x:s v="969350781"/>
    <x:s v="SALAS CABREJO NASARIO"/>
    <x:s v="86975"/>
    <x:x v="4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n v="986089286"/>
    <x:s v="191-32083755032"/>
    <x:n v="30"/>
  </x:r>
  <x:r>
    <x:d v="2026-06-19T00:00:00Z"/>
    <x:x v="0"/>
    <x:s v="99250"/>
    <x:s v="BO"/>
    <x:s v="3916"/>
    <x:s v="CO"/>
    <x:s v="BO-3916"/>
    <x:s v="ZAVALA MARTINEZ JORGE ALFONSO"/>
    <x:s v="06134501"/>
    <x:m/>
    <x:m/>
    <x:s v="CRISTINA"/>
    <x:s v="0070311"/>
    <x:s v="944326227"/>
    <x:s v="ZAVALA MARTINEZ JORGE ALFONSO"/>
    <x:s v="87070"/>
    <x:x v="4"/>
    <x:n v="1"/>
    <x:s v="PRECISA LN"/>
    <x:s v="POR ASIGNAR"/>
    <x:s v="INSTITUTO MEDICO QUIRURGICO AREQUIPA S.A"/>
    <x:s v="L.NORTE"/>
    <x:s v="BGALLOSA"/>
    <x:n v="135.59"/>
    <x:s v="LN. EXAMENES"/>
    <x:s v="CIAS. DE SEGURO"/>
    <x:s v="NORTE"/>
    <x:m/>
    <x:m/>
    <x:n v="30"/>
  </x:r>
  <x:r>
    <x:d v="2026-06-19T00:00:00Z"/>
    <x:x v="0"/>
    <x:s v="99250"/>
    <x:s v="BO"/>
    <x:s v="3916"/>
    <x:s v="CO"/>
    <x:s v="BO-3916"/>
    <x:s v="ZAVALA MARTINEZ JORGE ALFONSO"/>
    <x:s v="06134501"/>
    <x:m/>
    <x:m/>
    <x:s v="CRISTINA"/>
    <x:s v="0070311"/>
    <x:s v="944326227"/>
    <x:s v="ZAVALA MARTINEZ JORGE ALFONSO"/>
    <x:s v="87070"/>
    <x:x v="5"/>
    <x:n v="1"/>
    <x:s v="PRECISA LN"/>
    <x:s v="POR ASIGNAR"/>
    <x:s v="INSTITUTO MEDICO QUIRURGICO AREQUIPA S.A"/>
    <x:s v="L.NORTE"/>
    <x:s v="BGALLOSA"/>
    <x:n v="152.54"/>
    <x:s v="LN. EXAMENES"/>
    <x:s v="CIAS. DE SEGURO"/>
    <x:s v="NORTE"/>
    <x:m/>
    <x:m/>
    <x:n v="30"/>
  </x:r>
  <x:r>
    <x:d v="2026-06-19T00:00:00Z"/>
    <x:x v="0"/>
    <x:s v="99250"/>
    <x:s v="BO"/>
    <x:s v="3916"/>
    <x:s v="CO"/>
    <x:s v="BO-3916"/>
    <x:s v="ZAVALA MARTINEZ JORGE ALFONSO"/>
    <x:s v="06134501"/>
    <x:m/>
    <x:m/>
    <x:s v="CRISTINA"/>
    <x:s v="0070311"/>
    <x:s v="944326227"/>
    <x:s v="ZAVALA MARTINEZ JORGE ALFONSO"/>
    <x:s v="87070"/>
    <x:x v="2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m/>
    <x:m/>
    <x:n v="50"/>
  </x:r>
  <x:r>
    <x:d v="2026-06-20T00:00:00Z"/>
    <x:x v="0"/>
    <x:s v="99362"/>
    <x:s v="FA"/>
    <x:s v="1041"/>
    <x:s v="CO"/>
    <x:s v="FA-1041"/>
    <x:s v="VENEGAS PUEMAPE NELLY EUFEMIA"/>
    <x:s v="08581322"/>
    <x:s v="FERNANDEZ GUTIERREZ OLGA PATRICIA"/>
    <x:s v="CONSULTORIO PARTICULAR"/>
    <x:s v="CRISTINA"/>
    <x:s v="0070348"/>
    <x:s v="941382516"/>
    <x:s v="VEFER OFTALMOLOGOS S.A.C."/>
    <x:s v="87156"/>
    <x:x v="22"/>
    <x:n v="2"/>
    <x:s v="PRECISA"/>
    <x:s v="INSTITUTO MEDICO QUIRURGICO AREQUIPA S.A"/>
    <x:s v="INSTITUTO MEDICO QUIRURGICO AREQUIPA S.A"/>
    <x:s v="L.CENTRO"/>
    <x:s v="LMAGAN"/>
    <x:n v="203.39"/>
    <x:s v="LN. PROCEDIMIENTO"/>
    <x:s v="CIAS. DE SEGURO"/>
    <x:s v="CENTRO"/>
    <x:n v="982536223"/>
    <x:s v="107-3174605363"/>
    <x:m/>
  </x:r>
  <x:r>
    <x:d v="2026-06-22T00:00:00Z"/>
    <x:x v="0"/>
    <x:s v="99428"/>
    <x:s v="BO"/>
    <x:s v="11650"/>
    <x:s v="CO"/>
    <x:s v="BO-11650"/>
    <x:s v="MEZA RUBINA JILMER"/>
    <x:s v="22865734"/>
    <x:s v="ROJAS AQUINO EVELING KARINA"/>
    <x:s v="POLICLÍNICO ESPÍRITU SANTO"/>
    <x:s v="CRISTINA"/>
    <x:s v="0070376"/>
    <x:s v="913757585"/>
    <x:s v="MEZA RUBINA JILMER"/>
    <x:s v="87199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55356636"/>
    <x:s v="009-3226956615"/>
    <x:n v="50"/>
  </x:r>
  <x:r>
    <x:d v="2026-06-22T00:00:00Z"/>
    <x:x v="0"/>
    <x:s v="99431"/>
    <x:s v="BO"/>
    <x:s v="11651"/>
    <x:s v="CO"/>
    <x:s v="BO-11651"/>
    <x:s v="SECLEN LLONTOP DE TULLUME LIDIA LUZ"/>
    <x:s v="08454992"/>
    <x:s v="REYES DIAZ JORGE RICARDO"/>
    <x:s v="HOSPITAL CAYETANO HEREDIA"/>
    <x:s v="CRISTINA"/>
    <x:s v="0070382"/>
    <x:s v="999978226"/>
    <x:s v="SECLEN LLONTOP DE TULLUME LIDIA LUZ"/>
    <x:s v="87202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99418834"/>
    <x:s v="193-05549355007"/>
    <x:n v="30"/>
  </x:r>
  <x:r>
    <x:d v="2026-06-23T00:00:00Z"/>
    <x:x v="0"/>
    <x:s v="99568"/>
    <x:s v="BO"/>
    <x:s v="153"/>
    <x:s v="CO"/>
    <x:s v="BO-153"/>
    <x:s v="CARDEÑA LEON MARIA ALONDRA"/>
    <x:s v="77490960"/>
    <x:m/>
    <x:m/>
    <x:s v="CRISTINA"/>
    <x:s v="0068091"/>
    <x:s v="943956541"/>
    <x:s v="CARDEÑA LEON MARIA ALONDRA"/>
    <x:s v="87332"/>
    <x:x v="25"/>
    <x:n v="1"/>
    <x:s v="PRECISA"/>
    <x:s v="INSTITUTO MEDICO QUIRURGICO AREQUIPA S.A"/>
    <x:s v="INSTITUTO MEDICO QUIRURGICO AREQUIPA S.A"/>
    <x:s v="L.LINCE"/>
    <x:s v="LQUISPE"/>
    <x:n v="0.21"/>
    <x:s v="LN. FARMACIA"/>
    <x:s v="CIAS. DE SEGURO"/>
    <x:s v="LINCE"/>
    <x:m/>
    <x:m/>
    <x:m/>
  </x:r>
  <x:r>
    <x:d v="2026-06-23T00:00:00Z"/>
    <x:x v="0"/>
    <x:s v="99568"/>
    <x:s v="BO"/>
    <x:s v="153"/>
    <x:s v="CO"/>
    <x:s v="BO-153"/>
    <x:s v="CARDEÑA LEON MARIA ALONDRA"/>
    <x:s v="77490960"/>
    <x:m/>
    <x:m/>
    <x:s v="CRISTINA"/>
    <x:s v="0068091"/>
    <x:s v="943956541"/>
    <x:s v="CARDEÑA LEON MARIA ALONDRA"/>
    <x:s v="87332"/>
    <x:x v="26"/>
    <x:n v="1"/>
    <x:s v="PRECISA"/>
    <x:s v="INSTITUTO MEDICO QUIRURGICO AREQUIPA S.A"/>
    <x:s v="INSTITUTO MEDICO QUIRURGICO AREQUIPA S.A"/>
    <x:s v="L.LINCE"/>
    <x:s v="LQUISPE"/>
    <x:n v="0.68"/>
    <x:s v="LN. FARMACIA"/>
    <x:s v="CIAS. DE SEGURO"/>
    <x:s v="LINCE"/>
    <x:m/>
    <x:m/>
    <x:m/>
  </x:r>
  <x:r>
    <x:d v="2026-06-23T00:00:00Z"/>
    <x:x v="0"/>
    <x:s v="99568"/>
    <x:s v="BO"/>
    <x:s v="153"/>
    <x:s v="CO"/>
    <x:s v="BO-153"/>
    <x:s v="CARDEÑA LEON MARIA ALONDRA"/>
    <x:s v="77490960"/>
    <x:m/>
    <x:m/>
    <x:s v="CRISTINA"/>
    <x:s v="0068091"/>
    <x:s v="943956541"/>
    <x:s v="CARDEÑA LEON MARIA ALONDRA"/>
    <x:s v="87332"/>
    <x:x v="27"/>
    <x:n v="1"/>
    <x:s v="PRECISA"/>
    <x:s v="INSTITUTO MEDICO QUIRURGICO AREQUIPA S.A"/>
    <x:s v="INSTITUTO MEDICO QUIRURGICO AREQUIPA S.A"/>
    <x:s v="L.LINCE"/>
    <x:s v="LQUISPE"/>
    <x:n v="0.42"/>
    <x:s v="LN. FARMACIA"/>
    <x:s v="CIAS. DE SEGURO"/>
    <x:s v="LINCE"/>
    <x:m/>
    <x:m/>
    <x:m/>
  </x:r>
  <x:r>
    <x:d v="2026-06-23T00:00:00Z"/>
    <x:x v="0"/>
    <x:s v="99525"/>
    <x:s v="BO"/>
    <x:s v="11667"/>
    <x:s v="CO"/>
    <x:s v="BO-11667"/>
    <x:s v="URTECHO VARGAS MARCELO BERARDO"/>
    <x:s v="32807550"/>
    <x:s v="FIERRO LEANDRO"/>
    <x:s v="POLICLÍNICO DIVINO NIÑO JESÚS"/>
    <x:s v="CRISTINA"/>
    <x:s v="0070330"/>
    <x:s v="934254167"/>
    <x:s v="URTECHO VARGAS MARCELO BERARDO"/>
    <x:s v="87291"/>
    <x:x v="15"/>
    <x:n v="1"/>
    <x:s v="PRECISA"/>
    <x:s v="INSTITUTO MEDICO QUIRURGICO AREQUIPA S.A"/>
    <x:s v="INSTITUTO MEDICO QUIRURGICO AREQUIPA S.A"/>
    <x:s v="L.CENTRO"/>
    <x:s v="LMAGAN"/>
    <x:n v="127.12"/>
    <x:s v="LN. EXAMENES"/>
    <x:s v="CIAS. DE SEGURO"/>
    <x:s v="CENTRO"/>
    <x:m/>
    <x:m/>
    <x:m/>
  </x:r>
  <x:r>
    <x:d v="2026-06-23T00:00:00Z"/>
    <x:x v="0"/>
    <x:s v="99526"/>
    <x:s v="BO"/>
    <x:s v="11668"/>
    <x:s v="CO"/>
    <x:s v="BO-11668"/>
    <x:s v="URTECHO VARGAS MARCELO BERARDO"/>
    <x:s v="32807550"/>
    <x:s v="FIERRO LEANDRO"/>
    <x:s v="POLICLÍNICO DIVINO NIÑO JESÚS"/>
    <x:s v="CRISTINA"/>
    <x:s v="0070330"/>
    <x:s v="934254167"/>
    <x:s v="URTECHO VARGAS MARCELO BERARDO"/>
    <x:s v="87290"/>
    <x:x v="16"/>
    <x:n v="1"/>
    <x:s v="PRECISA"/>
    <x:s v="INSTITUTO MEDICO QUIRURGICO AREQUIPA S.A"/>
    <x:s v="INSTITUTO MEDICO QUIRURGICO AREQUIPA S.A"/>
    <x:s v="L.CENTRO"/>
    <x:s v="LMAGAN"/>
    <x:n v="12.71"/>
    <x:s v="LN. LABORATORIO"/>
    <x:s v="CIAS. DE SEGURO"/>
    <x:s v="CENTRO"/>
    <x:m/>
    <x:m/>
    <x:m/>
  </x:r>
  <x:r>
    <x:d v="2026-06-23T00:00:00Z"/>
    <x:x v="0"/>
    <x:s v="99526"/>
    <x:s v="BO"/>
    <x:s v="11668"/>
    <x:s v="CO"/>
    <x:s v="BO-11668"/>
    <x:s v="URTECHO VARGAS MARCELO BERARDO"/>
    <x:s v="32807550"/>
    <x:s v="FIERRO LEANDRO"/>
    <x:s v="POLICLÍNICO DIVINO NIÑO JESÚS"/>
    <x:s v="CRISTINA"/>
    <x:s v="0070330"/>
    <x:s v="934254167"/>
    <x:s v="URTECHO VARGAS MARCELO BERARDO"/>
    <x:s v="87290"/>
    <x:x v="17"/>
    <x:n v="1"/>
    <x:s v="PRECISA"/>
    <x:s v="INSTITUTO MEDICO QUIRURGICO AREQUIPA S.A"/>
    <x:s v="INSTITUTO MEDICO QUIRURGICO AREQUIPA S.A"/>
    <x:s v="L.CENTRO"/>
    <x:s v="LMAGAN"/>
    <x:n v="21.19"/>
    <x:s v="LN. LABORATORIO"/>
    <x:s v="CIAS. DE SEGURO"/>
    <x:s v="CENTRO"/>
    <x:m/>
    <x:m/>
    <x:m/>
  </x:r>
  <x:r>
    <x:d v="2026-06-23T00:00:00Z"/>
    <x:x v="0"/>
    <x:s v="99526"/>
    <x:s v="BO"/>
    <x:s v="11668"/>
    <x:s v="CO"/>
    <x:s v="BO-11668"/>
    <x:s v="URTECHO VARGAS MARCELO BERARDO"/>
    <x:s v="32807550"/>
    <x:s v="FIERRO LEANDRO"/>
    <x:s v="POLICLÍNICO DIVINO NIÑO JESÚS"/>
    <x:s v="CRISTINA"/>
    <x:s v="0070330"/>
    <x:s v="934254167"/>
    <x:s v="URTECHO VARGAS MARCELO BERARDO"/>
    <x:s v="87290"/>
    <x:x v="18"/>
    <x:n v="1"/>
    <x:s v="PRECISA"/>
    <x:s v="INSTITUTO MEDICO QUIRURGICO AREQUIPA S.A"/>
    <x:s v="INSTITUTO MEDICO QUIRURGICO AREQUIPA S.A"/>
    <x:s v="L.CENTRO"/>
    <x:s v="LMAGAN"/>
    <x:n v="12.71"/>
    <x:s v="LN. LABORATORIO"/>
    <x:s v="CIAS. DE SEGURO"/>
    <x:s v="CENTRO"/>
    <x:m/>
    <x:m/>
    <x:m/>
  </x:r>
  <x:r>
    <x:d v="2026-06-23T00:00:00Z"/>
    <x:x v="0"/>
    <x:s v="99526"/>
    <x:s v="BO"/>
    <x:s v="11668"/>
    <x:s v="CO"/>
    <x:s v="BO-11668"/>
    <x:s v="URTECHO VARGAS MARCELO BERARDO"/>
    <x:s v="32807550"/>
    <x:s v="FIERRO LEANDRO"/>
    <x:s v="POLICLÍNICO DIVINO NIÑO JESÚS"/>
    <x:s v="CRISTINA"/>
    <x:s v="0070330"/>
    <x:s v="934254167"/>
    <x:s v="URTECHO VARGAS MARCELO BERARDO"/>
    <x:s v="87290"/>
    <x:x v="19"/>
    <x:n v="1"/>
    <x:s v="PRECISA"/>
    <x:s v="INSTITUTO MEDICO QUIRURGICO AREQUIPA S.A"/>
    <x:s v="INSTITUTO MEDICO QUIRURGICO AREQUIPA S.A"/>
    <x:s v="L.CENTRO"/>
    <x:s v="LMAGAN"/>
    <x:n v="12.71"/>
    <x:s v="LN. LABORATORIO"/>
    <x:s v="CIAS. DE SEGURO"/>
    <x:s v="CENTRO"/>
    <x:m/>
    <x:m/>
    <x:m/>
  </x:r>
  <x:r>
    <x:d v="2026-06-23T00:00:00Z"/>
    <x:x v="0"/>
    <x:s v="99526"/>
    <x:s v="BO"/>
    <x:s v="11668"/>
    <x:s v="CO"/>
    <x:s v="BO-11668"/>
    <x:s v="URTECHO VARGAS MARCELO BERARDO"/>
    <x:s v="32807550"/>
    <x:s v="FIERRO LEANDRO"/>
    <x:s v="POLICLÍNICO DIVINO NIÑO JESÚS"/>
    <x:s v="CRISTINA"/>
    <x:s v="0070330"/>
    <x:s v="934254167"/>
    <x:s v="URTECHO VARGAS MARCELO BERARDO"/>
    <x:s v="87290"/>
    <x:x v="20"/>
    <x:n v="1"/>
    <x:s v="PRECISA"/>
    <x:s v="INSTITUTO MEDICO QUIRURGICO AREQUIPA S.A"/>
    <x:s v="INSTITUTO MEDICO QUIRURGICO AREQUIPA S.A"/>
    <x:s v="L.CENTRO"/>
    <x:s v="LMAGAN"/>
    <x:n v="50.85"/>
    <x:s v="LN. LABORATORIO"/>
    <x:s v="CIAS. DE SEGURO"/>
    <x:s v="CENTRO"/>
    <x:m/>
    <x:m/>
    <x:m/>
  </x:r>
  <x:r>
    <x:d v="2026-06-23T00:00:00Z"/>
    <x:x v="0"/>
    <x:s v="99527"/>
    <x:s v="BO"/>
    <x:s v="11669"/>
    <x:s v="CO"/>
    <x:s v="BO-11669"/>
    <x:s v="URTECHO VARGAS MARCELO BERARDO"/>
    <x:s v="32807550"/>
    <x:s v="FIERRO LEANDRO"/>
    <x:s v="POLICLÍNICO DIVINO NIÑO JESÚS"/>
    <x:s v="CRISTINA"/>
    <x:s v="0070330"/>
    <x:s v="934254167"/>
    <x:s v="URTECHO VARGAS MARCELO BERARDO"/>
    <x:s v="87292"/>
    <x:x v="7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m/>
    <x:n v="30"/>
  </x:r>
  <x:r>
    <x:d v="2026-06-23T00:00:00Z"/>
    <x:x v="0"/>
    <x:s v="99527"/>
    <x:s v="BO"/>
    <x:s v="11669"/>
    <x:s v="CO"/>
    <x:s v="BO-11669"/>
    <x:s v="URTECHO VARGAS MARCELO BERARDO"/>
    <x:s v="32807550"/>
    <x:s v="FIERRO LEANDRO"/>
    <x:s v="POLICLÍNICO DIVINO NIÑO JESÚS"/>
    <x:s v="CRISTINA"/>
    <x:s v="0070330"/>
    <x:s v="934254167"/>
    <x:s v="URTECHO VARGAS MARCELO BERARDO"/>
    <x:s v="87292"/>
    <x:x v="8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m/>
    <x:n v="30"/>
  </x:r>
  <x:r>
    <x:d v="2026-06-23T00:00:00Z"/>
    <x:x v="0"/>
    <x:s v="99528"/>
    <x:s v="BO"/>
    <x:s v="11670"/>
    <x:s v="CO"/>
    <x:s v="BO-11670"/>
    <x:s v="VILLARREAL AZAÑERO DE CHIRITO MARTINA CO"/>
    <x:s v="15654650"/>
    <x:s v="FIERRO LEANDRO"/>
    <x:s v="POLICLÍNICO DIVINO NIÑO JESÚS"/>
    <x:s v="CRISTINA"/>
    <x:s v="0070331"/>
    <x:s v="920384829"/>
    <x:s v="VILLARREAL AZAÑERO DE CHIRITO MARTINA CO"/>
    <x:s v="87295"/>
    <x:x v="7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m/>
    <x:n v="30"/>
  </x:r>
  <x:r>
    <x:d v="2026-06-23T00:00:00Z"/>
    <x:x v="0"/>
    <x:s v="99528"/>
    <x:s v="BO"/>
    <x:s v="11670"/>
    <x:s v="CO"/>
    <x:s v="BO-11670"/>
    <x:s v="VILLARREAL AZAÑERO DE CHIRITO MARTINA CO"/>
    <x:s v="15654650"/>
    <x:s v="FIERRO LEANDRO"/>
    <x:s v="POLICLÍNICO DIVINO NIÑO JESÚS"/>
    <x:s v="CRISTINA"/>
    <x:s v="0070331"/>
    <x:s v="920384829"/>
    <x:s v="VILLARREAL AZAÑERO DE CHIRITO MARTINA CO"/>
    <x:s v="87295"/>
    <x:x v="8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m/>
    <x:n v="30"/>
  </x:r>
  <x:r>
    <x:d v="2026-06-23T00:00:00Z"/>
    <x:x v="0"/>
    <x:s v="99561"/>
    <x:s v="BO"/>
    <x:s v="11679"/>
    <x:s v="CO"/>
    <x:s v="BO-11679"/>
    <x:s v="LAZO LUYO ENRIQUE FELIX"/>
    <x:s v="16150809"/>
    <x:s v="FIERRO LEANDRO"/>
    <x:s v="POLICLÍNICO DIVINO NIÑO JESÚS"/>
    <x:s v="CRISTINA"/>
    <x:s v="0070454"/>
    <x:s v="999999999"/>
    <x:s v="LAZO LUYO ENRIQUE FELIX"/>
    <x:s v="87325"/>
    <x:x v="7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m/>
    <x:n v="30"/>
  </x:r>
  <x:r>
    <x:d v="2026-06-23T00:00:00Z"/>
    <x:x v="0"/>
    <x:s v="99561"/>
    <x:s v="BO"/>
    <x:s v="11679"/>
    <x:s v="CO"/>
    <x:s v="BO-11679"/>
    <x:s v="LAZO LUYO ENRIQUE FELIX"/>
    <x:s v="16150809"/>
    <x:s v="FIERRO LEANDRO"/>
    <x:s v="POLICLÍNICO DIVINO NIÑO JESÚS"/>
    <x:s v="CRISTINA"/>
    <x:s v="0070454"/>
    <x:s v="999999999"/>
    <x:s v="LAZO LUYO ENRIQUE FELIX"/>
    <x:s v="87325"/>
    <x:x v="8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m/>
    <x:n v="30"/>
  </x:r>
  <x:r>
    <x:d v="2026-06-23T00:00:00Z"/>
    <x:x v="0"/>
    <x:s v="99598"/>
    <x:s v="FA"/>
    <x:s v="1044"/>
    <x:s v="CO"/>
    <x:s v="FA-1044"/>
    <x:s v="VILLARREAL AZAÑERO DE CHIRITO MARTINA CO"/>
    <x:s v="15654650"/>
    <x:s v="FIERRO LEANDRO"/>
    <x:s v="POLICLÍNICO DIVINO NIÑO JESÚS"/>
    <x:s v="CRISTINA"/>
    <x:s v="0070331"/>
    <x:s v="920384829"/>
    <x:s v="GRUPO MEDICO INTEGRAL SOCIEDAD ANONIMA CERRADA"/>
    <x:s v="87297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6-23T00:00:00Z"/>
    <x:x v="0"/>
    <x:s v="99598"/>
    <x:s v="FA"/>
    <x:s v="1044"/>
    <x:s v="CO"/>
    <x:s v="FA-1044"/>
    <x:s v="VILLARREAL AZAÑERO DE CHIRITO MARTINA CO"/>
    <x:s v="15654650"/>
    <x:s v="FIERRO LEANDRO"/>
    <x:s v="POLICLÍNICO DIVINO NIÑO JESÚS"/>
    <x:s v="CRISTINA"/>
    <x:s v="0070331"/>
    <x:s v="920384829"/>
    <x:s v="GRUPO MEDICO INTEGRAL SOCIEDAD ANONIMA CERRADA"/>
    <x:s v="87297"/>
    <x:x v="10"/>
    <x:n v="1"/>
    <x:s v="PRECISA"/>
    <x:s v="INSTITUTO MEDICO QUIRURGICO AREQUIPA S.A"/>
    <x:s v="INSTITUTO MEDICO QUIRURGICO AREQUIPA S.A"/>
    <x:s v="L.CENTRO"/>
    <x:s v="LMAGAN"/>
    <x:n v="1525.42"/>
    <x:s v="LN. CIRUGIA"/>
    <x:s v="CIAS. DE SEGURO"/>
    <x:s v="CENTRO"/>
    <x:m/>
    <x:m/>
    <x:m/>
  </x:r>
  <x:r>
    <x:d v="2026-06-23T00:00:00Z"/>
    <x:x v="0"/>
    <x:s v="99600"/>
    <x:s v="FA"/>
    <x:s v="1045"/>
    <x:s v="CO"/>
    <x:s v="FA-1045"/>
    <x:s v="LAZO LUYO ENRIQUE FELIX"/>
    <x:s v="16150809"/>
    <x:s v="FIERRO LEANDRO"/>
    <x:s v="POLICLÍNICO DIVINO NIÑO JESÚS"/>
    <x:s v="CRISTINA"/>
    <x:s v="0070454"/>
    <x:s v="999999999"/>
    <x:s v="GRUPO MEDICO INTEGRAL SOCIEDAD ANONIMA CERRADA"/>
    <x:s v="87326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6-23T00:00:00Z"/>
    <x:x v="0"/>
    <x:s v="99600"/>
    <x:s v="FA"/>
    <x:s v="1045"/>
    <x:s v="CO"/>
    <x:s v="FA-1045"/>
    <x:s v="LAZO LUYO ENRIQUE FELIX"/>
    <x:s v="16150809"/>
    <x:s v="FIERRO LEANDRO"/>
    <x:s v="POLICLÍNICO DIVINO NIÑO JESÚS"/>
    <x:s v="CRISTINA"/>
    <x:s v="0070454"/>
    <x:s v="999999999"/>
    <x:s v="GRUPO MEDICO INTEGRAL SOCIEDAD ANONIMA CERRADA"/>
    <x:s v="87326"/>
    <x:x v="10"/>
    <x:n v="1"/>
    <x:s v="PRECISA"/>
    <x:s v="INSTITUTO MEDICO QUIRURGICO AREQUIPA S.A"/>
    <x:s v="INSTITUTO MEDICO QUIRURGICO AREQUIPA S.A"/>
    <x:s v="L.CENTRO"/>
    <x:s v="LMAGAN"/>
    <x:n v="1525.42"/>
    <x:s v="LN. CIRUGIA"/>
    <x:s v="CIAS. DE SEGURO"/>
    <x:s v="CENTRO"/>
    <x:m/>
    <x:m/>
    <x:m/>
  </x:r>
  <x:r>
    <x:d v="2026-06-23T00:00:00Z"/>
    <x:x v="0"/>
    <x:s v="99601"/>
    <x:s v="FA"/>
    <x:s v="1046"/>
    <x:s v="CO"/>
    <x:s v="FA-1046"/>
    <x:s v="URTECHO VARGAS MARCELO BERARDO"/>
    <x:s v="32807550"/>
    <x:s v="FIERRO LEANDRO"/>
    <x:s v="POLICLÍNICO DIVINO NIÑO JESÚS"/>
    <x:s v="CRISTINA"/>
    <x:s v="0070330"/>
    <x:s v="934254167"/>
    <x:s v="GRUPO MEDICO INTEGRAL SOCIEDAD ANONIMA CERRADA"/>
    <x:s v="87336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6-23T00:00:00Z"/>
    <x:x v="0"/>
    <x:s v="99601"/>
    <x:s v="FA"/>
    <x:s v="1046"/>
    <x:s v="CO"/>
    <x:s v="FA-1046"/>
    <x:s v="URTECHO VARGAS MARCELO BERARDO"/>
    <x:s v="32807550"/>
    <x:s v="FIERRO LEANDRO"/>
    <x:s v="POLICLÍNICO DIVINO NIÑO JESÚS"/>
    <x:s v="CRISTINA"/>
    <x:s v="0070330"/>
    <x:s v="934254167"/>
    <x:s v="GRUPO MEDICO INTEGRAL SOCIEDAD ANONIMA CERRADA"/>
    <x:s v="87336"/>
    <x:x v="10"/>
    <x:n v="1"/>
    <x:s v="PRECISA"/>
    <x:s v="INSTITUTO MEDICO QUIRURGICO AREQUIPA S.A"/>
    <x:s v="INSTITUTO MEDICO QUIRURGICO AREQUIPA S.A"/>
    <x:s v="L.CENTRO"/>
    <x:s v="LMAGAN"/>
    <x:n v="1525.42"/>
    <x:s v="LN. CIRUGIA"/>
    <x:s v="CIAS. DE SEGURO"/>
    <x:s v="CENTRO"/>
    <x:m/>
    <x:m/>
    <x:m/>
  </x:r>
  <x:r>
    <x:d v="2026-06-23T00:00:00Z"/>
    <x:x v="0"/>
    <x:s v="99560"/>
    <x:s v="BO"/>
    <x:s v="11678"/>
    <x:s v="CO"/>
    <x:s v="BO-11678"/>
    <x:s v="CORTEZ CANCHIS FLOR DE MARIA"/>
    <x:s v="09738269"/>
    <x:s v="MORALES"/>
    <x:m/>
    <x:s v="CRISTINA"/>
    <x:s v="0070447"/>
    <x:s v="903052353"/>
    <x:s v="CORTEZ CANCHIS FLOR DE MARIA"/>
    <x:s v="87324"/>
    <x:x v="1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6-24T00:00:00Z"/>
    <x:x v="0"/>
    <x:s v="99698"/>
    <x:s v="BO"/>
    <x:s v="11711"/>
    <x:s v="CO"/>
    <x:s v="BO-11711"/>
    <x:s v="ESTELA GIRALDO CARMEN AIDA"/>
    <x:s v="07725003"/>
    <x:s v="AGRAMONTE ZEA EDILBERTO"/>
    <x:s v="HOSPITAL DE LA SOLIDARIDAD SJL"/>
    <x:s v="CRISTINA"/>
    <x:s v="0070517"/>
    <x:s v="989533922"/>
    <x:s v="ESTELA GIRALDO CARMEN AIDA"/>
    <x:s v="87451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87407712"/>
    <x:s v="0011-0190-0200333106"/>
    <x:n v="50"/>
  </x:r>
  <x:r>
    <x:d v="2026-06-24T00:00:00Z"/>
    <x:x v="0"/>
    <x:s v="99721"/>
    <x:s v="FA"/>
    <x:s v="1051"/>
    <x:s v="CO"/>
    <x:s v="FA-1051"/>
    <x:s v="CHUMBILE OROSCO OSCAR RENE"/>
    <x:s v="28293097"/>
    <x:s v="VILLAR CURAHUA MARCELA ALEJANDRA"/>
    <x:s v="GAMARRA SALUD"/>
    <x:s v="CRISTINA"/>
    <x:s v="0070350"/>
    <x:s v="998226950"/>
    <x:s v="GAMARRA HEALTHCARE CENTER S.A.C."/>
    <x:s v="87294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n v="950133748"/>
    <x:s v="191-9953047026"/>
    <x:m/>
  </x:r>
  <x:r>
    <x:d v="2026-06-24T00:00:00Z"/>
    <x:x v="0"/>
    <x:s v="99721"/>
    <x:s v="FA"/>
    <x:s v="1051"/>
    <x:s v="CO"/>
    <x:s v="FA-1051"/>
    <x:s v="CHUMBILE OROSCO OSCAR RENE"/>
    <x:s v="28293097"/>
    <x:s v="VILLAR CURAHUA MARCELA ALEJANDRA"/>
    <x:s v="GAMARRA SALUD"/>
    <x:s v="CRISTINA"/>
    <x:s v="0070350"/>
    <x:s v="998226950"/>
    <x:s v="GAMARRA HEALTHCARE CENTER S.A.C."/>
    <x:s v="87294"/>
    <x:x v="10"/>
    <x:n v="1"/>
    <x:s v="PRECISA"/>
    <x:s v="INSTITUTO MEDICO QUIRURGICO AREQUIPA S.A"/>
    <x:s v="INSTITUTO MEDICO QUIRURGICO AREQUIPA S.A"/>
    <x:s v="L.CENTRO"/>
    <x:s v="LMAGAN"/>
    <x:n v="3211.86"/>
    <x:s v="LN. CIRUGIA"/>
    <x:s v="CIAS. DE SEGURO"/>
    <x:s v="CENTRO"/>
    <x:n v="950133748"/>
    <x:s v="191-9953047026"/>
    <x:m/>
  </x:r>
  <x:r>
    <x:d v="2026-06-24T00:00:00Z"/>
    <x:x v="0"/>
    <x:s v="99684"/>
    <x:s v="FA"/>
    <x:s v="1047"/>
    <x:s v="CO"/>
    <x:s v="FA-1047"/>
    <x:s v="RODRIGUEZ MARTELL ROLANDO CHRISTIAN"/>
    <x:s v="72739214"/>
    <x:s v="FONTENLA SERNA DAVID IVAN"/>
    <x:s v="HOSPITAL NAVAL"/>
    <x:s v="CRISTINA"/>
    <x:s v="0070113"/>
    <x:s v="9982215445"/>
    <x:s v="FONTENLA VISION E.I.R.L."/>
    <x:s v="87353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n v="976922608"/>
    <x:s v="0011-0117-0200577155"/>
    <x:m/>
  </x:r>
  <x:r>
    <x:d v="2026-06-24T00:00:00Z"/>
    <x:x v="0"/>
    <x:s v="99684"/>
    <x:s v="FA"/>
    <x:s v="1047"/>
    <x:s v="CO"/>
    <x:s v="FA-1047"/>
    <x:s v="RODRIGUEZ MARTELL ROLANDO CHRISTIAN"/>
    <x:s v="72739214"/>
    <x:s v="FONTENLA SERNA DAVID IVAN"/>
    <x:s v="HOSPITAL NAVAL"/>
    <x:s v="CRISTINA"/>
    <x:s v="0070113"/>
    <x:s v="9982215445"/>
    <x:s v="FONTENLA VISION E.I.R.L."/>
    <x:s v="87353"/>
    <x:x v="23"/>
    <x:n v="1"/>
    <x:s v="PRECISA"/>
    <x:s v="INSTITUTO MEDICO QUIRURGICO AREQUIPA S.A"/>
    <x:s v="INSTITUTO MEDICO QUIRURGICO AREQUIPA S.A"/>
    <x:s v="L.CENTRO"/>
    <x:s v="LMAGAN"/>
    <x:n v="550.85"/>
    <x:s v="LN. CIRUGIA"/>
    <x:s v="CIAS. DE SEGURO"/>
    <x:s v="CENTRO"/>
    <x:n v="976922608"/>
    <x:s v="0011-0117-0200577155"/>
    <x:m/>
  </x:r>
  <x:r>
    <x:d v="2026-06-24T00:00:00Z"/>
    <x:x v="0"/>
    <x:s v="99685"/>
    <x:s v="FA"/>
    <x:s v="1048"/>
    <x:s v="CO"/>
    <x:s v="FA-1048"/>
    <x:s v="RODRIGUEZ MARTELL ROLANDO CHRISTIAN"/>
    <x:s v="72739214"/>
    <x:s v="FONTENLA SERNA DAVID IVAN"/>
    <x:s v="HOSPITAL NAVAL"/>
    <x:s v="CRISTINA"/>
    <x:s v="0070113"/>
    <x:s v="9982215445"/>
    <x:s v="FONTENLA VISION E.I.R.L."/>
    <x:s v="87439"/>
    <x:x v="12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76922608"/>
    <x:s v="0011-0117-0200577155"/>
    <x:n v="30"/>
  </x:r>
  <x:r>
    <x:d v="2026-06-24T00:00:00Z"/>
    <x:x v="0"/>
    <x:s v="99687"/>
    <x:s v="FA"/>
    <x:s v="1049"/>
    <x:s v="CO"/>
    <x:s v="FA-1049"/>
    <x:s v="RODRIGUEZ MARTELL ROLANDO CHRISTIAN"/>
    <x:s v="72739214"/>
    <x:s v="FONTENLA SERNA DAVID IVAN"/>
    <x:s v="HOSPITAL NAVAL"/>
    <x:s v="CRISTINA"/>
    <x:s v="0070113"/>
    <x:s v="9982215445"/>
    <x:s v="FONTENLA VISION E.I.R.L."/>
    <x:s v="87440"/>
    <x:x v="28"/>
    <x:n v="1"/>
    <x:s v="PRECISA"/>
    <x:s v="INSTITUTO MEDICO QUIRURGICO AREQUIPA S.A"/>
    <x:s v="INSTITUTO MEDICO QUIRURGICO AREQUIPA S.A"/>
    <x:s v="L.CENTRO"/>
    <x:s v="LMAGAN"/>
    <x:n v="33.9"/>
    <x:s v="LN. EXAMENES"/>
    <x:s v="CIAS. DE SEGURO"/>
    <x:s v="CENTRO"/>
    <x:n v="976922608"/>
    <x:s v="0011-0117-0200577155"/>
    <x:m/>
  </x:r>
  <x:r>
    <x:d v="2026-06-24T00:00:00Z"/>
    <x:x v="0"/>
    <x:s v="99695"/>
    <x:s v="BO"/>
    <x:s v="4429"/>
    <x:s v="CO"/>
    <x:s v="BO-4429"/>
    <x:s v="MORE MONASTERIO NILDA MARIA"/>
    <x:s v="10291906"/>
    <x:s v="ROJAS AQUINO EVELING KARINA"/>
    <x:s v="POLICLÍNICO ESPÍRITU SANTO"/>
    <x:s v="CRISTINA"/>
    <x:s v="0070515"/>
    <x:s v="973822706"/>
    <x:s v="MORE MONASTERIO NILDA MARIA"/>
    <x:s v="87448"/>
    <x:x v="2"/>
    <x:n v="1"/>
    <x:s v="PRECISA LN"/>
    <x:s v="POR ASIGNAR"/>
    <x:s v="INSTITUTO MEDICO QUIRURGICO AREQUIPA S.A"/>
    <x:s v="L.NORTE"/>
    <x:s v="AALARCON"/>
    <x:n v="186.44"/>
    <x:s v="LN. EXAMENES"/>
    <x:s v="CIAS. DE SEGURO"/>
    <x:s v="NORTE"/>
    <x:n v="955356636"/>
    <x:s v="009-3226956615"/>
    <x:n v="50"/>
  </x:r>
  <x:r>
    <x:d v="2026-06-24T00:00:00Z"/>
    <x:x v="0"/>
    <x:s v="99695"/>
    <x:s v="BO"/>
    <x:s v="4429"/>
    <x:s v="CO"/>
    <x:s v="BO-4429"/>
    <x:s v="MORE MONASTERIO NILDA MARIA"/>
    <x:s v="10291906"/>
    <x:s v="ROJAS AQUINO EVELING KARINA"/>
    <x:s v="POLICLÍNICO ESPÍRITU SANTO"/>
    <x:s v="CRISTINA"/>
    <x:s v="0070515"/>
    <x:s v="973822706"/>
    <x:s v="MORE MONASTERIO NILDA MARIA"/>
    <x:s v="87448"/>
    <x:x v="4"/>
    <x:n v="1"/>
    <x:s v="PRECISA LN"/>
    <x:s v="POR ASIGNAR"/>
    <x:s v="INSTITUTO MEDICO QUIRURGICO AREQUIPA S.A"/>
    <x:s v="L.NORTE"/>
    <x:s v="AALARCON"/>
    <x:n v="135.59"/>
    <x:s v="LN. EXAMENES"/>
    <x:s v="CIAS. DE SEGURO"/>
    <x:s v="NORTE"/>
    <x:n v="955356636"/>
    <x:s v="009-3226956615"/>
    <x:n v="30"/>
  </x:r>
  <x:r>
    <x:d v="2026-06-24T00:00:00Z"/>
    <x:x v="0"/>
    <x:s v="99631"/>
    <x:s v="BO"/>
    <x:s v="11693"/>
    <x:s v="CO"/>
    <x:s v="BO-11693"/>
    <x:s v="CALVAY SAUSA LUIS ALBERTO"/>
    <x:s v="10405367"/>
    <x:s v="MENDOZA DIAZ NORA BEATRIZ"/>
    <x:s v="ESSALUD ATE"/>
    <x:s v="CRISTINA"/>
    <x:s v="0070474"/>
    <x:s v="95231065"/>
    <x:s v="CALVAY SAUSA LUIS ALBERTO"/>
    <x:s v="87381"/>
    <x:x v="7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n v="993540760"/>
    <x:s v="191-03554214014"/>
    <x:n v="30"/>
  </x:r>
  <x:r>
    <x:d v="2026-06-24T00:00:00Z"/>
    <x:x v="0"/>
    <x:s v="99631"/>
    <x:s v="BO"/>
    <x:s v="11693"/>
    <x:s v="CO"/>
    <x:s v="BO-11693"/>
    <x:s v="CALVAY SAUSA LUIS ALBERTO"/>
    <x:s v="10405367"/>
    <x:s v="MENDOZA DIAZ NORA BEATRIZ"/>
    <x:s v="ESSALUD ATE"/>
    <x:s v="CRISTINA"/>
    <x:s v="0070474"/>
    <x:s v="95231065"/>
    <x:s v="CALVAY SAUSA LUIS ALBERTO"/>
    <x:s v="87381"/>
    <x:x v="8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n v="993540760"/>
    <x:s v="191-03554214014"/>
    <x:n v="30"/>
  </x:r>
  <x:r>
    <x:d v="2026-06-24T00:00:00Z"/>
    <x:x v="0"/>
    <x:s v="99632"/>
    <x:s v="BO"/>
    <x:s v="11694"/>
    <x:s v="CO"/>
    <x:s v="BO-11694"/>
    <x:s v="CALVAY SAUSA LUIS ALBERTO"/>
    <x:s v="10405367"/>
    <x:s v="MENDOZA DIAZ NORA BEATRIZ"/>
    <x:s v="ESSALUD ATE"/>
    <x:s v="CRISTINA"/>
    <x:s v="0070474"/>
    <x:s v="95231065"/>
    <x:s v="CALVAY SAUSA LUIS ALBERTO"/>
    <x:s v="87382"/>
    <x:x v="16"/>
    <x:n v="1"/>
    <x:s v="PRECISA"/>
    <x:s v="INSTITUTO MEDICO QUIRURGICO AREQUIPA S.A"/>
    <x:s v="INSTITUTO MEDICO QUIRURGICO AREQUIPA S.A"/>
    <x:s v="L.CENTRO"/>
    <x:s v="LMAGAN"/>
    <x:n v="12.71"/>
    <x:s v="LN. LABORATORIO"/>
    <x:s v="CIAS. DE SEGURO"/>
    <x:s v="CENTRO"/>
    <x:n v="993540760"/>
    <x:s v="191-03554214014"/>
    <x:m/>
  </x:r>
  <x:r>
    <x:d v="2026-06-24T00:00:00Z"/>
    <x:x v="0"/>
    <x:s v="99632"/>
    <x:s v="BO"/>
    <x:s v="11694"/>
    <x:s v="CO"/>
    <x:s v="BO-11694"/>
    <x:s v="CALVAY SAUSA LUIS ALBERTO"/>
    <x:s v="10405367"/>
    <x:s v="MENDOZA DIAZ NORA BEATRIZ"/>
    <x:s v="ESSALUD ATE"/>
    <x:s v="CRISTINA"/>
    <x:s v="0070474"/>
    <x:s v="95231065"/>
    <x:s v="CALVAY SAUSA LUIS ALBERTO"/>
    <x:s v="87382"/>
    <x:x v="17"/>
    <x:n v="1"/>
    <x:s v="PRECISA"/>
    <x:s v="INSTITUTO MEDICO QUIRURGICO AREQUIPA S.A"/>
    <x:s v="INSTITUTO MEDICO QUIRURGICO AREQUIPA S.A"/>
    <x:s v="L.CENTRO"/>
    <x:s v="LMAGAN"/>
    <x:n v="21.19"/>
    <x:s v="LN. LABORATORIO"/>
    <x:s v="CIAS. DE SEGURO"/>
    <x:s v="CENTRO"/>
    <x:n v="993540760"/>
    <x:s v="191-03554214014"/>
    <x:m/>
  </x:r>
  <x:r>
    <x:d v="2026-06-24T00:00:00Z"/>
    <x:x v="0"/>
    <x:s v="99632"/>
    <x:s v="BO"/>
    <x:s v="11694"/>
    <x:s v="CO"/>
    <x:s v="BO-11694"/>
    <x:s v="CALVAY SAUSA LUIS ALBERTO"/>
    <x:s v="10405367"/>
    <x:s v="MENDOZA DIAZ NORA BEATRIZ"/>
    <x:s v="ESSALUD ATE"/>
    <x:s v="CRISTINA"/>
    <x:s v="0070474"/>
    <x:s v="95231065"/>
    <x:s v="CALVAY SAUSA LUIS ALBERTO"/>
    <x:s v="87382"/>
    <x:x v="18"/>
    <x:n v="1"/>
    <x:s v="PRECISA"/>
    <x:s v="INSTITUTO MEDICO QUIRURGICO AREQUIPA S.A"/>
    <x:s v="INSTITUTO MEDICO QUIRURGICO AREQUIPA S.A"/>
    <x:s v="L.CENTRO"/>
    <x:s v="LMAGAN"/>
    <x:n v="12.71"/>
    <x:s v="LN. LABORATORIO"/>
    <x:s v="CIAS. DE SEGURO"/>
    <x:s v="CENTRO"/>
    <x:n v="993540760"/>
    <x:s v="191-03554214014"/>
    <x:m/>
  </x:r>
  <x:r>
    <x:d v="2026-06-24T00:00:00Z"/>
    <x:x v="0"/>
    <x:s v="99632"/>
    <x:s v="BO"/>
    <x:s v="11694"/>
    <x:s v="CO"/>
    <x:s v="BO-11694"/>
    <x:s v="CALVAY SAUSA LUIS ALBERTO"/>
    <x:s v="10405367"/>
    <x:s v="MENDOZA DIAZ NORA BEATRIZ"/>
    <x:s v="ESSALUD ATE"/>
    <x:s v="CRISTINA"/>
    <x:s v="0070474"/>
    <x:s v="95231065"/>
    <x:s v="CALVAY SAUSA LUIS ALBERTO"/>
    <x:s v="87382"/>
    <x:x v="19"/>
    <x:n v="1"/>
    <x:s v="PRECISA"/>
    <x:s v="INSTITUTO MEDICO QUIRURGICO AREQUIPA S.A"/>
    <x:s v="INSTITUTO MEDICO QUIRURGICO AREQUIPA S.A"/>
    <x:s v="L.CENTRO"/>
    <x:s v="LMAGAN"/>
    <x:n v="12.71"/>
    <x:s v="LN. LABORATORIO"/>
    <x:s v="CIAS. DE SEGURO"/>
    <x:s v="CENTRO"/>
    <x:n v="993540760"/>
    <x:s v="191-03554214014"/>
    <x:m/>
  </x:r>
  <x:r>
    <x:d v="2026-06-24T00:00:00Z"/>
    <x:x v="0"/>
    <x:s v="99632"/>
    <x:s v="BO"/>
    <x:s v="11694"/>
    <x:s v="CO"/>
    <x:s v="BO-11694"/>
    <x:s v="CALVAY SAUSA LUIS ALBERTO"/>
    <x:s v="10405367"/>
    <x:s v="MENDOZA DIAZ NORA BEATRIZ"/>
    <x:s v="ESSALUD ATE"/>
    <x:s v="CRISTINA"/>
    <x:s v="0070474"/>
    <x:s v="95231065"/>
    <x:s v="CALVAY SAUSA LUIS ALBERTO"/>
    <x:s v="87382"/>
    <x:x v="20"/>
    <x:n v="1"/>
    <x:s v="PRECISA"/>
    <x:s v="INSTITUTO MEDICO QUIRURGICO AREQUIPA S.A"/>
    <x:s v="INSTITUTO MEDICO QUIRURGICO AREQUIPA S.A"/>
    <x:s v="L.CENTRO"/>
    <x:s v="LMAGAN"/>
    <x:n v="50.85"/>
    <x:s v="LN. LABORATORIO"/>
    <x:s v="CIAS. DE SEGURO"/>
    <x:s v="CENTRO"/>
    <x:n v="993540760"/>
    <x:s v="191-03554214014"/>
    <x:m/>
  </x:r>
  <x:r>
    <x:d v="2026-06-24T00:00:00Z"/>
    <x:x v="0"/>
    <x:s v="99633"/>
    <x:s v="BO"/>
    <x:s v="11695"/>
    <x:s v="CO"/>
    <x:s v="BO-11695"/>
    <x:s v="CALVAY SAUSA LUIS ALBERTO"/>
    <x:s v="10405367"/>
    <x:s v="MENDOZA DIAZ NORA BEATRIZ"/>
    <x:s v="ESSALUD ATE"/>
    <x:s v="CRISTINA"/>
    <x:s v="0070474"/>
    <x:s v="95231065"/>
    <x:s v="CALVAY SAUSA LUIS ALBERTO"/>
    <x:s v="87380"/>
    <x:x v="15"/>
    <x:n v="1"/>
    <x:s v="PRECISA"/>
    <x:s v="INSTITUTO MEDICO QUIRURGICO AREQUIPA S.A"/>
    <x:s v="INSTITUTO MEDICO QUIRURGICO AREQUIPA S.A"/>
    <x:s v="L.CENTRO"/>
    <x:s v="LMAGAN"/>
    <x:n v="127.12"/>
    <x:s v="LN. EXAMENES"/>
    <x:s v="CIAS. DE SEGURO"/>
    <x:s v="CENTRO"/>
    <x:n v="993540760"/>
    <x:s v="191-03554214014"/>
    <x:m/>
  </x:r>
  <x:r>
    <x:d v="2026-06-24T00:00:00Z"/>
    <x:x v="0"/>
    <x:s v="99652"/>
    <x:s v="BO"/>
    <x:s v="11704"/>
    <x:s v="CO"/>
    <x:s v="BO-11704"/>
    <x:s v="ZEGARRA MENDOZA CESAR AUGUSTO"/>
    <x:s v="29484735"/>
    <x:s v="CALCINA"/>
    <x:m/>
    <x:s v="CRISTINA"/>
    <x:s v="0070492"/>
    <x:s v="979618340"/>
    <x:s v="ZEGARRA MENDOZA CESAR AUGUSTO"/>
    <x:s v="87401"/>
    <x:x v="21"/>
    <x:n v="1"/>
    <x:s v="PRECISA"/>
    <x:s v="INSTITUTO MEDICO QUIRURGICO AREQUIPA S.A"/>
    <x:s v="INSTITUTO MEDICO QUIRURGICO AREQUIPA S.A"/>
    <x:s v="L.CENTRO"/>
    <x:s v="LMAGAN"/>
    <x:n v="338.98"/>
    <x:s v="LN. EXAMENES"/>
    <x:s v="CIAS. DE SEGURO"/>
    <x:s v="CENTRO"/>
    <x:m/>
    <x:m/>
    <x:n v="100"/>
  </x:r>
  <x:r>
    <x:d v="2026-06-25T00:00:00Z"/>
    <x:x v="0"/>
    <x:s v="99853"/>
    <x:s v="BO"/>
    <x:s v="4446"/>
    <x:s v="CO"/>
    <x:s v="BO-4446"/>
    <x:s v="VILLA GALVEZ MARIA ESPERANZA"/>
    <x:s v="08462757"/>
    <x:s v="AGRAMONTE ZEA EDILBERTO"/>
    <x:s v="HOSPITAL DE LA SOLIDARIDAD SJL"/>
    <x:s v="CRISTINA"/>
    <x:s v="0070015"/>
    <x:s v="955008730"/>
    <x:s v="VILLA GALVEZ MARIA ESPERANZA"/>
    <x:s v="87550"/>
    <x:x v="1"/>
    <x:n v="1"/>
    <x:s v="PRECISA LN"/>
    <x:s v="POR ASIGNAR"/>
    <x:s v="INSTITUTO MEDICO QUIRURGICO AREQUIPA S.A"/>
    <x:s v="L.NORTE"/>
    <x:s v="AALARCON"/>
    <x:n v="135.59"/>
    <x:s v="LN. EXAMENES"/>
    <x:s v="CIAS. DE SEGURO"/>
    <x:s v="NORTE"/>
    <x:n v="987407712"/>
    <x:s v="0011-0190-0200333106"/>
    <x:n v="30"/>
  </x:r>
  <x:r>
    <x:d v="2026-06-25T00:00:00Z"/>
    <x:x v="0"/>
    <x:s v="99815"/>
    <x:s v="BO"/>
    <x:s v="11735"/>
    <x:s v="CO"/>
    <x:s v="BO-11735"/>
    <x:s v="VILLANERA ESPINOZA NARCIZO"/>
    <x:s v="31663264"/>
    <x:s v="MANSILLA JUAN JOSÉ"/>
    <x:s v="CONSULTORIO PARTICULAR"/>
    <x:s v="CRISTINA"/>
    <x:s v="0070551"/>
    <x:s v="938800746"/>
    <x:s v="VILLANERA ESPINOZA NARCIZO"/>
    <x:s v="87531"/>
    <x:x v="22"/>
    <x:n v="1"/>
    <x:s v="PRECISA"/>
    <x:s v="INSTITUTO MEDICO QUIRURGICO AREQUIPA S.A"/>
    <x:s v="INSTITUTO MEDICO QUIRURGICO AREQUIPA S.A"/>
    <x:s v="L.CENTRO"/>
    <x:s v="LMAGAN"/>
    <x:n v="101.69"/>
    <x:s v="LN. PROCEDIMIENTO"/>
    <x:s v="CIAS. DE SEGURO"/>
    <x:s v="CENTRO"/>
    <x:m/>
    <x:m/>
    <x:m/>
  </x:r>
  <x:r>
    <x:d v="2026-06-25T00:00:00Z"/>
    <x:x v="0"/>
    <x:s v="99814"/>
    <x:s v="FA"/>
    <x:s v="1053"/>
    <x:s v="CO"/>
    <x:s v="FA-1053"/>
    <x:s v="ESCOBEDO LARA DE HERRERA NORBERTA"/>
    <x:s v="09220286"/>
    <x:s v="PALACIOS URIBE PAMELA CAROLINA"/>
    <x:m/>
    <x:s v="CRISTINA"/>
    <x:s v="0070433"/>
    <x:s v="999999999"/>
    <x:s v="GRUPO MVP S.A.C."/>
    <x:s v="87322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6-25T00:00:00Z"/>
    <x:x v="0"/>
    <x:s v="99814"/>
    <x:s v="FA"/>
    <x:s v="1053"/>
    <x:s v="CO"/>
    <x:s v="FA-1053"/>
    <x:s v="ESCOBEDO LARA DE HERRERA NORBERTA"/>
    <x:s v="09220286"/>
    <x:s v="PALACIOS URIBE PAMELA CAROLINA"/>
    <x:m/>
    <x:s v="CRISTINA"/>
    <x:s v="0070433"/>
    <x:s v="999999999"/>
    <x:s v="GRUPO MVP S.A.C."/>
    <x:s v="87322"/>
    <x:x v="29"/>
    <x:n v="1"/>
    <x:s v="PRECISA"/>
    <x:s v="INSTITUTO MEDICO QUIRURGICO AREQUIPA S.A"/>
    <x:s v="INSTITUTO MEDICO QUIRURGICO AREQUIPA S.A"/>
    <x:s v="L.CENTRO"/>
    <x:s v="LMAGAN"/>
    <x:n v="139.83"/>
    <x:s v="LN. CIRUGIA"/>
    <x:s v="CIAS. DE SEGURO"/>
    <x:s v="CENTRO"/>
    <x:m/>
    <x:m/>
    <x:m/>
  </x:r>
  <x:r>
    <x:d v="2026-06-30T00:00:00Z"/>
    <x:x v="0"/>
    <x:s v="100169"/>
    <x:s v="BO"/>
    <x:s v="4038"/>
    <x:s v="CO"/>
    <x:s v="BO-4038"/>
    <x:s v="PARISACA MAMANI FRANCISCO"/>
    <x:s v="09551435"/>
    <x:m/>
    <x:m/>
    <x:s v="CRISTINA"/>
    <x:s v="0070705"/>
    <x:s v="+51980455062"/>
    <x:s v="PARISACA MAMANI FRANCISCO"/>
    <x:s v="87779"/>
    <x:x v="2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m/>
    <x:m/>
    <x:n v="50"/>
  </x:r>
  <x:r>
    <x:d v="2026-06-30T00:00:00Z"/>
    <x:x v="0"/>
    <x:s v="100102"/>
    <x:s v="FA"/>
    <x:s v="1054"/>
    <x:s v="CO"/>
    <x:s v="FA-1054"/>
    <x:s v="CUELLAR MONTERO HUGO VICTOR DOMINGO"/>
    <x:s v="06044836"/>
    <x:s v="ZELADA LORENZO ANGEL MIGUEL"/>
    <x:s v="HOSPITAL NAVAL"/>
    <x:s v="CRISTINA"/>
    <x:s v="0070679"/>
    <x:s v="9716122026"/>
    <x:s v="CUELLAR MONTERO HUGO VICTOR DOMINGO"/>
    <x:s v="87741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95833213"/>
    <x:s v="191-14525587008"/>
    <x:n v="50"/>
  </x:r>
  <x:r>
    <x:d v="2026-07-01T00:00:00Z"/>
    <x:x v="1"/>
    <x:s v="100264"/>
    <x:s v="BO"/>
    <x:s v="11781"/>
    <x:s v="CO"/>
    <x:s v="BO-11781"/>
    <x:s v="YUPANQUI HUAMAN DEREK DANIEL"/>
    <x:s v="73166982"/>
    <x:s v="HUARANGA RUIZ CORNEJO JORGE ERNESTO"/>
    <x:s v="HOSPITAL MONGRUT"/>
    <x:s v="CRISTINA"/>
    <x:s v="0070767"/>
    <x:s v="984171901"/>
    <x:s v="YUPANQUI HUAMAN DEREK DANIEL"/>
    <x:s v="87870"/>
    <x:x v="12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45319366"/>
    <x:s v="194-94066798065"/>
    <x:n v="30"/>
  </x:r>
  <x:r>
    <x:d v="2026-07-01T00:00:00Z"/>
    <x:x v="1"/>
    <x:s v="100221"/>
    <x:s v="BO"/>
    <x:s v="11774"/>
    <x:s v="CO"/>
    <x:s v="BO-11774"/>
    <x:s v="CERON HUAMANI FRANCISCA"/>
    <x:s v="09471100"/>
    <x:s v="HUAMAN RIOS LUIS ENRIQUE"/>
    <x:s v="HOSPITAL SERGIO BERNALES"/>
    <x:s v="CRISTINA"/>
    <x:s v="0070736"/>
    <x:s v="960127734"/>
    <x:s v="CERON HUAMANI FRANCISCA"/>
    <x:s v="87836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99986041"/>
    <x:s v="191-30583545068"/>
    <x:n v="30"/>
  </x:r>
  <x:r>
    <x:d v="2026-07-01T00:00:00Z"/>
    <x:x v="1"/>
    <x:s v="100210"/>
    <x:s v="BO"/>
    <x:s v="11769"/>
    <x:s v="CO"/>
    <x:s v="BO-11769"/>
    <x:s v="AZANI CHAVEZ PAULINA"/>
    <x:s v="08934796"/>
    <x:s v="DURAN ESPINOZA CESAR ARTURO"/>
    <x:s v="CONSULTORIO LA MOLINA"/>
    <x:s v="CRISTINA"/>
    <x:s v="0070511"/>
    <x:s v="999999999"/>
    <x:s v="AZANI CHAVEZ PAULINA"/>
    <x:s v="87822"/>
    <x:x v="21"/>
    <x:n v="1"/>
    <x:s v="PRECISA"/>
    <x:s v="INSTITUTO MEDICO QUIRURGICO AREQUIPA S.A"/>
    <x:s v="INSTITUTO MEDICO QUIRURGICO AREQUIPA S.A"/>
    <x:s v="L.CENTRO"/>
    <x:s v="LMAGAN"/>
    <x:n v="338.98"/>
    <x:s v="LN. EXAMENES"/>
    <x:s v="CIAS. DE SEGURO"/>
    <x:s v="CENTRO"/>
    <x:n v="995868651"/>
    <x:s v="191-92300592019"/>
    <x:n v="100"/>
  </x:r>
  <x:r>
    <x:d v="2026-07-01T00:00:00Z"/>
    <x:x v="1"/>
    <x:s v="100280"/>
    <x:s v="FA"/>
    <x:s v="1058"/>
    <x:s v="CO"/>
    <x:s v="FA-1058"/>
    <x:s v="MEJIA VILLANUEVA ESTHER"/>
    <x:s v="42243508"/>
    <x:s v="PALACIOS URIBE PAMELA CAROLINA "/>
    <x:s v="CONSULTORIO PARTICULAR"/>
    <x:s v="CRISTINA"/>
    <x:s v="0070699"/>
    <x:s v="999999999"/>
    <x:s v="GRUPO MVP S.A.C."/>
    <x:s v="87773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n v="994872106"/>
    <x:s v="193-95965374018"/>
    <x:m/>
  </x:r>
  <x:r>
    <x:d v="2026-07-01T00:00:00Z"/>
    <x:x v="1"/>
    <x:s v="100280"/>
    <x:s v="FA"/>
    <x:s v="1058"/>
    <x:s v="CO"/>
    <x:s v="FA-1058"/>
    <x:s v="MEJIA VILLANUEVA ESTHER"/>
    <x:s v="42243508"/>
    <x:s v="PALACIOS URIBE PAMELA CAROLINA "/>
    <x:s v="CONSULTORIO PARTICULAR"/>
    <x:s v="CRISTINA"/>
    <x:s v="0070699"/>
    <x:s v="999999999"/>
    <x:s v="GRUPO MVP S.A.C."/>
    <x:s v="87773"/>
    <x:x v="30"/>
    <x:n v="1"/>
    <x:s v="PRECISA"/>
    <x:s v="INSTITUTO MEDICO QUIRURGICO AREQUIPA S.A"/>
    <x:s v="INSTITUTO MEDICO QUIRURGICO AREQUIPA S.A"/>
    <x:s v="L.CENTRO"/>
    <x:s v="LMAGAN"/>
    <x:n v="139.83"/>
    <x:s v="LN. CIRUGIA"/>
    <x:s v="CIAS. DE SEGURO"/>
    <x:s v="CENTRO"/>
    <x:n v="994872106"/>
    <x:s v="193-95965374018"/>
    <x:m/>
  </x:r>
  <x:r>
    <x:d v="2026-07-01T00:00:00Z"/>
    <x:x v="1"/>
    <x:s v="100247"/>
    <x:s v="BO"/>
    <x:s v="11778"/>
    <x:s v="CO"/>
    <x:s v="BO-11778"/>
    <x:s v="TAVARA SILVA ABEL"/>
    <x:s v="25827595"/>
    <x:s v="JAVE ESCALANTE LIZETH"/>
    <x:s v="HOSPITAL LOAYZA"/>
    <x:s v="CRISTINA"/>
    <x:s v="0055542"/>
    <x:s v="980663171"/>
    <x:s v="TAVARA SILVA ABEL"/>
    <x:s v="87854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99111362"/>
    <x:s v="200-3076497260"/>
    <x:n v="50"/>
  </x:r>
  <x:r>
    <x:d v="2026-07-01T00:00:00Z"/>
    <x:x v="1"/>
    <x:s v="100237"/>
    <x:s v="BO"/>
    <x:s v="11776"/>
    <x:s v="CO"/>
    <x:s v="BO-11776"/>
    <x:s v="SOLIS POMA LUCIA"/>
    <x:s v="06309577"/>
    <x:s v="ALDAVE"/>
    <x:m/>
    <x:s v="CRISTINA"/>
    <x:s v="0070746"/>
    <x:s v="958964480"/>
    <x:s v="SOLIS POMA LUCIA"/>
    <x:s v="87846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7-02T00:00:00Z"/>
    <x:x v="1"/>
    <x:s v="100315"/>
    <x:s v="BO"/>
    <x:s v="11788"/>
    <x:s v="CO"/>
    <x:s v="BO-11788"/>
    <x:s v="SANCHEZ ORTEGA GUILLERMO ANTONIO"/>
    <x:s v="02635978"/>
    <x:s v="FERNANDEZ GUTIERREZ OLGA PATRICIA"/>
    <x:s v="CONSULTORIO PARTICULAR"/>
    <x:s v="CRISTINA"/>
    <x:s v="0070786"/>
    <x:s v="933936240"/>
    <x:s v="SANCHEZ ORTEGA GUILLERMO ANTONIO"/>
    <x:s v="87918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82536223"/>
    <x:s v="107-3174605363"/>
    <x:n v="30"/>
  </x:r>
  <x:r>
    <x:d v="2026-07-02T00:00:00Z"/>
    <x:x v="1"/>
    <x:s v="100315"/>
    <x:s v="BO"/>
    <x:s v="11788"/>
    <x:s v="CO"/>
    <x:s v="BO-11788"/>
    <x:s v="SANCHEZ ORTEGA GUILLERMO ANTONIO"/>
    <x:s v="02635978"/>
    <x:s v="FERNANDEZ GUTIERREZ OLGA PATRICIA"/>
    <x:s v="CONSULTORIO PARTICULAR"/>
    <x:s v="CRISTINA"/>
    <x:s v="0070786"/>
    <x:s v="933936240"/>
    <x:s v="SANCHEZ ORTEGA GUILLERMO ANTONIO"/>
    <x:s v="87918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82536223"/>
    <x:s v="107-3174605363"/>
    <x:n v="50"/>
  </x:r>
  <x:r>
    <x:d v="2026-07-02T00:00:00Z"/>
    <x:x v="1"/>
    <x:s v="100315"/>
    <x:s v="BO"/>
    <x:s v="11788"/>
    <x:s v="CO"/>
    <x:s v="BO-11788"/>
    <x:s v="SANCHEZ ORTEGA GUILLERMO ANTONIO"/>
    <x:s v="02635978"/>
    <x:s v="FERNANDEZ GUTIERREZ OLGA PATRICIA"/>
    <x:s v="CONSULTORIO PARTICULAR"/>
    <x:s v="CRISTINA"/>
    <x:s v="0070786"/>
    <x:s v="933936240"/>
    <x:s v="SANCHEZ ORTEGA GUILLERMO ANTONIO"/>
    <x:s v="87918"/>
    <x:x v="5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82536223"/>
    <x:s v="107-3174605363"/>
    <x:n v="30"/>
  </x:r>
  <x:r>
    <x:d v="2026-07-02T00:00:00Z"/>
    <x:x v="1"/>
    <x:s v="100291"/>
    <x:s v="BO"/>
    <x:s v="5699"/>
    <x:s v="CO"/>
    <x:s v="BO-5699"/>
    <x:s v="BALCAZAR SILVA ANTONIO LEONIDAS"/>
    <x:s v="06796475"/>
    <x:s v="FIERRO LEANDRO"/>
    <x:s v="POLICLÍNICO DIVINO NIÑO JESÚS"/>
    <x:s v="CRISTINA"/>
    <x:s v="0070727"/>
    <x:s v="983835015"/>
    <x:s v="BALCAZAR SILVA ANTONIO LEONIDAS"/>
    <x:s v="87889"/>
    <x:x v="16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7-02T00:00:00Z"/>
    <x:x v="1"/>
    <x:s v="100291"/>
    <x:s v="BO"/>
    <x:s v="5699"/>
    <x:s v="CO"/>
    <x:s v="BO-5699"/>
    <x:s v="BALCAZAR SILVA ANTONIO LEONIDAS"/>
    <x:s v="06796475"/>
    <x:s v="FIERRO LEANDRO"/>
    <x:s v="POLICLÍNICO DIVINO NIÑO JESÚS"/>
    <x:s v="CRISTINA"/>
    <x:s v="0070727"/>
    <x:s v="983835015"/>
    <x:s v="BALCAZAR SILVA ANTONIO LEONIDAS"/>
    <x:s v="87889"/>
    <x:x v="17"/>
    <x:n v="1"/>
    <x:s v="PRECISA"/>
    <x:s v="INSTITUTO MEDICO QUIRURGICO AREQUIPA S.A"/>
    <x:s v="INSTITUTO MEDICO QUIRURGICO AREQUIPA S.A"/>
    <x:s v="L.CENTRO"/>
    <x:s v="ACABRERA"/>
    <x:n v="21.19"/>
    <x:s v="LN. LABORATORIO"/>
    <x:s v="CIAS. DE SEGURO"/>
    <x:s v="CENTRO"/>
    <x:m/>
    <x:m/>
    <x:m/>
  </x:r>
  <x:r>
    <x:d v="2026-07-02T00:00:00Z"/>
    <x:x v="1"/>
    <x:s v="100291"/>
    <x:s v="BO"/>
    <x:s v="5699"/>
    <x:s v="CO"/>
    <x:s v="BO-5699"/>
    <x:s v="BALCAZAR SILVA ANTONIO LEONIDAS"/>
    <x:s v="06796475"/>
    <x:s v="FIERRO LEANDRO"/>
    <x:s v="POLICLÍNICO DIVINO NIÑO JESÚS"/>
    <x:s v="CRISTINA"/>
    <x:s v="0070727"/>
    <x:s v="983835015"/>
    <x:s v="BALCAZAR SILVA ANTONIO LEONIDAS"/>
    <x:s v="87889"/>
    <x:x v="18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7-02T00:00:00Z"/>
    <x:x v="1"/>
    <x:s v="100291"/>
    <x:s v="BO"/>
    <x:s v="5699"/>
    <x:s v="CO"/>
    <x:s v="BO-5699"/>
    <x:s v="BALCAZAR SILVA ANTONIO LEONIDAS"/>
    <x:s v="06796475"/>
    <x:s v="FIERRO LEANDRO"/>
    <x:s v="POLICLÍNICO DIVINO NIÑO JESÚS"/>
    <x:s v="CRISTINA"/>
    <x:s v="0070727"/>
    <x:s v="983835015"/>
    <x:s v="BALCAZAR SILVA ANTONIO LEONIDAS"/>
    <x:s v="87889"/>
    <x:x v="19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7-02T00:00:00Z"/>
    <x:x v="1"/>
    <x:s v="100291"/>
    <x:s v="BO"/>
    <x:s v="5699"/>
    <x:s v="CO"/>
    <x:s v="BO-5699"/>
    <x:s v="BALCAZAR SILVA ANTONIO LEONIDAS"/>
    <x:s v="06796475"/>
    <x:s v="FIERRO LEANDRO"/>
    <x:s v="POLICLÍNICO DIVINO NIÑO JESÚS"/>
    <x:s v="CRISTINA"/>
    <x:s v="0070727"/>
    <x:s v="983835015"/>
    <x:s v="BALCAZAR SILVA ANTONIO LEONIDAS"/>
    <x:s v="87889"/>
    <x:x v="20"/>
    <x:n v="1"/>
    <x:s v="PRECISA"/>
    <x:s v="INSTITUTO MEDICO QUIRURGICO AREQUIPA S.A"/>
    <x:s v="INSTITUTO MEDICO QUIRURGICO AREQUIPA S.A"/>
    <x:s v="L.CENTRO"/>
    <x:s v="ACABRERA"/>
    <x:n v="50.85"/>
    <x:s v="LN. LABORATORIO"/>
    <x:s v="CIAS. DE SEGURO"/>
    <x:s v="CENTRO"/>
    <x:m/>
    <x:m/>
    <x:m/>
  </x:r>
  <x:r>
    <x:d v="2026-07-02T00:00:00Z"/>
    <x:x v="1"/>
    <x:s v="100292"/>
    <x:s v="BO"/>
    <x:s v="5700"/>
    <x:s v="CO"/>
    <x:s v="BO-5700"/>
    <x:s v="BALCAZAR SILVA ANTONIO LEONIDAS"/>
    <x:s v="06796475"/>
    <x:s v="FIERRO LEANDRO"/>
    <x:s v="POLICLÍNICO DIVINO NIÑO JESÚS"/>
    <x:s v="CRISTINA"/>
    <x:s v="0070727"/>
    <x:s v="983835015"/>
    <x:s v="BALCAZAR SILVA ANTONIO LEONIDAS"/>
    <x:s v="87890"/>
    <x:x v="7"/>
    <x:n v="1"/>
    <x:s v="PRECISA"/>
    <x:s v="INSTITUTO MEDICO QUIRURGICO AREQUIPA S.A"/>
    <x:s v="INSTITUTO MEDICO QUIRURGICO AREQUIPA S.A"/>
    <x:s v="L.CENTRO"/>
    <x:s v="ACABRERA"/>
    <x:n v="42.37"/>
    <x:s v="LN. EXAMENES"/>
    <x:s v="CIAS. DE SEGURO"/>
    <x:s v="CENTRO"/>
    <x:m/>
    <x:m/>
    <x:n v="30"/>
  </x:r>
  <x:r>
    <x:d v="2026-07-02T00:00:00Z"/>
    <x:x v="1"/>
    <x:s v="100292"/>
    <x:s v="BO"/>
    <x:s v="5700"/>
    <x:s v="CO"/>
    <x:s v="BO-5700"/>
    <x:s v="BALCAZAR SILVA ANTONIO LEONIDAS"/>
    <x:s v="06796475"/>
    <x:s v="FIERRO LEANDRO"/>
    <x:s v="POLICLÍNICO DIVINO NIÑO JESÚS"/>
    <x:s v="CRISTINA"/>
    <x:s v="0070727"/>
    <x:s v="983835015"/>
    <x:s v="BALCAZAR SILVA ANTONIO LEONIDAS"/>
    <x:s v="87890"/>
    <x:x v="8"/>
    <x:n v="1"/>
    <x:s v="PRECISA"/>
    <x:s v="INSTITUTO MEDICO QUIRURGICO AREQUIPA S.A"/>
    <x:s v="INSTITUTO MEDICO QUIRURGICO AREQUIPA S.A"/>
    <x:s v="L.CENTRO"/>
    <x:s v="ACABRERA"/>
    <x:n v="42.37"/>
    <x:s v="LN. EXAMENES"/>
    <x:s v="CIAS. DE SEGURO"/>
    <x:s v="CENTRO"/>
    <x:m/>
    <x:m/>
    <x:n v="30"/>
  </x:r>
  <x:r>
    <x:d v="2026-07-02T00:00:00Z"/>
    <x:x v="1"/>
    <x:s v="100293"/>
    <x:s v="BO"/>
    <x:s v="5701"/>
    <x:s v="CO"/>
    <x:s v="BO-5701"/>
    <x:s v="BALCAZAR SILVA ANTONIO LEONIDAS"/>
    <x:s v="06796475"/>
    <x:s v="FIERRO LEANDRO"/>
    <x:s v="POLICLÍNICO DIVINO NIÑO JESÚS"/>
    <x:s v="CRISTINA"/>
    <x:s v="0070727"/>
    <x:s v="983835015"/>
    <x:s v="BALCAZAR SILVA ANTONIO LEONIDAS"/>
    <x:s v="87891"/>
    <x:x v="15"/>
    <x:n v="1"/>
    <x:s v="PRECISA"/>
    <x:s v="INSTITUTO MEDICO QUIRURGICO AREQUIPA S.A"/>
    <x:s v="INSTITUTO MEDICO QUIRURGICO AREQUIPA S.A"/>
    <x:s v="L.CENTRO"/>
    <x:s v="ACABRERA"/>
    <x:n v="127.12"/>
    <x:s v="LN. EXAMENES"/>
    <x:s v="CIAS. DE SEGURO"/>
    <x:s v="CENTRO"/>
    <x:m/>
    <x:m/>
    <x:m/>
  </x:r>
  <x:r>
    <x:d v="2026-07-02T00:00:00Z"/>
    <x:x v="1"/>
    <x:s v="100305"/>
    <x:s v="BO"/>
    <x:s v="11786"/>
    <x:s v="CO"/>
    <x:s v="BO-11786"/>
    <x:s v="LUQUE DE SANCHEZ FLORENTINA"/>
    <x:s v="28238776"/>
    <x:s v="FIERRO LEANDRO"/>
    <x:s v="POLICLÍNICO DIVINO NIÑO JESÚS"/>
    <x:s v="CRISTINA"/>
    <x:s v="0070728"/>
    <x:s v="953438570"/>
    <x:s v="LUQUE DE SANCHEZ FLORENTINA"/>
    <x:s v="87901"/>
    <x:x v="7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m/>
    <x:n v="30"/>
  </x:r>
  <x:r>
    <x:d v="2026-07-02T00:00:00Z"/>
    <x:x v="1"/>
    <x:s v="100305"/>
    <x:s v="BO"/>
    <x:s v="11786"/>
    <x:s v="CO"/>
    <x:s v="BO-11786"/>
    <x:s v="LUQUE DE SANCHEZ FLORENTINA"/>
    <x:s v="28238776"/>
    <x:s v="FIERRO LEANDRO"/>
    <x:s v="POLICLÍNICO DIVINO NIÑO JESÚS"/>
    <x:s v="CRISTINA"/>
    <x:s v="0070728"/>
    <x:s v="953438570"/>
    <x:s v="LUQUE DE SANCHEZ FLORENTINA"/>
    <x:s v="87901"/>
    <x:x v="8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m/>
    <x:n v="30"/>
  </x:r>
  <x:r>
    <x:d v="2026-07-02T00:00:00Z"/>
    <x:x v="1"/>
    <x:s v="100324"/>
    <x:s v="BO"/>
    <x:s v="5702"/>
    <x:s v="CO"/>
    <x:s v="BO-5702"/>
    <x:s v="BARRON HONORIO MILAGROS ROCIO"/>
    <x:s v="46088575"/>
    <x:s v="FIERRO LEANDRO"/>
    <x:s v="POLICLÍNICO DIVINO NIÑO JESÚS"/>
    <x:s v="CRISTINA"/>
    <x:s v="0065003"/>
    <x:s v="990088810"/>
    <x:s v="BARRON HONORIO MILAGROS ROCIO"/>
    <x:s v="87926"/>
    <x:x v="7"/>
    <x:n v="1"/>
    <x:s v="PRECISA"/>
    <x:s v="INSTITUTO MEDICO QUIRURGICO AREQUIPA S.A"/>
    <x:s v="INSTITUTO MEDICO QUIRURGICO AREQUIPA S.A"/>
    <x:s v="L.CENTRO"/>
    <x:s v="ACABRERA"/>
    <x:n v="42.37"/>
    <x:s v="LN. EXAMENES"/>
    <x:s v="CIAS. DE SEGURO"/>
    <x:s v="CENTRO"/>
    <x:m/>
    <x:m/>
    <x:n v="30"/>
  </x:r>
  <x:r>
    <x:d v="2026-07-02T00:00:00Z"/>
    <x:x v="1"/>
    <x:s v="100324"/>
    <x:s v="BO"/>
    <x:s v="5702"/>
    <x:s v="CO"/>
    <x:s v="BO-5702"/>
    <x:s v="BARRON HONORIO MILAGROS ROCIO"/>
    <x:s v="46088575"/>
    <x:s v="FIERRO LEANDRO"/>
    <x:s v="POLICLÍNICO DIVINO NIÑO JESÚS"/>
    <x:s v="CRISTINA"/>
    <x:s v="0065003"/>
    <x:s v="990088810"/>
    <x:s v="BARRON HONORIO MILAGROS ROCIO"/>
    <x:s v="87926"/>
    <x:x v="8"/>
    <x:n v="1"/>
    <x:s v="PRECISA"/>
    <x:s v="INSTITUTO MEDICO QUIRURGICO AREQUIPA S.A"/>
    <x:s v="INSTITUTO MEDICO QUIRURGICO AREQUIPA S.A"/>
    <x:s v="L.CENTRO"/>
    <x:s v="ACABRERA"/>
    <x:n v="42.37"/>
    <x:s v="LN. EXAMENES"/>
    <x:s v="CIAS. DE SEGURO"/>
    <x:s v="CENTRO"/>
    <x:m/>
    <x:m/>
    <x:n v="30"/>
  </x:r>
  <x:r>
    <x:d v="2026-07-02T00:00:00Z"/>
    <x:x v="1"/>
    <x:s v="100368"/>
    <x:s v="BO"/>
    <x:s v="11798"/>
    <x:s v="CO"/>
    <x:s v="BO-11798"/>
    <x:s v="ASMAD LOKUAN KATHERINE STEFANY"/>
    <x:s v="44651542"/>
    <x:s v="ROMERO EDUARDO"/>
    <x:m/>
    <x:s v="CRISTINA"/>
    <x:s v="0052353"/>
    <x:s v="991967687"/>
    <x:s v="ASMAD LOKUAN KATHERINE STEFANY"/>
    <x:s v="87958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7-03T00:00:00Z"/>
    <x:x v="1"/>
    <x:s v="100473"/>
    <x:s v="BO"/>
    <x:s v="11808"/>
    <x:s v="CO"/>
    <x:s v="BO-11808"/>
    <x:s v="VALDEZ QUEVEDO ILDA"/>
    <x:s v="09201670"/>
    <x:s v="AGRAMONTE ZEA EDILBERTO"/>
    <x:s v="HOSPITAL DE LA SOLIDARIDAD SJL"/>
    <x:s v="CRISTINA"/>
    <x:s v="0070852"/>
    <x:s v="980872756"/>
    <x:s v="VALDEZ QUEVEDO ILDA"/>
    <x:s v="88036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87407712"/>
    <x:s v="0011-0190-0200333106"/>
    <x:n v="50"/>
  </x:r>
  <x:r>
    <x:d v="2026-07-03T00:00:00Z"/>
    <x:x v="1"/>
    <x:s v="100416"/>
    <x:s v="BO"/>
    <x:s v="4505"/>
    <x:s v="CO"/>
    <x:s v="BO-4505"/>
    <x:s v="VIRU DIAZ ROSA MARIA"/>
    <x:s v="06163902"/>
    <x:s v="RUIZ ROJAS PAUBLO ENRIQUE"/>
    <x:s v="CONSULTORIO CUBANO COMAS"/>
    <x:s v="CRISTINA"/>
    <x:s v="0070824"/>
    <x:s v="923775190"/>
    <x:s v="VIRU DIAZ ROSA MARIA"/>
    <x:s v="87993"/>
    <x:x v="2"/>
    <x:n v="1"/>
    <x:s v="PRECISA"/>
    <x:s v="INSTITUTO MEDICO QUIRURGICO AREQUIPA S.A"/>
    <x:s v="INSTITUTO MEDICO QUIRURGICO AREQUIPA S.A"/>
    <x:s v="L.NORTE"/>
    <x:s v="AALARCON"/>
    <x:n v="186.44"/>
    <x:s v="LN. EXAMENES"/>
    <x:s v="CIAS. DE SEGURO"/>
    <x:s v="NORTE"/>
    <x:n v="992903716"/>
    <x:s v="191-91415089071"/>
    <x:n v="50"/>
  </x:r>
  <x:r>
    <x:d v="2026-07-03T00:00:00Z"/>
    <x:x v="1"/>
    <x:s v="100416"/>
    <x:s v="BO"/>
    <x:s v="4505"/>
    <x:s v="CO"/>
    <x:s v="BO-4505"/>
    <x:s v="VIRU DIAZ ROSA MARIA"/>
    <x:s v="06163902"/>
    <x:s v="RUIZ ROJAS PAUBLO ENRIQUE"/>
    <x:s v="CONSULTORIO CUBANO COMAS"/>
    <x:s v="CRISTINA"/>
    <x:s v="0070824"/>
    <x:s v="923775190"/>
    <x:s v="VIRU DIAZ ROSA MARIA"/>
    <x:s v="87993"/>
    <x:x v="4"/>
    <x:n v="1"/>
    <x:s v="PRECISA"/>
    <x:s v="INSTITUTO MEDICO QUIRURGICO AREQUIPA S.A"/>
    <x:s v="INSTITUTO MEDICO QUIRURGICO AREQUIPA S.A"/>
    <x:s v="L.NORTE"/>
    <x:s v="AALARCON"/>
    <x:n v="135.59"/>
    <x:s v="LN. EXAMENES"/>
    <x:s v="CIAS. DE SEGURO"/>
    <x:s v="NORTE"/>
    <x:n v="992903716"/>
    <x:s v="191-91415089071"/>
    <x:n v="30"/>
  </x:r>
  <x:r>
    <x:d v="2026-07-03T00:00:00Z"/>
    <x:x v="1"/>
    <x:s v="100416"/>
    <x:s v="BO"/>
    <x:s v="4505"/>
    <x:s v="CO"/>
    <x:s v="BO-4505"/>
    <x:s v="VIRU DIAZ ROSA MARIA"/>
    <x:s v="06163902"/>
    <x:s v="RUIZ ROJAS PAUBLO ENRIQUE"/>
    <x:s v="CONSULTORIO CUBANO COMAS"/>
    <x:s v="CRISTINA"/>
    <x:s v="0070824"/>
    <x:s v="923775190"/>
    <x:s v="VIRU DIAZ ROSA MARIA"/>
    <x:s v="87993"/>
    <x:x v="5"/>
    <x:n v="1"/>
    <x:s v="PRECISA"/>
    <x:s v="INSTITUTO MEDICO QUIRURGICO AREQUIPA S.A"/>
    <x:s v="INSTITUTO MEDICO QUIRURGICO AREQUIPA S.A"/>
    <x:s v="L.NORTE"/>
    <x:s v="AALARCON"/>
    <x:n v="152.54"/>
    <x:s v="LN. EXAMENES"/>
    <x:s v="CIAS. DE SEGURO"/>
    <x:s v="NORTE"/>
    <x:n v="992903716"/>
    <x:s v="191-91415089071"/>
    <x:n v="30"/>
  </x:r>
  <x:r>
    <x:d v="2026-07-03T00:00:00Z"/>
    <x:x v="1"/>
    <x:s v="100451"/>
    <x:s v="FA"/>
    <x:s v="546"/>
    <x:s v="CO"/>
    <x:s v="FA-546"/>
    <x:s v="LEON VELIZ DE HUATUCO LADY MARY"/>
    <x:s v="06652711"/>
    <x:s v="FERNANDEZ GUTIERREZ OLGA PATRICIA"/>
    <x:s v="CONSULTORIO PARTICULAR"/>
    <x:s v="CRISTINA"/>
    <x:s v="0042218"/>
    <x:s v="981143710"/>
    <x:s v="VEFER OFTALMOLOGOS S.A.C."/>
    <x:s v="88016"/>
    <x:x v="11"/>
    <x:n v="2"/>
    <x:s v="PRECISA"/>
    <x:s v="INSTITUTO MEDICO QUIRURGICO AREQUIPA S.A"/>
    <x:s v="INSTITUTO MEDICO QUIRURGICO AREQUIPA S.A"/>
    <x:s v="L.CENTRO"/>
    <x:s v="ACABRERA"/>
    <x:n v="203.39"/>
    <x:s v="LN. PROCEDIMIENTO"/>
    <x:s v="CIAS. DE SEGURO"/>
    <x:s v="CENTRO"/>
    <x:n v="982536223"/>
    <x:s v="107-3174605363"/>
    <x:m/>
  </x:r>
  <x:r>
    <x:d v="2026-07-03T00:00:00Z"/>
    <x:x v="1"/>
    <x:s v="100394"/>
    <x:s v="FA"/>
    <x:s v="544"/>
    <x:s v="CO"/>
    <x:s v="FA-544"/>
    <x:s v="CASTILLO ESPINOZA JUSTINA"/>
    <x:s v="06653318"/>
    <x:m/>
    <x:m/>
    <x:s v="CRISTINA"/>
    <x:s v="0070787"/>
    <x:s v="933738642"/>
    <x:s v="GRACIA REY VALENTINA"/>
    <x:s v="87959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7-03T00:00:00Z"/>
    <x:x v="1"/>
    <x:s v="100394"/>
    <x:s v="FA"/>
    <x:s v="544"/>
    <x:s v="CO"/>
    <x:s v="FA-544"/>
    <x:s v="CASTILLO ESPINOZA JUSTINA"/>
    <x:s v="06653318"/>
    <x:m/>
    <x:m/>
    <x:s v="CRISTINA"/>
    <x:s v="0070787"/>
    <x:s v="933738642"/>
    <x:s v="GRACIA REY VALENTINA"/>
    <x:s v="87959"/>
    <x:x v="30"/>
    <x:n v="1"/>
    <x:s v="PRECISA"/>
    <x:s v="INSTITUTO MEDICO QUIRURGICO AREQUIPA S.A"/>
    <x:s v="INSTITUTO MEDICO QUIRURGICO AREQUIPA S.A"/>
    <x:s v="L.CENTRO"/>
    <x:s v="ACABRERA"/>
    <x:n v="847.46"/>
    <x:s v="LN. CIRUGIA"/>
    <x:s v="CIAS. DE SEGURO"/>
    <x:s v="CENTRO"/>
    <x:m/>
    <x:m/>
    <x:m/>
  </x:r>
  <x:r>
    <x:d v="2026-07-03T00:00:00Z"/>
    <x:x v="1"/>
    <x:s v="100431"/>
    <x:s v="BO"/>
    <x:s v="5708"/>
    <x:s v="CO"/>
    <x:s v="BO-5708"/>
    <x:s v="ROJAS MENENDEZ CARMEN"/>
    <x:s v="06632191"/>
    <x:s v="SAPAICO VICUÑA AUGUSTO RODRIGO"/>
    <x:s v="HOSPITAL LOAYZA"/>
    <x:s v="CRISTINA"/>
    <x:s v="0070829"/>
    <x:s v="997239749"/>
    <x:s v="ROJAS MENENDEZ CARMEN"/>
    <x:s v="88003"/>
    <x:x v="7"/>
    <x:n v="1"/>
    <x:s v="PRECISA"/>
    <x:s v="INSTITUTO MEDICO QUIRURGICO AREQUIPA S.A"/>
    <x:s v="INSTITUTO MEDICO QUIRURGICO AREQUIPA S.A"/>
    <x:s v="L.CENTRO"/>
    <x:s v="ACABRERA"/>
    <x:n v="152.54"/>
    <x:s v="LN. EXAMENES"/>
    <x:s v="CIAS. DE SEGURO"/>
    <x:s v="CENTRO"/>
    <x:n v="997145685"/>
    <x:s v="0011-0189-0200496417"/>
    <x:n v="30"/>
  </x:r>
  <x:r>
    <x:d v="2026-07-03T00:00:00Z"/>
    <x:x v="1"/>
    <x:s v="100399"/>
    <x:s v="BO"/>
    <x:s v="11802"/>
    <x:s v="CO"/>
    <x:s v="BO-11802"/>
    <x:s v="DE LA CRUZ NAVARRO TANIA RUTH"/>
    <x:s v="08062831"/>
    <x:s v="LLERENA LOYOLA ELSA YESENIA"/>
    <x:s v="CLINICA MAISON DE SANTE"/>
    <x:s v="CRISTINA"/>
    <x:s v="0070706"/>
    <x:s v="980445719"/>
    <x:s v="DE LA CRUZ NAVARRO TANIA RUTH"/>
    <x:s v="87976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98418895"/>
    <x:s v="0011-0197-0200171031"/>
    <x:n v="30"/>
  </x:r>
  <x:r>
    <x:d v="2026-07-03T00:00:00Z"/>
    <x:x v="1"/>
    <x:s v="100399"/>
    <x:s v="BO"/>
    <x:s v="11802"/>
    <x:s v="CO"/>
    <x:s v="BO-11802"/>
    <x:s v="DE LA CRUZ NAVARRO TANIA RUTH"/>
    <x:s v="08062831"/>
    <x:s v="LLERENA LOYOLA ELSA YESENIA"/>
    <x:s v="CLINICA MAISON DE SANTE"/>
    <x:s v="CRISTINA"/>
    <x:s v="0070706"/>
    <x:s v="980445719"/>
    <x:s v="DE LA CRUZ NAVARRO TANIA RUTH"/>
    <x:s v="87976"/>
    <x:x v="5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98418895"/>
    <x:s v="0011-0197-0200171031"/>
    <x:n v="30"/>
  </x:r>
  <x:r>
    <x:d v="2026-07-03T00:00:00Z"/>
    <x:x v="1"/>
    <x:s v="100399"/>
    <x:s v="BO"/>
    <x:s v="11802"/>
    <x:s v="CO"/>
    <x:s v="BO-11802"/>
    <x:s v="DE LA CRUZ NAVARRO TANIA RUTH"/>
    <x:s v="08062831"/>
    <x:s v="LLERENA LOYOLA ELSA YESENIA"/>
    <x:s v="CLINICA MAISON DE SANTE"/>
    <x:s v="CRISTINA"/>
    <x:s v="0070706"/>
    <x:s v="980445719"/>
    <x:s v="DE LA CRUZ NAVARRO TANIA RUTH"/>
    <x:s v="87976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98418895"/>
    <x:s v="0011-0197-0200171031"/>
    <x:n v="50"/>
  </x:r>
  <x:r>
    <x:d v="2026-07-03T00:00:00Z"/>
    <x:x v="1"/>
    <x:s v="100432"/>
    <x:s v="BO"/>
    <x:s v="4063"/>
    <x:s v="CO"/>
    <x:s v="BO-4063"/>
    <x:s v="CUBAS FERNANDEZ EFIGENIO"/>
    <x:s v="27256822"/>
    <x:s v="ROJAS AQUINO EVELING KARINA"/>
    <x:s v="POLICLÍNICO ESPÍRITU SANTO"/>
    <x:s v="CRISTINA"/>
    <x:s v="0070830"/>
    <x:s v="985974497"/>
    <x:s v="CUBAS FERNANDEZ EFIGENIO"/>
    <x:s v="88004"/>
    <x:x v="0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n v="955356636"/>
    <x:s v="009-3226956615"/>
    <x:n v="50"/>
  </x:r>
  <x:r>
    <x:d v="2026-07-03T00:00:00Z"/>
    <x:x v="1"/>
    <x:s v="100477"/>
    <x:s v="BO"/>
    <x:s v="4073"/>
    <x:s v="CO"/>
    <x:s v="BO-4073"/>
    <x:s v="RAMIREZ BRONCANO LUCIO ROMULO"/>
    <x:s v="15583459"/>
    <x:s v="ROJAS AQUINO EVELING KARINA"/>
    <x:s v="POLICLÍNICO ESPÍRITU SANTO"/>
    <x:s v="CRISTINA"/>
    <x:s v="0070855"/>
    <x:s v="930437406"/>
    <x:s v="RAMIREZ BRONCANO LUCIO ROMULO"/>
    <x:s v="88043"/>
    <x:x v="0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n v="955356636"/>
    <x:s v="009-3226956615"/>
    <x:n v="50"/>
  </x:r>
  <x:r>
    <x:d v="2026-07-03T00:00:00Z"/>
    <x:x v="1"/>
    <x:s v="100477"/>
    <x:s v="BO"/>
    <x:s v="4073"/>
    <x:s v="CO"/>
    <x:s v="BO-4073"/>
    <x:s v="RAMIREZ BRONCANO LUCIO ROMULO"/>
    <x:s v="15583459"/>
    <x:s v="ROJAS AQUINO EVELING KARINA"/>
    <x:s v="POLICLÍNICO ESPÍRITU SANTO"/>
    <x:s v="CRISTINA"/>
    <x:s v="0070855"/>
    <x:s v="930437406"/>
    <x:s v="RAMIREZ BRONCANO LUCIO ROMULO"/>
    <x:s v="88043"/>
    <x:x v="2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n v="955356636"/>
    <x:s v="009-3226956615"/>
    <x:n v="50"/>
  </x:r>
  <x:r>
    <x:d v="2026-07-03T00:00:00Z"/>
    <x:x v="1"/>
    <x:s v="100441"/>
    <x:s v="FA"/>
    <x:s v="545"/>
    <x:s v="CO"/>
    <x:s v="FA-545"/>
    <x:s v="BARRON HONORIO MILAGROS ROCIO"/>
    <x:s v="46088575"/>
    <x:s v="FIERRO LEANDRO"/>
    <x:s v="POLICLÍNICO DIVINO NIÑO JESÚS"/>
    <x:s v="CRISTINA"/>
    <x:s v="0065003"/>
    <x:s v="990088810"/>
    <x:s v="GRUPO MEDICO INTEGRAL SOCIEDAD ANONIMA CERRADA"/>
    <x:s v="87935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7-03T00:00:00Z"/>
    <x:x v="1"/>
    <x:s v="100441"/>
    <x:s v="FA"/>
    <x:s v="545"/>
    <x:s v="CO"/>
    <x:s v="FA-545"/>
    <x:s v="BARRON HONORIO MILAGROS ROCIO"/>
    <x:s v="46088575"/>
    <x:s v="FIERRO LEANDRO"/>
    <x:s v="POLICLÍNICO DIVINO NIÑO JESÚS"/>
    <x:s v="CRISTINA"/>
    <x:s v="0065003"/>
    <x:s v="990088810"/>
    <x:s v="GRUPO MEDICO INTEGRAL SOCIEDAD ANONIMA CERRADA"/>
    <x:s v="87935"/>
    <x:x v="30"/>
    <x:n v="1"/>
    <x:s v="PRECISA"/>
    <x:s v="INSTITUTO MEDICO QUIRURGICO AREQUIPA S.A"/>
    <x:s v="INSTITUTO MEDICO QUIRURGICO AREQUIPA S.A"/>
    <x:s v="L.CENTRO"/>
    <x:s v="ACABRERA"/>
    <x:n v="1483.05"/>
    <x:s v="LN. CIRUGIA"/>
    <x:s v="CIAS. DE SEGURO"/>
    <x:s v="CENTRO"/>
    <x:m/>
    <x:m/>
    <x:m/>
  </x:r>
  <x:r>
    <x:d v="2026-07-03T00:00:00Z"/>
    <x:x v="1"/>
    <x:s v="100495"/>
    <x:s v="BO"/>
    <x:s v="5709"/>
    <x:s v="CO"/>
    <x:s v="BO-5709"/>
    <x:s v="CORREA ROSALES CARMEN"/>
    <x:s v="20557709"/>
    <x:s v="PALACIOS URIBE PAMELA CAROLINA "/>
    <x:s v="CONSULTORIO PARTICULAR"/>
    <x:s v="CRISTINA"/>
    <x:s v="0070462"/>
    <x:s v="999999999"/>
    <x:s v="CORREA ROSALES CARMEN"/>
    <x:s v="88017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n v="994872106"/>
    <x:s v="193-95965374018"/>
    <x:m/>
  </x:r>
  <x:r>
    <x:d v="2026-07-03T00:00:00Z"/>
    <x:x v="1"/>
    <x:s v="100495"/>
    <x:s v="BO"/>
    <x:s v="5709"/>
    <x:s v="CO"/>
    <x:s v="BO-5709"/>
    <x:s v="CORREA ROSALES CARMEN"/>
    <x:s v="20557709"/>
    <x:s v="PALACIOS URIBE PAMELA CAROLINA "/>
    <x:s v="CONSULTORIO PARTICULAR"/>
    <x:s v="CRISTINA"/>
    <x:s v="0070462"/>
    <x:s v="999999999"/>
    <x:s v="CORREA ROSALES CARMEN"/>
    <x:s v="88017"/>
    <x:x v="30"/>
    <x:n v="1"/>
    <x:s v="PRECISA"/>
    <x:s v="INSTITUTO MEDICO QUIRURGICO AREQUIPA S.A"/>
    <x:s v="INSTITUTO MEDICO QUIRURGICO AREQUIPA S.A"/>
    <x:s v="L.CENTRO"/>
    <x:s v="ACABRERA"/>
    <x:n v="139.83"/>
    <x:s v="LN. CIRUGIA"/>
    <x:s v="CIAS. DE SEGURO"/>
    <x:s v="CENTRO"/>
    <x:n v="994872106"/>
    <x:s v="193-95965374018"/>
    <x:m/>
  </x:r>
  <x:r>
    <x:d v="2026-07-04T00:00:00Z"/>
    <x:x v="1"/>
    <x:s v="100536"/>
    <x:s v="BO"/>
    <x:s v="11824"/>
    <x:s v="CO"/>
    <x:s v="BO-11824"/>
    <x:s v="ALVAREZ PORRAS YESSICA"/>
    <x:s v="44893895"/>
    <x:s v="GAMERO FERNANDEZ EBERTH"/>
    <x:m/>
    <x:s v="CRISTINA"/>
    <x:s v="0070635"/>
    <x:s v="984776522"/>
    <x:s v="ALVAREZ PORRAS YESSICA"/>
    <x:s v="88084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7-04T00:00:00Z"/>
    <x:x v="1"/>
    <x:s v="100536"/>
    <x:s v="BO"/>
    <x:s v="11824"/>
    <x:s v="CO"/>
    <x:s v="BO-11824"/>
    <x:s v="ALVAREZ PORRAS YESSICA"/>
    <x:s v="44893895"/>
    <x:s v="GAMERO FERNANDEZ EBERTH"/>
    <x:m/>
    <x:s v="CRISTINA"/>
    <x:s v="0070635"/>
    <x:s v="984776522"/>
    <x:s v="ALVAREZ PORRAS YESSICA"/>
    <x:s v="88084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7-04T00:00:00Z"/>
    <x:x v="1"/>
    <x:s v="100536"/>
    <x:s v="BO"/>
    <x:s v="11824"/>
    <x:s v="CO"/>
    <x:s v="BO-11824"/>
    <x:s v="ALVAREZ PORRAS YESSICA"/>
    <x:s v="44893895"/>
    <x:s v="GAMERO FERNANDEZ EBERTH"/>
    <x:m/>
    <x:s v="CRISTINA"/>
    <x:s v="0070635"/>
    <x:s v="984776522"/>
    <x:s v="ALVAREZ PORRAS YESSICA"/>
    <x:s v="88084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7-06T00:00:00Z"/>
    <x:x v="1"/>
    <x:s v="100650"/>
    <x:s v="FA"/>
    <x:s v="548"/>
    <x:s v="CO"/>
    <x:s v="FA-548"/>
    <x:s v="GARAY CANELON ZENOBIA"/>
    <x:s v="08608333"/>
    <x:s v="TERAN SANCHEZ GUILLERMO ALFONSO"/>
    <x:s v="HOSPITAL LOAYZA"/>
    <x:s v="CRISTINA"/>
    <x:s v="0070944"/>
    <x:s v="984299211"/>
    <x:s v="T &amp; T OFTALMOLOGOS ASOCIADOS S.A.C."/>
    <x:s v="88163"/>
    <x:x v="22"/>
    <x:n v="1"/>
    <x:s v="PRECISA"/>
    <x:s v="INSTITUTO MEDICO QUIRURGICO AREQUIPA S.A"/>
    <x:s v="INSTITUTO MEDICO QUIRURGICO AREQUIPA S.A"/>
    <x:s v="L.CENTRO"/>
    <x:s v="ACABRERA"/>
    <x:n v="101.69"/>
    <x:s v="LN. PROCEDIMIENTO"/>
    <x:s v="CIAS. DE SEGURO"/>
    <x:s v="CENTRO"/>
    <x:n v="993496032"/>
    <x:s v="135-3012737506"/>
    <x:m/>
  </x:r>
  <x:r>
    <x:d v="2026-07-06T00:00:00Z"/>
    <x:x v="1"/>
    <x:s v="100639"/>
    <x:s v="FA"/>
    <x:s v="1059"/>
    <x:s v="CO"/>
    <x:s v="FA-1059"/>
    <x:s v="VEGA DIESTRA WALTER JULIAN"/>
    <x:s v="06025532"/>
    <x:s v="CHACÓN ENRIQUE"/>
    <x:s v="HOSPITAL HIPOLITO UNANUE"/>
    <x:s v="CRISTINA"/>
    <x:s v="0070929"/>
    <x:s v="934191688"/>
    <x:s v="VEGA MUNASCA PAULO CESAR"/>
    <x:s v="88151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7-06T00:00:00Z"/>
    <x:x v="1"/>
    <x:s v="100639"/>
    <x:s v="FA"/>
    <x:s v="1059"/>
    <x:s v="CO"/>
    <x:s v="FA-1059"/>
    <x:s v="VEGA DIESTRA WALTER JULIAN"/>
    <x:s v="06025532"/>
    <x:s v="CHACÓN ENRIQUE"/>
    <x:s v="HOSPITAL HIPOLITO UNANUE"/>
    <x:s v="CRISTINA"/>
    <x:s v="0070929"/>
    <x:s v="934191688"/>
    <x:s v="VEGA MUNASCA PAULO CESAR"/>
    <x:s v="88151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7-06T00:00:00Z"/>
    <x:x v="1"/>
    <x:s v="100639"/>
    <x:s v="FA"/>
    <x:s v="1059"/>
    <x:s v="CO"/>
    <x:s v="FA-1059"/>
    <x:s v="VEGA DIESTRA WALTER JULIAN"/>
    <x:s v="06025532"/>
    <x:s v="CHACÓN ENRIQUE"/>
    <x:s v="HOSPITAL HIPOLITO UNANUE"/>
    <x:s v="CRISTINA"/>
    <x:s v="0070929"/>
    <x:s v="934191688"/>
    <x:s v="VEGA MUNASCA PAULO CESAR"/>
    <x:s v="88151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7-06T00:00:00Z"/>
    <x:x v="1"/>
    <x:s v="100639"/>
    <x:s v="FA"/>
    <x:s v="1059"/>
    <x:s v="CO"/>
    <x:s v="FA-1059"/>
    <x:s v="VEGA DIESTRA WALTER JULIAN"/>
    <x:s v="06025532"/>
    <x:s v="CHACÓN ENRIQUE"/>
    <x:s v="HOSPITAL HIPOLITO UNANUE"/>
    <x:s v="CRISTINA"/>
    <x:s v="0070929"/>
    <x:s v="934191688"/>
    <x:s v="VEGA MUNASCA PAULO CESAR"/>
    <x:s v="88151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7-06T00:00:00Z"/>
    <x:x v="1"/>
    <x:s v="100639"/>
    <x:s v="FA"/>
    <x:s v="1059"/>
    <x:s v="CO"/>
    <x:s v="FA-1059"/>
    <x:s v="VEGA DIESTRA WALTER JULIAN"/>
    <x:s v="06025532"/>
    <x:s v="CHACÓN ENRIQUE"/>
    <x:s v="HOSPITAL HIPOLITO UNANUE"/>
    <x:s v="CRISTINA"/>
    <x:s v="0070929"/>
    <x:s v="934191688"/>
    <x:s v="VEGA MUNASCA PAULO CESAR"/>
    <x:s v="88151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m/>
    <x:m/>
    <x:n v="30"/>
  </x:r>
  <x:r>
    <x:d v="2026-07-07T00:00:00Z"/>
    <x:x v="1"/>
    <x:s v="100703"/>
    <x:s v="BO"/>
    <x:s v="4097"/>
    <x:s v="CO"/>
    <x:s v="BO-4097"/>
    <x:s v="PAREDES BOREDO JUAN CARLOS"/>
    <x:s v="47333051"/>
    <x:s v="ORNA ACOSTA JORGE AQUILES"/>
    <x:s v="HOSPITAL LOAYZA"/>
    <x:s v="CRISTINA"/>
    <x:s v="0070991"/>
    <x:s v="963005687"/>
    <x:s v="PAREDES BOREDO JUAN CARLOS"/>
    <x:s v="88209"/>
    <x:x v="0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n v="999996347"/>
    <x:s v="052-7510523"/>
    <x:n v="50"/>
  </x:r>
  <x:r>
    <x:d v="2026-07-07T00:00:00Z"/>
    <x:x v="1"/>
    <x:s v="100707"/>
    <x:s v="BO"/>
    <x:s v="11866"/>
    <x:s v="CO"/>
    <x:s v="BO-11866"/>
    <x:s v="PAREDES CHAPOÑAN CARMEN ROSA"/>
    <x:s v="17524765"/>
    <x:s v="ORNA ACOSTA JORGE AQUILES"/>
    <x:s v="HOSPITAL LOAYZA"/>
    <x:s v="CRISTINA"/>
    <x:s v="0070990"/>
    <x:s v="956186076"/>
    <x:s v="PAREDES CHAPOÑAN CARMEN ROSA"/>
    <x:s v="88213"/>
    <x:x v="22"/>
    <x:n v="1"/>
    <x:s v="PRECISA"/>
    <x:s v="INSTITUTO MEDICO QUIRURGICO AREQUIPA S.A"/>
    <x:s v="INSTITUTO MEDICO QUIRURGICO AREQUIPA S.A"/>
    <x:s v="L.CENTRO"/>
    <x:s v="LMAGAN"/>
    <x:n v="101.69"/>
    <x:s v="LN. PROCEDIMIENTO"/>
    <x:s v="CIAS. DE SEGURO"/>
    <x:s v="CENTRO"/>
    <x:n v="999996347"/>
    <x:s v="052-7510523"/>
    <x:m/>
  </x:r>
  <x:r>
    <x:d v="2026-07-07T00:00:00Z"/>
    <x:x v="1"/>
    <x:s v="100709"/>
    <x:s v="BO"/>
    <x:s v="11868"/>
    <x:s v="CO"/>
    <x:s v="BO-11868"/>
    <x:s v="VEGA FERNANDEZ FILADELFO"/>
    <x:s v="27253641"/>
    <x:s v="AGRAMONTE ZEA EDILBERTO"/>
    <x:s v="HOSPITAL DE LA SOLIDARIDAD SJL"/>
    <x:s v="CRISTINA"/>
    <x:s v="0070993"/>
    <x:s v="920086889"/>
    <x:s v="VEGA FERNANDEZ FILADELFO"/>
    <x:s v="88214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87407712"/>
    <x:s v="0011-0190-0200333106"/>
    <x:n v="30"/>
  </x:r>
  <x:r>
    <x:d v="2026-07-07T00:00:00Z"/>
    <x:x v="1"/>
    <x:s v="100709"/>
    <x:s v="BO"/>
    <x:s v="11868"/>
    <x:s v="CO"/>
    <x:s v="BO-11868"/>
    <x:s v="VEGA FERNANDEZ FILADELFO"/>
    <x:s v="27253641"/>
    <x:s v="AGRAMONTE ZEA EDILBERTO"/>
    <x:s v="HOSPITAL DE LA SOLIDARIDAD SJL"/>
    <x:s v="CRISTINA"/>
    <x:s v="0070993"/>
    <x:s v="920086889"/>
    <x:s v="VEGA FERNANDEZ FILADELFO"/>
    <x:s v="88214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87407712"/>
    <x:s v="0011-0190-0200333106"/>
    <x:n v="30"/>
  </x:r>
  <x:r>
    <x:d v="2026-07-07T00:00:00Z"/>
    <x:x v="1"/>
    <x:s v="100680"/>
    <x:s v="FA"/>
    <x:s v="1060"/>
    <x:s v="CO"/>
    <x:s v="FA-1060"/>
    <x:s v="LUQUE DE SANCHEZ FLORENTINA"/>
    <x:s v="28238776"/>
    <x:s v="FIERRO LEANDRO"/>
    <x:s v="POLICLÍNICO DIVINO NIÑO JESÚS"/>
    <x:s v="CRISTINA"/>
    <x:s v="0070728"/>
    <x:s v="953438570"/>
    <x:s v="GRUPO MEDICO INTEGRAL SOCIEDAD ANONIMA CERRADA"/>
    <x:s v="87922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7-07T00:00:00Z"/>
    <x:x v="1"/>
    <x:s v="100680"/>
    <x:s v="FA"/>
    <x:s v="1060"/>
    <x:s v="CO"/>
    <x:s v="FA-1060"/>
    <x:s v="LUQUE DE SANCHEZ FLORENTINA"/>
    <x:s v="28238776"/>
    <x:s v="FIERRO LEANDRO"/>
    <x:s v="POLICLÍNICO DIVINO NIÑO JESÚS"/>
    <x:s v="CRISTINA"/>
    <x:s v="0070728"/>
    <x:s v="953438570"/>
    <x:s v="GRUPO MEDICO INTEGRAL SOCIEDAD ANONIMA CERRADA"/>
    <x:s v="87922"/>
    <x:x v="30"/>
    <x:n v="1"/>
    <x:s v="PRECISA"/>
    <x:s v="INSTITUTO MEDICO QUIRURGICO AREQUIPA S.A"/>
    <x:s v="INSTITUTO MEDICO QUIRURGICO AREQUIPA S.A"/>
    <x:s v="L.CENTRO"/>
    <x:s v="LMAGAN"/>
    <x:n v="762.71"/>
    <x:s v="LN. CIRUGIA"/>
    <x:s v="CIAS. DE SEGURO"/>
    <x:s v="CENTRO"/>
    <x:m/>
    <x:m/>
    <x:m/>
  </x:r>
  <x:r>
    <x:d v="2026-07-07T00:00:00Z"/>
    <x:x v="1"/>
    <x:s v="100688"/>
    <x:s v="BO"/>
    <x:s v="11860"/>
    <x:s v="CO"/>
    <x:s v="BO-11860"/>
    <x:s v="LLAXA ALAYA ALEXANDER"/>
    <x:s v="45265851"/>
    <x:s v="HUANAMPA CARLOS"/>
    <x:m/>
    <x:s v="CRISTINA"/>
    <x:s v="0070986"/>
    <x:s v="923423466"/>
    <x:s v="LLAXA ALAYA ALEXANDER"/>
    <x:s v="88195"/>
    <x:x v="21"/>
    <x:n v="1"/>
    <x:s v="PRECISA"/>
    <x:s v="INSTITUTO MEDICO QUIRURGICO AREQUIPA S.A"/>
    <x:s v="INSTITUTO MEDICO QUIRURGICO AREQUIPA S.A"/>
    <x:s v="L.CENTRO"/>
    <x:s v="LMAGAN"/>
    <x:n v="338.98"/>
    <x:s v="LN. EXAMENES"/>
    <x:s v="CIAS. DE SEGURO"/>
    <x:s v="CENTRO"/>
    <x:m/>
    <x:m/>
    <x:n v="100"/>
  </x:r>
  <x:r>
    <x:d v="2026-07-08T00:00:00Z"/>
    <x:x v="1"/>
    <x:s v="100773"/>
    <x:s v="BO"/>
    <x:s v="4549"/>
    <x:s v="CO"/>
    <x:s v="BO-4549"/>
    <x:s v="VARGAS OLIVARES ALBERTINA"/>
    <x:s v="31943028"/>
    <x:m/>
    <x:m/>
    <x:s v="CRISTINA"/>
    <x:s v="0071036"/>
    <x:s v="916410304"/>
    <x:s v="VARGAS OLIVARES ALBERTINA"/>
    <x:s v="88275"/>
    <x:x v="1"/>
    <x:n v="1"/>
    <x:s v="PRECISA"/>
    <x:s v="INSTITUTO MEDICO QUIRURGICO AREQUIPA S.A"/>
    <x:s v="INSTITUTO MEDICO QUIRURGICO AREQUIPA S.A"/>
    <x:s v="L.NORTE"/>
    <x:s v="AALARCON"/>
    <x:n v="135.59"/>
    <x:s v="LN. EXAMENES"/>
    <x:s v="CIAS. DE SEGURO"/>
    <x:s v="NORTE"/>
    <x:m/>
    <x:m/>
    <x:n v="30"/>
  </x:r>
  <x:r>
    <x:d v="2026-07-08T00:00:00Z"/>
    <x:x v="1"/>
    <x:s v="100853"/>
    <x:s v="BO"/>
    <x:s v="4562"/>
    <x:s v="CO"/>
    <x:s v="BO-4562"/>
    <x:s v="ORELLANO ARBOLEDA ELVIS PERPETUA"/>
    <x:s v="25775438"/>
    <x:m/>
    <x:m/>
    <x:s v="CRISTINA"/>
    <x:s v="0071058"/>
    <x:s v="989642973"/>
    <x:s v="ORELLANO ARBOLEDA ELVIS PERPETUA"/>
    <x:s v="88331"/>
    <x:x v="1"/>
    <x:n v="1"/>
    <x:s v="PRECISA"/>
    <x:s v="INSTITUTO MEDICO QUIRURGICO AREQUIPA S.A"/>
    <x:s v="INSTITUTO MEDICO QUIRURGICO AREQUIPA S.A"/>
    <x:s v="L.NORTE"/>
    <x:s v="AALARCON"/>
    <x:n v="135.59"/>
    <x:s v="LN. EXAMENES"/>
    <x:s v="CIAS. DE SEGURO"/>
    <x:s v="NORTE"/>
    <x:m/>
    <x:m/>
    <x:n v="30"/>
  </x:r>
  <x:r>
    <x:d v="2026-07-08T00:00:00Z"/>
    <x:x v="1"/>
    <x:s v="100765"/>
    <x:s v="BO"/>
    <x:s v="11879"/>
    <x:s v="CO"/>
    <x:s v="BO-11879"/>
    <x:s v="ARBAÑIL HUAMAN IRENE AGUSTINA"/>
    <x:s v="06086351"/>
    <x:s v="SAPAICO VICUÑA AUGUSTO RODRIGO"/>
    <x:s v="HOSPITAL LOAYZA"/>
    <x:s v="CRISTINA"/>
    <x:s v="0058674"/>
    <x:s v="975009671"/>
    <x:s v="ARBAÑIL HUAMAN IRENE AGUSTINA"/>
    <x:s v="88261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97145685"/>
    <x:s v="0011-0189-0200496417"/>
    <x:n v="50"/>
  </x:r>
  <x:r>
    <x:d v="2026-07-08T00:00:00Z"/>
    <x:x v="1"/>
    <x:s v="100776"/>
    <x:s v="BO"/>
    <x:s v="11881"/>
    <x:s v="CO"/>
    <x:s v="BO-11881"/>
    <x:s v="SECLEN LLONTOP DE TULLUME LIDIA LUZ"/>
    <x:s v="08454992"/>
    <x:s v="REYES DIAZ JORGE RICARDO"/>
    <x:s v="HOSPITAL CAYETANO HEREDIA"/>
    <x:s v="CRISTINA"/>
    <x:s v="0070382"/>
    <x:s v="999978226"/>
    <x:s v="SECLEN LLONTOP DE TULLUME LIDIA LUZ"/>
    <x:s v="88277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99418834"/>
    <x:s v="193-05549355007"/>
    <x:n v="50"/>
  </x:r>
  <x:r>
    <x:d v="2026-07-08T00:00:00Z"/>
    <x:x v="1"/>
    <x:s v="100776"/>
    <x:s v="BO"/>
    <x:s v="11881"/>
    <x:s v="CO"/>
    <x:s v="BO-11881"/>
    <x:s v="SECLEN LLONTOP DE TULLUME LIDIA LUZ"/>
    <x:s v="08454992"/>
    <x:s v="REYES DIAZ JORGE RICARDO"/>
    <x:s v="HOSPITAL CAYETANO HEREDIA"/>
    <x:s v="CRISTINA"/>
    <x:s v="0070382"/>
    <x:s v="999978226"/>
    <x:s v="SECLEN LLONTOP DE TULLUME LIDIA LUZ"/>
    <x:s v="88277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99418834"/>
    <x:s v="193-05549355007"/>
    <x:n v="50"/>
  </x:r>
  <x:r>
    <x:d v="2026-07-09T00:00:00Z"/>
    <x:x v="1"/>
    <x:s v="100971"/>
    <x:s v="BO"/>
    <x:s v="5746"/>
    <x:s v="CO"/>
    <x:s v="BO-5746"/>
    <x:s v="HERRERA PEREZ ZENAIDA VICTORIA"/>
    <x:s v="06116479"/>
    <x:s v="GUTARRA PAUCAR JULIA KARINA"/>
    <x:s v="CLÍNICA SAN CAMILO"/>
    <x:s v="CRISTINA"/>
    <x:s v="0071102"/>
    <x:s v="914510803"/>
    <x:s v="HERRERA PEREZ ZENAIDA VICTORIA"/>
    <x:s v="88423"/>
    <x:x v="0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n v="982673362"/>
    <x:s v="0011-0353-0200308107"/>
    <x:n v="50"/>
  </x:r>
  <x:r>
    <x:d v="2026-07-09T00:00:00Z"/>
    <x:x v="1"/>
    <x:s v="100971"/>
    <x:s v="BO"/>
    <x:s v="5746"/>
    <x:s v="CO"/>
    <x:s v="BO-5746"/>
    <x:s v="HERRERA PEREZ ZENAIDA VICTORIA"/>
    <x:s v="06116479"/>
    <x:s v="GUTARRA PAUCAR JULIA KARINA"/>
    <x:s v="CLÍNICA SAN CAMILO"/>
    <x:s v="CRISTINA"/>
    <x:s v="0071102"/>
    <x:s v="914510803"/>
    <x:s v="HERRERA PEREZ ZENAIDA VICTORIA"/>
    <x:s v="88423"/>
    <x:x v="2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n v="982673362"/>
    <x:s v="0011-0353-0200308107"/>
    <x:n v="50"/>
  </x:r>
  <x:r>
    <x:d v="2026-07-09T00:00:00Z"/>
    <x:x v="1"/>
    <x:s v="100896"/>
    <x:s v="BO"/>
    <x:s v="4567"/>
    <x:s v="CO"/>
    <x:s v="BO-4567"/>
    <x:s v="REYES HUAMANI SILVANA KEYLA"/>
    <x:s v="71678236"/>
    <x:s v="RUIZ ROJAS PAUBLO ENRIQUE"/>
    <x:s v="CONSULTORIO CUBANO COMAS"/>
    <x:s v="CRISTINA"/>
    <x:s v="0024720"/>
    <x:s v="994428828"/>
    <x:s v="REYES HUAMANI SILVANA KEYLA"/>
    <x:s v="88359"/>
    <x:x v="12"/>
    <x:n v="1"/>
    <x:s v="PRECISA"/>
    <x:s v="INSTITUTO MEDICO QUIRURGICO AREQUIPA S.A"/>
    <x:s v="INSTITUTO MEDICO QUIRURGICO AREQUIPA S.A"/>
    <x:s v="L.NORTE"/>
    <x:s v="AALARCON"/>
    <x:n v="152.54"/>
    <x:s v="LN. EXAMENES"/>
    <x:s v="CIAS. DE SEGURO"/>
    <x:s v="NORTE"/>
    <x:n v="992903716"/>
    <x:s v="191-91415089071"/>
    <x:n v="30"/>
  </x:r>
  <x:r>
    <x:d v="2026-07-09T00:00:00Z"/>
    <x:x v="1"/>
    <x:s v="100917"/>
    <x:s v="BO"/>
    <x:s v="4107"/>
    <x:s v="CO"/>
    <x:s v="BO-4107"/>
    <x:s v="MAS MELENDEZ MILTON"/>
    <x:s v="43271432"/>
    <x:s v="ROJAS AQUINO EVELING KARINA"/>
    <x:s v="POLICLÍNICO ESPÍRITU SANTO"/>
    <x:s v="CRISTINA"/>
    <x:s v="0061826"/>
    <x:s v="993546455"/>
    <x:s v="MAS MELENDEZ MILTON"/>
    <x:s v="88381"/>
    <x:x v="4"/>
    <x:n v="1"/>
    <x:s v="PRECISA LN"/>
    <x:s v="POR ASIGNAR"/>
    <x:s v="INSTITUTO MEDICO QUIRURGICO AREQUIPA S.A"/>
    <x:s v="L.NORTE"/>
    <x:s v="BGALLOSA"/>
    <x:n v="135.59"/>
    <x:s v="LN. EXAMENES"/>
    <x:s v="CIAS. DE SEGURO"/>
    <x:s v="NORTE"/>
    <x:n v="955356636"/>
    <x:s v="009-3226956615"/>
    <x:n v="30"/>
  </x:r>
  <x:r>
    <x:d v="2026-07-09T00:00:00Z"/>
    <x:x v="1"/>
    <x:s v="100884"/>
    <x:s v="BO"/>
    <x:s v="5738"/>
    <x:s v="CO"/>
    <x:s v="BO-5738"/>
    <x:s v="AGUILAR BUENO JESUS AMELIA"/>
    <x:s v="09808448"/>
    <x:s v="FIERRO LEANDRO"/>
    <x:s v="POLICLÍNICO DIVINO NIÑO JESÚS"/>
    <x:s v="CRISTINA"/>
    <x:s v="0071027"/>
    <x:s v="986800123"/>
    <x:s v="AGUILAR BUENO JESUS AMELIA"/>
    <x:s v="88347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m/>
    <x:m/>
    <x:m/>
  </x:r>
  <x:r>
    <x:d v="2026-07-09T00:00:00Z"/>
    <x:x v="1"/>
    <x:s v="100885"/>
    <x:s v="BO"/>
    <x:s v="5739"/>
    <x:s v="CO"/>
    <x:s v="BO-5739"/>
    <x:s v="AGUILAR BUENO JESUS AMELIA"/>
    <x:s v="09808448"/>
    <x:s v="FIERRO LEANDRO"/>
    <x:s v="POLICLÍNICO DIVINO NIÑO JESÚS"/>
    <x:s v="CRISTINA"/>
    <x:s v="0071027"/>
    <x:s v="986800123"/>
    <x:s v="AGUILAR BUENO JESUS AMELIA"/>
    <x:s v="88348"/>
    <x:x v="16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7-09T00:00:00Z"/>
    <x:x v="1"/>
    <x:s v="100885"/>
    <x:s v="BO"/>
    <x:s v="5739"/>
    <x:s v="CO"/>
    <x:s v="BO-5739"/>
    <x:s v="AGUILAR BUENO JESUS AMELIA"/>
    <x:s v="09808448"/>
    <x:s v="FIERRO LEANDRO"/>
    <x:s v="POLICLÍNICO DIVINO NIÑO JESÚS"/>
    <x:s v="CRISTINA"/>
    <x:s v="0071027"/>
    <x:s v="986800123"/>
    <x:s v="AGUILAR BUENO JESUS AMELIA"/>
    <x:s v="88348"/>
    <x:x v="17"/>
    <x:n v="1"/>
    <x:s v="PRECISA"/>
    <x:s v="INSTITUTO MEDICO QUIRURGICO AREQUIPA S.A"/>
    <x:s v="INSTITUTO MEDICO QUIRURGICO AREQUIPA S.A"/>
    <x:s v="L.CENTRO"/>
    <x:s v="ACABRERA"/>
    <x:n v="21.19"/>
    <x:s v="LN. LABORATORIO"/>
    <x:s v="CIAS. DE SEGURO"/>
    <x:s v="CENTRO"/>
    <x:m/>
    <x:m/>
    <x:m/>
  </x:r>
  <x:r>
    <x:d v="2026-07-09T00:00:00Z"/>
    <x:x v="1"/>
    <x:s v="100885"/>
    <x:s v="BO"/>
    <x:s v="5739"/>
    <x:s v="CO"/>
    <x:s v="BO-5739"/>
    <x:s v="AGUILAR BUENO JESUS AMELIA"/>
    <x:s v="09808448"/>
    <x:s v="FIERRO LEANDRO"/>
    <x:s v="POLICLÍNICO DIVINO NIÑO JESÚS"/>
    <x:s v="CRISTINA"/>
    <x:s v="0071027"/>
    <x:s v="986800123"/>
    <x:s v="AGUILAR BUENO JESUS AMELIA"/>
    <x:s v="88348"/>
    <x:x v="18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7-09T00:00:00Z"/>
    <x:x v="1"/>
    <x:s v="100885"/>
    <x:s v="BO"/>
    <x:s v="5739"/>
    <x:s v="CO"/>
    <x:s v="BO-5739"/>
    <x:s v="AGUILAR BUENO JESUS AMELIA"/>
    <x:s v="09808448"/>
    <x:s v="FIERRO LEANDRO"/>
    <x:s v="POLICLÍNICO DIVINO NIÑO JESÚS"/>
    <x:s v="CRISTINA"/>
    <x:s v="0071027"/>
    <x:s v="986800123"/>
    <x:s v="AGUILAR BUENO JESUS AMELIA"/>
    <x:s v="88348"/>
    <x:x v="19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7-09T00:00:00Z"/>
    <x:x v="1"/>
    <x:s v="100885"/>
    <x:s v="BO"/>
    <x:s v="5739"/>
    <x:s v="CO"/>
    <x:s v="BO-5739"/>
    <x:s v="AGUILAR BUENO JESUS AMELIA"/>
    <x:s v="09808448"/>
    <x:s v="FIERRO LEANDRO"/>
    <x:s v="POLICLÍNICO DIVINO NIÑO JESÚS"/>
    <x:s v="CRISTINA"/>
    <x:s v="0071027"/>
    <x:s v="986800123"/>
    <x:s v="AGUILAR BUENO JESUS AMELIA"/>
    <x:s v="88348"/>
    <x:x v="20"/>
    <x:n v="1"/>
    <x:s v="PRECISA"/>
    <x:s v="INSTITUTO MEDICO QUIRURGICO AREQUIPA S.A"/>
    <x:s v="INSTITUTO MEDICO QUIRURGICO AREQUIPA S.A"/>
    <x:s v="L.CENTRO"/>
    <x:s v="ACABRERA"/>
    <x:n v="50.85"/>
    <x:s v="LN. LABORATORIO"/>
    <x:s v="CIAS. DE SEGURO"/>
    <x:s v="CENTRO"/>
    <x:m/>
    <x:m/>
    <x:m/>
  </x:r>
  <x:r>
    <x:d v="2026-07-09T00:00:00Z"/>
    <x:x v="1"/>
    <x:s v="100886"/>
    <x:s v="BO"/>
    <x:s v="5740"/>
    <x:s v="CO"/>
    <x:s v="BO-5740"/>
    <x:s v="AGUILAR BUENO JESUS AMELIA"/>
    <x:s v="09808448"/>
    <x:s v="FIERRO LEANDRO"/>
    <x:s v="POLICLÍNICO DIVINO NIÑO JESÚS"/>
    <x:s v="CRISTINA"/>
    <x:s v="0071027"/>
    <x:s v="986800123"/>
    <x:s v="AGUILAR BUENO JESUS AMELIA"/>
    <x:s v="88349"/>
    <x:x v="15"/>
    <x:n v="1"/>
    <x:s v="PRECISA"/>
    <x:s v="INSTITUTO MEDICO QUIRURGICO AREQUIPA S.A"/>
    <x:s v="INSTITUTO MEDICO QUIRURGICO AREQUIPA S.A"/>
    <x:s v="L.CENTRO"/>
    <x:s v="ACABRERA"/>
    <x:n v="127.12"/>
    <x:s v="LN. EXAMENES"/>
    <x:s v="CIAS. DE SEGURO"/>
    <x:s v="CENTRO"/>
    <x:m/>
    <x:m/>
    <x:m/>
  </x:r>
  <x:r>
    <x:d v="2026-07-09T00:00:00Z"/>
    <x:x v="1"/>
    <x:s v="100921"/>
    <x:s v="BO"/>
    <x:s v="11898"/>
    <x:s v="CO"/>
    <x:s v="BO-11898"/>
    <x:s v="OCHOA SALAS LUIS ALBERTO"/>
    <x:s v="80162583"/>
    <x:s v="FIERRO LEANDRO"/>
    <x:s v="POLICLÍNICO DIVINO NIÑO JESÚS"/>
    <x:s v="CRISTINA"/>
    <x:s v="0071029"/>
    <x:s v="986800123"/>
    <x:s v="OCHOA SALAS LUIS ALBERTO"/>
    <x:s v="88383"/>
    <x:x v="14"/>
    <x:n v="1"/>
    <x:s v="PRECISA"/>
    <x:s v="INSTITUTO MEDICO QUIRURGICO AREQUIPA S.A"/>
    <x:s v="INSTITUTO MEDICO QUIRURGICO AREQUIPA S.A"/>
    <x:s v="L.CENTRO"/>
    <x:s v="LMAGAN"/>
    <x:n v="84.75"/>
    <x:s v="LN. EXAMENES"/>
    <x:s v="CIAS. DE SEGURO"/>
    <x:s v="CENTRO"/>
    <x:m/>
    <x:m/>
    <x:m/>
  </x:r>
  <x:r>
    <x:d v="2026-07-09T00:00:00Z"/>
    <x:x v="1"/>
    <x:s v="100945"/>
    <x:s v="FA"/>
    <x:s v="552"/>
    <x:s v="CO"/>
    <x:s v="FA-552"/>
    <x:s v="ALFARO LAURA OSCAR WALDIR"/>
    <x:s v="71856112"/>
    <x:s v="PALACIOS URIBE PAMELA CAROLINA "/>
    <x:s v="CONSULTORIO PARTICULAR"/>
    <x:s v="CRISTINA"/>
    <x:s v="0070922"/>
    <x:s v="999999999"/>
    <x:s v="GRUPO MVP S.A.C."/>
    <x:s v="88303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n v="994872106"/>
    <x:s v="193-95965374018"/>
    <x:m/>
  </x:r>
  <x:r>
    <x:d v="2026-07-09T00:00:00Z"/>
    <x:x v="1"/>
    <x:s v="100945"/>
    <x:s v="FA"/>
    <x:s v="552"/>
    <x:s v="CO"/>
    <x:s v="FA-552"/>
    <x:s v="ALFARO LAURA OSCAR WALDIR"/>
    <x:s v="71856112"/>
    <x:s v="PALACIOS URIBE PAMELA CAROLINA "/>
    <x:s v="CONSULTORIO PARTICULAR"/>
    <x:s v="CRISTINA"/>
    <x:s v="0070922"/>
    <x:s v="999999999"/>
    <x:s v="GRUPO MVP S.A.C."/>
    <x:s v="88303"/>
    <x:x v="30"/>
    <x:n v="1"/>
    <x:s v="PRECISA"/>
    <x:s v="INSTITUTO MEDICO QUIRURGICO AREQUIPA S.A"/>
    <x:s v="INSTITUTO MEDICO QUIRURGICO AREQUIPA S.A"/>
    <x:s v="L.CENTRO"/>
    <x:s v="ACABRERA"/>
    <x:n v="279.66"/>
    <x:s v="LN. CIRUGIA"/>
    <x:s v="CIAS. DE SEGURO"/>
    <x:s v="CENTRO"/>
    <x:n v="994872106"/>
    <x:s v="193-95965374018"/>
    <x:m/>
  </x:r>
  <x:r>
    <x:d v="2026-07-10T00:00:00Z"/>
    <x:x v="1"/>
    <x:s v="100995"/>
    <x:s v="FA"/>
    <x:s v="1063"/>
    <x:s v="CO"/>
    <x:s v="FA-1063"/>
    <x:s v="OCHOA SALAS LUIS ALBERTO"/>
    <x:s v="80162583"/>
    <x:s v="FIERRO LEANDRO"/>
    <x:s v="POLICLÍNICO DIVINO NIÑO JESÚS"/>
    <x:s v="CRISTINA"/>
    <x:s v="0071029"/>
    <x:s v="986800123"/>
    <x:s v="GRUPO MEDICO INTEGRAL SOCIEDAD ANONIMA CERRADA"/>
    <x:s v="88384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7-10T00:00:00Z"/>
    <x:x v="1"/>
    <x:s v="100995"/>
    <x:s v="FA"/>
    <x:s v="1063"/>
    <x:s v="CO"/>
    <x:s v="FA-1063"/>
    <x:s v="OCHOA SALAS LUIS ALBERTO"/>
    <x:s v="80162583"/>
    <x:s v="FIERRO LEANDRO"/>
    <x:s v="POLICLÍNICO DIVINO NIÑO JESÚS"/>
    <x:s v="CRISTINA"/>
    <x:s v="0071029"/>
    <x:s v="986800123"/>
    <x:s v="GRUPO MEDICO INTEGRAL SOCIEDAD ANONIMA CERRADA"/>
    <x:s v="88384"/>
    <x:x v="30"/>
    <x:n v="1"/>
    <x:s v="PRECISA"/>
    <x:s v="INSTITUTO MEDICO QUIRURGICO AREQUIPA S.A"/>
    <x:s v="INSTITUTO MEDICO QUIRURGICO AREQUIPA S.A"/>
    <x:s v="L.CENTRO"/>
    <x:s v="LMAGAN"/>
    <x:n v="762.71"/>
    <x:s v="LN. CIRUGIA"/>
    <x:s v="CIAS. DE SEGURO"/>
    <x:s v="CENTRO"/>
    <x:m/>
    <x:m/>
    <x:m/>
  </x:r>
  <x:r>
    <x:d v="2026-07-10T00:00:00Z"/>
    <x:x v="1"/>
    <x:s v="101009"/>
    <x:s v="FA"/>
    <x:s v="1064"/>
    <x:s v="CO"/>
    <x:s v="FA-1064"/>
    <x:s v="AGUILAR BUENO JESUS AMELIA"/>
    <x:s v="09808448"/>
    <x:s v="FIERRO LEANDRO"/>
    <x:s v="POLICLÍNICO DIVINO NIÑO JESÚS"/>
    <x:s v="CRISTINA"/>
    <x:s v="0071027"/>
    <x:s v="986800123"/>
    <x:s v="GRUPO MEDICO INTEGRAL SOCIEDAD ANONIMA CERRADA"/>
    <x:s v="88398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7-10T00:00:00Z"/>
    <x:x v="1"/>
    <x:s v="101009"/>
    <x:s v="FA"/>
    <x:s v="1064"/>
    <x:s v="CO"/>
    <x:s v="FA-1064"/>
    <x:s v="AGUILAR BUENO JESUS AMELIA"/>
    <x:s v="09808448"/>
    <x:s v="FIERRO LEANDRO"/>
    <x:s v="POLICLÍNICO DIVINO NIÑO JESÚS"/>
    <x:s v="CRISTINA"/>
    <x:s v="0071027"/>
    <x:s v="986800123"/>
    <x:s v="GRUPO MEDICO INTEGRAL SOCIEDAD ANONIMA CERRADA"/>
    <x:s v="88398"/>
    <x:x v="30"/>
    <x:n v="1"/>
    <x:s v="PRECISA"/>
    <x:s v="INSTITUTO MEDICO QUIRURGICO AREQUIPA S.A"/>
    <x:s v="INSTITUTO MEDICO QUIRURGICO AREQUIPA S.A"/>
    <x:s v="L.CENTRO"/>
    <x:s v="LMAGAN"/>
    <x:n v="762.71"/>
    <x:s v="LN. CIRUGIA"/>
    <x:s v="CIAS. DE SEGURO"/>
    <x:s v="CENTRO"/>
    <x:m/>
    <x:m/>
    <x:m/>
  </x:r>
  <x:r>
    <x:d v="2026-07-10T00:00:00Z"/>
    <x:x v="1"/>
    <x:s v="101011"/>
    <x:s v="BO"/>
    <x:s v="4118"/>
    <x:s v="CO"/>
    <x:s v="BO-4118"/>
    <x:s v="BELLO PEJERREY OLGA MERY"/>
    <x:s v="25822194"/>
    <x:s v="HUAMAN RIOS LUIS ENRIQUE"/>
    <x:s v="HOSPITAL SERGIO BERNALES"/>
    <x:s v="CRISTINA"/>
    <x:s v="0071116"/>
    <x:s v="929409172"/>
    <x:s v="BELLO PEJERREY OLGA MERY"/>
    <x:s v="88468"/>
    <x:x v="4"/>
    <x:n v="1"/>
    <x:s v="PRECISA LN"/>
    <x:s v="POR ASIGNAR"/>
    <x:s v="INSTITUTO MEDICO QUIRURGICO AREQUIPA S.A"/>
    <x:s v="L.NORTE"/>
    <x:s v="BGALLOSA"/>
    <x:n v="135.59"/>
    <x:s v="LN. EXAMENES"/>
    <x:s v="CIAS. DE SEGURO"/>
    <x:s v="NORTE"/>
    <x:n v="999986041"/>
    <x:s v="191-30583545068"/>
    <x:n v="30"/>
  </x:r>
  <x:r>
    <x:d v="2026-07-10T00:00:00Z"/>
    <x:x v="1"/>
    <x:s v="101014"/>
    <x:s v="BO"/>
    <x:s v="11913"/>
    <x:s v="CO"/>
    <x:s v="BO-11913"/>
    <x:s v="CAYLLAHUA CHALCO MARCELO"/>
    <x:s v="08301706"/>
    <x:s v="SANCHEZ CUEVA SERGIO"/>
    <x:m/>
    <x:s v="CRISTINA"/>
    <x:s v="0071117"/>
    <x:s v="930723250"/>
    <x:s v="CAYLLAHUA CHALCO MARCELO"/>
    <x:s v="88471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7-10T00:00:00Z"/>
    <x:x v="1"/>
    <x:s v="2394"/>
    <x:s v="NC"/>
    <x:s v="11913"/>
    <x:s v="CR"/>
    <x:s v="NC-11913"/>
    <x:s v="CAYLLAHUA CHALCO MARCELO"/>
    <x:s v="08301706"/>
    <x:s v="SANCHEZ CUEVA SERGIO"/>
    <x:m/>
    <x:s v="CR"/>
    <x:s v="0071117"/>
    <x:s v="930723250"/>
    <x:s v="CAYLLAHUA CHALCO MARCELO"/>
    <x:s v="88471"/>
    <x:x v="4"/>
    <x:n v="1"/>
    <x:s v="PRECISA"/>
    <x:s v="INSTITUTO MEDICO QUIRURGICO AREQUIPA S.A"/>
    <x:s v="INSTITUTO MEDICO QUIRURGICO AREQUIPA S.A"/>
    <x:s v="L.CENTRO"/>
    <x:s v="LMAGAN"/>
    <x:n v="-135.59"/>
    <x:s v="LN. EXAMENES"/>
    <x:s v="CIAS. DE SEGURO"/>
    <x:s v="CENTRO"/>
    <x:m/>
    <x:m/>
    <x:n v="30"/>
  </x:r>
  <x:r>
    <x:d v="2026-07-11T00:00:00Z"/>
    <x:x v="1"/>
    <x:s v="101135"/>
    <x:s v="BO"/>
    <x:s v="4136"/>
    <x:s v="CO"/>
    <x:s v="BO-4136"/>
    <x:s v="CASANOVA NAMOG DE LARREA ANDREA NINFA"/>
    <x:s v="08077846"/>
    <x:s v="RUIZ ROJAS PAUBLO ENRIQUE"/>
    <x:s v="CONSULTORIO CUBANO COMAS"/>
    <x:s v="CRISTINA"/>
    <x:s v="0071146"/>
    <x:s v="4820159"/>
    <x:s v="CASANOVA NAMOG DE LARREA ANDREA NINFA"/>
    <x:s v="88569"/>
    <x:x v="1"/>
    <x:n v="1"/>
    <x:s v="PRECISA LN"/>
    <x:s v="POR ASIGNAR"/>
    <x:s v="INSTITUTO MEDICO QUIRURGICO AREQUIPA S.A"/>
    <x:s v="L.NORTE"/>
    <x:s v="BGALLOSA"/>
    <x:n v="135.59"/>
    <x:s v="LN. EXAMENES"/>
    <x:s v="CIAS. DE SEGURO"/>
    <x:s v="NORTE"/>
    <x:n v="992903716"/>
    <x:s v="191-91415089071"/>
    <x:n v="30"/>
  </x:r>
  <x:r>
    <x:d v="2026-07-11T00:00:00Z"/>
    <x:x v="1"/>
    <x:s v="101135"/>
    <x:s v="BO"/>
    <x:s v="4136"/>
    <x:s v="CO"/>
    <x:s v="BO-4136"/>
    <x:s v="CASANOVA NAMOG DE LARREA ANDREA NINFA"/>
    <x:s v="08077846"/>
    <x:s v="RUIZ ROJAS PAUBLO ENRIQUE"/>
    <x:s v="CONSULTORIO CUBANO COMAS"/>
    <x:s v="CRISTINA"/>
    <x:s v="0071146"/>
    <x:s v="4820159"/>
    <x:s v="CASANOVA NAMOG DE LARREA ANDREA NINFA"/>
    <x:s v="88569"/>
    <x:x v="2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n v="992903716"/>
    <x:s v="191-91415089071"/>
    <x:n v="50"/>
  </x:r>
  <x:r>
    <x:d v="2026-07-11T00:00:00Z"/>
    <x:x v="1"/>
    <x:s v="101072"/>
    <x:s v="FA"/>
    <x:s v="553"/>
    <x:s v="CO"/>
    <x:s v="FA-553"/>
    <x:s v="CALVAY SAUSA LUIS ALBERTO"/>
    <x:s v="10405367"/>
    <x:s v="MENDOZA DIAZ NORA BEATRIZ"/>
    <x:s v="ESSALUD ATE"/>
    <x:s v="CRISTINA"/>
    <x:s v="0070474"/>
    <x:s v="95231065"/>
    <x:s v="GRACIA REY VALENTINA"/>
    <x:s v="88440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n v="993540760"/>
    <x:s v="191-03554214014"/>
    <x:m/>
  </x:r>
  <x:r>
    <x:d v="2026-07-11T00:00:00Z"/>
    <x:x v="1"/>
    <x:s v="101072"/>
    <x:s v="FA"/>
    <x:s v="553"/>
    <x:s v="CO"/>
    <x:s v="FA-553"/>
    <x:s v="CALVAY SAUSA LUIS ALBERTO"/>
    <x:s v="10405367"/>
    <x:s v="MENDOZA DIAZ NORA BEATRIZ"/>
    <x:s v="ESSALUD ATE"/>
    <x:s v="CRISTINA"/>
    <x:s v="0070474"/>
    <x:s v="95231065"/>
    <x:s v="GRACIA REY VALENTINA"/>
    <x:s v="88440"/>
    <x:x v="30"/>
    <x:n v="1"/>
    <x:s v="PRECISA"/>
    <x:s v="INSTITUTO MEDICO QUIRURGICO AREQUIPA S.A"/>
    <x:s v="INSTITUTO MEDICO QUIRURGICO AREQUIPA S.A"/>
    <x:s v="L.CENTRO"/>
    <x:s v="ACABRERA"/>
    <x:n v="550.85"/>
    <x:s v="LN. CIRUGIA"/>
    <x:s v="CIAS. DE SEGURO"/>
    <x:s v="CENTRO"/>
    <x:n v="993540760"/>
    <x:s v="191-03554214014"/>
    <x:m/>
  </x:r>
  <x:r>
    <x:d v="2026-07-13T00:00:00Z"/>
    <x:x v="1"/>
    <x:s v="101168"/>
    <x:s v="FA"/>
    <x:s v="555"/>
    <x:s v="CO"/>
    <x:s v="FA-555"/>
    <x:s v="LARA VALER ALBERTO"/>
    <x:s v="43908772"/>
    <x:s v="FERNANDEZ GUTIERREZ OLGA PATRICIA"/>
    <x:s v="CONSULTORIO PARTICULAR"/>
    <x:s v="CRISTINA"/>
    <x:s v="0071173"/>
    <x:s v="920626730"/>
    <x:s v="VEFER OFTALMOLOGOS S.A.C."/>
    <x:s v="88598"/>
    <x:x v="22"/>
    <x:n v="1"/>
    <x:s v="PRECISA"/>
    <x:s v="INSTITUTO MEDICO QUIRURGICO AREQUIPA S.A"/>
    <x:s v="INSTITUTO MEDICO QUIRURGICO AREQUIPA S.A"/>
    <x:s v="L.CENTRO"/>
    <x:s v="ACABRERA"/>
    <x:n v="101.69"/>
    <x:s v="LN. PROCEDIMIENTO"/>
    <x:s v="CIAS. DE SEGURO"/>
    <x:s v="CENTRO"/>
    <x:n v="982536223"/>
    <x:s v="107-3174605363"/>
    <x:m/>
  </x:r>
  <x:r>
    <x:d v="2026-07-13T00:00:00Z"/>
    <x:x v="1"/>
    <x:s v="101140"/>
    <x:s v="BO"/>
    <x:s v="5762"/>
    <x:s v="CO"/>
    <x:s v="BO-5762"/>
    <x:s v="RODRIGUEZ DE ARBILDO MARIA CLAUDINA"/>
    <x:s v="25466693"/>
    <x:m/>
    <x:m/>
    <x:s v="CRISTINA"/>
    <x:s v="0071162"/>
    <x:s v="987114412"/>
    <x:s v="RODRIGUEZ DE ARBILDO MARIA CLAUDINA"/>
    <x:s v="88571"/>
    <x:x v="4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m/>
    <x:n v="30"/>
  </x:r>
  <x:r>
    <x:d v="2026-07-13T00:00:00Z"/>
    <x:x v="1"/>
    <x:s v="101161"/>
    <x:s v="BO"/>
    <x:s v="11927"/>
    <x:s v="CO"/>
    <x:s v="BO-11927"/>
    <x:s v="BRAVO YAYA JOSE ANTONIO"/>
    <x:s v="09218651"/>
    <x:m/>
    <x:m/>
    <x:s v="CRISTINA"/>
    <x:s v="0053635"/>
    <x:s v="996299409"/>
    <x:s v="BRAVO YAYA JOSE ANTONIO"/>
    <x:s v="88592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7-13T00:00:00Z"/>
    <x:x v="1"/>
    <x:s v="101161"/>
    <x:s v="BO"/>
    <x:s v="11927"/>
    <x:s v="CO"/>
    <x:s v="BO-11927"/>
    <x:s v="BRAVO YAYA JOSE ANTONIO"/>
    <x:s v="09218651"/>
    <x:m/>
    <x:m/>
    <x:s v="CRISTINA"/>
    <x:s v="0053635"/>
    <x:s v="996299409"/>
    <x:s v="BRAVO YAYA JOSE ANTONIO"/>
    <x:s v="88592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7-13T00:00:00Z"/>
    <x:x v="1"/>
    <x:s v="101163"/>
    <x:s v="BO"/>
    <x:s v="5764"/>
    <x:s v="CO"/>
    <x:s v="BO-5764"/>
    <x:s v="LAZARES DE LA CRUZ ELIZABETH"/>
    <x:s v="20060778"/>
    <x:m/>
    <x:m/>
    <x:s v="CRISTINA"/>
    <x:s v="0071183"/>
    <x:s v="961670005"/>
    <x:s v="LAZARES DE LA CRUZ ELIZABETH"/>
    <x:s v="88595"/>
    <x:x v="4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m/>
    <x:n v="30"/>
  </x:r>
  <x:r>
    <x:d v="2026-07-13T00:00:00Z"/>
    <x:x v="1"/>
    <x:s v="101178"/>
    <x:s v="BO"/>
    <x:s v="11930"/>
    <x:s v="CO"/>
    <x:s v="BO-11930"/>
    <x:s v="QUIPUSCO BERNAL MIGUEL WENCESLAO"/>
    <x:s v="06057576"/>
    <x:m/>
    <x:m/>
    <x:s v="CRISTINA"/>
    <x:s v="0054107"/>
    <x:s v="998759676"/>
    <x:s v="QUIPUSCO BERNAL MIGUEL WENCESLAO"/>
    <x:s v="88607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7-13T00:00:00Z"/>
    <x:x v="1"/>
    <x:s v="101181"/>
    <x:s v="BO"/>
    <x:s v="5769"/>
    <x:s v="CO"/>
    <x:s v="BO-5769"/>
    <x:s v="VALENTINO HUAMAN VDA DE MAYTA LUISA TEOD"/>
    <x:s v="09420060"/>
    <x:m/>
    <x:m/>
    <x:s v="CRISTINA"/>
    <x:s v="0071194"/>
    <x:s v="966511609"/>
    <x:s v="VALENTINO HUAMAN VDA DE MAYTA LUISA TEOD"/>
    <x:s v="88610"/>
    <x:x v="2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m/>
    <x:m/>
    <x:n v="50"/>
  </x:r>
  <x:r>
    <x:d v="2026-07-14T00:00:00Z"/>
    <x:x v="1"/>
    <x:s v="101279"/>
    <x:s v="FA"/>
    <x:s v="556"/>
    <x:s v="CO"/>
    <x:s v="FA-556"/>
    <x:s v="FALLA SARFATY ANTONIO JESUS MANUEL"/>
    <x:s v="07815723"/>
    <x:m/>
    <x:m/>
    <x:s v="CRISTINA"/>
    <x:s v="0071224"/>
    <x:s v="961765198"/>
    <x:s v="FALLA SARFATY VDA DE VICICH MARITZA"/>
    <x:s v="88685"/>
    <x:x v="8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m/>
    <x:n v="30"/>
  </x:r>
  <x:r>
    <x:d v="2026-07-14T00:00:00Z"/>
    <x:x v="1"/>
    <x:s v="101222"/>
    <x:s v="BO"/>
    <x:s v="11935"/>
    <x:s v="CO"/>
    <x:s v="BO-11935"/>
    <x:s v="ARMAS TORRES ONOLITH"/>
    <x:s v="01097607"/>
    <x:s v="FIERRO LEANDRO"/>
    <x:s v="POLICLÍNICO DIVINO NIÑO JESÚS"/>
    <x:s v="CRISTINA"/>
    <x:s v="0071135"/>
    <x:s v="997325804"/>
    <x:s v="ARMAS TORRES ONOLITH"/>
    <x:s v="88643"/>
    <x:x v="14"/>
    <x:n v="1"/>
    <x:s v="PRECISA"/>
    <x:s v="INSTITUTO MEDICO QUIRURGICO AREQUIPA S.A"/>
    <x:s v="INSTITUTO MEDICO QUIRURGICO AREQUIPA S.A"/>
    <x:s v="L.CENTRO"/>
    <x:s v="LMAGAN"/>
    <x:n v="84.75"/>
    <x:s v="LN. EXAMENES"/>
    <x:s v="CIAS. DE SEGURO"/>
    <x:s v="CENTRO"/>
    <x:m/>
    <x:m/>
    <x:m/>
  </x:r>
  <x:r>
    <x:d v="2026-07-14T00:00:00Z"/>
    <x:x v="1"/>
    <x:s v="101228"/>
    <x:s v="BO"/>
    <x:s v="5777"/>
    <x:s v="CO"/>
    <x:s v="BO-5777"/>
    <x:s v="RODRIGUEZ PEREZ JOSE TOMAS"/>
    <x:s v="06148717"/>
    <x:s v="FIERRO LEANDRO"/>
    <x:s v="POLICLÍNICO DIVINO NIÑO JESÚS"/>
    <x:s v="CRISTINA"/>
    <x:s v="0071134"/>
    <x:s v="939515680"/>
    <x:s v="RODRIGUEZ PEREZ JOSE TOMAS"/>
    <x:s v="88648"/>
    <x:x v="16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7-14T00:00:00Z"/>
    <x:x v="1"/>
    <x:s v="101228"/>
    <x:s v="BO"/>
    <x:s v="5777"/>
    <x:s v="CO"/>
    <x:s v="BO-5777"/>
    <x:s v="RODRIGUEZ PEREZ JOSE TOMAS"/>
    <x:s v="06148717"/>
    <x:s v="FIERRO LEANDRO"/>
    <x:s v="POLICLÍNICO DIVINO NIÑO JESÚS"/>
    <x:s v="CRISTINA"/>
    <x:s v="0071134"/>
    <x:s v="939515680"/>
    <x:s v="RODRIGUEZ PEREZ JOSE TOMAS"/>
    <x:s v="88648"/>
    <x:x v="17"/>
    <x:n v="1"/>
    <x:s v="PRECISA"/>
    <x:s v="INSTITUTO MEDICO QUIRURGICO AREQUIPA S.A"/>
    <x:s v="INSTITUTO MEDICO QUIRURGICO AREQUIPA S.A"/>
    <x:s v="L.CENTRO"/>
    <x:s v="ACABRERA"/>
    <x:n v="21.19"/>
    <x:s v="LN. LABORATORIO"/>
    <x:s v="CIAS. DE SEGURO"/>
    <x:s v="CENTRO"/>
    <x:m/>
    <x:m/>
    <x:m/>
  </x:r>
  <x:r>
    <x:d v="2026-07-14T00:00:00Z"/>
    <x:x v="1"/>
    <x:s v="101228"/>
    <x:s v="BO"/>
    <x:s v="5777"/>
    <x:s v="CO"/>
    <x:s v="BO-5777"/>
    <x:s v="RODRIGUEZ PEREZ JOSE TOMAS"/>
    <x:s v="06148717"/>
    <x:s v="FIERRO LEANDRO"/>
    <x:s v="POLICLÍNICO DIVINO NIÑO JESÚS"/>
    <x:s v="CRISTINA"/>
    <x:s v="0071134"/>
    <x:s v="939515680"/>
    <x:s v="RODRIGUEZ PEREZ JOSE TOMAS"/>
    <x:s v="88648"/>
    <x:x v="18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7-14T00:00:00Z"/>
    <x:x v="1"/>
    <x:s v="101228"/>
    <x:s v="BO"/>
    <x:s v="5777"/>
    <x:s v="CO"/>
    <x:s v="BO-5777"/>
    <x:s v="RODRIGUEZ PEREZ JOSE TOMAS"/>
    <x:s v="06148717"/>
    <x:s v="FIERRO LEANDRO"/>
    <x:s v="POLICLÍNICO DIVINO NIÑO JESÚS"/>
    <x:s v="CRISTINA"/>
    <x:s v="0071134"/>
    <x:s v="939515680"/>
    <x:s v="RODRIGUEZ PEREZ JOSE TOMAS"/>
    <x:s v="88648"/>
    <x:x v="19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7-14T00:00:00Z"/>
    <x:x v="1"/>
    <x:s v="101228"/>
    <x:s v="BO"/>
    <x:s v="5777"/>
    <x:s v="CO"/>
    <x:s v="BO-5777"/>
    <x:s v="RODRIGUEZ PEREZ JOSE TOMAS"/>
    <x:s v="06148717"/>
    <x:s v="FIERRO LEANDRO"/>
    <x:s v="POLICLÍNICO DIVINO NIÑO JESÚS"/>
    <x:s v="CRISTINA"/>
    <x:s v="0071134"/>
    <x:s v="939515680"/>
    <x:s v="RODRIGUEZ PEREZ JOSE TOMAS"/>
    <x:s v="88648"/>
    <x:x v="20"/>
    <x:n v="1"/>
    <x:s v="PRECISA"/>
    <x:s v="INSTITUTO MEDICO QUIRURGICO AREQUIPA S.A"/>
    <x:s v="INSTITUTO MEDICO QUIRURGICO AREQUIPA S.A"/>
    <x:s v="L.CENTRO"/>
    <x:s v="ACABRERA"/>
    <x:n v="50.85"/>
    <x:s v="LN. LABORATORIO"/>
    <x:s v="CIAS. DE SEGURO"/>
    <x:s v="CENTRO"/>
    <x:m/>
    <x:m/>
    <x:m/>
  </x:r>
  <x:r>
    <x:d v="2026-07-14T00:00:00Z"/>
    <x:x v="1"/>
    <x:s v="101229"/>
    <x:s v="BO"/>
    <x:s v="5778"/>
    <x:s v="CO"/>
    <x:s v="BO-5778"/>
    <x:s v="RODRIGUEZ PEREZ JOSE TOMAS"/>
    <x:s v="06148717"/>
    <x:s v="FIERRO LEANDRO"/>
    <x:s v="POLICLÍNICO DIVINO NIÑO JESÚS"/>
    <x:s v="CRISTINA"/>
    <x:s v="0071134"/>
    <x:s v="939515680"/>
    <x:s v="RODRIGUEZ PEREZ JOSE TOMAS"/>
    <x:s v="88649"/>
    <x:x v="15"/>
    <x:n v="1"/>
    <x:s v="PRECISA"/>
    <x:s v="INSTITUTO MEDICO QUIRURGICO AREQUIPA S.A"/>
    <x:s v="INSTITUTO MEDICO QUIRURGICO AREQUIPA S.A"/>
    <x:s v="L.CENTRO"/>
    <x:s v="ACABRERA"/>
    <x:n v="127.12"/>
    <x:s v="LN. EXAMENES"/>
    <x:s v="CIAS. DE SEGURO"/>
    <x:s v="CENTRO"/>
    <x:m/>
    <x:m/>
    <x:m/>
  </x:r>
  <x:r>
    <x:d v="2026-07-14T00:00:00Z"/>
    <x:x v="1"/>
    <x:s v="101230"/>
    <x:s v="BO"/>
    <x:s v="5779"/>
    <x:s v="CO"/>
    <x:s v="BO-5779"/>
    <x:s v="RODRIGUEZ PEREZ JOSE TOMAS"/>
    <x:s v="06148717"/>
    <x:s v="FIERRO LEANDRO"/>
    <x:s v="POLICLÍNICO DIVINO NIÑO JESÚS"/>
    <x:s v="CRISTINA"/>
    <x:s v="0071134"/>
    <x:s v="939515680"/>
    <x:s v="RODRIGUEZ PEREZ JOSE TOMAS"/>
    <x:s v="88650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m/>
    <x:m/>
    <x:m/>
  </x:r>
  <x:r>
    <x:d v="2026-07-14T00:00:00Z"/>
    <x:x v="1"/>
    <x:s v="101242"/>
    <x:s v="BO"/>
    <x:s v="11419"/>
    <x:s v="CO"/>
    <x:s v="BO-11419"/>
    <x:s v="ZERPA ALVARADO SUSANA FAUSTA"/>
    <x:s v="32883554"/>
    <x:s v="FIERRO LEANDRO"/>
    <x:s v="POLICLÍNICO DIVINO NIÑO JESÚS"/>
    <x:s v="CRISTINA"/>
    <x:s v="0071136"/>
    <x:s v="938255321"/>
    <x:s v="ZERPA ALVARADO SUSANA FAUSTA"/>
    <x:s v="88660"/>
    <x:x v="31"/>
    <x:n v="1"/>
    <x:s v="PRECISA"/>
    <x:s v="INSTITUTO MEDICO QUIRURGICO AREQUIPA S.A"/>
    <x:s v="INSTITUTO MEDICO QUIRURGICO AREQUIPA S.A"/>
    <x:s v="L.CENTRO"/>
    <x:s v="DGIRALDO"/>
    <x:n v="84.75"/>
    <x:s v="LN. OPTICA"/>
    <x:s v="CIAS. DE SEGURO"/>
    <x:s v="CENTRO"/>
    <x:m/>
    <x:m/>
    <x:m/>
  </x:r>
  <x:r>
    <x:d v="2026-07-14T00:00:00Z"/>
    <x:x v="1"/>
    <x:s v="101258"/>
    <x:s v="BO"/>
    <x:s v="11945"/>
    <x:s v="CO"/>
    <x:s v="BO-11945"/>
    <x:s v="FARFAN SAIRITUPA JOSE FERNANDO"/>
    <x:s v="06884348"/>
    <x:s v="FIERRO LEANDRO"/>
    <x:s v="POLICLÍNICO DIVINO NIÑO JESÚS"/>
    <x:s v="CRISTINA"/>
    <x:s v="0071133"/>
    <x:s v="987132568"/>
    <x:s v="FARFAN SAIRITUPA JOSE FERNANDO"/>
    <x:s v="88676"/>
    <x:x v="14"/>
    <x:n v="1"/>
    <x:s v="PRECISA"/>
    <x:s v="INSTITUTO MEDICO QUIRURGICO AREQUIPA S.A"/>
    <x:s v="INSTITUTO MEDICO QUIRURGICO AREQUIPA S.A"/>
    <x:s v="L.CENTRO"/>
    <x:s v="LMAGAN"/>
    <x:n v="84.75"/>
    <x:s v="LN. EXAMENES"/>
    <x:s v="CIAS. DE SEGURO"/>
    <x:s v="CENTRO"/>
    <x:m/>
    <x:m/>
    <x:m/>
  </x:r>
  <x:r>
    <x:d v="2026-07-14T00:00:00Z"/>
    <x:x v="1"/>
    <x:s v="101299"/>
    <x:s v="FA"/>
    <x:s v="1066"/>
    <x:s v="CO"/>
    <x:s v="FA-1066"/>
    <x:s v="ARMAS TORRES ONOLITH"/>
    <x:s v="01097607"/>
    <x:s v="FIERRO LEANDRO"/>
    <x:s v="POLICLÍNICO DIVINO NIÑO JESÚS"/>
    <x:s v="CRISTINA"/>
    <x:s v="0071135"/>
    <x:s v="997325804"/>
    <x:s v="GRUPO MEDICO INTEGRAL SOCIEDAD ANONIMA CERRADA"/>
    <x:s v="88667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7-14T00:00:00Z"/>
    <x:x v="1"/>
    <x:s v="101299"/>
    <x:s v="FA"/>
    <x:s v="1066"/>
    <x:s v="CO"/>
    <x:s v="FA-1066"/>
    <x:s v="ARMAS TORRES ONOLITH"/>
    <x:s v="01097607"/>
    <x:s v="FIERRO LEANDRO"/>
    <x:s v="POLICLÍNICO DIVINO NIÑO JESÚS"/>
    <x:s v="CRISTINA"/>
    <x:s v="0071135"/>
    <x:s v="997325804"/>
    <x:s v="GRUPO MEDICO INTEGRAL SOCIEDAD ANONIMA CERRADA"/>
    <x:s v="88667"/>
    <x:x v="30"/>
    <x:n v="1"/>
    <x:s v="PRECISA"/>
    <x:s v="INSTITUTO MEDICO QUIRURGICO AREQUIPA S.A"/>
    <x:s v="INSTITUTO MEDICO QUIRURGICO AREQUIPA S.A"/>
    <x:s v="L.CENTRO"/>
    <x:s v="LMAGAN"/>
    <x:n v="762.71"/>
    <x:s v="LN. CIRUGIA"/>
    <x:s v="CIAS. DE SEGURO"/>
    <x:s v="CENTRO"/>
    <x:m/>
    <x:m/>
    <x:m/>
  </x:r>
  <x:r>
    <x:d v="2026-07-14T00:00:00Z"/>
    <x:x v="1"/>
    <x:s v="101300"/>
    <x:s v="FA"/>
    <x:s v="1067"/>
    <x:s v="CO"/>
    <x:s v="FA-1067"/>
    <x:s v="ZERPA ALVARADO SUSANA FAUSTA"/>
    <x:s v="32883554"/>
    <x:s v="FIERRO LEANDRO"/>
    <x:s v="POLICLÍNICO DIVINO NIÑO JESÚS"/>
    <x:s v="CRISTINA"/>
    <x:s v="0071136"/>
    <x:s v="938255321"/>
    <x:s v="GRUPO MEDICO INTEGRAL SOCIEDAD ANONIMA CERRADA"/>
    <x:s v="88668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7-14T00:00:00Z"/>
    <x:x v="1"/>
    <x:s v="101300"/>
    <x:s v="FA"/>
    <x:s v="1067"/>
    <x:s v="CO"/>
    <x:s v="FA-1067"/>
    <x:s v="ZERPA ALVARADO SUSANA FAUSTA"/>
    <x:s v="32883554"/>
    <x:s v="FIERRO LEANDRO"/>
    <x:s v="POLICLÍNICO DIVINO NIÑO JESÚS"/>
    <x:s v="CRISTINA"/>
    <x:s v="0071136"/>
    <x:s v="938255321"/>
    <x:s v="GRUPO MEDICO INTEGRAL SOCIEDAD ANONIMA CERRADA"/>
    <x:s v="88668"/>
    <x:x v="30"/>
    <x:n v="1"/>
    <x:s v="PRECISA"/>
    <x:s v="INSTITUTO MEDICO QUIRURGICO AREQUIPA S.A"/>
    <x:s v="INSTITUTO MEDICO QUIRURGICO AREQUIPA S.A"/>
    <x:s v="L.CENTRO"/>
    <x:s v="LMAGAN"/>
    <x:n v="1525.42"/>
    <x:s v="LN. CIRUGIA"/>
    <x:s v="CIAS. DE SEGURO"/>
    <x:s v="CENTRO"/>
    <x:m/>
    <x:m/>
    <x:m/>
  </x:r>
  <x:r>
    <x:d v="2026-07-14T00:00:00Z"/>
    <x:x v="1"/>
    <x:s v="101301"/>
    <x:s v="FA"/>
    <x:s v="1068"/>
    <x:s v="CO"/>
    <x:s v="FA-1068"/>
    <x:s v="FARFAN SAIRITUPA JOSE FERNANDO"/>
    <x:s v="06884348"/>
    <x:s v="FIERRO LEANDRO"/>
    <x:s v="POLICLÍNICO DIVINO NIÑO JESÚS"/>
    <x:s v="CRISTINA"/>
    <x:s v="0071133"/>
    <x:s v="987132568"/>
    <x:s v="GRUPO MEDICO INTEGRAL SOCIEDAD ANONIMA CERRADA"/>
    <x:s v="88679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7-14T00:00:00Z"/>
    <x:x v="1"/>
    <x:s v="101301"/>
    <x:s v="FA"/>
    <x:s v="1068"/>
    <x:s v="CO"/>
    <x:s v="FA-1068"/>
    <x:s v="FARFAN SAIRITUPA JOSE FERNANDO"/>
    <x:s v="06884348"/>
    <x:s v="FIERRO LEANDRO"/>
    <x:s v="POLICLÍNICO DIVINO NIÑO JESÚS"/>
    <x:s v="CRISTINA"/>
    <x:s v="0071133"/>
    <x:s v="987132568"/>
    <x:s v="GRUPO MEDICO INTEGRAL SOCIEDAD ANONIMA CERRADA"/>
    <x:s v="88679"/>
    <x:x v="30"/>
    <x:n v="1"/>
    <x:s v="PRECISA"/>
    <x:s v="INSTITUTO MEDICO QUIRURGICO AREQUIPA S.A"/>
    <x:s v="INSTITUTO MEDICO QUIRURGICO AREQUIPA S.A"/>
    <x:s v="L.CENTRO"/>
    <x:s v="LMAGAN"/>
    <x:n v="762.71"/>
    <x:s v="LN. CIRUGIA"/>
    <x:s v="CIAS. DE SEGURO"/>
    <x:s v="CENTRO"/>
    <x:m/>
    <x:m/>
    <x:m/>
  </x:r>
  <x:r>
    <x:d v="2026-07-14T00:00:00Z"/>
    <x:x v="1"/>
    <x:s v="101302"/>
    <x:s v="BO"/>
    <x:s v="11950"/>
    <x:s v="CO"/>
    <x:s v="BO-11950"/>
    <x:s v="ZERPA ALVARADO SUSANA FAUSTA"/>
    <x:s v="32883554"/>
    <x:s v="FIERRO LEANDRO"/>
    <x:s v="POLICLÍNICO DIVINO NIÑO JESÚS"/>
    <x:s v="CRISTINA"/>
    <x:s v="0071136"/>
    <x:s v="938255321"/>
    <x:s v="ZERPA ALVARADO SUSANA FAUSTA"/>
    <x:s v="88700"/>
    <x:x v="14"/>
    <x:n v="1"/>
    <x:s v="PRECISA"/>
    <x:s v="INSTITUTO MEDICO QUIRURGICO AREQUIPA S.A"/>
    <x:s v="INSTITUTO MEDICO QUIRURGICO AREQUIPA S.A"/>
    <x:s v="L.CENTRO"/>
    <x:s v="LMAGAN"/>
    <x:n v="84.75"/>
    <x:s v="LN. EXAMENES"/>
    <x:s v="CIAS. DE SEGURO"/>
    <x:s v="CENTRO"/>
    <x:m/>
    <x:m/>
    <x:m/>
  </x:r>
  <x:r>
    <x:d v="2026-07-15T00:00:00Z"/>
    <x:x v="1"/>
    <x:s v="101370"/>
    <x:s v="FA"/>
    <x:s v="558"/>
    <x:s v="CO"/>
    <x:s v="FA-558"/>
    <x:s v="GUIMARAY SIALER ALEJANDRO HUMBERTO"/>
    <x:s v="08353192"/>
    <x:s v="VILLAR CURAHUA MARCELA ALEJANDRA"/>
    <x:s v="GAMARRA SALUD"/>
    <x:s v="CRISTINA"/>
    <x:s v="0063491"/>
    <x:s v="989454153"/>
    <x:s v="GAMARRA HEALTHCARE CENTER S.A.C."/>
    <x:s v="88772"/>
    <x:x v="7"/>
    <x:n v="1"/>
    <x:s v="PRECISA"/>
    <x:s v="INSTITUTO MEDICO QUIRURGICO AREQUIPA S.A"/>
    <x:s v="INSTITUTO MEDICO QUIRURGICO AREQUIPA S.A"/>
    <x:s v="L.CENTRO"/>
    <x:s v="ACABRERA"/>
    <x:n v="152.54"/>
    <x:s v="LN. EXAMENES"/>
    <x:s v="CIAS. DE SEGURO"/>
    <x:s v="CENTRO"/>
    <x:n v="950133748"/>
    <x:s v="191-9953047026"/>
    <x:n v="30"/>
  </x:r>
  <x:r>
    <x:d v="2026-07-16T00:00:00Z"/>
    <x:x v="1"/>
    <x:s v="101426"/>
    <x:s v="BO"/>
    <x:s v="5797"/>
    <x:s v="CO"/>
    <x:s v="BO-5797"/>
    <x:s v="CAYCHO TORRES OLGA ESTHER"/>
    <x:s v="09865602"/>
    <x:s v="GUTARRA PAUCAR JULIA KARINA"/>
    <x:s v="CLÍNICA SAN CAMILO"/>
    <x:s v="CRISTINA"/>
    <x:s v="0071271"/>
    <x:s v="991737507"/>
    <x:s v="CAYCHO TORRES OLGA ESTHER"/>
    <x:s v="88820"/>
    <x:x v="4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n v="982673362"/>
    <x:s v="0011-0353-0200308107"/>
    <x:n v="30"/>
  </x:r>
  <x:r>
    <x:d v="2026-07-16T00:00:00Z"/>
    <x:x v="1"/>
    <x:s v="101456"/>
    <x:s v="BO"/>
    <x:s v="5804"/>
    <x:s v="CO"/>
    <x:s v="BO-5804"/>
    <x:s v="CASTILLO SOTO DE MONTOYA FLOR DEL ROCIO"/>
    <x:s v="07783843"/>
    <x:s v="CASTRO TAMANAJA VANIA VIVIAN"/>
    <x:s v="HOSPITAL 2 DE MAYO"/>
    <x:s v="CRISTINA"/>
    <x:s v="0054793"/>
    <x:s v="983818294"/>
    <x:s v="CASTILLO SOTO DE MONTOYA FLOR DEL ROCIO"/>
    <x:s v="88844"/>
    <x:x v="2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n v="986661693"/>
    <x:s v="0011-0354-0200096288"/>
    <x:n v="50"/>
  </x:r>
  <x:r>
    <x:d v="2026-07-16T00:00:00Z"/>
    <x:x v="1"/>
    <x:s v="101451"/>
    <x:s v="BO"/>
    <x:s v="4161"/>
    <x:s v="CO"/>
    <x:s v="BO-4161"/>
    <x:s v="AGUEDO HUAMANCHUMO DE ROJAS GLORIA"/>
    <x:s v="09031014"/>
    <x:s v="HUAMAN RIOS LUIS ENRIQUE"/>
    <x:s v="HOSPITAL SERGIO BERNALES"/>
    <x:s v="CRISTINA"/>
    <x:s v="0071288"/>
    <x:s v="999063472"/>
    <x:s v="AGUEDO HUAMANCHUMO DE ROJAS GLORIA"/>
    <x:s v="88838"/>
    <x:x v="1"/>
    <x:n v="1"/>
    <x:s v="PRECISA LN"/>
    <x:s v="POR ASIGNAR"/>
    <x:s v="INSTITUTO MEDICO QUIRURGICO AREQUIPA S.A"/>
    <x:s v="L.NORTE"/>
    <x:s v="BGALLOSA"/>
    <x:n v="135.59"/>
    <x:s v="LN. EXAMENES"/>
    <x:s v="CIAS. DE SEGURO"/>
    <x:s v="NORTE"/>
    <x:n v="999986041"/>
    <x:s v="191-30583545068"/>
    <x:n v="30"/>
  </x:r>
  <x:r>
    <x:d v="2026-07-16T00:00:00Z"/>
    <x:x v="1"/>
    <x:s v="101419"/>
    <x:s v="FA"/>
    <x:s v="559"/>
    <x:s v="CO"/>
    <x:s v="FA-559"/>
    <x:s v="MALCA COBA NILA"/>
    <x:s v="10135276"/>
    <x:s v="CABRERA YAIMA"/>
    <x:m/>
    <x:s v="CRISTINA"/>
    <x:s v="0071264"/>
    <x:s v="979935897"/>
    <x:s v="CABRERA RUIZ YAIMA"/>
    <x:s v="88814"/>
    <x:x v="11"/>
    <x:n v="2"/>
    <x:s v="PRECISA"/>
    <x:s v="INSTITUTO MEDICO QUIRURGICO AREQUIPA S.A"/>
    <x:s v="INSTITUTO MEDICO QUIRURGICO AREQUIPA S.A"/>
    <x:s v="L.CENTRO"/>
    <x:s v="ACABRERA"/>
    <x:n v="203.39"/>
    <x:s v="LN. PROCEDIMIENTO"/>
    <x:s v="CIAS. DE SEGURO"/>
    <x:s v="CENTRO"/>
    <x:m/>
    <x:m/>
    <x:m/>
  </x:r>
  <x:r>
    <x:d v="2026-07-17T00:00:00Z"/>
    <x:x v="1"/>
    <x:s v="101557"/>
    <x:s v="BO"/>
    <x:s v="11970"/>
    <x:s v="CO"/>
    <x:s v="BO-11970"/>
    <x:s v="DIAZ CANTURIN ISAAC ANIBAL"/>
    <x:s v="40750638"/>
    <x:m/>
    <x:m/>
    <x:s v="CRISTINA"/>
    <x:s v="0071319"/>
    <x:s v="949464428"/>
    <x:s v="DIAZ CANTURIN ISAAC ANIBAL"/>
    <x:s v="88916"/>
    <x:x v="1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7-18T00:00:00Z"/>
    <x:x v="1"/>
    <x:s v="101643"/>
    <x:s v="BO"/>
    <x:s v="11986"/>
    <x:s v="CO"/>
    <x:s v="BO-11986"/>
    <x:s v="ALMONACID SUAREZ JIM EDWARD"/>
    <x:s v="41808272"/>
    <x:s v="BARRANTES RAMIREZ ELENA JESUS AMERICA"/>
    <x:s v="OPELUCE LINCE"/>
    <x:s v="CRISTINA"/>
    <x:s v="0071365"/>
    <x:s v="926587211"/>
    <x:s v="ALMONACID SUAREZ JIM EDWARD"/>
    <x:s v="88987"/>
    <x:x v="12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40621858"/>
    <x:s v="0011-0616-0200286900"/>
    <x:n v="30"/>
  </x:r>
  <x:r>
    <x:d v="2026-07-18T00:00:00Z"/>
    <x:x v="1"/>
    <x:s v="101643"/>
    <x:s v="BO"/>
    <x:s v="11986"/>
    <x:s v="CO"/>
    <x:s v="BO-11986"/>
    <x:s v="ALMONACID SUAREZ JIM EDWARD"/>
    <x:s v="41808272"/>
    <x:s v="BARRANTES RAMIREZ ELENA JESUS AMERICA"/>
    <x:s v="OPELUCE LINCE"/>
    <x:s v="CRISTINA"/>
    <x:s v="0071365"/>
    <x:s v="926587211"/>
    <x:s v="ALMONACID SUAREZ JIM EDWARD"/>
    <x:s v="88987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40621858"/>
    <x:s v="0011-0616-0200286900"/>
    <x:n v="30"/>
  </x:r>
  <x:r>
    <x:d v="2026-07-20T00:00:00Z"/>
    <x:x v="1"/>
    <x:s v="101808"/>
    <x:s v="BO"/>
    <x:s v="4194"/>
    <x:s v="CO"/>
    <x:s v="BO-4194"/>
    <x:s v="VALLEJOS SALAZAR ANA MARIA"/>
    <x:s v="08113467"/>
    <x:s v="RUIZ ROJAS PAUBLO ENRIQUE"/>
    <x:s v="CONSULTORIO CUBANO COMAS"/>
    <x:s v="CRISTINA"/>
    <x:s v="0071424"/>
    <x:s v="980814191"/>
    <x:s v="VALLEJOS SALAZAR ANA MARIA"/>
    <x:s v="89101"/>
    <x:x v="0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n v="992903716"/>
    <x:s v="191-91415089071"/>
    <x:n v="50"/>
  </x:r>
  <x:r>
    <x:d v="2026-07-20T00:00:00Z"/>
    <x:x v="1"/>
    <x:s v="101702"/>
    <x:s v="BO"/>
    <x:s v="5828"/>
    <x:s v="CO"/>
    <x:s v="BO-5828"/>
    <x:s v="SANTOS VALENTIN ROBERTO"/>
    <x:s v="07404651"/>
    <x:s v="LLERENA LOYOLA ELSA YESENIA"/>
    <x:s v="CLINICA MAISON DE SANTE"/>
    <x:s v="CRISTINA"/>
    <x:s v="0071385"/>
    <x:s v="971144460"/>
    <x:s v="SANTOS VALENTIN ROBERTO"/>
    <x:s v="89023"/>
    <x:x v="4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n v="998418895"/>
    <x:s v="0011-0197-0200171031"/>
    <x:n v="30"/>
  </x:r>
  <x:r>
    <x:d v="2026-07-20T00:00:00Z"/>
    <x:x v="1"/>
    <x:s v="101702"/>
    <x:s v="BO"/>
    <x:s v="5828"/>
    <x:s v="CO"/>
    <x:s v="BO-5828"/>
    <x:s v="SANTOS VALENTIN ROBERTO"/>
    <x:s v="07404651"/>
    <x:s v="LLERENA LOYOLA ELSA YESENIA"/>
    <x:s v="CLINICA MAISON DE SANTE"/>
    <x:s v="CRISTINA"/>
    <x:s v="0071385"/>
    <x:s v="971144460"/>
    <x:s v="SANTOS VALENTIN ROBERTO"/>
    <x:s v="89023"/>
    <x:x v="5"/>
    <x:n v="1"/>
    <x:s v="PRECISA"/>
    <x:s v="INSTITUTO MEDICO QUIRURGICO AREQUIPA S.A"/>
    <x:s v="INSTITUTO MEDICO QUIRURGICO AREQUIPA S.A"/>
    <x:s v="L.CENTRO"/>
    <x:s v="ACABRERA"/>
    <x:n v="152.54"/>
    <x:s v="LN. EXAMENES"/>
    <x:s v="CIAS. DE SEGURO"/>
    <x:s v="CENTRO"/>
    <x:n v="998418895"/>
    <x:s v="0011-0197-0200171031"/>
    <x:n v="30"/>
  </x:r>
  <x:r>
    <x:d v="2026-07-20T00:00:00Z"/>
    <x:x v="1"/>
    <x:s v="101702"/>
    <x:s v="BO"/>
    <x:s v="5828"/>
    <x:s v="CO"/>
    <x:s v="BO-5828"/>
    <x:s v="SANTOS VALENTIN ROBERTO"/>
    <x:s v="07404651"/>
    <x:s v="LLERENA LOYOLA ELSA YESENIA"/>
    <x:s v="CLINICA MAISON DE SANTE"/>
    <x:s v="CRISTINA"/>
    <x:s v="0071385"/>
    <x:s v="971144460"/>
    <x:s v="SANTOS VALENTIN ROBERTO"/>
    <x:s v="89023"/>
    <x:x v="2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n v="998418895"/>
    <x:s v="0011-0197-0200171031"/>
    <x:n v="50"/>
  </x:r>
  <x:r>
    <x:d v="2026-07-21T00:00:00Z"/>
    <x:x v="1"/>
    <x:s v="101890"/>
    <x:s v="FA"/>
    <x:s v="562"/>
    <x:s v="CO"/>
    <x:s v="FA-562"/>
    <x:s v="GUIMARAY SIALER ALEJANDRO HUMBERTO"/>
    <x:s v="08353192"/>
    <x:s v="VILLAR CURAHUA MARCELA ALEJANDRA"/>
    <x:s v="GAMARRA SALUD"/>
    <x:s v="CRISTINA"/>
    <x:s v="0063491"/>
    <x:s v="989454153"/>
    <x:s v="GAMARRA HEALTHCARE CENTER S.A.C."/>
    <x:s v="89116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n v="950133748"/>
    <x:s v="191-9953047026"/>
    <x:m/>
  </x:r>
  <x:r>
    <x:d v="2026-07-21T00:00:00Z"/>
    <x:x v="1"/>
    <x:s v="101890"/>
    <x:s v="FA"/>
    <x:s v="562"/>
    <x:s v="CO"/>
    <x:s v="FA-562"/>
    <x:s v="GUIMARAY SIALER ALEJANDRO HUMBERTO"/>
    <x:s v="08353192"/>
    <x:s v="VILLAR CURAHUA MARCELA ALEJANDRA"/>
    <x:s v="GAMARRA SALUD"/>
    <x:s v="CRISTINA"/>
    <x:s v="0063491"/>
    <x:s v="989454153"/>
    <x:s v="GAMARRA HEALTHCARE CENTER S.A.C."/>
    <x:s v="89116"/>
    <x:x v="30"/>
    <x:n v="1"/>
    <x:s v="PRECISA"/>
    <x:s v="INSTITUTO MEDICO QUIRURGICO AREQUIPA S.A"/>
    <x:s v="INSTITUTO MEDICO QUIRURGICO AREQUIPA S.A"/>
    <x:s v="L.CENTRO"/>
    <x:s v="ACABRERA"/>
    <x:n v="1305.08"/>
    <x:s v="LN. CIRUGIA"/>
    <x:s v="CIAS. DE SEGURO"/>
    <x:s v="CENTRO"/>
    <x:n v="950133748"/>
    <x:s v="191-9953047026"/>
    <x:m/>
  </x:r>
  <x:r>
    <x:d v="2026-07-21T00:00:00Z"/>
    <x:x v="1"/>
    <x:s v="101892"/>
    <x:s v="FA"/>
    <x:s v="1070"/>
    <x:s v="CO"/>
    <x:s v="FA-1070"/>
    <x:s v="QUIÑONES ROBLES BERNABE GREGORIO"/>
    <x:s v="08739495"/>
    <x:s v="VILLAR CURAHUA MARCELA ALEJANDRA"/>
    <x:s v="GAMARRA SALUD"/>
    <x:s v="CRISTINA"/>
    <x:s v="0036451"/>
    <x:s v="993223874"/>
    <x:s v="GAMARRA HEALTHCARE CENTER S.A.C."/>
    <x:s v="89176"/>
    <x:x v="11"/>
    <x:n v="1"/>
    <x:s v="PRECISA"/>
    <x:s v="INSTITUTO MEDICO QUIRURGICO AREQUIPA S.A"/>
    <x:s v="INSTITUTO MEDICO QUIRURGICO AREQUIPA S.A"/>
    <x:s v="L.CENTRO"/>
    <x:s v="LMAGAN"/>
    <x:n v="101.69"/>
    <x:s v="LN. PROCEDIMIENTO"/>
    <x:s v="CIAS. DE SEGURO"/>
    <x:s v="CENTRO"/>
    <x:n v="950133748"/>
    <x:s v="191-9953047026"/>
    <x:m/>
  </x:r>
  <x:r>
    <x:d v="2026-07-21T00:00:00Z"/>
    <x:x v="1"/>
    <x:s v="101830"/>
    <x:s v="BO"/>
    <x:s v="5843"/>
    <x:s v="CO"/>
    <x:s v="BO-5843"/>
    <x:s v="ROMERO MEZA VDA D PALLAROSO ANITA JUDITH"/>
    <x:s v="07202039"/>
    <x:s v="SAPAICO VICUÑA AUGUSTO RODRIGO"/>
    <x:s v="HOSPITAL LOAYZA"/>
    <x:s v="CRISTINA"/>
    <x:s v="0043602"/>
    <x:s v="997156394"/>
    <x:s v="ROMERO MEZA VDA D PALLAROSO ANITA JUDITH"/>
    <x:s v="89117"/>
    <x:x v="7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n v="997145685"/>
    <x:s v="0011-0189-0200496417"/>
    <x:n v="30"/>
  </x:r>
  <x:r>
    <x:d v="2026-07-21T00:00:00Z"/>
    <x:x v="1"/>
    <x:s v="101830"/>
    <x:s v="BO"/>
    <x:s v="5843"/>
    <x:s v="CO"/>
    <x:s v="BO-5843"/>
    <x:s v="ROMERO MEZA VDA D PALLAROSO ANITA JUDITH"/>
    <x:s v="07202039"/>
    <x:s v="SAPAICO VICUÑA AUGUSTO RODRIGO"/>
    <x:s v="HOSPITAL LOAYZA"/>
    <x:s v="CRISTINA"/>
    <x:s v="0043602"/>
    <x:s v="997156394"/>
    <x:s v="ROMERO MEZA VDA D PALLAROSO ANITA JUDITH"/>
    <x:s v="89117"/>
    <x:x v="8"/>
    <x:n v="1"/>
    <x:s v="PRECISA"/>
    <x:s v="INSTITUTO MEDICO QUIRURGICO AREQUIPA S.A"/>
    <x:s v="INSTITUTO MEDICO QUIRURGICO AREQUIPA S.A"/>
    <x:s v="L.CENTRO"/>
    <x:s v="ACABRERA"/>
    <x:n v="152.54"/>
    <x:s v="LN. EXAMENES"/>
    <x:s v="CIAS. DE SEGURO"/>
    <x:s v="CENTRO"/>
    <x:n v="997145685"/>
    <x:s v="0011-0189-0200496417"/>
    <x:n v="30"/>
  </x:r>
  <x:r>
    <x:d v="2026-07-21T00:00:00Z"/>
    <x:x v="1"/>
    <x:s v="101830"/>
    <x:s v="BO"/>
    <x:s v="5843"/>
    <x:s v="CO"/>
    <x:s v="BO-5843"/>
    <x:s v="ROMERO MEZA VDA D PALLAROSO ANITA JUDITH"/>
    <x:s v="07202039"/>
    <x:s v="SAPAICO VICUÑA AUGUSTO RODRIGO"/>
    <x:s v="HOSPITAL LOAYZA"/>
    <x:s v="CRISTINA"/>
    <x:s v="0043602"/>
    <x:s v="997156394"/>
    <x:s v="ROMERO MEZA VDA D PALLAROSO ANITA JUDITH"/>
    <x:s v="89117"/>
    <x:x v="12"/>
    <x:n v="1"/>
    <x:s v="PRECISA"/>
    <x:s v="INSTITUTO MEDICO QUIRURGICO AREQUIPA S.A"/>
    <x:s v="INSTITUTO MEDICO QUIRURGICO AREQUIPA S.A"/>
    <x:s v="L.CENTRO"/>
    <x:s v="ACABRERA"/>
    <x:n v="152.54"/>
    <x:s v="LN. EXAMENES"/>
    <x:s v="CIAS. DE SEGURO"/>
    <x:s v="CENTRO"/>
    <x:n v="997145685"/>
    <x:s v="0011-0189-0200496417"/>
    <x:n v="30"/>
  </x:r>
  <x:r>
    <x:d v="2026-07-21T00:00:00Z"/>
    <x:x v="1"/>
    <x:s v="101839"/>
    <x:s v="BO"/>
    <x:s v="12018"/>
    <x:s v="CO"/>
    <x:s v="BO-12018"/>
    <x:s v="GUILLERMO CALERO DE CARBAJAL TEODORA JUL"/>
    <x:s v="15699810"/>
    <x:s v="FIERRO LEANDRO"/>
    <x:s v="POLICLÍNICO DIVINO NIÑO JESÚS"/>
    <x:s v="CRISTINA"/>
    <x:s v="0071388"/>
    <x:s v="948050520"/>
    <x:s v="GUILLERMO CALERO DE CARBAJAL TEODORA JUL"/>
    <x:s v="89133"/>
    <x:x v="14"/>
    <x:n v="1"/>
    <x:s v="PRECISA"/>
    <x:s v="INSTITUTO MEDICO QUIRURGICO AREQUIPA S.A"/>
    <x:s v="INSTITUTO MEDICO QUIRURGICO AREQUIPA S.A"/>
    <x:s v="L.CENTRO"/>
    <x:s v="LMAGAN"/>
    <x:n v="84.75"/>
    <x:s v="LN. EXAMENES"/>
    <x:s v="CIAS. DE SEGURO"/>
    <x:s v="CENTRO"/>
    <x:m/>
    <x:m/>
    <x:m/>
  </x:r>
  <x:r>
    <x:d v="2026-07-21T00:00:00Z"/>
    <x:x v="1"/>
    <x:s v="101849"/>
    <x:s v="BO"/>
    <x:s v="5846"/>
    <x:s v="CO"/>
    <x:s v="BO-5846"/>
    <x:s v="ESPICHAN AVALOS LAZARO FERNANDO"/>
    <x:s v="15414846"/>
    <x:s v="FIERRO LEANDRO"/>
    <x:s v="POLICLÍNICO DIVINO NIÑO JESÚS"/>
    <x:s v="CRISTINA"/>
    <x:s v="0071410"/>
    <x:s v="998 467 0"/>
    <x:s v="ESPICHAN AVALOS LAZARO FERNANDO"/>
    <x:s v="89138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m/>
    <x:m/>
    <x:m/>
  </x:r>
  <x:r>
    <x:d v="2026-07-21T00:00:00Z"/>
    <x:x v="1"/>
    <x:s v="101882"/>
    <x:s v="BO"/>
    <x:s v="10241"/>
    <x:s v="CO"/>
    <x:s v="BO-10241"/>
    <x:s v="GUILLERMO CALERO DE CARBAJAL TEODORA JUL"/>
    <x:s v="15699810"/>
    <x:s v="FIERRO LEANDRO"/>
    <x:s v="POLICLÍNICO DIVINO NIÑO JESÚS"/>
    <x:s v="CRISTINA"/>
    <x:s v="0071388"/>
    <x:s v="948050520"/>
    <x:s v="GUILLERMO CALERO DE CARBAJAL TEODORA JUL"/>
    <x:s v="89168"/>
    <x:x v="32"/>
    <x:n v="2"/>
    <x:s v="PRECISA"/>
    <x:s v="INSTITUTO MEDICO QUIRURGICO AREQUIPA S.A"/>
    <x:s v="INSTITUTO MEDICO QUIRURGICO AREQUIPA S.A"/>
    <x:s v="L.CENTRO"/>
    <x:s v="LROSALES"/>
    <x:n v="4.24"/>
    <x:s v="LN. FARMACIA"/>
    <x:s v="CIAS. DE SEGURO"/>
    <x:s v="CENTRO"/>
    <x:m/>
    <x:m/>
    <x:m/>
  </x:r>
  <x:r>
    <x:d v="2026-07-21T00:00:00Z"/>
    <x:x v="1"/>
    <x:s v="101889"/>
    <x:s v="FA"/>
    <x:s v="1069"/>
    <x:s v="CO"/>
    <x:s v="FA-1069"/>
    <x:s v="GUILLERMO CALERO DE CARBAJAL TEODORA JUL"/>
    <x:s v="15699810"/>
    <x:s v="FIERRO LEANDRO"/>
    <x:s v="POLICLÍNICO DIVINO NIÑO JESÚS"/>
    <x:s v="CRISTINA"/>
    <x:s v="0071388"/>
    <x:s v="948050520"/>
    <x:s v="GRUPO MEDICO INTEGRAL SOCIEDAD ANONIMA CERRADA"/>
    <x:s v="89144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7-21T00:00:00Z"/>
    <x:x v="1"/>
    <x:s v="101889"/>
    <x:s v="FA"/>
    <x:s v="1069"/>
    <x:s v="CO"/>
    <x:s v="FA-1069"/>
    <x:s v="GUILLERMO CALERO DE CARBAJAL TEODORA JUL"/>
    <x:s v="15699810"/>
    <x:s v="FIERRO LEANDRO"/>
    <x:s v="POLICLÍNICO DIVINO NIÑO JESÚS"/>
    <x:s v="CRISTINA"/>
    <x:s v="0071388"/>
    <x:s v="948050520"/>
    <x:s v="GRUPO MEDICO INTEGRAL SOCIEDAD ANONIMA CERRADA"/>
    <x:s v="89144"/>
    <x:x v="30"/>
    <x:n v="1"/>
    <x:s v="PRECISA"/>
    <x:s v="INSTITUTO MEDICO QUIRURGICO AREQUIPA S.A"/>
    <x:s v="INSTITUTO MEDICO QUIRURGICO AREQUIPA S.A"/>
    <x:s v="L.CENTRO"/>
    <x:s v="LMAGAN"/>
    <x:n v="1525.42"/>
    <x:s v="LN. CIRUGIA"/>
    <x:s v="CIAS. DE SEGURO"/>
    <x:s v="CENTRO"/>
    <x:m/>
    <x:m/>
    <x:m/>
  </x:r>
  <x:r>
    <x:d v="2026-07-21T00:00:00Z"/>
    <x:x v="1"/>
    <x:s v="101863"/>
    <x:s v="BO"/>
    <x:s v="12023"/>
    <x:s v="CO"/>
    <x:s v="BO-12023"/>
    <x:s v="ROJAS CASTAÑEDA ANSELMO VIDAL"/>
    <x:s v="22071798"/>
    <x:s v="DULANTO CARLOS"/>
    <x:s v="CONSULTORIO PARTICULAR"/>
    <x:s v="CRISTINA"/>
    <x:s v="0071458"/>
    <x:s v="941339376"/>
    <x:s v="ROJAS CASTAÑEDA ANSELMO VIDAL"/>
    <x:s v="89148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71430775"/>
    <x:m/>
    <x:n v="30"/>
  </x:r>
  <x:r>
    <x:d v="2026-07-21T00:00:00Z"/>
    <x:x v="1"/>
    <x:s v="101863"/>
    <x:s v="BO"/>
    <x:s v="12023"/>
    <x:s v="CO"/>
    <x:s v="BO-12023"/>
    <x:s v="ROJAS CASTAÑEDA ANSELMO VIDAL"/>
    <x:s v="22071798"/>
    <x:s v="DULANTO CARLOS"/>
    <x:s v="CONSULTORIO PARTICULAR"/>
    <x:s v="CRISTINA"/>
    <x:s v="0071458"/>
    <x:s v="941339376"/>
    <x:s v="ROJAS CASTAÑEDA ANSELMO VIDAL"/>
    <x:s v="89148"/>
    <x:x v="1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71430775"/>
    <x:m/>
    <x:n v="30"/>
  </x:r>
  <x:r>
    <x:d v="2026-07-22T00:00:00Z"/>
    <x:x v="1"/>
    <x:s v="101946"/>
    <x:s v="BO"/>
    <x:s v="12034"/>
    <x:s v="CO"/>
    <x:s v="BO-12034"/>
    <x:s v="ESTRADA PACHERRE JOSE SANTOS"/>
    <x:s v="08737645"/>
    <x:s v="CRISPIN MORALES NANCY JENNY"/>
    <x:s v="HOSPITAL ALMENARA"/>
    <x:s v="CRISTINA"/>
    <x:s v="0071387"/>
    <x:s v="999999999"/>
    <x:s v="ESTRADA PACHERRE JOSE SANTOS"/>
    <x:s v="89218"/>
    <x:x v="14"/>
    <x:n v="1"/>
    <x:s v="PRECISA"/>
    <x:s v="INSTITUTO MEDICO QUIRURGICO AREQUIPA S.A"/>
    <x:s v="INSTITUTO MEDICO QUIRURGICO AREQUIPA S.A"/>
    <x:s v="L.CENTRO"/>
    <x:s v="LMAGAN"/>
    <x:n v="84.75"/>
    <x:s v="LN. EXAMENES"/>
    <x:s v="CIAS. DE SEGURO"/>
    <x:s v="CENTRO"/>
    <x:n v="978789268"/>
    <x:s v="193-90416675072"/>
    <x:m/>
  </x:r>
  <x:r>
    <x:d v="2026-07-22T00:00:00Z"/>
    <x:x v="1"/>
    <x:s v="101949"/>
    <x:s v="BO"/>
    <x:s v="12035"/>
    <x:s v="CO"/>
    <x:s v="BO-12035"/>
    <x:s v="MANCILLA DE LA CRUZ JOSE PERCY"/>
    <x:s v="40908536"/>
    <x:s v="CRISPIN MORALES NANCY JENNY"/>
    <x:s v="HOSPITAL ALMENARA"/>
    <x:s v="CRISTINA"/>
    <x:s v="0071420"/>
    <x:s v="989312010"/>
    <x:s v="MANCILLA DE LA CRUZ JOSE PERCY"/>
    <x:s v="89159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n v="978789268"/>
    <x:s v="193-90416675072"/>
    <x:m/>
  </x:r>
  <x:r>
    <x:d v="2026-07-22T00:00:00Z"/>
    <x:x v="1"/>
    <x:s v="101949"/>
    <x:s v="BO"/>
    <x:s v="12035"/>
    <x:s v="CO"/>
    <x:s v="BO-12035"/>
    <x:s v="MANCILLA DE LA CRUZ JOSE PERCY"/>
    <x:s v="40908536"/>
    <x:s v="CRISPIN MORALES NANCY JENNY"/>
    <x:s v="HOSPITAL ALMENARA"/>
    <x:s v="CRISTINA"/>
    <x:s v="0071420"/>
    <x:s v="989312010"/>
    <x:s v="MANCILLA DE LA CRUZ JOSE PERCY"/>
    <x:s v="89159"/>
    <x:x v="30"/>
    <x:n v="1"/>
    <x:s v="PRECISA"/>
    <x:s v="INSTITUTO MEDICO QUIRURGICO AREQUIPA S.A"/>
    <x:s v="INSTITUTO MEDICO QUIRURGICO AREQUIPA S.A"/>
    <x:s v="L.CENTRO"/>
    <x:s v="LMAGAN"/>
    <x:n v="139.83"/>
    <x:s v="LN. CIRUGIA"/>
    <x:s v="CIAS. DE SEGURO"/>
    <x:s v="CENTRO"/>
    <x:n v="978789268"/>
    <x:s v="193-90416675072"/>
    <x:m/>
  </x:r>
  <x:r>
    <x:d v="2026-07-22T00:00:00Z"/>
    <x:x v="1"/>
    <x:s v="101955"/>
    <x:s v="BO"/>
    <x:s v="12036"/>
    <x:s v="CO"/>
    <x:s v="BO-12036"/>
    <x:s v="ESTRADA PACHERRE JOSE SANTOS"/>
    <x:s v="08737645"/>
    <x:s v="CRISPIN MORALES NANCY JENNY"/>
    <x:s v="HOSPITAL ALMENARA"/>
    <x:s v="CRISTINA"/>
    <x:s v="0071387"/>
    <x:s v="999999999"/>
    <x:s v="ESTRADA PACHERRE JOSE SANTOS"/>
    <x:s v="89145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n v="978789268"/>
    <x:s v="193-90416675072"/>
    <x:m/>
  </x:r>
  <x:r>
    <x:d v="2026-07-22T00:00:00Z"/>
    <x:x v="1"/>
    <x:s v="101955"/>
    <x:s v="BO"/>
    <x:s v="12036"/>
    <x:s v="CO"/>
    <x:s v="BO-12036"/>
    <x:s v="ESTRADA PACHERRE JOSE SANTOS"/>
    <x:s v="08737645"/>
    <x:s v="CRISPIN MORALES NANCY JENNY"/>
    <x:s v="HOSPITAL ALMENARA"/>
    <x:s v="CRISTINA"/>
    <x:s v="0071387"/>
    <x:s v="999999999"/>
    <x:s v="ESTRADA PACHERRE JOSE SANTOS"/>
    <x:s v="89145"/>
    <x:x v="30"/>
    <x:n v="1"/>
    <x:s v="PRECISA"/>
    <x:s v="INSTITUTO MEDICO QUIRURGICO AREQUIPA S.A"/>
    <x:s v="INSTITUTO MEDICO QUIRURGICO AREQUIPA S.A"/>
    <x:s v="L.CENTRO"/>
    <x:s v="LMAGAN"/>
    <x:n v="1050.85"/>
    <x:s v="LN. CIRUGIA"/>
    <x:s v="CIAS. DE SEGURO"/>
    <x:s v="CENTRO"/>
    <x:n v="978789268"/>
    <x:s v="193-90416675072"/>
    <x:m/>
  </x:r>
  <x:r>
    <x:d v="2026-07-22T00:00:00Z"/>
    <x:x v="1"/>
    <x:s v="101983"/>
    <x:s v="FA"/>
    <x:s v="1071"/>
    <x:s v="CO"/>
    <x:s v="FA-1071"/>
    <x:s v="CARDENAS DEL PINO MARIA LUISA"/>
    <x:s v="10478873"/>
    <x:s v="PALACIOS URIBE PAMELA CAROLINA "/>
    <x:s v="CONSULTORIO PARTICULAR"/>
    <x:s v="CRISTINA"/>
    <x:s v="0071419"/>
    <x:s v="989821523"/>
    <x:s v="GRUPO MVP S.A.C."/>
    <x:s v="89161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n v="994872106"/>
    <x:s v="193-95965374018"/>
    <x:m/>
  </x:r>
  <x:r>
    <x:d v="2026-07-22T00:00:00Z"/>
    <x:x v="1"/>
    <x:s v="101983"/>
    <x:s v="FA"/>
    <x:s v="1071"/>
    <x:s v="CO"/>
    <x:s v="FA-1071"/>
    <x:s v="CARDENAS DEL PINO MARIA LUISA"/>
    <x:s v="10478873"/>
    <x:s v="PALACIOS URIBE PAMELA CAROLINA "/>
    <x:s v="CONSULTORIO PARTICULAR"/>
    <x:s v="CRISTINA"/>
    <x:s v="0071419"/>
    <x:s v="989821523"/>
    <x:s v="GRUPO MVP S.A.C."/>
    <x:s v="89161"/>
    <x:x v="30"/>
    <x:n v="1"/>
    <x:s v="PRECISA"/>
    <x:s v="INSTITUTO MEDICO QUIRURGICO AREQUIPA S.A"/>
    <x:s v="INSTITUTO MEDICO QUIRURGICO AREQUIPA S.A"/>
    <x:s v="L.CENTRO"/>
    <x:s v="LMAGAN"/>
    <x:n v="279.66"/>
    <x:s v="LN. CIRUGIA"/>
    <x:s v="CIAS. DE SEGURO"/>
    <x:s v="CENTRO"/>
    <x:n v="994872106"/>
    <x:s v="193-95965374018"/>
    <x:m/>
  </x:r>
  <x:r>
    <x:d v="2026-07-22T00:00:00Z"/>
    <x:x v="1"/>
    <x:s v="101972"/>
    <x:s v="BO"/>
    <x:s v="12038"/>
    <x:s v="CO"/>
    <x:s v="BO-12038"/>
    <x:s v="SUAREZ BANOS JOSE MIGUEL ISRAEL"/>
    <x:s v="78068688"/>
    <x:s v="RODRIGUEZ GONZALES LUZ VICTORIA"/>
    <x:s v="HOSPITAL ALMENARA"/>
    <x:s v="CRISTINA"/>
    <x:s v="0071516"/>
    <x:s v="966353089"/>
    <x:s v="SUAREZ BANOS JOSE MIGUEL ISRAEL"/>
    <x:s v="89243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90440701"/>
    <x:m/>
    <x:n v="50"/>
  </x:r>
  <x:r>
    <x:d v="2026-07-22T00:00:00Z"/>
    <x:x v="1"/>
    <x:s v="101980"/>
    <x:s v="BO"/>
    <x:s v="12039"/>
    <x:s v="CO"/>
    <x:s v="BO-12039"/>
    <x:s v="ROJAS VALENZUELA ISMAEL ZACARIAS"/>
    <x:s v="20649998"/>
    <x:s v="VELIZ AMERICO"/>
    <x:m/>
    <x:s v="CRISTINA"/>
    <x:s v="0071505"/>
    <x:s v="964494343"/>
    <x:s v="ROJAS VALENZUELA ISMAEL ZACARIAS"/>
    <x:s v="89250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7-22T00:00:00Z"/>
    <x:x v="1"/>
    <x:s v="101984"/>
    <x:s v="FA"/>
    <x:s v="1072"/>
    <x:s v="CO"/>
    <x:s v="FA-1072"/>
    <x:s v="ESCOBEDO LARA DE HERRERA NORBERTA"/>
    <x:s v="09220286"/>
    <x:s v="PALACIOS URIBE PAMELA CAROLINA "/>
    <x:s v="CONSULTORIO PARTICULAR"/>
    <x:s v="CRISTINA"/>
    <x:s v="0070433"/>
    <x:s v="999999999"/>
    <x:s v="GRUPO MVP S.A.C."/>
    <x:s v="89162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n v="994872106"/>
    <x:s v="193-95965374018"/>
    <x:m/>
  </x:r>
  <x:r>
    <x:d v="2026-07-22T00:00:00Z"/>
    <x:x v="1"/>
    <x:s v="101984"/>
    <x:s v="FA"/>
    <x:s v="1072"/>
    <x:s v="CO"/>
    <x:s v="FA-1072"/>
    <x:s v="ESCOBEDO LARA DE HERRERA NORBERTA"/>
    <x:s v="09220286"/>
    <x:s v="PALACIOS URIBE PAMELA CAROLINA "/>
    <x:s v="CONSULTORIO PARTICULAR"/>
    <x:s v="CRISTINA"/>
    <x:s v="0070433"/>
    <x:s v="999999999"/>
    <x:s v="GRUPO MVP S.A.C."/>
    <x:s v="89162"/>
    <x:x v="30"/>
    <x:n v="1"/>
    <x:s v="PRECISA"/>
    <x:s v="INSTITUTO MEDICO QUIRURGICO AREQUIPA S.A"/>
    <x:s v="INSTITUTO MEDICO QUIRURGICO AREQUIPA S.A"/>
    <x:s v="L.CENTRO"/>
    <x:s v="LMAGAN"/>
    <x:n v="139.83"/>
    <x:s v="LN. CIRUGIA"/>
    <x:s v="CIAS. DE SEGURO"/>
    <x:s v="CENTRO"/>
    <x:n v="994872106"/>
    <x:s v="193-95965374018"/>
    <x:m/>
  </x:r>
  <x:r>
    <x:d v="2026-07-22T00:00:00Z"/>
    <x:x v="1"/>
    <x:s v="102044"/>
    <x:s v="BO"/>
    <x:s v="4220"/>
    <x:s v="CO"/>
    <x:s v="BO-4220"/>
    <x:s v="ALEGRE ZEA JORGE ANTONY"/>
    <x:s v="76903875"/>
    <x:s v="JAVE ESCALANTE LIZETH"/>
    <x:s v="HOSPITAL LOAYZA"/>
    <x:s v="CRISTINA"/>
    <x:s v="0071545"/>
    <x:s v="964332546"/>
    <x:s v="ALEGRE ZEA JORGE ANTONY"/>
    <x:s v="89297"/>
    <x:x v="0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n v="999111362"/>
    <x:s v="200-3076497260"/>
    <x:n v="50"/>
  </x:r>
  <x:r>
    <x:d v="2026-07-24T00:00:00Z"/>
    <x:x v="1"/>
    <x:s v="102071"/>
    <x:s v="BO"/>
    <x:s v="12051"/>
    <x:s v="CO"/>
    <x:s v="BO-12051"/>
    <x:s v="NECIOSUP CARVALLO ROSA DEL PILAR"/>
    <x:s v="10441168"/>
    <x:s v="SANCHEZ CUEVA SERGIO"/>
    <x:m/>
    <x:s v="CRISTINA"/>
    <x:s v="0071364"/>
    <x:s v="956449330"/>
    <x:s v="NECIOSUP CARVALLO ROSA DEL PILAR"/>
    <x:s v="89314"/>
    <x:x v="21"/>
    <x:n v="1"/>
    <x:s v="PRECISA"/>
    <x:s v="INSTITUTO MEDICO QUIRURGICO AREQUIPA S.A"/>
    <x:s v="INSTITUTO MEDICO QUIRURGICO AREQUIPA S.A"/>
    <x:s v="L.CENTRO"/>
    <x:s v="LMAGAN"/>
    <x:n v="338.98"/>
    <x:s v="LN. EXAMENES"/>
    <x:s v="CIAS. DE SEGURO"/>
    <x:s v="CENTRO"/>
    <x:m/>
    <x:m/>
    <x:n v="100"/>
  </x:r>
  <x:r>
    <x:d v="2026-07-24T00:00:00Z"/>
    <x:x v="1"/>
    <x:s v="102117"/>
    <x:s v="BO"/>
    <x:s v="12054"/>
    <x:s v="CO"/>
    <x:s v="BO-12054"/>
    <x:s v="SANCHEZ CABANILLAS DAGOBERTO RICARDO"/>
    <x:s v="08841761"/>
    <x:s v="FIERRO LEANDRO"/>
    <x:s v="POLICLÍNICO DIVINO NIÑO JESÚS"/>
    <x:s v="CRISTINA"/>
    <x:s v="0070862"/>
    <x:s v="+584126215514"/>
    <x:s v="SANCHEZ CABANILLAS DAGOBERTO RICARDO"/>
    <x:s v="89355"/>
    <x:x v="14"/>
    <x:n v="1"/>
    <x:s v="PRECISA"/>
    <x:s v="INSTITUTO MEDICO QUIRURGICO AREQUIPA S.A"/>
    <x:s v="INSTITUTO MEDICO QUIRURGICO AREQUIPA S.A"/>
    <x:s v="L.CENTRO"/>
    <x:s v="LMAGAN"/>
    <x:n v="84.75"/>
    <x:s v="LN. EXAMENES"/>
    <x:s v="CIAS. DE SEGURO"/>
    <x:s v="CENTRO"/>
    <x:m/>
    <x:m/>
    <x:m/>
  </x:r>
  <x:r>
    <x:d v="2026-07-24T00:00:00Z"/>
    <x:x v="1"/>
    <x:s v="102134"/>
    <x:s v="FA"/>
    <x:s v="1073"/>
    <x:s v="CO"/>
    <x:s v="FA-1073"/>
    <x:s v="PRADO LARRAIN ALBERTO"/>
    <x:s v="07755903"/>
    <x:s v="FERNANDEZ GUTIERREZ OLGA PATRICIA"/>
    <x:s v="CONSULTORIO PARTICULAR"/>
    <x:s v="CRISTINA"/>
    <x:s v="0071591"/>
    <x:s v="922973385"/>
    <x:s v="VEFER OFTALMOLOGOS S.A.C."/>
    <x:s v="89367"/>
    <x:x v="22"/>
    <x:n v="1"/>
    <x:s v="PRECISA"/>
    <x:s v="INSTITUTO MEDICO QUIRURGICO AREQUIPA S.A"/>
    <x:s v="INSTITUTO MEDICO QUIRURGICO AREQUIPA S.A"/>
    <x:s v="L.CENTRO"/>
    <x:s v="LMAGAN"/>
    <x:n v="101.69"/>
    <x:s v="LN. PROCEDIMIENTO"/>
    <x:s v="CIAS. DE SEGURO"/>
    <x:s v="CENTRO"/>
    <x:n v="982536223"/>
    <x:s v="107-3174605363"/>
    <x:m/>
  </x:r>
  <x:r>
    <x:d v="2026-07-25T00:00:00Z"/>
    <x:x v="1"/>
    <x:s v="102217"/>
    <x:s v="FA"/>
    <x:s v="1074"/>
    <x:s v="CO"/>
    <x:s v="FA-1074"/>
    <x:s v="SANCHEZ CABANILLAS DAGOBERTO RICARDO"/>
    <x:s v="08841761"/>
    <x:s v="FIERRO LEANDRO"/>
    <x:s v="POLICLÍNICO DIVINO NIÑO JESÚS"/>
    <x:s v="CRISTINA"/>
    <x:s v="0070862"/>
    <x:s v="+584126215514"/>
    <x:s v="GRUPO MEDICO INTEGRAL SOCIEDAD ANONIMA CERRADA"/>
    <x:s v="89379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7-25T00:00:00Z"/>
    <x:x v="1"/>
    <x:s v="102217"/>
    <x:s v="FA"/>
    <x:s v="1074"/>
    <x:s v="CO"/>
    <x:s v="FA-1074"/>
    <x:s v="SANCHEZ CABANILLAS DAGOBERTO RICARDO"/>
    <x:s v="08841761"/>
    <x:s v="FIERRO LEANDRO"/>
    <x:s v="POLICLÍNICO DIVINO NIÑO JESÚS"/>
    <x:s v="CRISTINA"/>
    <x:s v="0070862"/>
    <x:s v="+584126215514"/>
    <x:s v="GRUPO MEDICO INTEGRAL SOCIEDAD ANONIMA CERRADA"/>
    <x:s v="89379"/>
    <x:x v="30"/>
    <x:n v="1"/>
    <x:s v="PRECISA"/>
    <x:s v="INSTITUTO MEDICO QUIRURGICO AREQUIPA S.A"/>
    <x:s v="INSTITUTO MEDICO QUIRURGICO AREQUIPA S.A"/>
    <x:s v="L.CENTRO"/>
    <x:s v="LMAGAN"/>
    <x:n v="762.71"/>
    <x:s v="LN. CIRUGIA"/>
    <x:s v="CIAS. DE SEGURO"/>
    <x:s v="CENTRO"/>
    <x:m/>
    <x:m/>
    <x:m/>
  </x:r>
  <x:r>
    <x:d v="2026-07-25T00:00:00Z"/>
    <x:x v="1"/>
    <x:s v="102253"/>
    <x:s v="BO"/>
    <x:s v="12068"/>
    <x:s v="CO"/>
    <x:s v="BO-12068"/>
    <x:s v="MONTENEGRO TUESTA KEVIN ANTONY"/>
    <x:s v="74390894"/>
    <x:s v="BARRETO VIRTO JOSE EMMANUEL"/>
    <x:s v="HOSPITAL DE POLICIA"/>
    <x:s v="CRISTINA"/>
    <x:s v="0063418"/>
    <x:s v="973914900"/>
    <x:s v="MONTENEGRO TUESTA KEVIN ANTONY"/>
    <x:s v="89399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n v="973914900"/>
    <x:s v="0011-0057-0223462767"/>
    <x:m/>
  </x:r>
  <x:r>
    <x:d v="2026-07-25T00:00:00Z"/>
    <x:x v="1"/>
    <x:s v="102253"/>
    <x:s v="BO"/>
    <x:s v="12068"/>
    <x:s v="CO"/>
    <x:s v="BO-12068"/>
    <x:s v="MONTENEGRO TUESTA KEVIN ANTONY"/>
    <x:s v="74390894"/>
    <x:s v="BARRETO VIRTO JOSE EMMANUEL"/>
    <x:s v="HOSPITAL DE POLICIA"/>
    <x:s v="CRISTINA"/>
    <x:s v="0063418"/>
    <x:s v="973914900"/>
    <x:s v="MONTENEGRO TUESTA KEVIN ANTONY"/>
    <x:s v="89399"/>
    <x:x v="30"/>
    <x:n v="1"/>
    <x:s v="PRECISA"/>
    <x:s v="INSTITUTO MEDICO QUIRURGICO AREQUIPA S.A"/>
    <x:s v="INSTITUTO MEDICO QUIRURGICO AREQUIPA S.A"/>
    <x:s v="L.CENTRO"/>
    <x:s v="LMAGAN"/>
    <x:n v="762.71"/>
    <x:s v="LN. CIRUGIA"/>
    <x:s v="CIAS. DE SEGURO"/>
    <x:s v="CENTRO"/>
    <x:n v="973914900"/>
    <x:s v="0011-0057-0223462767"/>
    <x:m/>
  </x:r>
  <x:r>
    <x:d v="2026-07-25T00:00:00Z"/>
    <x:x v="1"/>
    <x:s v="102257"/>
    <x:s v="BO"/>
    <x:s v="12069"/>
    <x:s v="CO"/>
    <x:s v="BO-12069"/>
    <x:s v="VILCA SANCHEZ CARLOS RICARDO"/>
    <x:s v="18211536"/>
    <x:m/>
    <x:m/>
    <x:s v="CRISTINA"/>
    <x:s v="0071650"/>
    <x:s v="940412185"/>
    <x:s v="VILCA SANCHEZ CARLOS RICARDO"/>
    <x:s v="89477"/>
    <x:x v="1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7-27T00:00:00Z"/>
    <x:x v="1"/>
    <x:s v="102340"/>
    <x:s v="BO"/>
    <x:s v="4706"/>
    <x:s v="CO"/>
    <x:s v="BO-4706"/>
    <x:s v="HUAMAN SANCHEZ WILFREDO"/>
    <x:s v="09030972"/>
    <x:m/>
    <x:m/>
    <x:s v="CRISTINA"/>
    <x:s v="0071678"/>
    <x:s v="980470455"/>
    <x:s v="HUAMAN SANCHEZ WILFREDO"/>
    <x:s v="89526"/>
    <x:x v="1"/>
    <x:n v="1"/>
    <x:s v="PRECISA LN"/>
    <x:s v="POR ASIGNAR"/>
    <x:s v="INSTITUTO MEDICO QUIRURGICO AREQUIPA S.A"/>
    <x:s v="L.NORTE"/>
    <x:s v="AALARCON"/>
    <x:n v="135.59"/>
    <x:s v="LN. EXAMENES"/>
    <x:s v="CIAS. DE SEGURO"/>
    <x:s v="NORTE"/>
    <x:m/>
    <x:m/>
    <x:n v="30"/>
  </x:r>
  <x:r>
    <x:d v="2026-07-27T00:00:00Z"/>
    <x:x v="1"/>
    <x:s v="102391"/>
    <x:s v="BO"/>
    <x:s v="12086"/>
    <x:s v="CO"/>
    <x:s v="BO-12086"/>
    <x:s v="MELENDEZ VILLANUEVA YULISA EDITH"/>
    <x:s v="15641029"/>
    <x:m/>
    <x:m/>
    <x:s v="CRISTINA"/>
    <x:s v="0071692"/>
    <x:s v="989823153"/>
    <x:s v="MELENDEZ VILLANUEVA YULISA EDITH"/>
    <x:s v="89570"/>
    <x:x v="33"/>
    <x:n v="1"/>
    <x:s v="PRECISA"/>
    <x:s v="INSTITUTO MEDICO QUIRURGICO AREQUIPA S.A"/>
    <x:s v="INSTITUTO MEDICO QUIRURGICO AREQUIPA S.A"/>
    <x:s v="L.CENTRO"/>
    <x:s v="LMAGAN"/>
    <x:n v="152.54"/>
    <x:s v="LN. PROCEDIMIENTO"/>
    <x:s v="CIAS. DE SEGURO"/>
    <x:s v="CENTRO"/>
    <x:m/>
    <x:m/>
    <x:m/>
  </x:r>
  <x:r>
    <x:d v="2026-07-27T00:00:00Z"/>
    <x:x v="1"/>
    <x:s v="102396"/>
    <x:s v="BO"/>
    <x:s v="12089"/>
    <x:s v="CO"/>
    <x:s v="BO-12089"/>
    <x:s v="LAINEZ CHAVEZ JAMES ALEXANDER"/>
    <x:s v="76180568"/>
    <x:m/>
    <x:m/>
    <x:s v="CRISTINA"/>
    <x:s v="0071729"/>
    <x:s v="980843472"/>
    <x:s v="LAINEZ CHAVEZ JAMES ALEXANDER"/>
    <x:s v="89574"/>
    <x:x v="12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m/>
    <x:m/>
    <x:n v="30"/>
  </x:r>
  <x:r>
    <x:d v="2026-07-27T00:00:00Z"/>
    <x:x v="1"/>
    <x:s v="2412"/>
    <x:s v="NC"/>
    <x:s v="12089"/>
    <x:s v="CR"/>
    <x:s v="NC-12089"/>
    <x:s v="LAINEZ CHAVEZ JAMES ALEXANDER"/>
    <x:s v="76180568"/>
    <x:m/>
    <x:m/>
    <x:s v="CR"/>
    <x:s v="0071729"/>
    <x:s v="980843472"/>
    <x:s v="LAINEZ CHAVEZ JAMES ALEXANDER"/>
    <x:s v="89574"/>
    <x:x v="12"/>
    <x:n v="1"/>
    <x:s v="PRECISA"/>
    <x:s v="INSTITUTO MEDICO QUIRURGICO AREQUIPA S.A"/>
    <x:s v="INSTITUTO MEDICO QUIRURGICO AREQUIPA S.A"/>
    <x:s v="L.CENTRO"/>
    <x:s v="LMAGAN"/>
    <x:n v="-152.54"/>
    <x:s v="LN. EXAMENES"/>
    <x:s v="CIAS. DE SEGURO"/>
    <x:s v="CENTRO"/>
    <x:m/>
    <x:m/>
    <x:n v="30"/>
  </x:r>
  <x:r>
    <x:d v="2026-07-27T00:00:00Z"/>
    <x:x v="1"/>
    <x:s v="102432"/>
    <x:s v="BO"/>
    <x:s v="12103"/>
    <x:s v="CO"/>
    <x:s v="BO-12103"/>
    <x:s v="SAAVEDRA SICCHA LUIS ALBERTO"/>
    <x:s v="60502334"/>
    <x:m/>
    <x:m/>
    <x:s v="CRISTINA"/>
    <x:s v="0071744"/>
    <x:s v="930100290"/>
    <x:s v="SAAVEDRA SICCHA LUIS ALBERTO"/>
    <x:s v="89611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7-27T00:00:00Z"/>
    <x:x v="1"/>
    <x:s v="102432"/>
    <x:s v="BO"/>
    <x:s v="12103"/>
    <x:s v="CO"/>
    <x:s v="BO-12103"/>
    <x:s v="SAAVEDRA SICCHA LUIS ALBERTO"/>
    <x:s v="60502334"/>
    <x:m/>
    <x:m/>
    <x:s v="CRISTINA"/>
    <x:s v="0071744"/>
    <x:s v="930100290"/>
    <x:s v="SAAVEDRA SICCHA LUIS ALBERTO"/>
    <x:s v="89611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7-30T00:00:00Z"/>
    <x:x v="1"/>
    <x:s v="102466"/>
    <x:s v="BO"/>
    <x:s v="4730"/>
    <x:s v="CO"/>
    <x:s v="BO-4730"/>
    <x:s v="SEBASTIANI RONQUILLO MARIA LUISA"/>
    <x:s v="43708195"/>
    <x:m/>
    <x:m/>
    <x:s v="CRISTINA"/>
    <x:s v="0056308"/>
    <x:s v="989427258"/>
    <x:s v="SEBASTIANI RONQUILLO MARIA LUISA"/>
    <x:s v="89638"/>
    <x:x v="12"/>
    <x:n v="1"/>
    <x:s v="PRECISA"/>
    <x:s v="INSTITUTO MEDICO QUIRURGICO AREQUIPA S.A"/>
    <x:s v="INSTITUTO MEDICO QUIRURGICO AREQUIPA S.A"/>
    <x:s v="L.NORTE"/>
    <x:s v="AALARCON"/>
    <x:n v="152.54"/>
    <x:s v="LN. EXAMENES"/>
    <x:s v="CIAS. DE SEGURO"/>
    <x:s v="NORTE"/>
    <x:m/>
    <x:m/>
    <x:n v="30"/>
  </x:r>
  <x:r>
    <x:d v="2026-07-30T00:00:00Z"/>
    <x:x v="1"/>
    <x:s v="102485"/>
    <x:s v="BO"/>
    <x:s v="5899"/>
    <x:s v="CO"/>
    <x:s v="BO-5899"/>
    <x:s v="CASTILLO CHAVEZ VDA DE MOLLAN ANTONIA"/>
    <x:s v="07394459"/>
    <x:m/>
    <x:m/>
    <x:s v="CRISTINA"/>
    <x:s v="0066488"/>
    <x:s v="901164946"/>
    <x:s v="CASTILLO CHAVEZ VDA DE MOLLAN ANTONIA"/>
    <x:s v="89653"/>
    <x:x v="2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m/>
    <x:m/>
    <x:n v="50"/>
  </x:r>
  <x:r>
    <x:d v="2026-07-30T00:00:00Z"/>
    <x:x v="1"/>
    <x:s v="102502"/>
    <x:s v="BO"/>
    <x:s v="4733"/>
    <x:s v="CO"/>
    <x:s v="BO-4733"/>
    <x:s v="QUIROZ CABRERA JUANA YSIDORA"/>
    <x:s v="16698130"/>
    <x:m/>
    <x:m/>
    <x:s v="CRISTINA"/>
    <x:s v="0058152"/>
    <x:s v="929362094"/>
    <x:s v="QUIROZ CABRERA JUANA YSIDORA"/>
    <x:s v="89662"/>
    <x:x v="2"/>
    <x:n v="1"/>
    <x:s v="PRECISA"/>
    <x:s v="INSTITUTO MEDICO QUIRURGICO AREQUIPA S.A"/>
    <x:s v="INSTITUTO MEDICO QUIRURGICO AREQUIPA S.A"/>
    <x:s v="L.NORTE"/>
    <x:s v="AALARCON"/>
    <x:n v="186.44"/>
    <x:s v="LN. EXAMENES"/>
    <x:s v="CIAS. DE SEGURO"/>
    <x:s v="NORTE"/>
    <x:m/>
    <x:m/>
    <x:n v="50"/>
  </x:r>
  <x:r>
    <x:d v="2026-07-30T00:00:00Z"/>
    <x:x v="1"/>
    <x:s v="102563"/>
    <x:s v="BO"/>
    <x:s v="5914"/>
    <x:s v="CO"/>
    <x:s v="BO-5914"/>
    <x:s v="CORNEJO PEREZ TEODORO INOCENTE"/>
    <x:s v="09169334"/>
    <x:m/>
    <x:m/>
    <x:s v="CRISTINA"/>
    <x:s v="0071866"/>
    <x:s v="999339954"/>
    <x:s v="CORNEJO PEREZ TEODORO INOCENTE"/>
    <x:s v="89704"/>
    <x:x v="1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m/>
    <x:n v="30"/>
  </x:r>
  <x:r>
    <x:d v="2026-07-31T00:00:00Z"/>
    <x:x v="1"/>
    <x:s v="102647"/>
    <x:s v="BO"/>
    <x:s v="5928"/>
    <x:s v="CO"/>
    <x:s v="BO-5928"/>
    <x:s v="MARIGORDA EFFIO VICTOR JESUS"/>
    <x:s v="25445114"/>
    <x:m/>
    <x:m/>
    <x:s v="CRISTINA"/>
    <x:s v="0071899"/>
    <x:s v="923623147"/>
    <x:s v="MARIGORDA EFFIO VICTOR JESUS"/>
    <x:s v="89784"/>
    <x:x v="7"/>
    <x:n v="1"/>
    <x:s v="PRECISA"/>
    <x:s v="INSTITUTO MEDICO QUIRURGICO AREQUIPA S.A"/>
    <x:s v="INSTITUTO MEDICO QUIRURGICO AREQUIPA S.A"/>
    <x:s v="L.CENTRO"/>
    <x:s v="ACABRERA"/>
    <x:n v="152.54"/>
    <x:s v="LN. EXAMENES"/>
    <x:s v="CIAS. DE SEGURO"/>
    <x:s v="CENTRO"/>
    <x:m/>
    <x:m/>
    <x:n v="30"/>
  </x:r>
  <x:r>
    <x:d v="2026-07-31T00:00:00Z"/>
    <x:x v="1"/>
    <x:s v="102680"/>
    <x:s v="BO"/>
    <x:s v="5931"/>
    <x:s v="CO"/>
    <x:s v="BO-5931"/>
    <x:s v="NINAQUISPE MARCELO APARICIO"/>
    <x:s v="32530490"/>
    <x:m/>
    <x:m/>
    <x:s v="CRISTINA"/>
    <x:s v="0071909"/>
    <x:s v="952658266"/>
    <x:s v="NINAQUISPE MARCELO APARICIO"/>
    <x:s v="89808"/>
    <x:x v="1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m/>
    <x:n v="30"/>
  </x:r>
  <x:r>
    <x:d v="2026-07-31T00:00:00Z"/>
    <x:x v="1"/>
    <x:s v="102682"/>
    <x:s v="BO"/>
    <x:s v="4283"/>
    <x:s v="CO"/>
    <x:s v="BO-4283"/>
    <x:s v="SUXE FERNANDEZ AMADOR"/>
    <x:s v="01051967"/>
    <x:m/>
    <x:m/>
    <x:s v="CRISTINA"/>
    <x:s v="0071911"/>
    <x:s v="900298154"/>
    <x:s v="SUXE FERNANDEZ AMADOR"/>
    <x:s v="89810"/>
    <x:x v="6"/>
    <x:n v="1"/>
    <x:s v="PRECISA LN"/>
    <x:s v="POR ASIGNAR"/>
    <x:s v="INSTITUTO MEDICO QUIRURGICO AREQUIPA S.A"/>
    <x:s v="L.NORTE"/>
    <x:s v="BGALLOSA"/>
    <x:n v="169.49"/>
    <x:s v="LN. EXAMENES"/>
    <x:s v="CIAS. DE SEGURO"/>
    <x:s v="NORTE"/>
    <x:m/>
    <x:m/>
    <x:n v="50"/>
  </x:r>
  <x:r>
    <x:d v="2026-07-31T00:00:00Z"/>
    <x:x v="1"/>
    <x:s v="102684"/>
    <x:s v="BO"/>
    <x:s v="5933"/>
    <x:s v="CO"/>
    <x:s v="BO-5933"/>
    <x:s v="TAMAYO TORRES DE BOCANEGRA GREGORIA"/>
    <x:s v="06253775"/>
    <x:m/>
    <x:m/>
    <x:s v="CRISTINA"/>
    <x:s v="0071918"/>
    <x:s v="983546661"/>
    <x:s v="TAMAYO TORRES DE BOCANEGRA GREGORIA"/>
    <x:s v="89811"/>
    <x:x v="0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m/>
    <x:m/>
    <x:n v="50"/>
  </x:r>
  <x:r>
    <x:d v="2026-07-31T00:00:00Z"/>
    <x:x v="1"/>
    <x:s v="102687"/>
    <x:s v="FA"/>
    <x:s v="565"/>
    <x:s v="CO"/>
    <x:s v="FA-565"/>
    <x:s v="GUIMARAY SIALER ALEJANDRO HUMBERTO"/>
    <x:s v="08353192"/>
    <x:s v="VILLAR CURAHUA MARCELA ALEJANDRA"/>
    <x:s v="GAMARRA SALUD"/>
    <x:s v="CRISTINA"/>
    <x:s v="0063491"/>
    <x:s v="989454153"/>
    <x:s v="GAMARRA HEALTHCARE CENTER S.A.C."/>
    <x:s v="89632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n v="950133748"/>
    <x:s v="191-9953047026"/>
    <x:m/>
  </x:r>
  <x:r>
    <x:d v="2026-07-31T00:00:00Z"/>
    <x:x v="1"/>
    <x:s v="102687"/>
    <x:s v="FA"/>
    <x:s v="565"/>
    <x:s v="CO"/>
    <x:s v="FA-565"/>
    <x:s v="GUIMARAY SIALER ALEJANDRO HUMBERTO"/>
    <x:s v="08353192"/>
    <x:s v="VILLAR CURAHUA MARCELA ALEJANDRA"/>
    <x:s v="GAMARRA SALUD"/>
    <x:s v="CRISTINA"/>
    <x:s v="0063491"/>
    <x:s v="989454153"/>
    <x:s v="GAMARRA HEALTHCARE CENTER S.A.C."/>
    <x:s v="89632"/>
    <x:x v="30"/>
    <x:n v="1"/>
    <x:s v="PRECISA"/>
    <x:s v="INSTITUTO MEDICO QUIRURGICO AREQUIPA S.A"/>
    <x:s v="INSTITUTO MEDICO QUIRURGICO AREQUIPA S.A"/>
    <x:s v="L.CENTRO"/>
    <x:s v="ACABRERA"/>
    <x:n v="3508.47"/>
    <x:s v="LN. CIRUGIA"/>
    <x:s v="CIAS. DE SEGURO"/>
    <x:s v="CENTRO"/>
    <x:n v="950133748"/>
    <x:s v="191-9953047026"/>
    <x:m/>
  </x:r>
  <x:r>
    <x:d v="2026-07-31T00:00:00Z"/>
    <x:x v="1"/>
    <x:s v="102689"/>
    <x:s v="FA"/>
    <x:s v="566"/>
    <x:s v="CO"/>
    <x:s v="FA-566"/>
    <x:s v="DURAND VALDIVIA DE LINO DORA ESPERANZA"/>
    <x:s v="15685693"/>
    <x:m/>
    <x:m/>
    <x:s v="CRISTINA"/>
    <x:s v="0009791"/>
    <x:s v="97224389"/>
    <x:s v="GAMARRA HEALTHCARE CENTER S.A.C."/>
    <x:s v="89813"/>
    <x:x v="22"/>
    <x:n v="1"/>
    <x:s v="PRECISA"/>
    <x:s v="INSTITUTO MEDICO QUIRURGICO AREQUIPA S.A"/>
    <x:s v="INSTITUTO MEDICO QUIRURGICO AREQUIPA S.A"/>
    <x:s v="L.CENTRO"/>
    <x:s v="ACABRERA"/>
    <x:n v="101.69"/>
    <x:s v="LN. PROCEDIMIENTO"/>
    <x:s v="CIAS. DE SEGURO"/>
    <x:s v="CENTRO"/>
    <x:m/>
    <x:m/>
    <x:m/>
  </x:r>
  <x:r>
    <x:d v="2026-07-31T00:00:00Z"/>
    <x:x v="1"/>
    <x:s v="102692"/>
    <x:s v="FA"/>
    <x:s v="567"/>
    <x:s v="CO"/>
    <x:s v="FA-567"/>
    <x:s v="ORTEGA PEREZ JHON ROSEL"/>
    <x:s v="76308330"/>
    <x:m/>
    <x:m/>
    <x:s v="CRISTINA"/>
    <x:s v="0071921"/>
    <x:s v="985425896"/>
    <x:s v="GAMARRA HEALTHCARE CENTER S.A.C."/>
    <x:s v="89815"/>
    <x:x v="12"/>
    <x:n v="1"/>
    <x:s v="PRECISA"/>
    <x:s v="INSTITUTO MEDICO QUIRURGICO AREQUIPA S.A"/>
    <x:s v="INSTITUTO MEDICO QUIRURGICO AREQUIPA S.A"/>
    <x:s v="L.CENTRO"/>
    <x:s v="ACABRERA"/>
    <x:n v="152.54"/>
    <x:s v="LN. EXAMENES"/>
    <x:s v="CIAS. DE SEGURO"/>
    <x:s v="CENTRO"/>
    <x:m/>
    <x:m/>
    <x:n v="30"/>
  </x:r>
  <x:r>
    <x:d v="2026-07-31T00:00:00Z"/>
    <x:x v="1"/>
    <x:s v="102698"/>
    <x:s v="BO"/>
    <x:s v="5936"/>
    <x:s v="CO"/>
    <x:s v="BO-5936"/>
    <x:s v="MEDINA PRIETO DE RIOS ELSA ARIELA"/>
    <x:s v="08286513"/>
    <x:s v="SAPAICO VICUÑA AUGUSTO RODRIGO"/>
    <x:s v="HOSPITAL LOAYZA"/>
    <x:s v="CRISTINA"/>
    <x:s v="0071924"/>
    <x:s v="985412585"/>
    <x:s v="MEDINA PRIETO DE RIOS ELSA ARIELA"/>
    <x:s v="89822"/>
    <x:x v="22"/>
    <x:n v="2"/>
    <x:s v="PRECISA"/>
    <x:s v="INSTITUTO MEDICO QUIRURGICO AREQUIPA S.A"/>
    <x:s v="INSTITUTO MEDICO QUIRURGICO AREQUIPA S.A"/>
    <x:s v="L.CENTRO"/>
    <x:s v="ACABRERA"/>
    <x:n v="203.39"/>
    <x:s v="LN. PROCEDIMIENTO"/>
    <x:s v="CIAS. DE SEGURO"/>
    <x:s v="CENTRO"/>
    <x:n v="997145685"/>
    <x:s v="0011-0189-0200496417"/>
    <x:m/>
  </x:r>
  <x:r>
    <x:d v="2026-08-01T00:00:00Z"/>
    <x:x v="2"/>
    <x:s v="102814"/>
    <x:s v="BO"/>
    <x:s v="5965"/>
    <x:s v="CO"/>
    <x:s v="BO-5965"/>
    <x:s v="LOPEZ CALLE JOSE DE LA LUZ"/>
    <x:s v="09211801"/>
    <x:s v="JAVE ESCALANTE LIZETH"/>
    <x:s v="HOSPITAL LOAYZA"/>
    <x:s v="CRISTINA"/>
    <x:s v="0071949"/>
    <x:s v="950681335"/>
    <x:s v="LOPEZ CALLE JOSE DE LA LUZ"/>
    <x:s v="89901"/>
    <x:x v="8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n v="999111362"/>
    <x:s v="200-3076497260"/>
    <x:n v="30"/>
  </x:r>
  <x:r>
    <x:d v="2026-08-03T00:00:00Z"/>
    <x:x v="2"/>
    <x:s v="102868"/>
    <x:s v="BO"/>
    <x:s v="5973"/>
    <x:s v="CO"/>
    <x:s v="BO-5973"/>
    <x:s v="COMETIVOS PANDURO MIRIAM"/>
    <x:s v="00865199"/>
    <x:s v="FIERRO LEANDRO"/>
    <x:s v="POLICLÍNICO DIVINO NIÑO JESÚS"/>
    <x:s v="CRISTINA"/>
    <x:s v="0071944"/>
    <x:s v="940163522"/>
    <x:s v="COMETIVOS PANDURO MIRIAM"/>
    <x:s v="89939"/>
    <x:x v="16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8-03T00:00:00Z"/>
    <x:x v="2"/>
    <x:s v="102868"/>
    <x:s v="BO"/>
    <x:s v="5973"/>
    <x:s v="CO"/>
    <x:s v="BO-5973"/>
    <x:s v="COMETIVOS PANDURO MIRIAM"/>
    <x:s v="00865199"/>
    <x:s v="FIERRO LEANDRO"/>
    <x:s v="POLICLÍNICO DIVINO NIÑO JESÚS"/>
    <x:s v="CRISTINA"/>
    <x:s v="0071944"/>
    <x:s v="940163522"/>
    <x:s v="COMETIVOS PANDURO MIRIAM"/>
    <x:s v="89939"/>
    <x:x v="17"/>
    <x:n v="1"/>
    <x:s v="PRECISA"/>
    <x:s v="INSTITUTO MEDICO QUIRURGICO AREQUIPA S.A"/>
    <x:s v="INSTITUTO MEDICO QUIRURGICO AREQUIPA S.A"/>
    <x:s v="L.CENTRO"/>
    <x:s v="ACABRERA"/>
    <x:n v="21.19"/>
    <x:s v="LN. LABORATORIO"/>
    <x:s v="CIAS. DE SEGURO"/>
    <x:s v="CENTRO"/>
    <x:m/>
    <x:m/>
    <x:m/>
  </x:r>
  <x:r>
    <x:d v="2026-08-03T00:00:00Z"/>
    <x:x v="2"/>
    <x:s v="102868"/>
    <x:s v="BO"/>
    <x:s v="5973"/>
    <x:s v="CO"/>
    <x:s v="BO-5973"/>
    <x:s v="COMETIVOS PANDURO MIRIAM"/>
    <x:s v="00865199"/>
    <x:s v="FIERRO LEANDRO"/>
    <x:s v="POLICLÍNICO DIVINO NIÑO JESÚS"/>
    <x:s v="CRISTINA"/>
    <x:s v="0071944"/>
    <x:s v="940163522"/>
    <x:s v="COMETIVOS PANDURO MIRIAM"/>
    <x:s v="89939"/>
    <x:x v="18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8-03T00:00:00Z"/>
    <x:x v="2"/>
    <x:s v="102868"/>
    <x:s v="BO"/>
    <x:s v="5973"/>
    <x:s v="CO"/>
    <x:s v="BO-5973"/>
    <x:s v="COMETIVOS PANDURO MIRIAM"/>
    <x:s v="00865199"/>
    <x:s v="FIERRO LEANDRO"/>
    <x:s v="POLICLÍNICO DIVINO NIÑO JESÚS"/>
    <x:s v="CRISTINA"/>
    <x:s v="0071944"/>
    <x:s v="940163522"/>
    <x:s v="COMETIVOS PANDURO MIRIAM"/>
    <x:s v="89939"/>
    <x:x v="19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8-03T00:00:00Z"/>
    <x:x v="2"/>
    <x:s v="102868"/>
    <x:s v="BO"/>
    <x:s v="5973"/>
    <x:s v="CO"/>
    <x:s v="BO-5973"/>
    <x:s v="COMETIVOS PANDURO MIRIAM"/>
    <x:s v="00865199"/>
    <x:s v="FIERRO LEANDRO"/>
    <x:s v="POLICLÍNICO DIVINO NIÑO JESÚS"/>
    <x:s v="CRISTINA"/>
    <x:s v="0071944"/>
    <x:s v="940163522"/>
    <x:s v="COMETIVOS PANDURO MIRIAM"/>
    <x:s v="89939"/>
    <x:x v="20"/>
    <x:n v="1"/>
    <x:s v="PRECISA"/>
    <x:s v="INSTITUTO MEDICO QUIRURGICO AREQUIPA S.A"/>
    <x:s v="INSTITUTO MEDICO QUIRURGICO AREQUIPA S.A"/>
    <x:s v="L.CENTRO"/>
    <x:s v="ACABRERA"/>
    <x:n v="50.85"/>
    <x:s v="LN. LABORATORIO"/>
    <x:s v="CIAS. DE SEGURO"/>
    <x:s v="CENTRO"/>
    <x:m/>
    <x:m/>
    <x:m/>
  </x:r>
  <x:r>
    <x:d v="2026-08-03T00:00:00Z"/>
    <x:x v="2"/>
    <x:s v="102869"/>
    <x:s v="BO"/>
    <x:s v="5974"/>
    <x:s v="CO"/>
    <x:s v="BO-5974"/>
    <x:s v="COMETIVOS PANDURO MIRIAM"/>
    <x:s v="00865199"/>
    <x:s v="FIERRO LEANDRO"/>
    <x:s v="POLICLÍNICO DIVINO NIÑO JESÚS"/>
    <x:s v="CRISTINA"/>
    <x:s v="0071944"/>
    <x:s v="940163522"/>
    <x:s v="COMETIVOS PANDURO MIRIAM"/>
    <x:s v="89940"/>
    <x:x v="15"/>
    <x:n v="1"/>
    <x:s v="PRECISA"/>
    <x:s v="INSTITUTO MEDICO QUIRURGICO AREQUIPA S.A"/>
    <x:s v="INSTITUTO MEDICO QUIRURGICO AREQUIPA S.A"/>
    <x:s v="L.CENTRO"/>
    <x:s v="ACABRERA"/>
    <x:n v="127.12"/>
    <x:s v="LN. EXAMENES"/>
    <x:s v="CIAS. DE SEGURO"/>
    <x:s v="CENTRO"/>
    <x:m/>
    <x:m/>
    <x:m/>
  </x:r>
  <x:r>
    <x:d v="2026-08-03T00:00:00Z"/>
    <x:x v="2"/>
    <x:s v="102870"/>
    <x:s v="BO"/>
    <x:s v="5975"/>
    <x:s v="CO"/>
    <x:s v="BO-5975"/>
    <x:s v="COMETIVOS PANDURO MIRIAM"/>
    <x:s v="00865199"/>
    <x:s v="FIERRO LEANDRO"/>
    <x:s v="POLICLÍNICO DIVINO NIÑO JESÚS"/>
    <x:s v="CRISTINA"/>
    <x:s v="0071944"/>
    <x:s v="940163522"/>
    <x:s v="COMETIVOS PANDURO MIRIAM"/>
    <x:s v="89941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m/>
    <x:m/>
    <x:m/>
  </x:r>
  <x:r>
    <x:d v="2026-08-03T00:00:00Z"/>
    <x:x v="2"/>
    <x:s v="102882"/>
    <x:s v="BO"/>
    <x:s v="5976"/>
    <x:s v="CO"/>
    <x:s v="BO-5976"/>
    <x:s v="AJEN LAVADO DE GARBAY ROSINA VICENTA"/>
    <x:s v="06060326"/>
    <x:s v="GUTARRA PAUCAR JULIA KARINA"/>
    <x:s v="CLÍNICA SAN CAMILO"/>
    <x:s v="CRISTINA"/>
    <x:s v="0071980"/>
    <x:s v="945334172"/>
    <x:s v="AJEN LAVADO DE GARBAY ROSINA VICENTA"/>
    <x:s v="89959"/>
    <x:x v="1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n v="982673362"/>
    <x:s v="0011-0353-0200308107"/>
    <x:n v="30"/>
  </x:r>
  <x:r>
    <x:d v="2026-08-03T00:00:00Z"/>
    <x:x v="2"/>
    <x:s v="102964"/>
    <x:s v="BO"/>
    <x:s v="12132"/>
    <x:s v="CO"/>
    <x:s v="BO-12132"/>
    <x:s v="VASQUEZ VELA ENEDINA"/>
    <x:s v="05367935"/>
    <x:s v="QUISPE BECERRA JOSUE"/>
    <x:s v="HOSPITAL ALMENARA"/>
    <x:s v="CRISTINA"/>
    <x:s v="0072032"/>
    <x:s v="933336002"/>
    <x:s v="VASQUEZ VELA ENEDINA"/>
    <x:s v="90039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46789080"/>
    <x:m/>
    <x:n v="50"/>
  </x:r>
  <x:r>
    <x:d v="2026-08-03T00:00:00Z"/>
    <x:x v="2"/>
    <x:s v="102966"/>
    <x:s v="BO"/>
    <x:s v="12134"/>
    <x:s v="CO"/>
    <x:s v="BO-12134"/>
    <x:s v="VASQUEZ VELA ENEDINA"/>
    <x:s v="05367935"/>
    <x:s v="QUISPE BECERRA JOSUE"/>
    <x:s v="HOSPITAL ALMENARA"/>
    <x:s v="CRISTINA"/>
    <x:s v="0072032"/>
    <x:s v="933336002"/>
    <x:s v="VASQUEZ VELA ENEDINA"/>
    <x:s v="90043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46789080"/>
    <x:m/>
    <x:n v="30"/>
  </x:r>
  <x:r>
    <x:d v="2026-08-03T00:00:00Z"/>
    <x:x v="2"/>
    <x:s v="102983"/>
    <x:s v="BO"/>
    <x:s v="5985"/>
    <x:s v="CO"/>
    <x:s v="BO-5985"/>
    <x:s v="ANDAMAYO POPE ROCIO GISELA"/>
    <x:s v="47014334"/>
    <x:s v="PONCE TORRES YANISEY"/>
    <x:m/>
    <x:s v="CRISTINA"/>
    <x:s v="0065998"/>
    <x:s v="945413137"/>
    <x:s v="ANDAMAYO POPE ROCIO GISELA"/>
    <x:s v="90045"/>
    <x:x v="8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s v="193-13173124085"/>
    <x:n v="30"/>
  </x:r>
  <x:r>
    <x:d v="2026-08-04T00:00:00Z"/>
    <x:x v="2"/>
    <x:s v="103003"/>
    <x:s v="BO"/>
    <x:s v="5988"/>
    <x:s v="CO"/>
    <x:s v="BO-5988"/>
    <x:s v="MERCEDES RODRIGUEZ MIGUEL DIONICIO"/>
    <x:s v="07430013"/>
    <x:s v="FIERRO LEANDRO"/>
    <x:s v="POLICLÍNICO DIVINO NIÑO JESÚS"/>
    <x:s v="CRISTINA"/>
    <x:s v="0072018"/>
    <x:s v="912097149"/>
    <x:s v="MERCEDES RODRIGUEZ MIGUEL DIONICIO"/>
    <x:s v="90064"/>
    <x:x v="15"/>
    <x:n v="1"/>
    <x:s v="PRECISA"/>
    <x:s v="INSTITUTO MEDICO QUIRURGICO AREQUIPA S.A"/>
    <x:s v="INSTITUTO MEDICO QUIRURGICO AREQUIPA S.A"/>
    <x:s v="L.CENTRO"/>
    <x:s v="ACABRERA"/>
    <x:n v="127.12"/>
    <x:s v="LN. EXAMENES"/>
    <x:s v="CIAS. DE SEGURO"/>
    <x:s v="CENTRO"/>
    <x:m/>
    <x:m/>
    <x:m/>
  </x:r>
  <x:r>
    <x:d v="2026-08-04T00:00:00Z"/>
    <x:x v="2"/>
    <x:s v="103004"/>
    <x:s v="BO"/>
    <x:s v="5989"/>
    <x:s v="CO"/>
    <x:s v="BO-5989"/>
    <x:s v="MERCEDES RODRIGUEZ MIGUEL DIONICIO"/>
    <x:s v="07430013"/>
    <x:s v="FIERRO LEANDRO"/>
    <x:s v="POLICLÍNICO DIVINO NIÑO JESÚS"/>
    <x:s v="CRISTINA"/>
    <x:s v="0072018"/>
    <x:s v="912097149"/>
    <x:s v="MERCEDES RODRIGUEZ MIGUEL DIONICIO"/>
    <x:s v="90066"/>
    <x:x v="16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8-04T00:00:00Z"/>
    <x:x v="2"/>
    <x:s v="103004"/>
    <x:s v="BO"/>
    <x:s v="5989"/>
    <x:s v="CO"/>
    <x:s v="BO-5989"/>
    <x:s v="MERCEDES RODRIGUEZ MIGUEL DIONICIO"/>
    <x:s v="07430013"/>
    <x:s v="FIERRO LEANDRO"/>
    <x:s v="POLICLÍNICO DIVINO NIÑO JESÚS"/>
    <x:s v="CRISTINA"/>
    <x:s v="0072018"/>
    <x:s v="912097149"/>
    <x:s v="MERCEDES RODRIGUEZ MIGUEL DIONICIO"/>
    <x:s v="90066"/>
    <x:x v="17"/>
    <x:n v="1"/>
    <x:s v="PRECISA"/>
    <x:s v="INSTITUTO MEDICO QUIRURGICO AREQUIPA S.A"/>
    <x:s v="INSTITUTO MEDICO QUIRURGICO AREQUIPA S.A"/>
    <x:s v="L.CENTRO"/>
    <x:s v="ACABRERA"/>
    <x:n v="21.19"/>
    <x:s v="LN. LABORATORIO"/>
    <x:s v="CIAS. DE SEGURO"/>
    <x:s v="CENTRO"/>
    <x:m/>
    <x:m/>
    <x:m/>
  </x:r>
  <x:r>
    <x:d v="2026-08-04T00:00:00Z"/>
    <x:x v="2"/>
    <x:s v="103004"/>
    <x:s v="BO"/>
    <x:s v="5989"/>
    <x:s v="CO"/>
    <x:s v="BO-5989"/>
    <x:s v="MERCEDES RODRIGUEZ MIGUEL DIONICIO"/>
    <x:s v="07430013"/>
    <x:s v="FIERRO LEANDRO"/>
    <x:s v="POLICLÍNICO DIVINO NIÑO JESÚS"/>
    <x:s v="CRISTINA"/>
    <x:s v="0072018"/>
    <x:s v="912097149"/>
    <x:s v="MERCEDES RODRIGUEZ MIGUEL DIONICIO"/>
    <x:s v="90066"/>
    <x:x v="18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8-04T00:00:00Z"/>
    <x:x v="2"/>
    <x:s v="103004"/>
    <x:s v="BO"/>
    <x:s v="5989"/>
    <x:s v="CO"/>
    <x:s v="BO-5989"/>
    <x:s v="MERCEDES RODRIGUEZ MIGUEL DIONICIO"/>
    <x:s v="07430013"/>
    <x:s v="FIERRO LEANDRO"/>
    <x:s v="POLICLÍNICO DIVINO NIÑO JESÚS"/>
    <x:s v="CRISTINA"/>
    <x:s v="0072018"/>
    <x:s v="912097149"/>
    <x:s v="MERCEDES RODRIGUEZ MIGUEL DIONICIO"/>
    <x:s v="90066"/>
    <x:x v="19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8-04T00:00:00Z"/>
    <x:x v="2"/>
    <x:s v="103004"/>
    <x:s v="BO"/>
    <x:s v="5989"/>
    <x:s v="CO"/>
    <x:s v="BO-5989"/>
    <x:s v="MERCEDES RODRIGUEZ MIGUEL DIONICIO"/>
    <x:s v="07430013"/>
    <x:s v="FIERRO LEANDRO"/>
    <x:s v="POLICLÍNICO DIVINO NIÑO JESÚS"/>
    <x:s v="CRISTINA"/>
    <x:s v="0072018"/>
    <x:s v="912097149"/>
    <x:s v="MERCEDES RODRIGUEZ MIGUEL DIONICIO"/>
    <x:s v="90066"/>
    <x:x v="20"/>
    <x:n v="1"/>
    <x:s v="PRECISA"/>
    <x:s v="INSTITUTO MEDICO QUIRURGICO AREQUIPA S.A"/>
    <x:s v="INSTITUTO MEDICO QUIRURGICO AREQUIPA S.A"/>
    <x:s v="L.CENTRO"/>
    <x:s v="ACABRERA"/>
    <x:n v="50.85"/>
    <x:s v="LN. LABORATORIO"/>
    <x:s v="CIAS. DE SEGURO"/>
    <x:s v="CENTRO"/>
    <x:m/>
    <x:m/>
    <x:m/>
  </x:r>
  <x:r>
    <x:d v="2026-08-04T00:00:00Z"/>
    <x:x v="2"/>
    <x:s v="103005"/>
    <x:s v="BO"/>
    <x:s v="5990"/>
    <x:s v="CO"/>
    <x:s v="BO-5990"/>
    <x:s v="MERCEDES RODRIGUEZ MIGUEL DIONICIO"/>
    <x:s v="07430013"/>
    <x:s v="FIERRO LEANDRO"/>
    <x:s v="POLICLÍNICO DIVINO NIÑO JESÚS"/>
    <x:s v="CRISTINA"/>
    <x:s v="0072018"/>
    <x:s v="912097149"/>
    <x:s v="MERCEDES RODRIGUEZ MIGUEL DIONICIO"/>
    <x:s v="90068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m/>
    <x:m/>
    <x:m/>
  </x:r>
  <x:r>
    <x:d v="2026-08-04T00:00:00Z"/>
    <x:x v="2"/>
    <x:s v="103028"/>
    <x:s v="BO"/>
    <x:s v="12152"/>
    <x:s v="CO"/>
    <x:s v="BO-12152"/>
    <x:s v="RAMIREZ PENA GREGORIO JOSE"/>
    <x:s v="07153375"/>
    <x:s v="CESPEDES LANZA RENZO"/>
    <x:s v="HOSPITAL INO"/>
    <x:s v="CRISTINA"/>
    <x:s v="0072065"/>
    <x:s v="990043862"/>
    <x:s v="RAMIREZ PENA GREGORIO JOSE"/>
    <x:s v="90101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75750204"/>
    <x:m/>
    <x:n v="30"/>
  </x:r>
  <x:r>
    <x:d v="2026-08-04T00:00:00Z"/>
    <x:x v="2"/>
    <x:s v="103068"/>
    <x:s v="BO"/>
    <x:s v="4324"/>
    <x:s v="CO"/>
    <x:s v="BO-4324"/>
    <x:s v="PANTOJA . JULIO SANTOS"/>
    <x:s v="08655133"/>
    <x:s v="GUTARRA PAUCAR JULIA KARINA"/>
    <x:s v="CLÍNICA SAN CAMILO"/>
    <x:s v="CRISTINA"/>
    <x:s v="0061063"/>
    <x:s v="900215409"/>
    <x:s v="PANTOJA . JULIO SANTOS"/>
    <x:s v="90129"/>
    <x:x v="2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n v="982673362"/>
    <x:s v="0011-0353-0200308107"/>
    <x:n v="50"/>
  </x:r>
  <x:r>
    <x:d v="2026-08-04T00:00:00Z"/>
    <x:x v="2"/>
    <x:s v="103068"/>
    <x:s v="BO"/>
    <x:s v="4324"/>
    <x:s v="CO"/>
    <x:s v="BO-4324"/>
    <x:s v="PANTOJA . JULIO SANTOS"/>
    <x:s v="08655133"/>
    <x:s v="GUTARRA PAUCAR JULIA KARINA"/>
    <x:s v="CLÍNICA SAN CAMILO"/>
    <x:s v="CRISTINA"/>
    <x:s v="0061063"/>
    <x:s v="900215409"/>
    <x:s v="PANTOJA . JULIO SANTOS"/>
    <x:s v="90129"/>
    <x:x v="4"/>
    <x:n v="1"/>
    <x:s v="PRECISA LN"/>
    <x:s v="POR ASIGNAR"/>
    <x:s v="INSTITUTO MEDICO QUIRURGICO AREQUIPA S.A"/>
    <x:s v="L.NORTE"/>
    <x:s v="BGALLOSA"/>
    <x:n v="135.59"/>
    <x:s v="LN. EXAMENES"/>
    <x:s v="CIAS. DE SEGURO"/>
    <x:s v="NORTE"/>
    <x:n v="982673362"/>
    <x:s v="0011-0353-0200308107"/>
    <x:n v="30"/>
  </x:r>
  <x:r>
    <x:d v="2026-08-05T00:00:00Z"/>
    <x:x v="2"/>
    <x:s v="103143"/>
    <x:s v="BO"/>
    <x:s v="6003"/>
    <x:s v="CO"/>
    <x:s v="BO-6003"/>
    <x:s v="RAMIREZ VENTOCILLA NAHUD ROGATO"/>
    <x:s v="08744883"/>
    <x:s v="CRISPIN MORALES NANCY JENNY"/>
    <x:s v="HOSPITAL ALMENARA"/>
    <x:s v="CRISTINA"/>
    <x:s v="0071970"/>
    <x:s v="999999999"/>
    <x:s v="RAMIREZ VENTOCILLA NAHUD ROGATO"/>
    <x:s v="90191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n v="978789268"/>
    <x:s v="193-90416675072"/>
    <x:m/>
  </x:r>
  <x:r>
    <x:d v="2026-08-05T00:00:00Z"/>
    <x:x v="2"/>
    <x:s v="103145"/>
    <x:s v="BO"/>
    <x:s v="6004"/>
    <x:s v="CO"/>
    <x:s v="BO-6004"/>
    <x:s v="RAMIREZ VENTOCILLA NAHUD ROGATO"/>
    <x:s v="08744883"/>
    <x:s v="CRISPIN MORALES NANCY JENNY"/>
    <x:s v="HOSPITAL ALMENARA"/>
    <x:s v="CRISTINA"/>
    <x:s v="0071970"/>
    <x:s v="999999999"/>
    <x:s v="RAMIREZ VENTOCILLA NAHUD ROGATO"/>
    <x:s v="90141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n v="978789268"/>
    <x:s v="193-90416675072"/>
    <x:m/>
  </x:r>
  <x:r>
    <x:d v="2026-08-05T00:00:00Z"/>
    <x:x v="2"/>
    <x:s v="103145"/>
    <x:s v="BO"/>
    <x:s v="6004"/>
    <x:s v="CO"/>
    <x:s v="BO-6004"/>
    <x:s v="RAMIREZ VENTOCILLA NAHUD ROGATO"/>
    <x:s v="08744883"/>
    <x:s v="CRISPIN MORALES NANCY JENNY"/>
    <x:s v="HOSPITAL ALMENARA"/>
    <x:s v="CRISTINA"/>
    <x:s v="0071970"/>
    <x:s v="999999999"/>
    <x:s v="RAMIREZ VENTOCILLA NAHUD ROGATO"/>
    <x:s v="90141"/>
    <x:x v="10"/>
    <x:n v="1"/>
    <x:s v="PRECISA"/>
    <x:s v="INSTITUTO MEDICO QUIRURGICO AREQUIPA S.A"/>
    <x:s v="INSTITUTO MEDICO QUIRURGICO AREQUIPA S.A"/>
    <x:s v="L.CENTRO"/>
    <x:s v="ACABRERA"/>
    <x:n v="1050.85"/>
    <x:s v="LN. CIRUGIA"/>
    <x:s v="CIAS. DE SEGURO"/>
    <x:s v="CENTRO"/>
    <x:n v="978789268"/>
    <x:s v="193-90416675072"/>
    <x:m/>
  </x:r>
  <x:r>
    <x:d v="2026-08-05T00:00:00Z"/>
    <x:x v="2"/>
    <x:s v="103152"/>
    <x:s v="FA"/>
    <x:s v="1077"/>
    <x:s v="CO"/>
    <x:s v="FA-1077"/>
    <x:s v="SUAREZ CAVERO ALESSANDRA LUCIA"/>
    <x:s v="73321033"/>
    <x:s v="FONTENLA SERNA DAVID IVAN"/>
    <x:s v="HOSPITAL NAVAL"/>
    <x:s v="CRISTINA"/>
    <x:s v="0071890"/>
    <x:s v="913049629"/>
    <x:s v="FONTENLA VISION E.I.R.L."/>
    <x:s v="90137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n v="976922608"/>
    <x:s v="0011-0117-0200577155"/>
    <x:m/>
  </x:r>
  <x:r>
    <x:d v="2026-08-05T00:00:00Z"/>
    <x:x v="2"/>
    <x:s v="103152"/>
    <x:s v="FA"/>
    <x:s v="1077"/>
    <x:s v="CO"/>
    <x:s v="FA-1077"/>
    <x:s v="SUAREZ CAVERO ALESSANDRA LUCIA"/>
    <x:s v="73321033"/>
    <x:s v="FONTENLA SERNA DAVID IVAN"/>
    <x:s v="HOSPITAL NAVAL"/>
    <x:s v="CRISTINA"/>
    <x:s v="0071890"/>
    <x:s v="913049629"/>
    <x:s v="FONTENLA VISION E.I.R.L."/>
    <x:s v="90137"/>
    <x:x v="34"/>
    <x:n v="1"/>
    <x:s v="PRECISA"/>
    <x:s v="INSTITUTO MEDICO QUIRURGICO AREQUIPA S.A"/>
    <x:s v="INSTITUTO MEDICO QUIRURGICO AREQUIPA S.A"/>
    <x:s v="L.CENTRO"/>
    <x:s v="LMAGAN"/>
    <x:n v="550.85"/>
    <x:s v="LN. CIRUGIA"/>
    <x:s v="CIAS. DE SEGURO"/>
    <x:s v="CENTRO"/>
    <x:n v="976922608"/>
    <x:s v="0011-0117-0200577155"/>
    <x:m/>
  </x:r>
  <x:r>
    <x:d v="2026-08-05T00:00:00Z"/>
    <x:x v="2"/>
    <x:s v="103156"/>
    <x:s v="FA"/>
    <x:s v="1078"/>
    <x:s v="CO"/>
    <x:s v="FA-1078"/>
    <x:s v="SUAREZ CAVERO ALESSANDRA LUCIA"/>
    <x:s v="73321033"/>
    <x:s v="FONTENLA SERNA DAVID IVAN"/>
    <x:s v="HOSPITAL NAVAL"/>
    <x:s v="CRISTINA"/>
    <x:s v="0071890"/>
    <x:s v="913049629"/>
    <x:s v="FONTENLA VISION E.I.R.L."/>
    <x:s v="90201"/>
    <x:x v="12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76922608"/>
    <x:s v="0011-0117-0200577155"/>
    <x:n v="30"/>
  </x:r>
  <x:r>
    <x:d v="2026-08-05T00:00:00Z"/>
    <x:x v="2"/>
    <x:s v="103158"/>
    <x:s v="BO"/>
    <x:s v="12167"/>
    <x:s v="CO"/>
    <x:s v="BO-12167"/>
    <x:s v="SUAREZ CAVERO ALESSANDRA LUCIA"/>
    <x:s v="73321033"/>
    <x:s v="FONTENLA SERNA DAVID IVAN"/>
    <x:s v="HOSPITAL NAVAL"/>
    <x:s v="CRISTINA"/>
    <x:s v="0071890"/>
    <x:s v="913049629"/>
    <x:s v="FONTENLA VISION E.I.R.L."/>
    <x:s v="90202"/>
    <x:x v="28"/>
    <x:n v="1"/>
    <x:s v="PRECISA"/>
    <x:s v="INSTITUTO MEDICO QUIRURGICO AREQUIPA S.A"/>
    <x:s v="INSTITUTO MEDICO QUIRURGICO AREQUIPA S.A"/>
    <x:s v="L.CENTRO"/>
    <x:s v="LMAGAN"/>
    <x:n v="33.9"/>
    <x:s v="LN. EXAMENES"/>
    <x:s v="CIAS. DE SEGURO"/>
    <x:s v="CENTRO"/>
    <x:n v="976922608"/>
    <x:s v="0011-0117-0200577155"/>
    <x:m/>
  </x:r>
  <x:r>
    <x:d v="2026-08-05T00:00:00Z"/>
    <x:x v="2"/>
    <x:s v="2423"/>
    <x:s v="NC"/>
    <x:s v="12167"/>
    <x:s v="CR"/>
    <x:s v="NC-12167"/>
    <x:s v="SUAREZ CAVERO ALESSANDRA LUCIA"/>
    <x:s v="73321033"/>
    <x:s v="FONTENLA SERNA DAVID IVAN"/>
    <x:s v="HOSPITAL NAVAL"/>
    <x:s v="CR"/>
    <x:s v="0071890"/>
    <x:s v="913049629"/>
    <x:s v="FONTENLA VISION E.I.R.L."/>
    <x:s v="90202"/>
    <x:x v="28"/>
    <x:n v="1"/>
    <x:s v="PRECISA"/>
    <x:s v="INSTITUTO MEDICO QUIRURGICO AREQUIPA S.A"/>
    <x:s v="INSTITUTO MEDICO QUIRURGICO AREQUIPA S.A"/>
    <x:s v="L.CENTRO"/>
    <x:s v="LMAGAN"/>
    <x:n v="-33.9"/>
    <x:s v="LN. EXAMENES"/>
    <x:s v="CIAS. DE SEGURO"/>
    <x:s v="CENTRO"/>
    <x:n v="976922608"/>
    <x:s v="0011-0117-0200577155"/>
    <x:m/>
  </x:r>
  <x:r>
    <x:d v="2026-08-05T00:00:00Z"/>
    <x:x v="2"/>
    <x:s v="103159"/>
    <x:s v="FA"/>
    <x:s v="1079"/>
    <x:s v="CO"/>
    <x:s v="FA-1079"/>
    <x:s v="SUAREZ CAVERO ALESSANDRA LUCIA"/>
    <x:s v="73321033"/>
    <x:s v="FONTENLA SERNA DAVID IVAN"/>
    <x:s v="HOSPITAL NAVAL"/>
    <x:s v="CRISTINA"/>
    <x:s v="0071890"/>
    <x:s v="913049629"/>
    <x:s v="FONTENLA VISION E.I.R.L."/>
    <x:s v="90204"/>
    <x:x v="28"/>
    <x:n v="1"/>
    <x:s v="PRECISA"/>
    <x:s v="INSTITUTO MEDICO QUIRURGICO AREQUIPA S.A"/>
    <x:s v="INSTITUTO MEDICO QUIRURGICO AREQUIPA S.A"/>
    <x:s v="L.CENTRO"/>
    <x:s v="LMAGAN"/>
    <x:n v="33.9"/>
    <x:s v="LN. EXAMENES"/>
    <x:s v="CIAS. DE SEGURO"/>
    <x:s v="CENTRO"/>
    <x:n v="976922608"/>
    <x:s v="0011-0117-0200577155"/>
    <x:m/>
  </x:r>
  <x:r>
    <x:d v="2026-08-05T00:00:00Z"/>
    <x:x v="2"/>
    <x:s v="103219"/>
    <x:s v="BO"/>
    <x:s v="6008"/>
    <x:s v="CO"/>
    <x:s v="BO-6008"/>
    <x:s v="GUADALUPE GONAS EDGARD"/>
    <x:s v="07175080"/>
    <x:s v="CESPEDES LANZA RENZO"/>
    <x:s v="HOSPITAL INO"/>
    <x:s v="CRISTINA"/>
    <x:s v="0072175"/>
    <x:s v="945040645"/>
    <x:s v="GUADALUPE GONAS EDGARD"/>
    <x:s v="90265"/>
    <x:x v="7"/>
    <x:n v="1"/>
    <x:s v="PRECISA"/>
    <x:s v="INSTITUTO MEDICO QUIRURGICO AREQUIPA S.A"/>
    <x:s v="INSTITUTO MEDICO QUIRURGICO AREQUIPA S.A"/>
    <x:s v="L.CENTRO"/>
    <x:s v="ACABRERA"/>
    <x:n v="152.54"/>
    <x:s v="LN. EXAMENES"/>
    <x:s v="CIAS. DE SEGURO"/>
    <x:s v="CENTRO"/>
    <x:n v="975750204"/>
    <x:m/>
    <x:n v="30"/>
  </x:r>
  <x:r>
    <x:d v="2026-08-05T00:00:00Z"/>
    <x:x v="2"/>
    <x:s v="103230"/>
    <x:s v="FA"/>
    <x:s v="1080"/>
    <x:s v="CO"/>
    <x:s v="FA-1080"/>
    <x:s v="BAZALAR LAOS HECTOR RAUL"/>
    <x:s v="15584530"/>
    <x:m/>
    <x:m/>
    <x:s v="CRISTINA"/>
    <x:s v="0072103"/>
    <x:s v="999999999"/>
    <x:s v="GAMARRA HEALTHCARE CENTER S.A.C."/>
    <x:s v="90278"/>
    <x:x v="3"/>
    <x:n v="1"/>
    <x:s v="PRECISA"/>
    <x:s v="INSTITUTO MEDICO QUIRURGICO AREQUIPA S.A"/>
    <x:s v="INSTITUTO MEDICO QUIRURGICO AREQUIPA S.A"/>
    <x:s v="L.CENTRO"/>
    <x:s v="LMAGAN"/>
    <x:n v="254.24"/>
    <x:s v="LN. PROCEDIMIENTO"/>
    <x:s v="CIAS. DE SEGURO"/>
    <x:s v="CENTRO"/>
    <x:m/>
    <x:m/>
    <x:m/>
  </x:r>
  <x:r>
    <x:d v="2026-08-05T00:00:00Z"/>
    <x:x v="2"/>
    <x:s v="103234"/>
    <x:s v="FA"/>
    <x:s v="572"/>
    <x:s v="CO"/>
    <x:s v="FA-572"/>
    <x:s v="QUIÑONES ROBLES BERNABE GREGORIO"/>
    <x:s v="08739495"/>
    <x:s v="VILLAR CURAHUA MARCELA ALEJANDRA"/>
    <x:s v="GAMARRA SALUD"/>
    <x:s v="CRISTINA"/>
    <x:s v="0036451"/>
    <x:s v="993223874"/>
    <x:s v="GAMARRA HEALTHCARE CENTER S.A.C."/>
    <x:s v="90075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n v="950133748"/>
    <x:s v="191-9953047026"/>
    <x:m/>
  </x:r>
  <x:r>
    <x:d v="2026-08-05T00:00:00Z"/>
    <x:x v="2"/>
    <x:s v="103234"/>
    <x:s v="FA"/>
    <x:s v="572"/>
    <x:s v="CO"/>
    <x:s v="FA-572"/>
    <x:s v="QUIÑONES ROBLES BERNABE GREGORIO"/>
    <x:s v="08739495"/>
    <x:s v="VILLAR CURAHUA MARCELA ALEJANDRA"/>
    <x:s v="GAMARRA SALUD"/>
    <x:s v="CRISTINA"/>
    <x:s v="0036451"/>
    <x:s v="993223874"/>
    <x:s v="GAMARRA HEALTHCARE CENTER S.A.C."/>
    <x:s v="90075"/>
    <x:x v="10"/>
    <x:n v="1"/>
    <x:s v="PRECISA"/>
    <x:s v="INSTITUTO MEDICO QUIRURGICO AREQUIPA S.A"/>
    <x:s v="INSTITUTO MEDICO QUIRURGICO AREQUIPA S.A"/>
    <x:s v="L.CENTRO"/>
    <x:s v="ACABRERA"/>
    <x:n v="1050.85"/>
    <x:s v="LN. CIRUGIA"/>
    <x:s v="CIAS. DE SEGURO"/>
    <x:s v="CENTRO"/>
    <x:n v="950133748"/>
    <x:s v="191-9953047026"/>
    <x:m/>
  </x:r>
  <x:r>
    <x:d v="2026-08-05T00:00:00Z"/>
    <x:x v="2"/>
    <x:s v="103252"/>
    <x:s v="FA"/>
    <x:s v="1081"/>
    <x:s v="CO"/>
    <x:s v="FA-1081"/>
    <x:s v="QUIÑONES ROBLES BERNABE GREGORIO"/>
    <x:s v="08739495"/>
    <x:s v="VILLAR CURAHUA MARCELA ALEJANDRA"/>
    <x:s v="GAMARRA SALUD"/>
    <x:s v="CRISTINA"/>
    <x:s v="0036451"/>
    <x:s v="993223874"/>
    <x:s v="GAMARRA HEALTHCARE CENTER S.A.C."/>
    <x:s v="90297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50133748"/>
    <x:s v="191-9953047026"/>
    <x:n v="30"/>
  </x:r>
  <x:r>
    <x:d v="2026-08-05T00:00:00Z"/>
    <x:x v="2"/>
    <x:s v="103299"/>
    <x:s v="BO"/>
    <x:s v="12193"/>
    <x:s v="CO"/>
    <x:s v="BO-12193"/>
    <x:s v="MARTÍNEZ TRUJILLO NAPTHALY"/>
    <x:s v="1026528 "/>
    <x:s v="LOPEZ ESPINOZA JHON"/>
    <x:m/>
    <x:s v="CRISTINA"/>
    <x:s v="0072087"/>
    <x:s v="+59169208603"/>
    <x:s v="MARTÍNEZ TRUJILLO NAPTHALY"/>
    <x:s v="90330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s v="191-38880905040"/>
    <x:n v="30"/>
  </x:r>
  <x:r>
    <x:d v="2026-08-05T00:00:00Z"/>
    <x:x v="2"/>
    <x:s v="103313"/>
    <x:s v="FA"/>
    <x:s v="1082"/>
    <x:s v="CO"/>
    <x:s v="FA-1082"/>
    <x:s v="CUEVA CHAVEZ POMPEYO ANTONIO"/>
    <x:s v="32488966"/>
    <x:s v="CHOQUE MILAGROS"/>
    <x:s v="HOSPITAL SAN JUAN DE LURIGANCHO"/>
    <x:s v="CRISTINA"/>
    <x:s v="0071971"/>
    <x:s v="999999999"/>
    <x:s v="OFTALMOLOGICA E.I.R.L."/>
    <x:s v="90286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8-05T00:00:00Z"/>
    <x:x v="2"/>
    <x:s v="103313"/>
    <x:s v="FA"/>
    <x:s v="1082"/>
    <x:s v="CO"/>
    <x:s v="FA-1082"/>
    <x:s v="CUEVA CHAVEZ POMPEYO ANTONIO"/>
    <x:s v="32488966"/>
    <x:s v="CHOQUE MILAGROS"/>
    <x:s v="HOSPITAL SAN JUAN DE LURIGANCHO"/>
    <x:s v="CRISTINA"/>
    <x:s v="0071971"/>
    <x:s v="999999999"/>
    <x:s v="OFTALMOLOGICA E.I.R.L."/>
    <x:s v="90286"/>
    <x:x v="29"/>
    <x:n v="1"/>
    <x:s v="PRECISA"/>
    <x:s v="INSTITUTO MEDICO QUIRURGICO AREQUIPA S.A"/>
    <x:s v="INSTITUTO MEDICO QUIRURGICO AREQUIPA S.A"/>
    <x:s v="L.CENTRO"/>
    <x:s v="LMAGAN"/>
    <x:n v="563.56"/>
    <x:s v="LN. CIRUGIA"/>
    <x:s v="CIAS. DE SEGURO"/>
    <x:s v="CENTRO"/>
    <x:m/>
    <x:m/>
    <x:m/>
  </x:r>
  <x:r>
    <x:d v="2026-08-07T00:00:00Z"/>
    <x:x v="2"/>
    <x:s v="103354"/>
    <x:s v="BO"/>
    <x:s v="12202"/>
    <x:s v="CO"/>
    <x:s v="BO-12202"/>
    <x:s v="PEREZ BARTUREN MISAEL"/>
    <x:s v="27378163"/>
    <x:s v="ESPEJO ALVA JULIO EDWIN"/>
    <x:s v="CONSULTORIO PARTICULAR"/>
    <x:s v="CRISTINA"/>
    <x:s v="0058546"/>
    <x:s v="999251212"/>
    <x:s v="PEREZ BARTUREN MISAEL"/>
    <x:s v="90381"/>
    <x:x v="1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81227454"/>
    <x:s v="087-3150119440"/>
    <x:n v="30"/>
  </x:r>
  <x:r>
    <x:d v="2026-08-07T00:00:00Z"/>
    <x:x v="2"/>
    <x:s v="103367"/>
    <x:s v="BO"/>
    <x:s v="12204"/>
    <x:s v="CO"/>
    <x:s v="BO-12204"/>
    <x:s v="ROMAN TORRES AMANCIA"/>
    <x:s v="08083502"/>
    <x:s v="LEON SUAREZ LUIS"/>
    <x:m/>
    <x:s v="CRISTINA"/>
    <x:s v="0062809"/>
    <x:s v="960518706"/>
    <x:s v="ROMAN TORRES AMANCIA"/>
    <x:s v="90373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8-07T00:00:00Z"/>
    <x:x v="2"/>
    <x:s v="103402"/>
    <x:s v="BO"/>
    <x:s v="12210"/>
    <x:s v="CO"/>
    <x:s v="BO-12210"/>
    <x:s v="DAGA CABALLERO ROSALIA EYMI"/>
    <x:s v="78558270"/>
    <x:s v="POMAZONGO GOYAS MANUEL ALEJANDRO"/>
    <x:s v="CONSULTORIO PARTICULAR"/>
    <x:s v="CRISTINA"/>
    <x:s v="0072259"/>
    <x:s v="963524828"/>
    <x:s v="DAGA CABALLERO ROSALIA EYMI"/>
    <x:s v="90426"/>
    <x:x v="12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80030101"/>
    <x:s v="027-7601910"/>
    <x:n v="30"/>
  </x:r>
  <x:r>
    <x:d v="2026-08-07T00:00:00Z"/>
    <x:x v="2"/>
    <x:s v="103432"/>
    <x:s v="BO"/>
    <x:s v="12213"/>
    <x:s v="CO"/>
    <x:s v="BO-12213"/>
    <x:s v="LOAYZA LOAYZA DANIEL"/>
    <x:s v="15640724"/>
    <x:s v="FIERRO LEANDRO"/>
    <x:s v="POLICLÍNICO DIVINO NIÑO JESÚS"/>
    <x:s v="CRISTINA"/>
    <x:s v="0058677"/>
    <x:s v="989493571"/>
    <x:s v="LOAYZA LOAYZA DANIEL"/>
    <x:s v="90443"/>
    <x:x v="1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8-07T00:00:00Z"/>
    <x:x v="2"/>
    <x:s v="103452"/>
    <x:s v="BO"/>
    <x:s v="6037"/>
    <x:s v="CO"/>
    <x:s v="BO-6037"/>
    <x:s v="AQUINO NICHO RAUL"/>
    <x:s v="15692736"/>
    <x:s v="ISABEL PALACIOS RAISA LORENA"/>
    <x:s v="HOSPITAL ALMENARA"/>
    <x:s v="CRISTINA"/>
    <x:s v="0072276"/>
    <x:s v="935541651"/>
    <x:s v="AQUINO NICHO RAUL"/>
    <x:s v="90462"/>
    <x:x v="11"/>
    <x:n v="2"/>
    <x:s v="PRECISA"/>
    <x:s v="INSTITUTO MEDICO QUIRURGICO AREQUIPA S.A"/>
    <x:s v="INSTITUTO MEDICO QUIRURGICO AREQUIPA S.A"/>
    <x:s v="L.CENTRO"/>
    <x:s v="ACABRERA"/>
    <x:n v="203.39"/>
    <x:s v="LN. PROCEDIMIENTO"/>
    <x:s v="CIAS. DE SEGURO"/>
    <x:s v="CENTRO"/>
    <x:n v="947422476"/>
    <x:m/>
    <x:m/>
  </x:r>
  <x:r>
    <x:d v="2026-08-07T00:00:00Z"/>
    <x:x v="2"/>
    <x:s v="103459"/>
    <x:s v="BO"/>
    <x:s v="12218"/>
    <x:s v="CO"/>
    <x:s v="BO-12218"/>
    <x:s v="VILCHEZ QUISPE TOMAS"/>
    <x:s v="08314317"/>
    <x:s v="TARAZONA CHAVEZ ROSAMARIA"/>
    <x:m/>
    <x:s v="CRISTINA"/>
    <x:s v="0072284"/>
    <x:s v="941383018"/>
    <x:s v="VILCHEZ QUISPE TOMAS"/>
    <x:s v="90471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94336842"/>
    <x:m/>
    <x:n v="30"/>
  </x:r>
  <x:r>
    <x:d v="2026-08-08T00:00:00Z"/>
    <x:x v="2"/>
    <x:s v="103488"/>
    <x:s v="BO"/>
    <x:s v="12223"/>
    <x:s v="CO"/>
    <x:s v="BO-12223"/>
    <x:s v="AJEN LAVADO DE GARBAY ROSINA VICENTA"/>
    <x:s v="06060326"/>
    <x:s v="GUTARRA PAUCAR JULIA KARINA"/>
    <x:s v="CLÍNICA SAN CAMILO"/>
    <x:s v="CRISTINA"/>
    <x:s v="0071980"/>
    <x:s v="945334172"/>
    <x:s v="AJEN LAVADO DE GARBAY ROSINA VICENTA"/>
    <x:s v="90491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82673362"/>
    <x:s v="0011-0353-0200308107"/>
    <x:n v="50"/>
  </x:r>
  <x:r>
    <x:d v="2026-08-08T00:00:00Z"/>
    <x:x v="2"/>
    <x:s v="103488"/>
    <x:s v="BO"/>
    <x:s v="12223"/>
    <x:s v="CO"/>
    <x:s v="BO-12223"/>
    <x:s v="AJEN LAVADO DE GARBAY ROSINA VICENTA"/>
    <x:s v="06060326"/>
    <x:s v="GUTARRA PAUCAR JULIA KARINA"/>
    <x:s v="CLÍNICA SAN CAMILO"/>
    <x:s v="CRISTINA"/>
    <x:s v="0071980"/>
    <x:s v="945334172"/>
    <x:s v="AJEN LAVADO DE GARBAY ROSINA VICENTA"/>
    <x:s v="90491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82673362"/>
    <x:s v="0011-0353-0200308107"/>
    <x:n v="50"/>
  </x:r>
  <x:r>
    <x:d v="2026-08-08T00:00:00Z"/>
    <x:x v="2"/>
    <x:s v="103532"/>
    <x:s v="BO"/>
    <x:s v="12229"/>
    <x:s v="CO"/>
    <x:s v="BO-12229"/>
    <x:s v="CHINCHIHUALPA GOZAR EDITH"/>
    <x:s v="16121742"/>
    <x:s v="ALEMAÑY ERNESTO"/>
    <x:s v="CLINICA LA LUZ"/>
    <x:s v="CRISTINA"/>
    <x:s v="0072339"/>
    <x:s v="956293333"/>
    <x:s v="CHINCHIHUALPA GOZAR EDITH"/>
    <x:s v="90533"/>
    <x:x v="35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78548687"/>
    <x:s v="0011-0732-0200152751"/>
    <x:n v="50"/>
  </x:r>
  <x:r>
    <x:d v="2026-08-10T00:00:00Z"/>
    <x:x v="2"/>
    <x:s v="103590"/>
    <x:s v="BO"/>
    <x:s v="12235"/>
    <x:s v="CO"/>
    <x:s v="BO-12235"/>
    <x:s v="PACHECO SAAVEDRA CARMEN"/>
    <x:s v="08464237"/>
    <x:s v="SAPAICO VICUÑA AUGUSTO RODRIGO"/>
    <x:s v="HOSPITAL LOAYZA"/>
    <x:s v="CRISTINA"/>
    <x:s v="0072356"/>
    <x:s v="941510805"/>
    <x:s v="PACHECO SAAVEDRA CARMEN"/>
    <x:s v="90567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97145685"/>
    <x:s v="0011-0189-0200496417"/>
    <x:n v="30"/>
  </x:r>
  <x:r>
    <x:d v="2026-08-10T00:00:00Z"/>
    <x:x v="2"/>
    <x:s v="103612"/>
    <x:s v="BO"/>
    <x:s v="4381"/>
    <x:s v="CO"/>
    <x:s v="BO-4381"/>
    <x:s v="DEPAZ ASIS JOSE ENRIQUE"/>
    <x:s v="07335374"/>
    <x:s v="RUIZ ROJAS PAUBLO ENRIQUE"/>
    <x:s v="CONSULTORIO CUBANO COMAS"/>
    <x:s v="CRISTINA"/>
    <x:s v="0072365"/>
    <x:s v="933406869"/>
    <x:s v="DEPAZ ASIS JOSE ENRIQUE"/>
    <x:s v="90582"/>
    <x:x v="1"/>
    <x:n v="1"/>
    <x:s v="PRECISA LN"/>
    <x:s v="POR ASIGNAR"/>
    <x:s v="INSTITUTO MEDICO QUIRURGICO AREQUIPA S.A"/>
    <x:s v="L.NORTE"/>
    <x:s v="BGALLOSA"/>
    <x:n v="135.59"/>
    <x:s v="LN. EXAMENES"/>
    <x:s v="CIAS. DE SEGURO"/>
    <x:s v="NORTE"/>
    <x:n v="992903716"/>
    <x:s v="191-91415089071"/>
    <x:n v="30"/>
  </x:r>
  <x:r>
    <x:d v="2026-08-10T00:00:00Z"/>
    <x:x v="2"/>
    <x:s v="103669"/>
    <x:s v="FA"/>
    <x:s v="577"/>
    <x:s v="CO"/>
    <x:s v="FA-577"/>
    <x:s v="GOMEZ RAMIREZ JEAN PIERO CHRISTOPH"/>
    <x:s v="75857774"/>
    <x:s v="RAMOS COOPER SHIRLEY IVONNE"/>
    <x:s v="HOSPITAL NAVAL"/>
    <x:s v="CRISTINA"/>
    <x:s v="0072398"/>
    <x:s v="949735823"/>
    <x:s v="ANTOFE CONSTRUCCION &amp; SERVICIOS S.A.C."/>
    <x:s v="90609"/>
    <x:x v="1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n v="980702810"/>
    <x:s v="166-3067691171"/>
    <x:n v="30"/>
  </x:r>
  <x:r>
    <x:d v="2026-08-10T00:00:00Z"/>
    <x:x v="2"/>
    <x:s v="103673"/>
    <x:s v="BO"/>
    <x:s v="12241"/>
    <x:s v="CO"/>
    <x:s v="BO-12241"/>
    <x:s v="CONDEZO GOMEZ MARIA"/>
    <x:s v="06746640"/>
    <x:s v="LOPEZ ESPINOZA JHON"/>
    <x:m/>
    <x:s v="CRISTINA"/>
    <x:s v="0072397"/>
    <x:s v="933669092"/>
    <x:s v="CONDEZO GOMEZ MARIA"/>
    <x:s v="90611"/>
    <x:x v="0"/>
    <x:n v="1"/>
    <x:s v="PRECISA"/>
    <x:s v="INSTITUTO MEDICO QUIRURGICO AREQUIPA S.A"/>
    <x:s v="INSTITUTO MEDICO QUIRURGICO AREQUIPA S.A"/>
    <x:s v="L.CENTRO"/>
    <x:s v="LMAGAN"/>
    <x:n v="169.49"/>
    <x:s v="LN. EXAMENES"/>
    <x:s v="CIAS. DE SEGURO"/>
    <x:s v="CENTRO"/>
    <x:m/>
    <x:s v="191-38880905040"/>
    <x:n v="50"/>
  </x:r>
  <x:r>
    <x:d v="2026-08-10T00:00:00Z"/>
    <x:x v="2"/>
    <x:s v="103720"/>
    <x:s v="BO"/>
    <x:s v="407"/>
    <x:s v="CO"/>
    <x:s v="BO-407"/>
    <x:s v="TITO MAYS FLOR JENNY"/>
    <x:s v="22508164"/>
    <x:s v="RODRIGUEZ RIVERO DARLEN"/>
    <x:s v="HOSPITAL CAYETANO HEREDIA"/>
    <x:s v="CRISTINA"/>
    <x:s v="0072407"/>
    <x:s v="+51951321998"/>
    <x:s v="TITO MAYS FLOR JENNY"/>
    <x:s v="90634"/>
    <x:x v="4"/>
    <x:n v="1"/>
    <x:s v="PRECISA"/>
    <x:s v="INSTITUTO MEDICO QUIRURGICO AREQUIPA S.A"/>
    <x:s v="INSTITUTO MEDICO QUIRURGICO AREQUIPA S.A"/>
    <x:s v="L.LINCE"/>
    <x:s v="MCARDENA"/>
    <x:n v="135.59"/>
    <x:s v="LN. EXAMENES"/>
    <x:s v="CIAS. DE SEGURO"/>
    <x:s v="LINCE"/>
    <x:n v="983837511"/>
    <x:s v="191-06277655064"/>
    <x:n v="30"/>
  </x:r>
  <x:r>
    <x:d v="2026-08-11T00:00:00Z"/>
    <x:x v="2"/>
    <x:s v="103737"/>
    <x:s v="BO"/>
    <x:s v="6068"/>
    <x:s v="CO"/>
    <x:s v="BO-6068"/>
    <x:s v="GOMEZ MORGADO JEAN CARLO"/>
    <x:s v="18617645"/>
    <x:m/>
    <x:m/>
    <x:s v="CRISTINA"/>
    <x:s v="0072436"/>
    <x:s v="935418797"/>
    <x:s v="GOMEZ MORGADO JEAN CARLO"/>
    <x:s v="90663"/>
    <x:x v="16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8-11T00:00:00Z"/>
    <x:x v="2"/>
    <x:s v="103737"/>
    <x:s v="BO"/>
    <x:s v="6068"/>
    <x:s v="CO"/>
    <x:s v="BO-6068"/>
    <x:s v="GOMEZ MORGADO JEAN CARLO"/>
    <x:s v="18617645"/>
    <x:m/>
    <x:m/>
    <x:s v="CRISTINA"/>
    <x:s v="0072436"/>
    <x:s v="935418797"/>
    <x:s v="GOMEZ MORGADO JEAN CARLO"/>
    <x:s v="90663"/>
    <x:x v="17"/>
    <x:n v="1"/>
    <x:s v="PRECISA"/>
    <x:s v="INSTITUTO MEDICO QUIRURGICO AREQUIPA S.A"/>
    <x:s v="INSTITUTO MEDICO QUIRURGICO AREQUIPA S.A"/>
    <x:s v="L.CENTRO"/>
    <x:s v="ACABRERA"/>
    <x:n v="21.19"/>
    <x:s v="LN. LABORATORIO"/>
    <x:s v="CIAS. DE SEGURO"/>
    <x:s v="CENTRO"/>
    <x:m/>
    <x:m/>
    <x:m/>
  </x:r>
  <x:r>
    <x:d v="2026-08-11T00:00:00Z"/>
    <x:x v="2"/>
    <x:s v="103737"/>
    <x:s v="BO"/>
    <x:s v="6068"/>
    <x:s v="CO"/>
    <x:s v="BO-6068"/>
    <x:s v="GOMEZ MORGADO JEAN CARLO"/>
    <x:s v="18617645"/>
    <x:m/>
    <x:m/>
    <x:s v="CRISTINA"/>
    <x:s v="0072436"/>
    <x:s v="935418797"/>
    <x:s v="GOMEZ MORGADO JEAN CARLO"/>
    <x:s v="90663"/>
    <x:x v="18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8-11T00:00:00Z"/>
    <x:x v="2"/>
    <x:s v="103737"/>
    <x:s v="BO"/>
    <x:s v="6068"/>
    <x:s v="CO"/>
    <x:s v="BO-6068"/>
    <x:s v="GOMEZ MORGADO JEAN CARLO"/>
    <x:s v="18617645"/>
    <x:m/>
    <x:m/>
    <x:s v="CRISTINA"/>
    <x:s v="0072436"/>
    <x:s v="935418797"/>
    <x:s v="GOMEZ MORGADO JEAN CARLO"/>
    <x:s v="90663"/>
    <x:x v="19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8-11T00:00:00Z"/>
    <x:x v="2"/>
    <x:s v="103737"/>
    <x:s v="BO"/>
    <x:s v="6068"/>
    <x:s v="CO"/>
    <x:s v="BO-6068"/>
    <x:s v="GOMEZ MORGADO JEAN CARLO"/>
    <x:s v="18617645"/>
    <x:m/>
    <x:m/>
    <x:s v="CRISTINA"/>
    <x:s v="0072436"/>
    <x:s v="935418797"/>
    <x:s v="GOMEZ MORGADO JEAN CARLO"/>
    <x:s v="90663"/>
    <x:x v="20"/>
    <x:n v="1"/>
    <x:s v="PRECISA"/>
    <x:s v="INSTITUTO MEDICO QUIRURGICO AREQUIPA S.A"/>
    <x:s v="INSTITUTO MEDICO QUIRURGICO AREQUIPA S.A"/>
    <x:s v="L.CENTRO"/>
    <x:s v="ACABRERA"/>
    <x:n v="50.85"/>
    <x:s v="LN. LABORATORIO"/>
    <x:s v="CIAS. DE SEGURO"/>
    <x:s v="CENTRO"/>
    <x:m/>
    <x:m/>
    <x:m/>
  </x:r>
  <x:r>
    <x:d v="2026-08-11T00:00:00Z"/>
    <x:x v="2"/>
    <x:s v="103738"/>
    <x:s v="BO"/>
    <x:s v="6069"/>
    <x:s v="CO"/>
    <x:s v="BO-6069"/>
    <x:s v="GOMEZ MORGADO JEAN CARLO"/>
    <x:s v="18617645"/>
    <x:m/>
    <x:m/>
    <x:s v="CRISTINA"/>
    <x:s v="0072436"/>
    <x:s v="935418797"/>
    <x:s v="GOMEZ MORGADO JEAN CARLO"/>
    <x:s v="90664"/>
    <x:x v="15"/>
    <x:n v="1"/>
    <x:s v="PRECISA"/>
    <x:s v="INSTITUTO MEDICO QUIRURGICO AREQUIPA S.A"/>
    <x:s v="INSTITUTO MEDICO QUIRURGICO AREQUIPA S.A"/>
    <x:s v="L.CENTRO"/>
    <x:s v="ACABRERA"/>
    <x:n v="127.12"/>
    <x:s v="LN. EXAMENES"/>
    <x:s v="CIAS. DE SEGURO"/>
    <x:s v="CENTRO"/>
    <x:m/>
    <x:m/>
    <x:m/>
  </x:r>
  <x:r>
    <x:d v="2026-08-11T00:00:00Z"/>
    <x:x v="2"/>
    <x:s v="103740"/>
    <x:s v="BO"/>
    <x:s v="6070"/>
    <x:s v="CO"/>
    <x:s v="BO-6070"/>
    <x:s v="GOMEZ MORGADO JEAN CARLO"/>
    <x:s v="18617645"/>
    <x:m/>
    <x:m/>
    <x:s v="CRISTINA"/>
    <x:s v="0072436"/>
    <x:s v="935418797"/>
    <x:s v="GOMEZ MORGADO JEAN CARLO"/>
    <x:s v="90665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m/>
    <x:m/>
    <x:m/>
  </x:r>
  <x:r>
    <x:d v="2026-08-11T00:00:00Z"/>
    <x:x v="2"/>
    <x:s v="103774"/>
    <x:s v="BO"/>
    <x:s v="12258"/>
    <x:s v="CO"/>
    <x:s v="BO-12258"/>
    <x:s v="LOYA JACO EUSTAQUIA"/>
    <x:s v="07671188"/>
    <x:s v="HUAMAN RIOS LUIS ENRIQUE"/>
    <x:s v="HOSPITAL SERGIO BERNALES"/>
    <x:s v="CRISTINA"/>
    <x:s v="0072454"/>
    <x:s v="999294782"/>
    <x:s v="LOYA JACO EUSTAQUIA"/>
    <x:s v="90700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99986041"/>
    <x:s v="191-30583545068"/>
    <x:n v="30"/>
  </x:r>
  <x:r>
    <x:d v="2026-08-11T00:00:00Z"/>
    <x:x v="2"/>
    <x:s v="103774"/>
    <x:s v="BO"/>
    <x:s v="12258"/>
    <x:s v="CO"/>
    <x:s v="BO-12258"/>
    <x:s v="LOYA JACO EUSTAQUIA"/>
    <x:s v="07671188"/>
    <x:s v="HUAMAN RIOS LUIS ENRIQUE"/>
    <x:s v="HOSPITAL SERGIO BERNALES"/>
    <x:s v="CRISTINA"/>
    <x:s v="0072454"/>
    <x:s v="999294782"/>
    <x:s v="LOYA JACO EUSTAQUIA"/>
    <x:s v="90700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99986041"/>
    <x:s v="191-30583545068"/>
    <x:n v="30"/>
  </x:r>
  <x:r>
    <x:d v="2026-08-11T00:00:00Z"/>
    <x:x v="2"/>
    <x:s v="103785"/>
    <x:s v="BO"/>
    <x:s v="12260"/>
    <x:s v="CO"/>
    <x:s v="BO-12260"/>
    <x:s v="NICHO CUICAPUSA NORMA ADELA"/>
    <x:s v="08206206"/>
    <x:s v="PACHAS CHURA LIDIA VANESSA"/>
    <x:s v="HOSPITAL SABOGAL"/>
    <x:s v="CRISTINA"/>
    <x:s v="0072459"/>
    <x:s v="948055810"/>
    <x:s v="NICHO CUICAPUSA NORMA ADELA"/>
    <x:s v="90705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90080724"/>
    <x:s v="0011-0467-0200078608"/>
    <x:n v="30"/>
  </x:r>
  <x:r>
    <x:d v="2026-08-11T00:00:00Z"/>
    <x:x v="2"/>
    <x:s v="103785"/>
    <x:s v="BO"/>
    <x:s v="12260"/>
    <x:s v="CO"/>
    <x:s v="BO-12260"/>
    <x:s v="NICHO CUICAPUSA NORMA ADELA"/>
    <x:s v="08206206"/>
    <x:s v="PACHAS CHURA LIDIA VANESSA"/>
    <x:s v="HOSPITAL SABOGAL"/>
    <x:s v="CRISTINA"/>
    <x:s v="0072459"/>
    <x:s v="948055810"/>
    <x:s v="NICHO CUICAPUSA NORMA ADELA"/>
    <x:s v="90705"/>
    <x:x v="5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90080724"/>
    <x:s v="0011-0467-0200078608"/>
    <x:n v="30"/>
  </x:r>
  <x:r>
    <x:d v="2026-08-11T00:00:00Z"/>
    <x:x v="2"/>
    <x:s v="103787"/>
    <x:s v="BO"/>
    <x:s v="4402"/>
    <x:s v="CO"/>
    <x:s v="BO-4402"/>
    <x:s v="FLORES MACEDO DE MARTINEZ AZALIA"/>
    <x:s v="07569338"/>
    <x:s v="ROJAS AQUINO EVELING KARINA"/>
    <x:s v="POLICLÍNICO ESPÍRITU SANTO"/>
    <x:s v="CRISTINA"/>
    <x:s v="0072462"/>
    <x:s v="981557844"/>
    <x:s v="FLORES MACEDO DE MARTINEZ AZALIA"/>
    <x:s v="90707"/>
    <x:x v="0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n v="955356636"/>
    <x:s v="009-3226956615"/>
    <x:n v="50"/>
  </x:r>
  <x:r>
    <x:d v="2026-08-11T00:00:00Z"/>
    <x:x v="2"/>
    <x:s v="103788"/>
    <x:s v="FA"/>
    <x:s v="1084"/>
    <x:s v="CO"/>
    <x:s v="FA-1084"/>
    <x:s v="ORTIZ SANCHEZ VICENTE"/>
    <x:s v="25812336"/>
    <x:s v="TANAKA LUIS"/>
    <x:m/>
    <x:s v="CRISTINA"/>
    <x:s v="0072449"/>
    <x:s v="988423138"/>
    <x:s v="JDO INVERSIONES MEDICAS S.A.C."/>
    <x:s v="90708"/>
    <x:x v="33"/>
    <x:n v="1"/>
    <x:s v="PRECISA"/>
    <x:s v="INSTITUTO MEDICO QUIRURGICO AREQUIPA S.A"/>
    <x:s v="INSTITUTO MEDICO QUIRURGICO AREQUIPA S.A"/>
    <x:s v="L.CENTRO"/>
    <x:s v="LMAGAN"/>
    <x:n v="152.54"/>
    <x:s v="LN. PROCEDIMIENTO"/>
    <x:s v="CIAS. DE SEGURO"/>
    <x:s v="CENTRO"/>
    <x:m/>
    <x:m/>
    <x:m/>
  </x:r>
  <x:r>
    <x:d v="2026-08-11T00:00:00Z"/>
    <x:x v="2"/>
    <x:s v="103793"/>
    <x:s v="BO"/>
    <x:s v="4403"/>
    <x:s v="CO"/>
    <x:s v="BO-4403"/>
    <x:s v="VILLANUEVA VALVERDE ADRIANA CRISTINA"/>
    <x:s v="25444469"/>
    <x:s v="JAVE ESCALANTE LIZETH"/>
    <x:s v="HOSPITAL LOAYZA"/>
    <x:s v="CRISTINA"/>
    <x:s v="0072466"/>
    <x:s v="999189335"/>
    <x:s v="VILLANUEVA VALVERDE ADRIANA CRISTINA"/>
    <x:s v="90710"/>
    <x:x v="2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n v="999111362"/>
    <x:s v="200-3076497260"/>
    <x:n v="50"/>
  </x:r>
  <x:r>
    <x:d v="2026-08-11T00:00:00Z"/>
    <x:x v="2"/>
    <x:s v="103854"/>
    <x:s v="BO"/>
    <x:s v="12267"/>
    <x:s v="CO"/>
    <x:s v="BO-12267"/>
    <x:s v="QUIJANO MEJIA DE VIDAL RITA FAURA"/>
    <x:s v="06185777"/>
    <x:s v="PONCE TORRES YANISEY"/>
    <x:m/>
    <x:s v="CRISTINA"/>
    <x:s v="0071397"/>
    <x:s v="991456955"/>
    <x:s v="QUIJANO MEJIA DE VIDAL RITA FAURA"/>
    <x:s v="89061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s v="193-13173124085"/>
    <x:n v="30"/>
  </x:r>
  <x:r>
    <x:d v="2026-08-12T00:00:00Z"/>
    <x:x v="2"/>
    <x:s v="103890"/>
    <x:s v="BO"/>
    <x:s v="12273"/>
    <x:s v="CO"/>
    <x:s v="BO-12273"/>
    <x:s v="ALVAREZ CHAVEZ HUBERT"/>
    <x:s v="40400731"/>
    <x:s v="LEON SUAREZ LUIS"/>
    <x:m/>
    <x:s v="CRISTINA"/>
    <x:s v="0050342"/>
    <x:s v="959965071"/>
    <x:s v="ALVAREZ CHAVEZ HUBERT"/>
    <x:s v="90769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8-12T00:00:00Z"/>
    <x:x v="2"/>
    <x:s v="103927"/>
    <x:s v="BO"/>
    <x:s v="12276"/>
    <x:s v="CO"/>
    <x:s v="BO-12276"/>
    <x:s v="ARANGO TABOADA EFE JUAN GUALBERTO"/>
    <x:s v="06849741"/>
    <x:s v="HUAMAN GONZALEZ JORGE ANTONIO"/>
    <x:s v="POLICLINICO SAN JUAN DE MIRAFLORES"/>
    <x:s v="CRISTINA"/>
    <x:s v="0054184"/>
    <x:s v="945060166"/>
    <x:s v="ARANGO TABOADA EFE JUAN GUALBERTO"/>
    <x:s v="90812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80543337"/>
    <x:s v="193-76554045016"/>
    <x:n v="30"/>
  </x:r>
  <x:r>
    <x:d v="2026-08-12T00:00:00Z"/>
    <x:x v="2"/>
    <x:s v="103927"/>
    <x:s v="BO"/>
    <x:s v="12276"/>
    <x:s v="CO"/>
    <x:s v="BO-12276"/>
    <x:s v="ARANGO TABOADA EFE JUAN GUALBERTO"/>
    <x:s v="06849741"/>
    <x:s v="HUAMAN GONZALEZ JORGE ANTONIO"/>
    <x:s v="POLICLINICO SAN JUAN DE MIRAFLORES"/>
    <x:s v="CRISTINA"/>
    <x:s v="0054184"/>
    <x:s v="945060166"/>
    <x:s v="ARANGO TABOADA EFE JUAN GUALBERTO"/>
    <x:s v="90812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80543337"/>
    <x:s v="193-76554045016"/>
    <x:n v="30"/>
  </x:r>
  <x:r>
    <x:d v="2026-08-12T00:00:00Z"/>
    <x:x v="2"/>
    <x:s v="103962"/>
    <x:s v="BO"/>
    <x:s v="6094"/>
    <x:s v="CO"/>
    <x:s v="BO-6094"/>
    <x:s v="MARTINEZ SOPLIN MICAELA"/>
    <x:s v="04522025"/>
    <x:s v="BACA CHAVEZ MERCEDES"/>
    <x:s v="CONSULTORIO PARTICULAR"/>
    <x:s v="CRISTINA"/>
    <x:s v="0072518"/>
    <x:s v="992267851"/>
    <x:s v="MARTINEZ SOPLIN MICAELA"/>
    <x:s v="90841"/>
    <x:x v="1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n v="944212985"/>
    <x:m/>
    <x:n v="30"/>
  </x:r>
  <x:r>
    <x:d v="2026-08-12T00:00:00Z"/>
    <x:x v="2"/>
    <x:s v="103984"/>
    <x:s v="BO"/>
    <x:s v="4908"/>
    <x:s v="CO"/>
    <x:s v="BO-4908"/>
    <x:s v="NEVES GARCIA JUAN FERNANDO"/>
    <x:s v="08604575"/>
    <x:s v="ENCISO QUILLA KARIN"/>
    <x:s v="SISOL DE LOS OLIVOS"/>
    <x:s v="CRISTINA"/>
    <x:s v="0009916"/>
    <x:s v="950418896"/>
    <x:s v="ENCISO QUILLA KARIN"/>
    <x:s v="90849"/>
    <x:x v="9"/>
    <x:n v="1"/>
    <x:s v="PRECISA LN"/>
    <x:s v="POR ASIGNAR"/>
    <x:s v="INSTITUTO MEDICO QUIRURGICO AREQUIPA S.A"/>
    <x:s v="L.NORTE"/>
    <x:s v="AALARCON"/>
    <x:n v="0"/>
    <x:s v="LN. CIRUGIA"/>
    <x:s v="CIAS. DE SEGURO"/>
    <x:s v="NORTE"/>
    <x:n v="950418896"/>
    <x:m/>
    <x:m/>
  </x:r>
  <x:r>
    <x:d v="2026-08-12T00:00:00Z"/>
    <x:x v="2"/>
    <x:s v="103984"/>
    <x:s v="BO"/>
    <x:s v="4908"/>
    <x:s v="CO"/>
    <x:s v="BO-4908"/>
    <x:s v="NEVES GARCIA JUAN FERNANDO"/>
    <x:s v="08604575"/>
    <x:s v="ENCISO QUILLA KARIN"/>
    <x:s v="SISOL DE LOS OLIVOS"/>
    <x:s v="CRISTINA"/>
    <x:s v="0009916"/>
    <x:s v="950418896"/>
    <x:s v="ENCISO QUILLA KARIN"/>
    <x:s v="90849"/>
    <x:x v="30"/>
    <x:n v="1"/>
    <x:s v="PRECISA LN"/>
    <x:s v="POR ASIGNAR"/>
    <x:s v="INSTITUTO MEDICO QUIRURGICO AREQUIPA S.A"/>
    <x:s v="L.NORTE"/>
    <x:s v="AALARCON"/>
    <x:n v="139.83"/>
    <x:s v="LN. CIRUGIA"/>
    <x:s v="CIAS. DE SEGURO"/>
    <x:s v="NORTE"/>
    <x:n v="950418896"/>
    <x:m/>
    <x:m/>
  </x:r>
  <x:r>
    <x:d v="2026-08-13T00:00:00Z"/>
    <x:x v="2"/>
    <x:s v="104029"/>
    <x:s v="BO"/>
    <x:s v="6102"/>
    <x:s v="CO"/>
    <x:s v="BO-6102"/>
    <x:s v="ACUÑA OROSCO DE GONZALES MARGARITA"/>
    <x:s v="31123215"/>
    <x:s v="FIERRO LEANDRO"/>
    <x:s v="POLICLÍNICO DIVINO NIÑO JESÚS"/>
    <x:s v="CRISTINA"/>
    <x:s v="0072500"/>
    <x:s v="920185385"/>
    <x:s v="ACUÑA OROSCO DE GONZALES MARGARITA"/>
    <x:s v="90902"/>
    <x:x v="16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8-13T00:00:00Z"/>
    <x:x v="2"/>
    <x:s v="104029"/>
    <x:s v="BO"/>
    <x:s v="6102"/>
    <x:s v="CO"/>
    <x:s v="BO-6102"/>
    <x:s v="ACUÑA OROSCO DE GONZALES MARGARITA"/>
    <x:s v="31123215"/>
    <x:s v="FIERRO LEANDRO"/>
    <x:s v="POLICLÍNICO DIVINO NIÑO JESÚS"/>
    <x:s v="CRISTINA"/>
    <x:s v="0072500"/>
    <x:s v="920185385"/>
    <x:s v="ACUÑA OROSCO DE GONZALES MARGARITA"/>
    <x:s v="90902"/>
    <x:x v="17"/>
    <x:n v="1"/>
    <x:s v="PRECISA"/>
    <x:s v="INSTITUTO MEDICO QUIRURGICO AREQUIPA S.A"/>
    <x:s v="INSTITUTO MEDICO QUIRURGICO AREQUIPA S.A"/>
    <x:s v="L.CENTRO"/>
    <x:s v="ACABRERA"/>
    <x:n v="21.19"/>
    <x:s v="LN. LABORATORIO"/>
    <x:s v="CIAS. DE SEGURO"/>
    <x:s v="CENTRO"/>
    <x:m/>
    <x:m/>
    <x:m/>
  </x:r>
  <x:r>
    <x:d v="2026-08-13T00:00:00Z"/>
    <x:x v="2"/>
    <x:s v="104029"/>
    <x:s v="BO"/>
    <x:s v="6102"/>
    <x:s v="CO"/>
    <x:s v="BO-6102"/>
    <x:s v="ACUÑA OROSCO DE GONZALES MARGARITA"/>
    <x:s v="31123215"/>
    <x:s v="FIERRO LEANDRO"/>
    <x:s v="POLICLÍNICO DIVINO NIÑO JESÚS"/>
    <x:s v="CRISTINA"/>
    <x:s v="0072500"/>
    <x:s v="920185385"/>
    <x:s v="ACUÑA OROSCO DE GONZALES MARGARITA"/>
    <x:s v="90902"/>
    <x:x v="18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8-13T00:00:00Z"/>
    <x:x v="2"/>
    <x:s v="104029"/>
    <x:s v="BO"/>
    <x:s v="6102"/>
    <x:s v="CO"/>
    <x:s v="BO-6102"/>
    <x:s v="ACUÑA OROSCO DE GONZALES MARGARITA"/>
    <x:s v="31123215"/>
    <x:s v="FIERRO LEANDRO"/>
    <x:s v="POLICLÍNICO DIVINO NIÑO JESÚS"/>
    <x:s v="CRISTINA"/>
    <x:s v="0072500"/>
    <x:s v="920185385"/>
    <x:s v="ACUÑA OROSCO DE GONZALES MARGARITA"/>
    <x:s v="90902"/>
    <x:x v="19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8-13T00:00:00Z"/>
    <x:x v="2"/>
    <x:s v="104029"/>
    <x:s v="BO"/>
    <x:s v="6102"/>
    <x:s v="CO"/>
    <x:s v="BO-6102"/>
    <x:s v="ACUÑA OROSCO DE GONZALES MARGARITA"/>
    <x:s v="31123215"/>
    <x:s v="FIERRO LEANDRO"/>
    <x:s v="POLICLÍNICO DIVINO NIÑO JESÚS"/>
    <x:s v="CRISTINA"/>
    <x:s v="0072500"/>
    <x:s v="920185385"/>
    <x:s v="ACUÑA OROSCO DE GONZALES MARGARITA"/>
    <x:s v="90902"/>
    <x:x v="20"/>
    <x:n v="1"/>
    <x:s v="PRECISA"/>
    <x:s v="INSTITUTO MEDICO QUIRURGICO AREQUIPA S.A"/>
    <x:s v="INSTITUTO MEDICO QUIRURGICO AREQUIPA S.A"/>
    <x:s v="L.CENTRO"/>
    <x:s v="ACABRERA"/>
    <x:n v="50.85"/>
    <x:s v="LN. LABORATORIO"/>
    <x:s v="CIAS. DE SEGURO"/>
    <x:s v="CENTRO"/>
    <x:m/>
    <x:m/>
    <x:m/>
  </x:r>
  <x:r>
    <x:d v="2026-08-13T00:00:00Z"/>
    <x:x v="2"/>
    <x:s v="104030"/>
    <x:s v="BO"/>
    <x:s v="6103"/>
    <x:s v="CO"/>
    <x:s v="BO-6103"/>
    <x:s v="ACUÑA OROSCO DE GONZALES MARGARITA"/>
    <x:s v="31123215"/>
    <x:s v="FIERRO LEANDRO"/>
    <x:s v="POLICLÍNICO DIVINO NIÑO JESÚS"/>
    <x:s v="CRISTINA"/>
    <x:s v="0072500"/>
    <x:s v="920185385"/>
    <x:s v="ACUÑA OROSCO DE GONZALES MARGARITA"/>
    <x:s v="90903"/>
    <x:x v="15"/>
    <x:n v="1"/>
    <x:s v="PRECISA"/>
    <x:s v="INSTITUTO MEDICO QUIRURGICO AREQUIPA S.A"/>
    <x:s v="INSTITUTO MEDICO QUIRURGICO AREQUIPA S.A"/>
    <x:s v="L.CENTRO"/>
    <x:s v="ACABRERA"/>
    <x:n v="127.12"/>
    <x:s v="LN. EXAMENES"/>
    <x:s v="CIAS. DE SEGURO"/>
    <x:s v="CENTRO"/>
    <x:m/>
    <x:m/>
    <x:m/>
  </x:r>
  <x:r>
    <x:d v="2026-08-13T00:00:00Z"/>
    <x:x v="2"/>
    <x:s v="104031"/>
    <x:s v="BO"/>
    <x:s v="6104"/>
    <x:s v="CO"/>
    <x:s v="BO-6104"/>
    <x:s v="ACUÑA OROSCO DE GONZALES MARGARITA"/>
    <x:s v="31123215"/>
    <x:s v="FIERRO LEANDRO"/>
    <x:s v="POLICLÍNICO DIVINO NIÑO JESÚS"/>
    <x:s v="CRISTINA"/>
    <x:s v="0072500"/>
    <x:s v="920185385"/>
    <x:s v="ACUÑA OROSCO DE GONZALES MARGARITA"/>
    <x:s v="90904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m/>
    <x:m/>
    <x:m/>
  </x:r>
  <x:r>
    <x:d v="2026-08-13T00:00:00Z"/>
    <x:x v="2"/>
    <x:s v="104034"/>
    <x:s v="BO"/>
    <x:s v="12284"/>
    <x:s v="CO"/>
    <x:s v="BO-12284"/>
    <x:s v="BAILON VASQUEZ BETSABE"/>
    <x:s v="48619707"/>
    <x:s v="ORNA ACOSTA JORGE AQUILES"/>
    <x:s v="HOSPITAL LOAYZA"/>
    <x:s v="CRISTINA"/>
    <x:s v="0072549"/>
    <x:s v="96972619"/>
    <x:s v="BAILON VASQUEZ BETSABE"/>
    <x:s v="90907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99996347"/>
    <x:s v="052-7510523"/>
    <x:n v="50"/>
  </x:r>
  <x:r>
    <x:d v="2026-08-13T00:00:00Z"/>
    <x:x v="2"/>
    <x:s v="104057"/>
    <x:s v="BO"/>
    <x:s v="6108"/>
    <x:s v="CO"/>
    <x:s v="BO-6108"/>
    <x:s v="ARO RAFAELA DE PAZOS MAGDALENA JUSTINA"/>
    <x:s v="15649921"/>
    <x:m/>
    <x:m/>
    <x:s v="CRISTINA"/>
    <x:s v="0072553"/>
    <x:s v="985469921"/>
    <x:s v="ARO RAFAELA DE PAZOS MAGDALENA JUSTINA"/>
    <x:s v="90925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m/>
    <x:m/>
    <x:m/>
  </x:r>
  <x:r>
    <x:d v="2026-08-13T00:00:00Z"/>
    <x:x v="2"/>
    <x:s v="104061"/>
    <x:s v="BO"/>
    <x:s v="6110"/>
    <x:s v="CO"/>
    <x:s v="BO-6110"/>
    <x:s v="TORRES BUSTAMANTE JUANA"/>
    <x:s v="33782970"/>
    <x:s v="AGRAMONTE ZEA EDILBERTO"/>
    <x:s v="HOSPITAL DE LA SOLIDARIDAD SJL"/>
    <x:s v="CRISTINA"/>
    <x:s v="0059021"/>
    <x:s v="942278384"/>
    <x:s v="TORRES BUSTAMANTE JUANA"/>
    <x:s v="90930"/>
    <x:x v="0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n v="987407712"/>
    <x:s v="0011-0190-0200333106"/>
    <x:n v="50"/>
  </x:r>
  <x:r>
    <x:d v="2026-08-13T00:00:00Z"/>
    <x:x v="2"/>
    <x:s v="104065"/>
    <x:s v="BO"/>
    <x:s v="12293"/>
    <x:s v="CO"/>
    <x:s v="BO-12293"/>
    <x:s v="RUIZ PACCO ALBERTO"/>
    <x:s v="00059278"/>
    <x:s v="HUARANGA RUIZ CORNEJO JORGE ERNESTO"/>
    <x:s v="HOSPITAL MONGRUT"/>
    <x:s v="CRISTINA"/>
    <x:s v="0072558"/>
    <x:s v="947769091"/>
    <x:s v="RUIZ PACCO ALBERTO"/>
    <x:s v="90932"/>
    <x:x v="1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45319366"/>
    <x:s v="194-94066798065"/>
    <x:n v="30"/>
  </x:r>
  <x:r>
    <x:d v="2026-08-13T00:00:00Z"/>
    <x:x v="2"/>
    <x:s v="104071"/>
    <x:s v="BO"/>
    <x:s v="12294"/>
    <x:s v="CO"/>
    <x:s v="BO-12294"/>
    <x:s v="LOPEZ SAAVEDRA KEVIN"/>
    <x:s v="76775008"/>
    <x:s v="MARIN CHAVEZ JUAN JOSE"/>
    <x:s v="HOSPITAL DE LA MARINA"/>
    <x:s v="CRISTINA"/>
    <x:s v="0072560"/>
    <x:s v="966356472"/>
    <x:s v="LOPEZ SAAVEDRA KEVIN"/>
    <x:s v="90937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87483056"/>
    <x:m/>
    <x:n v="50"/>
  </x:r>
  <x:r>
    <x:d v="2026-08-13T00:00:00Z"/>
    <x:x v="2"/>
    <x:s v="104089"/>
    <x:s v="BO"/>
    <x:s v="6111"/>
    <x:s v="CO"/>
    <x:s v="BO-6111"/>
    <x:s v="FRISANCHO HILARIO EDUARDO JAVIER"/>
    <x:s v="77692774"/>
    <x:s v="PONCE TORRES YANISEY"/>
    <x:m/>
    <x:s v="CRISTINA"/>
    <x:s v="0072554"/>
    <x:s v="963320418"/>
    <x:s v="FRISANCHO HILARIO EDUARDO JAVIER"/>
    <x:s v="90927"/>
    <x:x v="8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s v="193-13173124085"/>
    <x:n v="30"/>
  </x:r>
  <x:r>
    <x:d v="2026-08-14T00:00:00Z"/>
    <x:x v="2"/>
    <x:s v="104133"/>
    <x:s v="BO"/>
    <x:s v="6112"/>
    <x:s v="CO"/>
    <x:s v="BO-6112"/>
    <x:s v="PICHINI MULLUNI DIONICIA"/>
    <x:s v="10375696"/>
    <x:s v="JAVE ESCALANTE LIZETH"/>
    <x:s v="HOSPITAL LOAYZA"/>
    <x:s v="CRISTINA"/>
    <x:s v="0072585"/>
    <x:s v="999505405"/>
    <x:s v="PICHINI MULLUNI DIONICIA"/>
    <x:s v="90981"/>
    <x:x v="2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n v="999111362"/>
    <x:s v="200-3076497260"/>
    <x:n v="50"/>
  </x:r>
  <x:r>
    <x:d v="2026-08-14T00:00:00Z"/>
    <x:x v="2"/>
    <x:s v="104151"/>
    <x:s v="BO"/>
    <x:s v="12303"/>
    <x:s v="CO"/>
    <x:s v="BO-12303"/>
    <x:s v="OCHOA QUIROZ GERSON ALDO"/>
    <x:s v="75823130"/>
    <x:s v="SANCHEZ CUEVA SERGIO"/>
    <x:m/>
    <x:s v="CRISTINA"/>
    <x:s v="0072591"/>
    <x:s v="982917752"/>
    <x:s v="OCHOA QUIROZ GERSON ALDO"/>
    <x:s v="91006"/>
    <x:x v="21"/>
    <x:n v="1"/>
    <x:s v="PRECISA"/>
    <x:s v="INSTITUTO MEDICO QUIRURGICO AREQUIPA S.A"/>
    <x:s v="INSTITUTO MEDICO QUIRURGICO AREQUIPA S.A"/>
    <x:s v="L.CENTRO"/>
    <x:s v="LMAGAN"/>
    <x:n v="338.98"/>
    <x:s v="LN. EXAMENES"/>
    <x:s v="CIAS. DE SEGURO"/>
    <x:s v="CENTRO"/>
    <x:m/>
    <x:m/>
    <x:n v="100"/>
  </x:r>
  <x:r>
    <x:d v="2026-08-14T00:00:00Z"/>
    <x:x v="2"/>
    <x:s v="104159"/>
    <x:s v="FA"/>
    <x:s v="585"/>
    <x:s v="CO"/>
    <x:s v="FA-585"/>
    <x:s v="FLORES YANAVILCA MARILU"/>
    <x:s v="16139638"/>
    <x:s v="PALACIOS URIBE PAMELA CAROLINA"/>
    <x:m/>
    <x:s v="CRISTINA"/>
    <x:s v="0064953"/>
    <x:s v="47857854"/>
    <x:s v="GRUPO MVP S.A.C."/>
    <x:s v="90713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8-14T00:00:00Z"/>
    <x:x v="2"/>
    <x:s v="104159"/>
    <x:s v="FA"/>
    <x:s v="585"/>
    <x:s v="CO"/>
    <x:s v="FA-585"/>
    <x:s v="FLORES YANAVILCA MARILU"/>
    <x:s v="16139638"/>
    <x:s v="PALACIOS URIBE PAMELA CAROLINA"/>
    <x:m/>
    <x:s v="CRISTINA"/>
    <x:s v="0064953"/>
    <x:s v="47857854"/>
    <x:s v="GRUPO MVP S.A.C."/>
    <x:s v="90713"/>
    <x:x v="29"/>
    <x:n v="1"/>
    <x:s v="PRECISA"/>
    <x:s v="INSTITUTO MEDICO QUIRURGICO AREQUIPA S.A"/>
    <x:s v="INSTITUTO MEDICO QUIRURGICO AREQUIPA S.A"/>
    <x:s v="L.CENTRO"/>
    <x:s v="ACABRERA"/>
    <x:n v="139.83"/>
    <x:s v="LN. CIRUGIA"/>
    <x:s v="CIAS. DE SEGURO"/>
    <x:s v="CENTRO"/>
    <x:m/>
    <x:m/>
    <x:m/>
  </x:r>
  <x:r>
    <x:d v="2026-08-14T00:00:00Z"/>
    <x:x v="2"/>
    <x:s v="104162"/>
    <x:s v="FA"/>
    <x:s v="586"/>
    <x:s v="CO"/>
    <x:s v="FA-586"/>
    <x:s v="ARO RAFAELA DE PAZOS MAGDALENA JUSTINA"/>
    <x:s v="15649921"/>
    <x:m/>
    <x:m/>
    <x:s v="CRISTINA"/>
    <x:s v="0072553"/>
    <x:s v="985469921"/>
    <x:s v="GRUPO MEDICO INTEGRAL SOCIEDAD ANONIMA CERRADA"/>
    <x:s v="90973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8-14T00:00:00Z"/>
    <x:x v="2"/>
    <x:s v="104162"/>
    <x:s v="FA"/>
    <x:s v="586"/>
    <x:s v="CO"/>
    <x:s v="FA-586"/>
    <x:s v="ARO RAFAELA DE PAZOS MAGDALENA JUSTINA"/>
    <x:s v="15649921"/>
    <x:m/>
    <x:m/>
    <x:s v="CRISTINA"/>
    <x:s v="0072553"/>
    <x:s v="985469921"/>
    <x:s v="GRUPO MEDICO INTEGRAL SOCIEDAD ANONIMA CERRADA"/>
    <x:s v="90973"/>
    <x:x v="10"/>
    <x:n v="1"/>
    <x:s v="PRECISA"/>
    <x:s v="INSTITUTO MEDICO QUIRURGICO AREQUIPA S.A"/>
    <x:s v="INSTITUTO MEDICO QUIRURGICO AREQUIPA S.A"/>
    <x:s v="L.CENTRO"/>
    <x:s v="ACABRERA"/>
    <x:n v="1525.42"/>
    <x:s v="LN. CIRUGIA"/>
    <x:s v="CIAS. DE SEGURO"/>
    <x:s v="CENTRO"/>
    <x:m/>
    <x:m/>
    <x:m/>
  </x:r>
  <x:r>
    <x:d v="2026-08-14T00:00:00Z"/>
    <x:x v="2"/>
    <x:s v="104186"/>
    <x:s v="BO"/>
    <x:s v="6117"/>
    <x:s v="CO"/>
    <x:s v="BO-6117"/>
    <x:s v="DE LA CRUZ YUPANQUI CARLOS LEONCIO"/>
    <x:s v="42308337"/>
    <x:s v="ACOSTA VIERA ALVARO"/>
    <x:s v="CONSULTORIO PARTICULAR"/>
    <x:s v="CRISTINA"/>
    <x:s v="0072587"/>
    <x:s v="958500043"/>
    <x:s v="DE LA CRUZ YUPANQUI CARLOS LEONCIO"/>
    <x:s v="91032"/>
    <x:x v="21"/>
    <x:n v="1"/>
    <x:s v="PRECISA"/>
    <x:s v="INSTITUTO MEDICO QUIRURGICO AREQUIPA S.A"/>
    <x:s v="INSTITUTO MEDICO QUIRURGICO AREQUIPA S.A"/>
    <x:s v="L.CENTRO"/>
    <x:s v="ACABRERA"/>
    <x:n v="338.98"/>
    <x:s v="LN. EXAMENES"/>
    <x:s v="CIAS. DE SEGURO"/>
    <x:s v="CENTRO"/>
    <x:n v="969791876"/>
    <x:s v="0011-0814-0256063048"/>
    <x:n v="100"/>
  </x:r>
  <x:r>
    <x:d v="2026-08-15T00:00:00Z"/>
    <x:x v="2"/>
    <x:s v="104293"/>
    <x:s v="BO"/>
    <x:s v="12327"/>
    <x:s v="CO"/>
    <x:s v="BO-12327"/>
    <x:s v="LUNA LOVON GENARA"/>
    <x:s v="48606629"/>
    <x:s v="GUTARRA PAUCAR JULIA KARINA"/>
    <x:s v="CLÍNICA SAN CAMILO"/>
    <x:s v="CRISTINA"/>
    <x:s v="0072652"/>
    <x:s v="987305241"/>
    <x:s v="LUNA LOVON GENARA"/>
    <x:s v="91117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82673362"/>
    <x:s v="0011-0353-0200308107"/>
    <x:n v="30"/>
  </x:r>
  <x:r>
    <x:d v="2026-08-15T00:00:00Z"/>
    <x:x v="2"/>
    <x:s v="104337"/>
    <x:s v="BO"/>
    <x:s v="6132"/>
    <x:s v="CO"/>
    <x:s v="BO-6132"/>
    <x:s v="RUIZ MARTINEZ JOSE DEL CARMEN"/>
    <x:s v="06174846"/>
    <x:s v="TERAN SANCHEZ GUILLERMO ALFONSO"/>
    <x:s v="HOSPITAL LOAYZA"/>
    <x:s v="CRISTINA"/>
    <x:s v="0072659"/>
    <x:s v="941920004"/>
    <x:s v="RUIZ MARTINEZ JOSE DEL CARMEN"/>
    <x:s v="91151"/>
    <x:x v="7"/>
    <x:n v="1"/>
    <x:s v="PRECISA"/>
    <x:s v="INSTITUTO MEDICO QUIRURGICO AREQUIPA S.A"/>
    <x:s v="INSTITUTO MEDICO QUIRURGICO AREQUIPA S.A"/>
    <x:s v="L.CENTRO"/>
    <x:s v="ACABRERA"/>
    <x:n v="152.54"/>
    <x:s v="LN. EXAMENES"/>
    <x:s v="CIAS. DE SEGURO"/>
    <x:s v="CENTRO"/>
    <x:n v="993496032"/>
    <x:s v="135-3012737506"/>
    <x:n v="30"/>
  </x:r>
  <x:r>
    <x:d v="2026-08-15T00:00:00Z"/>
    <x:x v="2"/>
    <x:s v="104339"/>
    <x:s v="FA"/>
    <x:s v="587"/>
    <x:s v="CO"/>
    <x:s v="FA-587"/>
    <x:s v="CASAS CANA DE VILLAGOMEZ LAURA"/>
    <x:s v="16142437"/>
    <x:m/>
    <x:m/>
    <x:s v="CRISTINA"/>
    <x:s v="0072637"/>
    <x:s v="9321375556"/>
    <x:s v="VISION SANTA LUCIA S.A.C."/>
    <x:s v="91153"/>
    <x:x v="11"/>
    <x:n v="2"/>
    <x:s v="PRECISA"/>
    <x:s v="INSTITUTO MEDICO QUIRURGICO AREQUIPA S.A"/>
    <x:s v="INSTITUTO MEDICO QUIRURGICO AREQUIPA S.A"/>
    <x:s v="L.CENTRO"/>
    <x:s v="ACABRERA"/>
    <x:n v="203.39"/>
    <x:s v="LN. PROCEDIMIENTO"/>
    <x:s v="CIAS. DE SEGURO"/>
    <x:s v="CENTRO"/>
    <x:m/>
    <x:m/>
    <x:m/>
  </x:r>
  <x:r>
    <x:d v="2026-08-17T00:00:00Z"/>
    <x:x v="2"/>
    <x:s v="104403"/>
    <x:s v="BO"/>
    <x:s v="12341"/>
    <x:s v="CO"/>
    <x:s v="BO-12341"/>
    <x:s v="ZARATE VASQUEZ ELSA"/>
    <x:s v="08659968"/>
    <x:s v="JAVE ESCALANTE LIZETH"/>
    <x:s v="HOSPITAL LOAYZA"/>
    <x:s v="CRISTINA"/>
    <x:s v="0072681"/>
    <x:s v="945431392"/>
    <x:s v="ZARATE VASQUEZ ELSA"/>
    <x:s v="91207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99111362"/>
    <x:s v="200-3076497260"/>
    <x:n v="50"/>
  </x:r>
  <x:r>
    <x:d v="2026-08-17T00:00:00Z"/>
    <x:x v="2"/>
    <x:s v="104409"/>
    <x:s v="BO"/>
    <x:s v="4470"/>
    <x:s v="CO"/>
    <x:s v="BO-4470"/>
    <x:s v="ROSALES OCAÑA LUIS"/>
    <x:s v="32485205"/>
    <x:s v="HUAMAN RIOS LUIS ENRIQUE"/>
    <x:s v="HOSPITAL SERGIO BERNALES"/>
    <x:s v="CRISTINA"/>
    <x:s v="0067201"/>
    <x:s v="964597147"/>
    <x:s v="ROSALES OCAÑA LUIS"/>
    <x:s v="91213"/>
    <x:x v="0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n v="999986041"/>
    <x:s v="191-30583545068"/>
    <x:n v="50"/>
  </x:r>
  <x:r>
    <x:d v="2026-08-17T00:00:00Z"/>
    <x:x v="2"/>
    <x:s v="104460"/>
    <x:s v="BO"/>
    <x:s v="12348"/>
    <x:s v="CO"/>
    <x:s v="BO-12348"/>
    <x:s v="CURO CHIMAYCO MARIA SOCORRO"/>
    <x:s v="28290838"/>
    <x:s v="REYES DIAZ JORGE RICARDO"/>
    <x:s v="HOSPITAL CAYETANO HEREDIA"/>
    <x:s v="CRISTINA"/>
    <x:s v="0072701"/>
    <x:s v="944473366"/>
    <x:s v="CURO CHIMAYCO MARIA SOCORRO"/>
    <x:s v="91239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99418834"/>
    <x:s v="193-05549355007"/>
    <x:n v="30"/>
  </x:r>
  <x:r>
    <x:d v="2026-08-17T00:00:00Z"/>
    <x:x v="2"/>
    <x:s v="104467"/>
    <x:s v="FA"/>
    <x:s v="588"/>
    <x:s v="CO"/>
    <x:s v="FA-588"/>
    <x:s v="FERNANDEZ CUADROS HUGO VALENTIN"/>
    <x:s v="06917453"/>
    <x:s v="FERNANDEZ GUTIERREZ OLGA PATRICIA"/>
    <x:s v="CONSULTORIO PARTICULAR"/>
    <x:s v="CRISTINA"/>
    <x:s v="0072702"/>
    <x:s v="992083879"/>
    <x:s v="VEFER OFTALMOLOGOS S.A.C."/>
    <x:s v="91249"/>
    <x:x v="11"/>
    <x:n v="1"/>
    <x:s v="PRECISA"/>
    <x:s v="INSTITUTO MEDICO QUIRURGICO AREQUIPA S.A"/>
    <x:s v="INSTITUTO MEDICO QUIRURGICO AREQUIPA S.A"/>
    <x:s v="L.CENTRO"/>
    <x:s v="ACABRERA"/>
    <x:n v="101.69"/>
    <x:s v="LN. PROCEDIMIENTO"/>
    <x:s v="CIAS. DE SEGURO"/>
    <x:s v="CENTRO"/>
    <x:n v="982536223"/>
    <x:s v="107-3174605363"/>
    <x:m/>
  </x:r>
  <x:r>
    <x:d v="2026-08-18T00:00:00Z"/>
    <x:x v="2"/>
    <x:s v="104512"/>
    <x:s v="BO"/>
    <x:s v="12360"/>
    <x:s v="CO"/>
    <x:s v="BO-12360"/>
    <x:s v="COLLANTES DE LOS SANTOS PEDRO PABLO"/>
    <x:s v="15718176"/>
    <x:s v="LOPEZ ESPINOZA JHON"/>
    <x:m/>
    <x:s v="CRISTINA"/>
    <x:s v="0072683"/>
    <x:s v="999999999"/>
    <x:s v="COLLANTES DE LOS SANTOS PEDRO PABLO"/>
    <x:s v="91282"/>
    <x:x v="7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s v="191-38880905040"/>
    <x:n v="30"/>
  </x:r>
  <x:r>
    <x:d v="2026-08-18T00:00:00Z"/>
    <x:x v="2"/>
    <x:s v="104512"/>
    <x:s v="BO"/>
    <x:s v="12360"/>
    <x:s v="CO"/>
    <x:s v="BO-12360"/>
    <x:s v="COLLANTES DE LOS SANTOS PEDRO PABLO"/>
    <x:s v="15718176"/>
    <x:s v="LOPEZ ESPINOZA JHON"/>
    <x:m/>
    <x:s v="CRISTINA"/>
    <x:s v="0072683"/>
    <x:s v="999999999"/>
    <x:s v="COLLANTES DE LOS SANTOS PEDRO PABLO"/>
    <x:s v="91282"/>
    <x:x v="8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s v="191-38880905040"/>
    <x:n v="30"/>
  </x:r>
  <x:r>
    <x:d v="2026-08-18T00:00:00Z"/>
    <x:x v="2"/>
    <x:s v="104523"/>
    <x:s v="BO"/>
    <x:s v="12362"/>
    <x:s v="CO"/>
    <x:s v="BO-12362"/>
    <x:s v="QUISPE RICRA MAGDALENA"/>
    <x:s v="08556216"/>
    <x:s v="FIERRO LEANDRO"/>
    <x:s v="POLICLÍNICO DIVINO NIÑO JESÚS"/>
    <x:s v="CRISTINA"/>
    <x:s v="0071181"/>
    <x:s v="962629251"/>
    <x:s v="QUISPE RICRA MAGDALENA"/>
    <x:s v="91293"/>
    <x:x v="16"/>
    <x:n v="1"/>
    <x:s v="PRECISA"/>
    <x:s v="INSTITUTO MEDICO QUIRURGICO AREQUIPA S.A"/>
    <x:s v="INSTITUTO MEDICO QUIRURGICO AREQUIPA S.A"/>
    <x:s v="L.CENTRO"/>
    <x:s v="LMAGAN"/>
    <x:n v="12.71"/>
    <x:s v="LN. LABORATORIO"/>
    <x:s v="CIAS. DE SEGURO"/>
    <x:s v="CENTRO"/>
    <x:m/>
    <x:m/>
    <x:m/>
  </x:r>
  <x:r>
    <x:d v="2026-08-18T00:00:00Z"/>
    <x:x v="2"/>
    <x:s v="104523"/>
    <x:s v="BO"/>
    <x:s v="12362"/>
    <x:s v="CO"/>
    <x:s v="BO-12362"/>
    <x:s v="QUISPE RICRA MAGDALENA"/>
    <x:s v="08556216"/>
    <x:s v="FIERRO LEANDRO"/>
    <x:s v="POLICLÍNICO DIVINO NIÑO JESÚS"/>
    <x:s v="CRISTINA"/>
    <x:s v="0071181"/>
    <x:s v="962629251"/>
    <x:s v="QUISPE RICRA MAGDALENA"/>
    <x:s v="91293"/>
    <x:x v="17"/>
    <x:n v="1"/>
    <x:s v="PRECISA"/>
    <x:s v="INSTITUTO MEDICO QUIRURGICO AREQUIPA S.A"/>
    <x:s v="INSTITUTO MEDICO QUIRURGICO AREQUIPA S.A"/>
    <x:s v="L.CENTRO"/>
    <x:s v="LMAGAN"/>
    <x:n v="21.19"/>
    <x:s v="LN. LABORATORIO"/>
    <x:s v="CIAS. DE SEGURO"/>
    <x:s v="CENTRO"/>
    <x:m/>
    <x:m/>
    <x:m/>
  </x:r>
  <x:r>
    <x:d v="2026-08-18T00:00:00Z"/>
    <x:x v="2"/>
    <x:s v="104523"/>
    <x:s v="BO"/>
    <x:s v="12362"/>
    <x:s v="CO"/>
    <x:s v="BO-12362"/>
    <x:s v="QUISPE RICRA MAGDALENA"/>
    <x:s v="08556216"/>
    <x:s v="FIERRO LEANDRO"/>
    <x:s v="POLICLÍNICO DIVINO NIÑO JESÚS"/>
    <x:s v="CRISTINA"/>
    <x:s v="0071181"/>
    <x:s v="962629251"/>
    <x:s v="QUISPE RICRA MAGDALENA"/>
    <x:s v="91293"/>
    <x:x v="18"/>
    <x:n v="1"/>
    <x:s v="PRECISA"/>
    <x:s v="INSTITUTO MEDICO QUIRURGICO AREQUIPA S.A"/>
    <x:s v="INSTITUTO MEDICO QUIRURGICO AREQUIPA S.A"/>
    <x:s v="L.CENTRO"/>
    <x:s v="LMAGAN"/>
    <x:n v="12.71"/>
    <x:s v="LN. LABORATORIO"/>
    <x:s v="CIAS. DE SEGURO"/>
    <x:s v="CENTRO"/>
    <x:m/>
    <x:m/>
    <x:m/>
  </x:r>
  <x:r>
    <x:d v="2026-08-18T00:00:00Z"/>
    <x:x v="2"/>
    <x:s v="104523"/>
    <x:s v="BO"/>
    <x:s v="12362"/>
    <x:s v="CO"/>
    <x:s v="BO-12362"/>
    <x:s v="QUISPE RICRA MAGDALENA"/>
    <x:s v="08556216"/>
    <x:s v="FIERRO LEANDRO"/>
    <x:s v="POLICLÍNICO DIVINO NIÑO JESÚS"/>
    <x:s v="CRISTINA"/>
    <x:s v="0071181"/>
    <x:s v="962629251"/>
    <x:s v="QUISPE RICRA MAGDALENA"/>
    <x:s v="91293"/>
    <x:x v="19"/>
    <x:n v="1"/>
    <x:s v="PRECISA"/>
    <x:s v="INSTITUTO MEDICO QUIRURGICO AREQUIPA S.A"/>
    <x:s v="INSTITUTO MEDICO QUIRURGICO AREQUIPA S.A"/>
    <x:s v="L.CENTRO"/>
    <x:s v="LMAGAN"/>
    <x:n v="12.71"/>
    <x:s v="LN. LABORATORIO"/>
    <x:s v="CIAS. DE SEGURO"/>
    <x:s v="CENTRO"/>
    <x:m/>
    <x:m/>
    <x:m/>
  </x:r>
  <x:r>
    <x:d v="2026-08-18T00:00:00Z"/>
    <x:x v="2"/>
    <x:s v="104523"/>
    <x:s v="BO"/>
    <x:s v="12362"/>
    <x:s v="CO"/>
    <x:s v="BO-12362"/>
    <x:s v="QUISPE RICRA MAGDALENA"/>
    <x:s v="08556216"/>
    <x:s v="FIERRO LEANDRO"/>
    <x:s v="POLICLÍNICO DIVINO NIÑO JESÚS"/>
    <x:s v="CRISTINA"/>
    <x:s v="0071181"/>
    <x:s v="962629251"/>
    <x:s v="QUISPE RICRA MAGDALENA"/>
    <x:s v="91293"/>
    <x:x v="20"/>
    <x:n v="1"/>
    <x:s v="PRECISA"/>
    <x:s v="INSTITUTO MEDICO QUIRURGICO AREQUIPA S.A"/>
    <x:s v="INSTITUTO MEDICO QUIRURGICO AREQUIPA S.A"/>
    <x:s v="L.CENTRO"/>
    <x:s v="LMAGAN"/>
    <x:n v="50.85"/>
    <x:s v="LN. LABORATORIO"/>
    <x:s v="CIAS. DE SEGURO"/>
    <x:s v="CENTRO"/>
    <x:m/>
    <x:m/>
    <x:m/>
  </x:r>
  <x:r>
    <x:d v="2026-08-18T00:00:00Z"/>
    <x:x v="2"/>
    <x:s v="104524"/>
    <x:s v="BO"/>
    <x:s v="12363"/>
    <x:s v="CO"/>
    <x:s v="BO-12363"/>
    <x:s v="QUISPE RICRA MAGDALENA"/>
    <x:s v="08556216"/>
    <x:s v="LOPEZ ESPINOZA JHON"/>
    <x:m/>
    <x:s v="CRISTINA"/>
    <x:s v="0071181"/>
    <x:s v="962629251"/>
    <x:s v="QUISPE RICRA MAGDALENA"/>
    <x:s v="91294"/>
    <x:x v="7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s v="191-38880905040"/>
    <x:n v="30"/>
  </x:r>
  <x:r>
    <x:d v="2026-08-18T00:00:00Z"/>
    <x:x v="2"/>
    <x:s v="104524"/>
    <x:s v="BO"/>
    <x:s v="12363"/>
    <x:s v="CO"/>
    <x:s v="BO-12363"/>
    <x:s v="QUISPE RICRA MAGDALENA"/>
    <x:s v="08556216"/>
    <x:s v="LOPEZ ESPINOZA JHON"/>
    <x:m/>
    <x:s v="CRISTINA"/>
    <x:s v="0071181"/>
    <x:s v="962629251"/>
    <x:s v="QUISPE RICRA MAGDALENA"/>
    <x:s v="91294"/>
    <x:x v="8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s v="191-38880905040"/>
    <x:n v="30"/>
  </x:r>
  <x:r>
    <x:d v="2026-08-18T00:00:00Z"/>
    <x:x v="2"/>
    <x:s v="104528"/>
    <x:s v="BO"/>
    <x:s v="12365"/>
    <x:s v="CO"/>
    <x:s v="BO-12365"/>
    <x:s v="MORON MEDINA JOEL NARCISO"/>
    <x:s v="08795354"/>
    <x:s v="AGRAMONTE ZEA EDILBERTO"/>
    <x:s v="HOSPITAL DE LA SOLIDARIDAD SJL"/>
    <x:s v="CRISTINA"/>
    <x:s v="0072729"/>
    <x:s v="920656451"/>
    <x:s v="MORON MEDINA JOEL NARCISO"/>
    <x:s v="91307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87407712"/>
    <x:s v="0011-0190-0200333106"/>
    <x:n v="50"/>
  </x:r>
  <x:r>
    <x:d v="2026-08-18T00:00:00Z"/>
    <x:x v="2"/>
    <x:s v="104543"/>
    <x:s v="BO"/>
    <x:s v="12366"/>
    <x:s v="CO"/>
    <x:s v="BO-12366"/>
    <x:s v="RAMOS MORALES ESTELA OLINDA"/>
    <x:s v="22296854"/>
    <x:s v="JAVE ESCALANTE LIZETH"/>
    <x:s v="HOSPITAL LOAYZA"/>
    <x:s v="CRISTINA"/>
    <x:s v="0072682"/>
    <x:s v="950407513"/>
    <x:s v="RAMOS MORALES ESTELA OLINDA"/>
    <x:s v="91313"/>
    <x:x v="8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n v="999111362"/>
    <x:s v="200-3076497260"/>
    <x:n v="30"/>
  </x:r>
  <x:r>
    <x:d v="2026-08-18T00:00:00Z"/>
    <x:x v="2"/>
    <x:s v="104543"/>
    <x:s v="BO"/>
    <x:s v="12366"/>
    <x:s v="CO"/>
    <x:s v="BO-12366"/>
    <x:s v="RAMOS MORALES ESTELA OLINDA"/>
    <x:s v="22296854"/>
    <x:s v="JAVE ESCALANTE LIZETH"/>
    <x:s v="HOSPITAL LOAYZA"/>
    <x:s v="CRISTINA"/>
    <x:s v="0072682"/>
    <x:s v="950407513"/>
    <x:s v="RAMOS MORALES ESTELA OLINDA"/>
    <x:s v="91313"/>
    <x:x v="7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n v="999111362"/>
    <x:s v="200-3076497260"/>
    <x:n v="30"/>
  </x:r>
  <x:r>
    <x:d v="2026-08-18T00:00:00Z"/>
    <x:x v="2"/>
    <x:s v="104544"/>
    <x:s v="BO"/>
    <x:s v="12367"/>
    <x:s v="CO"/>
    <x:s v="BO-12367"/>
    <x:s v="ROSALES ESPINOZA MILCA LUCIA"/>
    <x:s v="32122873"/>
    <x:s v="FIERRO LEANDRO"/>
    <x:s v="POLICLÍNICO DIVINO NIÑO JESÚS"/>
    <x:s v="CRISTINA"/>
    <x:s v="0072731"/>
    <x:s v="955005846"/>
    <x:s v="ROSALES ESPINOZA MILCA LUCIA"/>
    <x:s v="91314"/>
    <x:x v="7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m/>
    <x:n v="30"/>
  </x:r>
  <x:r>
    <x:d v="2026-08-18T00:00:00Z"/>
    <x:x v="2"/>
    <x:s v="104544"/>
    <x:s v="BO"/>
    <x:s v="12367"/>
    <x:s v="CO"/>
    <x:s v="BO-12367"/>
    <x:s v="ROSALES ESPINOZA MILCA LUCIA"/>
    <x:s v="32122873"/>
    <x:s v="FIERRO LEANDRO"/>
    <x:s v="POLICLÍNICO DIVINO NIÑO JESÚS"/>
    <x:s v="CRISTINA"/>
    <x:s v="0072731"/>
    <x:s v="955005846"/>
    <x:s v="ROSALES ESPINOZA MILCA LUCIA"/>
    <x:s v="91314"/>
    <x:x v="8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m/>
    <x:n v="30"/>
  </x:r>
  <x:r>
    <x:d v="2026-08-18T00:00:00Z"/>
    <x:x v="2"/>
    <x:s v="104557"/>
    <x:s v="BO"/>
    <x:s v="12369"/>
    <x:s v="CO"/>
    <x:s v="BO-12369"/>
    <x:s v="GIRAO RAMOS XIOMARA AYELEN"/>
    <x:s v="73048925"/>
    <x:s v="PEREZ MARTINOT MANUEL RAUL"/>
    <x:s v="CONSULTORIO"/>
    <x:s v="CRISTINA"/>
    <x:s v="0072734"/>
    <x:s v="950407513"/>
    <x:s v="GIRAO RAMOS XIOMARA AYELEN"/>
    <x:s v="91330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99700200"/>
    <x:s v="194-25565979019"/>
    <x:n v="50"/>
  </x:r>
  <x:r>
    <x:d v="2026-08-18T00:00:00Z"/>
    <x:x v="2"/>
    <x:s v="104563"/>
    <x:s v="FA"/>
    <x:s v="589"/>
    <x:s v="CO"/>
    <x:s v="FA-589"/>
    <x:s v="ALTAMIRANO HUERTO ALEJANDRO RAUL"/>
    <x:s v="60003059"/>
    <x:m/>
    <x:m/>
    <x:s v="CRISTINA"/>
    <x:s v="0072668"/>
    <x:s v="929234161"/>
    <x:s v="OFTALMODOSIS E.I.R.L."/>
    <x:s v="91179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8-18T00:00:00Z"/>
    <x:x v="2"/>
    <x:s v="104563"/>
    <x:s v="FA"/>
    <x:s v="589"/>
    <x:s v="CO"/>
    <x:s v="FA-589"/>
    <x:s v="ALTAMIRANO HUERTO ALEJANDRO RAUL"/>
    <x:s v="60003059"/>
    <x:m/>
    <x:m/>
    <x:s v="CRISTINA"/>
    <x:s v="0072668"/>
    <x:s v="929234161"/>
    <x:s v="OFTALMODOSIS E.I.R.L."/>
    <x:s v="91179"/>
    <x:x v="36"/>
    <x:n v="1"/>
    <x:s v="PRECISA"/>
    <x:s v="INSTITUTO MEDICO QUIRURGICO AREQUIPA S.A"/>
    <x:s v="INSTITUTO MEDICO QUIRURGICO AREQUIPA S.A"/>
    <x:s v="L.CENTRO"/>
    <x:s v="ACABRERA"/>
    <x:n v="1016.95"/>
    <x:s v="LN. CIRUGIA"/>
    <x:s v="CIAS. DE SEGURO"/>
    <x:s v="CENTRO"/>
    <x:m/>
    <x:m/>
    <x:m/>
  </x:r>
  <x:r>
    <x:d v="2026-08-18T00:00:00Z"/>
    <x:x v="2"/>
    <x:s v="104580"/>
    <x:s v="FA"/>
    <x:s v="1096"/>
    <x:s v="CO"/>
    <x:s v="FA-1096"/>
    <x:s v="COLLANTES DE LOS SANTOS PEDRO PABLO"/>
    <x:s v="15718176"/>
    <x:s v="FIERRO LEANDRO"/>
    <x:s v="POLICLÍNICO DIVINO NIÑO JESÚS"/>
    <x:s v="CRISTINA"/>
    <x:s v="0072683"/>
    <x:s v="999999999"/>
    <x:s v="GRUPO MEDICO INTEGRAL SOCIEDAD ANONIMA CERRADA"/>
    <x:s v="91324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8-18T00:00:00Z"/>
    <x:x v="2"/>
    <x:s v="104580"/>
    <x:s v="FA"/>
    <x:s v="1096"/>
    <x:s v="CO"/>
    <x:s v="FA-1096"/>
    <x:s v="COLLANTES DE LOS SANTOS PEDRO PABLO"/>
    <x:s v="15718176"/>
    <x:s v="FIERRO LEANDRO"/>
    <x:s v="POLICLÍNICO DIVINO NIÑO JESÚS"/>
    <x:s v="CRISTINA"/>
    <x:s v="0072683"/>
    <x:s v="999999999"/>
    <x:s v="GRUPO MEDICO INTEGRAL SOCIEDAD ANONIMA CERRADA"/>
    <x:s v="91324"/>
    <x:x v="10"/>
    <x:n v="1"/>
    <x:s v="PRECISA"/>
    <x:s v="INSTITUTO MEDICO QUIRURGICO AREQUIPA S.A"/>
    <x:s v="INSTITUTO MEDICO QUIRURGICO AREQUIPA S.A"/>
    <x:s v="L.CENTRO"/>
    <x:s v="LMAGAN"/>
    <x:n v="1525.42"/>
    <x:s v="LN. CIRUGIA"/>
    <x:s v="CIAS. DE SEGURO"/>
    <x:s v="CENTRO"/>
    <x:m/>
    <x:m/>
    <x:m/>
  </x:r>
  <x:r>
    <x:d v="2026-08-18T00:00:00Z"/>
    <x:x v="2"/>
    <x:s v="104582"/>
    <x:s v="FA"/>
    <x:s v="1097"/>
    <x:s v="CO"/>
    <x:s v="FA-1097"/>
    <x:s v="QUISPE RICRA MAGDALENA"/>
    <x:s v="08556216"/>
    <x:s v="FIERRO LEANDRO"/>
    <x:s v="POLICLÍNICO DIVINO NIÑO JESÚS"/>
    <x:s v="CRISTINA"/>
    <x:s v="0071181"/>
    <x:s v="962629251"/>
    <x:s v="GRUPO MEDICO INTEGRAL SOCIEDAD ANONIMA CERRADA"/>
    <x:s v="91327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8-18T00:00:00Z"/>
    <x:x v="2"/>
    <x:s v="104582"/>
    <x:s v="FA"/>
    <x:s v="1097"/>
    <x:s v="CO"/>
    <x:s v="FA-1097"/>
    <x:s v="QUISPE RICRA MAGDALENA"/>
    <x:s v="08556216"/>
    <x:s v="FIERRO LEANDRO"/>
    <x:s v="POLICLÍNICO DIVINO NIÑO JESÚS"/>
    <x:s v="CRISTINA"/>
    <x:s v="0071181"/>
    <x:s v="962629251"/>
    <x:s v="GRUPO MEDICO INTEGRAL SOCIEDAD ANONIMA CERRADA"/>
    <x:s v="91327"/>
    <x:x v="10"/>
    <x:n v="1"/>
    <x:s v="PRECISA"/>
    <x:s v="INSTITUTO MEDICO QUIRURGICO AREQUIPA S.A"/>
    <x:s v="INSTITUTO MEDICO QUIRURGICO AREQUIPA S.A"/>
    <x:s v="L.CENTRO"/>
    <x:s v="LMAGAN"/>
    <x:n v="762.71"/>
    <x:s v="LN. CIRUGIA"/>
    <x:s v="CIAS. DE SEGURO"/>
    <x:s v="CENTRO"/>
    <x:m/>
    <x:m/>
    <x:m/>
  </x:r>
  <x:r>
    <x:d v="2026-08-18T00:00:00Z"/>
    <x:x v="2"/>
    <x:s v="104583"/>
    <x:s v="FA"/>
    <x:s v="1098"/>
    <x:s v="CO"/>
    <x:s v="FA-1098"/>
    <x:s v="ROSALES ESPINOZA MILCA LUCIA"/>
    <x:s v="32122873"/>
    <x:m/>
    <x:m/>
    <x:s v="CRISTINA"/>
    <x:s v="0072731"/>
    <x:s v="955005846"/>
    <x:s v="GRUPO MEDICO INTEGRAL SOCIEDAD ANONIMA CERRADA"/>
    <x:s v="91329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8-18T00:00:00Z"/>
    <x:x v="2"/>
    <x:s v="104583"/>
    <x:s v="FA"/>
    <x:s v="1098"/>
    <x:s v="CO"/>
    <x:s v="FA-1098"/>
    <x:s v="ROSALES ESPINOZA MILCA LUCIA"/>
    <x:s v="32122873"/>
    <x:m/>
    <x:m/>
    <x:s v="CRISTINA"/>
    <x:s v="0072731"/>
    <x:s v="955005846"/>
    <x:s v="GRUPO MEDICO INTEGRAL SOCIEDAD ANONIMA CERRADA"/>
    <x:s v="91329"/>
    <x:x v="10"/>
    <x:n v="1"/>
    <x:s v="PRECISA"/>
    <x:s v="INSTITUTO MEDICO QUIRURGICO AREQUIPA S.A"/>
    <x:s v="INSTITUTO MEDICO QUIRURGICO AREQUIPA S.A"/>
    <x:s v="L.CENTRO"/>
    <x:s v="LMAGAN"/>
    <x:n v="1525.42"/>
    <x:s v="LN. CIRUGIA"/>
    <x:s v="CIAS. DE SEGURO"/>
    <x:s v="CENTRO"/>
    <x:m/>
    <x:m/>
    <x:m/>
  </x:r>
  <x:r>
    <x:d v="2026-08-18T00:00:00Z"/>
    <x:x v="2"/>
    <x:s v="104584"/>
    <x:s v="FA"/>
    <x:s v="1099"/>
    <x:s v="CO"/>
    <x:s v="FA-1099"/>
    <x:s v="RAMOS MORALES ESTELA OLINDA"/>
    <x:s v="22296854"/>
    <x:s v="FIERRO LEANDRO"/>
    <x:s v="POLICLÍNICO DIVINO NIÑO JESÚS"/>
    <x:s v="CRISTINA"/>
    <x:s v="0072682"/>
    <x:s v="950407513"/>
    <x:s v="GRUPO MEDICO INTEGRAL SOCIEDAD ANONIMA CERRADA"/>
    <x:s v="91323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8-18T00:00:00Z"/>
    <x:x v="2"/>
    <x:s v="104584"/>
    <x:s v="FA"/>
    <x:s v="1099"/>
    <x:s v="CO"/>
    <x:s v="FA-1099"/>
    <x:s v="RAMOS MORALES ESTELA OLINDA"/>
    <x:s v="22296854"/>
    <x:s v="FIERRO LEANDRO"/>
    <x:s v="POLICLÍNICO DIVINO NIÑO JESÚS"/>
    <x:s v="CRISTINA"/>
    <x:s v="0072682"/>
    <x:s v="950407513"/>
    <x:s v="GRUPO MEDICO INTEGRAL SOCIEDAD ANONIMA CERRADA"/>
    <x:s v="91323"/>
    <x:x v="10"/>
    <x:n v="1"/>
    <x:s v="PRECISA"/>
    <x:s v="INSTITUTO MEDICO QUIRURGICO AREQUIPA S.A"/>
    <x:s v="INSTITUTO MEDICO QUIRURGICO AREQUIPA S.A"/>
    <x:s v="L.CENTRO"/>
    <x:s v="LMAGAN"/>
    <x:n v="762.71"/>
    <x:s v="LN. CIRUGIA"/>
    <x:s v="CIAS. DE SEGURO"/>
    <x:s v="CENTRO"/>
    <x:m/>
    <x:m/>
    <x:m/>
  </x:r>
  <x:r>
    <x:d v="2026-08-18T00:00:00Z"/>
    <x:x v="2"/>
    <x:s v="104606"/>
    <x:s v="BO"/>
    <x:s v="12372"/>
    <x:s v="CO"/>
    <x:s v="BO-12372"/>
    <x:s v="SALAZAR QUIROGA ELIO DAVID"/>
    <x:s v="02891533"/>
    <x:s v="RAMIREZ ORBE JOSÉ LUIS"/>
    <x:s v="HOSPITAL DE LA POLICIA"/>
    <x:s v="CRISTINA"/>
    <x:s v="0072747"/>
    <x:s v="969030503"/>
    <x:s v="SALAZAR QUIROGA ELIO DAVID"/>
    <x:s v="91360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01918745"/>
    <x:m/>
    <x:n v="30"/>
  </x:r>
  <x:r>
    <x:d v="2026-08-19T00:00:00Z"/>
    <x:x v="2"/>
    <x:s v="104622"/>
    <x:s v="FA"/>
    <x:s v="591"/>
    <x:s v="CO"/>
    <x:s v="FA-591"/>
    <x:s v="QUISPE DE PACHECO LIDIA GLADYS"/>
    <x:s v="22256334"/>
    <x:s v="PAITAN QUISPE EMILYN"/>
    <x:m/>
    <x:s v="CRISTINA"/>
    <x:s v="0023698"/>
    <x:s v="925808232"/>
    <x:s v="IAFAS DE LA MARINA DE GUERRA DEL PERU"/>
    <x:s v="90559"/>
    <x:x v="8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m/>
    <x:n v="30"/>
  </x:r>
  <x:r>
    <x:d v="2026-08-19T00:00:00Z"/>
    <x:x v="2"/>
    <x:s v="104659"/>
    <x:s v="BO"/>
    <x:s v="6168"/>
    <x:s v="CO"/>
    <x:s v="BO-6168"/>
    <x:s v="BENAVIDES JUAREZ CARMELA"/>
    <x:s v="16579947"/>
    <x:s v="SAPAICO VICUÑA AUGUSTO RODRIGO"/>
    <x:s v="HOSPITAL LOAYZA"/>
    <x:s v="CRISTINA"/>
    <x:s v="0054796"/>
    <x:s v="926056910"/>
    <x:s v="BENAVIDES JUAREZ CARMELA"/>
    <x:s v="91406"/>
    <x:x v="2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n v="997145685"/>
    <x:s v="0011-0189-0200496417"/>
    <x:n v="50"/>
  </x:r>
  <x:r>
    <x:d v="2026-08-19T00:00:00Z"/>
    <x:x v="2"/>
    <x:s v="104674"/>
    <x:s v="FA"/>
    <x:s v="594"/>
    <x:s v="CO"/>
    <x:s v="FA-594"/>
    <x:s v="MENDOZA REYNA ALBERTO"/>
    <x:s v="05581101"/>
    <x:s v="TORRES LEAL ADOLFO LEON"/>
    <x:s v="CLÍNICA SAN FELIPE LA MOLINA"/>
    <x:s v="CRISTINA"/>
    <x:s v="0072772"/>
    <x:s v="942513684"/>
    <x:s v="CRIBILLERO ACHING SAMUEL RODOLFO"/>
    <x:s v="91423"/>
    <x:x v="1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m/>
    <x:n v="30"/>
  </x:r>
  <x:r>
    <x:d v="2026-08-19T00:00:00Z"/>
    <x:x v="2"/>
    <x:s v="104679"/>
    <x:s v="BO"/>
    <x:s v="12382"/>
    <x:s v="CO"/>
    <x:s v="BO-12382"/>
    <x:s v="CHIROQUE CHUNGA NELIDA"/>
    <x:s v="16624655"/>
    <x:s v="GUTARRA PAUCAR JULIA KARINA"/>
    <x:s v="CLÍNICA SAN CAMILO"/>
    <x:s v="CRISTINA"/>
    <x:s v="0064670"/>
    <x:s v="980842766"/>
    <x:s v="CHIROQUE CHUNGA NELIDA"/>
    <x:s v="91428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82673362"/>
    <x:s v="0011-0353-0200308107"/>
    <x:n v="30"/>
  </x:r>
  <x:r>
    <x:d v="2026-08-19T00:00:00Z"/>
    <x:x v="2"/>
    <x:s v="104714"/>
    <x:s v="BO"/>
    <x:s v="4971"/>
    <x:s v="CO"/>
    <x:s v="BO-4971"/>
    <x:s v="HUAMAN DE LA CRUZ LUIS DOMINIK"/>
    <x:s v="74673771"/>
    <x:s v="RUIZ ROJAS PAUBLO ENRIQUE"/>
    <x:s v="CONSULTORIO CUBANO COMAS"/>
    <x:s v="CRISTINA"/>
    <x:s v="0014066"/>
    <x:s v="943492121"/>
    <x:s v="HUAMAN DE LA CRUZ LUIS DOMINIK"/>
    <x:s v="91459"/>
    <x:x v="2"/>
    <x:n v="1"/>
    <x:s v="PRECISA LN"/>
    <x:s v="POR ASIGNAR"/>
    <x:s v="INSTITUTO MEDICO QUIRURGICO AREQUIPA S.A"/>
    <x:s v="L.NORTE"/>
    <x:s v="AALARCON"/>
    <x:n v="186.44"/>
    <x:s v="LN. EXAMENES"/>
    <x:s v="CIAS. DE SEGURO"/>
    <x:s v="NORTE"/>
    <x:n v="992903716"/>
    <x:s v="191-91415089071"/>
    <x:n v="50"/>
  </x:r>
  <x:r>
    <x:d v="2026-08-19T00:00:00Z"/>
    <x:x v="2"/>
    <x:s v="104714"/>
    <x:s v="BO"/>
    <x:s v="4971"/>
    <x:s v="CO"/>
    <x:s v="BO-4971"/>
    <x:s v="HUAMAN DE LA CRUZ LUIS DOMINIK"/>
    <x:s v="74673771"/>
    <x:s v="RUIZ ROJAS PAUBLO ENRIQUE"/>
    <x:s v="CONSULTORIO CUBANO COMAS"/>
    <x:s v="CRISTINA"/>
    <x:s v="0014066"/>
    <x:s v="943492121"/>
    <x:s v="HUAMAN DE LA CRUZ LUIS DOMINIK"/>
    <x:s v="91459"/>
    <x:x v="4"/>
    <x:n v="1"/>
    <x:s v="PRECISA LN"/>
    <x:s v="POR ASIGNAR"/>
    <x:s v="INSTITUTO MEDICO QUIRURGICO AREQUIPA S.A"/>
    <x:s v="L.NORTE"/>
    <x:s v="AALARCON"/>
    <x:n v="135.59"/>
    <x:s v="LN. EXAMENES"/>
    <x:s v="CIAS. DE SEGURO"/>
    <x:s v="NORTE"/>
    <x:n v="992903716"/>
    <x:s v="191-91415089071"/>
    <x:n v="30"/>
  </x:r>
  <x:r>
    <x:d v="2026-08-19T00:00:00Z"/>
    <x:x v="2"/>
    <x:s v="104713"/>
    <x:s v="BO"/>
    <x:s v="12389"/>
    <x:s v="CO"/>
    <x:s v="BO-12389"/>
    <x:s v="PANEZ BLANCO DE BARRETO EVA CHACHITA"/>
    <x:s v="06587087"/>
    <x:s v="LLERENA LOYOLA ELSA YESENIA"/>
    <x:s v="CLINICA MAISON DE SANTE"/>
    <x:s v="CRISTINA"/>
    <x:s v="0072784"/>
    <x:s v="987209441"/>
    <x:s v="PANEZ BLANCO DE BARRETO EVA CHACHITA"/>
    <x:s v="91458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98418895"/>
    <x:s v="0011-0197-0200171031"/>
    <x:n v="50"/>
  </x:r>
  <x:r>
    <x:d v="2026-08-19T00:00:00Z"/>
    <x:x v="2"/>
    <x:s v="104719"/>
    <x:s v="BO"/>
    <x:s v="456"/>
    <x:s v="CO"/>
    <x:s v="BO-456"/>
    <x:s v="CARRERA CABRACANCHA ESPERANZA GLORIA"/>
    <x:s v="15644266"/>
    <x:s v="ROJAS AQUINO EVELING KARINA"/>
    <x:s v="POLICLÍNICO ESPÍRITU SANTO"/>
    <x:s v="CRISTINA"/>
    <x:s v="0072786"/>
    <x:s v="981502712"/>
    <x:s v="CARRERA CABRACANCHA ESPERANZA GLORIA"/>
    <x:s v="91463"/>
    <x:x v="4"/>
    <x:n v="1"/>
    <x:s v="PRECISA"/>
    <x:s v="INSTITUTO MEDICO QUIRURGICO AREQUIPA S.A"/>
    <x:s v="INSTITUTO MEDICO QUIRURGICO AREQUIPA S.A"/>
    <x:s v="L.LINCE"/>
    <x:s v="MCARDENA"/>
    <x:n v="135.59"/>
    <x:s v="LN. EXAMENES"/>
    <x:s v="CIAS. DE SEGURO"/>
    <x:s v="LINCE"/>
    <x:n v="955356636"/>
    <x:s v="009-3226956615"/>
    <x:n v="30"/>
  </x:r>
  <x:r>
    <x:d v="2026-08-19T00:00:00Z"/>
    <x:x v="2"/>
    <x:s v="104719"/>
    <x:s v="BO"/>
    <x:s v="456"/>
    <x:s v="CO"/>
    <x:s v="BO-456"/>
    <x:s v="CARRERA CABRACANCHA ESPERANZA GLORIA"/>
    <x:s v="15644266"/>
    <x:s v="ROJAS AQUINO EVELING KARINA"/>
    <x:s v="POLICLÍNICO ESPÍRITU SANTO"/>
    <x:s v="CRISTINA"/>
    <x:s v="0072786"/>
    <x:s v="981502712"/>
    <x:s v="CARRERA CABRACANCHA ESPERANZA GLORIA"/>
    <x:s v="91463"/>
    <x:x v="8"/>
    <x:n v="1"/>
    <x:s v="PRECISA"/>
    <x:s v="INSTITUTO MEDICO QUIRURGICO AREQUIPA S.A"/>
    <x:s v="INSTITUTO MEDICO QUIRURGICO AREQUIPA S.A"/>
    <x:s v="L.LINCE"/>
    <x:s v="MCARDENA"/>
    <x:n v="135.59"/>
    <x:s v="LN. EXAMENES"/>
    <x:s v="CIAS. DE SEGURO"/>
    <x:s v="LINCE"/>
    <x:n v="955356636"/>
    <x:s v="009-3226956615"/>
    <x:n v="30"/>
  </x:r>
  <x:r>
    <x:d v="2026-08-19T00:00:00Z"/>
    <x:x v="2"/>
    <x:s v="104741"/>
    <x:s v="FA"/>
    <x:s v="1100"/>
    <x:s v="CO"/>
    <x:s v="FA-1100"/>
    <x:s v="CARAZAS CERRILLO DE APAZA GREGORIA"/>
    <x:s v="08985710"/>
    <x:s v="MANCHEGO LOMBARDI MICHAEL"/>
    <x:s v="CONSULTORIO PARTICULAR"/>
    <x:s v="CRISTINA"/>
    <x:s v="0070006"/>
    <x:s v="NO TIENE"/>
    <x:s v="CENTRO OFTALMOLOGICO OFTALMOCARE S.R.L."/>
    <x:s v="91480"/>
    <x:x v="3"/>
    <x:n v="1"/>
    <x:s v="PRECISA"/>
    <x:s v="INSTITUTO MEDICO QUIRURGICO AREQUIPA S.A"/>
    <x:s v="INSTITUTO MEDICO QUIRURGICO AREQUIPA S.A"/>
    <x:s v="L.CENTRO"/>
    <x:s v="LMAGAN"/>
    <x:n v="254.24"/>
    <x:s v="LN. PROCEDIMIENTO"/>
    <x:s v="CIAS. DE SEGURO"/>
    <x:s v="CENTRO"/>
    <x:n v="970582106"/>
    <x:s v="639-3004120188"/>
    <x:m/>
  </x:r>
  <x:r>
    <x:d v="2026-08-20T00:00:00Z"/>
    <x:x v="2"/>
    <x:s v="104756"/>
    <x:s v="BO"/>
    <x:s v="12398"/>
    <x:s v="CO"/>
    <x:s v="BO-12398"/>
    <x:s v="TORRES ROSSELL JUAN CARLOS"/>
    <x:s v="15845906"/>
    <x:s v="FIERRO LEANDRO"/>
    <x:s v="POLICLÍNICO DIVINO NIÑO JESÚS"/>
    <x:s v="CRISTINA"/>
    <x:s v="0072770"/>
    <x:s v="987045035"/>
    <x:s v="TORRES ROSSELL JUAN CARLOS"/>
    <x:s v="91501"/>
    <x:x v="7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m/>
    <x:n v="30"/>
  </x:r>
  <x:r>
    <x:d v="2026-08-20T00:00:00Z"/>
    <x:x v="2"/>
    <x:s v="104756"/>
    <x:s v="BO"/>
    <x:s v="12398"/>
    <x:s v="CO"/>
    <x:s v="BO-12398"/>
    <x:s v="TORRES ROSSELL JUAN CARLOS"/>
    <x:s v="15845906"/>
    <x:s v="FIERRO LEANDRO"/>
    <x:s v="POLICLÍNICO DIVINO NIÑO JESÚS"/>
    <x:s v="CRISTINA"/>
    <x:s v="0072770"/>
    <x:s v="987045035"/>
    <x:s v="TORRES ROSSELL JUAN CARLOS"/>
    <x:s v="91501"/>
    <x:x v="8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m/>
    <x:n v="30"/>
  </x:r>
  <x:r>
    <x:d v="2026-08-20T00:00:00Z"/>
    <x:x v="2"/>
    <x:s v="104757"/>
    <x:s v="BO"/>
    <x:s v="12399"/>
    <x:s v="CO"/>
    <x:s v="BO-12399"/>
    <x:s v="GARCIA GARAY DE ARROYO ELDER FRANCISCA"/>
    <x:s v="07096755"/>
    <x:s v="AGRAMONTE ZEA EDILBERTO"/>
    <x:s v="HOSPITAL DE LA SOLIDARIDAD SJL"/>
    <x:s v="CRISTINA"/>
    <x:s v="0072817"/>
    <x:s v="941941047"/>
    <x:s v="GARCIA GARAY DE ARROYO ELDER FRANCISCA"/>
    <x:s v="91503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87407712"/>
    <x:s v="0011-0190-0200333106"/>
    <x:n v="50"/>
  </x:r>
  <x:r>
    <x:d v="2026-08-20T00:00:00Z"/>
    <x:x v="2"/>
    <x:s v="104758"/>
    <x:s v="BO"/>
    <x:s v="4976"/>
    <x:s v="CO"/>
    <x:s v="BO-4976"/>
    <x:s v="TELLO BANDA ALEX IVAN"/>
    <x:s v="75877805"/>
    <x:s v="LEON SUAREZ LUIS"/>
    <x:m/>
    <x:s v="CRISTINA"/>
    <x:s v="0071494"/>
    <x:s v="998172241"/>
    <x:s v="TELLO BANDA ALEX IVAN"/>
    <x:s v="89233"/>
    <x:x v="4"/>
    <x:n v="1"/>
    <x:s v="PRECISA"/>
    <x:s v="INSTITUTO MEDICO QUIRURGICO AREQUIPA S.A"/>
    <x:s v="INSTITUTO MEDICO QUIRURGICO AREQUIPA S.A"/>
    <x:s v="L.NORTE"/>
    <x:s v="AALARCON"/>
    <x:n v="135.59"/>
    <x:s v="LN. EXAMENES"/>
    <x:s v="CIAS. DE SEGURO"/>
    <x:s v="NORTE"/>
    <x:m/>
    <x:m/>
    <x:n v="30"/>
  </x:r>
  <x:r>
    <x:d v="2026-08-20T00:00:00Z"/>
    <x:x v="2"/>
    <x:s v="104791"/>
    <x:s v="BO"/>
    <x:s v="566"/>
    <x:s v="CO"/>
    <x:s v="BO-566"/>
    <x:s v="HUARICACHA DE ZAPANA MERCEDES"/>
    <x:s v="18190119"/>
    <x:s v="RAMOS ALIAGA DAVID"/>
    <x:m/>
    <x:s v="CRISTINA"/>
    <x:s v="0072826"/>
    <x:s v="959806615"/>
    <x:s v="HUARICACHA DE ZAPANA MERCEDES"/>
    <x:s v="91519"/>
    <x:x v="4"/>
    <x:n v="1"/>
    <x:s v="PRECISA"/>
    <x:s v="INSTITUTO MEDICO QUIRURGICO AREQUIPA S.A"/>
    <x:s v="INSTITUTO MEDICO QUIRURGICO AREQUIPA S.A"/>
    <x:s v="L.LINCE"/>
    <x:s v="KESCUDERO"/>
    <x:n v="135.59"/>
    <x:s v="LN. EXAMENES"/>
    <x:s v="CIAS. DE SEGURO"/>
    <x:s v="LINCE"/>
    <x:m/>
    <x:m/>
    <x:n v="30"/>
  </x:r>
  <x:r>
    <x:d v="2026-08-20T00:00:00Z"/>
    <x:x v="2"/>
    <x:s v="104793"/>
    <x:s v="BO"/>
    <x:s v="4494"/>
    <x:s v="CO"/>
    <x:s v="BO-4494"/>
    <x:s v="RAMIREZ DURAND BERNARDINO"/>
    <x:s v="25608626"/>
    <x:s v="DURAN ESPINOZA CESAR ARTURO"/>
    <x:s v="CONSULTORIO LA MOLINA"/>
    <x:s v="CRISTINA"/>
    <x:s v="0072830"/>
    <x:s v="984570964"/>
    <x:s v="RAMIREZ DURAND BERNARDINO"/>
    <x:s v="91525"/>
    <x:x v="0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n v="995868651"/>
    <x:s v="191-92300592019"/>
    <x:n v="50"/>
  </x:r>
  <x:r>
    <x:d v="2026-08-20T00:00:00Z"/>
    <x:x v="2"/>
    <x:s v="104808"/>
    <x:s v="FA"/>
    <x:s v="1102"/>
    <x:s v="CO"/>
    <x:s v="FA-1102"/>
    <x:s v="LAZO CABRERA SILVIA PILAR"/>
    <x:s v="00845536"/>
    <x:m/>
    <x:m/>
    <x:s v="CRISTINA"/>
    <x:s v="0072622"/>
    <x:s v="920300383"/>
    <x:s v="CENTRO CONTRA LA CEGUERA E.I.R.L."/>
    <x:s v="91537"/>
    <x:x v="11"/>
    <x:n v="1"/>
    <x:s v="PRECISA"/>
    <x:s v="INSTITUTO MEDICO QUIRURGICO AREQUIPA S.A"/>
    <x:s v="INSTITUTO MEDICO QUIRURGICO AREQUIPA S.A"/>
    <x:s v="L.CENTRO"/>
    <x:s v="LMAGAN"/>
    <x:n v="101.69"/>
    <x:s v="LN. PROCEDIMIENTO"/>
    <x:s v="CIAS. DE SEGURO"/>
    <x:s v="CENTRO"/>
    <x:m/>
    <x:m/>
    <x:m/>
  </x:r>
  <x:r>
    <x:d v="2026-08-20T00:00:00Z"/>
    <x:x v="2"/>
    <x:s v="104827"/>
    <x:s v="BO"/>
    <x:s v="4497"/>
    <x:s v="CO"/>
    <x:s v="BO-4497"/>
    <x:s v="HUACCHA GRADOS SHEYLA ALEXANDRA"/>
    <x:s v="73723023"/>
    <x:s v="ENCISO QUILLA KARIN"/>
    <x:s v="SISOL DE LOS OLIVOS"/>
    <x:s v="CRISTINA"/>
    <x:s v="0072844"/>
    <x:s v="937337809"/>
    <x:s v="HUACCHA GRADOS SHEYLA ALEXANDRA"/>
    <x:s v="91551"/>
    <x:x v="4"/>
    <x:n v="1"/>
    <x:s v="PRECISA LN"/>
    <x:s v="POR ASIGNAR"/>
    <x:s v="INSTITUTO MEDICO QUIRURGICO AREQUIPA S.A"/>
    <x:s v="L.NORTE"/>
    <x:s v="BGALLOSA"/>
    <x:n v="135.59"/>
    <x:s v="LN. EXAMENES"/>
    <x:s v="CIAS. DE SEGURO"/>
    <x:s v="NORTE"/>
    <x:n v="950418896"/>
    <x:m/>
    <x:n v="30"/>
  </x:r>
  <x:r>
    <x:d v="2026-08-20T00:00:00Z"/>
    <x:x v="2"/>
    <x:s v="104838"/>
    <x:s v="BO"/>
    <x:s v="12407"/>
    <x:s v="CO"/>
    <x:s v="BO-12407"/>
    <x:s v="SERNA LOAYZA DE VILLAR GUILLERMINA"/>
    <x:s v="09192739"/>
    <x:s v="SAPAICO VICUÑA AUGUSTO RODRIGO"/>
    <x:s v="HOSPITAL LOAYZA"/>
    <x:s v="CRISTINA"/>
    <x:s v="0072849"/>
    <x:s v="944393636"/>
    <x:s v="SERNA LOAYZA DE VILLAR GUILLERMINA"/>
    <x:s v="91561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97145685"/>
    <x:s v="0011-0189-0200496417"/>
    <x:n v="30"/>
  </x:r>
  <x:r>
    <x:d v="2026-08-20T00:00:00Z"/>
    <x:x v="2"/>
    <x:s v="104838"/>
    <x:s v="BO"/>
    <x:s v="12407"/>
    <x:s v="CO"/>
    <x:s v="BO-12407"/>
    <x:s v="SERNA LOAYZA DE VILLAR GUILLERMINA"/>
    <x:s v="09192739"/>
    <x:s v="SAPAICO VICUÑA AUGUSTO RODRIGO"/>
    <x:s v="HOSPITAL LOAYZA"/>
    <x:s v="CRISTINA"/>
    <x:s v="0072849"/>
    <x:s v="944393636"/>
    <x:s v="SERNA LOAYZA DE VILLAR GUILLERMINA"/>
    <x:s v="91561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97145685"/>
    <x:s v="0011-0189-0200496417"/>
    <x:n v="30"/>
  </x:r>
  <x:r>
    <x:d v="2026-08-21T00:00:00Z"/>
    <x:x v="2"/>
    <x:s v="104930"/>
    <x:s v="BO"/>
    <x:s v="6193"/>
    <x:s v="CO"/>
    <x:s v="BO-6193"/>
    <x:s v="MECHAN CARMONA LIBIA FRANCISCA"/>
    <x:s v="16475110"/>
    <x:s v="LOPEZ ESPINOZA JHON"/>
    <x:m/>
    <x:s v="CRISTINA"/>
    <x:s v="0018027"/>
    <x:s v="3488295/ 99909259"/>
    <x:s v="MECHAN CARMONA LIBIA FRANCISCA"/>
    <x:s v="91618"/>
    <x:x v="2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m/>
    <x:s v="191-38880905040"/>
    <x:n v="50"/>
  </x:r>
  <x:r>
    <x:d v="2026-08-21T00:00:00Z"/>
    <x:x v="2"/>
    <x:s v="104930"/>
    <x:s v="BO"/>
    <x:s v="6193"/>
    <x:s v="CO"/>
    <x:s v="BO-6193"/>
    <x:s v="MECHAN CARMONA LIBIA FRANCISCA"/>
    <x:s v="16475110"/>
    <x:s v="LOPEZ ESPINOZA JHON"/>
    <x:m/>
    <x:s v="CRISTINA"/>
    <x:s v="0018027"/>
    <x:s v="3488295/ 99909259"/>
    <x:s v="MECHAN CARMONA LIBIA FRANCISCA"/>
    <x:s v="91618"/>
    <x:x v="5"/>
    <x:n v="1"/>
    <x:s v="PRECISA"/>
    <x:s v="INSTITUTO MEDICO QUIRURGICO AREQUIPA S.A"/>
    <x:s v="INSTITUTO MEDICO QUIRURGICO AREQUIPA S.A"/>
    <x:s v="L.CENTRO"/>
    <x:s v="ACABRERA"/>
    <x:n v="152.54"/>
    <x:s v="LN. EXAMENES"/>
    <x:s v="CIAS. DE SEGURO"/>
    <x:s v="CENTRO"/>
    <x:m/>
    <x:s v="191-38880905040"/>
    <x:n v="30"/>
  </x:r>
  <x:r>
    <x:d v="2026-08-22T00:00:00Z"/>
    <x:x v="2"/>
    <x:s v="104964"/>
    <x:s v="BO"/>
    <x:s v="12418"/>
    <x:s v="CO"/>
    <x:s v="BO-12418"/>
    <x:s v="CHAVEZ ESPINOZA GABINO"/>
    <x:s v="06823872"/>
    <x:s v="GUTARRA PAUCAR JULIA KARINA"/>
    <x:s v="CLÍNICA SAN CAMILO"/>
    <x:s v="CRISTINA"/>
    <x:s v="0072919"/>
    <x:s v="994761546"/>
    <x:s v="CHAVEZ ESPINOZA GABINO"/>
    <x:s v="91652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82673362"/>
    <x:s v="0011-0353-0200308107"/>
    <x:n v="50"/>
  </x:r>
  <x:r>
    <x:d v="2026-08-22T00:00:00Z"/>
    <x:x v="2"/>
    <x:s v="104964"/>
    <x:s v="BO"/>
    <x:s v="12418"/>
    <x:s v="CO"/>
    <x:s v="BO-12418"/>
    <x:s v="CHAVEZ ESPINOZA GABINO"/>
    <x:s v="06823872"/>
    <x:s v="GUTARRA PAUCAR JULIA KARINA"/>
    <x:s v="CLÍNICA SAN CAMILO"/>
    <x:s v="CRISTINA"/>
    <x:s v="0072919"/>
    <x:s v="994761546"/>
    <x:s v="CHAVEZ ESPINOZA GABINO"/>
    <x:s v="91652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82673362"/>
    <x:s v="0011-0353-0200308107"/>
    <x:n v="50"/>
  </x:r>
  <x:r>
    <x:d v="2026-08-22T00:00:00Z"/>
    <x:x v="2"/>
    <x:s v="104993"/>
    <x:s v="BO"/>
    <x:s v="588"/>
    <x:s v="CO"/>
    <x:s v="BO-588"/>
    <x:s v="CHIROQUE CHUNGA NELIDA"/>
    <x:s v="16624655"/>
    <x:s v="GUTARRA PAUCAR JULIA KARINA"/>
    <x:s v="CLÍNICA SAN CAMILO"/>
    <x:s v="CRISTINA"/>
    <x:s v="0064670"/>
    <x:s v="980842766"/>
    <x:s v="CHIROQUE CHUNGA NELIDA"/>
    <x:s v="91686"/>
    <x:x v="37"/>
    <x:n v="1"/>
    <x:s v="PRECISA"/>
    <x:s v="INSTITUTO MEDICO QUIRURGICO AREQUIPA S.A"/>
    <x:s v="INSTITUTO MEDICO QUIRURGICO AREQUIPA S.A"/>
    <x:s v="L.LINCE"/>
    <x:s v="KESCUDERO"/>
    <x:n v="63.56"/>
    <x:s v="LN. CONSULTA"/>
    <x:s v="CIAS. DE SEGURO"/>
    <x:s v="LINCE"/>
    <x:n v="982673362"/>
    <x:s v="0011-0353-0200308107"/>
    <x:m/>
  </x:r>
  <x:r>
    <x:d v="2026-08-22T00:00:00Z"/>
    <x:x v="2"/>
    <x:s v="105021"/>
    <x:s v="BO"/>
    <x:s v="12432"/>
    <x:s v="CO"/>
    <x:s v="BO-12432"/>
    <x:s v="GASPAR ROJAS JOSE ANTONIO"/>
    <x:s v="07631131"/>
    <x:s v="CASTRO TAMANAJA VANIA VIVIAN"/>
    <x:s v="HOSPITAL 2 DE MAYO"/>
    <x:s v="CRISTINA"/>
    <x:s v="0072935"/>
    <x:s v="996054949"/>
    <x:s v="GASPAR ROJAS JOSE ANTONIO"/>
    <x:s v="91709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86661693"/>
    <x:s v="0011-0354-0200096288"/>
    <x:n v="50"/>
  </x:r>
  <x:r>
    <x:d v="2026-08-22T00:00:00Z"/>
    <x:x v="2"/>
    <x:s v="105025"/>
    <x:s v="BO"/>
    <x:s v="6206"/>
    <x:s v="CO"/>
    <x:s v="BO-6206"/>
    <x:s v="ZAVALA CUYA LAZARO"/>
    <x:s v="08764780"/>
    <x:s v="PONCE TORRES YANISEY"/>
    <x:m/>
    <x:s v="CRISTINA"/>
    <x:s v="0041245"/>
    <x:s v="967167309"/>
    <x:s v="ZAVALA CUYA LAZARO"/>
    <x:s v="87845"/>
    <x:x v="4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s v="193-13173124085"/>
    <x:n v="30"/>
  </x:r>
  <x:r>
    <x:d v="2026-08-22T00:00:00Z"/>
    <x:x v="2"/>
    <x:s v="105027"/>
    <x:s v="BO"/>
    <x:s v="6207"/>
    <x:s v="CO"/>
    <x:s v="BO-6207"/>
    <x:s v="ZAVALA MEDRANO YENNIFER SUSANA"/>
    <x:s v="42812473"/>
    <x:s v="PONCE TORRES YANISEY"/>
    <x:m/>
    <x:s v="CRISTINA"/>
    <x:s v="0054220"/>
    <x:s v="966167309"/>
    <x:s v="ZAVALA MEDRANO YENNIFER SUSANA"/>
    <x:s v="87844"/>
    <x:x v="4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s v="193-13173124085"/>
    <x:n v="30"/>
  </x:r>
  <x:r>
    <x:d v="2026-08-22T00:00:00Z"/>
    <x:x v="2"/>
    <x:s v="105034"/>
    <x:s v="BO"/>
    <x:s v="12094"/>
    <x:s v="CO"/>
    <x:s v="BO-12094"/>
    <x:s v="BARBOZA DE OCHOA ZENOBIA"/>
    <x:s v="28586700"/>
    <x:s v="LEON SUAREZ LUIS"/>
    <x:m/>
    <x:s v="CRISTINA"/>
    <x:s v="0072663"/>
    <x:s v="998850798"/>
    <x:s v="BARBOZA DE OCHOA ZENOBIA"/>
    <x:s v="91163"/>
    <x:x v="8"/>
    <x:n v="1"/>
    <x:s v="PRECISA"/>
    <x:s v="INSTITUTO MEDICO QUIRURGICO AREQUIPA S.A"/>
    <x:s v="INSTITUTO MEDICO QUIRURGICO AREQUIPA S.A"/>
    <x:s v="L.NORTE"/>
    <x:s v="SBRUNO"/>
    <x:n v="135.59"/>
    <x:s v="LN. EXAMENES"/>
    <x:s v="CIAS. DE SEGURO"/>
    <x:s v="NORTE"/>
    <x:m/>
    <x:m/>
    <x:n v="30"/>
  </x:r>
  <x:r>
    <x:d v="2026-08-22T00:00:00Z"/>
    <x:x v="2"/>
    <x:s v="105057"/>
    <x:s v="BO"/>
    <x:s v="4531"/>
    <x:s v="CO"/>
    <x:s v="BO-4531"/>
    <x:s v="CEFERINO DIAZ MARINA"/>
    <x:s v="07171213"/>
    <x:s v="RUIZ ROJAS PAUBLO ENRIQUE"/>
    <x:s v="CONSULTORIO CUBANO COMAS"/>
    <x:s v="CRISTINA"/>
    <x:s v="0072942"/>
    <x:s v="927192309"/>
    <x:s v="CEFERINO DIAZ MARINA"/>
    <x:s v="91738"/>
    <x:x v="1"/>
    <x:n v="1"/>
    <x:s v="PRECISA LN"/>
    <x:s v="POR ASIGNAR"/>
    <x:s v="INSTITUTO MEDICO QUIRURGICO AREQUIPA S.A"/>
    <x:s v="L.NORTE"/>
    <x:s v="BGALLOSA"/>
    <x:n v="135.59"/>
    <x:s v="LN. EXAMENES"/>
    <x:s v="CIAS. DE SEGURO"/>
    <x:s v="NORTE"/>
    <x:n v="992903716"/>
    <x:s v="191-91415089071"/>
    <x:n v="30"/>
  </x:r>
  <x:r>
    <x:d v="2026-08-22T00:00:00Z"/>
    <x:x v="2"/>
    <x:s v="105059"/>
    <x:s v="BO"/>
    <x:s v="4532"/>
    <x:s v="CO"/>
    <x:s v="BO-4532"/>
    <x:s v="REYES OLIVAS CARMEN ROSA"/>
    <x:s v="09983051"/>
    <x:s v="FIERRO LEANDRO"/>
    <x:s v="POLICLÍNICO DIVINO NIÑO JESÚS"/>
    <x:s v="CRISTINA"/>
    <x:s v="0063884"/>
    <x:s v="931422659"/>
    <x:s v="REYES OLIVAS CARMEN ROSA"/>
    <x:s v="91740"/>
    <x:x v="2"/>
    <x:n v="1"/>
    <x:s v="PRECISA"/>
    <x:s v="INSTITUTO MEDICO QUIRURGICO AREQUIPA S.A"/>
    <x:s v="INSTITUTO MEDICO QUIRURGICO AREQUIPA S.A"/>
    <x:s v="L.NORTE"/>
    <x:s v="BGALLOSA"/>
    <x:n v="186.44"/>
    <x:s v="LN. EXAMENES"/>
    <x:s v="CIAS. DE SEGURO"/>
    <x:s v="NORTE"/>
    <x:m/>
    <x:m/>
    <x:n v="50"/>
  </x:r>
  <x:r>
    <x:d v="2026-08-24T00:00:00Z"/>
    <x:x v="2"/>
    <x:s v="105085"/>
    <x:s v="BO"/>
    <x:s v="6214"/>
    <x:s v="CO"/>
    <x:s v="BO-6214"/>
    <x:s v="RAMIREZ CHAVEZ ESTELISTO EMILIANO"/>
    <x:s v="08341222"/>
    <x:s v="GUTARRA PAUCAR JULIA KARINA"/>
    <x:s v="CLÍNICA SAN CAMILO"/>
    <x:s v="CRISTINA"/>
    <x:s v="0072950"/>
    <x:s v="976172570"/>
    <x:s v="RAMIREZ CHAVEZ ESTELISTO EMILIANO"/>
    <x:s v="91754"/>
    <x:x v="0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n v="982673362"/>
    <x:s v="0011-0353-0200308107"/>
    <x:n v="50"/>
  </x:r>
  <x:r>
    <x:d v="2026-08-24T00:00:00Z"/>
    <x:x v="2"/>
    <x:s v="105086"/>
    <x:s v="BO"/>
    <x:s v="6215"/>
    <x:s v="CO"/>
    <x:s v="BO-6215"/>
    <x:s v="RAMIREZ CHAVEZ ESTELISTO EMILIANO"/>
    <x:s v="08341222"/>
    <x:s v="GUTARRA PAUCAR JULIA KARINA"/>
    <x:s v="CLÍNICA SAN CAMILO"/>
    <x:s v="CRISTINA"/>
    <x:s v="0072950"/>
    <x:s v="976172570"/>
    <x:s v="RAMIREZ CHAVEZ ESTELISTO EMILIANO"/>
    <x:s v="91755"/>
    <x:x v="2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n v="982673362"/>
    <x:s v="0011-0353-0200308107"/>
    <x:n v="50"/>
  </x:r>
  <x:r>
    <x:d v="2026-08-24T00:00:00Z"/>
    <x:x v="2"/>
    <x:s v="105089"/>
    <x:s v="BO"/>
    <x:s v="6216"/>
    <x:s v="CO"/>
    <x:s v="BO-6216"/>
    <x:s v="HERMITAÑO CARO VDA DE ARROYO ANA MARIA"/>
    <x:s v="08344377"/>
    <x:s v="AGRAMONTE ZEA EDILBERTO"/>
    <x:s v="HOSPITAL DE LA SOLIDARIDAD SJL"/>
    <x:s v="CRISTINA"/>
    <x:s v="0072954"/>
    <x:s v="983120608"/>
    <x:s v="HERMITAÑO CARO VDA DE ARROYO ANA MARIA"/>
    <x:s v="91758"/>
    <x:x v="0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n v="987407712"/>
    <x:s v="0011-0190-0200333106"/>
    <x:n v="50"/>
  </x:r>
  <x:r>
    <x:d v="2026-08-24T00:00:00Z"/>
    <x:x v="2"/>
    <x:s v="105091"/>
    <x:s v="BO"/>
    <x:s v="6217"/>
    <x:s v="CO"/>
    <x:s v="BO-6217"/>
    <x:s v="VASQUEZ VASQUEZ JAVIER"/>
    <x:s v="05390636"/>
    <x:s v="SAPAICO VICUÑA AUGUSTO RODRIGO"/>
    <x:s v="HOSPITAL LOAYZA"/>
    <x:s v="CRISTINA"/>
    <x:s v="0065606"/>
    <x:s v="965930678"/>
    <x:s v="VASQUEZ VASQUEZ JAVIER"/>
    <x:s v="91762"/>
    <x:x v="2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n v="997145685"/>
    <x:s v="0011-0189-0200496417"/>
    <x:n v="50"/>
  </x:r>
  <x:r>
    <x:d v="2026-08-24T00:00:00Z"/>
    <x:x v="2"/>
    <x:s v="105109"/>
    <x:s v="BO"/>
    <x:s v="6223"/>
    <x:s v="CO"/>
    <x:s v="BO-6223"/>
    <x:s v="ALVARADO ALFARO DE PACHAS CECILIA"/>
    <x:s v="09043163"/>
    <x:s v="LLERENA LOYOLA ELSA YESENIA"/>
    <x:s v="CLINICA MAISON DE SANTE"/>
    <x:s v="CRISTINA"/>
    <x:s v="0072961"/>
    <x:s v="980783885"/>
    <x:s v="ALVARADO ALFARO DE PACHAS CECILIA"/>
    <x:s v="91786"/>
    <x:x v="4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n v="998418895"/>
    <x:s v="0011-0197-0200171031"/>
    <x:n v="30"/>
  </x:r>
  <x:r>
    <x:d v="2026-08-24T00:00:00Z"/>
    <x:x v="2"/>
    <x:s v="105109"/>
    <x:s v="BO"/>
    <x:s v="6223"/>
    <x:s v="CO"/>
    <x:s v="BO-6223"/>
    <x:s v="ALVARADO ALFARO DE PACHAS CECILIA"/>
    <x:s v="09043163"/>
    <x:s v="LLERENA LOYOLA ELSA YESENIA"/>
    <x:s v="CLINICA MAISON DE SANTE"/>
    <x:s v="CRISTINA"/>
    <x:s v="0072961"/>
    <x:s v="980783885"/>
    <x:s v="ALVARADO ALFARO DE PACHAS CECILIA"/>
    <x:s v="91786"/>
    <x:x v="5"/>
    <x:n v="1"/>
    <x:s v="PRECISA"/>
    <x:s v="INSTITUTO MEDICO QUIRURGICO AREQUIPA S.A"/>
    <x:s v="INSTITUTO MEDICO QUIRURGICO AREQUIPA S.A"/>
    <x:s v="L.CENTRO"/>
    <x:s v="ACABRERA"/>
    <x:n v="152.54"/>
    <x:s v="LN. EXAMENES"/>
    <x:s v="CIAS. DE SEGURO"/>
    <x:s v="CENTRO"/>
    <x:n v="998418895"/>
    <x:s v="0011-0197-0200171031"/>
    <x:n v="30"/>
  </x:r>
  <x:r>
    <x:d v="2026-08-24T00:00:00Z"/>
    <x:x v="2"/>
    <x:s v="105109"/>
    <x:s v="BO"/>
    <x:s v="6223"/>
    <x:s v="CO"/>
    <x:s v="BO-6223"/>
    <x:s v="ALVARADO ALFARO DE PACHAS CECILIA"/>
    <x:s v="09043163"/>
    <x:s v="LLERENA LOYOLA ELSA YESENIA"/>
    <x:s v="CLINICA MAISON DE SANTE"/>
    <x:s v="CRISTINA"/>
    <x:s v="0072961"/>
    <x:s v="980783885"/>
    <x:s v="ALVARADO ALFARO DE PACHAS CECILIA"/>
    <x:s v="91786"/>
    <x:x v="2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n v="998418895"/>
    <x:s v="0011-0197-0200171031"/>
    <x:n v="50"/>
  </x:r>
  <x:r>
    <x:d v="2026-08-24T00:00:00Z"/>
    <x:x v="2"/>
    <x:s v="105131"/>
    <x:s v="BO"/>
    <x:s v="12102"/>
    <x:s v="CO"/>
    <x:s v="BO-12102"/>
    <x:s v="CUACO SCHARFF WALBERTO OSWALDO"/>
    <x:s v="08570843"/>
    <x:s v="PONCE TORRES YANISEY"/>
    <x:m/>
    <x:s v="CRISTINA"/>
    <x:s v="0072613"/>
    <x:s v="992020655"/>
    <x:s v="CUACO SCHARFF WALBERTO OSWALDO"/>
    <x:s v="91523"/>
    <x:x v="8"/>
    <x:n v="1"/>
    <x:s v="PRECISA"/>
    <x:s v="INSTITUTO MEDICO QUIRURGICO AREQUIPA S.A"/>
    <x:s v="INSTITUTO MEDICO QUIRURGICO AREQUIPA S.A"/>
    <x:s v="L.NORTE"/>
    <x:s v="SBRUNO"/>
    <x:n v="135.59"/>
    <x:s v="LN. EXAMENES"/>
    <x:s v="CIAS. DE SEGURO"/>
    <x:s v="NORTE"/>
    <x:m/>
    <x:s v="193-13173124085"/>
    <x:n v="30"/>
  </x:r>
  <x:r>
    <x:d v="2026-08-24T00:00:00Z"/>
    <x:x v="2"/>
    <x:s v="105138"/>
    <x:s v="BO"/>
    <x:s v="4539"/>
    <x:s v="CO"/>
    <x:s v="BO-4539"/>
    <x:s v="CANAZA NINA ISIDORA"/>
    <x:s v="06208454"/>
    <x:s v="JAVE ESCALANTE LIZETH"/>
    <x:s v="HOSPITAL LOAYZA"/>
    <x:s v="CRISTINA"/>
    <x:s v="0072969"/>
    <x:s v="980289026"/>
    <x:s v="CANAZA NINA ISIDORA"/>
    <x:s v="91812"/>
    <x:x v="2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n v="999111362"/>
    <x:s v="200-3076497260"/>
    <x:n v="50"/>
  </x:r>
  <x:r>
    <x:d v="2026-08-24T00:00:00Z"/>
    <x:x v="2"/>
    <x:s v="105140"/>
    <x:s v="BO"/>
    <x:s v="6235"/>
    <x:s v="CO"/>
    <x:s v="BO-6235"/>
    <x:s v="ROMERO MEZARINA LUIS GERMAN"/>
    <x:s v="41621650"/>
    <x:s v="TUME JARA LUCIA MARIA"/>
    <x:s v="HOSPITAL SABOGAL"/>
    <x:s v="CRISTINA"/>
    <x:s v="0072971"/>
    <x:s v="945940731"/>
    <x:s v="ROMERO MEZARINA LUIS GERMAN"/>
    <x:s v="91813"/>
    <x:x v="2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n v="943089042"/>
    <x:m/>
    <x:n v="50"/>
  </x:r>
  <x:r>
    <x:d v="2026-08-24T00:00:00Z"/>
    <x:x v="2"/>
    <x:s v="105165"/>
    <x:s v="BO"/>
    <x:s v="4542"/>
    <x:s v="CO"/>
    <x:s v="BO-4542"/>
    <x:s v="CARRANZA QUISPE ISMAEL"/>
    <x:s v="10291579"/>
    <x:s v="CRISPIN MORALES NANCY JENNY"/>
    <x:s v="HOSPITAL ALMENARA"/>
    <x:s v="CRISTINA"/>
    <x:s v="0072992"/>
    <x:s v="996050251"/>
    <x:s v="CARRANZA QUISPE ISMAEL"/>
    <x:s v="91836"/>
    <x:x v="0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n v="978789268"/>
    <x:s v="193-90416675072"/>
    <x:n v="50"/>
  </x:r>
  <x:r>
    <x:d v="2026-08-24T00:00:00Z"/>
    <x:x v="2"/>
    <x:s v="105181"/>
    <x:s v="FA"/>
    <x:s v="600"/>
    <x:s v="CO"/>
    <x:s v="FA-600"/>
    <x:s v="HERVIAS PULACHE CARMEN ROSA"/>
    <x:s v="08114148"/>
    <x:s v="SONCCO HUISA BACILIO"/>
    <x:s v="ECOCENTER"/>
    <x:s v="CRISTINA"/>
    <x:s v="0072994"/>
    <x:s v="914302094"/>
    <x:s v="CENTRO MEDICO OCUMED S.A.C."/>
    <x:s v="91849"/>
    <x:x v="1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n v="990006387"/>
    <x:m/>
    <x:n v="30"/>
  </x:r>
  <x:r>
    <x:d v="2026-08-25T00:00:00Z"/>
    <x:x v="2"/>
    <x:s v="105206"/>
    <x:s v="BO"/>
    <x:s v="6250"/>
    <x:s v="CO"/>
    <x:s v="BO-6250"/>
    <x:s v="BARRETO NIEVES DEYSI MARGARITA"/>
    <x:s v="009591626"/>
    <x:s v="FIERRO LEANDRO"/>
    <x:s v="POLICLÍNICO DIVINO NIÑO JESÚS"/>
    <x:s v="CRISTINA"/>
    <x:s v="0072980"/>
    <x:s v="933975738"/>
    <x:s v="BARRETO NIEVES DEYSI MARGARITA"/>
    <x:s v="91879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m/>
    <x:m/>
    <x:m/>
  </x:r>
  <x:r>
    <x:d v="2026-08-25T00:00:00Z"/>
    <x:x v="2"/>
    <x:s v="105207"/>
    <x:s v="BO"/>
    <x:s v="6251"/>
    <x:s v="CO"/>
    <x:s v="BO-6251"/>
    <x:s v="BARRETO NIEVES DEYSI MARGARITA"/>
    <x:s v="009591626"/>
    <x:s v="FIERRO LEANDRO"/>
    <x:s v="POLICLÍNICO DIVINO NIÑO JESÚS"/>
    <x:s v="CRISTINA"/>
    <x:s v="0072980"/>
    <x:s v="933975738"/>
    <x:s v="BARRETO NIEVES DEYSI MARGARITA"/>
    <x:s v="91880"/>
    <x:x v="15"/>
    <x:n v="1"/>
    <x:s v="PRECISA"/>
    <x:s v="INSTITUTO MEDICO QUIRURGICO AREQUIPA S.A"/>
    <x:s v="INSTITUTO MEDICO QUIRURGICO AREQUIPA S.A"/>
    <x:s v="L.CENTRO"/>
    <x:s v="ACABRERA"/>
    <x:n v="127.12"/>
    <x:s v="LN. EXAMENES"/>
    <x:s v="CIAS. DE SEGURO"/>
    <x:s v="CENTRO"/>
    <x:m/>
    <x:m/>
    <x:m/>
  </x:r>
  <x:r>
    <x:d v="2026-08-25T00:00:00Z"/>
    <x:x v="2"/>
    <x:s v="105233"/>
    <x:s v="FA"/>
    <x:s v="1107"/>
    <x:s v="CO"/>
    <x:s v="FA-1107"/>
    <x:s v="QUISPE MENDOZA TEODOSIA"/>
    <x:s v="06124376"/>
    <x:s v="JAVE ESCALANTE LIZETH"/>
    <x:s v="HOSPITAL LOAYZA"/>
    <x:s v="CRISTINA"/>
    <x:s v="0073029"/>
    <x:s v="976950984"/>
    <x:s v="PERUVIAN EXPORT CRAFT S.A.C."/>
    <x:s v="91908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99111362"/>
    <x:s v="200-3076497260"/>
    <x:n v="50"/>
  </x:r>
  <x:r>
    <x:d v="2026-08-25T00:00:00Z"/>
    <x:x v="2"/>
    <x:s v="105238"/>
    <x:s v="FA"/>
    <x:s v="1108"/>
    <x:s v="CO"/>
    <x:s v="FA-1108"/>
    <x:s v="MENDOZA LLANOS CARMEN MATILDE"/>
    <x:s v="32105472"/>
    <x:s v="SALGADO CERRATE CARLOS"/>
    <x:m/>
    <x:s v="CRISTINA"/>
    <x:s v="0071966"/>
    <x:s v="971484302"/>
    <x:s v="UROPED E.I.R.L."/>
    <x:s v="91901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8-25T00:00:00Z"/>
    <x:x v="2"/>
    <x:s v="105244"/>
    <x:s v="FA"/>
    <x:s v="601"/>
    <x:s v="CO"/>
    <x:s v="FA-601"/>
    <x:s v="LOPEZ BENITO EULOGIA MAURICIA"/>
    <x:s v="04075700"/>
    <x:s v="VILLAR CURAHUA MARCELA ALEJANDRA"/>
    <x:s v="GAMARRA SALUD"/>
    <x:s v="CRISTINA"/>
    <x:s v="0072575"/>
    <x:s v="963945263"/>
    <x:s v="GAMARRA HEALTHCARE CENTER S.A.C."/>
    <x:s v="91871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n v="950133748"/>
    <x:s v="191-9953047026"/>
    <x:m/>
  </x:r>
  <x:r>
    <x:d v="2026-08-25T00:00:00Z"/>
    <x:x v="2"/>
    <x:s v="105244"/>
    <x:s v="FA"/>
    <x:s v="601"/>
    <x:s v="CO"/>
    <x:s v="FA-601"/>
    <x:s v="LOPEZ BENITO EULOGIA MAURICIA"/>
    <x:s v="04075700"/>
    <x:s v="VILLAR CURAHUA MARCELA ALEJANDRA"/>
    <x:s v="GAMARRA SALUD"/>
    <x:s v="CRISTINA"/>
    <x:s v="0072575"/>
    <x:s v="963945263"/>
    <x:s v="GAMARRA HEALTHCARE CENTER S.A.C."/>
    <x:s v="91871"/>
    <x:x v="10"/>
    <x:n v="1"/>
    <x:s v="PRECISA"/>
    <x:s v="INSTITUTO MEDICO QUIRURGICO AREQUIPA S.A"/>
    <x:s v="INSTITUTO MEDICO QUIRURGICO AREQUIPA S.A"/>
    <x:s v="L.CENTRO"/>
    <x:s v="ACABRERA"/>
    <x:n v="3211.86"/>
    <x:s v="LN. CIRUGIA"/>
    <x:s v="CIAS. DE SEGURO"/>
    <x:s v="CENTRO"/>
    <x:n v="950133748"/>
    <x:s v="191-9953047026"/>
    <x:m/>
  </x:r>
  <x:r>
    <x:d v="2026-08-25T00:00:00Z"/>
    <x:x v="2"/>
    <x:s v="105246"/>
    <x:s v="FA"/>
    <x:s v="602"/>
    <x:s v="CO"/>
    <x:s v="FA-602"/>
    <x:s v="GUIMARAY SIALER ALEJANDRO HUMBERTO"/>
    <x:s v="08353192"/>
    <x:s v="VILLAR CURAHUA MARCELA ALEJANDRA"/>
    <x:s v="GAMARRA SALUD"/>
    <x:s v="CRISTINA"/>
    <x:s v="0063491"/>
    <x:s v="989454153"/>
    <x:s v="GAMARRA HEALTHCARE CENTER S.A.C."/>
    <x:s v="91875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n v="950133748"/>
    <x:s v="191-9953047026"/>
    <x:m/>
  </x:r>
  <x:r>
    <x:d v="2026-08-25T00:00:00Z"/>
    <x:x v="2"/>
    <x:s v="105246"/>
    <x:s v="FA"/>
    <x:s v="602"/>
    <x:s v="CO"/>
    <x:s v="FA-602"/>
    <x:s v="GUIMARAY SIALER ALEJANDRO HUMBERTO"/>
    <x:s v="08353192"/>
    <x:s v="VILLAR CURAHUA MARCELA ALEJANDRA"/>
    <x:s v="GAMARRA SALUD"/>
    <x:s v="CRISTINA"/>
    <x:s v="0063491"/>
    <x:s v="989454153"/>
    <x:s v="GAMARRA HEALTHCARE CENTER S.A.C."/>
    <x:s v="91875"/>
    <x:x v="10"/>
    <x:n v="1"/>
    <x:s v="PRECISA"/>
    <x:s v="INSTITUTO MEDICO QUIRURGICO AREQUIPA S.A"/>
    <x:s v="INSTITUTO MEDICO QUIRURGICO AREQUIPA S.A"/>
    <x:s v="L.CENTRO"/>
    <x:s v="ACABRERA"/>
    <x:n v="1305.08"/>
    <x:s v="LN. CIRUGIA"/>
    <x:s v="CIAS. DE SEGURO"/>
    <x:s v="CENTRO"/>
    <x:n v="950133748"/>
    <x:s v="191-9953047026"/>
    <x:m/>
  </x:r>
  <x:r>
    <x:d v="2026-08-25T00:00:00Z"/>
    <x:x v="2"/>
    <x:s v="105250"/>
    <x:s v="FA"/>
    <x:s v="1112"/>
    <x:s v="CO"/>
    <x:s v="FA-1112"/>
    <x:s v="LOPEZ BENITO EULOGIA MAURICIA"/>
    <x:s v="04075700"/>
    <x:s v="VILLAR CURAHUA MARCELA ALEJANDRA"/>
    <x:s v="GAMARRA SALUD"/>
    <x:s v="CRISTINA"/>
    <x:s v="0072575"/>
    <x:s v="963945263"/>
    <x:s v="GAMARRA HEALTHCARE CENTER S.A.C."/>
    <x:s v="91917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50133748"/>
    <x:s v="191-9953047026"/>
    <x:n v="30"/>
  </x:r>
  <x:r>
    <x:d v="2026-08-25T00:00:00Z"/>
    <x:x v="2"/>
    <x:s v="105263"/>
    <x:s v="BO"/>
    <x:s v="12108"/>
    <x:s v="CO"/>
    <x:s v="BO-12108"/>
    <x:s v="SILVA CARRION DE GAMARRA MAXIMA DOMITILA"/>
    <x:s v="06894192"/>
    <x:s v="PAITAN QUISPE EMILYN"/>
    <x:m/>
    <x:s v="CRISTINA"/>
    <x:s v="0072137"/>
    <x:s v="941814011"/>
    <x:s v="SILVA CARRION DE GAMARRA MAXIMA DOMITILA"/>
    <x:s v="90317"/>
    <x:x v="8"/>
    <x:n v="1"/>
    <x:s v="PRECISA"/>
    <x:s v="INSTITUTO MEDICO QUIRURGICO AREQUIPA S.A"/>
    <x:s v="INSTITUTO MEDICO QUIRURGICO AREQUIPA S.A"/>
    <x:s v="L.NORTE"/>
    <x:s v="SBRUNO"/>
    <x:n v="135.59"/>
    <x:s v="LN. EXAMENES"/>
    <x:s v="CIAS. DE SEGURO"/>
    <x:s v="NORTE"/>
    <x:m/>
    <x:m/>
    <x:n v="30"/>
  </x:r>
  <x:r>
    <x:d v="2026-08-26T00:00:00Z"/>
    <x:x v="2"/>
    <x:s v="105312"/>
    <x:s v="BO"/>
    <x:s v="6255"/>
    <x:s v="CO"/>
    <x:s v="BO-6255"/>
    <x:s v="TABRAJ CASTRO YOLANDA FORTUNATA"/>
    <x:s v="19842268"/>
    <x:s v="SALGADO CERRATE CARLOS"/>
    <x:m/>
    <x:s v="CRISTINA"/>
    <x:s v="0048885"/>
    <x:s v="935547077"/>
    <x:s v="TABRAJ CASTRO YOLANDA FORTUNATA"/>
    <x:s v="91110"/>
    <x:x v="8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m/>
    <x:n v="30"/>
  </x:r>
  <x:r>
    <x:d v="2026-08-26T00:00:00Z"/>
    <x:x v="2"/>
    <x:s v="105336"/>
    <x:s v="FA"/>
    <x:s v="1113"/>
    <x:s v="CO"/>
    <x:s v="FA-1113"/>
    <x:s v="TAIPE BALCAZAR MARINA ANTONIETA"/>
    <x:s v="08308110"/>
    <x:s v="CABRERA YAIMA"/>
    <x:m/>
    <x:s v="CRISTINA"/>
    <x:s v="0073057"/>
    <x:s v="902818383"/>
    <x:s v="CABRERA RUIZ YAIMA"/>
    <x:s v="92000"/>
    <x:x v="11"/>
    <x:n v="2"/>
    <x:s v="PRECISA"/>
    <x:s v="INSTITUTO MEDICO QUIRURGICO AREQUIPA S.A"/>
    <x:s v="INSTITUTO MEDICO QUIRURGICO AREQUIPA S.A"/>
    <x:s v="L.CENTRO"/>
    <x:s v="LMAGAN"/>
    <x:n v="203.39"/>
    <x:s v="LN. PROCEDIMIENTO"/>
    <x:s v="CIAS. DE SEGURO"/>
    <x:s v="CENTRO"/>
    <x:m/>
    <x:m/>
    <x:m/>
  </x:r>
  <x:r>
    <x:d v="2026-08-26T00:00:00Z"/>
    <x:x v="2"/>
    <x:s v="105351"/>
    <x:s v="BO"/>
    <x:s v="12462"/>
    <x:s v="CO"/>
    <x:s v="BO-12462"/>
    <x:s v="GRADOS MARCOS DELIA FRANCISCA"/>
    <x:s v="07375632"/>
    <x:s v="PALACIOS URIBE PAMELA CAROLINA"/>
    <x:m/>
    <x:s v="CRISTINA"/>
    <x:s v="0057588"/>
    <x:s v="987972275"/>
    <x:s v="GRADOS MARCOS DELIA FRANCISCA"/>
    <x:s v="91982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8-26T00:00:00Z"/>
    <x:x v="2"/>
    <x:s v="105372"/>
    <x:s v="BO"/>
    <x:s v="6263"/>
    <x:s v="CO"/>
    <x:s v="BO-6263"/>
    <x:s v="YARANGA LOAYZA OLGA MARCELINA"/>
    <x:s v="28274485"/>
    <x:s v="CAMPANA BELLOTA LUIS"/>
    <x:s v="CONSULTORIO PARTICULAR"/>
    <x:s v="CRISTINA"/>
    <x:s v="0073119"/>
    <x:s v="966904959"/>
    <x:s v="YARANGA LOAYZA OLGA MARCELINA"/>
    <x:s v="92034"/>
    <x:x v="4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n v="996106133"/>
    <x:m/>
    <x:n v="30"/>
  </x:r>
  <x:r>
    <x:d v="2026-08-26T00:00:00Z"/>
    <x:x v="2"/>
    <x:s v="105377"/>
    <x:s v="FA"/>
    <x:s v="1114"/>
    <x:s v="CO"/>
    <x:s v="FA-1114"/>
    <x:s v="GONZALES DIAZ MARINO"/>
    <x:s v="01141467"/>
    <x:s v="ACOSTA VIERA ALVARO"/>
    <x:s v="CONSULTORIO PARTICULAR"/>
    <x:s v="CRISTINA"/>
    <x:s v="0072891"/>
    <x:s v="942425498"/>
    <x:s v="CENTRO CONTRA LA CEGUERA E.I.R.L."/>
    <x:s v="92035"/>
    <x:x v="11"/>
    <x:n v="1"/>
    <x:s v="PRECISA"/>
    <x:s v="INSTITUTO MEDICO QUIRURGICO AREQUIPA S.A"/>
    <x:s v="INSTITUTO MEDICO QUIRURGICO AREQUIPA S.A"/>
    <x:s v="L.CENTRO"/>
    <x:s v="LMAGAN"/>
    <x:n v="101.69"/>
    <x:s v="LN. PROCEDIMIENTO"/>
    <x:s v="CIAS. DE SEGURO"/>
    <x:s v="CENTRO"/>
    <x:n v="969791876"/>
    <x:s v="0011-0814-0256063048"/>
    <x:m/>
  </x:r>
  <x:r>
    <x:d v="2026-08-26T00:00:00Z"/>
    <x:x v="2"/>
    <x:s v="105386"/>
    <x:s v="BO"/>
    <x:s v="12468"/>
    <x:s v="CO"/>
    <x:s v="BO-12468"/>
    <x:s v="ROCA FLORES DE ROMERO IRINEA SUSANA"/>
    <x:s v="08047016"/>
    <x:s v="LEON SUAREZ LUIS"/>
    <x:m/>
    <x:s v="CRISTINA"/>
    <x:s v="0073082"/>
    <x:s v="993468698"/>
    <x:s v="ROCA FLORES DE ROMERO IRINEA SUSANA"/>
    <x:s v="92029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8-26T00:00:00Z"/>
    <x:x v="2"/>
    <x:s v="105431"/>
    <x:s v="BO"/>
    <x:s v="4565"/>
    <x:s v="CO"/>
    <x:s v="BO-4565"/>
    <x:s v="LAZO SALDARRIAGA MARIA MAGDALENA"/>
    <x:s v="07010913"/>
    <x:m/>
    <x:m/>
    <x:s v="CRISTINA"/>
    <x:s v="0073161"/>
    <x:s v="937173777"/>
    <x:s v="LAZO SALDARRIAGA MARIA MAGDALENA"/>
    <x:s v="92066"/>
    <x:x v="38"/>
    <x:n v="1"/>
    <x:s v="PRECISA LN"/>
    <x:s v="POR ASIGNAR"/>
    <x:s v="INSTITUTO MEDICO QUIRURGICO AREQUIPA S.A"/>
    <x:s v="L.NORTE"/>
    <x:s v="BGALLOSA"/>
    <x:n v="76.27"/>
    <x:s v="LN. EXAMENES"/>
    <x:s v="CIAS. DE SEGURO"/>
    <x:s v="NORTE"/>
    <x:m/>
    <x:m/>
    <x:m/>
  </x:r>
  <x:r>
    <x:d v="2026-08-26T00:00:00Z"/>
    <x:x v="2"/>
    <x:s v="105431"/>
    <x:s v="BO"/>
    <x:s v="4565"/>
    <x:s v="CO"/>
    <x:s v="BO-4565"/>
    <x:s v="LAZO SALDARRIAGA MARIA MAGDALENA"/>
    <x:s v="07010913"/>
    <x:m/>
    <x:m/>
    <x:s v="CRISTINA"/>
    <x:s v="0073161"/>
    <x:s v="937173777"/>
    <x:s v="LAZO SALDARRIAGA MARIA MAGDALENA"/>
    <x:s v="92066"/>
    <x:x v="2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m/>
    <x:m/>
    <x:n v="50"/>
  </x:r>
  <x:r>
    <x:d v="2026-08-26T00:00:00Z"/>
    <x:x v="2"/>
    <x:s v="105459"/>
    <x:s v="BO"/>
    <x:s v="12480"/>
    <x:s v="CO"/>
    <x:s v="BO-12480"/>
    <x:s v="CONTRERAS QUISPE CRISTINA"/>
    <x:s v="06222362"/>
    <x:s v="AGRAMONTE ZEA EDILBERTO"/>
    <x:s v="HOSPITAL DE LA SOLIDARIDAD SJL"/>
    <x:s v="CRISTINA"/>
    <x:s v="0073163"/>
    <x:s v="982496631"/>
    <x:s v="CONTRERAS QUISPE CRISTINA"/>
    <x:s v="92075"/>
    <x:x v="8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87407712"/>
    <x:s v="0011-0190-0200333106"/>
    <x:n v="30"/>
  </x:r>
  <x:r>
    <x:d v="2026-08-26T00:00:00Z"/>
    <x:x v="2"/>
    <x:s v="105466"/>
    <x:s v="FA"/>
    <x:s v="1115"/>
    <x:s v="CO"/>
    <x:s v="FA-1115"/>
    <x:s v="BEJARANO DE CARO FELICITA"/>
    <x:s v="15282332"/>
    <x:s v="TANAKA LUIS"/>
    <x:m/>
    <x:s v="CRISTINA"/>
    <x:s v="0073164"/>
    <x:s v="982123330"/>
    <x:s v="JDO INVERSIONES MEDICAS S.A.C."/>
    <x:s v="92079"/>
    <x:x v="33"/>
    <x:n v="2"/>
    <x:s v="PRECISA"/>
    <x:s v="INSTITUTO MEDICO QUIRURGICO AREQUIPA S.A"/>
    <x:s v="INSTITUTO MEDICO QUIRURGICO AREQUIPA S.A"/>
    <x:s v="L.CENTRO"/>
    <x:s v="LMAGAN"/>
    <x:n v="305.08"/>
    <x:s v="LN. PROCEDIMIENTO"/>
    <x:s v="CIAS. DE SEGURO"/>
    <x:s v="CENTRO"/>
    <x:m/>
    <x:m/>
    <x:m/>
  </x:r>
  <x:r>
    <x:d v="2026-08-27T00:00:00Z"/>
    <x:x v="2"/>
    <x:s v="105489"/>
    <x:s v="BO"/>
    <x:s v="12486"/>
    <x:s v="CO"/>
    <x:s v="BO-12486"/>
    <x:s v="SANDOVAL SANDOVAL JUAN ARTURO"/>
    <x:s v="20523843"/>
    <x:s v="BARZOLA CORDERO VIOLETA"/>
    <x:s v="HOSPITAL SABOGAL"/>
    <x:s v="CRISTINA"/>
    <x:s v="0067809"/>
    <x:s v="990982791"/>
    <x:s v="SANDOVAL SANDOVAL JUAN ARTURO"/>
    <x:s v="92110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45093839"/>
    <x:s v="0011-0320-0200058577"/>
    <x:n v="50"/>
  </x:r>
  <x:r>
    <x:d v="2026-08-27T00:00:00Z"/>
    <x:x v="2"/>
    <x:s v="105494"/>
    <x:s v="BO"/>
    <x:s v="12487"/>
    <x:s v="CO"/>
    <x:s v="BO-12487"/>
    <x:s v="GLAVE GARCIA PACHECO ROSANA ELENA FORTUN"/>
    <x:s v="07237974"/>
    <x:s v="PEREZ MARTINOT MANUEL RAUL"/>
    <x:s v="CONSULTORIO"/>
    <x:s v="CRISTINA"/>
    <x:s v="0049566"/>
    <x:s v="992352135"/>
    <x:s v="GLAVE GARCIA PACHECO ROSANA ELENA FORTUN"/>
    <x:s v="92114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99700200"/>
    <x:s v="194-25565979019"/>
    <x:n v="50"/>
  </x:r>
  <x:r>
    <x:d v="2026-08-27T00:00:00Z"/>
    <x:x v="2"/>
    <x:s v="105501"/>
    <x:s v="BO"/>
    <x:s v="624"/>
    <x:s v="CO"/>
    <x:s v="BO-624"/>
    <x:s v="MEZA GAMARRA RENATO GIANCARLOS"/>
    <x:s v="75877570"/>
    <x:s v="SOTO REBECA"/>
    <x:s v="HOSPITAL MILITAR"/>
    <x:s v="CRISTINA"/>
    <x:s v="0073174"/>
    <x:s v="930877102"/>
    <x:s v="MEZA GAMARRA RENATO GIANCARLOS"/>
    <x:s v="92118"/>
    <x:x v="4"/>
    <x:n v="1"/>
    <x:s v="PRECISA"/>
    <x:s v="INSTITUTO MEDICO QUIRURGICO AREQUIPA S.A"/>
    <x:s v="INSTITUTO MEDICO QUIRURGICO AREQUIPA S.A"/>
    <x:s v="L.LINCE"/>
    <x:s v="KESCUDERO"/>
    <x:n v="135.59"/>
    <x:s v="LN. EXAMENES"/>
    <x:s v="CIAS. DE SEGURO"/>
    <x:s v="LINCE"/>
    <x:n v="996132853"/>
    <x:m/>
    <x:n v="30"/>
  </x:r>
  <x:r>
    <x:d v="2026-08-27T00:00:00Z"/>
    <x:x v="2"/>
    <x:s v="105515"/>
    <x:s v="BO"/>
    <x:s v="6276"/>
    <x:s v="CO"/>
    <x:s v="BO-6276"/>
    <x:s v="LOAYZA LOAYZA DANIEL"/>
    <x:s v="15640724"/>
    <x:s v="FIERRO LEANDRO"/>
    <x:s v="POLICLÍNICO DIVINO NIÑO JESÚS"/>
    <x:s v="CRISTINA"/>
    <x:s v="0058677"/>
    <x:s v="989493571"/>
    <x:s v="LOAYZA LOAYZA DANIEL"/>
    <x:s v="92123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m/>
    <x:m/>
    <x:m/>
  </x:r>
  <x:r>
    <x:d v="2026-08-27T00:00:00Z"/>
    <x:x v="2"/>
    <x:s v="105528"/>
    <x:s v="BO"/>
    <x:s v="12490"/>
    <x:s v="CO"/>
    <x:s v="BO-12490"/>
    <x:s v="VISO TOLEDO FREDESMINDA MATILDE"/>
    <x:s v="06051472"/>
    <x:s v="PONCE TORRES YANISEY"/>
    <x:m/>
    <x:s v="CRISTINA"/>
    <x:s v="0040801"/>
    <x:s v="970878098"/>
    <x:s v="VISO TOLEDO FREDESMINDA MATILDE"/>
    <x:s v="86019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s v="193-13173124085"/>
    <x:n v="30"/>
  </x:r>
  <x:r>
    <x:d v="2026-08-27T00:00:00Z"/>
    <x:x v="2"/>
    <x:s v="105529"/>
    <x:s v="FA"/>
    <x:s v="604"/>
    <x:s v="CO"/>
    <x:s v="FA-604"/>
    <x:s v="ESCOBEDO LARA DE HERRERA NORBERTA"/>
    <x:s v="09220286"/>
    <x:s v="GAMARRA OSCAR"/>
    <x:s v="CLINICA MAISON DE SANTE"/>
    <x:s v="CRISTINA"/>
    <x:s v="0070433"/>
    <x:s v="999999999"/>
    <x:s v="GRUPO MVP S.A.C."/>
    <x:s v="91923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8-27T00:00:00Z"/>
    <x:x v="2"/>
    <x:s v="105529"/>
    <x:s v="FA"/>
    <x:s v="604"/>
    <x:s v="CO"/>
    <x:s v="FA-604"/>
    <x:s v="ESCOBEDO LARA DE HERRERA NORBERTA"/>
    <x:s v="09220286"/>
    <x:s v="GAMARRA OSCAR"/>
    <x:s v="CLINICA MAISON DE SANTE"/>
    <x:s v="CRISTINA"/>
    <x:s v="0070433"/>
    <x:s v="999999999"/>
    <x:s v="GRUPO MVP S.A.C."/>
    <x:s v="91923"/>
    <x:x v="10"/>
    <x:n v="1"/>
    <x:s v="PRECISA"/>
    <x:s v="INSTITUTO MEDICO QUIRURGICO AREQUIPA S.A"/>
    <x:s v="INSTITUTO MEDICO QUIRURGICO AREQUIPA S.A"/>
    <x:s v="L.CENTRO"/>
    <x:s v="ACABRERA"/>
    <x:n v="847.46"/>
    <x:s v="LN. CIRUGIA"/>
    <x:s v="CIAS. DE SEGURO"/>
    <x:s v="CENTRO"/>
    <x:m/>
    <x:m/>
    <x:m/>
  </x:r>
  <x:r>
    <x:d v="2026-08-27T00:00:00Z"/>
    <x:x v="2"/>
    <x:s v="105530"/>
    <x:s v="FA"/>
    <x:s v="605"/>
    <x:s v="CO"/>
    <x:s v="FA-605"/>
    <x:s v="SILVA ALVARADO SEBASTIAN"/>
    <x:s v="06837208"/>
    <x:s v="FIERRO LEANDRO"/>
    <x:s v="POLICLÍNICO DIVINO NIÑO JESÚS"/>
    <x:s v="CRISTINA"/>
    <x:s v="0072981"/>
    <x:s v="999999999"/>
    <x:s v="GRUPO MVP S.A.C."/>
    <x:s v="91924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8-27T00:00:00Z"/>
    <x:x v="2"/>
    <x:s v="105530"/>
    <x:s v="FA"/>
    <x:s v="605"/>
    <x:s v="CO"/>
    <x:s v="FA-605"/>
    <x:s v="SILVA ALVARADO SEBASTIAN"/>
    <x:s v="06837208"/>
    <x:s v="FIERRO LEANDRO"/>
    <x:s v="POLICLÍNICO DIVINO NIÑO JESÚS"/>
    <x:s v="CRISTINA"/>
    <x:s v="0072981"/>
    <x:s v="999999999"/>
    <x:s v="GRUPO MVP S.A.C."/>
    <x:s v="91924"/>
    <x:x v="39"/>
    <x:n v="1"/>
    <x:s v="PRECISA"/>
    <x:s v="INSTITUTO MEDICO QUIRURGICO AREQUIPA S.A"/>
    <x:s v="INSTITUTO MEDICO QUIRURGICO AREQUIPA S.A"/>
    <x:s v="L.CENTRO"/>
    <x:s v="ACABRERA"/>
    <x:n v="635.59"/>
    <x:s v="LN. CIRUGIA"/>
    <x:s v="CIAS. DE SEGURO"/>
    <x:s v="CENTRO"/>
    <x:m/>
    <x:m/>
    <x:m/>
  </x:r>
  <x:r>
    <x:d v="2026-08-27T00:00:00Z"/>
    <x:x v="2"/>
    <x:s v="105537"/>
    <x:s v="BO"/>
    <x:s v="6278"/>
    <x:s v="CO"/>
    <x:s v="BO-6278"/>
    <x:s v="PEÑA TORRES MARIA"/>
    <x:s v="27823999"/>
    <x:s v="FIERRO LEANDRO"/>
    <x:s v="POLICLÍNICO DIVINO NIÑO JESÚS"/>
    <x:s v="CRISTINA"/>
    <x:s v="0073186"/>
    <x:s v="961105049"/>
    <x:s v="PEÑA TORRES MARIA"/>
    <x:s v="92143"/>
    <x:x v="1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m/>
    <x:n v="30"/>
  </x:r>
  <x:r>
    <x:d v="2026-08-27T00:00:00Z"/>
    <x:x v="2"/>
    <x:s v="105537"/>
    <x:s v="BO"/>
    <x:s v="6278"/>
    <x:s v="CO"/>
    <x:s v="BO-6278"/>
    <x:s v="PEÑA TORRES MARIA"/>
    <x:s v="27823999"/>
    <x:s v="FIERRO LEANDRO"/>
    <x:s v="POLICLÍNICO DIVINO NIÑO JESÚS"/>
    <x:s v="CRISTINA"/>
    <x:s v="0073186"/>
    <x:s v="961105049"/>
    <x:s v="PEÑA TORRES MARIA"/>
    <x:s v="92143"/>
    <x:x v="0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m/>
    <x:m/>
    <x:n v="50"/>
  </x:r>
  <x:r>
    <x:d v="2026-08-27T00:00:00Z"/>
    <x:x v="2"/>
    <x:s v="105538"/>
    <x:s v="FA"/>
    <x:s v="1117"/>
    <x:s v="CO"/>
    <x:s v="FA-1117"/>
    <x:s v="TORRES ROSSELL JUAN CARLOS"/>
    <x:s v="15845906"/>
    <x:s v="FIERRO LEANDRO"/>
    <x:s v="POLICLÍNICO DIVINO NIÑO JESÚS"/>
    <x:s v="CRISTINA"/>
    <x:s v="0072770"/>
    <x:s v="987045035"/>
    <x:s v="GRUPO MEDICO INTEGRAL SOCIEDAD ANONIMA CERRADA"/>
    <x:s v="91565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8-27T00:00:00Z"/>
    <x:x v="2"/>
    <x:s v="105538"/>
    <x:s v="FA"/>
    <x:s v="1117"/>
    <x:s v="CO"/>
    <x:s v="FA-1117"/>
    <x:s v="TORRES ROSSELL JUAN CARLOS"/>
    <x:s v="15845906"/>
    <x:s v="FIERRO LEANDRO"/>
    <x:s v="POLICLÍNICO DIVINO NIÑO JESÚS"/>
    <x:s v="CRISTINA"/>
    <x:s v="0072770"/>
    <x:s v="987045035"/>
    <x:s v="GRUPO MEDICO INTEGRAL SOCIEDAD ANONIMA CERRADA"/>
    <x:s v="91565"/>
    <x:x v="10"/>
    <x:n v="1"/>
    <x:s v="PRECISA"/>
    <x:s v="INSTITUTO MEDICO QUIRURGICO AREQUIPA S.A"/>
    <x:s v="INSTITUTO MEDICO QUIRURGICO AREQUIPA S.A"/>
    <x:s v="L.CENTRO"/>
    <x:s v="LMAGAN"/>
    <x:n v="762.71"/>
    <x:s v="LN. CIRUGIA"/>
    <x:s v="CIAS. DE SEGURO"/>
    <x:s v="CENTRO"/>
    <x:m/>
    <x:m/>
    <x:m/>
  </x:r>
  <x:r>
    <x:d v="2026-08-27T00:00:00Z"/>
    <x:x v="2"/>
    <x:s v="105554"/>
    <x:s v="FA"/>
    <x:s v="1118"/>
    <x:s v="CO"/>
    <x:s v="FA-1118"/>
    <x:s v="NAUPA ROSADO PATRICIA ADELA"/>
    <x:s v="45875250"/>
    <x:s v="MANCHEGO LOMBARDI MICHAEL"/>
    <x:s v="CONSULTORIO PARTICULAR"/>
    <x:s v="CRISTINA"/>
    <x:s v="0073068"/>
    <x:s v="999999999"/>
    <x:s v="CENTRO OFTALMOLOGICO OFTALMOCARE S.R.L."/>
    <x:s v="92067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n v="970582106"/>
    <x:s v="639-3004120188"/>
    <x:m/>
  </x:r>
  <x:r>
    <x:d v="2026-08-27T00:00:00Z"/>
    <x:x v="2"/>
    <x:s v="105554"/>
    <x:s v="FA"/>
    <x:s v="1118"/>
    <x:s v="CO"/>
    <x:s v="FA-1118"/>
    <x:s v="NAUPA ROSADO PATRICIA ADELA"/>
    <x:s v="45875250"/>
    <x:s v="MANCHEGO LOMBARDI MICHAEL"/>
    <x:s v="CONSULTORIO PARTICULAR"/>
    <x:s v="CRISTINA"/>
    <x:s v="0073068"/>
    <x:s v="999999999"/>
    <x:s v="CENTRO OFTALMOLOGICO OFTALMOCARE S.R.L."/>
    <x:s v="92067"/>
    <x:x v="40"/>
    <x:n v="1"/>
    <x:s v="PRECISA"/>
    <x:s v="INSTITUTO MEDICO QUIRURGICO AREQUIPA S.A"/>
    <x:s v="INSTITUTO MEDICO QUIRURGICO AREQUIPA S.A"/>
    <x:s v="L.CENTRO"/>
    <x:s v="LMAGAN"/>
    <x:n v="139.83"/>
    <x:s v="LN. CIRUGIA"/>
    <x:s v="CIAS. DE SEGURO"/>
    <x:s v="CENTRO"/>
    <x:n v="970582106"/>
    <x:s v="639-3004120188"/>
    <x:m/>
  </x:r>
  <x:r>
    <x:d v="2026-08-27T00:00:00Z"/>
    <x:x v="2"/>
    <x:s v="105555"/>
    <x:s v="FA"/>
    <x:s v="1119"/>
    <x:s v="CO"/>
    <x:s v="FA-1119"/>
    <x:s v="LOPEZ CAVERO FELIX GABRIEL"/>
    <x:s v="08089849"/>
    <x:s v="MANCHEGO LOMBARDI MICHAEL"/>
    <x:s v="CONSULTORIO PARTICULAR"/>
    <x:s v="CRISTINA"/>
    <x:s v="0073062"/>
    <x:s v="999999999"/>
    <x:s v="CENTRO OFTALMOLOGICO OFTALMOCARE S.R.L."/>
    <x:s v="92164"/>
    <x:x v="3"/>
    <x:n v="1"/>
    <x:s v="PRECISA"/>
    <x:s v="INSTITUTO MEDICO QUIRURGICO AREQUIPA S.A"/>
    <x:s v="INSTITUTO MEDICO QUIRURGICO AREQUIPA S.A"/>
    <x:s v="L.CENTRO"/>
    <x:s v="LMAGAN"/>
    <x:n v="254.24"/>
    <x:s v="LN. PROCEDIMIENTO"/>
    <x:s v="CIAS. DE SEGURO"/>
    <x:s v="CENTRO"/>
    <x:n v="970582106"/>
    <x:s v="639-3004120188"/>
    <x:m/>
  </x:r>
  <x:r>
    <x:d v="2026-08-27T00:00:00Z"/>
    <x:x v="2"/>
    <x:s v="105569"/>
    <x:s v="BO"/>
    <x:s v="12497"/>
    <x:s v="CO"/>
    <x:s v="BO-12497"/>
    <x:s v="CARTAGENA TORRES DE TENORIO AIDA ELIZABE"/>
    <x:s v="21815510"/>
    <x:s v="CLEMENTE RODRIGUEZ JOSÉ CARLOS"/>
    <x:s v="HOSPITAL HIPOLITO UNANUE"/>
    <x:s v="CRISTINA"/>
    <x:s v="0073193"/>
    <x:s v="979689192"/>
    <x:s v="CARTAGENA TORRES DE TENORIO AIDA ELIZABE"/>
    <x:s v="92173"/>
    <x:x v="1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91104175"/>
    <x:m/>
    <x:n v="30"/>
  </x:r>
  <x:r>
    <x:d v="2026-08-28T00:00:00Z"/>
    <x:x v="2"/>
    <x:s v="105575"/>
    <x:s v="FA"/>
    <x:s v="607"/>
    <x:s v="CO"/>
    <x:s v="FA-607"/>
    <x:s v="LOAYZA LOAYZA DANIEL"/>
    <x:s v="15640724"/>
    <x:s v="FIERRO LEANDRO"/>
    <x:s v="POLICLÍNICO DIVINO NIÑO JESÚS"/>
    <x:s v="CRISTINA"/>
    <x:s v="0058677"/>
    <x:s v="989493571"/>
    <x:s v="GRUPO MEDICO INTEGRAL SOCIEDAD ANONIMA CERRADA"/>
    <x:s v="92129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8-28T00:00:00Z"/>
    <x:x v="2"/>
    <x:s v="105575"/>
    <x:s v="FA"/>
    <x:s v="607"/>
    <x:s v="CO"/>
    <x:s v="FA-607"/>
    <x:s v="LOAYZA LOAYZA DANIEL"/>
    <x:s v="15640724"/>
    <x:s v="FIERRO LEANDRO"/>
    <x:s v="POLICLÍNICO DIVINO NIÑO JESÚS"/>
    <x:s v="CRISTINA"/>
    <x:s v="0058677"/>
    <x:s v="989493571"/>
    <x:s v="GRUPO MEDICO INTEGRAL SOCIEDAD ANONIMA CERRADA"/>
    <x:s v="92129"/>
    <x:x v="41"/>
    <x:n v="1"/>
    <x:s v="PRECISA"/>
    <x:s v="INSTITUTO MEDICO QUIRURGICO AREQUIPA S.A"/>
    <x:s v="INSTITUTO MEDICO QUIRURGICO AREQUIPA S.A"/>
    <x:s v="L.CENTRO"/>
    <x:s v="ACABRERA"/>
    <x:n v="1169.49"/>
    <x:s v="LN. CIRUGIA"/>
    <x:s v="CIAS. DE SEGURO"/>
    <x:s v="CENTRO"/>
    <x:m/>
    <x:m/>
    <x:m/>
  </x:r>
  <x:r>
    <x:d v="2026-08-28T00:00:00Z"/>
    <x:x v="2"/>
    <x:s v="105580"/>
    <x:s v="BO"/>
    <x:s v="12498"/>
    <x:s v="CO"/>
    <x:s v="BO-12498"/>
    <x:s v="BEJARANO MARTELL HERRERA CESAR OCTAVIO"/>
    <x:s v="07257400"/>
    <x:s v="SAPAICO VICUÑA AUGUSTO RODRIGO"/>
    <x:s v="HOSPITAL LOAYZA"/>
    <x:s v="CRISTINA"/>
    <x:s v="0051057"/>
    <x:s v="985762261"/>
    <x:s v="BEJARANO MARTELL HERRERA CESAR OCTAVIO"/>
    <x:s v="92186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97145685"/>
    <x:s v="0011-0189-0200496417"/>
    <x:n v="30"/>
  </x:r>
  <x:r>
    <x:d v="2026-08-28T00:00:00Z"/>
    <x:x v="2"/>
    <x:s v="105664"/>
    <x:s v="BO"/>
    <x:s v="636"/>
    <x:s v="CO"/>
    <x:s v="BO-636"/>
    <x:s v="ROJAS NIÑO KARINA YSABEL"/>
    <x:s v="09937994"/>
    <x:s v="GUTARRA PAUCAR JULIA KARINA"/>
    <x:s v="CLÍNICA SAN CAMILO"/>
    <x:s v="CRISTINA"/>
    <x:s v="0073140"/>
    <x:s v="920888995"/>
    <x:s v="ROJAS NIÑO KARINA YSABEL"/>
    <x:s v="92235"/>
    <x:x v="0"/>
    <x:n v="1"/>
    <x:s v="PRECISA"/>
    <x:s v="INSTITUTO MEDICO QUIRURGICO AREQUIPA S.A"/>
    <x:s v="INSTITUTO MEDICO QUIRURGICO AREQUIPA S.A"/>
    <x:s v="L.LINCE"/>
    <x:s v="KESCUDERO"/>
    <x:n v="186.44"/>
    <x:s v="LN. EXAMENES"/>
    <x:s v="CIAS. DE SEGURO"/>
    <x:s v="LINCE"/>
    <x:n v="982673362"/>
    <x:s v="0011-0353-0200308107"/>
    <x:n v="50"/>
  </x:r>
  <x:r>
    <x:d v="2026-08-28T00:00:00Z"/>
    <x:x v="2"/>
    <x:s v="105664"/>
    <x:s v="BO"/>
    <x:s v="636"/>
    <x:s v="CO"/>
    <x:s v="BO-636"/>
    <x:s v="ROJAS NIÑO KARINA YSABEL"/>
    <x:s v="09937994"/>
    <x:s v="GUTARRA PAUCAR JULIA KARINA"/>
    <x:s v="CLÍNICA SAN CAMILO"/>
    <x:s v="CRISTINA"/>
    <x:s v="0073140"/>
    <x:s v="920888995"/>
    <x:s v="ROJAS NIÑO KARINA YSABEL"/>
    <x:s v="92235"/>
    <x:x v="2"/>
    <x:n v="1"/>
    <x:s v="PRECISA"/>
    <x:s v="INSTITUTO MEDICO QUIRURGICO AREQUIPA S.A"/>
    <x:s v="INSTITUTO MEDICO QUIRURGICO AREQUIPA S.A"/>
    <x:s v="L.LINCE"/>
    <x:s v="KESCUDERO"/>
    <x:n v="186.44"/>
    <x:s v="LN. EXAMENES"/>
    <x:s v="CIAS. DE SEGURO"/>
    <x:s v="LINCE"/>
    <x:n v="982673362"/>
    <x:s v="0011-0353-0200308107"/>
    <x:n v="50"/>
  </x:r>
  <x:r>
    <x:d v="2026-08-29T00:00:00Z"/>
    <x:x v="2"/>
    <x:s v="105689"/>
    <x:s v="BO"/>
    <x:s v="12503"/>
    <x:s v="CO"/>
    <x:s v="BO-12503"/>
    <x:s v="ESCOBAR CORIMAYA DE NEYRA LILI NANCY"/>
    <x:s v="06173377"/>
    <x:s v="CHAFLOQUE CERVANTES AUGUSTO BERNADINO"/>
    <x:s v="CONSULTORIO"/>
    <x:s v="CRISTINA"/>
    <x:s v="0073300"/>
    <x:s v="999006276"/>
    <x:s v="ESCOBAR CORIMAYA DE NEYRA LILI NANCY"/>
    <x:s v="92260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87407109"/>
    <x:s v="191-18537427072"/>
    <x:n v="50"/>
  </x:r>
  <x:r>
    <x:d v="2026-08-29T00:00:00Z"/>
    <x:x v="2"/>
    <x:s v="105737"/>
    <x:s v="BO"/>
    <x:s v="5071"/>
    <x:s v="CO"/>
    <x:s v="BO-5071"/>
    <x:s v="ARCA CHIROQUE CRISTOPHER DANGELO"/>
    <x:s v="77725218"/>
    <x:s v="RAMOS COOPER SHIRLEY IVONNE"/>
    <x:s v="HOSPITAL NAVAL"/>
    <x:s v="CRISTINA"/>
    <x:s v="0057360"/>
    <x:s v="922631752"/>
    <x:s v="ARCA CHIROQUE CRISTOPHER DANGELO"/>
    <x:s v="92307"/>
    <x:x v="12"/>
    <x:n v="1"/>
    <x:s v="PRECISA LN"/>
    <x:s v="POR ASIGNAR"/>
    <x:s v="INSTITUTO MEDICO QUIRURGICO AREQUIPA S.A"/>
    <x:s v="L.NORTE"/>
    <x:s v="AALARCON"/>
    <x:n v="152.54"/>
    <x:s v="LN. EXAMENES"/>
    <x:s v="CIAS. DE SEGURO"/>
    <x:s v="NORTE"/>
    <x:n v="980702810"/>
    <x:s v="166-3067691171"/>
    <x:n v="30"/>
  </x:r>
  <x:r>
    <x:d v="2026-08-31T00:00:00Z"/>
    <x:x v="2"/>
    <x:s v="105827"/>
    <x:s v="FA"/>
    <x:s v="611"/>
    <x:s v="CO"/>
    <x:s v="FA-611"/>
    <x:s v="GAMBOA MALAGA JORGE ROGELIO"/>
    <x:s v="07685303"/>
    <x:s v="BERROCAL VIVIANA"/>
    <x:s v="HOSPITAL MARIA AUXILIADORA"/>
    <x:s v="CRISTINA"/>
    <x:s v="0073297"/>
    <x:s v="992962096"/>
    <x:s v="VISION SANTA LUCIA S.A.C."/>
    <x:s v="92385"/>
    <x:x v="11"/>
    <x:n v="1"/>
    <x:s v="PRECISA"/>
    <x:s v="INSTITUTO MEDICO QUIRURGICO AREQUIPA S.A"/>
    <x:s v="INSTITUTO MEDICO QUIRURGICO AREQUIPA S.A"/>
    <x:s v="L.CENTRO"/>
    <x:s v="ACABRERA"/>
    <x:n v="101.69"/>
    <x:s v="LN. PROCEDIMIENTO"/>
    <x:s v="CIAS. DE SEGURO"/>
    <x:s v="CENTRO"/>
    <x:m/>
    <x:m/>
    <x:m/>
  </x:r>
  <x:r>
    <x:d v="2026-08-31T00:00:00Z"/>
    <x:x v="2"/>
    <x:s v="105905"/>
    <x:s v="BO"/>
    <x:s v="6321"/>
    <x:s v="CO"/>
    <x:s v="BO-6321"/>
    <x:s v="PEREZ ÑAUPA ROLANDO MELQUIADES"/>
    <x:s v="19812331"/>
    <x:s v="MANCHEGO LOMBARDI MICHAEL"/>
    <x:s v="CONSULTORIO PARTICULAR"/>
    <x:s v="CRISTINA"/>
    <x:s v="0073375"/>
    <x:s v="963494526"/>
    <x:s v="PEREZ ÑAUPA ROLANDO MELQUIADES"/>
    <x:s v="92442"/>
    <x:x v="4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n v="970582106"/>
    <x:s v="639-3004120188"/>
    <x:n v="30"/>
  </x:r>
  <x:r>
    <x:d v="2026-08-31T00:00:00Z"/>
    <x:x v="2"/>
    <x:s v="105914"/>
    <x:s v="BO"/>
    <x:s v="12539"/>
    <x:s v="CO"/>
    <x:s v="BO-12539"/>
    <x:s v="SALAZAR SALAZAR RAUL"/>
    <x:s v="43395296"/>
    <x:s v="JAVE ESCALANTE LIZETH"/>
    <x:s v="HOSPITAL LOAYZA"/>
    <x:s v="CRISTINA"/>
    <x:s v="0073385"/>
    <x:s v="924454968"/>
    <x:s v="SALAZAR SALAZAR RAUL"/>
    <x:s v="92459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99111362"/>
    <x:s v="200-3076497260"/>
    <x:n v="30"/>
  </x:r>
  <x:r>
    <x:d v="2026-09-01T00:00:00Z"/>
    <x:x v="3"/>
    <x:s v="105939"/>
    <x:s v="BO"/>
    <x:s v="12542"/>
    <x:s v="CO"/>
    <x:s v="BO-12542"/>
    <x:s v="OLIVERA SAMAME ROBERT EDINSON"/>
    <x:s v="72367412"/>
    <x:s v="HUAMAN ROQUE CARLOS"/>
    <x:s v="SISOL LIMA"/>
    <x:s v="CRISTINA"/>
    <x:s v="0073392"/>
    <x:s v="971278088"/>
    <x:s v="OLIVERA SAMAME ROBERT EDINSON"/>
    <x:s v="92487"/>
    <x:x v="21"/>
    <x:n v="1"/>
    <x:s v="PRECISA"/>
    <x:s v="INSTITUTO MEDICO QUIRURGICO AREQUIPA S.A"/>
    <x:s v="INSTITUTO MEDICO QUIRURGICO AREQUIPA S.A"/>
    <x:s v="L.CENTRO"/>
    <x:s v="LMAGAN"/>
    <x:n v="338.98"/>
    <x:s v="LN. EXAMENES"/>
    <x:s v="CIAS. DE SEGURO"/>
    <x:s v="CENTRO"/>
    <x:m/>
    <x:m/>
    <x:n v="100"/>
  </x:r>
  <x:r>
    <x:d v="2026-09-01T00:00:00Z"/>
    <x:x v="3"/>
    <x:s v="105954"/>
    <x:s v="BO"/>
    <x:s v="6330"/>
    <x:s v="CO"/>
    <x:s v="BO-6330"/>
    <x:s v="ESPICHAN AVALOS LAZARO FERNANDO"/>
    <x:s v="15414846"/>
    <x:s v="FIERRO LEANDRO"/>
    <x:s v="POLICLÍNICO DIVINO NIÑO JESÚS"/>
    <x:s v="CRISTINA"/>
    <x:s v="0071410"/>
    <x:s v="998 467 0"/>
    <x:s v="ESPICHAN AVALOS LAZARO FERNANDO"/>
    <x:s v="92496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m/>
    <x:m/>
    <x:m/>
  </x:r>
  <x:r>
    <x:d v="2026-09-01T00:00:00Z"/>
    <x:x v="3"/>
    <x:s v="105955"/>
    <x:s v="BO"/>
    <x:s v="12545"/>
    <x:s v="CO"/>
    <x:s v="BO-12545"/>
    <x:s v="MENDOZA DE LA CRUZ MARCOS ANTONIO"/>
    <x:s v="40665334"/>
    <x:s v="SALAZAR FUERTES JESUS ABEL"/>
    <x:s v="ESSALUD ATE"/>
    <x:s v="CRISTINA"/>
    <x:s v="0073401"/>
    <x:s v="989560874"/>
    <x:s v="MENDOZA DE LA CRUZ MARCOS ANTONIO"/>
    <x:s v="92497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92789956"/>
    <x:s v=" 0011-0115-0200235237"/>
    <x:n v="50"/>
  </x:r>
  <x:r>
    <x:d v="2026-09-01T00:00:00Z"/>
    <x:x v="3"/>
    <x:s v="105956"/>
    <x:s v="BO"/>
    <x:s v="6331"/>
    <x:s v="CO"/>
    <x:s v="BO-6331"/>
    <x:s v="YAURIMO FERNANDEZ MARINO"/>
    <x:s v="10498263"/>
    <x:s v="FIERRO LEANDRO"/>
    <x:s v="POLICLÍNICO DIVINO NIÑO JESÚS"/>
    <x:s v="CRISTINA"/>
    <x:s v="0073357"/>
    <x:s v="987424322"/>
    <x:s v="YAURIMO FERNANDEZ MARINO"/>
    <x:s v="92499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m/>
    <x:m/>
    <x:m/>
  </x:r>
  <x:r>
    <x:d v="2026-09-01T00:00:00Z"/>
    <x:x v="3"/>
    <x:s v="105958"/>
    <x:s v="BO"/>
    <x:s v="6332"/>
    <x:s v="CO"/>
    <x:s v="BO-6332"/>
    <x:s v="QUINTEROS BUSTAMANTE LUIS"/>
    <x:s v="01026635"/>
    <x:s v="FIERRO LEANDRO"/>
    <x:s v="POLICLÍNICO DIVINO NIÑO JESÚS"/>
    <x:s v="CRISTINA"/>
    <x:s v="0073366"/>
    <x:s v="955140676"/>
    <x:s v="QUINTEROS BUSTAMANTE LUIS"/>
    <x:s v="92501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m/>
    <x:m/>
    <x:m/>
  </x:r>
  <x:r>
    <x:d v="2026-09-01T00:00:00Z"/>
    <x:x v="3"/>
    <x:s v="105964"/>
    <x:s v="BO"/>
    <x:s v="6333"/>
    <x:s v="CO"/>
    <x:s v="BO-6333"/>
    <x:s v="LEON TUFINIO JORGE LUIS"/>
    <x:s v="70166072"/>
    <x:s v="LEON TUFINIO JORGE LUIS"/>
    <x:m/>
    <x:s v="CRISTINA"/>
    <x:s v="0072791"/>
    <x:s v="999999999"/>
    <x:s v="LEON TUFINIO JORGE LUIS"/>
    <x:s v="92429"/>
    <x:x v="22"/>
    <x:n v="1"/>
    <x:s v="PRECISA"/>
    <x:s v="INSTITUTO MEDICO QUIRURGICO AREQUIPA S.A"/>
    <x:s v="INSTITUTO MEDICO QUIRURGICO AREQUIPA S.A"/>
    <x:s v="L.CENTRO"/>
    <x:s v="ACABRERA"/>
    <x:n v="139.83"/>
    <x:s v="LN. CIRUGIA"/>
    <x:s v="CIAS. DE SEGURO"/>
    <x:s v="CENTRO"/>
    <x:m/>
    <x:m/>
    <x:m/>
  </x:r>
  <x:r>
    <x:d v="2026-09-01T00:00:00Z"/>
    <x:x v="3"/>
    <x:s v="105964"/>
    <x:s v="BO"/>
    <x:s v="6333"/>
    <x:s v="CO"/>
    <x:s v="BO-6333"/>
    <x:s v="LEON TUFINIO JORGE LUIS"/>
    <x:s v="70166072"/>
    <x:s v="LEON TUFINIO JORGE LUIS"/>
    <x:m/>
    <x:s v="CRISTINA"/>
    <x:s v="0072791"/>
    <x:s v="999999999"/>
    <x:s v="LEON TUFINIO JORGE LUIS"/>
    <x:s v="92429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9-01T00:00:00Z"/>
    <x:x v="3"/>
    <x:s v="105970"/>
    <x:s v="BO"/>
    <x:s v="4612"/>
    <x:s v="CO"/>
    <x:s v="BO-4612"/>
    <x:s v="ENCISO QUILLA KARIN"/>
    <x:s v="40043626"/>
    <x:s v="ENCISO QUILLA KARIN"/>
    <x:s v="SISOL DE LOS OLIVOS"/>
    <x:s v="CRISTINA"/>
    <x:s v="0009916"/>
    <x:s v="950418896"/>
    <x:s v="ENCISO QUILLA KARIN"/>
    <x:s v="92490"/>
    <x:x v="24"/>
    <x:n v="1"/>
    <x:s v="PRECISA LN"/>
    <x:s v="POR ASIGNAR"/>
    <x:s v="INSTITUTO MEDICO QUIRURGICO AREQUIPA S.A"/>
    <x:s v="L.NORTE"/>
    <x:s v="BGALLOSA"/>
    <x:n v="139.83"/>
    <x:s v="LN. CIRUGIA"/>
    <x:s v="CIAS. DE SEGURO"/>
    <x:s v="NORTE"/>
    <x:n v="950418896"/>
    <x:m/>
    <x:m/>
  </x:r>
  <x:r>
    <x:d v="2026-09-01T00:00:00Z"/>
    <x:x v="3"/>
    <x:s v="105970"/>
    <x:s v="BO"/>
    <x:s v="4612"/>
    <x:s v="CO"/>
    <x:s v="BO-4612"/>
    <x:s v="ENCISO QUILLA KARIN"/>
    <x:s v="40043626"/>
    <x:s v="ENCISO QUILLA KARIN"/>
    <x:s v="SISOL DE LOS OLIVOS"/>
    <x:s v="CRISTINA"/>
    <x:s v="0009916"/>
    <x:s v="950418896"/>
    <x:s v="ENCISO QUILLA KARIN"/>
    <x:s v="92490"/>
    <x:x v="9"/>
    <x:n v="1"/>
    <x:s v="PRECISA LN"/>
    <x:s v="POR ASIGNAR"/>
    <x:s v="INSTITUTO MEDICO QUIRURGICO AREQUIPA S.A"/>
    <x:s v="L.NORTE"/>
    <x:s v="BGALLOSA"/>
    <x:n v="0"/>
    <x:s v="LN. CIRUGIA"/>
    <x:s v="CIAS. DE SEGURO"/>
    <x:s v="NORTE"/>
    <x:n v="950418896"/>
    <x:m/>
    <x:m/>
  </x:r>
  <x:r>
    <x:d v="2026-09-01T00:00:00Z"/>
    <x:x v="3"/>
    <x:s v="106008"/>
    <x:s v="BO"/>
    <x:s v="672"/>
    <x:s v="CO"/>
    <x:s v="BO-672"/>
    <x:s v="GARCIA ROQUE INGRID MELISSA"/>
    <x:s v="47205181"/>
    <x:m/>
    <x:m/>
    <x:s v="CRISTINA"/>
    <x:s v="0073387"/>
    <x:s v="991020326"/>
    <x:s v="GARCIA ROQUE INGRID MELISSA"/>
    <x:s v="92521"/>
    <x:x v="1"/>
    <x:n v="1"/>
    <x:s v="PRECISA"/>
    <x:s v="INSTITUTO MEDICO QUIRURGICO AREQUIPA S.A"/>
    <x:s v="INSTITUTO MEDICO QUIRURGICO AREQUIPA S.A"/>
    <x:s v="L.LINCE"/>
    <x:s v="KESCUDERO"/>
    <x:n v="135.59"/>
    <x:s v="LN. EXAMENES"/>
    <x:s v="CIAS. DE SEGURO"/>
    <x:s v="LINCE"/>
    <x:m/>
    <x:m/>
    <x:n v="30"/>
  </x:r>
  <x:r>
    <x:d v="2026-09-02T00:00:00Z"/>
    <x:x v="3"/>
    <x:s v="106029"/>
    <x:s v="BO"/>
    <x:s v="6337"/>
    <x:s v="CO"/>
    <x:s v="BO-6337"/>
    <x:s v="RAMIREZ CHAVEZ ESTELISTO EMILIANO"/>
    <x:s v="08341222"/>
    <x:s v="GUTARRA PAUCAR JULIA KARINA"/>
    <x:s v="CLÍNICA SAN CAMILO"/>
    <x:s v="CRISTINA"/>
    <x:s v="0072950"/>
    <x:s v="976172570"/>
    <x:s v="RAMIREZ CHAVEZ ESTELISTO EMILIANO"/>
    <x:s v="92555"/>
    <x:x v="4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n v="982673362"/>
    <x:s v="0011-0353-0200308107"/>
    <x:n v="30"/>
  </x:r>
  <x:r>
    <x:d v="2026-09-02T00:00:00Z"/>
    <x:x v="3"/>
    <x:s v="106042"/>
    <x:s v="FA"/>
    <x:s v="612"/>
    <x:s v="CO"/>
    <x:s v="FA-612"/>
    <x:s v="COMETIVOS PANDURO MIRIAM"/>
    <x:s v="00865199"/>
    <x:s v="FIERRO LEANDRO"/>
    <x:s v="POLICLÍNICO DIVINO NIÑO JESÚS"/>
    <x:s v="CRISTINA"/>
    <x:s v="0071944"/>
    <x:s v="940163522"/>
    <x:s v="GRUPO MEDICO INTEGRAL SOCIEDAD ANONIMA CERRADA"/>
    <x:s v="92493"/>
    <x:x v="41"/>
    <x:n v="1"/>
    <x:s v="PRECISA"/>
    <x:s v="INSTITUTO MEDICO QUIRURGICO AREQUIPA S.A"/>
    <x:s v="INSTITUTO MEDICO QUIRURGICO AREQUIPA S.A"/>
    <x:s v="L.CENTRO"/>
    <x:s v="ACABRERA"/>
    <x:n v="1169.49"/>
    <x:s v="LN. CIRUGIA"/>
    <x:s v="CIAS. DE SEGURO"/>
    <x:s v="CENTRO"/>
    <x:m/>
    <x:m/>
    <x:m/>
  </x:r>
  <x:r>
    <x:d v="2026-09-02T00:00:00Z"/>
    <x:x v="3"/>
    <x:s v="106042"/>
    <x:s v="FA"/>
    <x:s v="612"/>
    <x:s v="CO"/>
    <x:s v="FA-612"/>
    <x:s v="COMETIVOS PANDURO MIRIAM"/>
    <x:s v="00865199"/>
    <x:s v="FIERRO LEANDRO"/>
    <x:s v="POLICLÍNICO DIVINO NIÑO JESÚS"/>
    <x:s v="CRISTINA"/>
    <x:s v="0071944"/>
    <x:s v="940163522"/>
    <x:s v="GRUPO MEDICO INTEGRAL SOCIEDAD ANONIMA CERRADA"/>
    <x:s v="92493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9-02T00:00:00Z"/>
    <x:x v="3"/>
    <x:s v="106095"/>
    <x:s v="FA"/>
    <x:s v="613"/>
    <x:s v="CO"/>
    <x:s v="FA-613"/>
    <x:s v="ESPICHAN AVALOS LAZARO FERNANDO"/>
    <x:s v="15414846"/>
    <x:s v="FIERRO LEANDRO"/>
    <x:s v="POLICLÍNICO DIVINO NIÑO JESÚS"/>
    <x:s v="CRISTINA"/>
    <x:s v="0071410"/>
    <x:s v="998 467 0"/>
    <x:s v="GRUPO MEDICO INTEGRAL SOCIEDAD ANONIMA CERRADA"/>
    <x:s v="92517"/>
    <x:x v="10"/>
    <x:n v="1"/>
    <x:s v="PRECISA"/>
    <x:s v="INSTITUTO MEDICO QUIRURGICO AREQUIPA S.A"/>
    <x:s v="INSTITUTO MEDICO QUIRURGICO AREQUIPA S.A"/>
    <x:s v="L.CENTRO"/>
    <x:s v="ACABRERA"/>
    <x:n v="762.71"/>
    <x:s v="LN. CIRUGIA"/>
    <x:s v="CIAS. DE SEGURO"/>
    <x:s v="CENTRO"/>
    <x:m/>
    <x:m/>
    <x:m/>
  </x:r>
  <x:r>
    <x:d v="2026-09-02T00:00:00Z"/>
    <x:x v="3"/>
    <x:s v="106095"/>
    <x:s v="FA"/>
    <x:s v="613"/>
    <x:s v="CO"/>
    <x:s v="FA-613"/>
    <x:s v="ESPICHAN AVALOS LAZARO FERNANDO"/>
    <x:s v="15414846"/>
    <x:s v="FIERRO LEANDRO"/>
    <x:s v="POLICLÍNICO DIVINO NIÑO JESÚS"/>
    <x:s v="CRISTINA"/>
    <x:s v="0071410"/>
    <x:s v="998 467 0"/>
    <x:s v="GRUPO MEDICO INTEGRAL SOCIEDAD ANONIMA CERRADA"/>
    <x:s v="92517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9-02T00:00:00Z"/>
    <x:x v="3"/>
    <x:s v="106101"/>
    <x:s v="FA"/>
    <x:s v="614"/>
    <x:s v="CO"/>
    <x:s v="FA-614"/>
    <x:s v="SILVA ALVARADO SEBASTIAN"/>
    <x:s v="06837208"/>
    <x:s v="PALACIOS URIBE PAMELA CAROLINA"/>
    <x:m/>
    <x:s v="CRISTINA"/>
    <x:s v="0072981"/>
    <x:s v="999999999"/>
    <x:s v="GRUPO MVP S.A.C."/>
    <x:s v="92510"/>
    <x:x v="10"/>
    <x:n v="1"/>
    <x:s v="PRECISA"/>
    <x:s v="INSTITUTO MEDICO QUIRURGICO AREQUIPA S.A"/>
    <x:s v="INSTITUTO MEDICO QUIRURGICO AREQUIPA S.A"/>
    <x:s v="L.CENTRO"/>
    <x:s v="ACABRERA"/>
    <x:n v="762.71"/>
    <x:s v="LN. CIRUGIA"/>
    <x:s v="CIAS. DE SEGURO"/>
    <x:s v="CENTRO"/>
    <x:m/>
    <x:m/>
    <x:m/>
  </x:r>
  <x:r>
    <x:d v="2026-09-02T00:00:00Z"/>
    <x:x v="3"/>
    <x:s v="106101"/>
    <x:s v="FA"/>
    <x:s v="614"/>
    <x:s v="CO"/>
    <x:s v="FA-614"/>
    <x:s v="SILVA ALVARADO SEBASTIAN"/>
    <x:s v="06837208"/>
    <x:s v="PALACIOS URIBE PAMELA CAROLINA"/>
    <x:m/>
    <x:s v="CRISTINA"/>
    <x:s v="0072981"/>
    <x:s v="999999999"/>
    <x:s v="GRUPO MVP S.A.C."/>
    <x:s v="92510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9-02T00:00:00Z"/>
    <x:x v="3"/>
    <x:s v="106103"/>
    <x:s v="BO"/>
    <x:s v="6345"/>
    <x:s v="CO"/>
    <x:s v="BO-6345"/>
    <x:s v="DELGADO BLANCO CRISTINA"/>
    <x:s v="09931535"/>
    <x:s v="JAVE ESCALANTE LIZETH"/>
    <x:s v="HOSPITAL LOAYZA"/>
    <x:s v="CRISTINA"/>
    <x:s v="0073453"/>
    <x:s v="990378975"/>
    <x:s v="DELGADO BLANCO CRISTINA"/>
    <x:s v="92632"/>
    <x:x v="2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n v="999111362"/>
    <x:s v="200-3076497260"/>
    <x:n v="50"/>
  </x:r>
  <x:r>
    <x:d v="2026-09-02T00:00:00Z"/>
    <x:x v="3"/>
    <x:s v="106106"/>
    <x:s v="FA"/>
    <x:s v="615"/>
    <x:s v="CO"/>
    <x:s v="FA-615"/>
    <x:s v="QUINTEROS BUSTAMANTE LUIS"/>
    <x:s v="01026635"/>
    <x:s v="FIERRO LEANDRO"/>
    <x:s v="POLICLÍNICO DIVINO NIÑO JESÚS"/>
    <x:s v="CRISTINA"/>
    <x:s v="0073366"/>
    <x:s v="955140676"/>
    <x:s v="GRUPO MEDICO INTEGRAL SOCIEDAD ANONIMA CERRADA"/>
    <x:s v="92520"/>
    <x:x v="10"/>
    <x:n v="1"/>
    <x:s v="PRECISA"/>
    <x:s v="INSTITUTO MEDICO QUIRURGICO AREQUIPA S.A"/>
    <x:s v="INSTITUTO MEDICO QUIRURGICO AREQUIPA S.A"/>
    <x:s v="L.CENTRO"/>
    <x:s v="ACABRERA"/>
    <x:n v="762.71"/>
    <x:s v="LN. CIRUGIA"/>
    <x:s v="CIAS. DE SEGURO"/>
    <x:s v="CENTRO"/>
    <x:m/>
    <x:m/>
    <x:m/>
  </x:r>
  <x:r>
    <x:d v="2026-09-02T00:00:00Z"/>
    <x:x v="3"/>
    <x:s v="106106"/>
    <x:s v="FA"/>
    <x:s v="615"/>
    <x:s v="CO"/>
    <x:s v="FA-615"/>
    <x:s v="QUINTEROS BUSTAMANTE LUIS"/>
    <x:s v="01026635"/>
    <x:s v="FIERRO LEANDRO"/>
    <x:s v="POLICLÍNICO DIVINO NIÑO JESÚS"/>
    <x:s v="CRISTINA"/>
    <x:s v="0073366"/>
    <x:s v="955140676"/>
    <x:s v="GRUPO MEDICO INTEGRAL SOCIEDAD ANONIMA CERRADA"/>
    <x:s v="92520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9-02T00:00:00Z"/>
    <x:x v="3"/>
    <x:s v="106054"/>
    <x:s v="BO"/>
    <x:s v="4621"/>
    <x:s v="CO"/>
    <x:s v="BO-4621"/>
    <x:s v="MAGUINA VARGAS DE ARANDA MIRTHA BELISA"/>
    <x:s v="08043386"/>
    <x:s v="AGRAMONTE ZEA EDILBERTO"/>
    <x:s v="HOSPITAL DE LA SOLIDARIDAD SJL"/>
    <x:s v="CRISTINA"/>
    <x:s v="0071906"/>
    <x:s v="989547202"/>
    <x:s v="MAGUINA VARGAS DE ARANDA MIRTHA BELISA"/>
    <x:s v="92585"/>
    <x:x v="1"/>
    <x:n v="1"/>
    <x:s v="PRECISA"/>
    <x:s v="INSTITUTO MEDICO QUIRURGICO AREQUIPA S.A"/>
    <x:s v="INSTITUTO MEDICO QUIRURGICO AREQUIPA S.A"/>
    <x:s v="L.NORTE"/>
    <x:s v="BGALLOSA"/>
    <x:n v="135.59"/>
    <x:s v="LN. EXAMENES"/>
    <x:s v="CIAS. DE SEGURO"/>
    <x:s v="NORTE"/>
    <x:n v="987407712"/>
    <x:s v="0011-0190-0200333106"/>
    <x:n v="30"/>
  </x:r>
  <x:r>
    <x:d v="2026-09-02T00:00:00Z"/>
    <x:x v="3"/>
    <x:s v="106077"/>
    <x:s v="BO"/>
    <x:s v="5097"/>
    <x:s v="CO"/>
    <x:s v="BO-5097"/>
    <x:s v="CABRERA VIGIL ROSA ESPERANZA"/>
    <x:s v="06542920"/>
    <x:s v="JAVE ESCALANTE LIZETH"/>
    <x:s v="HOSPITAL LOAYZA"/>
    <x:s v="CRISTINA"/>
    <x:s v="0073446"/>
    <x:s v="955013669"/>
    <x:s v="CABRERA VIGIL ROSA ESPERANZA"/>
    <x:s v="92615"/>
    <x:x v="8"/>
    <x:n v="1"/>
    <x:s v="PRECISA"/>
    <x:s v="INSTITUTO MEDICO QUIRURGICO AREQUIPA S.A"/>
    <x:s v="INSTITUTO MEDICO QUIRURGICO AREQUIPA S.A"/>
    <x:s v="L.NORTE"/>
    <x:s v="AALARCON"/>
    <x:n v="135.59"/>
    <x:s v="LN. EXAMENES"/>
    <x:s v="CIAS. DE SEGURO"/>
    <x:s v="NORTE"/>
    <x:n v="999111362"/>
    <x:s v="200-3076497260"/>
    <x:n v="30"/>
  </x:r>
  <x:r>
    <x:d v="2026-09-03T00:00:00Z"/>
    <x:x v="3"/>
    <x:s v="106140"/>
    <x:s v="BO"/>
    <x:s v="4635"/>
    <x:s v="CO"/>
    <x:s v="BO-4635"/>
    <x:s v="GUEVARA CASTILLO MAYRIOLITH"/>
    <x:s v="10440720"/>
    <x:m/>
    <x:m/>
    <x:s v="CRISTINA"/>
    <x:s v="0073473"/>
    <x:s v="902060976"/>
    <x:s v="GUEVARA CASTILLO MAYRIOLITH"/>
    <x:s v="92665"/>
    <x:x v="1"/>
    <x:n v="1"/>
    <x:s v="PRECISA LN"/>
    <x:s v="POR ASIGNAR"/>
    <x:s v="INSTITUTO MEDICO QUIRURGICO AREQUIPA S.A"/>
    <x:s v="L.NORTE"/>
    <x:s v="BGALLOSA"/>
    <x:n v="135.59"/>
    <x:s v="LN. EXAMENES"/>
    <x:s v="CIAS. DE SEGURO"/>
    <x:s v="NORTE"/>
    <x:m/>
    <x:m/>
    <x:n v="30"/>
  </x:r>
  <x:r>
    <x:d v="2026-09-03T00:00:00Z"/>
    <x:x v="3"/>
    <x:s v="106159"/>
    <x:s v="BO"/>
    <x:s v="12567"/>
    <x:s v="CO"/>
    <x:s v="BO-12567"/>
    <x:s v="BEJAR RIVERA HECTOR"/>
    <x:s v="08784630"/>
    <x:m/>
    <x:m/>
    <x:s v="CRISTINA"/>
    <x:s v="0067334"/>
    <x:s v="997819691"/>
    <x:s v="BEJAR RIVERA HECTOR"/>
    <x:s v="92683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9-03T00:00:00Z"/>
    <x:x v="3"/>
    <x:s v="106159"/>
    <x:s v="BO"/>
    <x:s v="12567"/>
    <x:s v="CO"/>
    <x:s v="BO-12567"/>
    <x:s v="BEJAR RIVERA HECTOR"/>
    <x:s v="08784630"/>
    <x:m/>
    <x:m/>
    <x:s v="CRISTINA"/>
    <x:s v="0067334"/>
    <x:s v="997819691"/>
    <x:s v="BEJAR RIVERA HECTOR"/>
    <x:s v="92683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9-03T00:00:00Z"/>
    <x:x v="3"/>
    <x:s v="106206"/>
    <x:s v="FA"/>
    <x:s v="1134"/>
    <x:s v="CO"/>
    <x:s v="FA-1134"/>
    <x:s v="BARRETO NIEVES DEYSI MARGARITA"/>
    <x:s v="009591626"/>
    <x:s v="FIERRO LEANDRO"/>
    <x:s v="POLICLÍNICO DIVINO NIÑO JESÚS"/>
    <x:s v="CRISTINA"/>
    <x:s v="0072980"/>
    <x:s v="933975738"/>
    <x:s v="GRUPO MEDICO INTEGRAL SOCIEDAD ANONIMA CERRADA"/>
    <x:s v="92684"/>
    <x:x v="10"/>
    <x:n v="1"/>
    <x:s v="PRECISA"/>
    <x:s v="INSTITUTO MEDICO QUIRURGICO AREQUIPA S.A"/>
    <x:s v="INSTITUTO MEDICO QUIRURGICO AREQUIPA S.A"/>
    <x:s v="L.CENTRO"/>
    <x:s v="LMAGAN"/>
    <x:n v="1525.42"/>
    <x:s v="LN. CIRUGIA"/>
    <x:s v="CIAS. DE SEGURO"/>
    <x:s v="CENTRO"/>
    <x:m/>
    <x:m/>
    <x:m/>
  </x:r>
  <x:r>
    <x:d v="2026-09-03T00:00:00Z"/>
    <x:x v="3"/>
    <x:s v="106206"/>
    <x:s v="FA"/>
    <x:s v="1134"/>
    <x:s v="CO"/>
    <x:s v="FA-1134"/>
    <x:s v="BARRETO NIEVES DEYSI MARGARITA"/>
    <x:s v="009591626"/>
    <x:s v="FIERRO LEANDRO"/>
    <x:s v="POLICLÍNICO DIVINO NIÑO JESÚS"/>
    <x:s v="CRISTINA"/>
    <x:s v="0072980"/>
    <x:s v="933975738"/>
    <x:s v="GRUPO MEDICO INTEGRAL SOCIEDAD ANONIMA CERRADA"/>
    <x:s v="92684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9-03T00:00:00Z"/>
    <x:x v="3"/>
    <x:s v="106157"/>
    <x:s v="BO"/>
    <x:s v="12133"/>
    <x:s v="CO"/>
    <x:s v="BO-12133"/>
    <x:s v="PALACIOS RUIZ MIGUEL ANGEL"/>
    <x:s v="43315807"/>
    <x:m/>
    <x:m/>
    <x:s v="CRISTINA"/>
    <x:s v="0073432"/>
    <x:s v="+51981538677"/>
    <x:s v="PALACIOS RUIZ MIGUEL ANGEL"/>
    <x:s v="92676"/>
    <x:x v="12"/>
    <x:n v="1"/>
    <x:s v="PRECISA"/>
    <x:s v="INSTITUTO MEDICO QUIRURGICO AREQUIPA S.A"/>
    <x:s v="INSTITUTO MEDICO QUIRURGICO AREQUIPA S.A"/>
    <x:s v="L.NORTE"/>
    <x:s v="SBRUNO"/>
    <x:n v="152.54"/>
    <x:s v="LN. EXAMENES"/>
    <x:s v="CIAS. DE SEGURO"/>
    <x:s v="NORTE"/>
    <x:m/>
    <x:m/>
    <x:n v="30"/>
  </x:r>
  <x:r>
    <x:d v="2026-09-04T00:00:00Z"/>
    <x:x v="3"/>
    <x:s v="106221"/>
    <x:s v="FA"/>
    <x:s v="619"/>
    <x:s v="CO"/>
    <x:s v="FA-619"/>
    <x:s v="PARI MAMANI LEANDRO"/>
    <x:s v="10419517"/>
    <x:s v="VILLAR CURAHUA MARCELA ALEJANDRA"/>
    <x:s v="GAMARRA SALUD"/>
    <x:s v="CRISTINA"/>
    <x:s v="0073371"/>
    <x:s v="985412589"/>
    <x:s v="GAMARRA HEALTHCARE CENTER S.A.C."/>
    <x:s v="92463"/>
    <x:x v="10"/>
    <x:n v="1"/>
    <x:s v="PRECISA"/>
    <x:s v="INSTITUTO MEDICO QUIRURGICO AREQUIPA S.A"/>
    <x:s v="INSTITUTO MEDICO QUIRURGICO AREQUIPA S.A"/>
    <x:s v="L.CENTRO"/>
    <x:s v="ACABRERA"/>
    <x:n v="1050.85"/>
    <x:s v="LN. CIRUGIA"/>
    <x:s v="CIAS. DE SEGURO"/>
    <x:s v="CENTRO"/>
    <x:n v="950133748"/>
    <x:s v="191-9953047026"/>
    <x:m/>
  </x:r>
  <x:r>
    <x:d v="2026-09-04T00:00:00Z"/>
    <x:x v="3"/>
    <x:s v="106221"/>
    <x:s v="FA"/>
    <x:s v="619"/>
    <x:s v="CO"/>
    <x:s v="FA-619"/>
    <x:s v="PARI MAMANI LEANDRO"/>
    <x:s v="10419517"/>
    <x:s v="VILLAR CURAHUA MARCELA ALEJANDRA"/>
    <x:s v="GAMARRA SALUD"/>
    <x:s v="CRISTINA"/>
    <x:s v="0073371"/>
    <x:s v="985412589"/>
    <x:s v="GAMARRA HEALTHCARE CENTER S.A.C."/>
    <x:s v="92463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n v="950133748"/>
    <x:s v="191-9953047026"/>
    <x:m/>
  </x:r>
  <x:r>
    <x:d v="2026-09-04T00:00:00Z"/>
    <x:x v="3"/>
    <x:s v="106222"/>
    <x:s v="BO"/>
    <x:s v="6352"/>
    <x:s v="CO"/>
    <x:s v="BO-6352"/>
    <x:s v="SANTAMARIA TEJADA LUCILA"/>
    <x:s v="08905427"/>
    <x:s v="HERNANDEZ PEÑA ARTURO GABRIEL"/>
    <x:s v="HOSPITAL DE POLICIA"/>
    <x:s v="CRISTINA"/>
    <x:s v="0073504"/>
    <x:s v="947170721"/>
    <x:s v="SANTAMARIA TEJADA LUCILA"/>
    <x:s v="92736"/>
    <x:x v="21"/>
    <x:n v="1"/>
    <x:s v="PRECISA"/>
    <x:s v="INSTITUTO MEDICO QUIRURGICO AREQUIPA S.A"/>
    <x:s v="INSTITUTO MEDICO QUIRURGICO AREQUIPA S.A"/>
    <x:s v="L.CENTRO"/>
    <x:s v="ACABRERA"/>
    <x:n v="338.98"/>
    <x:s v="LN. EXAMENES"/>
    <x:s v="CIAS. DE SEGURO"/>
    <x:s v="CENTRO"/>
    <x:n v="949900695"/>
    <x:s v="191-15421658031"/>
    <x:n v="100"/>
  </x:r>
  <x:r>
    <x:d v="2026-09-04T00:00:00Z"/>
    <x:x v="3"/>
    <x:s v="106223"/>
    <x:s v="FA"/>
    <x:s v="620"/>
    <x:s v="CO"/>
    <x:s v="FA-620"/>
    <x:s v="LOPEZ BENITO EULOGIA MAURICIA"/>
    <x:s v="04075700"/>
    <x:s v="VILLAR CURAHUA MARCELA ALEJANDRA"/>
    <x:s v="GAMARRA SALUD"/>
    <x:s v="CRISTINA"/>
    <x:s v="0072575"/>
    <x:s v="963945263"/>
    <x:s v="GAMARRA HEALTHCARE CENTER S.A.C."/>
    <x:s v="92462"/>
    <x:x v="10"/>
    <x:n v="1"/>
    <x:s v="PRECISA"/>
    <x:s v="INSTITUTO MEDICO QUIRURGICO AREQUIPA S.A"/>
    <x:s v="INSTITUTO MEDICO QUIRURGICO AREQUIPA S.A"/>
    <x:s v="L.CENTRO"/>
    <x:s v="ACABRERA"/>
    <x:n v="3211.86"/>
    <x:s v="LN. CIRUGIA"/>
    <x:s v="CIAS. DE SEGURO"/>
    <x:s v="CENTRO"/>
    <x:n v="950133748"/>
    <x:s v="191-9953047026"/>
    <x:m/>
  </x:r>
  <x:r>
    <x:d v="2026-09-04T00:00:00Z"/>
    <x:x v="3"/>
    <x:s v="106223"/>
    <x:s v="FA"/>
    <x:s v="620"/>
    <x:s v="CO"/>
    <x:s v="FA-620"/>
    <x:s v="LOPEZ BENITO EULOGIA MAURICIA"/>
    <x:s v="04075700"/>
    <x:s v="VILLAR CURAHUA MARCELA ALEJANDRA"/>
    <x:s v="GAMARRA SALUD"/>
    <x:s v="CRISTINA"/>
    <x:s v="0072575"/>
    <x:s v="963945263"/>
    <x:s v="GAMARRA HEALTHCARE CENTER S.A.C."/>
    <x:s v="92462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n v="950133748"/>
    <x:s v="191-9953047026"/>
    <x:m/>
  </x:r>
  <x:r>
    <x:d v="2026-09-04T00:00:00Z"/>
    <x:x v="3"/>
    <x:s v="106229"/>
    <x:s v="FA"/>
    <x:s v="1135"/>
    <x:s v="CO"/>
    <x:s v="FA-1135"/>
    <x:s v="PARI MAMANI LEANDRO"/>
    <x:s v="10419517"/>
    <x:s v="VILLAR CURAHUA MARCELA ALEJANDRA"/>
    <x:s v="GAMARRA SALUD"/>
    <x:s v="CRISTINA"/>
    <x:s v="0073371"/>
    <x:s v="985412589"/>
    <x:s v="GAMARRA HEALTHCARE CENTER S.A.C."/>
    <x:s v="92744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n v="950133748"/>
    <x:s v="191-9953047026"/>
    <x:n v="30"/>
  </x:r>
  <x:r>
    <x:d v="2026-09-04T00:00:00Z"/>
    <x:x v="3"/>
    <x:s v="106288"/>
    <x:s v="BO"/>
    <x:s v="12577"/>
    <x:s v="CO"/>
    <x:s v="BO-12577"/>
    <x:s v="RODRIGUEZ CHUQUIMANGO GIORGETTE GIOVANNI"/>
    <x:s v="46680668"/>
    <x:s v="RODRIGUEZ CHUQUIMANGO GIORGETTE GIOVANNI"/>
    <x:m/>
    <x:s v="CRISTINA"/>
    <x:s v="0073538"/>
    <x:s v="938128690"/>
    <x:s v="RODRIGUEZ CHUQUIMANGO GIORGETTE GIOVANNI"/>
    <x:s v="92782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04T00:00:00Z"/>
    <x:x v="3"/>
    <x:s v="106277"/>
    <x:s v="BO"/>
    <x:s v="472"/>
    <x:s v="CO"/>
    <x:s v="BO-472"/>
    <x:s v="SANTIN ZAPATA VDA DE PRADO NELLY YOLANDA"/>
    <x:s v="16720575"/>
    <x:m/>
    <x:m/>
    <x:s v="CRISTINA"/>
    <x:s v="0062457"/>
    <x:s v="988362277"/>
    <x:s v="SANTIN ZAPATA VDA DE PRADO NELLY YOLANDA"/>
    <x:s v="92771"/>
    <x:x v="4"/>
    <x:n v="1"/>
    <x:s v="PRECISA"/>
    <x:s v="INSTITUTO MEDICO QUIRURGICO AREQUIPA S.A"/>
    <x:s v="INSTITUTO MEDICO QUIRURGICO AREQUIPA S.A"/>
    <x:s v="L.LINCE"/>
    <x:s v="SMORENO"/>
    <x:n v="135.59"/>
    <x:s v="LN. EXAMENES"/>
    <x:s v="CIAS. DE SEGURO"/>
    <x:s v="LINCE"/>
    <x:m/>
    <x:m/>
    <x:n v="30"/>
  </x:r>
  <x:r>
    <x:d v="2026-09-05T00:00:00Z"/>
    <x:x v="3"/>
    <x:s v="106320"/>
    <x:s v="FA"/>
    <x:s v="134"/>
    <x:s v="CO"/>
    <x:s v="FA-134"/>
    <x:s v="MUNASCA TORRES NANCY MAXIMINA"/>
    <x:s v="06025531"/>
    <x:s v="LLERENA LOYOLA ELSA YESENIA"/>
    <x:s v="CLINICA MAISON DE SANTE"/>
    <x:s v="CRISTINA"/>
    <x:s v="0051299"/>
    <x:s v="998157351"/>
    <x:s v="CARMELO VELASQUEZ ISABEL"/>
    <x:s v="92803"/>
    <x:x v="2"/>
    <x:n v="1"/>
    <x:s v="PRECISA LN"/>
    <x:s v="POR ASIGNAR"/>
    <x:s v="INSTITUTO MEDICO QUIRURGICO AREQUIPA S.A"/>
    <x:s v="L.NORTE"/>
    <x:s v="BGALLOSA"/>
    <x:n v="169.49"/>
    <x:s v="LN. EXAMENES"/>
    <x:s v="CIAS. DE SEGURO"/>
    <x:s v="NORTE"/>
    <x:n v="998418895"/>
    <x:s v="0011-0197-0200171031"/>
    <x:n v="50"/>
  </x:r>
  <x:r>
    <x:d v="2026-09-05T00:00:00Z"/>
    <x:x v="3"/>
    <x:s v="106320"/>
    <x:s v="FA"/>
    <x:s v="134"/>
    <x:s v="CO"/>
    <x:s v="FA-134"/>
    <x:s v="MUNASCA TORRES NANCY MAXIMINA"/>
    <x:s v="06025531"/>
    <x:s v="LLERENA LOYOLA ELSA YESENIA"/>
    <x:s v="CLINICA MAISON DE SANTE"/>
    <x:s v="CRISTINA"/>
    <x:s v="0051299"/>
    <x:s v="998157351"/>
    <x:s v="CARMELO VELASQUEZ ISABEL"/>
    <x:s v="92803"/>
    <x:x v="0"/>
    <x:n v="1"/>
    <x:s v="PRECISA LN"/>
    <x:s v="POR ASIGNAR"/>
    <x:s v="INSTITUTO MEDICO QUIRURGICO AREQUIPA S.A"/>
    <x:s v="L.NORTE"/>
    <x:s v="BGALLOSA"/>
    <x:n v="169.49"/>
    <x:s v="LN. EXAMENES"/>
    <x:s v="CIAS. DE SEGURO"/>
    <x:s v="NORTE"/>
    <x:n v="998418895"/>
    <x:s v="0011-0197-0200171031"/>
    <x:n v="50"/>
  </x:r>
  <x:r>
    <x:d v="2026-09-05T00:00:00Z"/>
    <x:x v="3"/>
    <x:s v="106334"/>
    <x:s v="FA"/>
    <x:s v="1136"/>
    <x:s v="CO"/>
    <x:s v="FA-1136"/>
    <x:s v="CRISPIN TRAVEZAÑO ANTONIO OREB"/>
    <x:s v="40886630"/>
    <x:s v="CRISPIN TRAVEZAÑO ANTONIO OREB"/>
    <x:m/>
    <x:s v="CRISTINA"/>
    <x:s v="0073499"/>
    <x:s v="929579256"/>
    <x:s v="CENTRO OFTALMOLOGICO OFTALMOCARE S.R.L."/>
    <x:s v="92820"/>
    <x:x v="3"/>
    <x:n v="1"/>
    <x:s v="PRECISA"/>
    <x:s v="INSTITUTO MEDICO QUIRURGICO AREQUIPA S.A"/>
    <x:s v="INSTITUTO MEDICO QUIRURGICO AREQUIPA S.A"/>
    <x:s v="L.CENTRO"/>
    <x:s v="LMAGAN"/>
    <x:n v="254.24"/>
    <x:s v="LN. PROCEDIMIENTO"/>
    <x:s v="CIAS. DE SEGURO"/>
    <x:s v="CENTRO"/>
    <x:m/>
    <x:m/>
    <x:m/>
  </x:r>
  <x:r>
    <x:d v="2026-09-05T00:00:00Z"/>
    <x:x v="3"/>
    <x:s v="106352"/>
    <x:s v="BO"/>
    <x:s v="484"/>
    <x:s v="CO"/>
    <x:s v="BO-484"/>
    <x:s v="HUAPAYA BARREDA ADRIANA MICAELA"/>
    <x:s v="78325575"/>
    <x:m/>
    <x:m/>
    <x:s v="CRISTINA"/>
    <x:s v="0073531"/>
    <x:s v="+51943499354"/>
    <x:s v="HUAPAYA BARREDA ADRIANA MICAELA"/>
    <x:s v="92809"/>
    <x:x v="12"/>
    <x:n v="1"/>
    <x:s v="PRECISA"/>
    <x:s v="INSTITUTO MEDICO QUIRURGICO AREQUIPA S.A"/>
    <x:s v="INSTITUTO MEDICO QUIRURGICO AREQUIPA S.A"/>
    <x:s v="L.LINCE"/>
    <x:s v="SMORENO"/>
    <x:n v="152.54"/>
    <x:s v="LN. EXAMENES"/>
    <x:s v="CIAS. DE SEGURO"/>
    <x:s v="LINCE"/>
    <x:m/>
    <x:m/>
    <x:n v="30"/>
  </x:r>
  <x:r>
    <x:d v="2026-09-05T00:00:00Z"/>
    <x:x v="3"/>
    <x:s v="106387"/>
    <x:s v="BO"/>
    <x:s v="726"/>
    <x:s v="CO"/>
    <x:s v="BO-726"/>
    <x:s v="GALARZA ROJAS ANGELICA CELEDONIA"/>
    <x:s v="08829378"/>
    <x:m/>
    <x:m/>
    <x:s v="CRISTINA"/>
    <x:s v="0071328"/>
    <x:s v="962603623"/>
    <x:s v="GALARZA ROJAS ANGELICA CELEDONIA"/>
    <x:s v="92853"/>
    <x:x v="1"/>
    <x:n v="1"/>
    <x:s v="PRECISA"/>
    <x:s v="INSTITUTO MEDICO QUIRURGICO AREQUIPA S.A"/>
    <x:s v="INSTITUTO MEDICO QUIRURGICO AREQUIPA S.A"/>
    <x:s v="L.LINCE"/>
    <x:s v="KESCUDERO"/>
    <x:n v="135.59"/>
    <x:s v="LN. EXAMENES"/>
    <x:s v="CIAS. DE SEGURO"/>
    <x:s v="LINCE"/>
    <x:m/>
    <x:m/>
    <x:n v="30"/>
  </x:r>
  <x:r>
    <x:d v="2026-09-05T00:00:00Z"/>
    <x:x v="3"/>
    <x:s v="106391"/>
    <x:s v="BO"/>
    <x:s v="5132"/>
    <x:s v="CO"/>
    <x:s v="BO-5132"/>
    <x:s v="NEIRA TREBEJO DE LEON CARMEN"/>
    <x:s v="06853316"/>
    <x:s v="JAVE ESCALANTE LIZETH"/>
    <x:s v="HOSPITAL LOAYZA"/>
    <x:s v="CRISTINA"/>
    <x:s v="0073559"/>
    <x:s v="961719937"/>
    <x:s v="NEIRA TREBEJO DE LEON CARMEN"/>
    <x:s v="92852"/>
    <x:x v="4"/>
    <x:n v="1"/>
    <x:s v="PRECISA"/>
    <x:s v="INSTITUTO MEDICO QUIRURGICO AREQUIPA S.A"/>
    <x:s v="INSTITUTO MEDICO QUIRURGICO AREQUIPA S.A"/>
    <x:s v="L.NORTE"/>
    <x:s v="AALARCON"/>
    <x:n v="135.59"/>
    <x:s v="LN. EXAMENES"/>
    <x:s v="CIAS. DE SEGURO"/>
    <x:s v="NORTE"/>
    <x:n v="999111362"/>
    <x:s v="200-3076497260"/>
    <x:n v="30"/>
  </x:r>
  <x:r>
    <x:d v="2026-09-05T00:00:00Z"/>
    <x:x v="3"/>
    <x:s v="106409"/>
    <x:s v="FA"/>
    <x:s v="10"/>
    <x:s v="CO"/>
    <x:s v="FA-10"/>
    <x:s v="SINCLAIR REJAS PATRICIA VICTORIA"/>
    <x:s v="45635460"/>
    <x:m/>
    <x:m/>
    <x:s v="CRISTINA"/>
    <x:s v="0073539"/>
    <x:s v="936131340"/>
    <x:s v="SINCLAIR REJAS PATRICIA VICTORIA"/>
    <x:s v="92787"/>
    <x:x v="8"/>
    <x:n v="1"/>
    <x:s v="PRECISA"/>
    <x:s v="INSTITUTO MEDICO QUIRURGICO AREQUIPA S.A"/>
    <x:s v="INSTITUTO MEDICO QUIRURGICO AREQUIPA S.A"/>
    <x:s v="L.LINCE"/>
    <x:s v="SMORENO"/>
    <x:n v="135.59"/>
    <x:s v="LN. EXAMENES"/>
    <x:s v="CIAS. DE SEGURO"/>
    <x:s v="LINCE"/>
    <x:m/>
    <x:m/>
    <x:n v="30"/>
  </x:r>
  <x:r>
    <x:d v="2026-09-05T00:00:00Z"/>
    <x:x v="3"/>
    <x:s v="106409"/>
    <x:s v="FA"/>
    <x:s v="10"/>
    <x:s v="CO"/>
    <x:s v="FA-10"/>
    <x:s v="SINCLAIR REJAS PATRICIA VICTORIA"/>
    <x:s v="45635460"/>
    <x:m/>
    <x:m/>
    <x:s v="CRISTINA"/>
    <x:s v="0073539"/>
    <x:s v="936131340"/>
    <x:s v="SINCLAIR REJAS PATRICIA VICTORIA"/>
    <x:s v="92787"/>
    <x:x v="12"/>
    <x:n v="1"/>
    <x:s v="PRECISA"/>
    <x:s v="INSTITUTO MEDICO QUIRURGICO AREQUIPA S.A"/>
    <x:s v="INSTITUTO MEDICO QUIRURGICO AREQUIPA S.A"/>
    <x:s v="L.LINCE"/>
    <x:s v="SMORENO"/>
    <x:n v="152.54"/>
    <x:s v="LN. EXAMENES"/>
    <x:s v="CIAS. DE SEGURO"/>
    <x:s v="LINCE"/>
    <x:m/>
    <x:m/>
    <x:n v="30"/>
  </x:r>
  <x:r>
    <x:d v="2026-09-07T00:00:00Z"/>
    <x:x v="3"/>
    <x:s v="106463"/>
    <x:s v="BO"/>
    <x:s v="5141"/>
    <x:s v="CO"/>
    <x:s v="BO-5141"/>
    <x:s v="ALANIA MONTES DOMINGA FORTUNATA"/>
    <x:s v="08500086"/>
    <x:s v="SAPAICO VICUÑA AUGUSTO RODRIGO"/>
    <x:s v="HOSPITAL LOAYZA"/>
    <x:s v="CRISTINA"/>
    <x:s v="0073600"/>
    <x:s v="979075702"/>
    <x:s v="ALANIA MONTES DOMINGA FORTUNATA"/>
    <x:s v="92920"/>
    <x:x v="1"/>
    <x:n v="1"/>
    <x:s v="PRECISA LN"/>
    <x:s v="POR ASIGNAR"/>
    <x:s v="INSTITUTO MEDICO QUIRURGICO AREQUIPA S.A"/>
    <x:s v="L.NORTE"/>
    <x:s v="AALARCON"/>
    <x:n v="135.59"/>
    <x:s v="LN. EXAMENES"/>
    <x:s v="CIAS. DE SEGURO"/>
    <x:s v="NORTE"/>
    <x:n v="997145685"/>
    <x:s v="0011-0189-0200496417"/>
    <x:n v="30"/>
  </x:r>
  <x:r>
    <x:d v="2026-09-07T00:00:00Z"/>
    <x:x v="3"/>
    <x:s v="106468"/>
    <x:s v="BO"/>
    <x:s v="5143"/>
    <x:s v="CO"/>
    <x:s v="BO-5143"/>
    <x:s v="ZEVALLOS ZUNIGA DE MORENO MARGARITA RUBY"/>
    <x:s v="06041866"/>
    <x:m/>
    <x:m/>
    <x:s v="CRISTINA"/>
    <x:s v="0073606"/>
    <x:s v="999968835"/>
    <x:s v="ZEVALLOS ZUNIGA DE MORENO MARGARITA RUBY"/>
    <x:s v="92926"/>
    <x:x v="2"/>
    <x:n v="1"/>
    <x:s v="PRECISA LN"/>
    <x:s v="POR ASIGNAR"/>
    <x:s v="INSTITUTO MEDICO QUIRURGICO AREQUIPA S.A"/>
    <x:s v="L.NORTE"/>
    <x:s v="AALARCON"/>
    <x:n v="186.44"/>
    <x:s v="LN. EXAMENES"/>
    <x:s v="CIAS. DE SEGURO"/>
    <x:s v="NORTE"/>
    <x:m/>
    <x:m/>
    <x:n v="50"/>
  </x:r>
  <x:r>
    <x:d v="2026-09-07T00:00:00Z"/>
    <x:x v="3"/>
    <x:s v="106529"/>
    <x:s v="BO"/>
    <x:s v="12610"/>
    <x:s v="CO"/>
    <x:s v="BO-12610"/>
    <x:s v="CARDENAS OLMEDA CLAUDIO"/>
    <x:s v="10371176"/>
    <x:s v="ROJAS AQUINO EVELING KARINA"/>
    <x:s v="POLICLÍNICO ESPÍRITU SANTO"/>
    <x:s v="CRISTINA"/>
    <x:s v="0073636"/>
    <x:s v="9151385318"/>
    <x:s v="CARDENAS OLMEDA CLAUDIO"/>
    <x:s v="92982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n v="955356636"/>
    <x:s v="009-3226956615"/>
    <x:n v="50"/>
  </x:r>
  <x:r>
    <x:d v="2026-09-07T00:00:00Z"/>
    <x:x v="3"/>
    <x:s v="106454"/>
    <x:s v="BO"/>
    <x:s v="4668"/>
    <x:s v="CO"/>
    <x:s v="BO-4668"/>
    <x:s v="CASQUIÑO DE AVENDAÑO ROSAURA"/>
    <x:s v="15412642"/>
    <x:s v="PALACIOS URIBE PAMELA CAROLINA"/>
    <x:m/>
    <x:s v="CRISTINA"/>
    <x:s v="0073533"/>
    <x:s v="910 864 168"/>
    <x:s v="CASQUIÑO DE AVENDAÑO ROSAURA"/>
    <x:s v="92892"/>
    <x:x v="1"/>
    <x:n v="1"/>
    <x:s v="PRECISA"/>
    <x:s v="INSTITUTO MEDICO QUIRURGICO AREQUIPA S.A"/>
    <x:s v="INSTITUTO MEDICO QUIRURGICO AREQUIPA S.A"/>
    <x:s v="L.NORTE"/>
    <x:s v="BGALLOSA"/>
    <x:n v="135.59"/>
    <x:s v="LN. EXAMENES"/>
    <x:s v="CIAS. DE SEGURO"/>
    <x:s v="NORTE"/>
    <x:m/>
    <x:m/>
    <x:n v="30"/>
  </x:r>
  <x:r>
    <x:d v="2026-09-07T00:00:00Z"/>
    <x:x v="3"/>
    <x:s v="106484"/>
    <x:s v="BO"/>
    <x:s v="12598"/>
    <x:s v="CO"/>
    <x:s v="BO-12598"/>
    <x:s v="MONTENEGRO LOPEZ CHRISTIAN"/>
    <x:s v="43909751"/>
    <x:m/>
    <x:m/>
    <x:s v="CRISTINA"/>
    <x:s v="0055493"/>
    <x:s v="951769089"/>
    <x:s v="MONTENEGRO LOPEZ CHRISTIAN"/>
    <x:s v="92938"/>
    <x:x v="12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m/>
    <x:m/>
    <x:n v="30"/>
  </x:r>
  <x:r>
    <x:d v="2026-09-07T00:00:00Z"/>
    <x:x v="3"/>
    <x:s v="106530"/>
    <x:s v="BO"/>
    <x:s v="12611"/>
    <x:s v="CO"/>
    <x:s v="BO-12611"/>
    <x:s v="SIMON VELITA CONRADO"/>
    <x:s v="71772606"/>
    <x:m/>
    <x:m/>
    <x:s v="CRISTINA"/>
    <x:s v="0073334"/>
    <x:s v="+51901526567"/>
    <x:s v="SIMON VELITA CONRADO"/>
    <x:s v="92957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07T00:00:00Z"/>
    <x:x v="3"/>
    <x:s v="106531"/>
    <x:s v="BO"/>
    <x:s v="12612"/>
    <x:s v="CO"/>
    <x:s v="BO-12612"/>
    <x:s v="MERINO MERINO MAYLIN RAQUEL"/>
    <x:s v="75397288"/>
    <x:m/>
    <x:m/>
    <x:s v="CRISTINA"/>
    <x:s v="0073603"/>
    <x:s v="943424880"/>
    <x:s v="MERINO MERINO MAYLIN RAQUEL"/>
    <x:s v="92975"/>
    <x:x v="12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m/>
    <x:m/>
    <x:n v="30"/>
  </x:r>
  <x:r>
    <x:d v="2026-09-07T00:00:00Z"/>
    <x:x v="3"/>
    <x:s v="106535"/>
    <x:s v="BO"/>
    <x:s v="12614"/>
    <x:s v="CO"/>
    <x:s v="BO-12614"/>
    <x:s v="CASTREJÓN MIRANDA HENDER YONEL"/>
    <x:s v="71733325"/>
    <x:m/>
    <x:m/>
    <x:s v="CRISTINA"/>
    <x:s v="0073590"/>
    <x:s v="921855429"/>
    <x:s v="CASTREJÓN MIRANDA HENDER YONEL"/>
    <x:s v="92966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08T00:00:00Z"/>
    <x:x v="3"/>
    <x:s v="106603"/>
    <x:s v="BO"/>
    <x:s v="5171"/>
    <x:s v="CO"/>
    <x:s v="BO-5171"/>
    <x:s v="LEON DONAIRES RAYMUNDO"/>
    <x:s v="06916024"/>
    <x:s v="SAPAICO VICUÑA AUGUSTO RODRIGO"/>
    <x:s v="HOSPITAL LOAYZA"/>
    <x:s v="CRISTINA"/>
    <x:s v="0073668"/>
    <x:s v="967222528"/>
    <x:s v="LEON DONAIRES RAYMUNDO"/>
    <x:s v="93037"/>
    <x:x v="0"/>
    <x:n v="1"/>
    <x:s v="PRECISA LN"/>
    <x:s v="POR ASIGNAR"/>
    <x:s v="INSTITUTO MEDICO QUIRURGICO AREQUIPA S.A"/>
    <x:s v="L.NORTE"/>
    <x:s v="AALARCON"/>
    <x:n v="186.44"/>
    <x:s v="LN. EXAMENES"/>
    <x:s v="CIAS. DE SEGURO"/>
    <x:s v="NORTE"/>
    <x:n v="997145685"/>
    <x:s v="0011-0189-0200496417"/>
    <x:n v="50"/>
  </x:r>
  <x:r>
    <x:d v="2026-09-08T00:00:00Z"/>
    <x:x v="3"/>
    <x:s v="106585"/>
    <x:s v="BO"/>
    <x:s v="5166"/>
    <x:s v="CO"/>
    <x:s v="BO-5166"/>
    <x:s v="RAMBLA DE RODRIGUEZ GABY LUZ"/>
    <x:s v="25492367"/>
    <x:m/>
    <x:m/>
    <x:s v="CRISTINA"/>
    <x:s v="0073653"/>
    <x:s v="966139518"/>
    <x:s v="RAMBLA DE RODRIGUEZ GABY LUZ"/>
    <x:s v="93013"/>
    <x:x v="1"/>
    <x:n v="1"/>
    <x:s v="PRECISA"/>
    <x:s v="INSTITUTO MEDICO QUIRURGICO AREQUIPA S.A"/>
    <x:s v="INSTITUTO MEDICO QUIRURGICO AREQUIPA S.A"/>
    <x:s v="L.NORTE"/>
    <x:s v="AALARCON"/>
    <x:n v="135.59"/>
    <x:s v="LN. EXAMENES"/>
    <x:s v="CIAS. DE SEGURO"/>
    <x:s v="NORTE"/>
    <x:m/>
    <x:m/>
    <x:n v="30"/>
  </x:r>
  <x:r>
    <x:d v="2026-09-08T00:00:00Z"/>
    <x:x v="3"/>
    <x:s v="106587"/>
    <x:s v="BO"/>
    <x:s v="12630"/>
    <x:s v="CO"/>
    <x:s v="BO-12630"/>
    <x:s v="HUANCA RIVERA LIZETH YENY"/>
    <x:s v="48545473"/>
    <x:m/>
    <x:m/>
    <x:s v="CRISTINA"/>
    <x:s v="0051471"/>
    <x:s v="924540033"/>
    <x:s v="HUANCA RIVERA LIZETH YENY"/>
    <x:s v="93002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08T00:00:00Z"/>
    <x:x v="3"/>
    <x:s v="106630"/>
    <x:s v="BO"/>
    <x:s v="496"/>
    <x:s v="CO"/>
    <x:s v="BO-496"/>
    <x:s v="CABRERA ALVA FLORA ISOLDA"/>
    <x:s v="10588128"/>
    <x:s v="ACOSTA VIERA ALVARO"/>
    <x:s v="CONSULTORIO PARTICULAR"/>
    <x:s v="CRISTINA"/>
    <x:s v="0073641"/>
    <x:s v="943510849"/>
    <x:s v="CABRERA ALVA FLORA ISOLDA"/>
    <x:s v="93050"/>
    <x:x v="1"/>
    <x:n v="1"/>
    <x:s v="PRECISA"/>
    <x:s v="INSTITUTO MEDICO QUIRURGICO AREQUIPA S.A"/>
    <x:s v="INSTITUTO MEDICO QUIRURGICO AREQUIPA S.A"/>
    <x:s v="L.LINCE"/>
    <x:s v="SMORENO"/>
    <x:n v="135.59"/>
    <x:s v="LN. EXAMENES"/>
    <x:s v="CIAS. DE SEGURO"/>
    <x:s v="LINCE"/>
    <x:n v="969791876"/>
    <x:s v="0011-0814-0256063048"/>
    <x:n v="30"/>
  </x:r>
  <x:r>
    <x:d v="2026-09-08T00:00:00Z"/>
    <x:x v="3"/>
    <x:s v="106635"/>
    <x:s v="BO"/>
    <x:s v="5181"/>
    <x:s v="CO"/>
    <x:s v="BO-5181"/>
    <x:s v="GUSMAN CURO DENISSE VANESSA"/>
    <x:s v="75346669"/>
    <x:m/>
    <x:m/>
    <x:s v="CRISTINA"/>
    <x:s v="0073677"/>
    <x:s v="943568911"/>
    <x:s v="GUSMAN CURO DENISSE VANESSA"/>
    <x:s v="93059"/>
    <x:x v="12"/>
    <x:n v="1"/>
    <x:s v="PRECISA"/>
    <x:s v="INSTITUTO MEDICO QUIRURGICO AREQUIPA S.A"/>
    <x:s v="INSTITUTO MEDICO QUIRURGICO AREQUIPA S.A"/>
    <x:s v="L.NORTE"/>
    <x:s v="AALARCON"/>
    <x:n v="152.54"/>
    <x:s v="LN. EXAMENES"/>
    <x:s v="CIAS. DE SEGURO"/>
    <x:s v="NORTE"/>
    <x:m/>
    <x:m/>
    <x:n v="30"/>
  </x:r>
  <x:r>
    <x:d v="2026-09-08T00:00:00Z"/>
    <x:x v="3"/>
    <x:s v="106644"/>
    <x:s v="BO"/>
    <x:s v="498"/>
    <x:s v="CO"/>
    <x:s v="BO-498"/>
    <x:s v="CABRERA ALVA FLORA ISOLDA"/>
    <x:s v="10588128"/>
    <x:m/>
    <x:m/>
    <x:s v="CRISTINA"/>
    <x:s v="0073641"/>
    <x:s v="943510849"/>
    <x:s v="CABRERA ALVA FLORA ISOLDA"/>
    <x:s v="93050"/>
    <x:x v="21"/>
    <x:n v="1"/>
    <x:s v="PRECISA"/>
    <x:s v="INSTITUTO MEDICO QUIRURGICO AREQUIPA S.A"/>
    <x:s v="INSTITUTO MEDICO QUIRURGICO AREQUIPA S.A"/>
    <x:s v="L.LINCE"/>
    <x:s v="SMORENO"/>
    <x:n v="338.98"/>
    <x:s v="LN. EXAMENES"/>
    <x:s v="CIAS. DE SEGURO"/>
    <x:s v="LINCE"/>
    <x:m/>
    <x:m/>
    <x:n v="100"/>
  </x:r>
  <x:r>
    <x:d v="2026-09-09T00:00:00Z"/>
    <x:x v="3"/>
    <x:s v="106718"/>
    <x:s v="BO"/>
    <x:s v="12648"/>
    <x:s v="CO"/>
    <x:s v="BO-12648"/>
    <x:s v="TORRES BUSTAMANTE SONNIA JULI"/>
    <x:s v="06025459"/>
    <x:m/>
    <x:m/>
    <x:s v="CRISTINA"/>
    <x:s v="0073716"/>
    <x:s v="949223453"/>
    <x:s v="TORRES BUSTAMANTE SONNIA JULI"/>
    <x:s v="93123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9-09T00:00:00Z"/>
    <x:x v="3"/>
    <x:s v="106718"/>
    <x:s v="BO"/>
    <x:s v="12648"/>
    <x:s v="CO"/>
    <x:s v="BO-12648"/>
    <x:s v="TORRES BUSTAMANTE SONNIA JULI"/>
    <x:s v="06025459"/>
    <x:m/>
    <x:m/>
    <x:s v="CRISTINA"/>
    <x:s v="0073716"/>
    <x:s v="949223453"/>
    <x:s v="TORRES BUSTAMANTE SONNIA JULI"/>
    <x:s v="93123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9-09T00:00:00Z"/>
    <x:x v="3"/>
    <x:s v="106735"/>
    <x:s v="BO"/>
    <x:s v="5191"/>
    <x:s v="CO"/>
    <x:s v="BO-5191"/>
    <x:s v="ENCISO QUILLA KARIN"/>
    <x:s v="40043626"/>
    <x:s v="ENCISO QUILLA KARIN"/>
    <x:s v="SISOL DE LOS OLIVOS"/>
    <x:s v="CRISTINA"/>
    <x:s v="0009916"/>
    <x:s v="950418896"/>
    <x:s v="ENCISO QUILLA KARIN"/>
    <x:s v="93121"/>
    <x:x v="24"/>
    <x:n v="1"/>
    <x:s v="PRECISA LN"/>
    <x:s v="POR ASIGNAR"/>
    <x:s v="INSTITUTO MEDICO QUIRURGICO AREQUIPA S.A"/>
    <x:s v="L.NORTE"/>
    <x:s v="AALARCON"/>
    <x:n v="139.83"/>
    <x:s v="LN. CIRUGIA"/>
    <x:s v="CIAS. DE SEGURO"/>
    <x:s v="NORTE"/>
    <x:n v="950418896"/>
    <x:m/>
    <x:m/>
  </x:r>
  <x:r>
    <x:d v="2026-09-09T00:00:00Z"/>
    <x:x v="3"/>
    <x:s v="106735"/>
    <x:s v="BO"/>
    <x:s v="5191"/>
    <x:s v="CO"/>
    <x:s v="BO-5191"/>
    <x:s v="ENCISO QUILLA KARIN"/>
    <x:s v="40043626"/>
    <x:s v="ENCISO QUILLA KARIN"/>
    <x:s v="SISOL DE LOS OLIVOS"/>
    <x:s v="CRISTINA"/>
    <x:s v="0009916"/>
    <x:s v="950418896"/>
    <x:s v="ENCISO QUILLA KARIN"/>
    <x:s v="93121"/>
    <x:x v="9"/>
    <x:n v="1"/>
    <x:s v="PRECISA LN"/>
    <x:s v="POR ASIGNAR"/>
    <x:s v="INSTITUTO MEDICO QUIRURGICO AREQUIPA S.A"/>
    <x:s v="L.NORTE"/>
    <x:s v="AALARCON"/>
    <x:n v="0"/>
    <x:s v="LN. CIRUGIA"/>
    <x:s v="CIAS. DE SEGURO"/>
    <x:s v="NORTE"/>
    <x:n v="950418896"/>
    <x:m/>
    <x:m/>
  </x:r>
  <x:r>
    <x:d v="2026-09-09T00:00:00Z"/>
    <x:x v="3"/>
    <x:s v="106753"/>
    <x:s v="BO"/>
    <x:s v="6410"/>
    <x:s v="CO"/>
    <x:s v="BO-6410"/>
    <x:s v="ESCOBEDO LARA DE HERRERA NORBERTA"/>
    <x:s v="09220286"/>
    <x:s v="PALACIOS URIBE PAMELA CAROLINA"/>
    <x:m/>
    <x:s v="CRISTINA"/>
    <x:s v="0070433"/>
    <x:s v="999999999"/>
    <x:s v="GRUPO MVP S.A.C."/>
    <x:s v="93004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9-09T00:00:00Z"/>
    <x:x v="3"/>
    <x:s v="106753"/>
    <x:s v="BO"/>
    <x:s v="6410"/>
    <x:s v="CO"/>
    <x:s v="BO-6410"/>
    <x:s v="ESCOBEDO LARA DE HERRERA NORBERTA"/>
    <x:s v="09220286"/>
    <x:s v="PALACIOS URIBE PAMELA CAROLINA"/>
    <x:m/>
    <x:s v="CRISTINA"/>
    <x:s v="0070433"/>
    <x:s v="999999999"/>
    <x:s v="GRUPO MVP S.A.C."/>
    <x:s v="93004"/>
    <x:x v="10"/>
    <x:n v="1"/>
    <x:s v="PRECISA"/>
    <x:s v="INSTITUTO MEDICO QUIRURGICO AREQUIPA S.A"/>
    <x:s v="INSTITUTO MEDICO QUIRURGICO AREQUIPA S.A"/>
    <x:s v="L.CENTRO"/>
    <x:s v="ACABRERA"/>
    <x:n v="762.71"/>
    <x:s v="LN. CIRUGIA"/>
    <x:s v="CIAS. DE SEGURO"/>
    <x:s v="CENTRO"/>
    <x:m/>
    <x:m/>
    <x:m/>
  </x:r>
  <x:r>
    <x:d v="2026-09-09T00:00:00Z"/>
    <x:x v="3"/>
    <x:s v="106755"/>
    <x:s v="FA"/>
    <x:s v="623"/>
    <x:s v="CO"/>
    <x:s v="FA-623"/>
    <x:s v="SOTO FERNANDEZ FLORA"/>
    <x:s v="31018493"/>
    <x:s v="PALACIOS URIBE PAMELA CAROLINA"/>
    <x:m/>
    <x:s v="CRISTINA"/>
    <x:s v="0073596"/>
    <x:s v="999999999"/>
    <x:s v="GRUPO MVP S.A.C."/>
    <x:s v="93005"/>
    <x:x v="10"/>
    <x:n v="1"/>
    <x:s v="PRECISA"/>
    <x:s v="INSTITUTO MEDICO QUIRURGICO AREQUIPA S.A"/>
    <x:s v="INSTITUTO MEDICO QUIRURGICO AREQUIPA S.A"/>
    <x:s v="L.CENTRO"/>
    <x:s v="ACABRERA"/>
    <x:n v="847.46"/>
    <x:s v="LN. CIRUGIA"/>
    <x:s v="CIAS. DE SEGURO"/>
    <x:s v="CENTRO"/>
    <x:m/>
    <x:m/>
    <x:m/>
  </x:r>
  <x:r>
    <x:d v="2026-09-09T00:00:00Z"/>
    <x:x v="3"/>
    <x:s v="106755"/>
    <x:s v="FA"/>
    <x:s v="623"/>
    <x:s v="CO"/>
    <x:s v="FA-623"/>
    <x:s v="SOTO FERNANDEZ FLORA"/>
    <x:s v="31018493"/>
    <x:s v="PALACIOS URIBE PAMELA CAROLINA"/>
    <x:m/>
    <x:s v="CRISTINA"/>
    <x:s v="0073596"/>
    <x:s v="999999999"/>
    <x:s v="GRUPO MVP S.A.C."/>
    <x:s v="93005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9-09T00:00:00Z"/>
    <x:x v="3"/>
    <x:s v="106661"/>
    <x:s v="BO"/>
    <x:s v="4682"/>
    <x:s v="CO"/>
    <x:s v="BO-4682"/>
    <x:s v="GUTIERREZ PULTAY PAULINA"/>
    <x:s v="06065150"/>
    <x:s v="PAITAN QUISPE EMILYN"/>
    <x:m/>
    <x:s v="CRISTINA"/>
    <x:s v="0073689"/>
    <x:s v="+51981243092"/>
    <x:s v="GUTIERREZ PULTAY PAULINA"/>
    <x:s v="93081"/>
    <x:x v="1"/>
    <x:n v="1"/>
    <x:s v="PRECISA"/>
    <x:s v="INSTITUTO MEDICO QUIRURGICO AREQUIPA S.A"/>
    <x:s v="INSTITUTO MEDICO QUIRURGICO AREQUIPA S.A"/>
    <x:s v="L.NORTE"/>
    <x:s v="BGALLOSA"/>
    <x:n v="135.59"/>
    <x:s v="LN. EXAMENES"/>
    <x:s v="CIAS. DE SEGURO"/>
    <x:s v="NORTE"/>
    <x:m/>
    <x:m/>
    <x:n v="30"/>
  </x:r>
  <x:r>
    <x:d v="2026-09-09T00:00:00Z"/>
    <x:x v="3"/>
    <x:s v="106686"/>
    <x:s v="BO"/>
    <x:s v="502"/>
    <x:s v="CO"/>
    <x:s v="BO-502"/>
    <x:s v="TALAVERANO NAVARRO ROSA SALOME"/>
    <x:s v="10561537"/>
    <x:m/>
    <x:m/>
    <x:s v="CRISTINA"/>
    <x:s v="0073702"/>
    <x:s v="994914602"/>
    <x:s v="TALAVERANO NAVARRO ROSA SALOME"/>
    <x:s v="93103"/>
    <x:x v="1"/>
    <x:n v="1"/>
    <x:s v="PRECISA"/>
    <x:s v="INSTITUTO MEDICO QUIRURGICO AREQUIPA S.A"/>
    <x:s v="INSTITUTO MEDICO QUIRURGICO AREQUIPA S.A"/>
    <x:s v="L.LINCE"/>
    <x:s v="SMORENO"/>
    <x:n v="135.59"/>
    <x:s v="LN. EXAMENES"/>
    <x:s v="CIAS. DE SEGURO"/>
    <x:s v="LINCE"/>
    <x:m/>
    <x:m/>
    <x:n v="30"/>
  </x:r>
  <x:r>
    <x:d v="2026-09-09T00:00:00Z"/>
    <x:x v="3"/>
    <x:s v="106691"/>
    <x:s v="BO"/>
    <x:s v="5188"/>
    <x:s v="CO"/>
    <x:s v="BO-5188"/>
    <x:s v="ESCALANTE ANGULO MARIA FELICITA"/>
    <x:s v="41480528"/>
    <x:s v="PAITAN QUISPE EMILYN"/>
    <x:m/>
    <x:s v="CRISTINA"/>
    <x:s v="0073671"/>
    <x:s v="996699900"/>
    <x:s v="ESCALANTE ANGULO MARIA FELICITA"/>
    <x:s v="93084"/>
    <x:x v="1"/>
    <x:n v="1"/>
    <x:s v="PRECISA"/>
    <x:s v="INSTITUTO MEDICO QUIRURGICO AREQUIPA S.A"/>
    <x:s v="INSTITUTO MEDICO QUIRURGICO AREQUIPA S.A"/>
    <x:s v="L.NORTE"/>
    <x:s v="AALARCON"/>
    <x:n v="135.59"/>
    <x:s v="LN. EXAMENES"/>
    <x:s v="CIAS. DE SEGURO"/>
    <x:s v="NORTE"/>
    <x:m/>
    <x:m/>
    <x:n v="30"/>
  </x:r>
  <x:r>
    <x:d v="2026-09-09T00:00:00Z"/>
    <x:x v="3"/>
    <x:s v="106713"/>
    <x:s v="FA"/>
    <x:s v="1138"/>
    <x:s v="CO"/>
    <x:s v="FA-1138"/>
    <x:s v="CORNEJO CALVO DE FERRO MIRTHA ROSA MARIA"/>
    <x:s v="07835036"/>
    <x:m/>
    <x:m/>
    <x:s v="CRISTINA"/>
    <x:s v="0073476"/>
    <x:s v="947675431"/>
    <x:s v="PACIFICO S.A. ENT. PRESTADORA DE SALUD"/>
    <x:s v="93110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09T00:00:00Z"/>
    <x:x v="3"/>
    <x:s v="106745"/>
    <x:s v="BO"/>
    <x:s v="12651"/>
    <x:s v="CO"/>
    <x:s v="BO-12651"/>
    <x:s v="CORNEJO CHAUCA JORDAN WALTER JUNIOR"/>
    <x:s v="47686410"/>
    <x:m/>
    <x:m/>
    <x:s v="CRISTINA"/>
    <x:s v="0067234"/>
    <x:s v="981126347"/>
    <x:s v="CORNEJO CHAUCA JORDAN WALTER JUNIOR"/>
    <x:s v="93133"/>
    <x:x v="1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10T00:00:00Z"/>
    <x:x v="3"/>
    <x:s v="106835"/>
    <x:s v="BO"/>
    <x:s v="6420"/>
    <x:s v="CO"/>
    <x:s v="BO-6420"/>
    <x:s v="GARCIA TOMAIRO PEDRO"/>
    <x:s v="15388544"/>
    <x:m/>
    <x:m/>
    <x:s v="CRISTINA"/>
    <x:s v="0073796"/>
    <x:s v="999554178"/>
    <x:s v="GARCIA TOMAIRO PEDRO"/>
    <x:s v="93211"/>
    <x:x v="7"/>
    <x:n v="1"/>
    <x:s v="PRECISA"/>
    <x:s v="INSTITUTO MEDICO QUIRURGICO AREQUIPA S.A"/>
    <x:s v="INSTITUTO MEDICO QUIRURGICO AREQUIPA S.A"/>
    <x:s v="L.CENTRO"/>
    <x:s v="ACABRERA"/>
    <x:n v="152.54"/>
    <x:s v="LN. EXAMENES"/>
    <x:s v="CIAS. DE SEGURO"/>
    <x:s v="CENTRO"/>
    <x:m/>
    <x:m/>
    <x:n v="30"/>
  </x:r>
  <x:r>
    <x:d v="2026-09-10T00:00:00Z"/>
    <x:x v="3"/>
    <x:s v="106790"/>
    <x:s v="BO"/>
    <x:s v="4691"/>
    <x:s v="CO"/>
    <x:s v="BO-4691"/>
    <x:s v="ZEÑA VASQUEZ KEVIN FABIANO"/>
    <x:s v="61842994"/>
    <x:m/>
    <x:m/>
    <x:s v="CRISTINA"/>
    <x:s v="0073649"/>
    <x:s v="999999999"/>
    <x:s v="ZEÑA VASQUEZ KEVIN FABIANO"/>
    <x:s v="93016"/>
    <x:x v="12"/>
    <x:n v="1"/>
    <x:s v="PRECISA"/>
    <x:s v="INSTITUTO MEDICO QUIRURGICO AREQUIPA S.A"/>
    <x:s v="INSTITUTO MEDICO QUIRURGICO AREQUIPA S.A"/>
    <x:s v="L.NORTE"/>
    <x:s v="BGALLOSA"/>
    <x:n v="152.54"/>
    <x:s v="LN. EXAMENES"/>
    <x:s v="CIAS. DE SEGURO"/>
    <x:s v="NORTE"/>
    <x:m/>
    <x:m/>
    <x:n v="30"/>
  </x:r>
  <x:r>
    <x:d v="2026-09-10T00:00:00Z"/>
    <x:x v="3"/>
    <x:s v="106803"/>
    <x:s v="BO"/>
    <x:s v="4693"/>
    <x:s v="CO"/>
    <x:s v="BO-4693"/>
    <x:s v="COANQUI QUISPE FRANCISCO"/>
    <x:s v="07954010"/>
    <x:m/>
    <x:m/>
    <x:s v="CRISTINA"/>
    <x:s v="0073768"/>
    <x:s v="972000902"/>
    <x:s v="COANQUI QUISPE FRANCISCO"/>
    <x:s v="93182"/>
    <x:x v="1"/>
    <x:n v="1"/>
    <x:s v="PRECISA"/>
    <x:s v="INSTITUTO MEDICO QUIRURGICO AREQUIPA S.A"/>
    <x:s v="INSTITUTO MEDICO QUIRURGICO AREQUIPA S.A"/>
    <x:s v="L.NORTE"/>
    <x:s v="BGALLOSA"/>
    <x:n v="135.59"/>
    <x:s v="LN. EXAMENES"/>
    <x:s v="CIAS. DE SEGURO"/>
    <x:s v="NORTE"/>
    <x:m/>
    <x:m/>
    <x:n v="30"/>
  </x:r>
  <x:r>
    <x:d v="2026-09-11T00:00:00Z"/>
    <x:x v="3"/>
    <x:s v="106854"/>
    <x:s v="BO"/>
    <x:s v="6421"/>
    <x:s v="CO"/>
    <x:s v="BO-6421"/>
    <x:s v="MUÑOZ ESCALANTE TELMIRA"/>
    <x:s v="06679500"/>
    <x:m/>
    <x:m/>
    <x:s v="CRISTINA"/>
    <x:s v="0054620"/>
    <x:s v="9360006429"/>
    <x:s v="MUÑOZ ESCALANTE TELMIRA"/>
    <x:s v="93224"/>
    <x:x v="2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m/>
    <x:m/>
    <x:n v="50"/>
  </x:r>
  <x:r>
    <x:d v="2026-09-11T00:00:00Z"/>
    <x:x v="3"/>
    <x:s v="106860"/>
    <x:s v="BO"/>
    <x:s v="6422"/>
    <x:s v="CO"/>
    <x:s v="BO-6422"/>
    <x:s v="RAMOS LAGOS MARTHA"/>
    <x:s v="06252964"/>
    <x:m/>
    <x:m/>
    <x:s v="CRISTINA"/>
    <x:s v="0073807"/>
    <x:s v="989697721"/>
    <x:s v="RAMOS LAGOS MARTHA"/>
    <x:s v="93232"/>
    <x:x v="2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m/>
    <x:m/>
    <x:n v="50"/>
  </x:r>
  <x:r>
    <x:d v="2026-09-11T00:00:00Z"/>
    <x:x v="3"/>
    <x:s v="106855"/>
    <x:s v="BO"/>
    <x:s v="4699"/>
    <x:s v="CO"/>
    <x:s v="BO-4699"/>
    <x:s v="GARCIA ROQUE INGRID MELISSA"/>
    <x:s v="47205181"/>
    <x:m/>
    <x:m/>
    <x:s v="CRISTINA"/>
    <x:s v="0073387"/>
    <x:s v="991020326"/>
    <x:s v="GARCIA ROQUE INGRID MELISSA"/>
    <x:s v="92738"/>
    <x:x v="1"/>
    <x:n v="1"/>
    <x:s v="PRECISA"/>
    <x:s v="INSTITUTO MEDICO QUIRURGICO AREQUIPA S.A"/>
    <x:s v="INSTITUTO MEDICO QUIRURGICO AREQUIPA S.A"/>
    <x:s v="L.NORTE"/>
    <x:s v="BGALLOSA"/>
    <x:n v="135.59"/>
    <x:s v="LN. EXAMENES"/>
    <x:s v="CIAS. DE SEGURO"/>
    <x:s v="NORTE"/>
    <x:m/>
    <x:m/>
    <x:n v="30"/>
  </x:r>
  <x:r>
    <x:d v="2026-09-11T00:00:00Z"/>
    <x:x v="3"/>
    <x:s v="106898"/>
    <x:s v="BO"/>
    <x:s v="4709"/>
    <x:s v="CO"/>
    <x:s v="BO-4709"/>
    <x:s v="ROCA HENRIQUEZ VICTOR AUGUSTO"/>
    <x:s v="15600267"/>
    <x:m/>
    <x:m/>
    <x:s v="CRISTINA"/>
    <x:s v="0073810"/>
    <x:s v="926386518"/>
    <x:s v="ROCA HENRIQUEZ VICTOR AUGUSTO"/>
    <x:s v="93245"/>
    <x:x v="1"/>
    <x:n v="1"/>
    <x:s v="PRECISA"/>
    <x:s v="INSTITUTO MEDICO QUIRURGICO AREQUIPA S.A"/>
    <x:s v="INSTITUTO MEDICO QUIRURGICO AREQUIPA S.A"/>
    <x:s v="L.NORTE"/>
    <x:s v="BGALLOSA"/>
    <x:n v="135.59"/>
    <x:s v="LN. EXAMENES"/>
    <x:s v="CIAS. DE SEGURO"/>
    <x:s v="NORTE"/>
    <x:m/>
    <x:m/>
    <x:n v="30"/>
  </x:r>
  <x:r>
    <x:d v="2026-09-11T00:00:00Z"/>
    <x:x v="3"/>
    <x:s v="106901"/>
    <x:s v="BO"/>
    <x:s v="12662"/>
    <x:s v="CO"/>
    <x:s v="BO-12662"/>
    <x:s v="MARIN RAMOS FILOMENA"/>
    <x:s v="10364747"/>
    <x:m/>
    <x:m/>
    <x:s v="CRISTINA"/>
    <x:s v="0073819"/>
    <x:s v="979890566"/>
    <x:s v="MARIN RAMOS FILOMENA"/>
    <x:s v="93255"/>
    <x:x v="1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12T00:00:00Z"/>
    <x:x v="3"/>
    <x:s v="106943"/>
    <x:s v="BO"/>
    <x:s v="6428"/>
    <x:s v="CO"/>
    <x:s v="BO-6428"/>
    <x:s v="DE LA CRUZ SALINAS MARIA ISABEL"/>
    <x:s v="09265131"/>
    <x:m/>
    <x:m/>
    <x:s v="CRISTINA"/>
    <x:s v="0073840"/>
    <x:s v="964333613"/>
    <x:s v="DE LA CRUZ SALINAS MARIA ISABEL"/>
    <x:s v="93300"/>
    <x:x v="4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m/>
    <x:n v="30"/>
  </x:r>
  <x:r>
    <x:d v="2026-09-12T00:00:00Z"/>
    <x:x v="3"/>
    <x:s v="106982"/>
    <x:s v="BO"/>
    <x:s v="6433"/>
    <x:s v="CO"/>
    <x:s v="BO-6433"/>
    <x:s v="VALVERDE CUMPA SEGUNDO MISAEL"/>
    <x:s v="10251130"/>
    <x:m/>
    <x:m/>
    <x:s v="CRISTINA"/>
    <x:s v="0073848"/>
    <x:s v="955125393"/>
    <x:s v="VALVERDE CUMPA SEGUNDO MISAEL"/>
    <x:s v="93339"/>
    <x:x v="7"/>
    <x:n v="1"/>
    <x:s v="PRECISA"/>
    <x:s v="INSTITUTO MEDICO QUIRURGICO AREQUIPA S.A"/>
    <x:s v="INSTITUTO MEDICO QUIRURGICO AREQUIPA S.A"/>
    <x:s v="L.CENTRO"/>
    <x:s v="ACABRERA"/>
    <x:n v="152.54"/>
    <x:s v="LN. EXAMENES"/>
    <x:s v="CIAS. DE SEGURO"/>
    <x:s v="CENTRO"/>
    <x:m/>
    <x:m/>
    <x:n v="30"/>
  </x:r>
  <x:r>
    <x:d v="2026-09-12T00:00:00Z"/>
    <x:x v="3"/>
    <x:s v="106986"/>
    <x:s v="BO"/>
    <x:s v="12683"/>
    <x:s v="CO"/>
    <x:s v="BO-12683"/>
    <x:s v="ALLCCACO CANCHANYA KAROL LIZBETH"/>
    <x:s v="47661526"/>
    <x:m/>
    <x:m/>
    <x:s v="CRISTINA"/>
    <x:s v="0073849"/>
    <x:s v="945996823"/>
    <x:s v="ALLCCACO CANCHANYA KAROL LIZBETH"/>
    <x:s v="93343"/>
    <x:x v="1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12T00:00:00Z"/>
    <x:x v="3"/>
    <x:s v="106947"/>
    <x:s v="BO"/>
    <x:s v="4713"/>
    <x:s v="CO"/>
    <x:s v="BO-4713"/>
    <x:s v="MONTOYA PASTOR CLAUDIO"/>
    <x:s v="06151324"/>
    <x:m/>
    <x:m/>
    <x:s v="CRISTINA"/>
    <x:s v="0073680"/>
    <x:s v="+51973523301"/>
    <x:s v="MONTOYA PASTOR CLAUDIO"/>
    <x:s v="93308"/>
    <x:x v="4"/>
    <x:n v="1"/>
    <x:s v="PRECISA"/>
    <x:s v="INSTITUTO MEDICO QUIRURGICO AREQUIPA S.A"/>
    <x:s v="INSTITUTO MEDICO QUIRURGICO AREQUIPA S.A"/>
    <x:s v="L.NORTE"/>
    <x:s v="BGALLOSA"/>
    <x:n v="135.59"/>
    <x:s v="LN. EXAMENES"/>
    <x:s v="CIAS. DE SEGURO"/>
    <x:s v="NORTE"/>
    <x:m/>
    <x:m/>
    <x:n v="30"/>
  </x:r>
  <x:r>
    <x:d v="2026-09-12T00:00:00Z"/>
    <x:x v="3"/>
    <x:s v="107016"/>
    <x:s v="BO"/>
    <x:s v="12686"/>
    <x:s v="CO"/>
    <x:s v="BO-12686"/>
    <x:s v="GONZALES GARCIA CARMEN DEL ROSARIO"/>
    <x:s v="08606982"/>
    <x:m/>
    <x:m/>
    <x:s v="CRISTINA"/>
    <x:s v="0033183"/>
    <x:s v="4587858"/>
    <x:s v="GONZALES GARCIA CARMEN DEL ROSARIO"/>
    <x:s v="93337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12T00:00:00Z"/>
    <x:x v="3"/>
    <x:s v="107016"/>
    <x:s v="BO"/>
    <x:s v="12686"/>
    <x:s v="CO"/>
    <x:s v="BO-12686"/>
    <x:s v="GONZALES GARCIA CARMEN DEL ROSARIO"/>
    <x:s v="08606982"/>
    <x:m/>
    <x:m/>
    <x:s v="CRISTINA"/>
    <x:s v="0033183"/>
    <x:s v="4587858"/>
    <x:s v="GONZALES GARCIA CARMEN DEL ROSARIO"/>
    <x:s v="93337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m/>
    <x:m/>
    <x:n v="30"/>
  </x:r>
  <x:r>
    <x:d v="2026-09-12T00:00:00Z"/>
    <x:x v="3"/>
    <x:s v="107021"/>
    <x:s v="BO"/>
    <x:s v="5221"/>
    <x:s v="CO"/>
    <x:s v="BO-5221"/>
    <x:s v="JARA VITATE NICO ALEXSANDER"/>
    <x:s v="91523011"/>
    <x:m/>
    <x:m/>
    <x:s v="CRISTINA"/>
    <x:s v="0073776"/>
    <x:s v="986 261 363 "/>
    <x:s v="JARA VITATE NICO ALEXSANDER"/>
    <x:s v="93379"/>
    <x:x v="12"/>
    <x:n v="1"/>
    <x:s v="PRECISA"/>
    <x:s v="INSTITUTO MEDICO QUIRURGICO AREQUIPA S.A"/>
    <x:s v="INSTITUTO MEDICO QUIRURGICO AREQUIPA S.A"/>
    <x:s v="L.NORTE"/>
    <x:s v="AALARCON"/>
    <x:n v="152.54"/>
    <x:s v="LN. EXAMENES"/>
    <x:s v="CIAS. DE SEGURO"/>
    <x:s v="NORTE"/>
    <x:m/>
    <x:m/>
    <x:n v="30"/>
  </x:r>
  <x:r>
    <x:d v="2026-09-14T00:00:00Z"/>
    <x:x v="3"/>
    <x:s v="107078"/>
    <x:s v="BO"/>
    <x:s v="5224"/>
    <x:s v="CO"/>
    <x:s v="BO-5224"/>
    <x:s v="RONCAL APARICIO CECILIA CLAUDIA"/>
    <x:s v="10619105"/>
    <x:m/>
    <x:m/>
    <x:s v="CRISTINA"/>
    <x:s v="0073870"/>
    <x:s v="989059456"/>
    <x:s v="RONCAL APARICIO CECILIA CLAUDIA"/>
    <x:s v="93409"/>
    <x:x v="2"/>
    <x:n v="1"/>
    <x:s v="PRECISA LN"/>
    <x:s v="POR ASIGNAR"/>
    <x:s v="INSTITUTO MEDICO QUIRURGICO AREQUIPA S.A"/>
    <x:s v="L.NORTE"/>
    <x:s v="AALARCON"/>
    <x:n v="186.44"/>
    <x:s v="LN. EXAMENES"/>
    <x:s v="CIAS. DE SEGURO"/>
    <x:s v="NORTE"/>
    <x:m/>
    <x:m/>
    <x:n v="50"/>
  </x:r>
  <x:r>
    <x:d v="2026-09-14T00:00:00Z"/>
    <x:x v="3"/>
    <x:s v="107103"/>
    <x:s v="BO"/>
    <x:s v="4728"/>
    <x:s v="CO"/>
    <x:s v="BO-4728"/>
    <x:s v="CHANDUVI ALFARO SONIA YSABEL"/>
    <x:s v="08079079"/>
    <x:m/>
    <x:m/>
    <x:s v="CRISTINA"/>
    <x:s v="0073888"/>
    <x:s v="982492043"/>
    <x:s v="CHANDUVI ALFARO SONIA YSABEL"/>
    <x:s v="93436"/>
    <x:x v="0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m/>
    <x:m/>
    <x:n v="50"/>
  </x:r>
  <x:r>
    <x:d v="2026-09-14T00:00:00Z"/>
    <x:x v="3"/>
    <x:s v="107103"/>
    <x:s v="BO"/>
    <x:s v="4728"/>
    <x:s v="CO"/>
    <x:s v="BO-4728"/>
    <x:s v="CHANDUVI ALFARO SONIA YSABEL"/>
    <x:s v="08079079"/>
    <x:m/>
    <x:m/>
    <x:s v="CRISTINA"/>
    <x:s v="0073888"/>
    <x:s v="982492043"/>
    <x:s v="CHANDUVI ALFARO SONIA YSABEL"/>
    <x:s v="93436"/>
    <x:x v="4"/>
    <x:n v="1"/>
    <x:s v="PRECISA LN"/>
    <x:s v="POR ASIGNAR"/>
    <x:s v="INSTITUTO MEDICO QUIRURGICO AREQUIPA S.A"/>
    <x:s v="L.NORTE"/>
    <x:s v="BGALLOSA"/>
    <x:n v="135.59"/>
    <x:s v="LN. EXAMENES"/>
    <x:s v="CIAS. DE SEGURO"/>
    <x:s v="NORTE"/>
    <x:m/>
    <x:m/>
    <x:n v="30"/>
  </x:r>
  <x:r>
    <x:d v="2026-09-14T00:00:00Z"/>
    <x:x v="3"/>
    <x:s v="107105"/>
    <x:s v="FA"/>
    <x:s v="625"/>
    <x:s v="CO"/>
    <x:s v="FA-625"/>
    <x:s v="AYLAS TRUJILLO YHAN FRANK"/>
    <x:s v="62448662"/>
    <x:m/>
    <x:m/>
    <x:s v="CRISTINA"/>
    <x:s v="0073862"/>
    <x:s v="985412595"/>
    <x:s v="OFTALMODOSIS E.I.R.L."/>
    <x:s v="93395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9-14T00:00:00Z"/>
    <x:x v="3"/>
    <x:s v="107105"/>
    <x:s v="FA"/>
    <x:s v="625"/>
    <x:s v="CO"/>
    <x:s v="FA-625"/>
    <x:s v="AYLAS TRUJILLO YHAN FRANK"/>
    <x:s v="62448662"/>
    <x:m/>
    <x:m/>
    <x:s v="CRISTINA"/>
    <x:s v="0073862"/>
    <x:s v="985412595"/>
    <x:s v="OFTALMODOSIS E.I.R.L."/>
    <x:s v="93395"/>
    <x:x v="36"/>
    <x:n v="1"/>
    <x:s v="PRECISA"/>
    <x:s v="INSTITUTO MEDICO QUIRURGICO AREQUIPA S.A"/>
    <x:s v="INSTITUTO MEDICO QUIRURGICO AREQUIPA S.A"/>
    <x:s v="L.CENTRO"/>
    <x:s v="ACABRERA"/>
    <x:n v="805.08"/>
    <x:s v="LN. CIRUGIA"/>
    <x:s v="CIAS. DE SEGURO"/>
    <x:s v="CENTRO"/>
    <x:m/>
    <x:m/>
    <x:m/>
  </x:r>
  <x:r>
    <x:d v="2026-09-14T00:00:00Z"/>
    <x:x v="3"/>
    <x:s v="107118"/>
    <x:s v="BO"/>
    <x:s v="6449"/>
    <x:s v="CO"/>
    <x:s v="BO-6449"/>
    <x:s v="CUBAS RAMON MELIDA VIRGINIA"/>
    <x:s v="08049983"/>
    <x:m/>
    <x:m/>
    <x:s v="CRISTINA"/>
    <x:s v="0073766"/>
    <x:s v="944452622"/>
    <x:s v="CUBAS RAMON MELIDA VIRGINIA"/>
    <x:s v="93448"/>
    <x:x v="5"/>
    <x:n v="1"/>
    <x:s v="PRECISA"/>
    <x:s v="INSTITUTO MEDICO QUIRURGICO AREQUIPA S.A"/>
    <x:s v="INSTITUTO MEDICO QUIRURGICO AREQUIPA S.A"/>
    <x:s v="L.CENTRO"/>
    <x:s v="ACABRERA"/>
    <x:n v="152.54"/>
    <x:s v="LN. EXAMENES"/>
    <x:s v="CIAS. DE SEGURO"/>
    <x:s v="CENTRO"/>
    <x:m/>
    <x:m/>
    <x:n v="30"/>
  </x:r>
  <x:r>
    <x:d v="2026-09-14T00:00:00Z"/>
    <x:x v="3"/>
    <x:s v="107135"/>
    <x:s v="FA"/>
    <x:s v="1141"/>
    <x:s v="CO"/>
    <x:s v="FA-1141"/>
    <x:s v="TUESTA SANTA CRUZ VALERIE ALESSANDRA"/>
    <x:s v="72643022"/>
    <x:m/>
    <x:m/>
    <x:s v="CRISTINA"/>
    <x:s v="0073787"/>
    <x:s v="999999999"/>
    <x:s v="LEON SUAREZ LUIS NICOLAS"/>
    <x:s v="93346"/>
    <x:x v="23"/>
    <x:n v="1"/>
    <x:s v="PRECISA"/>
    <x:s v="INSTITUTO MEDICO QUIRURGICO AREQUIPA S.A"/>
    <x:s v="INSTITUTO MEDICO QUIRURGICO AREQUIPA S.A"/>
    <x:s v="L.CENTRO"/>
    <x:s v="LMAGAN"/>
    <x:n v="635.59"/>
    <x:s v="LN. CIRUGIA"/>
    <x:s v="CIAS. DE SEGURO"/>
    <x:s v="CENTRO"/>
    <x:m/>
    <x:m/>
    <x:m/>
  </x:r>
  <x:r>
    <x:d v="2026-09-14T00:00:00Z"/>
    <x:x v="3"/>
    <x:s v="107135"/>
    <x:s v="FA"/>
    <x:s v="1141"/>
    <x:s v="CO"/>
    <x:s v="FA-1141"/>
    <x:s v="TUESTA SANTA CRUZ VALERIE ALESSANDRA"/>
    <x:s v="72643022"/>
    <x:m/>
    <x:m/>
    <x:s v="CRISTINA"/>
    <x:s v="0073787"/>
    <x:s v="999999999"/>
    <x:s v="LEON SUAREZ LUIS NICOLAS"/>
    <x:s v="93346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9-14T00:00:00Z"/>
    <x:x v="3"/>
    <x:s v="107088"/>
    <x:s v="BO"/>
    <x:s v="12698"/>
    <x:s v="CO"/>
    <x:s v="BO-12698"/>
    <x:s v="HUARANGA HUARACA FLORA LUCILA"/>
    <x:s v="06813680"/>
    <x:m/>
    <x:m/>
    <x:s v="CRISTINA"/>
    <x:s v="0014405"/>
    <x:s v="999516833"/>
    <x:s v="HUARANGA HUARACA FLORA LUCILA"/>
    <x:s v="93390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m/>
    <x:m/>
    <x:n v="30"/>
  </x:r>
  <x:r>
    <x:d v="2026-09-14T00:00:00Z"/>
    <x:x v="3"/>
    <x:s v="107088"/>
    <x:s v="BO"/>
    <x:s v="12698"/>
    <x:s v="CO"/>
    <x:s v="BO-12698"/>
    <x:s v="HUARANGA HUARACA FLORA LUCILA"/>
    <x:s v="06813680"/>
    <x:m/>
    <x:m/>
    <x:s v="CRISTINA"/>
    <x:s v="0014405"/>
    <x:s v="999516833"/>
    <x:s v="HUARANGA HUARACA FLORA LUCILA"/>
    <x:s v="93390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14T00:00:00Z"/>
    <x:x v="3"/>
    <x:s v="107155"/>
    <x:s v="BO"/>
    <x:s v="540"/>
    <x:s v="CO"/>
    <x:s v="BO-540"/>
    <x:s v="SICCHE PINEDO ZOILA"/>
    <x:s v="18024803"/>
    <x:m/>
    <x:m/>
    <x:s v="CRISTINA"/>
    <x:s v="0073904"/>
    <x:s v="949754928"/>
    <x:s v="SICCHE PINEDO ZOILA"/>
    <x:s v="93465"/>
    <x:x v="4"/>
    <x:n v="1"/>
    <x:s v="PRECISA"/>
    <x:s v="INSTITUTO MEDICO QUIRURGICO AREQUIPA S.A"/>
    <x:s v="INSTITUTO MEDICO QUIRURGICO AREQUIPA S.A"/>
    <x:s v="L.LINCE"/>
    <x:s v="SMORENO"/>
    <x:n v="135.59"/>
    <x:s v="LN. EXAMENES"/>
    <x:s v="CIAS. DE SEGURO"/>
    <x:s v="LINCE"/>
    <x:m/>
    <x:m/>
    <x:n v="30"/>
  </x:r>
  <x:r>
    <x:d v="2026-09-15T00:00:00Z"/>
    <x:x v="3"/>
    <x:s v="107183"/>
    <x:s v="BO"/>
    <x:s v="4737"/>
    <x:s v="CO"/>
    <x:s v="BO-4737"/>
    <x:s v="VASQUEZ PALACIOS VDA DE VALD HERMELINDA"/>
    <x:s v="32816323"/>
    <x:m/>
    <x:m/>
    <x:s v="CRISTINA"/>
    <x:s v="0073925"/>
    <x:s v="995950844"/>
    <x:s v="VASQUEZ PALACIOS VDA DE VALD HERMELINDA"/>
    <x:s v="93499"/>
    <x:x v="4"/>
    <x:n v="1"/>
    <x:s v="PRECISA LN"/>
    <x:s v="POR ASIGNAR"/>
    <x:s v="INSTITUTO MEDICO QUIRURGICO AREQUIPA S.A"/>
    <x:s v="L.NORTE"/>
    <x:s v="BGALLOSA"/>
    <x:n v="135.59"/>
    <x:s v="LN. EXAMENES"/>
    <x:s v="CIAS. DE SEGURO"/>
    <x:s v="NORTE"/>
    <x:m/>
    <x:m/>
    <x:n v="30"/>
  </x:r>
  <x:r>
    <x:d v="2026-09-15T00:00:00Z"/>
    <x:x v="3"/>
    <x:s v="107203"/>
    <x:s v="FA"/>
    <x:s v="627"/>
    <x:s v="CO"/>
    <x:s v="FA-627"/>
    <x:s v="PALOMINO ALCIDES RAFAELE"/>
    <x:s v="09569006"/>
    <x:m/>
    <x:m/>
    <x:s v="CRISTINA"/>
    <x:s v="0073889"/>
    <x:s v="950133748"/>
    <x:s v="GAMARRA HEALTHCARE CENTER S.A.C."/>
    <x:s v="93477"/>
    <x:x v="10"/>
    <x:n v="1"/>
    <x:s v="PRECISA"/>
    <x:s v="INSTITUTO MEDICO QUIRURGICO AREQUIPA S.A"/>
    <x:s v="INSTITUTO MEDICO QUIRURGICO AREQUIPA S.A"/>
    <x:s v="L.CENTRO"/>
    <x:s v="ACABRERA"/>
    <x:n v="1050.85"/>
    <x:s v="LN. CIRUGIA"/>
    <x:s v="CIAS. DE SEGURO"/>
    <x:s v="CENTRO"/>
    <x:m/>
    <x:m/>
    <x:m/>
  </x:r>
  <x:r>
    <x:d v="2026-09-15T00:00:00Z"/>
    <x:x v="3"/>
    <x:s v="107203"/>
    <x:s v="FA"/>
    <x:s v="627"/>
    <x:s v="CO"/>
    <x:s v="FA-627"/>
    <x:s v="PALOMINO ALCIDES RAFAELE"/>
    <x:s v="09569006"/>
    <x:m/>
    <x:m/>
    <x:s v="CRISTINA"/>
    <x:s v="0073889"/>
    <x:s v="950133748"/>
    <x:s v="GAMARRA HEALTHCARE CENTER S.A.C."/>
    <x:s v="93477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9-15T00:00:00Z"/>
    <x:x v="3"/>
    <x:s v="107204"/>
    <x:s v="FA"/>
    <x:s v="1142"/>
    <x:s v="CO"/>
    <x:s v="FA-1142"/>
    <x:s v="CHAVEZ CORDOVA ROCIO LIZ"/>
    <x:s v="71110674"/>
    <x:m/>
    <x:m/>
    <x:s v="CRISTINA"/>
    <x:s v="0073770"/>
    <x:s v="991124259"/>
    <x:s v="GAMARRA HEALTHCARE CENTER S.A.C."/>
    <x:s v="93295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9-15T00:00:00Z"/>
    <x:x v="3"/>
    <x:s v="107204"/>
    <x:s v="FA"/>
    <x:s v="1142"/>
    <x:s v="CO"/>
    <x:s v="FA-1142"/>
    <x:s v="CHAVEZ CORDOVA ROCIO LIZ"/>
    <x:s v="71110674"/>
    <x:m/>
    <x:m/>
    <x:s v="CRISTINA"/>
    <x:s v="0073770"/>
    <x:s v="991124259"/>
    <x:s v="GAMARRA HEALTHCARE CENTER S.A.C."/>
    <x:s v="93295"/>
    <x:x v="23"/>
    <x:n v="1"/>
    <x:s v="PRECISA"/>
    <x:s v="INSTITUTO MEDICO QUIRURGICO AREQUIPA S.A"/>
    <x:s v="INSTITUTO MEDICO QUIRURGICO AREQUIPA S.A"/>
    <x:s v="L.CENTRO"/>
    <x:s v="LMAGAN"/>
    <x:n v="805.08"/>
    <x:s v="LN. CIRUGIA"/>
    <x:s v="CIAS. DE SEGURO"/>
    <x:s v="CENTRO"/>
    <x:m/>
    <x:m/>
    <x:m/>
  </x:r>
  <x:r>
    <x:d v="2026-09-15T00:00:00Z"/>
    <x:x v="3"/>
    <x:s v="107205"/>
    <x:s v="FA"/>
    <x:s v="1143"/>
    <x:s v="CO"/>
    <x:s v="FA-1143"/>
    <x:s v="CHAVEZ CORDOVA ROCIO LIZ"/>
    <x:s v="71110674"/>
    <x:m/>
    <x:m/>
    <x:s v="CRISTINA"/>
    <x:s v="0073770"/>
    <x:s v="991124259"/>
    <x:s v="GAMARRA HEALTHCARE CENTER S.A.C."/>
    <x:s v="93517"/>
    <x:x v="12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m/>
    <x:m/>
    <x:n v="30"/>
  </x:r>
  <x:r>
    <x:d v="2026-09-15T00:00:00Z"/>
    <x:x v="3"/>
    <x:s v="107212"/>
    <x:s v="FA"/>
    <x:s v="1144"/>
    <x:s v="CO"/>
    <x:s v="FA-1144"/>
    <x:s v="BELTRAN QUINTANA AYDEE MARGOT"/>
    <x:s v="16176810"/>
    <x:m/>
    <x:m/>
    <x:s v="CRISTINA"/>
    <x:s v="0073839"/>
    <x:s v="953731107"/>
    <x:s v="GAMARRA HEALTHCARE CENTER S.A.C."/>
    <x:s v="93522"/>
    <x:x v="22"/>
    <x:n v="2"/>
    <x:s v="PRECISA"/>
    <x:s v="INSTITUTO MEDICO QUIRURGICO AREQUIPA S.A"/>
    <x:s v="INSTITUTO MEDICO QUIRURGICO AREQUIPA S.A"/>
    <x:s v="L.CENTRO"/>
    <x:s v="LMAGAN"/>
    <x:n v="203.39"/>
    <x:s v="LN. PROCEDIMIENTO"/>
    <x:s v="CIAS. DE SEGURO"/>
    <x:s v="CENTRO"/>
    <x:m/>
    <x:m/>
    <x:m/>
  </x:r>
  <x:r>
    <x:d v="2026-09-16T00:00:00Z"/>
    <x:x v="3"/>
    <x:s v="107274"/>
    <x:s v="FA"/>
    <x:s v="1145"/>
    <x:s v="CO"/>
    <x:s v="FA-1145"/>
    <x:s v="BAZALAR LAOS HECTOR RAUL"/>
    <x:s v="15584530"/>
    <x:m/>
    <x:m/>
    <x:s v="CRISTINA"/>
    <x:s v="0072103"/>
    <x:s v="999999999"/>
    <x:s v="LEON SUAREZ LUIS NICOLAS"/>
    <x:s v="93577"/>
    <x:x v="3"/>
    <x:n v="1"/>
    <x:s v="PRECISA"/>
    <x:s v="INSTITUTO MEDICO QUIRURGICO AREQUIPA S.A"/>
    <x:s v="INSTITUTO MEDICO QUIRURGICO AREQUIPA S.A"/>
    <x:s v="L.CENTRO"/>
    <x:s v="LMAGAN"/>
    <x:n v="254.24"/>
    <x:s v="LN. PROCEDIMIENTO"/>
    <x:s v="CIAS. DE SEGURO"/>
    <x:s v="CENTRO"/>
    <x:m/>
    <x:m/>
    <x:m/>
  </x:r>
  <x:r>
    <x:d v="2026-09-16T00:00:00Z"/>
    <x:x v="3"/>
    <x:s v="107282"/>
    <x:s v="BO"/>
    <x:s v="6464"/>
    <x:s v="CO"/>
    <x:s v="BO-6464"/>
    <x:s v="CERON TELLO JOSE HERBERT"/>
    <x:s v="40489371"/>
    <x:m/>
    <x:m/>
    <x:s v="CRISTINA"/>
    <x:s v="0073972"/>
    <x:s v="924261883"/>
    <x:s v="CERON TELLO JOSE HERBERT"/>
    <x:s v="93586"/>
    <x:x v="4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m/>
    <x:n v="30"/>
  </x:r>
  <x:r>
    <x:d v="2026-09-16T00:00:00Z"/>
    <x:x v="3"/>
    <x:s v="107284"/>
    <x:s v="BO"/>
    <x:s v="12716"/>
    <x:s v="CO"/>
    <x:s v="BO-12716"/>
    <x:s v="MEGO BECERRA PEDRO"/>
    <x:s v="01011352"/>
    <x:m/>
    <x:m/>
    <x:s v="CRISTINA"/>
    <x:s v="0018191"/>
    <x:s v="947633613"/>
    <x:s v="MEGO BECERRA PEDRO"/>
    <x:s v="93579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17T00:00:00Z"/>
    <x:x v="3"/>
    <x:s v="107336"/>
    <x:s v="BO"/>
    <x:s v="6470"/>
    <x:s v="CO"/>
    <x:s v="BO-6470"/>
    <x:s v="NIETO CORONADO VANESSA ELAIZA"/>
    <x:s v="003081424"/>
    <x:m/>
    <x:m/>
    <x:s v="CRISTINA"/>
    <x:s v="0073992"/>
    <x:s v="921639105"/>
    <x:s v="NIETO CORONADO VANESSA ELAIZA"/>
    <x:s v="93624"/>
    <x:x v="12"/>
    <x:n v="1"/>
    <x:s v="PRECISA"/>
    <x:s v="INSTITUTO MEDICO QUIRURGICO AREQUIPA S.A"/>
    <x:s v="INSTITUTO MEDICO QUIRURGICO AREQUIPA S.A"/>
    <x:s v="L.CENTRO"/>
    <x:s v="ACABRERA"/>
    <x:n v="152.54"/>
    <x:s v="LN. EXAMENES"/>
    <x:s v="CIAS. DE SEGURO"/>
    <x:s v="CENTRO"/>
    <x:m/>
    <x:m/>
    <x:n v="30"/>
  </x:r>
  <x:r>
    <x:d v="2026-09-17T00:00:00Z"/>
    <x:x v="3"/>
    <x:s v="2486"/>
    <x:s v="NC"/>
    <x:s v="6470"/>
    <x:s v="CR"/>
    <x:s v="NC-6470"/>
    <x:s v="NIETO CORONADO VANESSA ELAIZA"/>
    <x:s v="003081424"/>
    <x:m/>
    <x:m/>
    <x:s v="CR"/>
    <x:s v="0073992"/>
    <x:s v="921639105"/>
    <x:s v="NIETO CORONADO VANESSA ELAIZA"/>
    <x:s v="93624"/>
    <x:x v="12"/>
    <x:n v="1"/>
    <x:s v="PRECISA"/>
    <x:s v="INSTITUTO MEDICO QUIRURGICO AREQUIPA S.A"/>
    <x:s v="INSTITUTO MEDICO QUIRURGICO AREQUIPA S.A"/>
    <x:s v="L.CENTRO"/>
    <x:s v="ACABRERA"/>
    <x:n v="-152.54"/>
    <x:s v="LN. EXAMENES"/>
    <x:s v="CIAS. DE SEGURO"/>
    <x:s v="CENTRO"/>
    <x:m/>
    <x:m/>
    <x:n v="30"/>
  </x:r>
  <x:r>
    <x:d v="2026-09-17T00:00:00Z"/>
    <x:x v="3"/>
    <x:s v="107381"/>
    <x:s v="BO"/>
    <x:s v="6475"/>
    <x:s v="CO"/>
    <x:s v="BO-6475"/>
    <x:s v="PALACIOS VERGARA RAISA LORENA ISABEL"/>
    <x:s v="46534632"/>
    <x:m/>
    <x:m/>
    <x:s v="CRISTINA"/>
    <x:s v="0068145"/>
    <x:s v="947422476"/>
    <x:s v="PALACIOS VERGARA RAISA LORENA ISABEL"/>
    <x:s v="93662"/>
    <x:x v="33"/>
    <x:n v="1"/>
    <x:s v="PRECISA"/>
    <x:s v="INSTITUTO MEDICO QUIRURGICO AREQUIPA S.A"/>
    <x:s v="INSTITUTO MEDICO QUIRURGICO AREQUIPA S.A"/>
    <x:s v="L.CENTRO"/>
    <x:s v="ACABRERA"/>
    <x:n v="152.54"/>
    <x:s v="LN. PROCEDIMIENTO"/>
    <x:s v="CIAS. DE SEGURO"/>
    <x:s v="CENTRO"/>
    <x:m/>
    <x:m/>
    <x:m/>
  </x:r>
  <x:r>
    <x:d v="2026-09-17T00:00:00Z"/>
    <x:x v="3"/>
    <x:s v="107388"/>
    <x:s v="BO"/>
    <x:s v="12729"/>
    <x:s v="CO"/>
    <x:s v="BO-12729"/>
    <x:s v="VALENZUELA ESCALANTE ZENOBIA MARIA"/>
    <x:s v="07009518"/>
    <x:m/>
    <x:m/>
    <x:s v="CRISTINA"/>
    <x:s v="0074023"/>
    <x:s v="933383156"/>
    <x:s v="VALENZUELA ESCALANTE ZENOBIA MARIA"/>
    <x:s v="93667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17T00:00:00Z"/>
    <x:x v="3"/>
    <x:s v="107413"/>
    <x:s v="BO"/>
    <x:s v="4764"/>
    <x:s v="CO"/>
    <x:s v="BO-4764"/>
    <x:s v="GONZAGA REQUENA ALEJANDRO ROFINO"/>
    <x:s v="08608902"/>
    <x:m/>
    <x:m/>
    <x:s v="CRISTINA"/>
    <x:s v="0074036"/>
    <x:s v="920492162"/>
    <x:s v="GONZAGA REQUENA ALEJANDRO ROFINO"/>
    <x:s v="93688"/>
    <x:x v="2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m/>
    <x:m/>
    <x:n v="50"/>
  </x:r>
  <x:r>
    <x:d v="2026-09-17T00:00:00Z"/>
    <x:x v="3"/>
    <x:s v="107415"/>
    <x:s v="FA"/>
    <x:s v="1146"/>
    <x:s v="CO"/>
    <x:s v="FA-1146"/>
    <x:s v="OROPEZA GOMEZ GIOVANNY JOSE"/>
    <x:s v="007212628"/>
    <x:m/>
    <x:m/>
    <x:s v="CRISTINA"/>
    <x:s v="0073995"/>
    <x:s v="917648860"/>
    <x:s v="OCULIS S.A.C."/>
    <x:s v="93691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9-18T00:00:00Z"/>
    <x:x v="3"/>
    <x:s v="107450"/>
    <x:s v="BO"/>
    <x:s v="4774"/>
    <x:s v="CO"/>
    <x:s v="BO-4774"/>
    <x:s v="CRUZADO DIAZ ROSA"/>
    <x:s v="47517262"/>
    <x:m/>
    <x:m/>
    <x:s v="CRISTINA"/>
    <x:s v="0074040"/>
    <x:s v="929483131"/>
    <x:s v="CRUZADO DIAZ ROSA"/>
    <x:s v="93697"/>
    <x:x v="12"/>
    <x:n v="1"/>
    <x:s v="PRECISA"/>
    <x:s v="INSTITUTO MEDICO QUIRURGICO AREQUIPA S.A"/>
    <x:s v="INSTITUTO MEDICO QUIRURGICO AREQUIPA S.A"/>
    <x:s v="L.NORTE"/>
    <x:s v="BGALLOSA"/>
    <x:n v="152.54"/>
    <x:s v="LN. EXAMENES"/>
    <x:s v="CIAS. DE SEGURO"/>
    <x:s v="NORTE"/>
    <x:m/>
    <x:m/>
    <x:n v="30"/>
  </x:r>
  <x:r>
    <x:d v="2026-09-18T00:00:00Z"/>
    <x:x v="3"/>
    <x:s v="107477"/>
    <x:s v="BO"/>
    <x:s v="4780"/>
    <x:s v="CO"/>
    <x:s v="BO-4780"/>
    <x:s v="SUCASAIRE INFANTES DELCI YANINA"/>
    <x:s v="70202159"/>
    <x:m/>
    <x:m/>
    <x:s v="CRISTINA"/>
    <x:s v="0067005"/>
    <x:s v=" 970175745"/>
    <x:s v="SUCASAIRE INFANTES DELCI YANINA"/>
    <x:s v="93734"/>
    <x:x v="12"/>
    <x:n v="1"/>
    <x:s v="PRECISA"/>
    <x:s v="INSTITUTO MEDICO QUIRURGICO AREQUIPA S.A"/>
    <x:s v="INSTITUTO MEDICO QUIRURGICO AREQUIPA S.A"/>
    <x:s v="L.NORTE"/>
    <x:s v="BGALLOSA"/>
    <x:n v="152.54"/>
    <x:s v="LN. EXAMENES"/>
    <x:s v="CIAS. DE SEGURO"/>
    <x:s v="NORTE"/>
    <x:m/>
    <x:m/>
    <x:n v="30"/>
  </x:r>
  <x:r>
    <x:d v="2026-09-19T00:00:00Z"/>
    <x:x v="3"/>
    <x:s v="107509"/>
    <x:s v="BO"/>
    <x:s v="4789"/>
    <x:s v="CO"/>
    <x:s v="BO-4789"/>
    <x:s v="PAREDES MAGALLANES ANGEL GABRIEL"/>
    <x:s v="63184263"/>
    <x:m/>
    <x:m/>
    <x:s v="CRISTINA"/>
    <x:s v="0074076"/>
    <x:s v="960948467"/>
    <x:s v="PAREDES MAGALLANES ANGEL GABRIEL"/>
    <x:s v="93766"/>
    <x:x v="12"/>
    <x:n v="1"/>
    <x:s v="PRECISA LN"/>
    <x:s v="POR ASIGNAR"/>
    <x:s v="INSTITUTO MEDICO QUIRURGICO AREQUIPA S.A"/>
    <x:s v="L.NORTE"/>
    <x:s v="BGALLOSA"/>
    <x:n v="152.54"/>
    <x:s v="LN. EXAMENES"/>
    <x:s v="CIAS. DE SEGURO"/>
    <x:s v="NORTE"/>
    <x:m/>
    <x:m/>
    <x:n v="30"/>
  </x:r>
  <x:r>
    <x:d v="2026-09-19T00:00:00Z"/>
    <x:x v="3"/>
    <x:s v="107547"/>
    <x:s v="BO"/>
    <x:s v="12755"/>
    <x:s v="CO"/>
    <x:s v="BO-12755"/>
    <x:s v="HUACCACHE TAIPE CARMEN FLORINDA"/>
    <x:s v="08176519"/>
    <x:m/>
    <x:m/>
    <x:s v="CRISTINA"/>
    <x:s v="0074088"/>
    <x:s v="981962861"/>
    <x:s v="HUACCACHE TAIPE CARMEN FLORINDA"/>
    <x:s v="93801"/>
    <x:x v="1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19T00:00:00Z"/>
    <x:x v="3"/>
    <x:s v="107559"/>
    <x:s v="BO"/>
    <x:s v="12758"/>
    <x:s v="CO"/>
    <x:s v="BO-12758"/>
    <x:s v="CASTAÑEDA QUIÑONEZ MAYSHA CATALEYA"/>
    <x:s v="92360707"/>
    <x:m/>
    <x:m/>
    <x:s v="CRISTINA"/>
    <x:s v="0074090"/>
    <x:s v="960223866"/>
    <x:s v="CASTAÑEDA QUIÑONEZ MAYSHA CATALEYA"/>
    <x:s v="93812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m/>
    <x:m/>
    <x:n v="30"/>
  </x:r>
  <x:r>
    <x:d v="2026-09-19T00:00:00Z"/>
    <x:x v="3"/>
    <x:s v="107524"/>
    <x:s v="FA"/>
    <x:s v="295"/>
    <x:s v="CO"/>
    <x:s v="FA-295"/>
    <x:s v="EVANGELISTA RODRIGUEZ MARIAFE OLENKA"/>
    <x:s v="75423022"/>
    <x:m/>
    <x:m/>
    <x:s v="CRISTINA"/>
    <x:s v="0074068"/>
    <x:s v="+51997225099"/>
    <x:s v="EVANGELISTA PASTOR CESAR"/>
    <x:s v="93761"/>
    <x:x v="4"/>
    <x:n v="1"/>
    <x:s v="PRECISA"/>
    <x:s v="INSTITUTO MEDICO QUIRURGICO AREQUIPA S.A"/>
    <x:s v="INSTITUTO MEDICO QUIRURGICO AREQUIPA S.A"/>
    <x:s v="L.NORTE"/>
    <x:s v="AALARCON"/>
    <x:n v="135.59"/>
    <x:s v="LN. EXAMENES"/>
    <x:s v="CIAS. DE SEGURO"/>
    <x:s v="NORTE"/>
    <x:m/>
    <x:m/>
    <x:n v="30"/>
  </x:r>
  <x:r>
    <x:d v="2026-09-19T00:00:00Z"/>
    <x:x v="3"/>
    <x:s v="107543"/>
    <x:s v="BO"/>
    <x:s v="805"/>
    <x:s v="CO"/>
    <x:s v="BO-805"/>
    <x:s v="MCCORD MCCORD JAMES THEODORT"/>
    <x:s v="595465475"/>
    <x:m/>
    <x:m/>
    <x:s v="CRISTINA"/>
    <x:s v="0074073"/>
    <x:s v="986788412"/>
    <x:s v="MCCORD MCCORD JAMES THEODORT"/>
    <x:s v="93759"/>
    <x:x v="1"/>
    <x:n v="1"/>
    <x:s v="PRECISA"/>
    <x:s v="INSTITUTO MEDICO QUIRURGICO AREQUIPA S.A"/>
    <x:s v="INSTITUTO MEDICO QUIRURGICO AREQUIPA S.A"/>
    <x:s v="L.LINCE"/>
    <x:s v="KESCUDERO"/>
    <x:n v="135.59"/>
    <x:s v="LN. EXAMENES"/>
    <x:s v="CIAS. DE SEGURO"/>
    <x:s v="LINCE"/>
    <x:m/>
    <x:m/>
    <x:n v="30"/>
  </x:r>
  <x:r>
    <x:d v="2026-09-19T00:00:00Z"/>
    <x:x v="3"/>
    <x:s v="107593"/>
    <x:s v="BO"/>
    <x:s v="12768"/>
    <x:s v="CO"/>
    <x:s v="BO-12768"/>
    <x:s v="RIVADENEIRA DE VIDAL ENCARNACION"/>
    <x:s v="17587243"/>
    <x:m/>
    <x:m/>
    <x:s v="CRISTINA"/>
    <x:s v="0062310"/>
    <x:s v="988603417"/>
    <x:s v="RIVADENEIRA DE VIDAL ENCARNACION"/>
    <x:s v="93787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m/>
    <x:m/>
    <x:n v="30"/>
  </x:r>
  <x:r>
    <x:d v="2026-09-19T00:00:00Z"/>
    <x:x v="3"/>
    <x:s v="107601"/>
    <x:s v="BO"/>
    <x:s v="12771"/>
    <x:s v="CO"/>
    <x:s v="BO-12771"/>
    <x:s v="MANDUJANO QUIROZ FLORENCIA ZOILA"/>
    <x:s v="10496297"/>
    <x:m/>
    <x:m/>
    <x:s v="CRISTINA"/>
    <x:s v="0074083"/>
    <x:s v="+51907236888"/>
    <x:s v="MANDUJANO QUIROZ FLORENCIA ZOILA"/>
    <x:s v="93828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19T00:00:00Z"/>
    <x:x v="3"/>
    <x:s v="107601"/>
    <x:s v="BO"/>
    <x:s v="12771"/>
    <x:s v="CO"/>
    <x:s v="BO-12771"/>
    <x:s v="MANDUJANO QUIROZ FLORENCIA ZOILA"/>
    <x:s v="10496297"/>
    <x:m/>
    <x:m/>
    <x:s v="CRISTINA"/>
    <x:s v="0074083"/>
    <x:s v="+51907236888"/>
    <x:s v="MANDUJANO QUIROZ FLORENCIA ZOILA"/>
    <x:s v="93828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m/>
    <x:m/>
    <x:n v="30"/>
  </x:r>
  <x:r>
    <x:d v="2026-09-19T00:00:00Z"/>
    <x:x v="3"/>
    <x:s v="107607"/>
    <x:s v="BO"/>
    <x:s v="809"/>
    <x:s v="CO"/>
    <x:s v="BO-809"/>
    <x:s v="LLANOS SILVA FERNANDO"/>
    <x:s v="73068046"/>
    <x:m/>
    <x:m/>
    <x:s v="CRISTINA"/>
    <x:s v="0074079"/>
    <x:s v="+51902826252"/>
    <x:s v="LLANOS SILVA FERNANDO"/>
    <x:s v="93829"/>
    <x:x v="1"/>
    <x:n v="1"/>
    <x:s v="PRECISA"/>
    <x:s v="INSTITUTO MEDICO QUIRURGICO AREQUIPA S.A"/>
    <x:s v="INSTITUTO MEDICO QUIRURGICO AREQUIPA S.A"/>
    <x:s v="L.LINCE"/>
    <x:s v="KESCUDERO"/>
    <x:n v="135.59"/>
    <x:s v="LN. EXAMENES"/>
    <x:s v="CIAS. DE SEGURO"/>
    <x:s v="LINCE"/>
    <x:m/>
    <x:m/>
    <x:n v="30"/>
  </x:r>
  <x:r>
    <x:d v="2026-09-21T00:00:00Z"/>
    <x:x v="3"/>
    <x:s v="107657"/>
    <x:s v="BO"/>
    <x:s v="12775"/>
    <x:s v="CO"/>
    <x:s v="BO-12775"/>
    <x:s v="ZABALU NIZAMA SILVIA MARGOT"/>
    <x:s v="32118229"/>
    <x:m/>
    <x:m/>
    <x:s v="CRISTINA"/>
    <x:s v="0074120"/>
    <x:s v="915006721"/>
    <x:s v="ZABALU NIZAMA SILVIA MARGOT"/>
    <x:s v="93870"/>
    <x:x v="1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21T00:00:00Z"/>
    <x:x v="3"/>
    <x:s v="107657"/>
    <x:s v="BO"/>
    <x:s v="12775"/>
    <x:s v="CO"/>
    <x:s v="BO-12775"/>
    <x:s v="ZABALU NIZAMA SILVIA MARGOT"/>
    <x:s v="32118229"/>
    <x:m/>
    <x:m/>
    <x:s v="CRISTINA"/>
    <x:s v="0074120"/>
    <x:s v="915006721"/>
    <x:s v="ZABALU NIZAMA SILVIA MARGOT"/>
    <x:s v="93870"/>
    <x:x v="8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m/>
    <x:m/>
    <x:n v="30"/>
  </x:r>
  <x:r>
    <x:d v="2026-09-21T00:00:00Z"/>
    <x:x v="3"/>
    <x:s v="107667"/>
    <x:s v="FA"/>
    <x:s v="138"/>
    <x:s v="CO"/>
    <x:s v="FA-138"/>
    <x:s v="CAMPOS CALIXTRO CARMEN MARIA"/>
    <x:s v="10403296"/>
    <x:m/>
    <x:m/>
    <x:s v="CRISTINA"/>
    <x:s v="0074127"/>
    <x:s v="9815593684"/>
    <x:s v="DELVAMEC PERU E.I.R.L."/>
    <x:s v="93881"/>
    <x:x v="5"/>
    <x:n v="1"/>
    <x:s v="PRECISA LN"/>
    <x:s v="POR ASIGNAR"/>
    <x:s v="INSTITUTO MEDICO QUIRURGICO AREQUIPA S.A"/>
    <x:s v="L.NORTE"/>
    <x:s v="BGALLOSA"/>
    <x:n v="152.54"/>
    <x:s v="LN. EXAMENES"/>
    <x:s v="CIAS. DE SEGURO"/>
    <x:s v="NORTE"/>
    <x:m/>
    <x:m/>
    <x:n v="30"/>
  </x:r>
  <x:r>
    <x:d v="2026-09-21T00:00:00Z"/>
    <x:x v="3"/>
    <x:s v="107667"/>
    <x:s v="FA"/>
    <x:s v="138"/>
    <x:s v="CO"/>
    <x:s v="FA-138"/>
    <x:s v="CAMPOS CALIXTRO CARMEN MARIA"/>
    <x:s v="10403296"/>
    <x:m/>
    <x:m/>
    <x:s v="CRISTINA"/>
    <x:s v="0074127"/>
    <x:s v="9815593684"/>
    <x:s v="DELVAMEC PERU E.I.R.L."/>
    <x:s v="93881"/>
    <x:x v="42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m/>
    <x:m/>
    <x:n v="50"/>
  </x:r>
  <x:r>
    <x:d v="2026-09-21T00:00:00Z"/>
    <x:x v="3"/>
    <x:s v="107667"/>
    <x:s v="FA"/>
    <x:s v="138"/>
    <x:s v="CO"/>
    <x:s v="FA-138"/>
    <x:s v="CAMPOS CALIXTRO CARMEN MARIA"/>
    <x:s v="10403296"/>
    <x:m/>
    <x:m/>
    <x:s v="CRISTINA"/>
    <x:s v="0074127"/>
    <x:s v="9815593684"/>
    <x:s v="DELVAMEC PERU E.I.R.L."/>
    <x:s v="93881"/>
    <x:x v="2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m/>
    <x:m/>
    <x:n v="50"/>
  </x:r>
  <x:r>
    <x:d v="2026-09-21T00:00:00Z"/>
    <x:x v="3"/>
    <x:s v="107667"/>
    <x:s v="FA"/>
    <x:s v="138"/>
    <x:s v="CO"/>
    <x:s v="FA-138"/>
    <x:s v="CAMPOS CALIXTRO CARMEN MARIA"/>
    <x:s v="10403296"/>
    <x:m/>
    <x:m/>
    <x:s v="CRISTINA"/>
    <x:s v="0074127"/>
    <x:s v="9815593684"/>
    <x:s v="DELVAMEC PERU E.I.R.L."/>
    <x:s v="93881"/>
    <x:x v="4"/>
    <x:n v="1"/>
    <x:s v="PRECISA LN"/>
    <x:s v="POR ASIGNAR"/>
    <x:s v="INSTITUTO MEDICO QUIRURGICO AREQUIPA S.A"/>
    <x:s v="L.NORTE"/>
    <x:s v="BGALLOSA"/>
    <x:n v="135.59"/>
    <x:s v="LN. EXAMENES"/>
    <x:s v="CIAS. DE SEGURO"/>
    <x:s v="NORTE"/>
    <x:m/>
    <x:m/>
    <x:n v="30"/>
  </x:r>
  <x:r>
    <x:d v="2026-09-21T00:00:00Z"/>
    <x:x v="3"/>
    <x:s v="107678"/>
    <x:s v="FA"/>
    <x:s v="1147"/>
    <x:s v="CO"/>
    <x:s v="FA-1147"/>
    <x:s v="SANTILLAN MOLINA MARITZA BRIZAIDA"/>
    <x:s v="28316361"/>
    <x:m/>
    <x:m/>
    <x:s v="CRISTINA"/>
    <x:s v="0073536"/>
    <x:s v="952672670"/>
    <x:s v="CENTRO CONTRA LA CEGUERA E.I.R.L."/>
    <x:s v="93887"/>
    <x:x v="22"/>
    <x:n v="1"/>
    <x:s v="PRECISA"/>
    <x:s v="INSTITUTO MEDICO QUIRURGICO AREQUIPA S.A"/>
    <x:s v="INSTITUTO MEDICO QUIRURGICO AREQUIPA S.A"/>
    <x:s v="L.CENTRO"/>
    <x:s v="LMAGAN"/>
    <x:n v="101.69"/>
    <x:s v="LN. PROCEDIMIENTO"/>
    <x:s v="CIAS. DE SEGURO"/>
    <x:s v="CENTRO"/>
    <x:m/>
    <x:m/>
    <x:m/>
  </x:r>
  <x:r>
    <x:d v="2026-09-21T00:00:00Z"/>
    <x:x v="3"/>
    <x:s v="107686"/>
    <x:s v="BO"/>
    <x:s v="4807"/>
    <x:s v="CO"/>
    <x:s v="BO-4807"/>
    <x:s v="ULLAURI LEON FELICIANO PABLO"/>
    <x:s v="06940771"/>
    <x:m/>
    <x:m/>
    <x:s v="CRISTINA"/>
    <x:s v="0074137"/>
    <x:s v="994989557"/>
    <x:s v="ULLAURI LEON FELICIANO PABLO"/>
    <x:s v="93894"/>
    <x:x v="12"/>
    <x:n v="1"/>
    <x:s v="PRECISA LN"/>
    <x:s v="POR ASIGNAR"/>
    <x:s v="INSTITUTO MEDICO QUIRURGICO AREQUIPA S.A"/>
    <x:s v="L.NORTE"/>
    <x:s v="BGALLOSA"/>
    <x:n v="152.54"/>
    <x:s v="LN. EXAMENES"/>
    <x:s v="CIAS. DE SEGURO"/>
    <x:s v="NORTE"/>
    <x:m/>
    <x:m/>
    <x:n v="30"/>
  </x:r>
  <x:r>
    <x:d v="2026-09-21T00:00:00Z"/>
    <x:x v="3"/>
    <x:s v="107703"/>
    <x:s v="FA"/>
    <x:s v="1148"/>
    <x:s v="CO"/>
    <x:s v="FA-1148"/>
    <x:s v="SIALER MORENO VDA DE RIVERA MERY JOSEFIN"/>
    <x:s v="25814685"/>
    <x:m/>
    <x:m/>
    <x:s v="CRISTINA"/>
    <x:s v="0028109"/>
    <x:s v="991123897"/>
    <x:s v="CENTRO OFTALMOLOGICO OFTALMOCARE S.R.L."/>
    <x:s v="93910"/>
    <x:x v="22"/>
    <x:n v="1"/>
    <x:s v="PRECISA"/>
    <x:s v="INSTITUTO MEDICO QUIRURGICO AREQUIPA S.A"/>
    <x:s v="INSTITUTO MEDICO QUIRURGICO AREQUIPA S.A"/>
    <x:s v="L.CENTRO"/>
    <x:s v="LMAGAN"/>
    <x:n v="101.69"/>
    <x:s v="LN. PROCEDIMIENTO"/>
    <x:s v="CIAS. DE SEGURO"/>
    <x:s v="CENTRO"/>
    <x:m/>
    <x:m/>
    <x:m/>
  </x:r>
  <x:r>
    <x:d v="2026-09-21T00:00:00Z"/>
    <x:x v="3"/>
    <x:s v="107712"/>
    <x:s v="BO"/>
    <x:s v="4814"/>
    <x:s v="CO"/>
    <x:s v="BO-4814"/>
    <x:s v="VILLANUEVA ARMAS JAKQUELINE"/>
    <x:s v="42211225"/>
    <x:m/>
    <x:m/>
    <x:s v="CRISTINA"/>
    <x:s v="0074148"/>
    <x:s v="912483781"/>
    <x:s v="VILLANUEVA ARMAS JAKQUELINE"/>
    <x:s v="93917"/>
    <x:x v="2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m/>
    <x:m/>
    <x:n v="50"/>
  </x:r>
  <x:r>
    <x:d v="2026-09-21T00:00:00Z"/>
    <x:x v="3"/>
    <x:s v="107669"/>
    <x:s v="BO"/>
    <x:s v="5282"/>
    <x:s v="CO"/>
    <x:s v="BO-5282"/>
    <x:s v="PUENTE BLANCO STEVE JESUS"/>
    <x:s v="71217456"/>
    <x:s v="PALACIOS URIBE PAMELA CAROLINA"/>
    <x:m/>
    <x:s v="CRISTINA"/>
    <x:s v="0074118"/>
    <x:s v="991633023"/>
    <x:s v="PUENTE BLANCO STEVE JESUS"/>
    <x:s v="93868"/>
    <x:x v="12"/>
    <x:n v="1"/>
    <x:s v="PRECISA"/>
    <x:s v="INSTITUTO MEDICO QUIRURGICO AREQUIPA S.A"/>
    <x:s v="INSTITUTO MEDICO QUIRURGICO AREQUIPA S.A"/>
    <x:s v="L.NORTE"/>
    <x:s v="AALARCON"/>
    <x:n v="152.54"/>
    <x:s v="LN. EXAMENES"/>
    <x:s v="CIAS. DE SEGURO"/>
    <x:s v="NORTE"/>
    <x:m/>
    <x:m/>
    <x:n v="30"/>
  </x:r>
  <x:r>
    <x:d v="2026-09-21T00:00:00Z"/>
    <x:x v="3"/>
    <x:s v="107699"/>
    <x:s v="BO"/>
    <x:s v="12784"/>
    <x:s v="CO"/>
    <x:s v="BO-12784"/>
    <x:s v="TALAVERA DE LA VEGA EUGENIA"/>
    <x:s v="06594275"/>
    <x:m/>
    <x:m/>
    <x:s v="CRISTINA"/>
    <x:s v="0074125"/>
    <x:s v="900 541 123"/>
    <x:s v="TALAVERA DE LA VEGA EUGENIA"/>
    <x:s v="93891"/>
    <x:x v="1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21T00:00:00Z"/>
    <x:x v="3"/>
    <x:s v="107720"/>
    <x:s v="BO"/>
    <x:s v="12788"/>
    <x:s v="CO"/>
    <x:s v="BO-12788"/>
    <x:s v="VILCA QUISPE EUSEBIO"/>
    <x:s v="02424637"/>
    <x:m/>
    <x:m/>
    <x:s v="CRISTINA"/>
    <x:s v="0074141"/>
    <x:s v="923632310"/>
    <x:s v="VILCA QUISPE EUSEBIO"/>
    <x:s v="93904"/>
    <x:x v="1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22T00:00:00Z"/>
    <x:x v="3"/>
    <x:s v="107738"/>
    <x:s v="BO"/>
    <x:s v="6504"/>
    <x:s v="CO"/>
    <x:s v="BO-6504"/>
    <x:s v="MOLERO VILLAFUERTE DE PORTA BRIGIDA ROSA"/>
    <x:s v="07589196"/>
    <x:s v="FIERRO LEANDRO"/>
    <x:s v="POLICLÍNICO DIVINO NIÑO JESÚS"/>
    <x:s v="CRISTINA"/>
    <x:s v="0074106"/>
    <x:s v="997 292 731"/>
    <x:s v="MOLERO VILLAFUERTE DE PORTA BRIGIDA ROSA"/>
    <x:s v="93937"/>
    <x:x v="15"/>
    <x:n v="1"/>
    <x:s v="PRECISA"/>
    <x:s v="INSTITUTO MEDICO QUIRURGICO AREQUIPA S.A"/>
    <x:s v="INSTITUTO MEDICO QUIRURGICO AREQUIPA S.A"/>
    <x:s v="L.CENTRO"/>
    <x:s v="ACABRERA"/>
    <x:n v="127.12"/>
    <x:s v="LN. EXAMENES"/>
    <x:s v="CIAS. DE SEGURO"/>
    <x:s v="CENTRO"/>
    <x:m/>
    <x:m/>
    <x:m/>
  </x:r>
  <x:r>
    <x:d v="2026-09-22T00:00:00Z"/>
    <x:x v="3"/>
    <x:s v="107739"/>
    <x:s v="BO"/>
    <x:s v="6505"/>
    <x:s v="CO"/>
    <x:s v="BO-6505"/>
    <x:s v="MOLERO VILLAFUERTE DE PORTA BRIGIDA ROSA"/>
    <x:s v="07589196"/>
    <x:s v="FIERRO LEANDRO"/>
    <x:s v="POLICLÍNICO DIVINO NIÑO JESÚS"/>
    <x:s v="CRISTINA"/>
    <x:s v="0074106"/>
    <x:s v="997 292 731"/>
    <x:s v="MOLERO VILLAFUERTE DE PORTA BRIGIDA ROSA"/>
    <x:s v="93938"/>
    <x:x v="19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9-22T00:00:00Z"/>
    <x:x v="3"/>
    <x:s v="107739"/>
    <x:s v="BO"/>
    <x:s v="6505"/>
    <x:s v="CO"/>
    <x:s v="BO-6505"/>
    <x:s v="MOLERO VILLAFUERTE DE PORTA BRIGIDA ROSA"/>
    <x:s v="07589196"/>
    <x:s v="FIERRO LEANDRO"/>
    <x:s v="POLICLÍNICO DIVINO NIÑO JESÚS"/>
    <x:s v="CRISTINA"/>
    <x:s v="0074106"/>
    <x:s v="997 292 731"/>
    <x:s v="MOLERO VILLAFUERTE DE PORTA BRIGIDA ROSA"/>
    <x:s v="93938"/>
    <x:x v="18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9-22T00:00:00Z"/>
    <x:x v="3"/>
    <x:s v="107739"/>
    <x:s v="BO"/>
    <x:s v="6505"/>
    <x:s v="CO"/>
    <x:s v="BO-6505"/>
    <x:s v="MOLERO VILLAFUERTE DE PORTA BRIGIDA ROSA"/>
    <x:s v="07589196"/>
    <x:s v="FIERRO LEANDRO"/>
    <x:s v="POLICLÍNICO DIVINO NIÑO JESÚS"/>
    <x:s v="CRISTINA"/>
    <x:s v="0074106"/>
    <x:s v="997 292 731"/>
    <x:s v="MOLERO VILLAFUERTE DE PORTA BRIGIDA ROSA"/>
    <x:s v="93938"/>
    <x:x v="16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9-22T00:00:00Z"/>
    <x:x v="3"/>
    <x:s v="107739"/>
    <x:s v="BO"/>
    <x:s v="6505"/>
    <x:s v="CO"/>
    <x:s v="BO-6505"/>
    <x:s v="MOLERO VILLAFUERTE DE PORTA BRIGIDA ROSA"/>
    <x:s v="07589196"/>
    <x:s v="FIERRO LEANDRO"/>
    <x:s v="POLICLÍNICO DIVINO NIÑO JESÚS"/>
    <x:s v="CRISTINA"/>
    <x:s v="0074106"/>
    <x:s v="997 292 731"/>
    <x:s v="MOLERO VILLAFUERTE DE PORTA BRIGIDA ROSA"/>
    <x:s v="93938"/>
    <x:x v="20"/>
    <x:n v="1"/>
    <x:s v="PRECISA"/>
    <x:s v="INSTITUTO MEDICO QUIRURGICO AREQUIPA S.A"/>
    <x:s v="INSTITUTO MEDICO QUIRURGICO AREQUIPA S.A"/>
    <x:s v="L.CENTRO"/>
    <x:s v="ACABRERA"/>
    <x:n v="50.85"/>
    <x:s v="LN. LABORATORIO"/>
    <x:s v="CIAS. DE SEGURO"/>
    <x:s v="CENTRO"/>
    <x:m/>
    <x:m/>
    <x:m/>
  </x:r>
  <x:r>
    <x:d v="2026-09-22T00:00:00Z"/>
    <x:x v="3"/>
    <x:s v="107739"/>
    <x:s v="BO"/>
    <x:s v="6505"/>
    <x:s v="CO"/>
    <x:s v="BO-6505"/>
    <x:s v="MOLERO VILLAFUERTE DE PORTA BRIGIDA ROSA"/>
    <x:s v="07589196"/>
    <x:s v="FIERRO LEANDRO"/>
    <x:s v="POLICLÍNICO DIVINO NIÑO JESÚS"/>
    <x:s v="CRISTINA"/>
    <x:s v="0074106"/>
    <x:s v="997 292 731"/>
    <x:s v="MOLERO VILLAFUERTE DE PORTA BRIGIDA ROSA"/>
    <x:s v="93938"/>
    <x:x v="17"/>
    <x:n v="1"/>
    <x:s v="PRECISA"/>
    <x:s v="INSTITUTO MEDICO QUIRURGICO AREQUIPA S.A"/>
    <x:s v="INSTITUTO MEDICO QUIRURGICO AREQUIPA S.A"/>
    <x:s v="L.CENTRO"/>
    <x:s v="ACABRERA"/>
    <x:n v="21.19"/>
    <x:s v="LN. LABORATORIO"/>
    <x:s v="CIAS. DE SEGURO"/>
    <x:s v="CENTRO"/>
    <x:m/>
    <x:m/>
    <x:m/>
  </x:r>
  <x:r>
    <x:d v="2026-09-22T00:00:00Z"/>
    <x:x v="3"/>
    <x:s v="107740"/>
    <x:s v="BO"/>
    <x:s v="6506"/>
    <x:s v="CO"/>
    <x:s v="BO-6506"/>
    <x:s v="MOLERO VILLAFUERTE DE PORTA BRIGIDA ROSA"/>
    <x:s v="07589196"/>
    <x:s v="FIERRO LEANDRO"/>
    <x:s v="POLICLÍNICO DIVINO NIÑO JESÚS"/>
    <x:s v="CRISTINA"/>
    <x:s v="0074106"/>
    <x:s v="997 292 731"/>
    <x:s v="MOLERO VILLAFUERTE DE PORTA BRIGIDA ROSA"/>
    <x:s v="93939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m/>
    <x:m/>
    <x:m/>
  </x:r>
  <x:r>
    <x:d v="2026-09-22T00:00:00Z"/>
    <x:x v="3"/>
    <x:s v="107753"/>
    <x:s v="BO"/>
    <x:s v="6511"/>
    <x:s v="CO"/>
    <x:s v="BO-6511"/>
    <x:s v="MARIN NODA ZAIDEE ZARAMIT"/>
    <x:s v="14566209"/>
    <x:m/>
    <x:m/>
    <x:s v="CRISTINA"/>
    <x:s v="0074173"/>
    <x:s v="922232520"/>
    <x:s v="MARIN NODA ZAIDEE ZARAMIT"/>
    <x:s v="93951"/>
    <x:x v="17"/>
    <x:n v="1"/>
    <x:s v="PRECISA"/>
    <x:s v="INSTITUTO MEDICO QUIRURGICO AREQUIPA S.A"/>
    <x:s v="INSTITUTO MEDICO QUIRURGICO AREQUIPA S.A"/>
    <x:s v="L.CENTRO"/>
    <x:s v="ACABRERA"/>
    <x:n v="21.19"/>
    <x:s v="LN. LABORATORIO"/>
    <x:s v="CIAS. DE SEGURO"/>
    <x:s v="CENTRO"/>
    <x:m/>
    <x:m/>
    <x:m/>
  </x:r>
  <x:r>
    <x:d v="2026-09-22T00:00:00Z"/>
    <x:x v="3"/>
    <x:s v="107753"/>
    <x:s v="BO"/>
    <x:s v="6511"/>
    <x:s v="CO"/>
    <x:s v="BO-6511"/>
    <x:s v="MARIN NODA ZAIDEE ZARAMIT"/>
    <x:s v="14566209"/>
    <x:m/>
    <x:m/>
    <x:s v="CRISTINA"/>
    <x:s v="0074173"/>
    <x:s v="922232520"/>
    <x:s v="MARIN NODA ZAIDEE ZARAMIT"/>
    <x:s v="93951"/>
    <x:x v="20"/>
    <x:n v="1"/>
    <x:s v="PRECISA"/>
    <x:s v="INSTITUTO MEDICO QUIRURGICO AREQUIPA S.A"/>
    <x:s v="INSTITUTO MEDICO QUIRURGICO AREQUIPA S.A"/>
    <x:s v="L.CENTRO"/>
    <x:s v="ACABRERA"/>
    <x:n v="50.85"/>
    <x:s v="LN. LABORATORIO"/>
    <x:s v="CIAS. DE SEGURO"/>
    <x:s v="CENTRO"/>
    <x:m/>
    <x:m/>
    <x:m/>
  </x:r>
  <x:r>
    <x:d v="2026-09-22T00:00:00Z"/>
    <x:x v="3"/>
    <x:s v="107753"/>
    <x:s v="BO"/>
    <x:s v="6511"/>
    <x:s v="CO"/>
    <x:s v="BO-6511"/>
    <x:s v="MARIN NODA ZAIDEE ZARAMIT"/>
    <x:s v="14566209"/>
    <x:m/>
    <x:m/>
    <x:s v="CRISTINA"/>
    <x:s v="0074173"/>
    <x:s v="922232520"/>
    <x:s v="MARIN NODA ZAIDEE ZARAMIT"/>
    <x:s v="93951"/>
    <x:x v="16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9-22T00:00:00Z"/>
    <x:x v="3"/>
    <x:s v="107753"/>
    <x:s v="BO"/>
    <x:s v="6511"/>
    <x:s v="CO"/>
    <x:s v="BO-6511"/>
    <x:s v="MARIN NODA ZAIDEE ZARAMIT"/>
    <x:s v="14566209"/>
    <x:m/>
    <x:m/>
    <x:s v="CRISTINA"/>
    <x:s v="0074173"/>
    <x:s v="922232520"/>
    <x:s v="MARIN NODA ZAIDEE ZARAMIT"/>
    <x:s v="93951"/>
    <x:x v="18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9-22T00:00:00Z"/>
    <x:x v="3"/>
    <x:s v="107753"/>
    <x:s v="BO"/>
    <x:s v="6511"/>
    <x:s v="CO"/>
    <x:s v="BO-6511"/>
    <x:s v="MARIN NODA ZAIDEE ZARAMIT"/>
    <x:s v="14566209"/>
    <x:m/>
    <x:m/>
    <x:s v="CRISTINA"/>
    <x:s v="0074173"/>
    <x:s v="922232520"/>
    <x:s v="MARIN NODA ZAIDEE ZARAMIT"/>
    <x:s v="93951"/>
    <x:x v="19"/>
    <x:n v="1"/>
    <x:s v="PRECISA"/>
    <x:s v="INSTITUTO MEDICO QUIRURGICO AREQUIPA S.A"/>
    <x:s v="INSTITUTO MEDICO QUIRURGICO AREQUIPA S.A"/>
    <x:s v="L.CENTRO"/>
    <x:s v="ACABRERA"/>
    <x:n v="12.71"/>
    <x:s v="LN. LABORATORIO"/>
    <x:s v="CIAS. DE SEGURO"/>
    <x:s v="CENTRO"/>
    <x:m/>
    <x:m/>
    <x:m/>
  </x:r>
  <x:r>
    <x:d v="2026-09-22T00:00:00Z"/>
    <x:x v="3"/>
    <x:s v="107754"/>
    <x:s v="BO"/>
    <x:s v="6512"/>
    <x:s v="CO"/>
    <x:s v="BO-6512"/>
    <x:s v="MARIN NODA ZAIDEE ZARAMIT"/>
    <x:s v="14566209"/>
    <x:m/>
    <x:m/>
    <x:s v="CRISTINA"/>
    <x:s v="0074173"/>
    <x:s v="922232520"/>
    <x:s v="MARIN NODA ZAIDEE ZARAMIT"/>
    <x:s v="93952"/>
    <x:x v="15"/>
    <x:n v="1"/>
    <x:s v="PRECISA"/>
    <x:s v="INSTITUTO MEDICO QUIRURGICO AREQUIPA S.A"/>
    <x:s v="INSTITUTO MEDICO QUIRURGICO AREQUIPA S.A"/>
    <x:s v="L.CENTRO"/>
    <x:s v="ACABRERA"/>
    <x:n v="127.12"/>
    <x:s v="LN. EXAMENES"/>
    <x:s v="CIAS. DE SEGURO"/>
    <x:s v="CENTRO"/>
    <x:m/>
    <x:m/>
    <x:m/>
  </x:r>
  <x:r>
    <x:d v="2026-09-22T00:00:00Z"/>
    <x:x v="3"/>
    <x:s v="107756"/>
    <x:s v="BO"/>
    <x:s v="6513"/>
    <x:s v="CO"/>
    <x:s v="BO-6513"/>
    <x:s v="MARIN NODA ZAIDEE ZARAMIT"/>
    <x:s v="14566209"/>
    <x:m/>
    <x:m/>
    <x:s v="CRISTINA"/>
    <x:s v="0074173"/>
    <x:s v="922232520"/>
    <x:s v="MARIN NODA ZAIDEE ZARAMIT"/>
    <x:s v="93953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m/>
    <x:m/>
    <x:m/>
  </x:r>
  <x:r>
    <x:d v="2026-09-22T00:00:00Z"/>
    <x:x v="3"/>
    <x:s v="107757"/>
    <x:s v="BO"/>
    <x:s v="12797"/>
    <x:s v="CO"/>
    <x:s v="BO-12797"/>
    <x:s v="REYES DE GUADALUPE BERTILA VELDIANA"/>
    <x:s v="21829013"/>
    <x:m/>
    <x:m/>
    <x:s v="CRISTINA"/>
    <x:s v="0041655"/>
    <x:s v="996869410"/>
    <x:s v="REYES DE GUADALUPE BERTILA VELDIANA"/>
    <x:s v="93955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9-22T00:00:00Z"/>
    <x:x v="3"/>
    <x:s v="107763"/>
    <x:s v="BO"/>
    <x:s v="6514"/>
    <x:s v="CO"/>
    <x:s v="BO-6514"/>
    <x:s v="BRICEÑO IBARRA ISAAC ARMANDO"/>
    <x:s v="07104698"/>
    <x:m/>
    <x:m/>
    <x:s v="CRISTINA"/>
    <x:s v="0074105"/>
    <x:s v="989 712 379"/>
    <x:s v="BRICEÑO IBARRA ISAAC ARMANDO"/>
    <x:s v="93960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m/>
    <x:m/>
    <x:m/>
  </x:r>
  <x:r>
    <x:d v="2026-09-22T00:00:00Z"/>
    <x:x v="3"/>
    <x:s v="107789"/>
    <x:s v="BO"/>
    <x:s v="6515"/>
    <x:s v="CO"/>
    <x:s v="BO-6515"/>
    <x:s v="RUBIO BAUTISTA MARTHA"/>
    <x:s v="40248862"/>
    <x:m/>
    <x:m/>
    <x:s v="CRISTINA"/>
    <x:s v="0074146"/>
    <x:s v="961897632"/>
    <x:s v="RUBIO BAUTISTA MARTHA"/>
    <x:s v="93972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m/>
    <x:m/>
    <x:m/>
  </x:r>
  <x:r>
    <x:d v="2026-09-22T00:00:00Z"/>
    <x:x v="3"/>
    <x:s v="107790"/>
    <x:s v="BO"/>
    <x:s v="12803"/>
    <x:s v="CO"/>
    <x:s v="BO-12803"/>
    <x:s v="FLORES SALAZAR NORMA BEATRIZ"/>
    <x:s v="07493552"/>
    <x:m/>
    <x:m/>
    <x:s v="CRISTINA"/>
    <x:s v="0050019"/>
    <x:s v="971181409"/>
    <x:s v="FLORES SALAZAR NORMA BEATRIZ"/>
    <x:s v="93973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22T00:00:00Z"/>
    <x:x v="3"/>
    <x:s v="107790"/>
    <x:s v="BO"/>
    <x:s v="12803"/>
    <x:s v="CO"/>
    <x:s v="BO-12803"/>
    <x:s v="FLORES SALAZAR NORMA BEATRIZ"/>
    <x:s v="07493552"/>
    <x:m/>
    <x:m/>
    <x:s v="CRISTINA"/>
    <x:s v="0050019"/>
    <x:s v="971181409"/>
    <x:s v="FLORES SALAZAR NORMA BEATRIZ"/>
    <x:s v="93973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9-22T00:00:00Z"/>
    <x:x v="3"/>
    <x:s v="107829"/>
    <x:s v="FA"/>
    <x:s v="632"/>
    <x:s v="CO"/>
    <x:s v="FA-632"/>
    <x:s v="MOLERO VILLAFUERTE DE PORTA BRIGIDA ROSA"/>
    <x:s v="07589196"/>
    <x:m/>
    <x:m/>
    <x:s v="CRISTINA"/>
    <x:s v="0074106"/>
    <x:s v="997 292 731"/>
    <x:s v="GRUPO MEDICO INTEGRAL SOCIEDAD ANONIMA CERRADA"/>
    <x:s v="93958"/>
    <x:x v="10"/>
    <x:n v="1"/>
    <x:s v="PRECISA"/>
    <x:s v="INSTITUTO MEDICO QUIRURGICO AREQUIPA S.A"/>
    <x:s v="INSTITUTO MEDICO QUIRURGICO AREQUIPA S.A"/>
    <x:s v="L.CENTRO"/>
    <x:s v="ACABRERA"/>
    <x:n v="762.71"/>
    <x:s v="LN. CIRUGIA"/>
    <x:s v="CIAS. DE SEGURO"/>
    <x:s v="CENTRO"/>
    <x:m/>
    <x:m/>
    <x:m/>
  </x:r>
  <x:r>
    <x:d v="2026-09-22T00:00:00Z"/>
    <x:x v="3"/>
    <x:s v="107829"/>
    <x:s v="FA"/>
    <x:s v="632"/>
    <x:s v="CO"/>
    <x:s v="FA-632"/>
    <x:s v="MOLERO VILLAFUERTE DE PORTA BRIGIDA ROSA"/>
    <x:s v="07589196"/>
    <x:m/>
    <x:m/>
    <x:s v="CRISTINA"/>
    <x:s v="0074106"/>
    <x:s v="997 292 731"/>
    <x:s v="GRUPO MEDICO INTEGRAL SOCIEDAD ANONIMA CERRADA"/>
    <x:s v="93958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9-22T00:00:00Z"/>
    <x:x v="3"/>
    <x:s v="107832"/>
    <x:s v="FA"/>
    <x:s v="633"/>
    <x:s v="CO"/>
    <x:s v="FA-633"/>
    <x:s v="BRICEÑO IBARRA ISAAC ARMANDO"/>
    <x:s v="07104698"/>
    <x:m/>
    <x:m/>
    <x:s v="CRISTINA"/>
    <x:s v="0074105"/>
    <x:s v="989 712 379"/>
    <x:s v="GRUPO MEDICO INTEGRAL SOCIEDAD ANONIMA CERRADA"/>
    <x:s v="93975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9-22T00:00:00Z"/>
    <x:x v="3"/>
    <x:s v="107832"/>
    <x:s v="FA"/>
    <x:s v="633"/>
    <x:s v="CO"/>
    <x:s v="FA-633"/>
    <x:s v="BRICEÑO IBARRA ISAAC ARMANDO"/>
    <x:s v="07104698"/>
    <x:m/>
    <x:m/>
    <x:s v="CRISTINA"/>
    <x:s v="0074105"/>
    <x:s v="989 712 379"/>
    <x:s v="GRUPO MEDICO INTEGRAL SOCIEDAD ANONIMA CERRADA"/>
    <x:s v="93975"/>
    <x:x v="10"/>
    <x:n v="1"/>
    <x:s v="PRECISA"/>
    <x:s v="INSTITUTO MEDICO QUIRURGICO AREQUIPA S.A"/>
    <x:s v="INSTITUTO MEDICO QUIRURGICO AREQUIPA S.A"/>
    <x:s v="L.CENTRO"/>
    <x:s v="ACABRERA"/>
    <x:n v="762.71"/>
    <x:s v="LN. CIRUGIA"/>
    <x:s v="CIAS. DE SEGURO"/>
    <x:s v="CENTRO"/>
    <x:m/>
    <x:m/>
    <x:m/>
  </x:r>
  <x:r>
    <x:d v="2026-09-22T00:00:00Z"/>
    <x:x v="3"/>
    <x:s v="107844"/>
    <x:s v="FA"/>
    <x:s v="1149"/>
    <x:s v="CO"/>
    <x:s v="FA-1149"/>
    <x:s v="MARIN NODA ZAIDEE ZARAMIT"/>
    <x:s v="14566209"/>
    <x:m/>
    <x:m/>
    <x:s v="CRISTINA"/>
    <x:s v="0074173"/>
    <x:s v="922232520"/>
    <x:s v="GRUPO MEDICO INTEGRAL SOCIEDAD ANONIMA CERRADA"/>
    <x:s v="93980"/>
    <x:x v="9"/>
    <x:n v="1"/>
    <x:s v="PRECISA"/>
    <x:s v="INSTITUTO MEDICO QUIRURGICO AREQUIPA S.A"/>
    <x:s v="INSTITUTO MEDICO QUIRURGICO AREQUIPA S.A"/>
    <x:s v="L.CENTRO"/>
    <x:s v="LMAGAN"/>
    <x:n v="0"/>
    <x:s v="LN. CIRUGIA"/>
    <x:s v="CIAS. DE SEGURO"/>
    <x:s v="CENTRO"/>
    <x:m/>
    <x:m/>
    <x:m/>
  </x:r>
  <x:r>
    <x:d v="2026-09-22T00:00:00Z"/>
    <x:x v="3"/>
    <x:s v="107844"/>
    <x:s v="FA"/>
    <x:s v="1149"/>
    <x:s v="CO"/>
    <x:s v="FA-1149"/>
    <x:s v="MARIN NODA ZAIDEE ZARAMIT"/>
    <x:s v="14566209"/>
    <x:m/>
    <x:m/>
    <x:s v="CRISTINA"/>
    <x:s v="0074173"/>
    <x:s v="922232520"/>
    <x:s v="GRUPO MEDICO INTEGRAL SOCIEDAD ANONIMA CERRADA"/>
    <x:s v="93980"/>
    <x:x v="10"/>
    <x:n v="1"/>
    <x:s v="PRECISA"/>
    <x:s v="INSTITUTO MEDICO QUIRURGICO AREQUIPA S.A"/>
    <x:s v="INSTITUTO MEDICO QUIRURGICO AREQUIPA S.A"/>
    <x:s v="L.CENTRO"/>
    <x:s v="LMAGAN"/>
    <x:n v="762.71"/>
    <x:s v="LN. CIRUGIA"/>
    <x:s v="CIAS. DE SEGURO"/>
    <x:s v="CENTRO"/>
    <x:m/>
    <x:m/>
    <x:m/>
  </x:r>
  <x:r>
    <x:d v="2026-09-22T00:00:00Z"/>
    <x:x v="3"/>
    <x:s v="107735"/>
    <x:s v="BO"/>
    <x:s v="6502"/>
    <x:s v="CO"/>
    <x:s v="BO-6502"/>
    <x:s v="TAFUR LÓPEZ ROSA ALCIRA"/>
    <x:s v="33940447"/>
    <x:m/>
    <x:m/>
    <x:s v="CRISTINA"/>
    <x:s v="0074136"/>
    <x:s v="999975704"/>
    <x:s v="TAFUR LÓPEZ ROSA ALCIRA"/>
    <x:s v="93893"/>
    <x:x v="1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m/>
    <x:n v="30"/>
  </x:r>
  <x:r>
    <x:d v="2026-09-22T00:00:00Z"/>
    <x:x v="3"/>
    <x:s v="107735"/>
    <x:s v="BO"/>
    <x:s v="6502"/>
    <x:s v="CO"/>
    <x:s v="BO-6502"/>
    <x:s v="TAFUR LÓPEZ ROSA ALCIRA"/>
    <x:s v="33940447"/>
    <x:m/>
    <x:m/>
    <x:s v="CRISTINA"/>
    <x:s v="0074136"/>
    <x:s v="999975704"/>
    <x:s v="TAFUR LÓPEZ ROSA ALCIRA"/>
    <x:s v="93893"/>
    <x:x v="7"/>
    <x:n v="1"/>
    <x:s v="PRECISA"/>
    <x:s v="INSTITUTO MEDICO QUIRURGICO AREQUIPA S.A"/>
    <x:s v="INSTITUTO MEDICO QUIRURGICO AREQUIPA S.A"/>
    <x:s v="L.CENTRO"/>
    <x:s v="ACABRERA"/>
    <x:n v="152.54"/>
    <x:s v="LN. EXAMENES"/>
    <x:s v="CIAS. DE SEGURO"/>
    <x:s v="CENTRO"/>
    <x:m/>
    <x:m/>
    <x:n v="30"/>
  </x:r>
  <x:r>
    <x:d v="2026-09-22T00:00:00Z"/>
    <x:x v="3"/>
    <x:s v="107735"/>
    <x:s v="BO"/>
    <x:s v="6502"/>
    <x:s v="CO"/>
    <x:s v="BO-6502"/>
    <x:s v="TAFUR LÓPEZ ROSA ALCIRA"/>
    <x:s v="33940447"/>
    <x:m/>
    <x:m/>
    <x:s v="CRISTINA"/>
    <x:s v="0074136"/>
    <x:s v="999975704"/>
    <x:s v="TAFUR LÓPEZ ROSA ALCIRA"/>
    <x:s v="93893"/>
    <x:x v="8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m/>
    <x:n v="30"/>
  </x:r>
  <x:r>
    <x:d v="2026-09-22T00:00:00Z"/>
    <x:x v="3"/>
    <x:s v="107749"/>
    <x:s v="BO"/>
    <x:s v="6510"/>
    <x:s v="CO"/>
    <x:s v="BO-6510"/>
    <x:s v="ATANACIO CALATAYUD ENITH MERIAT"/>
    <x:s v="72973383"/>
    <x:m/>
    <x:m/>
    <x:s v="CRISTINA"/>
    <x:s v="0074150"/>
    <x:s v="994058761"/>
    <x:s v="ATANACIO CALATAYUD ENITH MERIAT"/>
    <x:s v="93941"/>
    <x:x v="4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m/>
    <x:n v="30"/>
  </x:r>
  <x:r>
    <x:d v="2026-09-22T00:00:00Z"/>
    <x:x v="3"/>
    <x:s v="107786"/>
    <x:s v="BO"/>
    <x:s v="12802"/>
    <x:s v="CO"/>
    <x:s v="BO-12802"/>
    <x:s v="LUQUE PARIAPAZA FLORA MARIA"/>
    <x:s v="01213009"/>
    <x:m/>
    <x:m/>
    <x:s v="CRISTINA"/>
    <x:s v="0074161"/>
    <x:s v="920759561"/>
    <x:s v="LUQUE PARIAPAZA FLORA MARIA"/>
    <x:s v="93947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m/>
    <x:m/>
    <x:n v="30"/>
  </x:r>
  <x:r>
    <x:d v="2026-09-22T00:00:00Z"/>
    <x:x v="3"/>
    <x:s v="107786"/>
    <x:s v="BO"/>
    <x:s v="12802"/>
    <x:s v="CO"/>
    <x:s v="BO-12802"/>
    <x:s v="LUQUE PARIAPAZA FLORA MARIA"/>
    <x:s v="01213009"/>
    <x:m/>
    <x:m/>
    <x:s v="CRISTINA"/>
    <x:s v="0074161"/>
    <x:s v="920759561"/>
    <x:s v="LUQUE PARIAPAZA FLORA MARIA"/>
    <x:s v="93947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22T00:00:00Z"/>
    <x:x v="3"/>
    <x:s v="107803"/>
    <x:s v="BO"/>
    <x:s v="4823"/>
    <x:s v="CO"/>
    <x:s v="BO-4823"/>
    <x:s v="BURGOS CRUZADO STEFANY MIRTHA"/>
    <x:s v="40207653"/>
    <x:m/>
    <x:m/>
    <x:s v="CRISTINA"/>
    <x:s v="0074162"/>
    <x:s v="906734025"/>
    <x:s v="BURGOS CRUZADO STEFANY MIRTHA"/>
    <x:s v="93964"/>
    <x:x v="1"/>
    <x:n v="1"/>
    <x:s v="PRECISA"/>
    <x:s v="INSTITUTO MEDICO QUIRURGICO AREQUIPA S.A"/>
    <x:s v="INSTITUTO MEDICO QUIRURGICO AREQUIPA S.A"/>
    <x:s v="L.NORTE"/>
    <x:s v="BGALLOSA"/>
    <x:n v="135.59"/>
    <x:s v="LN. EXAMENES"/>
    <x:s v="CIAS. DE SEGURO"/>
    <x:s v="NORTE"/>
    <x:m/>
    <x:m/>
    <x:n v="30"/>
  </x:r>
  <x:r>
    <x:d v="2026-09-22T00:00:00Z"/>
    <x:x v="3"/>
    <x:s v="107826"/>
    <x:s v="BO"/>
    <x:s v="12805"/>
    <x:s v="CO"/>
    <x:s v="BO-12805"/>
    <x:s v="ANCHANTE BERNAL CARLOS ERICK"/>
    <x:s v="09413694"/>
    <x:m/>
    <x:m/>
    <x:s v="CRISTINA"/>
    <x:s v="0039209"/>
    <x:s v="993447646"/>
    <x:s v="ANCHANTE BERNAL CARLOS ERICK"/>
    <x:s v="93931"/>
    <x:x v="1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23T00:00:00Z"/>
    <x:x v="3"/>
    <x:s v="107953"/>
    <x:s v="BO"/>
    <x:s v="5307"/>
    <x:s v="CO"/>
    <x:s v="BO-5307"/>
    <x:s v="ALVA CASTRO ADRIANO ANGELO"/>
    <x:s v="71674965"/>
    <x:m/>
    <x:m/>
    <x:s v="CRISTINA"/>
    <x:s v="0074292"/>
    <x:s v="992129405"/>
    <x:s v="ALVA CASTRO ADRIANO ANGELO"/>
    <x:s v="94101"/>
    <x:x v="6"/>
    <x:n v="1"/>
    <x:s v="PRECISA LN"/>
    <x:s v="POR ASIGNAR"/>
    <x:s v="INSTITUTO MEDICO QUIRURGICO AREQUIPA S.A"/>
    <x:s v="L.NORTE"/>
    <x:s v="AALARCON"/>
    <x:n v="169.49"/>
    <x:s v="LN. EXAMENES"/>
    <x:s v="CIAS. DE SEGURO"/>
    <x:s v="NORTE"/>
    <x:m/>
    <x:m/>
    <x:n v="50"/>
  </x:r>
  <x:r>
    <x:d v="2026-09-23T00:00:00Z"/>
    <x:x v="3"/>
    <x:s v="107955"/>
    <x:s v="BO"/>
    <x:s v="5308"/>
    <x:s v="CO"/>
    <x:s v="BO-5308"/>
    <x:s v="CASTRO CHUÑOCCA ROSA AUGUSTA"/>
    <x:s v="41779924"/>
    <x:m/>
    <x:m/>
    <x:s v="CRISTINA"/>
    <x:s v="0074294"/>
    <x:s v="992129405"/>
    <x:s v="CASTRO CHUÑOCCA ROSA AUGUSTA"/>
    <x:s v="94103"/>
    <x:x v="6"/>
    <x:n v="1"/>
    <x:s v="PRECISA LN"/>
    <x:s v="POR ASIGNAR"/>
    <x:s v="INSTITUTO MEDICO QUIRURGICO AREQUIPA S.A"/>
    <x:s v="L.NORTE"/>
    <x:s v="AALARCON"/>
    <x:n v="169.49"/>
    <x:s v="LN. EXAMENES"/>
    <x:s v="CIAS. DE SEGURO"/>
    <x:s v="NORTE"/>
    <x:m/>
    <x:m/>
    <x:n v="50"/>
  </x:r>
  <x:r>
    <x:d v="2026-09-23T00:00:00Z"/>
    <x:x v="3"/>
    <x:s v="2494"/>
    <x:s v="NC"/>
    <x:s v="5307"/>
    <x:s v="CR"/>
    <x:s v="NC-5307"/>
    <x:s v="ALVA CASTRO ADRIANO ANGELO"/>
    <x:s v="71674965"/>
    <x:m/>
    <x:m/>
    <x:s v="CR"/>
    <x:s v="0074292"/>
    <x:s v="992129405"/>
    <x:s v="ALVA CASTRO ADRIANO ANGELO"/>
    <x:s v="94101"/>
    <x:x v="6"/>
    <x:n v="1"/>
    <x:s v="PRECISA LN"/>
    <x:s v="POR ASIGNAR"/>
    <x:s v="INSTITUTO MEDICO QUIRURGICO AREQUIPA S.A"/>
    <x:s v="L.NORTE"/>
    <x:s v="AALARCON"/>
    <x:n v="-169.49"/>
    <x:s v="LN. EXAMENES"/>
    <x:s v="CIAS. DE SEGURO"/>
    <x:s v="NORTE"/>
    <x:m/>
    <x:m/>
    <x:n v="50"/>
  </x:r>
  <x:r>
    <x:d v="2026-09-23T00:00:00Z"/>
    <x:x v="3"/>
    <x:s v="107850"/>
    <x:s v="BO"/>
    <x:s v="12807"/>
    <x:s v="CO"/>
    <x:s v="BO-12807"/>
    <x:s v="CARBAJAL CAJAS DARIO EDUARDO"/>
    <x:s v="08074108"/>
    <x:s v="PALACIOS URIBE PAMELA CAROLINA"/>
    <x:m/>
    <x:s v="CRISTINA"/>
    <x:s v="0074004"/>
    <x:s v="989329577"/>
    <x:s v="CARBAJAL CAJAS DARIO EDUARDO"/>
    <x:s v="93647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23T00:00:00Z"/>
    <x:x v="3"/>
    <x:s v="107850"/>
    <x:s v="BO"/>
    <x:s v="12807"/>
    <x:s v="CO"/>
    <x:s v="BO-12807"/>
    <x:s v="CARBAJAL CAJAS DARIO EDUARDO"/>
    <x:s v="08074108"/>
    <x:s v="PALACIOS URIBE PAMELA CAROLINA"/>
    <x:m/>
    <x:s v="CRISTINA"/>
    <x:s v="0074004"/>
    <x:s v="989329577"/>
    <x:s v="CARBAJAL CAJAS DARIO EDUARDO"/>
    <x:s v="93647"/>
    <x:x v="7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m/>
    <x:m/>
    <x:n v="30"/>
  </x:r>
  <x:r>
    <x:d v="2026-09-23T00:00:00Z"/>
    <x:x v="3"/>
    <x:s v="107950"/>
    <x:s v="BO"/>
    <x:s v="606"/>
    <x:s v="CO"/>
    <x:s v="BO-606"/>
    <x:s v="MCMAHAN . MONICA PATRICIA"/>
    <x:s v="A79581721"/>
    <x:m/>
    <x:m/>
    <x:s v="CRISTINA"/>
    <x:s v="0074289"/>
    <x:s v="943619485"/>
    <x:s v="MCMAHAN . MONICA PATRICIA"/>
    <x:s v="94098"/>
    <x:x v="1"/>
    <x:n v="1"/>
    <x:s v="PRECISA"/>
    <x:s v="INSTITUTO MEDICO QUIRURGICO AREQUIPA S.A"/>
    <x:s v="INSTITUTO MEDICO QUIRURGICO AREQUIPA S.A"/>
    <x:s v="L.LINCE"/>
    <x:s v="SMORENO"/>
    <x:n v="135.59"/>
    <x:s v="LN. EXAMENES"/>
    <x:s v="CIAS. DE SEGURO"/>
    <x:s v="LINCE"/>
    <x:m/>
    <x:m/>
    <x:n v="30"/>
  </x:r>
  <x:r>
    <x:d v="2026-09-24T00:00:00Z"/>
    <x:x v="3"/>
    <x:s v="107971"/>
    <x:s v="FA"/>
    <x:s v="635"/>
    <x:s v="CO"/>
    <x:s v="FA-635"/>
    <x:s v="PARI MAMANI LEANDRO"/>
    <x:s v="10419517"/>
    <x:m/>
    <x:m/>
    <x:s v="CRISTINA"/>
    <x:s v="0073371"/>
    <x:s v="985412589"/>
    <x:s v="GAMARRA HEALTHCARE CENTER S.A.C."/>
    <x:s v="93933"/>
    <x:x v="10"/>
    <x:n v="1"/>
    <x:s v="PRECISA"/>
    <x:s v="INSTITUTO MEDICO QUIRURGICO AREQUIPA S.A"/>
    <x:s v="INSTITUTO MEDICO QUIRURGICO AREQUIPA S.A"/>
    <x:s v="L.CENTRO"/>
    <x:s v="ACABRERA"/>
    <x:n v="1050.85"/>
    <x:s v="LN. CIRUGIA"/>
    <x:s v="CIAS. DE SEGURO"/>
    <x:s v="CENTRO"/>
    <x:m/>
    <x:m/>
    <x:m/>
  </x:r>
  <x:r>
    <x:d v="2026-09-24T00:00:00Z"/>
    <x:x v="3"/>
    <x:s v="107971"/>
    <x:s v="FA"/>
    <x:s v="635"/>
    <x:s v="CO"/>
    <x:s v="FA-635"/>
    <x:s v="PARI MAMANI LEANDRO"/>
    <x:s v="10419517"/>
    <x:m/>
    <x:m/>
    <x:s v="CRISTINA"/>
    <x:s v="0073371"/>
    <x:s v="985412589"/>
    <x:s v="GAMARRA HEALTHCARE CENTER S.A.C."/>
    <x:s v="93933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9-24T00:00:00Z"/>
    <x:x v="3"/>
    <x:s v="107991"/>
    <x:s v="FA"/>
    <x:s v="1152"/>
    <x:s v="CO"/>
    <x:s v="FA-1152"/>
    <x:s v="GENG CHIONG JAVIER"/>
    <x:s v="07922805"/>
    <x:m/>
    <x:m/>
    <x:s v="CRISTINA"/>
    <x:s v="0053297"/>
    <x:s v="940220575"/>
    <x:s v="GENG CHIONG JAVIER"/>
    <x:s v="94139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24T00:00:00Z"/>
    <x:x v="3"/>
    <x:s v="107991"/>
    <x:s v="FA"/>
    <x:s v="1152"/>
    <x:s v="CO"/>
    <x:s v="FA-1152"/>
    <x:s v="GENG CHIONG JAVIER"/>
    <x:s v="07922805"/>
    <x:m/>
    <x:m/>
    <x:s v="CRISTINA"/>
    <x:s v="0053297"/>
    <x:s v="940220575"/>
    <x:s v="GENG CHIONG JAVIER"/>
    <x:s v="94139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9-24T00:00:00Z"/>
    <x:x v="3"/>
    <x:s v="107999"/>
    <x:s v="FA"/>
    <x:s v="636"/>
    <x:s v="CO"/>
    <x:s v="FA-636"/>
    <x:s v="CHUGNAS GALAN ANTONIO"/>
    <x:s v="06837782"/>
    <x:m/>
    <x:m/>
    <x:s v="CRISTINA"/>
    <x:s v="0074123"/>
    <x:s v="993955341"/>
    <x:s v="GRUPO MVP S.A.C."/>
    <x:s v="93934"/>
    <x:x v="39"/>
    <x:n v="1"/>
    <x:s v="PRECISA"/>
    <x:s v="INSTITUTO MEDICO QUIRURGICO AREQUIPA S.A"/>
    <x:s v="INSTITUTO MEDICO QUIRURGICO AREQUIPA S.A"/>
    <x:s v="L.CENTRO"/>
    <x:s v="ACABRERA"/>
    <x:n v="847.46"/>
    <x:s v="LN. CIRUGIA"/>
    <x:s v="CIAS. DE SEGURO"/>
    <x:s v="CENTRO"/>
    <x:m/>
    <x:m/>
    <x:m/>
  </x:r>
  <x:r>
    <x:d v="2026-09-24T00:00:00Z"/>
    <x:x v="3"/>
    <x:s v="107999"/>
    <x:s v="FA"/>
    <x:s v="636"/>
    <x:s v="CO"/>
    <x:s v="FA-636"/>
    <x:s v="CHUGNAS GALAN ANTONIO"/>
    <x:s v="06837782"/>
    <x:m/>
    <x:m/>
    <x:s v="CRISTINA"/>
    <x:s v="0074123"/>
    <x:s v="993955341"/>
    <x:s v="GRUPO MVP S.A.C."/>
    <x:s v="93934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9-24T00:00:00Z"/>
    <x:x v="3"/>
    <x:s v="108011"/>
    <x:s v="BO"/>
    <x:s v="5311"/>
    <x:s v="CO"/>
    <x:s v="BO-5311"/>
    <x:s v="RAMOS DAMASO JAVIER"/>
    <x:s v="09787417"/>
    <x:m/>
    <x:m/>
    <x:s v="CRISTINA"/>
    <x:s v="0074314"/>
    <x:s v="990590084"/>
    <x:s v="RAMOS DAMASO JAVIER"/>
    <x:s v="94153"/>
    <x:x v="0"/>
    <x:n v="1"/>
    <x:s v="PRECISA"/>
    <x:s v="INSTITUTO MEDICO QUIRURGICO AREQUIPA S.A"/>
    <x:s v="INSTITUTO MEDICO QUIRURGICO AREQUIPA S.A"/>
    <x:s v="L.NORTE"/>
    <x:s v="AALARCON"/>
    <x:n v="186.44"/>
    <x:s v="LN. EXAMENES"/>
    <x:s v="CIAS. DE SEGURO"/>
    <x:s v="NORTE"/>
    <x:m/>
    <x:m/>
    <x:n v="50"/>
  </x:r>
  <x:r>
    <x:d v="2026-09-24T00:00:00Z"/>
    <x:x v="3"/>
    <x:s v="107979"/>
    <x:s v="FA"/>
    <x:s v="1150"/>
    <x:s v="CO"/>
    <x:s v="FA-1150"/>
    <x:s v="VEGA DE CAYLLAHUA JUANA ISIDORA"/>
    <x:s v="10071840"/>
    <x:m/>
    <x:m/>
    <x:s v="CRISTINA"/>
    <x:s v="0074274"/>
    <x:s v="981 349 937"/>
    <x:s v="C &amp; E CONTROL ELECTRIC S.A.C."/>
    <x:s v="94093"/>
    <x:x v="1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24T00:00:00Z"/>
    <x:x v="3"/>
    <x:s v="108004"/>
    <x:s v="BO"/>
    <x:s v="12834"/>
    <x:s v="CO"/>
    <x:s v="BO-12834"/>
    <x:s v="CASTAÑEDA SANCHEZ JOSELITO"/>
    <x:s v="42488186"/>
    <x:s v="RAMIREZ ORBE JOSÉ LUIS"/>
    <x:s v="HOSPITAL DE LA POLICIA"/>
    <x:s v="CRISTINA"/>
    <x:s v="0073965"/>
    <x:s v="982 711 959"/>
    <x:s v="CASTAÑEDA SANCHEZ JOSELITO"/>
    <x:s v="94133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n v="901918745"/>
    <x:m/>
    <x:n v="30"/>
  </x:r>
  <x:r>
    <x:d v="2026-09-24T00:00:00Z"/>
    <x:x v="3"/>
    <x:s v="108028"/>
    <x:s v="BO"/>
    <x:s v="612"/>
    <x:s v="CO"/>
    <x:s v="BO-612"/>
    <x:s v="GUTIERREZ ANDRADE XIOMARA NAOMI ITZAYA"/>
    <x:s v="78038675"/>
    <x:m/>
    <x:m/>
    <x:s v="CRISTINA"/>
    <x:s v="0073859"/>
    <x:s v="9921263522"/>
    <x:s v="GUTIERREZ ANDRADE XIOMARA NAOMI ITZAYA"/>
    <x:s v="93503"/>
    <x:x v="4"/>
    <x:n v="1"/>
    <x:s v="PRECISA"/>
    <x:s v="INSTITUTO MEDICO QUIRURGICO AREQUIPA S.A"/>
    <x:s v="INSTITUTO MEDICO QUIRURGICO AREQUIPA S.A"/>
    <x:s v="L.LINCE"/>
    <x:s v="SMORENO"/>
    <x:n v="135.59"/>
    <x:s v="LN. EXAMENES"/>
    <x:s v="CIAS. DE SEGURO"/>
    <x:s v="LINCE"/>
    <x:m/>
    <x:m/>
    <x:n v="30"/>
  </x:r>
  <x:r>
    <x:d v="2026-09-25T00:00:00Z"/>
    <x:x v="3"/>
    <x:s v="108072"/>
    <x:s v="BO"/>
    <x:s v="4852"/>
    <x:s v="CO"/>
    <x:s v="BO-4852"/>
    <x:s v="GRANADOS LASTRA MIGUEL FABRIZZIO"/>
    <x:s v="71017687"/>
    <x:s v="CERNA TAFUR ELAR LALO"/>
    <x:m/>
    <x:s v="CRISTINA"/>
    <x:s v="0074302"/>
    <x:s v="940171092"/>
    <x:s v="GRANADOS LASTRA MIGUEL FABRIZZIO"/>
    <x:s v="94192"/>
    <x:x v="12"/>
    <x:n v="1"/>
    <x:s v="PRECISA"/>
    <x:s v="INSTITUTO MEDICO QUIRURGICO AREQUIPA S.A"/>
    <x:s v="INSTITUTO MEDICO QUIRURGICO AREQUIPA S.A"/>
    <x:s v="L.NORTE"/>
    <x:s v="BGALLOSA"/>
    <x:n v="152.54"/>
    <x:s v="LN. EXAMENES"/>
    <x:s v="CIAS. DE SEGURO"/>
    <x:s v="NORTE"/>
    <x:m/>
    <x:m/>
    <x:n v="30"/>
  </x:r>
  <x:r>
    <x:d v="2026-09-25T00:00:00Z"/>
    <x:x v="3"/>
    <x:s v="108091"/>
    <x:s v="BO"/>
    <x:s v="621"/>
    <x:s v="CO"/>
    <x:s v="BO-621"/>
    <x:s v="MARTINEZ SEDANO JUAN ANTONIO"/>
    <x:s v="48281746"/>
    <x:m/>
    <x:m/>
    <x:s v="CRISTINA"/>
    <x:s v="0074334"/>
    <x:s v="994148960"/>
    <x:s v="MARTINEZ SEDANO JUAN ANTONIO"/>
    <x:s v="94195"/>
    <x:x v="7"/>
    <x:n v="1"/>
    <x:s v="PRECISA"/>
    <x:s v="INSTITUTO MEDICO QUIRURGICO AREQUIPA S.A"/>
    <x:s v="INSTITUTO MEDICO QUIRURGICO AREQUIPA S.A"/>
    <x:s v="L.LINCE"/>
    <x:s v="SMORENO"/>
    <x:n v="152.54"/>
    <x:s v="LN. EXAMENES"/>
    <x:s v="CIAS. DE SEGURO"/>
    <x:s v="LINCE"/>
    <x:m/>
    <x:m/>
    <x:n v="30"/>
  </x:r>
  <x:r>
    <x:d v="2026-09-25T00:00:00Z"/>
    <x:x v="3"/>
    <x:s v="108091"/>
    <x:s v="BO"/>
    <x:s v="621"/>
    <x:s v="CO"/>
    <x:s v="BO-621"/>
    <x:s v="MARTINEZ SEDANO JUAN ANTONIO"/>
    <x:s v="48281746"/>
    <x:m/>
    <x:m/>
    <x:s v="CRISTINA"/>
    <x:s v="0074334"/>
    <x:s v="994148960"/>
    <x:s v="MARTINEZ SEDANO JUAN ANTONIO"/>
    <x:s v="94195"/>
    <x:x v="8"/>
    <x:n v="1"/>
    <x:s v="PRECISA"/>
    <x:s v="INSTITUTO MEDICO QUIRURGICO AREQUIPA S.A"/>
    <x:s v="INSTITUTO MEDICO QUIRURGICO AREQUIPA S.A"/>
    <x:s v="L.LINCE"/>
    <x:s v="SMORENO"/>
    <x:n v="135.59"/>
    <x:s v="LN. EXAMENES"/>
    <x:s v="CIAS. DE SEGURO"/>
    <x:s v="LINCE"/>
    <x:m/>
    <x:m/>
    <x:n v="30"/>
  </x:r>
  <x:r>
    <x:d v="2026-09-25T00:00:00Z"/>
    <x:x v="3"/>
    <x:s v="108092"/>
    <x:s v="BO"/>
    <x:s v="622"/>
    <x:s v="CO"/>
    <x:s v="BO-622"/>
    <x:s v="MARTINEZ SEDANO JUAN ANTONIO"/>
    <x:s v="48281746"/>
    <x:m/>
    <x:m/>
    <x:s v="CRISTINA"/>
    <x:s v="0074334"/>
    <x:s v="994148960"/>
    <x:s v="MARTINEZ SEDANO JUAN ANTONIO"/>
    <x:s v="94221"/>
    <x:x v="8"/>
    <x:n v="1"/>
    <x:s v="PRECISA"/>
    <x:s v="INSTITUTO MEDICO QUIRURGICO AREQUIPA S.A"/>
    <x:s v="INSTITUTO MEDICO QUIRURGICO AREQUIPA S.A"/>
    <x:s v="L.LINCE"/>
    <x:s v="SMORENO"/>
    <x:n v="135.59"/>
    <x:s v="LN. EXAMENES"/>
    <x:s v="CIAS. DE SEGURO"/>
    <x:s v="LINCE"/>
    <x:m/>
    <x:m/>
    <x:n v="30"/>
  </x:r>
  <x:r>
    <x:d v="2026-09-25T00:00:00Z"/>
    <x:x v="3"/>
    <x:s v="108092"/>
    <x:s v="BO"/>
    <x:s v="622"/>
    <x:s v="CO"/>
    <x:s v="BO-622"/>
    <x:s v="MARTINEZ SEDANO JUAN ANTONIO"/>
    <x:s v="48281746"/>
    <x:m/>
    <x:m/>
    <x:s v="CRISTINA"/>
    <x:s v="0074334"/>
    <x:s v="994148960"/>
    <x:s v="MARTINEZ SEDANO JUAN ANTONIO"/>
    <x:s v="94221"/>
    <x:x v="7"/>
    <x:n v="1"/>
    <x:s v="PRECISA"/>
    <x:s v="INSTITUTO MEDICO QUIRURGICO AREQUIPA S.A"/>
    <x:s v="INSTITUTO MEDICO QUIRURGICO AREQUIPA S.A"/>
    <x:s v="L.LINCE"/>
    <x:s v="SMORENO"/>
    <x:n v="152.54"/>
    <x:s v="LN. EXAMENES"/>
    <x:s v="CIAS. DE SEGURO"/>
    <x:s v="LINCE"/>
    <x:m/>
    <x:m/>
    <x:n v="30"/>
  </x:r>
  <x:r>
    <x:d v="2026-09-25T00:00:00Z"/>
    <x:x v="3"/>
    <x:s v="108115"/>
    <x:s v="BO"/>
    <x:s v="4860"/>
    <x:s v="CO"/>
    <x:s v="BO-4860"/>
    <x:s v="PEREZ VARGAS DE CERVANTES CATALINA"/>
    <x:s v="10290922"/>
    <x:m/>
    <x:m/>
    <x:s v="CRISTINA"/>
    <x:s v="0073998"/>
    <x:s v="906788510"/>
    <x:s v="PEREZ VARGAS DE CERVANTES CATALINA"/>
    <x:s v="93770"/>
    <x:x v="4"/>
    <x:n v="1"/>
    <x:s v="PRECISA"/>
    <x:s v="INSTITUTO MEDICO QUIRURGICO AREQUIPA S.A"/>
    <x:s v="INSTITUTO MEDICO QUIRURGICO AREQUIPA S.A"/>
    <x:s v="L.NORTE"/>
    <x:s v="BGALLOSA"/>
    <x:n v="135.59"/>
    <x:s v="LN. EXAMENES"/>
    <x:s v="CIAS. DE SEGURO"/>
    <x:s v="NORTE"/>
    <x:m/>
    <x:m/>
    <x:n v="30"/>
  </x:r>
  <x:r>
    <x:d v="2026-09-26T00:00:00Z"/>
    <x:x v="3"/>
    <x:s v="108234"/>
    <x:s v="BO"/>
    <x:s v="6552"/>
    <x:s v="CO"/>
    <x:s v="BO-6552"/>
    <x:s v="ROCA HENRIQUEZ VICTOR AUGUSTO"/>
    <x:s v="15600267"/>
    <x:m/>
    <x:m/>
    <x:s v="CRISTINA"/>
    <x:s v="0073810"/>
    <x:s v="99999999"/>
    <x:s v="ROCA HENRIQUEZ VICTOR AUGUSTO"/>
    <x:s v="94119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9-26T00:00:00Z"/>
    <x:x v="3"/>
    <x:s v="108234"/>
    <x:s v="BO"/>
    <x:s v="6552"/>
    <x:s v="CO"/>
    <x:s v="BO-6552"/>
    <x:s v="ROCA HENRIQUEZ VICTOR AUGUSTO"/>
    <x:s v="15600267"/>
    <x:m/>
    <x:m/>
    <x:s v="CRISTINA"/>
    <x:s v="0073810"/>
    <x:s v="99999999"/>
    <x:s v="ROCA HENRIQUEZ VICTOR AUGUSTO"/>
    <x:s v="94119"/>
    <x:x v="39"/>
    <x:n v="1"/>
    <x:s v="PRECISA"/>
    <x:s v="INSTITUTO MEDICO QUIRURGICO AREQUIPA S.A"/>
    <x:s v="INSTITUTO MEDICO QUIRURGICO AREQUIPA S.A"/>
    <x:s v="L.CENTRO"/>
    <x:s v="ACABRERA"/>
    <x:n v="957.63"/>
    <x:s v="LN. CIRUGIA"/>
    <x:s v="CIAS. DE SEGURO"/>
    <x:s v="CENTRO"/>
    <x:m/>
    <x:m/>
    <x:m/>
  </x:r>
  <x:r>
    <x:d v="2026-09-26T00:00:00Z"/>
    <x:x v="3"/>
    <x:s v="108170"/>
    <x:s v="BO"/>
    <x:s v="631"/>
    <x:s v="CO"/>
    <x:s v="BO-631"/>
    <x:s v="ROJAS LOBO ISABEL"/>
    <x:s v="28800154"/>
    <x:m/>
    <x:m/>
    <x:s v="CRISTINA"/>
    <x:s v="0074253"/>
    <x:s v="996627600"/>
    <x:s v="ROJAS LOBO ISABEL"/>
    <x:s v="94261"/>
    <x:x v="1"/>
    <x:n v="1"/>
    <x:s v="PRECISA"/>
    <x:s v="INSTITUTO MEDICO QUIRURGICO AREQUIPA S.A"/>
    <x:s v="INSTITUTO MEDICO QUIRURGICO AREQUIPA S.A"/>
    <x:s v="L.LINCE"/>
    <x:s v="SMORENO"/>
    <x:n v="135.59"/>
    <x:s v="LN. EXAMENES"/>
    <x:s v="CIAS. DE SEGURO"/>
    <x:s v="LINCE"/>
    <x:m/>
    <x:m/>
    <x:n v="30"/>
  </x:r>
  <x:r>
    <x:d v="2026-09-26T00:00:00Z"/>
    <x:x v="3"/>
    <x:s v="108210"/>
    <x:s v="BO"/>
    <x:s v="638"/>
    <x:s v="CO"/>
    <x:s v="BO-638"/>
    <x:s v="COHELO MEDINA SADITH"/>
    <x:s v="10367024"/>
    <x:m/>
    <x:m/>
    <x:s v="CRISTINA"/>
    <x:s v="0074370"/>
    <x:s v="993364279"/>
    <x:s v="COHELO MEDINA SADITH"/>
    <x:s v="94291"/>
    <x:x v="1"/>
    <x:n v="1"/>
    <x:s v="PRECISA"/>
    <x:s v="INSTITUTO MEDICO QUIRURGICO AREQUIPA S.A"/>
    <x:s v="INSTITUTO MEDICO QUIRURGICO AREQUIPA S.A"/>
    <x:s v="L.LINCE"/>
    <x:s v="SMORENO"/>
    <x:n v="135.59"/>
    <x:s v="LN. EXAMENES"/>
    <x:s v="CIAS. DE SEGURO"/>
    <x:s v="LINCE"/>
    <x:m/>
    <x:m/>
    <x:n v="30"/>
  </x:r>
  <x:r>
    <x:d v="2026-09-26T00:00:00Z"/>
    <x:x v="3"/>
    <x:s v="108218"/>
    <x:s v="FA"/>
    <x:s v="1154"/>
    <x:s v="CO"/>
    <x:s v="FA-1154"/>
    <x:s v="MAYNETTO VILCHEZ BRENDA DANIELA"/>
    <x:s v="72404326"/>
    <x:m/>
    <x:m/>
    <x:s v="CRISTINA"/>
    <x:s v="0074244"/>
    <x:s v="956249011"/>
    <x:s v="ECOBEBIDAS E INFUSIONES PERUANAS S.A.C."/>
    <x:s v="94308"/>
    <x:x v="12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m/>
    <x:m/>
    <x:n v="30"/>
  </x:r>
  <x:r>
    <x:d v="2026-09-26T00:00:00Z"/>
    <x:x v="3"/>
    <x:s v="108218"/>
    <x:s v="FA"/>
    <x:s v="1154"/>
    <x:s v="CO"/>
    <x:s v="FA-1154"/>
    <x:s v="MAYNETTO VILCHEZ BRENDA DANIELA"/>
    <x:s v="72404326"/>
    <x:m/>
    <x:m/>
    <x:s v="CRISTINA"/>
    <x:s v="0074244"/>
    <x:s v="956249011"/>
    <x:s v="ECOBEBIDAS E INFUSIONES PERUANAS S.A.C."/>
    <x:s v="94308"/>
    <x:x v="8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28T00:00:00Z"/>
    <x:x v="3"/>
    <x:s v="108276"/>
    <x:s v="BO"/>
    <x:s v="5329"/>
    <x:s v="CO"/>
    <x:s v="BO-5329"/>
    <x:s v="VILLANUEVA CASTRO TEODORO RICARDO"/>
    <x:s v="15975868"/>
    <x:m/>
    <x:m/>
    <x:s v="CRISTINA"/>
    <x:s v="0074385"/>
    <x:s v="985631014"/>
    <x:s v="VILLANUEVA CASTRO TEODORO RICARDO"/>
    <x:s v="94358"/>
    <x:x v="2"/>
    <x:n v="1"/>
    <x:s v="PRECISA LN"/>
    <x:s v="POR ASIGNAR"/>
    <x:s v="INSTITUTO MEDICO QUIRURGICO AREQUIPA S.A"/>
    <x:s v="L.NORTE"/>
    <x:s v="AALARCON"/>
    <x:n v="186.44"/>
    <x:s v="LN. EXAMENES"/>
    <x:s v="CIAS. DE SEGURO"/>
    <x:s v="NORTE"/>
    <x:m/>
    <x:m/>
    <x:n v="50"/>
  </x:r>
  <x:r>
    <x:d v="2026-09-28T00:00:00Z"/>
    <x:x v="3"/>
    <x:s v="108288"/>
    <x:s v="BO"/>
    <x:s v="5331"/>
    <x:s v="CO"/>
    <x:s v="BO-5331"/>
    <x:s v="VERDE VARA ROBERTA LICARIA"/>
    <x:s v="08171858"/>
    <x:m/>
    <x:m/>
    <x:s v="CRISTINA"/>
    <x:s v="0074397"/>
    <x:s v="995486216"/>
    <x:s v="VERDE VARA ROBERTA LICARIA"/>
    <x:s v="94369"/>
    <x:x v="2"/>
    <x:n v="1"/>
    <x:s v="PRECISA LN"/>
    <x:s v="POR ASIGNAR"/>
    <x:s v="INSTITUTO MEDICO QUIRURGICO AREQUIPA S.A"/>
    <x:s v="L.NORTE"/>
    <x:s v="AALARCON"/>
    <x:n v="186.44"/>
    <x:s v="LN. EXAMENES"/>
    <x:s v="CIAS. DE SEGURO"/>
    <x:s v="NORTE"/>
    <x:m/>
    <x:m/>
    <x:n v="50"/>
  </x:r>
  <x:r>
    <x:d v="2026-09-28T00:00:00Z"/>
    <x:x v="3"/>
    <x:s v="108315"/>
    <x:s v="BO"/>
    <x:s v="4889"/>
    <x:s v="CO"/>
    <x:s v="BO-4889"/>
    <x:s v="GARCIA ESCOBEDO ANA SOLEDAD"/>
    <x:s v="06061002"/>
    <x:m/>
    <x:m/>
    <x:s v="CRISTINA"/>
    <x:s v="0074417"/>
    <x:s v="957732218"/>
    <x:s v="GARCIA ESCOBEDO ANA SOLEDAD"/>
    <x:s v="94396"/>
    <x:x v="2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m/>
    <x:m/>
    <x:n v="50"/>
  </x:r>
  <x:r>
    <x:d v="2026-09-28T00:00:00Z"/>
    <x:x v="3"/>
    <x:s v="108327"/>
    <x:s v="BO"/>
    <x:s v="12865"/>
    <x:s v="CO"/>
    <x:s v="BO-12865"/>
    <x:s v="PASACHE HUAMAN PEGGY"/>
    <x:s v="10719214"/>
    <x:m/>
    <x:m/>
    <x:s v="CRISTINA"/>
    <x:s v="0074427"/>
    <x:s v="942117814"/>
    <x:s v="PASACHE HUAMAN PEGGY"/>
    <x:s v="94409"/>
    <x:x v="5"/>
    <x:n v="1"/>
    <x:s v="PRECISA"/>
    <x:s v="INSTITUTO MEDICO QUIRURGICO AREQUIPA S.A"/>
    <x:s v="INSTITUTO MEDICO QUIRURGICO AREQUIPA S.A"/>
    <x:s v="L.CENTRO"/>
    <x:s v="LMAGAN"/>
    <x:n v="152.54"/>
    <x:s v="LN. EXAMENES"/>
    <x:s v="CIAS. DE SEGURO"/>
    <x:s v="CENTRO"/>
    <x:m/>
    <x:m/>
    <x:n v="30"/>
  </x:r>
  <x:r>
    <x:d v="2026-09-28T00:00:00Z"/>
    <x:x v="3"/>
    <x:s v="108327"/>
    <x:s v="BO"/>
    <x:s v="12865"/>
    <x:s v="CO"/>
    <x:s v="BO-12865"/>
    <x:s v="PASACHE HUAMAN PEGGY"/>
    <x:s v="10719214"/>
    <x:m/>
    <x:m/>
    <x:s v="CRISTINA"/>
    <x:s v="0074427"/>
    <x:s v="942117814"/>
    <x:s v="PASACHE HUAMAN PEGGY"/>
    <x:s v="94409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9-28T00:00:00Z"/>
    <x:x v="3"/>
    <x:s v="108332"/>
    <x:s v="BO"/>
    <x:s v="4890"/>
    <x:s v="CO"/>
    <x:s v="BO-4890"/>
    <x:s v="ALMONTE MENESES VIRGINIA PILAR"/>
    <x:s v="09169699"/>
    <x:m/>
    <x:m/>
    <x:s v="CRISTINA"/>
    <x:s v="0074428"/>
    <x:s v="912150343"/>
    <x:s v="ALMONTE MENESES VIRGINIA PILAR"/>
    <x:s v="94412"/>
    <x:x v="0"/>
    <x:n v="1"/>
    <x:s v="PRECISA LN"/>
    <x:s v="POR ASIGNAR"/>
    <x:s v="INSTITUTO MEDICO QUIRURGICO AREQUIPA S.A"/>
    <x:s v="L.NORTE"/>
    <x:s v="BGALLOSA"/>
    <x:n v="186.44"/>
    <x:s v="LN. EXAMENES"/>
    <x:s v="CIAS. DE SEGURO"/>
    <x:s v="NORTE"/>
    <x:m/>
    <x:m/>
    <x:n v="50"/>
  </x:r>
  <x:r>
    <x:d v="2026-09-28T00:00:00Z"/>
    <x:x v="3"/>
    <x:s v="108319"/>
    <x:s v="BO"/>
    <x:s v="849"/>
    <x:s v="CO"/>
    <x:s v="BO-849"/>
    <x:s v="OCAS AJIFF MELVIN MANUEL"/>
    <x:s v="47715986"/>
    <x:m/>
    <x:m/>
    <x:s v="CRISTINA"/>
    <x:s v="0074420"/>
    <x:s v="976389748"/>
    <x:s v="OCAS AJIFF MELVIN MANUEL"/>
    <x:s v="94401"/>
    <x:x v="12"/>
    <x:n v="1"/>
    <x:s v="PRECISA"/>
    <x:s v="INSTITUTO MEDICO QUIRURGICO AREQUIPA S.A"/>
    <x:s v="INSTITUTO MEDICO QUIRURGICO AREQUIPA S.A"/>
    <x:s v="L.LINCE"/>
    <x:s v="KESCUDERO"/>
    <x:n v="152.54"/>
    <x:s v="LN. EXAMENES"/>
    <x:s v="CIAS. DE SEGURO"/>
    <x:s v="LINCE"/>
    <x:m/>
    <x:m/>
    <x:n v="30"/>
  </x:r>
  <x:r>
    <x:d v="2026-09-28T00:00:00Z"/>
    <x:x v="3"/>
    <x:s v="108319"/>
    <x:s v="BO"/>
    <x:s v="849"/>
    <x:s v="CO"/>
    <x:s v="BO-849"/>
    <x:s v="OCAS AJIFF MELVIN MANUEL"/>
    <x:s v="47715986"/>
    <x:m/>
    <x:m/>
    <x:s v="CRISTINA"/>
    <x:s v="0074420"/>
    <x:s v="976389748"/>
    <x:s v="OCAS AJIFF MELVIN MANUEL"/>
    <x:s v="94401"/>
    <x:x v="43"/>
    <x:n v="1"/>
    <x:s v="PRECISA"/>
    <x:s v="INSTITUTO MEDICO QUIRURGICO AREQUIPA S.A"/>
    <x:s v="INSTITUTO MEDICO QUIRURGICO AREQUIPA S.A"/>
    <x:s v="L.LINCE"/>
    <x:s v="KESCUDERO"/>
    <x:n v="211.86"/>
    <x:s v="LN. EXAMENES"/>
    <x:s v="CIAS. DE SEGURO"/>
    <x:s v="LINCE"/>
    <x:m/>
    <x:m/>
    <x:n v="50"/>
  </x:r>
  <x:r>
    <x:d v="2026-09-28T00:00:00Z"/>
    <x:x v="3"/>
    <x:s v="108269"/>
    <x:s v="BO"/>
    <x:s v="12166"/>
    <x:s v="CO"/>
    <x:s v="BO-12166"/>
    <x:s v="ZUÑIGA DURAN JORGE DAVID"/>
    <x:s v="09462964"/>
    <x:m/>
    <x:m/>
    <x:s v="CRISTINA"/>
    <x:s v="0074282"/>
    <x:s v="969797807"/>
    <x:s v="ZUÑIGA DURAN JORGE DAVID"/>
    <x:s v="94164"/>
    <x:x v="1"/>
    <x:n v="1"/>
    <x:s v="PRECISA"/>
    <x:s v="INSTITUTO MEDICO QUIRURGICO AREQUIPA S.A"/>
    <x:s v="INSTITUTO MEDICO QUIRURGICO AREQUIPA S.A"/>
    <x:s v="L.NORTE"/>
    <x:s v="SBRUNO"/>
    <x:n v="135.59"/>
    <x:s v="LN. EXAMENES"/>
    <x:s v="CIAS. DE SEGURO"/>
    <x:s v="NORTE"/>
    <x:m/>
    <x:m/>
    <x:n v="30"/>
  </x:r>
  <x:r>
    <x:d v="2026-09-28T00:00:00Z"/>
    <x:x v="3"/>
    <x:s v="108297"/>
    <x:s v="BO"/>
    <x:s v="12862"/>
    <x:s v="CO"/>
    <x:s v="BO-12862"/>
    <x:s v="GONZALES ALANIA BRUCE LEONCIO"/>
    <x:s v="74099027"/>
    <x:m/>
    <x:m/>
    <x:s v="CRISTINA"/>
    <x:s v="0073643"/>
    <x:s v="+51961863546"/>
    <x:s v="GONZALES ALANIA BRUCE LEONCIO"/>
    <x:s v="93156"/>
    <x:x v="21"/>
    <x:n v="1"/>
    <x:s v="PRECISA"/>
    <x:s v="INSTITUTO MEDICO QUIRURGICO AREQUIPA S.A"/>
    <x:s v="INSTITUTO MEDICO QUIRURGICO AREQUIPA S.A"/>
    <x:s v="L.CENTRO"/>
    <x:s v="LMAGAN"/>
    <x:n v="338.98"/>
    <x:s v="LN. EXAMENES"/>
    <x:s v="CIAS. DE SEGURO"/>
    <x:s v="CENTRO"/>
    <x:m/>
    <x:m/>
    <x:n v="100"/>
  </x:r>
  <x:r>
    <x:d v="2026-09-28T00:00:00Z"/>
    <x:x v="3"/>
    <x:s v="108319"/>
    <x:s v="BO"/>
    <x:s v="849"/>
    <x:s v="CO"/>
    <x:s v="BO-849"/>
    <x:s v="OCAS AJIFF MELVIN MANUEL"/>
    <x:s v="47715986"/>
    <x:m/>
    <x:m/>
    <x:s v="CRISTINA"/>
    <x:s v="0074420"/>
    <x:s v="976389748"/>
    <x:s v="OCAS AJIFF MELVIN MANUEL"/>
    <x:s v="94401"/>
    <x:x v="12"/>
    <x:n v="1"/>
    <x:s v="PRECISA"/>
    <x:s v="INSTITUTO MEDICO QUIRURGICO AREQUIPA S.A"/>
    <x:s v="INSTITUTO MEDICO QUIRURGICO AREQUIPA S.A"/>
    <x:s v="L.LINCE"/>
    <x:s v="KESCUDERO"/>
    <x:n v="152.54"/>
    <x:s v="LN. EXAMENES"/>
    <x:s v="CIAS. DE SEGURO"/>
    <x:s v="LINCE"/>
    <x:m/>
    <x:m/>
    <x:n v="30"/>
  </x:r>
  <x:r>
    <x:d v="2026-09-29T00:00:00Z"/>
    <x:x v="3"/>
    <x:s v="108381"/>
    <x:s v="BO"/>
    <x:s v="6570"/>
    <x:s v="CO"/>
    <x:s v="BO-6570"/>
    <x:s v="PITTMAN PARDO JORGE LUIS"/>
    <x:s v="15704241"/>
    <x:m/>
    <x:m/>
    <x:s v="CRISTINA"/>
    <x:s v="0074333"/>
    <x:s v="977907788"/>
    <x:s v="PITTMAN PARDO JORGE LUIS"/>
    <x:s v="94459"/>
    <x:x v="14"/>
    <x:n v="1"/>
    <x:s v="PRECISA"/>
    <x:s v="INSTITUTO MEDICO QUIRURGICO AREQUIPA S.A"/>
    <x:s v="INSTITUTO MEDICO QUIRURGICO AREQUIPA S.A"/>
    <x:s v="L.CENTRO"/>
    <x:s v="ACABRERA"/>
    <x:n v="84.75"/>
    <x:s v="LN. EXAMENES"/>
    <x:s v="CIAS. DE SEGURO"/>
    <x:s v="CENTRO"/>
    <x:m/>
    <x:m/>
    <x:m/>
  </x:r>
  <x:r>
    <x:d v="2026-09-29T00:00:00Z"/>
    <x:x v="3"/>
    <x:s v="108393"/>
    <x:s v="BO"/>
    <x:s v="12877"/>
    <x:s v="CO"/>
    <x:s v="BO-12877"/>
    <x:s v="SIFUENTES AYVAR MIGUEL GUSTAVO"/>
    <x:s v="09116590"/>
    <x:m/>
    <x:m/>
    <x:s v="CRISTINA"/>
    <x:s v="0074332"/>
    <x:s v="986900490"/>
    <x:s v="SIFUENTES AYVAR MIGUEL GUSTAVO"/>
    <x:s v="94467"/>
    <x:x v="8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m/>
    <x:n v="30"/>
  </x:r>
  <x:r>
    <x:d v="2026-09-29T00:00:00Z"/>
    <x:x v="3"/>
    <x:s v="108393"/>
    <x:s v="BO"/>
    <x:s v="12877"/>
    <x:s v="CO"/>
    <x:s v="BO-12877"/>
    <x:s v="SIFUENTES AYVAR MIGUEL GUSTAVO"/>
    <x:s v="09116590"/>
    <x:m/>
    <x:m/>
    <x:s v="CRISTINA"/>
    <x:s v="0074332"/>
    <x:s v="986900490"/>
    <x:s v="SIFUENTES AYVAR MIGUEL GUSTAVO"/>
    <x:s v="94467"/>
    <x:x v="7"/>
    <x:n v="1"/>
    <x:s v="PRECISA"/>
    <x:s v="INSTITUTO MEDICO QUIRURGICO AREQUIPA S.A"/>
    <x:s v="INSTITUTO MEDICO QUIRURGICO AREQUIPA S.A"/>
    <x:s v="L.CENTRO"/>
    <x:s v="LMAGAN"/>
    <x:n v="42.37"/>
    <x:s v="LN. EXAMENES"/>
    <x:s v="CIAS. DE SEGURO"/>
    <x:s v="CENTRO"/>
    <x:m/>
    <x:m/>
    <x:n v="30"/>
  </x:r>
  <x:r>
    <x:d v="2026-09-29T00:00:00Z"/>
    <x:x v="3"/>
    <x:s v="108418"/>
    <x:s v="BO"/>
    <x:s v="12879"/>
    <x:s v="CO"/>
    <x:s v="BO-12879"/>
    <x:s v="PILLCO CONDORI FRANCISCA"/>
    <x:s v="09959719"/>
    <x:m/>
    <x:m/>
    <x:s v="CRISTINA"/>
    <x:s v="0074461"/>
    <x:s v="992298304"/>
    <x:s v="PILLCO CONDORI FRANCISCA"/>
    <x:s v="94485"/>
    <x:x v="2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9-29T00:00:00Z"/>
    <x:x v="3"/>
    <x:s v="108418"/>
    <x:s v="BO"/>
    <x:s v="12879"/>
    <x:s v="CO"/>
    <x:s v="BO-12879"/>
    <x:s v="PILLCO CONDORI FRANCISCA"/>
    <x:s v="09959719"/>
    <x:m/>
    <x:m/>
    <x:s v="CRISTINA"/>
    <x:s v="0074461"/>
    <x:s v="992298304"/>
    <x:s v="PILLCO CONDORI FRANCISCA"/>
    <x:s v="94485"/>
    <x:x v="0"/>
    <x:n v="1"/>
    <x:s v="PRECISA"/>
    <x:s v="INSTITUTO MEDICO QUIRURGICO AREQUIPA S.A"/>
    <x:s v="INSTITUTO MEDICO QUIRURGICO AREQUIPA S.A"/>
    <x:s v="L.CENTRO"/>
    <x:s v="LMAGAN"/>
    <x:n v="186.44"/>
    <x:s v="LN. EXAMENES"/>
    <x:s v="CIAS. DE SEGURO"/>
    <x:s v="CENTRO"/>
    <x:m/>
    <x:m/>
    <x:n v="50"/>
  </x:r>
  <x:r>
    <x:d v="2026-09-29T00:00:00Z"/>
    <x:x v="3"/>
    <x:s v="108418"/>
    <x:s v="BO"/>
    <x:s v="12879"/>
    <x:s v="CO"/>
    <x:s v="BO-12879"/>
    <x:s v="PILLCO CONDORI FRANCISCA"/>
    <x:s v="09959719"/>
    <x:m/>
    <x:m/>
    <x:s v="CRISTINA"/>
    <x:s v="0074461"/>
    <x:s v="992298304"/>
    <x:s v="PILLCO CONDORI FRANCISCA"/>
    <x:s v="94485"/>
    <x:x v="4"/>
    <x:n v="1"/>
    <x:s v="PRECISA"/>
    <x:s v="INSTITUTO MEDICO QUIRURGICO AREQUIPA S.A"/>
    <x:s v="INSTITUTO MEDICO QUIRURGICO AREQUIPA S.A"/>
    <x:s v="L.CENTRO"/>
    <x:s v="LMAGAN"/>
    <x:n v="135.59"/>
    <x:s v="LN. EXAMENES"/>
    <x:s v="CIAS. DE SEGURO"/>
    <x:s v="CENTRO"/>
    <x:m/>
    <x:m/>
    <x:n v="30"/>
  </x:r>
  <x:r>
    <x:d v="2026-09-29T00:00:00Z"/>
    <x:x v="3"/>
    <x:s v="108456"/>
    <x:s v="FA"/>
    <x:s v="639"/>
    <x:s v="CO"/>
    <x:s v="FA-639"/>
    <x:s v="SOTO AMARO EDGAR MELGAR"/>
    <x:s v="21087147"/>
    <x:m/>
    <x:m/>
    <x:s v="CRISTINA"/>
    <x:s v="0074405"/>
    <x:s v="999999999"/>
    <x:s v="GAMARRA HEALTHCARE CENTER S.A.C."/>
    <x:s v="94434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9-29T00:00:00Z"/>
    <x:x v="3"/>
    <x:s v="108456"/>
    <x:s v="FA"/>
    <x:s v="639"/>
    <x:s v="CO"/>
    <x:s v="FA-639"/>
    <x:s v="SOTO AMARO EDGAR MELGAR"/>
    <x:s v="21087147"/>
    <x:m/>
    <x:m/>
    <x:s v="CRISTINA"/>
    <x:s v="0074405"/>
    <x:s v="999999999"/>
    <x:s v="GAMARRA HEALTHCARE CENTER S.A.C."/>
    <x:s v="94434"/>
    <x:x v="10"/>
    <x:n v="1"/>
    <x:s v="PRECISA"/>
    <x:s v="INSTITUTO MEDICO QUIRURGICO AREQUIPA S.A"/>
    <x:s v="INSTITUTO MEDICO QUIRURGICO AREQUIPA S.A"/>
    <x:s v="L.CENTRO"/>
    <x:s v="ACABRERA"/>
    <x:n v="1050.85"/>
    <x:s v="LN. CIRUGIA"/>
    <x:s v="CIAS. DE SEGURO"/>
    <x:s v="CENTRO"/>
    <x:m/>
    <x:m/>
    <x:m/>
  </x:r>
  <x:r>
    <x:d v="2026-09-29T00:00:00Z"/>
    <x:x v="3"/>
    <x:s v="108457"/>
    <x:s v="FA"/>
    <x:s v="640"/>
    <x:s v="CO"/>
    <x:s v="FA-640"/>
    <x:s v="SIFUENTES AYVAR MIGUEL GUSTAVO"/>
    <x:s v="09116590"/>
    <x:m/>
    <x:m/>
    <x:s v="CRISTINA"/>
    <x:s v="0074332"/>
    <x:s v="986900490"/>
    <x:s v="GRUPO MEDICO INTEGRAL SOCIEDAD ANONIMA CERRADA"/>
    <x:s v="94468"/>
    <x:x v="10"/>
    <x:n v="1"/>
    <x:s v="PRECISA"/>
    <x:s v="INSTITUTO MEDICO QUIRURGICO AREQUIPA S.A"/>
    <x:s v="INSTITUTO MEDICO QUIRURGICO AREQUIPA S.A"/>
    <x:s v="L.CENTRO"/>
    <x:s v="ACABRERA"/>
    <x:n v="762.71"/>
    <x:s v="LN. CIRUGIA"/>
    <x:s v="CIAS. DE SEGURO"/>
    <x:s v="CENTRO"/>
    <x:m/>
    <x:m/>
    <x:m/>
  </x:r>
  <x:r>
    <x:d v="2026-09-29T00:00:00Z"/>
    <x:x v="3"/>
    <x:s v="108457"/>
    <x:s v="FA"/>
    <x:s v="640"/>
    <x:s v="CO"/>
    <x:s v="FA-640"/>
    <x:s v="SIFUENTES AYVAR MIGUEL GUSTAVO"/>
    <x:s v="09116590"/>
    <x:m/>
    <x:m/>
    <x:s v="CRISTINA"/>
    <x:s v="0074332"/>
    <x:s v="986900490"/>
    <x:s v="GRUPO MEDICO INTEGRAL SOCIEDAD ANONIMA CERRADA"/>
    <x:s v="94468"/>
    <x:x v="9"/>
    <x:n v="1"/>
    <x:s v="PRECISA"/>
    <x:s v="INSTITUTO MEDICO QUIRURGICO AREQUIPA S.A"/>
    <x:s v="INSTITUTO MEDICO QUIRURGICO AREQUIPA S.A"/>
    <x:s v="L.CENTRO"/>
    <x:s v="ACABRERA"/>
    <x:n v="0"/>
    <x:s v="LN. CIRUGIA"/>
    <x:s v="CIAS. DE SEGURO"/>
    <x:s v="CENTRO"/>
    <x:m/>
    <x:m/>
    <x:m/>
  </x:r>
  <x:r>
    <x:d v="2026-09-29T00:00:00Z"/>
    <x:x v="3"/>
    <x:s v="108460"/>
    <x:s v="FA"/>
    <x:s v="641"/>
    <x:s v="CO"/>
    <x:s v="FA-641"/>
    <x:s v="GIRON OSORIO JESUS ABILENE"/>
    <x:s v="15217255"/>
    <x:m/>
    <x:m/>
    <x:s v="CRISTINA"/>
    <x:s v="0074474"/>
    <x:s v="991914556"/>
    <x:s v="EMPRESA DE TRANSPORTES Y SERVICIOS EL CASHI S.A.C."/>
    <x:s v="94516"/>
    <x:x v="1"/>
    <x:n v="1"/>
    <x:s v="PRECISA"/>
    <x:s v="INSTITUTO MEDICO QUIRURGICO AREQUIPA S.A"/>
    <x:s v="INSTITUTO MEDICO QUIRURGICO AREQUIPA S.A"/>
    <x:s v="L.CENTRO"/>
    <x:s v="ACABRERA"/>
    <x:n v="135.59"/>
    <x:s v="LN. EXAMENES"/>
    <x:s v="CIAS. DE SEGURO"/>
    <x:s v="CENTRO"/>
    <x:m/>
    <x:m/>
    <x:n v="30"/>
  </x:r>
  <x:r>
    <x:d v="2026-09-29T00:00:00Z"/>
    <x:x v="3"/>
    <x:s v="2499"/>
    <x:s v="NC"/>
    <x:s v="641"/>
    <x:s v="CR"/>
    <x:s v="NC-641"/>
    <x:s v="GIRON OSORIO JESUS ABILENE"/>
    <x:s v="15217255"/>
    <x:m/>
    <x:m/>
    <x:s v="CR"/>
    <x:s v="0074474"/>
    <x:s v="991914556"/>
    <x:s v="EMPRESA DE TRANSPORTES Y SERVICIOS EL CASHI S.A.C."/>
    <x:s v="94516"/>
    <x:x v="1"/>
    <x:n v="1"/>
    <x:s v="PRECISA"/>
    <x:s v="INSTITUTO MEDICO QUIRURGICO AREQUIPA S.A"/>
    <x:s v="INSTITUTO MEDICO QUIRURGICO AREQUIPA S.A"/>
    <x:s v="L.CENTRO"/>
    <x:s v="ACABRERA"/>
    <x:n v="-135.59"/>
    <x:s v="LN. EXAMENES"/>
    <x:s v="CIAS. DE SEGURO"/>
    <x:s v="CENTRO"/>
    <x:m/>
    <x:m/>
    <x:n v="30"/>
  </x:r>
  <x:r>
    <x:d v="2026-09-29T00:00:00Z"/>
    <x:x v="3"/>
    <x:s v="108461"/>
    <x:s v="BO"/>
    <x:s v="6579"/>
    <x:s v="CO"/>
    <x:s v="BO-6579"/>
    <x:s v="PENAS CARBONEL YVAN"/>
    <x:s v="72602441"/>
    <x:s v="RAMIREZ ORBE JOSÉ LUIS"/>
    <x:s v="HOSPITAL DE LA POLICIA"/>
    <x:s v="CRISTINA"/>
    <x:s v="0074471"/>
    <x:s v="994042823"/>
    <x:s v="PENAS CARBONEL YVAN"/>
    <x:s v="94511"/>
    <x:x v="12"/>
    <x:n v="1"/>
    <x:s v="PRECISA"/>
    <x:s v="INSTITUTO MEDICO QUIRURGICO AREQUIPA S.A"/>
    <x:s v="INSTITUTO MEDICO QUIRURGICO AREQUIPA S.A"/>
    <x:s v="L.CENTRO"/>
    <x:s v="ACABRERA"/>
    <x:n v="152.54"/>
    <x:s v="LN. EXAMENES"/>
    <x:s v="CIAS. DE SEGURO"/>
    <x:s v="CENTRO"/>
    <x:n v="901918745"/>
    <x:m/>
    <x:n v="30"/>
  </x:r>
  <x:r>
    <x:d v="2026-09-30T00:00:00Z"/>
    <x:x v="3"/>
    <x:s v="108555"/>
    <x:s v="FA"/>
    <x:s v="642"/>
    <x:s v="CO"/>
    <x:s v="FA-642"/>
    <x:s v="CHILCA CORCINA ALEJANDRA VICTORIA"/>
    <x:s v="33336194"/>
    <x:m/>
    <x:m/>
    <x:s v="CRISTINA"/>
    <x:s v="0074541"/>
    <x:s v="959586293"/>
    <x:s v="CORPORACION EMPRESARIAL CREATIV3 PUBLICIDAD &amp; MARKETING E.I.R.L."/>
    <x:s v="94606"/>
    <x:x v="2"/>
    <x:n v="1"/>
    <x:s v="PRECISA"/>
    <x:s v="INSTITUTO MEDICO QUIRURGICO AREQUIPA S.A"/>
    <x:s v="INSTITUTO MEDICO QUIRURGICO AREQUIPA S.A"/>
    <x:s v="L.CENTRO"/>
    <x:s v="ACABRERA"/>
    <x:n v="186.44"/>
    <x:s v="LN. EXAMENES"/>
    <x:s v="CIAS. DE SEGURO"/>
    <x:s v="CENTRO"/>
    <x:m/>
    <x:m/>
    <x:n v="50"/>
  </x:r>
  <x:r>
    <x:d v="2026-09-30T00:00:00Z"/>
    <x:x v="3"/>
    <x:s v="108553"/>
    <x:s v="BO"/>
    <x:s v="5366"/>
    <x:s v="CO"/>
    <x:s v="BO-5366"/>
    <x:s v="VEGAZO LEON FRANCISCO JAVIER"/>
    <x:s v="43385399"/>
    <x:m/>
    <x:m/>
    <x:s v="CRISTINA"/>
    <x:s v="0068862"/>
    <x:s v="968150435"/>
    <x:s v="VEGAZO LEON FRANCISCO JAVIER"/>
    <x:s v="94597"/>
    <x:x v="4"/>
    <x:n v="1"/>
    <x:s v="PRECISA"/>
    <x:s v="INSTITUTO MEDICO QUIRURGICO AREQUIPA S.A"/>
    <x:s v="INSTITUTO MEDICO QUIRURGICO AREQUIPA S.A"/>
    <x:s v="L.NORTE"/>
    <x:s v="AALARCON"/>
    <x:n v="135.59"/>
    <x:s v="LN. EXAMENES"/>
    <x:s v="CIAS. DE SEGURO"/>
    <x:s v="NORTE"/>
    <x:m/>
    <x:m/>
    <x:n v="30"/>
  </x:r>
</x:pivotCacheRecords>
</file>